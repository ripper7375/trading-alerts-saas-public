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Export Data" sheetId="2" state="visible" r:id="rId2"/>
    <sheet xmlns:r="http://schemas.openxmlformats.org/officeDocument/2006/relationships" name="SW_Test" sheetId="3" state="visible" r:id="rId3"/>
    <sheet xmlns:r="http://schemas.openxmlformats.org/officeDocument/2006/relationships" name="JB_Test" sheetId="4" state="visible" r:id="rId4"/>
    <sheet xmlns:r="http://schemas.openxmlformats.org/officeDocument/2006/relationships" name="BP_Test" sheetId="5" state="visible" r:id="rId5"/>
    <sheet xmlns:r="http://schemas.openxmlformats.org/officeDocument/2006/relationships" name="SW_BaseFL" sheetId="6" state="visible" r:id="rId6"/>
    <sheet xmlns:r="http://schemas.openxmlformats.org/officeDocument/2006/relationships" name="White_Test" sheetId="7" state="visible" r:id="rId7"/>
    <sheet xmlns:r="http://schemas.openxmlformats.org/officeDocument/2006/relationships" name="BP_BaseFL" sheetId="8" state="visible" r:id="rId8"/>
    <sheet xmlns:r="http://schemas.openxmlformats.org/officeDocument/2006/relationships" name="JB_BaseFL" sheetId="9" state="visible" r:id="rId9"/>
    <sheet xmlns:r="http://schemas.openxmlformats.org/officeDocument/2006/relationships" name="White_BaseFL" sheetId="10" state="visible" r:id="rId10"/>
    <sheet xmlns:r="http://schemas.openxmlformats.org/officeDocument/2006/relationships" name="MACD_Influence" sheetId="11" state="visible" r:id="rId11"/>
    <sheet xmlns:r="http://schemas.openxmlformats.org/officeDocument/2006/relationships" name="Statistic2" sheetId="12" state="visible" r:id="rId12"/>
    <sheet xmlns:r="http://schemas.openxmlformats.org/officeDocument/2006/relationships" name="Export Data2" sheetId="13" state="visible" r:id="rId13"/>
    <sheet xmlns:r="http://schemas.openxmlformats.org/officeDocument/2006/relationships" name="SW_Test2" sheetId="14" state="visible" r:id="rId14"/>
    <sheet xmlns:r="http://schemas.openxmlformats.org/officeDocument/2006/relationships" name="JB_Test2" sheetId="15" state="visible" r:id="rId15"/>
    <sheet xmlns:r="http://schemas.openxmlformats.org/officeDocument/2006/relationships" name="BP_Test2" sheetId="16" state="visible" r:id="rId16"/>
    <sheet xmlns:r="http://schemas.openxmlformats.org/officeDocument/2006/relationships" name="White_Test2" sheetId="17" state="visible" r:id="rId17"/>
    <sheet xmlns:r="http://schemas.openxmlformats.org/officeDocument/2006/relationships" name="SW_BaseFL2" sheetId="18" state="visible" r:id="rId18"/>
    <sheet xmlns:r="http://schemas.openxmlformats.org/officeDocument/2006/relationships" name="JB_BaseFL2" sheetId="19" state="visible" r:id="rId19"/>
    <sheet xmlns:r="http://schemas.openxmlformats.org/officeDocument/2006/relationships" name="BP_BaseFL2" sheetId="20" state="visible" r:id="rId20"/>
    <sheet xmlns:r="http://schemas.openxmlformats.org/officeDocument/2006/relationships" name="White_BaseFL2" sheetId="21" state="visible" r:id="rId21"/>
    <sheet xmlns:r="http://schemas.openxmlformats.org/officeDocument/2006/relationships" name="MACD_Influence2" sheetId="22" state="visible" r:id="rId22"/>
    <sheet xmlns:r="http://schemas.openxmlformats.org/officeDocument/2006/relationships" name="Comparison" sheetId="23" state="visible" r:id="rId23"/>
    <sheet xmlns:r="http://schemas.openxmlformats.org/officeDocument/2006/relationships" name="MACD_Rolling" sheetId="24" state="visible" r:id="rId2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0.00000"/>
    <numFmt numFmtId="165" formatCode="0.00000000"/>
    <numFmt numFmtId="166" formatCode="0.4"/>
    <numFmt numFmtId="167" formatCode="0.000000"/>
    <numFmt numFmtId="168" formatCode="0.0000"/>
    <numFmt numFmtId="169" formatCode="0.000000000"/>
    <numFmt numFmtId="170" formatCode="0.0000000000"/>
    <numFmt numFmtId="171" formatCode="0.0"/>
  </numFmts>
  <fonts count="5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b val="1"/>
      <color rgb="FFC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375623"/>
      <sz val="10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FF"/>
      <sz val="9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b val="1"/>
      <color rgb="00375623"/>
      <sz val="10"/>
    </font>
    <font>
      <name val="Calibri"/>
      <b val="1"/>
      <color rgb="00FFFFFF"/>
      <sz val="16"/>
    </font>
    <font>
      <name val="Calibri"/>
      <i val="1"/>
      <color rgb="00FFFFFF"/>
      <sz val="12"/>
    </font>
    <font>
      <name val="Calibri"/>
      <i val="1"/>
      <color rgb="0040404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404040"/>
      <sz val="9"/>
    </font>
    <font>
      <name val="Calibri"/>
      <b val="1"/>
      <color rgb="00FFFFFF"/>
      <sz val="13"/>
    </font>
    <font>
      <name val="Calibri"/>
      <i val="1"/>
      <color rgb="00202020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303030"/>
      <sz val="9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b val="1"/>
      <color rgb="00000000"/>
      <sz val="12"/>
    </font>
    <font>
      <name val="Calibri"/>
      <color rgb="00000000"/>
      <sz val="11"/>
    </font>
    <font>
      <name val="Courier New"/>
      <sz val="9"/>
    </font>
    <font>
      <name val="Arial"/>
      <i val="1"/>
      <color rgb="00404040"/>
      <sz val="10"/>
    </font>
    <font>
      <name val="Arial"/>
      <b val="1"/>
      <color rgb="00000000"/>
      <sz val="10"/>
    </font>
    <font>
      <name val="Arial"/>
      <i val="1"/>
      <color rgb="00000000"/>
      <sz val="9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i val="1"/>
      <color rgb="00000000"/>
      <sz val="10"/>
    </font>
    <font>
      <name val="Arial"/>
      <b val="1"/>
      <color rgb="00000000"/>
      <sz val="9"/>
    </font>
    <font>
      <name val="Arial"/>
      <b val="1"/>
      <color rgb="00000000"/>
      <sz val="1"/>
    </font>
    <font>
      <name val="Arial"/>
      <b val="1"/>
      <i val="1"/>
      <color rgb="00303030"/>
      <sz val="10"/>
    </font>
    <font>
      <name val="Arial"/>
      <b val="1"/>
      <i val="1"/>
      <color rgb="00000000"/>
      <sz val="10"/>
    </font>
    <font>
      <name val="Arial"/>
      <b val="1"/>
      <i val="1"/>
      <color rgb="00404040"/>
      <sz val="10"/>
    </font>
    <font>
      <name val="Arial"/>
      <b val="1"/>
      <color rgb="00FFFFFF"/>
      <sz val="12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i val="1"/>
      <color rgb="00FFFFFF"/>
      <sz val="10"/>
    </font>
    <font>
      <name val="Arial"/>
      <b val="1"/>
      <color rgb="001F3864"/>
      <sz val="9"/>
    </font>
    <font>
      <name val="Arial"/>
      <b val="1"/>
      <color rgb="00FFFFFF"/>
      <sz val="15"/>
    </font>
    <font>
      <name val="Arial"/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00215868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9A227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E4620"/>
      </patternFill>
    </fill>
    <fill>
      <patternFill patternType="solid">
        <fgColor rgb="00CCFFCC"/>
      </patternFill>
    </fill>
    <fill>
      <patternFill patternType="solid">
        <fgColor rgb="00375623"/>
      </patternFill>
    </fill>
    <fill>
      <patternFill patternType="solid">
        <fgColor rgb="00FFE699"/>
      </patternFill>
    </fill>
    <fill>
      <patternFill patternType="solid">
        <fgColor rgb="00F4B942"/>
      </patternFill>
    </fill>
    <fill>
      <patternFill patternType="solid">
        <fgColor rgb="00FFD966"/>
      </patternFill>
    </fill>
    <fill>
      <patternFill patternType="solid">
        <fgColor rgb="00CC0000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" fontId="6" fillId="8" borderId="2" applyAlignment="1" pivotButton="0" quotePrefix="0" xfId="0">
      <alignment horizontal="center" vertical="center" wrapText="1"/>
    </xf>
    <xf numFmtId="166" fontId="6" fillId="8" borderId="2" applyAlignment="1" pivotButton="0" quotePrefix="0" xfId="0">
      <alignment horizontal="center" vertical="center" wrapText="1"/>
    </xf>
    <xf numFmtId="167" fontId="6" fillId="8" borderId="2" applyAlignment="1" pivotButton="0" quotePrefix="0" xfId="0">
      <alignment horizontal="center" vertical="center" wrapText="1"/>
    </xf>
    <xf numFmtId="165" fontId="6" fillId="8" borderId="2" applyAlignment="1" pivotButton="0" quotePrefix="0" xfId="0">
      <alignment horizontal="center" vertical="center" wrapText="1"/>
    </xf>
    <xf numFmtId="2" fontId="6" fillId="8" borderId="2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8" fontId="6" fillId="8" borderId="2" applyAlignment="1" pivotButton="0" quotePrefix="0" xfId="0">
      <alignment horizontal="center" vertical="center" wrapText="1"/>
    </xf>
    <xf numFmtId="169" fontId="6" fillId="8" borderId="2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70" fontId="6" fillId="8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" fontId="6" fillId="8" borderId="2" applyAlignment="1" pivotButton="0" quotePrefix="0" xfId="0">
      <alignment horizontal="center" vertical="center" wrapText="1"/>
    </xf>
    <xf numFmtId="166" fontId="6" fillId="8" borderId="2" applyAlignment="1" pivotButton="0" quotePrefix="0" xfId="0">
      <alignment horizontal="center" vertical="center" wrapText="1"/>
    </xf>
    <xf numFmtId="167" fontId="6" fillId="8" borderId="2" applyAlignment="1" pivotButton="0" quotePrefix="0" xfId="0">
      <alignment horizontal="center" vertical="center" wrapText="1"/>
    </xf>
    <xf numFmtId="165" fontId="6" fillId="8" borderId="2" applyAlignment="1" pivotButton="0" quotePrefix="0" xfId="0">
      <alignment horizontal="center" vertical="center" wrapText="1"/>
    </xf>
    <xf numFmtId="2" fontId="6" fillId="8" borderId="2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8" fontId="6" fillId="8" borderId="2" applyAlignment="1" pivotButton="0" quotePrefix="0" xfId="0">
      <alignment horizontal="center" vertical="center" wrapText="1"/>
    </xf>
    <xf numFmtId="169" fontId="6" fillId="8" borderId="2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70" fontId="6" fillId="8" borderId="2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left" vertical="center" wrapText="1"/>
    </xf>
    <xf numFmtId="0" fontId="16" fillId="12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7" fillId="13" borderId="7" applyAlignment="1" pivotButton="0" quotePrefix="0" xfId="0">
      <alignment horizontal="center" vertical="center" wrapText="1"/>
    </xf>
    <xf numFmtId="2" fontId="17" fillId="13" borderId="7" applyAlignment="1" pivotButton="0" quotePrefix="0" xfId="0">
      <alignment horizontal="center" vertical="center" wrapText="1"/>
    </xf>
    <xf numFmtId="164" fontId="17" fillId="13" borderId="7" applyAlignment="1" pivotButton="0" quotePrefix="0" xfId="0">
      <alignment horizontal="center" vertical="center" wrapText="1"/>
    </xf>
    <xf numFmtId="0" fontId="17" fillId="14" borderId="7" applyAlignment="1" pivotButton="0" quotePrefix="0" xfId="0">
      <alignment horizontal="center" vertical="center" wrapText="1"/>
    </xf>
    <xf numFmtId="2" fontId="17" fillId="14" borderId="7" applyAlignment="1" pivotButton="0" quotePrefix="0" xfId="0">
      <alignment horizontal="center" vertical="center" wrapText="1"/>
    </xf>
    <xf numFmtId="164" fontId="17" fillId="14" borderId="7" applyAlignment="1" pivotButton="0" quotePrefix="0" xfId="0">
      <alignment horizontal="center" vertical="center" wrapText="1"/>
    </xf>
    <xf numFmtId="165" fontId="18" fillId="15" borderId="7" applyAlignment="1" pivotButton="0" quotePrefix="0" xfId="0">
      <alignment horizontal="center" vertical="center" wrapText="1"/>
    </xf>
    <xf numFmtId="0" fontId="14" fillId="16" borderId="7" applyAlignment="1" pivotButton="0" quotePrefix="0" xfId="0">
      <alignment horizontal="left" vertical="center" wrapText="1"/>
    </xf>
    <xf numFmtId="1" fontId="15" fillId="16" borderId="7" applyAlignment="1" pivotButton="0" quotePrefix="0" xfId="0">
      <alignment horizontal="center" vertical="center" wrapText="1"/>
    </xf>
    <xf numFmtId="168" fontId="15" fillId="16" borderId="7" applyAlignment="1" pivotButton="0" quotePrefix="0" xfId="0">
      <alignment horizontal="center" vertical="center" wrapText="1"/>
    </xf>
    <xf numFmtId="167" fontId="15" fillId="16" borderId="7" applyAlignment="1" pivotButton="0" quotePrefix="0" xfId="0">
      <alignment horizontal="center" vertical="center" wrapText="1"/>
    </xf>
    <xf numFmtId="165" fontId="15" fillId="16" borderId="7" applyAlignment="1" pivotButton="0" quotePrefix="0" xfId="0">
      <alignment horizontal="center" vertical="center" wrapText="1"/>
    </xf>
    <xf numFmtId="2" fontId="15" fillId="16" borderId="7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169" fontId="15" fillId="16" borderId="7" applyAlignment="1" pivotButton="0" quotePrefix="0" xfId="0">
      <alignment horizontal="center" vertical="center" wrapText="1"/>
    </xf>
    <xf numFmtId="0" fontId="21" fillId="16" borderId="0" applyAlignment="1" pivotButton="0" quotePrefix="0" xfId="0">
      <alignment horizontal="left" vertical="center" wrapText="1"/>
    </xf>
    <xf numFmtId="1" fontId="17" fillId="13" borderId="7" applyAlignment="1" pivotButton="0" quotePrefix="0" xfId="0">
      <alignment horizontal="center" vertical="center" wrapText="1"/>
    </xf>
    <xf numFmtId="1" fontId="17" fillId="14" borderId="7" applyAlignment="1" pivotButton="0" quotePrefix="0" xfId="0">
      <alignment horizontal="center" vertical="center" wrapText="1"/>
    </xf>
    <xf numFmtId="170" fontId="15" fillId="16" borderId="7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center" vertical="center"/>
    </xf>
    <xf numFmtId="0" fontId="23" fillId="19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25" fillId="21" borderId="0" applyAlignment="1" pivotButton="0" quotePrefix="0" xfId="0">
      <alignment horizontal="left" vertical="center"/>
    </xf>
    <xf numFmtId="0" fontId="26" fillId="15" borderId="12" applyAlignment="1" pivotButton="0" quotePrefix="0" xfId="0">
      <alignment horizontal="center" vertical="center"/>
    </xf>
    <xf numFmtId="0" fontId="27" fillId="15" borderId="12" applyAlignment="1" pivotButton="0" quotePrefix="0" xfId="0">
      <alignment horizontal="center" vertical="center"/>
    </xf>
    <xf numFmtId="0" fontId="26" fillId="15" borderId="12" applyAlignment="1" pivotButton="0" quotePrefix="0" xfId="0">
      <alignment horizontal="left" vertical="center"/>
    </xf>
    <xf numFmtId="0" fontId="28" fillId="15" borderId="12" applyAlignment="1" pivotButton="0" quotePrefix="0" xfId="0">
      <alignment horizontal="left" vertical="center" wrapText="1"/>
    </xf>
    <xf numFmtId="0" fontId="27" fillId="13" borderId="12" applyAlignment="1" pivotButton="0" quotePrefix="0" xfId="0">
      <alignment horizontal="center" vertical="center"/>
    </xf>
    <xf numFmtId="0" fontId="26" fillId="13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 wrapText="1"/>
    </xf>
    <xf numFmtId="0" fontId="25" fillId="18" borderId="0" applyAlignment="1" pivotButton="0" quotePrefix="0" xfId="0">
      <alignment horizontal="left" vertical="center"/>
    </xf>
    <xf numFmtId="0" fontId="26" fillId="20" borderId="12" applyAlignment="1" pivotButton="0" quotePrefix="0" xfId="0">
      <alignment horizontal="center" vertical="center"/>
    </xf>
    <xf numFmtId="0" fontId="27" fillId="15" borderId="12" applyAlignment="1" pivotButton="0" quotePrefix="0" xfId="0">
      <alignment horizontal="left" vertical="center"/>
    </xf>
    <xf numFmtId="0" fontId="28" fillId="15" borderId="12" applyAlignment="1" pivotButton="0" quotePrefix="0" xfId="0">
      <alignment horizontal="center" vertical="center"/>
    </xf>
    <xf numFmtId="0" fontId="27" fillId="15" borderId="12" applyAlignment="1" pivotButton="0" quotePrefix="0" xfId="0">
      <alignment horizontal="left" vertical="center" wrapText="1"/>
    </xf>
    <xf numFmtId="0" fontId="27" fillId="13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center" vertical="center"/>
    </xf>
    <xf numFmtId="0" fontId="27" fillId="13" borderId="12" applyAlignment="1" pivotButton="0" quotePrefix="0" xfId="0">
      <alignment horizontal="left" vertical="center" wrapText="1"/>
    </xf>
    <xf numFmtId="0" fontId="26" fillId="14" borderId="12" applyAlignment="1" pivotButton="0" quotePrefix="0" xfId="0">
      <alignment horizontal="left" vertical="center"/>
    </xf>
    <xf numFmtId="0" fontId="27" fillId="14" borderId="12" applyAlignment="1" pivotButton="0" quotePrefix="0" xfId="0">
      <alignment horizontal="left" vertical="center"/>
    </xf>
    <xf numFmtId="0" fontId="26" fillId="14" borderId="12" applyAlignment="1" pivotButton="0" quotePrefix="0" xfId="0">
      <alignment horizontal="center" vertical="center"/>
    </xf>
    <xf numFmtId="0" fontId="28" fillId="14" borderId="12" applyAlignment="1" pivotButton="0" quotePrefix="0" xfId="0">
      <alignment horizontal="center" vertical="center"/>
    </xf>
    <xf numFmtId="0" fontId="27" fillId="14" borderId="12" applyAlignment="1" pivotButton="0" quotePrefix="0" xfId="0">
      <alignment horizontal="left" vertical="center" wrapText="1"/>
    </xf>
    <xf numFmtId="0" fontId="27" fillId="22" borderId="12" applyAlignment="1" pivotButton="0" quotePrefix="0" xfId="0">
      <alignment horizontal="left" vertical="center"/>
    </xf>
    <xf numFmtId="0" fontId="26" fillId="22" borderId="12" applyAlignment="1" pivotButton="0" quotePrefix="0" xfId="0">
      <alignment horizontal="center" vertical="center"/>
    </xf>
    <xf numFmtId="0" fontId="27" fillId="23" borderId="12" applyAlignment="1" pivotButton="0" quotePrefix="0" xfId="0">
      <alignment horizontal="center" vertical="center"/>
    </xf>
    <xf numFmtId="0" fontId="27" fillId="24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left" vertical="center" wrapText="1"/>
    </xf>
    <xf numFmtId="0" fontId="26" fillId="13" borderId="12" applyAlignment="1" pivotButton="0" quotePrefix="0" xfId="0">
      <alignment horizontal="center" vertical="center"/>
    </xf>
    <xf numFmtId="0" fontId="29" fillId="14" borderId="12" applyAlignment="1" pivotButton="0" quotePrefix="0" xfId="0">
      <alignment horizontal="left" vertical="center" wrapText="1"/>
    </xf>
    <xf numFmtId="0" fontId="30" fillId="19" borderId="0" applyAlignment="1" pivotButton="0" quotePrefix="0" xfId="0">
      <alignment horizontal="left" vertical="center"/>
    </xf>
    <xf numFmtId="0" fontId="31" fillId="14" borderId="0" applyAlignment="1" pivotButton="0" quotePrefix="0" xfId="0">
      <alignment horizontal="left" vertical="center"/>
    </xf>
    <xf numFmtId="0" fontId="32" fillId="20" borderId="12" applyAlignment="1" pivotButton="0" quotePrefix="0" xfId="0">
      <alignment horizontal="center" vertical="center" wrapText="1"/>
    </xf>
    <xf numFmtId="0" fontId="26" fillId="22" borderId="12" applyAlignment="1" pivotButton="0" quotePrefix="0" xfId="0">
      <alignment horizontal="left" vertical="center"/>
    </xf>
    <xf numFmtId="0" fontId="27" fillId="22" borderId="12" applyAlignment="1" pivotButton="0" quotePrefix="0" xfId="0">
      <alignment horizontal="center" vertical="center"/>
    </xf>
    <xf numFmtId="171" fontId="27" fillId="25" borderId="12" applyAlignment="1" pivotButton="0" quotePrefix="0" xfId="0">
      <alignment horizontal="center" vertical="center"/>
    </xf>
    <xf numFmtId="0" fontId="33" fillId="25" borderId="12" applyAlignment="1" pivotButton="0" quotePrefix="0" xfId="0">
      <alignment horizontal="center" vertical="center"/>
    </xf>
    <xf numFmtId="0" fontId="32" fillId="23" borderId="12" applyAlignment="1" pivotButton="0" quotePrefix="0" xfId="0">
      <alignment horizontal="center" vertical="center"/>
    </xf>
    <xf numFmtId="0" fontId="26" fillId="25" borderId="12" applyAlignment="1" pivotButton="0" quotePrefix="0" xfId="0">
      <alignment horizontal="center" vertical="center"/>
    </xf>
    <xf numFmtId="0" fontId="27" fillId="25" borderId="12" applyAlignment="1" pivotButton="0" quotePrefix="0" xfId="0">
      <alignment horizontal="center" vertical="center"/>
    </xf>
    <xf numFmtId="0" fontId="34" fillId="22" borderId="12" applyAlignment="1" pivotButton="0" quotePrefix="0" xfId="0">
      <alignment horizontal="left" vertical="center" wrapText="1"/>
    </xf>
    <xf numFmtId="171" fontId="27" fillId="23" borderId="12" applyAlignment="1" pivotButton="0" quotePrefix="0" xfId="0">
      <alignment horizontal="center" vertical="center"/>
    </xf>
    <xf numFmtId="0" fontId="32" fillId="24" borderId="12" applyAlignment="1" pivotButton="0" quotePrefix="0" xfId="0">
      <alignment horizontal="center" vertical="center"/>
    </xf>
    <xf numFmtId="0" fontId="27" fillId="14" borderId="12" applyAlignment="1" pivotButton="0" quotePrefix="0" xfId="0">
      <alignment horizontal="center" vertical="center"/>
    </xf>
    <xf numFmtId="0" fontId="34" fillId="13" borderId="12" applyAlignment="1" pivotButton="0" quotePrefix="0" xfId="0">
      <alignment horizontal="left" vertical="center" wrapText="1"/>
    </xf>
    <xf numFmtId="0" fontId="32" fillId="25" borderId="12" applyAlignment="1" pivotButton="0" quotePrefix="0" xfId="0">
      <alignment horizontal="center" vertical="center"/>
    </xf>
    <xf numFmtId="0" fontId="26" fillId="24" borderId="12" applyAlignment="1" pivotButton="0" quotePrefix="0" xfId="0">
      <alignment horizontal="center" vertical="center"/>
    </xf>
    <xf numFmtId="0" fontId="0" fillId="14" borderId="12" pivotButton="0" quotePrefix="0" xfId="0"/>
    <xf numFmtId="0" fontId="28" fillId="14" borderId="0" applyAlignment="1" pivotButton="0" quotePrefix="0" xfId="0">
      <alignment horizontal="left" vertical="center"/>
    </xf>
    <xf numFmtId="0" fontId="29" fillId="14" borderId="0" applyAlignment="1" pivotButton="0" quotePrefix="0" xfId="0">
      <alignment horizontal="left" vertical="center"/>
    </xf>
    <xf numFmtId="0" fontId="25" fillId="19" borderId="0" applyAlignment="1" pivotButton="0" quotePrefix="0" xfId="0">
      <alignment horizontal="left" vertical="center"/>
    </xf>
    <xf numFmtId="0" fontId="35" fillId="23" borderId="0" applyAlignment="1" pivotButton="0" quotePrefix="0" xfId="0">
      <alignment horizontal="center" vertical="center"/>
    </xf>
    <xf numFmtId="0" fontId="36" fillId="23" borderId="0" applyAlignment="1" pivotButton="0" quotePrefix="0" xfId="0">
      <alignment horizontal="left" vertical="center"/>
    </xf>
    <xf numFmtId="0" fontId="30" fillId="26" borderId="0" applyAlignment="1" pivotButton="0" quotePrefix="0" xfId="0">
      <alignment horizontal="left" vertical="center"/>
    </xf>
    <xf numFmtId="0" fontId="25" fillId="26" borderId="0" applyAlignment="1" pivotButton="0" quotePrefix="0" xfId="0">
      <alignment horizontal="left" vertical="center"/>
    </xf>
    <xf numFmtId="0" fontId="35" fillId="24" borderId="0" applyAlignment="1" pivotButton="0" quotePrefix="0" xfId="0">
      <alignment horizontal="center" vertical="center"/>
    </xf>
    <xf numFmtId="0" fontId="36" fillId="24" borderId="0" applyAlignment="1" pivotButton="0" quotePrefix="0" xfId="0">
      <alignment horizontal="left" vertical="center"/>
    </xf>
    <xf numFmtId="0" fontId="37" fillId="19" borderId="12" applyAlignment="1" pivotButton="0" quotePrefix="0" xfId="0">
      <alignment horizontal="left" vertical="center"/>
    </xf>
    <xf numFmtId="0" fontId="38" fillId="23" borderId="12" applyAlignment="1" pivotButton="0" quotePrefix="0" xfId="0">
      <alignment horizontal="center" vertical="center"/>
    </xf>
    <xf numFmtId="0" fontId="39" fillId="23" borderId="12" applyAlignment="1" pivotButton="0" quotePrefix="0" xfId="0">
      <alignment horizontal="left" vertical="center"/>
    </xf>
    <xf numFmtId="0" fontId="37" fillId="26" borderId="12" applyAlignment="1" pivotButton="0" quotePrefix="0" xfId="0">
      <alignment horizontal="left" vertical="center"/>
    </xf>
    <xf numFmtId="0" fontId="38" fillId="24" borderId="12" applyAlignment="1" pivotButton="0" quotePrefix="0" xfId="0">
      <alignment horizontal="center" vertical="center"/>
    </xf>
    <xf numFmtId="0" fontId="39" fillId="24" borderId="12" applyAlignment="1" pivotButton="0" quotePrefix="0" xfId="0">
      <alignment horizontal="left" vertical="center"/>
    </xf>
    <xf numFmtId="0" fontId="36" fillId="25" borderId="12" applyAlignment="1" pivotButton="0" quotePrefix="0" xfId="0">
      <alignment horizontal="center" vertical="center"/>
    </xf>
    <xf numFmtId="0" fontId="0" fillId="25" borderId="12" pivotButton="0" quotePrefix="0" xfId="0"/>
    <xf numFmtId="0" fontId="28" fillId="25" borderId="12" applyAlignment="1" pivotButton="0" quotePrefix="0" xfId="0">
      <alignment horizontal="left" vertical="center" wrapText="1"/>
    </xf>
    <xf numFmtId="0" fontId="36" fillId="27" borderId="12" applyAlignment="1" pivotButton="0" quotePrefix="0" xfId="0">
      <alignment horizontal="center" vertical="center"/>
    </xf>
    <xf numFmtId="0" fontId="0" fillId="27" borderId="12" pivotButton="0" quotePrefix="0" xfId="0"/>
    <xf numFmtId="0" fontId="26" fillId="27" borderId="12" applyAlignment="1" pivotButton="0" quotePrefix="0" xfId="0">
      <alignment horizontal="center" vertical="center"/>
    </xf>
    <xf numFmtId="0" fontId="28" fillId="27" borderId="12" applyAlignment="1" pivotButton="0" quotePrefix="0" xfId="0">
      <alignment horizontal="left" vertical="center" wrapText="1"/>
    </xf>
    <xf numFmtId="0" fontId="36" fillId="23" borderId="12" applyAlignment="1" pivotButton="0" quotePrefix="0" xfId="0">
      <alignment horizontal="center" vertical="center"/>
    </xf>
    <xf numFmtId="0" fontId="0" fillId="23" borderId="12" pivotButton="0" quotePrefix="0" xfId="0"/>
    <xf numFmtId="0" fontId="26" fillId="23" borderId="12" applyAlignment="1" pivotButton="0" quotePrefix="0" xfId="0">
      <alignment horizontal="center" vertical="center"/>
    </xf>
    <xf numFmtId="0" fontId="28" fillId="23" borderId="12" applyAlignment="1" pivotButton="0" quotePrefix="0" xfId="0">
      <alignment horizontal="left" vertical="center" wrapText="1"/>
    </xf>
    <xf numFmtId="0" fontId="36" fillId="17" borderId="12" applyAlignment="1" pivotButton="0" quotePrefix="0" xfId="0">
      <alignment horizontal="center" vertical="center"/>
    </xf>
    <xf numFmtId="0" fontId="0" fillId="17" borderId="12" pivotButton="0" quotePrefix="0" xfId="0"/>
    <xf numFmtId="0" fontId="26" fillId="17" borderId="12" applyAlignment="1" pivotButton="0" quotePrefix="0" xfId="0">
      <alignment horizontal="center" vertical="center"/>
    </xf>
    <xf numFmtId="0" fontId="28" fillId="17" borderId="12" applyAlignment="1" pivotButton="0" quotePrefix="0" xfId="0">
      <alignment horizontal="left" vertical="center" wrapText="1"/>
    </xf>
    <xf numFmtId="0" fontId="36" fillId="24" borderId="12" applyAlignment="1" pivotButton="0" quotePrefix="0" xfId="0">
      <alignment horizontal="center" vertical="center"/>
    </xf>
    <xf numFmtId="0" fontId="0" fillId="24" borderId="12" pivotButton="0" quotePrefix="0" xfId="0"/>
    <xf numFmtId="0" fontId="28" fillId="24" borderId="12" applyAlignment="1" pivotButton="0" quotePrefix="0" xfId="0">
      <alignment horizontal="left" vertical="center" wrapText="1"/>
    </xf>
    <xf numFmtId="0" fontId="40" fillId="14" borderId="1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13" fillId="10" borderId="0" applyAlignment="1" pivotButton="0" quotePrefix="0" xfId="0">
      <alignment horizontal="center" vertical="center"/>
    </xf>
    <xf numFmtId="0" fontId="41" fillId="11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42" fillId="22" borderId="7" applyAlignment="1" pivotButton="0" quotePrefix="0" xfId="0">
      <alignment horizontal="left" vertical="center"/>
    </xf>
    <xf numFmtId="0" fontId="15" fillId="22" borderId="7" applyAlignment="1" pivotButton="0" quotePrefix="0" xfId="0">
      <alignment horizontal="center" vertical="center"/>
    </xf>
    <xf numFmtId="0" fontId="42" fillId="13" borderId="7" applyAlignment="1" pivotButton="0" quotePrefix="0" xfId="0">
      <alignment horizontal="left" vertical="center"/>
    </xf>
    <xf numFmtId="0" fontId="15" fillId="13" borderId="7" applyAlignment="1" pivotButton="0" quotePrefix="0" xfId="0">
      <alignment horizontal="center" vertical="center"/>
    </xf>
    <xf numFmtId="0" fontId="15" fillId="22" borderId="7" applyAlignment="1" pivotButton="0" quotePrefix="0" xfId="0">
      <alignment horizontal="left" vertical="center"/>
    </xf>
    <xf numFmtId="0" fontId="42" fillId="22" borderId="7" applyAlignment="1" pivotButton="0" quotePrefix="0" xfId="0">
      <alignment horizontal="center" vertical="center"/>
    </xf>
    <xf numFmtId="0" fontId="15" fillId="13" borderId="7" applyAlignment="1" pivotButton="0" quotePrefix="0" xfId="0">
      <alignment horizontal="left" vertical="center"/>
    </xf>
    <xf numFmtId="0" fontId="42" fillId="13" borderId="7" applyAlignment="1" pivotButton="0" quotePrefix="0" xfId="0">
      <alignment horizontal="center" vertical="center"/>
    </xf>
    <xf numFmtId="0" fontId="17" fillId="14" borderId="7" applyAlignment="1" pivotButton="0" quotePrefix="0" xfId="0">
      <alignment horizontal="center" vertical="center"/>
    </xf>
    <xf numFmtId="0" fontId="17" fillId="13" borderId="7" applyAlignment="1" pivotButton="0" quotePrefix="0" xfId="0">
      <alignment horizontal="center" vertical="center"/>
    </xf>
    <xf numFmtId="0" fontId="43" fillId="15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42" fillId="16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left" vertical="center" wrapText="1"/>
    </xf>
    <xf numFmtId="0" fontId="14" fillId="24" borderId="0" applyAlignment="1" pivotButton="0" quotePrefix="0" xfId="0">
      <alignment horizontal="left" vertical="center" wrapText="1"/>
    </xf>
    <xf numFmtId="0" fontId="13" fillId="18" borderId="0" applyAlignment="1" pivotButton="0" quotePrefix="0" xfId="0">
      <alignment horizontal="center" vertical="center"/>
    </xf>
    <xf numFmtId="0" fontId="44" fillId="18" borderId="0" applyAlignment="1" pivotButton="0" quotePrefix="0" xfId="0">
      <alignment horizontal="center" vertical="center"/>
    </xf>
    <xf numFmtId="0" fontId="45" fillId="1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46" fillId="14" borderId="0" applyAlignment="1" pivotButton="0" quotePrefix="0" xfId="0">
      <alignment horizontal="left" vertical="center"/>
    </xf>
    <xf numFmtId="0" fontId="47" fillId="11" borderId="7" applyAlignment="1" pivotButton="0" quotePrefix="0" xfId="0">
      <alignment horizontal="center" vertical="center" wrapText="1"/>
    </xf>
    <xf numFmtId="0" fontId="42" fillId="25" borderId="7" applyAlignment="1" pivotButton="0" quotePrefix="0" xfId="0">
      <alignment horizontal="center" vertical="center"/>
    </xf>
    <xf numFmtId="0" fontId="48" fillId="25" borderId="7" applyAlignment="1" pivotButton="0" quotePrefix="0" xfId="0">
      <alignment horizontal="center" vertical="center"/>
    </xf>
    <xf numFmtId="0" fontId="48" fillId="24" borderId="7" applyAlignment="1" pivotButton="0" quotePrefix="0" xfId="0">
      <alignment horizontal="center" vertical="center"/>
    </xf>
    <xf numFmtId="0" fontId="42" fillId="24" borderId="7" applyAlignment="1" pivotButton="0" quotePrefix="0" xfId="0">
      <alignment horizontal="center" vertical="center"/>
    </xf>
    <xf numFmtId="0" fontId="49" fillId="22" borderId="7" applyAlignment="1" pivotButton="0" quotePrefix="0" xfId="0">
      <alignment horizontal="left" vertical="center" wrapText="1"/>
    </xf>
    <xf numFmtId="0" fontId="42" fillId="15" borderId="7" applyAlignment="1" pivotButton="0" quotePrefix="0" xfId="0">
      <alignment horizontal="center" vertical="center"/>
    </xf>
    <xf numFmtId="0" fontId="48" fillId="15" borderId="7" applyAlignment="1" pivotButton="0" quotePrefix="0" xfId="0">
      <alignment horizontal="center" vertical="center"/>
    </xf>
    <xf numFmtId="0" fontId="49" fillId="13" borderId="7" applyAlignment="1" pivotButton="0" quotePrefix="0" xfId="0">
      <alignment horizontal="left" vertical="center" wrapText="1"/>
    </xf>
    <xf numFmtId="0" fontId="0" fillId="14" borderId="7" pivotButton="0" quotePrefix="0" xfId="0"/>
    <xf numFmtId="0" fontId="50" fillId="14" borderId="0" applyAlignment="1" pivotButton="0" quotePrefix="0" xfId="0">
      <alignment horizontal="left" vertical="center"/>
    </xf>
    <xf numFmtId="0" fontId="51" fillId="14" borderId="0" applyAlignment="1" pivotButton="0" quotePrefix="0" xfId="0">
      <alignment horizontal="left" vertical="center"/>
    </xf>
    <xf numFmtId="0" fontId="52" fillId="10" borderId="0" applyAlignment="1" pivotButton="0" quotePrefix="0" xfId="0">
      <alignment horizontal="left" vertical="center"/>
    </xf>
    <xf numFmtId="0" fontId="53" fillId="15" borderId="0" applyAlignment="1" pivotButton="0" quotePrefix="0" xfId="0">
      <alignment horizontal="center" vertical="center"/>
    </xf>
    <xf numFmtId="0" fontId="54" fillId="15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left" vertical="center"/>
    </xf>
    <xf numFmtId="0" fontId="52" fillId="28" borderId="0" applyAlignment="1" pivotButton="0" quotePrefix="0" xfId="0">
      <alignment horizontal="left" vertical="center"/>
    </xf>
    <xf numFmtId="0" fontId="53" fillId="24" borderId="0" applyAlignment="1" pivotButton="0" quotePrefix="0" xfId="0">
      <alignment horizontal="center" vertical="center"/>
    </xf>
    <xf numFmtId="0" fontId="54" fillId="24" borderId="0" applyAlignment="1" pivotButton="0" quotePrefix="0" xfId="0">
      <alignment horizontal="left" vertical="center"/>
    </xf>
    <xf numFmtId="0" fontId="55" fillId="19" borderId="0" applyAlignment="1" pivotButton="0" quotePrefix="0" xfId="0">
      <alignment horizontal="center" vertical="center" wrapText="1"/>
    </xf>
    <xf numFmtId="0" fontId="52" fillId="18" borderId="0" applyAlignment="1" pivotButton="0" quotePrefix="0" xfId="0">
      <alignment horizontal="left" vertical="center"/>
    </xf>
    <xf numFmtId="0" fontId="14" fillId="11" borderId="7" applyAlignment="1" pivotButton="0" quotePrefix="0" xfId="0">
      <alignment horizontal="center" vertical="center"/>
    </xf>
    <xf numFmtId="0" fontId="16" fillId="10" borderId="7" applyAlignment="1" pivotButton="0" quotePrefix="0" xfId="0">
      <alignment horizontal="left" vertical="center"/>
    </xf>
    <xf numFmtId="0" fontId="54" fillId="24" borderId="7" applyAlignment="1" pivotButton="0" quotePrefix="0" xfId="0">
      <alignment horizontal="center" vertical="center"/>
    </xf>
    <xf numFmtId="0" fontId="50" fillId="14" borderId="7" applyAlignment="1" pivotButton="0" quotePrefix="0" xfId="0">
      <alignment horizontal="left" vertical="center"/>
    </xf>
    <xf numFmtId="0" fontId="16" fillId="28" borderId="7" applyAlignment="1" pivotButton="0" quotePrefix="0" xfId="0">
      <alignment horizontal="left" vertical="center"/>
    </xf>
    <xf numFmtId="0" fontId="56" fillId="11" borderId="7" applyAlignment="1" pivotButton="0" quotePrefix="0" xfId="0">
      <alignment horizontal="center" vertical="center" wrapText="1"/>
    </xf>
    <xf numFmtId="0" fontId="17" fillId="22" borderId="7" applyAlignment="1" pivotButton="0" quotePrefix="0" xfId="0">
      <alignment horizontal="center" vertical="center"/>
    </xf>
    <xf numFmtId="0" fontId="17" fillId="25" borderId="7" applyAlignment="1" pivotButton="0" quotePrefix="0" xfId="0">
      <alignment horizontal="center" vertical="center"/>
    </xf>
    <xf numFmtId="0" fontId="17" fillId="24" borderId="7" applyAlignment="1" pivotButton="0" quotePrefix="0" xfId="0">
      <alignment horizontal="center" vertical="center"/>
    </xf>
    <xf numFmtId="0" fontId="17" fillId="15" borderId="7" applyAlignment="1" pivotButton="0" quotePrefix="0" xfId="0">
      <alignment horizontal="center" vertical="center"/>
    </xf>
    <xf numFmtId="0" fontId="14" fillId="11" borderId="7" applyAlignment="1" pivotButton="0" quotePrefix="0" xfId="0">
      <alignment horizontal="left" vertical="center"/>
    </xf>
    <xf numFmtId="0" fontId="15" fillId="14" borderId="7" applyAlignment="1" pivotButton="0" quotePrefix="0" xfId="0">
      <alignment horizontal="left" vertical="center" wrapText="1"/>
    </xf>
    <xf numFmtId="0" fontId="46" fillId="25" borderId="7" applyAlignment="1" pivotButton="0" quotePrefix="0" xfId="0">
      <alignment horizontal="left" vertical="center" wrapText="1"/>
    </xf>
    <xf numFmtId="0" fontId="46" fillId="15" borderId="7" applyAlignment="1" pivotButton="0" quotePrefix="0" xfId="0">
      <alignment horizontal="left" vertical="center" wrapText="1"/>
    </xf>
    <xf numFmtId="0" fontId="57" fillId="18" borderId="0" applyAlignment="1" pivotButton="0" quotePrefix="0" xfId="0">
      <alignment horizontal="center" vertical="center"/>
    </xf>
    <xf numFmtId="0" fontId="58" fillId="18" borderId="0" applyAlignment="1" pivotButton="0" quotePrefix="0" xfId="0">
      <alignment horizontal="left" vertical="center"/>
    </xf>
    <xf numFmtId="0" fontId="14" fillId="22" borderId="7" applyAlignment="1" pivotButton="0" quotePrefix="0" xfId="0">
      <alignment horizontal="left" vertical="center"/>
    </xf>
    <xf numFmtId="0" fontId="46" fillId="22" borderId="7" applyAlignment="1" pivotButton="0" quotePrefix="0" xfId="0">
      <alignment horizontal="left" vertical="center" wrapText="1"/>
    </xf>
    <xf numFmtId="0" fontId="14" fillId="13" borderId="7" applyAlignment="1" pivotButton="0" quotePrefix="0" xfId="0">
      <alignment horizontal="left" vertical="center"/>
    </xf>
    <xf numFmtId="0" fontId="46" fillId="13" borderId="7" applyAlignment="1" pivotButton="0" quotePrefix="0" xfId="0">
      <alignment horizontal="left" vertical="center" wrapText="1"/>
    </xf>
    <xf numFmtId="0" fontId="14" fillId="20" borderId="7" applyAlignment="1" pivotButton="0" quotePrefix="0" xfId="0">
      <alignment horizontal="left" vertical="center"/>
    </xf>
    <xf numFmtId="0" fontId="17" fillId="20" borderId="7" applyAlignment="1" pivotButton="0" quotePrefix="0" xfId="0">
      <alignment horizontal="center" vertical="center"/>
    </xf>
    <xf numFmtId="0" fontId="43" fillId="20" borderId="7" applyAlignment="1" pivotButton="0" quotePrefix="0" xfId="0">
      <alignment horizontal="left" vertical="center" wrapText="1"/>
    </xf>
    <xf numFmtId="0" fontId="14" fillId="29" borderId="7" applyAlignment="1" pivotButton="0" quotePrefix="0" xfId="0">
      <alignment horizontal="left" vertical="center"/>
    </xf>
    <xf numFmtId="0" fontId="17" fillId="29" borderId="7" applyAlignment="1" pivotButton="0" quotePrefix="0" xfId="0">
      <alignment horizontal="center" vertical="center"/>
    </xf>
    <xf numFmtId="0" fontId="43" fillId="29" borderId="7" applyAlignment="1" pivotButton="0" quotePrefix="0" xfId="0">
      <alignment horizontal="left" vertical="center" wrapText="1"/>
    </xf>
    <xf numFmtId="0" fontId="14" fillId="30" borderId="7" applyAlignment="1" pivotButton="0" quotePrefix="0" xfId="0">
      <alignment horizontal="left" vertical="center"/>
    </xf>
    <xf numFmtId="0" fontId="17" fillId="30" borderId="7" applyAlignment="1" pivotButton="0" quotePrefix="0" xfId="0">
      <alignment horizontal="center" vertical="center"/>
    </xf>
    <xf numFmtId="0" fontId="43" fillId="30" borderId="7" applyAlignment="1" pivotButton="0" quotePrefix="0" xfId="0">
      <alignment horizontal="left" vertical="center" wrapText="1"/>
    </xf>
    <xf numFmtId="0" fontId="14" fillId="25" borderId="7" applyAlignment="1" pivotButton="0" quotePrefix="0" xfId="0">
      <alignment horizontal="left" vertical="center"/>
    </xf>
    <xf numFmtId="0" fontId="17" fillId="25" borderId="7" applyAlignment="1" pivotButton="0" quotePrefix="0" xfId="0">
      <alignment horizontal="center" vertical="center"/>
    </xf>
    <xf numFmtId="0" fontId="43" fillId="25" borderId="7" applyAlignment="1" pivotButton="0" quotePrefix="0" xfId="0">
      <alignment horizontal="left" vertical="center" wrapText="1"/>
    </xf>
    <xf numFmtId="0" fontId="42" fillId="24" borderId="7" applyAlignment="1" pivotButton="0" quotePrefix="0" xfId="0">
      <alignment horizontal="center" vertical="center"/>
    </xf>
    <xf numFmtId="0" fontId="17" fillId="17" borderId="7" applyAlignment="1" pivotButton="0" quotePrefix="0" xfId="0">
      <alignment horizontal="center" vertical="center"/>
    </xf>
    <xf numFmtId="0" fontId="17" fillId="20" borderId="7" applyAlignment="1" pivotButton="0" quotePrefix="0" xfId="0">
      <alignment horizontal="left" vertical="center" wrapText="1"/>
    </xf>
    <xf numFmtId="0" fontId="42" fillId="31" borderId="7" applyAlignment="1" pivotButton="0" quotePrefix="0" xfId="0">
      <alignment horizontal="center" vertical="center"/>
    </xf>
    <xf numFmtId="0" fontId="42" fillId="15" borderId="7" applyAlignment="1" pivotButton="0" quotePrefix="0" xfId="0">
      <alignment horizontal="center" vertical="center"/>
    </xf>
    <xf numFmtId="0" fontId="42" fillId="25" borderId="7" applyAlignment="1" pivotButton="0" quotePrefix="0" xfId="0">
      <alignment horizontal="center" vertical="center"/>
    </xf>
    <xf numFmtId="0" fontId="17" fillId="29" borderId="7" applyAlignment="1" pivotButton="0" quotePrefix="0" xfId="0">
      <alignment horizontal="left" vertical="center" wrapText="1"/>
    </xf>
    <xf numFmtId="0" fontId="47" fillId="29" borderId="7" applyAlignment="1" pivotButton="0" quotePrefix="0" xfId="0">
      <alignment horizontal="center" vertical="center"/>
    </xf>
    <xf numFmtId="0" fontId="47" fillId="17" borderId="7" applyAlignment="1" pivotButton="0" quotePrefix="0" xfId="0">
      <alignment horizontal="center" vertical="center"/>
    </xf>
    <xf numFmtId="0" fontId="47" fillId="29" borderId="7" applyAlignment="1" pivotButton="0" quotePrefix="0" xfId="0">
      <alignment horizontal="left" vertical="center" wrapText="1"/>
    </xf>
    <xf numFmtId="0" fontId="47" fillId="30" borderId="7" applyAlignment="1" pivotButton="0" quotePrefix="0" xfId="0">
      <alignment horizontal="center" vertical="center"/>
    </xf>
    <xf numFmtId="0" fontId="47" fillId="30" borderId="7" applyAlignment="1" pivotButton="0" quotePrefix="0" xfId="0">
      <alignment horizontal="left" vertical="center" wrapText="1"/>
    </xf>
    <xf numFmtId="0" fontId="17" fillId="25" borderId="7" applyAlignment="1" pivotButton="0" quotePrefix="0" xfId="0">
      <alignment horizontal="left" vertical="center" wrapText="1"/>
    </xf>
    <xf numFmtId="0" fontId="52" fillId="18" borderId="0" applyAlignment="1" pivotButton="0" quotePrefix="0" xfId="0">
      <alignment horizontal="left" vertical="center"/>
    </xf>
    <xf numFmtId="0" fontId="16" fillId="19" borderId="7" applyAlignment="1" pivotButton="0" quotePrefix="0" xfId="0">
      <alignment horizontal="left" vertical="center" wrapText="1"/>
    </xf>
    <xf numFmtId="0" fontId="16" fillId="21" borderId="7" applyAlignment="1" pivotButton="0" quotePrefix="0" xfId="0">
      <alignment horizontal="left" vertical="center" wrapText="1"/>
    </xf>
    <xf numFmtId="0" fontId="15" fillId="15" borderId="7" applyAlignment="1" pivotButton="0" quotePrefix="0" xfId="0">
      <alignment horizontal="left" vertical="center" wrapText="1"/>
    </xf>
    <xf numFmtId="0" fontId="42" fillId="14" borderId="7" applyAlignment="1" pivotButton="0" quotePrefix="0" xfId="0">
      <alignment horizontal="center" vertical="center"/>
    </xf>
    <xf numFmtId="0" fontId="15" fillId="22" borderId="7" applyAlignment="1" pivotButton="0" quotePrefix="0" xfId="0">
      <alignment horizontal="left" vertical="center"/>
    </xf>
    <xf numFmtId="0" fontId="42" fillId="17" borderId="7" applyAlignment="1" pivotButton="0" quotePrefix="0" xfId="0">
      <alignment horizontal="center" vertical="center"/>
    </xf>
    <xf numFmtId="0" fontId="42" fillId="32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1" activeCellId="0" sqref="E21"/>
    </sheetView>
  </sheetViews>
  <sheetFormatPr baseColWidth="8" defaultColWidth="8.6796875" defaultRowHeight="14.25" customHeight="0" zeroHeight="0" outlineLevelRow="0"/>
  <sheetData>
    <row r="1" ht="14.25" customHeight="1" s="28">
      <c r="A1" s="29" t="inlineStr">
        <is>
          <t>Regression Centroids: 4</t>
        </is>
      </c>
    </row>
    <row r="2" ht="14.25" customHeight="1" s="28">
      <c r="A2" s="29" t="inlineStr">
        <is>
          <t>Math Search Window (Bars): 3000</t>
        </is>
      </c>
    </row>
    <row r="3" ht="14.25" customHeight="1" s="28">
      <c r="A3" s="29" t="inlineStr">
        <is>
          <t>Visual EDT Window (Bars): 741</t>
        </is>
      </c>
    </row>
    <row r="4" ht="14.25" customHeight="1" s="28">
      <c r="A4" s="29" t="inlineStr">
        <is>
          <t>Observation Window (Bars): 736</t>
        </is>
      </c>
    </row>
    <row r="5" ht="14.25" customHeight="1" s="28">
      <c r="A5" s="29" t="inlineStr">
        <is>
          <t>Total 171 Crossings (n): 65</t>
        </is>
      </c>
    </row>
    <row r="6" ht="14.25" customHeight="1" s="28">
      <c r="A6" s="29" t="inlineStr">
        <is>
          <t>Timeframe (Sec): 900</t>
        </is>
      </c>
    </row>
    <row r="7" ht="14.25" customHeight="1" s="28">
      <c r="A7" s="29" t="inlineStr">
        <is>
          <t>Raw Slope (b): 0.20245</t>
        </is>
      </c>
    </row>
    <row r="8" ht="14.25" customHeight="1" s="28">
      <c r="A8" s="29" t="inlineStr">
        <is>
          <t>Regression Angle: 23.64</t>
        </is>
      </c>
    </row>
    <row r="9" ht="14.25" customHeight="1" s="28">
      <c r="A9" s="29" t="inlineStr">
        <is>
          <t>Anchored Y-Int: 4698.37419</t>
        </is>
      </c>
    </row>
    <row r="11" ht="14.25" customHeight="1" s="28">
      <c r="A11" s="29" t="inlineStr">
        <is>
          <t>[MODEL A; CROSSINGS]</t>
        </is>
      </c>
    </row>
    <row r="12" ht="14.25" customHeight="1" s="28">
      <c r="A12" s="29" t="inlineStr">
        <is>
          <t>Sample (n): 65</t>
        </is>
      </c>
    </row>
    <row r="13" ht="14.25" customHeight="1" s="28">
      <c r="A13" s="29" t="inlineStr">
        <is>
          <t>R-Square: 0.4778</t>
        </is>
      </c>
    </row>
    <row r="14" ht="14.25" customHeight="1" s="28">
      <c r="A14" s="29" t="inlineStr">
        <is>
          <t>MSE: 2763.4983</t>
        </is>
      </c>
    </row>
    <row r="15" ht="14.25" customHeight="1" s="28">
      <c r="A15" s="29" t="inlineStr">
        <is>
          <t>Var Ratio: 1.05</t>
        </is>
      </c>
    </row>
    <row r="16" ht="14.25" customHeight="1" s="28">
      <c r="A16" s="29" t="inlineStr">
        <is>
          <t>Skewness: -0.87</t>
        </is>
      </c>
    </row>
    <row r="17" ht="14.25" customHeight="1" s="28">
      <c r="A17" s="29" t="inlineStr">
        <is>
          <t>Kurtosis: 2.39</t>
        </is>
      </c>
    </row>
    <row r="19" ht="14.25" customHeight="1" s="28">
      <c r="A19" s="29" t="inlineStr">
        <is>
          <t>[MODEL B; CLOSE PRICE]</t>
        </is>
      </c>
    </row>
    <row r="20" ht="14.25" customHeight="1" s="28">
      <c r="A20" s="29" t="inlineStr">
        <is>
          <t>Sample (n): 736</t>
        </is>
      </c>
    </row>
    <row r="21" ht="14.25" customHeight="1" s="28">
      <c r="A21" s="29" t="inlineStr">
        <is>
          <t>R-Square: 0.4943</t>
        </is>
      </c>
    </row>
    <row r="22" ht="14.25" customHeight="1" s="28">
      <c r="A22" s="29" t="inlineStr">
        <is>
          <t>MSE: 2318.7389</t>
        </is>
      </c>
    </row>
    <row r="23" ht="14.25" customHeight="1" s="28">
      <c r="A23" s="29" t="inlineStr">
        <is>
          <t>Var Ratio: 2.13</t>
        </is>
      </c>
    </row>
    <row r="24" ht="14.25" customHeight="1" s="28">
      <c r="A24" s="29" t="inlineStr">
        <is>
          <t>Skewness: -0.79</t>
        </is>
      </c>
    </row>
    <row r="25" ht="14.25" customHeight="1" s="28">
      <c r="A25" s="29" t="inlineStr">
        <is>
          <t>Kurtosis: 2.57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D742"/>
  <sheetViews>
    <sheetView showFormulas="0" showGridLines="1" showRowColHeaders="1" showZeros="1" rightToLeft="0" tabSelected="1" showOutlineSymbols="1" defaultGridColor="1" view="normal" topLeftCell="A708" colorId="64" zoomScale="60" zoomScaleNormal="60" zoomScalePageLayoutView="100" workbookViewId="0">
      <selection pane="topLeft" activeCell="P751" activeCellId="0" sqref="P751"/>
    </sheetView>
  </sheetViews>
  <sheetFormatPr baseColWidth="8" defaultColWidth="8.6796875" defaultRowHeight="14.25" customHeight="0" zeroHeight="0" outlineLevelRow="0"/>
  <cols>
    <col width="10.67" customWidth="1" style="29" min="1" max="1"/>
  </cols>
  <sheetData>
    <row r="1" ht="14.25" customHeight="1" s="28">
      <c r="A1" s="29" t="inlineStr">
        <is>
          <t>timestamp</t>
        </is>
      </c>
      <c r="B1" s="29" t="inlineStr">
        <is>
          <t>symbol</t>
        </is>
      </c>
      <c r="C1" s="29" t="inlineStr">
        <is>
          <t>timeframe</t>
        </is>
      </c>
      <c r="D1" s="29" t="inlineStr">
        <is>
          <t>close</t>
        </is>
      </c>
      <c r="E1" s="29" t="inlineStr">
        <is>
          <t>CEN_0</t>
        </is>
      </c>
      <c r="F1" s="29" t="inlineStr">
        <is>
          <t>CEN_1</t>
        </is>
      </c>
      <c r="G1" s="29" t="inlineStr">
        <is>
          <t>CEN_2</t>
        </is>
      </c>
      <c r="H1" s="29" t="inlineStr">
        <is>
          <t>CEN_3</t>
        </is>
      </c>
      <c r="I1" s="29" t="inlineStr">
        <is>
          <t>CEN_4</t>
        </is>
      </c>
      <c r="J1" s="29" t="inlineStr">
        <is>
          <t>CEN_5</t>
        </is>
      </c>
      <c r="K1" s="29" t="inlineStr">
        <is>
          <t>CEN_6</t>
        </is>
      </c>
      <c r="L1" s="29" t="inlineStr">
        <is>
          <t>CEN_7</t>
        </is>
      </c>
      <c r="M1" s="29" t="inlineStr">
        <is>
          <t>CEN_8</t>
        </is>
      </c>
      <c r="N1" s="29" t="inlineStr">
        <is>
          <t>CEN_9</t>
        </is>
      </c>
      <c r="O1" s="29" t="inlineStr">
        <is>
          <t>CEN_10</t>
        </is>
      </c>
      <c r="P1" s="29" t="inlineStr">
        <is>
          <t>CEN_11</t>
        </is>
      </c>
      <c r="Q1" s="29" t="inlineStr">
        <is>
          <t>Base_FL</t>
        </is>
      </c>
      <c r="R1" s="29" t="inlineStr">
        <is>
          <t>EDT_1</t>
        </is>
      </c>
      <c r="S1" s="29" t="inlineStr">
        <is>
          <t>EDT_2</t>
        </is>
      </c>
      <c r="T1" s="29" t="inlineStr">
        <is>
          <t>EDT_3</t>
        </is>
      </c>
      <c r="U1" s="29" t="inlineStr">
        <is>
          <t>EDT_4</t>
        </is>
      </c>
      <c r="V1" s="29" t="inlineStr">
        <is>
          <t>EDT_5</t>
        </is>
      </c>
      <c r="W1" s="29" t="inlineStr">
        <is>
          <t>EDT_6</t>
        </is>
      </c>
      <c r="X1" s="29" t="inlineStr">
        <is>
          <t>EDT_7</t>
        </is>
      </c>
      <c r="Y1" s="29" t="inlineStr">
        <is>
          <t>EDT_8</t>
        </is>
      </c>
      <c r="Z1" s="29" t="inlineStr">
        <is>
          <t>horiz_high_map</t>
        </is>
      </c>
      <c r="AA1" s="29" t="inlineStr">
        <is>
          <t>horiz_low_map</t>
        </is>
      </c>
      <c r="AB1" s="29" t="inlineStr">
        <is>
          <t>ssa</t>
        </is>
      </c>
      <c r="AC1" s="29" t="inlineStr">
        <is>
          <t>ema_ssa</t>
        </is>
      </c>
      <c r="AD1" s="29" t="inlineStr">
        <is>
          <t>crossing</t>
        </is>
      </c>
    </row>
    <row r="2" ht="14.25" customHeight="1" s="28">
      <c r="A2" s="29" t="n">
        <v>1777405501</v>
      </c>
      <c r="B2" s="29" t="inlineStr">
        <is>
          <t>XAUUSD</t>
        </is>
      </c>
      <c r="C2" s="29" t="inlineStr">
        <is>
          <t>M15</t>
        </is>
      </c>
      <c r="D2" s="29" t="n">
        <v>4595.7</v>
      </c>
      <c r="E2" s="29" t="n">
        <v>4717.79398</v>
      </c>
      <c r="F2" s="29" t="n">
        <v>4695.2428</v>
      </c>
      <c r="G2" s="29" t="n">
        <v>4518.59282</v>
      </c>
      <c r="H2" s="29" t="n">
        <v>4596.05595</v>
      </c>
      <c r="I2" s="29" t="n">
        <v>4755.40355</v>
      </c>
      <c r="J2" s="29" t="n">
        <v>4792.76972</v>
      </c>
      <c r="K2" s="29" t="n">
        <v>4769.97694</v>
      </c>
      <c r="L2" s="29" t="n">
        <v>4716.33597</v>
      </c>
      <c r="M2" s="29" t="n">
        <v>4718.85043</v>
      </c>
      <c r="N2" s="29" t="n">
        <v>4531.36057</v>
      </c>
      <c r="O2" s="29" t="n">
        <v>4556.93783</v>
      </c>
      <c r="Q2" s="29" t="n">
        <v>4548.56437</v>
      </c>
      <c r="R2" s="29" t="n">
        <v>4596.58204</v>
      </c>
      <c r="S2" s="29" t="n">
        <v>4572.39842</v>
      </c>
      <c r="V2" s="29" t="n">
        <v>4515.91918</v>
      </c>
      <c r="AB2" s="29" t="n">
        <v>4596.59339</v>
      </c>
      <c r="AC2" s="29" t="n">
        <v>4596.61881</v>
      </c>
      <c r="AD2" s="29" t="n">
        <v>1</v>
      </c>
    </row>
    <row r="3" ht="14.25" customHeight="1" s="28">
      <c r="A3" s="29" t="n">
        <v>1777406401</v>
      </c>
      <c r="B3" s="29" t="inlineStr">
        <is>
          <t>XAUUSD</t>
        </is>
      </c>
      <c r="C3" s="29" t="inlineStr">
        <is>
          <t>M15</t>
        </is>
      </c>
      <c r="D3" s="29" t="n">
        <v>4597.28</v>
      </c>
      <c r="E3" s="29" t="n">
        <v>4717.79398</v>
      </c>
      <c r="F3" s="29" t="n">
        <v>4695.2428</v>
      </c>
      <c r="G3" s="29" t="n">
        <v>4518.59282</v>
      </c>
      <c r="H3" s="29" t="n">
        <v>4596.05595</v>
      </c>
      <c r="I3" s="29" t="n">
        <v>4755.40355</v>
      </c>
      <c r="J3" s="29" t="n">
        <v>4792.76972</v>
      </c>
      <c r="K3" s="29" t="n">
        <v>4769.97694</v>
      </c>
      <c r="L3" s="29" t="n">
        <v>4716.33597</v>
      </c>
      <c r="M3" s="29" t="n">
        <v>4718.85043</v>
      </c>
      <c r="N3" s="29" t="n">
        <v>4531.36057</v>
      </c>
      <c r="O3" s="29" t="n">
        <v>4556.93783</v>
      </c>
      <c r="Q3" s="29" t="n">
        <v>4548.76682</v>
      </c>
      <c r="R3" s="29" t="n">
        <v>4596.78448</v>
      </c>
      <c r="S3" s="29" t="n">
        <v>4572.60087</v>
      </c>
      <c r="V3" s="29" t="n">
        <v>4516.12163</v>
      </c>
      <c r="AB3" s="29" t="n">
        <v>4596.33821</v>
      </c>
      <c r="AC3" s="29" t="n">
        <v>4596.47851</v>
      </c>
      <c r="AD3" s="29" t="n">
        <v>0</v>
      </c>
    </row>
    <row r="4" ht="14.25" customHeight="1" s="28">
      <c r="A4" s="29" t="n">
        <v>1777407301</v>
      </c>
      <c r="B4" s="29" t="inlineStr">
        <is>
          <t>XAUUSD</t>
        </is>
      </c>
      <c r="C4" s="29" t="inlineStr">
        <is>
          <t>M15</t>
        </is>
      </c>
      <c r="D4" s="29" t="n">
        <v>4592.85</v>
      </c>
      <c r="E4" s="29" t="n">
        <v>4717.79398</v>
      </c>
      <c r="F4" s="29" t="n">
        <v>4695.2428</v>
      </c>
      <c r="G4" s="29" t="n">
        <v>4518.59282</v>
      </c>
      <c r="H4" s="29" t="n">
        <v>4596.05595</v>
      </c>
      <c r="I4" s="29" t="n">
        <v>4755.40355</v>
      </c>
      <c r="J4" s="29" t="n">
        <v>4792.76972</v>
      </c>
      <c r="K4" s="29" t="n">
        <v>4769.97694</v>
      </c>
      <c r="L4" s="29" t="n">
        <v>4716.33597</v>
      </c>
      <c r="M4" s="29" t="n">
        <v>4718.85043</v>
      </c>
      <c r="N4" s="29" t="n">
        <v>4531.36057</v>
      </c>
      <c r="O4" s="29" t="n">
        <v>4556.93783</v>
      </c>
      <c r="Q4" s="29" t="n">
        <v>4548.96926</v>
      </c>
      <c r="R4" s="29" t="n">
        <v>4596.98693</v>
      </c>
      <c r="S4" s="29" t="n">
        <v>4572.80331</v>
      </c>
      <c r="V4" s="29" t="n">
        <v>4516.32407</v>
      </c>
      <c r="AB4" s="29" t="n">
        <v>4595.84616</v>
      </c>
      <c r="AC4" s="29" t="n">
        <v>4596.16233</v>
      </c>
      <c r="AD4" s="29" t="n">
        <v>0</v>
      </c>
    </row>
    <row r="5" ht="14.25" customHeight="1" s="28">
      <c r="A5" s="29" t="n">
        <v>1777408201</v>
      </c>
      <c r="B5" s="29" t="inlineStr">
        <is>
          <t>XAUUSD</t>
        </is>
      </c>
      <c r="C5" s="29" t="inlineStr">
        <is>
          <t>M15</t>
        </is>
      </c>
      <c r="D5" s="29" t="n">
        <v>4593.44</v>
      </c>
      <c r="E5" s="29" t="n">
        <v>4717.79398</v>
      </c>
      <c r="F5" s="29" t="n">
        <v>4695.2428</v>
      </c>
      <c r="G5" s="29" t="n">
        <v>4518.59282</v>
      </c>
      <c r="H5" s="29" t="n">
        <v>4596.05595</v>
      </c>
      <c r="I5" s="29" t="n">
        <v>4755.40355</v>
      </c>
      <c r="J5" s="29" t="n">
        <v>4792.76972</v>
      </c>
      <c r="K5" s="29" t="n">
        <v>4769.97694</v>
      </c>
      <c r="L5" s="29" t="n">
        <v>4716.33597</v>
      </c>
      <c r="M5" s="29" t="n">
        <v>4718.85043</v>
      </c>
      <c r="N5" s="29" t="n">
        <v>4531.36057</v>
      </c>
      <c r="O5" s="29" t="n">
        <v>4556.93783</v>
      </c>
      <c r="Q5" s="29" t="n">
        <v>4549.17171</v>
      </c>
      <c r="R5" s="29" t="n">
        <v>4597.18937</v>
      </c>
      <c r="S5" s="29" t="n">
        <v>4573.00576</v>
      </c>
      <c r="V5" s="29" t="n">
        <v>4516.52652</v>
      </c>
      <c r="AB5" s="29" t="n">
        <v>4595.24318</v>
      </c>
      <c r="AC5" s="29" t="n">
        <v>4595.70276</v>
      </c>
      <c r="AD5" s="29" t="n">
        <v>0</v>
      </c>
    </row>
    <row r="6" ht="14.25" customHeight="1" s="28">
      <c r="A6" s="29" t="n">
        <v>1777409101</v>
      </c>
      <c r="B6" s="29" t="inlineStr">
        <is>
          <t>XAUUSD</t>
        </is>
      </c>
      <c r="C6" s="29" t="inlineStr">
        <is>
          <t>M15</t>
        </is>
      </c>
      <c r="D6" s="29" t="n">
        <v>4597.18</v>
      </c>
      <c r="E6" s="29" t="n">
        <v>4717.79398</v>
      </c>
      <c r="F6" s="29" t="n">
        <v>4695.2428</v>
      </c>
      <c r="G6" s="29" t="n">
        <v>4518.59282</v>
      </c>
      <c r="H6" s="29" t="n">
        <v>4596.05595</v>
      </c>
      <c r="I6" s="29" t="n">
        <v>4755.40355</v>
      </c>
      <c r="J6" s="29" t="n">
        <v>4792.76972</v>
      </c>
      <c r="K6" s="29" t="n">
        <v>4769.97694</v>
      </c>
      <c r="L6" s="29" t="n">
        <v>4716.33597</v>
      </c>
      <c r="M6" s="29" t="n">
        <v>4718.85043</v>
      </c>
      <c r="N6" s="29" t="n">
        <v>4531.36057</v>
      </c>
      <c r="O6" s="29" t="n">
        <v>4556.93783</v>
      </c>
      <c r="Q6" s="29" t="n">
        <v>4549.37415</v>
      </c>
      <c r="R6" s="29" t="n">
        <v>4597.39182</v>
      </c>
      <c r="S6" s="29" t="n">
        <v>4573.20821</v>
      </c>
      <c r="V6" s="29" t="n">
        <v>4516.72896</v>
      </c>
      <c r="AB6" s="29" t="n">
        <v>4594.62132</v>
      </c>
      <c r="AC6" s="29" t="n">
        <v>4595.16204</v>
      </c>
      <c r="AD6" s="29" t="n">
        <v>0</v>
      </c>
    </row>
    <row r="7" ht="14.25" customHeight="1" s="28">
      <c r="A7" s="29" t="n">
        <v>1777413601</v>
      </c>
      <c r="B7" s="29" t="inlineStr">
        <is>
          <t>XAUUSD</t>
        </is>
      </c>
      <c r="C7" s="29" t="inlineStr">
        <is>
          <t>M15</t>
        </is>
      </c>
      <c r="D7" s="29" t="n">
        <v>4596.42</v>
      </c>
      <c r="E7" s="29" t="n">
        <v>4717.79398</v>
      </c>
      <c r="F7" s="29" t="n">
        <v>4695.2428</v>
      </c>
      <c r="G7" s="29" t="n">
        <v>4518.59282</v>
      </c>
      <c r="H7" s="29" t="n">
        <v>4596.05595</v>
      </c>
      <c r="I7" s="29" t="n">
        <v>4755.40355</v>
      </c>
      <c r="J7" s="29" t="n">
        <v>4792.76972</v>
      </c>
      <c r="K7" s="29" t="n">
        <v>4769.97694</v>
      </c>
      <c r="L7" s="29" t="n">
        <v>4716.33597</v>
      </c>
      <c r="M7" s="29" t="n">
        <v>4718.85043</v>
      </c>
      <c r="N7" s="29" t="n">
        <v>4531.36057</v>
      </c>
      <c r="O7" s="29" t="n">
        <v>4556.93783</v>
      </c>
      <c r="Q7" s="29" t="n">
        <v>4549.5766</v>
      </c>
      <c r="R7" s="29" t="n">
        <v>4597.59426</v>
      </c>
      <c r="S7" s="29" t="n">
        <v>4573.41065</v>
      </c>
      <c r="V7" s="29" t="n">
        <v>4516.93141</v>
      </c>
      <c r="AB7" s="29" t="n">
        <v>4593.97795</v>
      </c>
      <c r="AC7" s="29" t="n">
        <v>4594.57</v>
      </c>
      <c r="AD7" s="29" t="n">
        <v>0</v>
      </c>
    </row>
    <row r="8" ht="14.25" customHeight="1" s="28">
      <c r="A8" s="29" t="n">
        <v>1777414501</v>
      </c>
      <c r="B8" s="29" t="inlineStr">
        <is>
          <t>XAUUSD</t>
        </is>
      </c>
      <c r="C8" s="29" t="inlineStr">
        <is>
          <t>M15</t>
        </is>
      </c>
      <c r="D8" s="29" t="n">
        <v>4595.82</v>
      </c>
      <c r="E8" s="29" t="n">
        <v>4717.79398</v>
      </c>
      <c r="F8" s="29" t="n">
        <v>4695.2428</v>
      </c>
      <c r="G8" s="29" t="n">
        <v>4518.59282</v>
      </c>
      <c r="H8" s="29" t="n">
        <v>4596.05595</v>
      </c>
      <c r="I8" s="29" t="n">
        <v>4755.40355</v>
      </c>
      <c r="J8" s="29" t="n">
        <v>4792.76972</v>
      </c>
      <c r="K8" s="29" t="n">
        <v>4769.97694</v>
      </c>
      <c r="L8" s="29" t="n">
        <v>4716.33597</v>
      </c>
      <c r="M8" s="29" t="n">
        <v>4718.85043</v>
      </c>
      <c r="N8" s="29" t="n">
        <v>4531.36057</v>
      </c>
      <c r="O8" s="29" t="n">
        <v>4556.93783</v>
      </c>
      <c r="Q8" s="29" t="n">
        <v>4549.77905</v>
      </c>
      <c r="R8" s="29" t="n">
        <v>4597.79671</v>
      </c>
      <c r="S8" s="29" t="n">
        <v>4573.6131</v>
      </c>
      <c r="V8" s="29" t="n">
        <v>4517.13385</v>
      </c>
      <c r="AB8" s="29" t="n">
        <v>4593.46927</v>
      </c>
      <c r="AC8" s="29" t="n">
        <v>4594.01963</v>
      </c>
      <c r="AD8" s="29" t="n">
        <v>0</v>
      </c>
    </row>
    <row r="9" ht="14.25" customHeight="1" s="28">
      <c r="A9" s="29" t="n">
        <v>1777415401</v>
      </c>
      <c r="B9" s="29" t="inlineStr">
        <is>
          <t>XAUUSD</t>
        </is>
      </c>
      <c r="C9" s="29" t="inlineStr">
        <is>
          <t>M15</t>
        </is>
      </c>
      <c r="D9" s="29" t="n">
        <v>4593.71</v>
      </c>
      <c r="E9" s="29" t="n">
        <v>4717.79398</v>
      </c>
      <c r="F9" s="29" t="n">
        <v>4695.2428</v>
      </c>
      <c r="G9" s="29" t="n">
        <v>4518.59282</v>
      </c>
      <c r="H9" s="29" t="n">
        <v>4596.05595</v>
      </c>
      <c r="I9" s="29" t="n">
        <v>4755.40355</v>
      </c>
      <c r="J9" s="29" t="n">
        <v>4792.76972</v>
      </c>
      <c r="K9" s="29" t="n">
        <v>4769.97694</v>
      </c>
      <c r="L9" s="29" t="n">
        <v>4716.33597</v>
      </c>
      <c r="M9" s="29" t="n">
        <v>4718.85043</v>
      </c>
      <c r="N9" s="29" t="n">
        <v>4531.36057</v>
      </c>
      <c r="O9" s="29" t="n">
        <v>4556.93783</v>
      </c>
      <c r="Q9" s="29" t="n">
        <v>4549.98149</v>
      </c>
      <c r="R9" s="29" t="n">
        <v>4597.99916</v>
      </c>
      <c r="S9" s="29" t="n">
        <v>4573.81554</v>
      </c>
      <c r="V9" s="29" t="n">
        <v>4517.3363</v>
      </c>
      <c r="AB9" s="29" t="n">
        <v>4593.25757</v>
      </c>
      <c r="AC9" s="29" t="n">
        <v>4593.6386</v>
      </c>
      <c r="AD9" s="29" t="n">
        <v>0</v>
      </c>
    </row>
    <row r="10" ht="14.25" customHeight="1" s="28">
      <c r="A10" s="29" t="n">
        <v>1777416301</v>
      </c>
      <c r="B10" s="29" t="inlineStr">
        <is>
          <t>XAUUSD</t>
        </is>
      </c>
      <c r="C10" s="29" t="inlineStr">
        <is>
          <t>M15</t>
        </is>
      </c>
      <c r="D10" s="29" t="n">
        <v>4594.16</v>
      </c>
      <c r="E10" s="29" t="n">
        <v>4717.79398</v>
      </c>
      <c r="F10" s="29" t="n">
        <v>4695.2428</v>
      </c>
      <c r="G10" s="29" t="n">
        <v>4518.59282</v>
      </c>
      <c r="H10" s="29" t="n">
        <v>4596.05595</v>
      </c>
      <c r="I10" s="29" t="n">
        <v>4755.40355</v>
      </c>
      <c r="J10" s="29" t="n">
        <v>4792.76972</v>
      </c>
      <c r="K10" s="29" t="n">
        <v>4769.97694</v>
      </c>
      <c r="L10" s="29" t="n">
        <v>4716.33597</v>
      </c>
      <c r="M10" s="29" t="n">
        <v>4718.85043</v>
      </c>
      <c r="N10" s="29" t="n">
        <v>4531.36057</v>
      </c>
      <c r="O10" s="29" t="n">
        <v>4556.93783</v>
      </c>
      <c r="Q10" s="29" t="n">
        <v>4550.18394</v>
      </c>
      <c r="R10" s="29" t="n">
        <v>4598.2016</v>
      </c>
      <c r="S10" s="29" t="n">
        <v>4574.01799</v>
      </c>
      <c r="V10" s="29" t="n">
        <v>4517.53874</v>
      </c>
      <c r="AB10" s="29" t="n">
        <v>4593.50157</v>
      </c>
      <c r="AC10" s="29" t="n">
        <v>4593.57009</v>
      </c>
      <c r="AD10" s="29" t="n">
        <v>0</v>
      </c>
    </row>
    <row r="11" ht="14.25" customHeight="1" s="28">
      <c r="A11" s="29" t="n">
        <v>1777417201</v>
      </c>
      <c r="B11" s="29" t="inlineStr">
        <is>
          <t>XAUUSD</t>
        </is>
      </c>
      <c r="C11" s="29" t="inlineStr">
        <is>
          <t>M15</t>
        </is>
      </c>
      <c r="D11" s="29" t="n">
        <v>4590.84</v>
      </c>
      <c r="E11" s="29" t="n">
        <v>4717.79398</v>
      </c>
      <c r="F11" s="29" t="n">
        <v>4695.2428</v>
      </c>
      <c r="G11" s="29" t="n">
        <v>4518.59282</v>
      </c>
      <c r="H11" s="29" t="n">
        <v>4596.05595</v>
      </c>
      <c r="I11" s="29" t="n">
        <v>4755.40355</v>
      </c>
      <c r="J11" s="29" t="n">
        <v>4792.76972</v>
      </c>
      <c r="K11" s="29" t="n">
        <v>4769.97694</v>
      </c>
      <c r="L11" s="29" t="n">
        <v>4716.33597</v>
      </c>
      <c r="M11" s="29" t="n">
        <v>4718.85043</v>
      </c>
      <c r="N11" s="29" t="n">
        <v>4531.36057</v>
      </c>
      <c r="O11" s="29" t="n">
        <v>4556.93783</v>
      </c>
      <c r="Q11" s="29" t="n">
        <v>4550.38638</v>
      </c>
      <c r="R11" s="29" t="n">
        <v>4598.40405</v>
      </c>
      <c r="S11" s="29" t="n">
        <v>4574.22043</v>
      </c>
      <c r="V11" s="29" t="n">
        <v>4517.74119</v>
      </c>
      <c r="AB11" s="29" t="n">
        <v>4594.17653</v>
      </c>
      <c r="AC11" s="29" t="n">
        <v>4593.87331</v>
      </c>
      <c r="AD11" s="29" t="n">
        <v>1</v>
      </c>
    </row>
    <row r="12" ht="14.25" customHeight="1" s="28">
      <c r="A12" s="29" t="n">
        <v>1777418101</v>
      </c>
      <c r="B12" s="29" t="inlineStr">
        <is>
          <t>XAUUSD</t>
        </is>
      </c>
      <c r="C12" s="29" t="inlineStr">
        <is>
          <t>M15</t>
        </is>
      </c>
      <c r="D12" s="29" t="n">
        <v>4592.2</v>
      </c>
      <c r="E12" s="29" t="n">
        <v>4717.79398</v>
      </c>
      <c r="F12" s="29" t="n">
        <v>4695.2428</v>
      </c>
      <c r="G12" s="29" t="n">
        <v>4518.59282</v>
      </c>
      <c r="H12" s="29" t="n">
        <v>4596.05595</v>
      </c>
      <c r="I12" s="29" t="n">
        <v>4755.40355</v>
      </c>
      <c r="J12" s="29" t="n">
        <v>4792.76972</v>
      </c>
      <c r="K12" s="29" t="n">
        <v>4769.97694</v>
      </c>
      <c r="L12" s="29" t="n">
        <v>4716.33597</v>
      </c>
      <c r="M12" s="29" t="n">
        <v>4718.85043</v>
      </c>
      <c r="N12" s="29" t="n">
        <v>4531.36057</v>
      </c>
      <c r="O12" s="29" t="n">
        <v>4556.93783</v>
      </c>
      <c r="Q12" s="29" t="n">
        <v>4550.58883</v>
      </c>
      <c r="R12" s="29" t="n">
        <v>4598.60649</v>
      </c>
      <c r="S12" s="29" t="n">
        <v>4574.42288</v>
      </c>
      <c r="V12" s="29" t="n">
        <v>4517.94364</v>
      </c>
      <c r="AB12" s="29" t="n">
        <v>4595.25788</v>
      </c>
      <c r="AC12" s="29" t="n">
        <v>4594.56559</v>
      </c>
      <c r="AD12" s="29" t="n">
        <v>0</v>
      </c>
    </row>
    <row r="13" ht="14.25" customHeight="1" s="28">
      <c r="A13" s="29" t="n">
        <v>1777419001</v>
      </c>
      <c r="B13" s="29" t="inlineStr">
        <is>
          <t>XAUUSD</t>
        </is>
      </c>
      <c r="C13" s="29" t="inlineStr">
        <is>
          <t>M15</t>
        </is>
      </c>
      <c r="D13" s="29" t="n">
        <v>4589.91</v>
      </c>
      <c r="E13" s="29" t="n">
        <v>4717.79398</v>
      </c>
      <c r="F13" s="29" t="n">
        <v>4695.2428</v>
      </c>
      <c r="G13" s="29" t="n">
        <v>4518.59282</v>
      </c>
      <c r="H13" s="29" t="n">
        <v>4596.05595</v>
      </c>
      <c r="I13" s="29" t="n">
        <v>4755.40355</v>
      </c>
      <c r="J13" s="29" t="n">
        <v>4792.76972</v>
      </c>
      <c r="K13" s="29" t="n">
        <v>4769.97694</v>
      </c>
      <c r="L13" s="29" t="n">
        <v>4716.33597</v>
      </c>
      <c r="M13" s="29" t="n">
        <v>4718.85043</v>
      </c>
      <c r="N13" s="29" t="n">
        <v>4531.36057</v>
      </c>
      <c r="O13" s="29" t="n">
        <v>4556.93783</v>
      </c>
      <c r="Q13" s="29" t="n">
        <v>4550.79127</v>
      </c>
      <c r="R13" s="29" t="n">
        <v>4598.80894</v>
      </c>
      <c r="S13" s="29" t="n">
        <v>4574.62533</v>
      </c>
      <c r="V13" s="29" t="n">
        <v>4518.14608</v>
      </c>
      <c r="AB13" s="29" t="n">
        <v>4596.45968</v>
      </c>
      <c r="AC13" s="29" t="n">
        <v>4595.51264</v>
      </c>
      <c r="AD13" s="29" t="n">
        <v>0</v>
      </c>
    </row>
    <row r="14" ht="14.25" customHeight="1" s="28">
      <c r="A14" s="29" t="n">
        <v>1777419901</v>
      </c>
      <c r="B14" s="29" t="inlineStr">
        <is>
          <t>XAUUSD</t>
        </is>
      </c>
      <c r="C14" s="29" t="inlineStr">
        <is>
          <t>M15</t>
        </is>
      </c>
      <c r="D14" s="29" t="n">
        <v>4595.51</v>
      </c>
      <c r="E14" s="29" t="n">
        <v>4717.79398</v>
      </c>
      <c r="F14" s="29" t="n">
        <v>4695.2428</v>
      </c>
      <c r="G14" s="29" t="n">
        <v>4518.59282</v>
      </c>
      <c r="H14" s="29" t="n">
        <v>4596.05595</v>
      </c>
      <c r="I14" s="29" t="n">
        <v>4755.40355</v>
      </c>
      <c r="J14" s="29" t="n">
        <v>4792.76972</v>
      </c>
      <c r="K14" s="29" t="n">
        <v>4769.97694</v>
      </c>
      <c r="L14" s="29" t="n">
        <v>4716.33597</v>
      </c>
      <c r="M14" s="29" t="n">
        <v>4718.85043</v>
      </c>
      <c r="N14" s="29" t="n">
        <v>4531.36057</v>
      </c>
      <c r="O14" s="29" t="n">
        <v>4556.93783</v>
      </c>
      <c r="Q14" s="29" t="n">
        <v>4550.99372</v>
      </c>
      <c r="R14" s="29" t="n">
        <v>4599.01138</v>
      </c>
      <c r="S14" s="29" t="n">
        <v>4574.82777</v>
      </c>
      <c r="V14" s="29" t="n">
        <v>4518.34853</v>
      </c>
      <c r="AB14" s="29" t="n">
        <v>4597.5665</v>
      </c>
      <c r="AC14" s="29" t="n">
        <v>4596.53957</v>
      </c>
      <c r="AD14" s="29" t="n">
        <v>0</v>
      </c>
    </row>
    <row r="15" ht="14.25" customHeight="1" s="28">
      <c r="A15" s="29" t="n">
        <v>1777420801</v>
      </c>
      <c r="B15" s="29" t="inlineStr">
        <is>
          <t>XAUUSD</t>
        </is>
      </c>
      <c r="C15" s="29" t="inlineStr">
        <is>
          <t>M15</t>
        </is>
      </c>
      <c r="D15" s="29" t="n">
        <v>4607.37</v>
      </c>
      <c r="E15" s="29" t="n">
        <v>4717.79398</v>
      </c>
      <c r="F15" s="29" t="n">
        <v>4695.2428</v>
      </c>
      <c r="G15" s="29" t="n">
        <v>4518.59282</v>
      </c>
      <c r="H15" s="29" t="n">
        <v>4596.05595</v>
      </c>
      <c r="I15" s="29" t="n">
        <v>4755.40355</v>
      </c>
      <c r="J15" s="29" t="n">
        <v>4792.76972</v>
      </c>
      <c r="K15" s="29" t="n">
        <v>4769.97694</v>
      </c>
      <c r="L15" s="29" t="n">
        <v>4716.33597</v>
      </c>
      <c r="M15" s="29" t="n">
        <v>4718.85043</v>
      </c>
      <c r="N15" s="29" t="n">
        <v>4531.36057</v>
      </c>
      <c r="O15" s="29" t="n">
        <v>4556.93783</v>
      </c>
      <c r="Q15" s="29" t="n">
        <v>4551.19617</v>
      </c>
      <c r="R15" s="29" t="n">
        <v>4599.21383</v>
      </c>
      <c r="S15" s="29" t="n">
        <v>4575.03022</v>
      </c>
      <c r="V15" s="29" t="n">
        <v>4518.55097</v>
      </c>
      <c r="Z15" s="29" t="n">
        <v>4610.15</v>
      </c>
      <c r="AB15" s="29" t="n">
        <v>4598.14045</v>
      </c>
      <c r="AC15" s="29" t="n">
        <v>4597.34001</v>
      </c>
      <c r="AD15" s="29" t="n">
        <v>0</v>
      </c>
    </row>
    <row r="16" ht="14.25" customHeight="1" s="28">
      <c r="A16" s="29" t="n">
        <v>1777421701</v>
      </c>
      <c r="B16" s="29" t="inlineStr">
        <is>
          <t>XAUUSD</t>
        </is>
      </c>
      <c r="C16" s="29" t="inlineStr">
        <is>
          <t>M15</t>
        </is>
      </c>
      <c r="D16" s="29" t="n">
        <v>4600.13</v>
      </c>
      <c r="E16" s="29" t="n">
        <v>4717.79398</v>
      </c>
      <c r="F16" s="29" t="n">
        <v>4695.2428</v>
      </c>
      <c r="G16" s="29" t="n">
        <v>4518.59282</v>
      </c>
      <c r="H16" s="29" t="n">
        <v>4596.05595</v>
      </c>
      <c r="I16" s="29" t="n">
        <v>4755.40355</v>
      </c>
      <c r="J16" s="29" t="n">
        <v>4792.76972</v>
      </c>
      <c r="K16" s="29" t="n">
        <v>4769.97694</v>
      </c>
      <c r="L16" s="29" t="n">
        <v>4716.33597</v>
      </c>
      <c r="M16" s="29" t="n">
        <v>4718.85043</v>
      </c>
      <c r="N16" s="29" t="n">
        <v>4531.36057</v>
      </c>
      <c r="O16" s="29" t="n">
        <v>4556.93783</v>
      </c>
      <c r="Q16" s="29" t="n">
        <v>4551.39861</v>
      </c>
      <c r="R16" s="29" t="n">
        <v>4599.41628</v>
      </c>
      <c r="S16" s="29" t="n">
        <v>4575.23266</v>
      </c>
      <c r="V16" s="29" t="n">
        <v>4518.75342</v>
      </c>
      <c r="AB16" s="29" t="n">
        <v>4597.69103</v>
      </c>
      <c r="AC16" s="29" t="n">
        <v>4597.51552</v>
      </c>
      <c r="AD16" s="29" t="n">
        <v>0</v>
      </c>
    </row>
    <row r="17" ht="14.25" customHeight="1" s="28">
      <c r="A17" s="29" t="n">
        <v>1777422601</v>
      </c>
      <c r="B17" s="29" t="inlineStr">
        <is>
          <t>XAUUSD</t>
        </is>
      </c>
      <c r="C17" s="29" t="inlineStr">
        <is>
          <t>M15</t>
        </is>
      </c>
      <c r="D17" s="29" t="n">
        <v>4603.88</v>
      </c>
      <c r="E17" s="29" t="n">
        <v>4717.79398</v>
      </c>
      <c r="F17" s="29" t="n">
        <v>4695.2428</v>
      </c>
      <c r="G17" s="29" t="n">
        <v>4518.59282</v>
      </c>
      <c r="H17" s="29" t="n">
        <v>4596.05595</v>
      </c>
      <c r="I17" s="29" t="n">
        <v>4755.40355</v>
      </c>
      <c r="J17" s="29" t="n">
        <v>4792.76972</v>
      </c>
      <c r="K17" s="29" t="n">
        <v>4769.97694</v>
      </c>
      <c r="L17" s="29" t="n">
        <v>4716.33597</v>
      </c>
      <c r="M17" s="29" t="n">
        <v>4718.85043</v>
      </c>
      <c r="N17" s="29" t="n">
        <v>4531.36057</v>
      </c>
      <c r="O17" s="29" t="n">
        <v>4556.93783</v>
      </c>
      <c r="Q17" s="29" t="n">
        <v>4551.60106</v>
      </c>
      <c r="R17" s="29" t="n">
        <v>4599.61872</v>
      </c>
      <c r="S17" s="29" t="n">
        <v>4575.43511</v>
      </c>
      <c r="V17" s="29" t="n">
        <v>4518.95586</v>
      </c>
      <c r="AB17" s="29" t="n">
        <v>4596.43241</v>
      </c>
      <c r="AC17" s="29" t="n">
        <v>4596.97397</v>
      </c>
      <c r="AD17" s="29" t="n">
        <v>1</v>
      </c>
    </row>
    <row r="18" ht="14.25" customHeight="1" s="28">
      <c r="A18" s="29" t="n">
        <v>1777423501</v>
      </c>
      <c r="B18" s="29" t="inlineStr">
        <is>
          <t>XAUUSD</t>
        </is>
      </c>
      <c r="C18" s="29" t="inlineStr">
        <is>
          <t>M15</t>
        </is>
      </c>
      <c r="D18" s="29" t="n">
        <v>4600.27</v>
      </c>
      <c r="E18" s="29" t="n">
        <v>4717.79398</v>
      </c>
      <c r="F18" s="29" t="n">
        <v>4695.2428</v>
      </c>
      <c r="G18" s="29" t="n">
        <v>4518.59282</v>
      </c>
      <c r="H18" s="29" t="n">
        <v>4596.05595</v>
      </c>
      <c r="I18" s="29" t="n">
        <v>4755.40355</v>
      </c>
      <c r="J18" s="29" t="n">
        <v>4792.76972</v>
      </c>
      <c r="K18" s="29" t="n">
        <v>4769.97694</v>
      </c>
      <c r="L18" s="29" t="n">
        <v>4716.33597</v>
      </c>
      <c r="M18" s="29" t="n">
        <v>4718.85043</v>
      </c>
      <c r="N18" s="29" t="n">
        <v>4531.36057</v>
      </c>
      <c r="O18" s="29" t="n">
        <v>4556.93783</v>
      </c>
      <c r="Q18" s="29" t="n">
        <v>4551.8035</v>
      </c>
      <c r="R18" s="29" t="n">
        <v>4599.82117</v>
      </c>
      <c r="S18" s="29" t="n">
        <v>4575.63755</v>
      </c>
      <c r="V18" s="29" t="n">
        <v>4519.15831</v>
      </c>
      <c r="AB18" s="29" t="n">
        <v>4594.49663</v>
      </c>
      <c r="AC18" s="29" t="n">
        <v>4595.7353</v>
      </c>
      <c r="AD18" s="29" t="n">
        <v>0</v>
      </c>
    </row>
    <row r="19" ht="14.25" customHeight="1" s="28">
      <c r="A19" s="29" t="n">
        <v>1777424401</v>
      </c>
      <c r="B19" s="29" t="inlineStr">
        <is>
          <t>XAUUSD</t>
        </is>
      </c>
      <c r="C19" s="29" t="inlineStr">
        <is>
          <t>M15</t>
        </is>
      </c>
      <c r="D19" s="29" t="n">
        <v>4582.65</v>
      </c>
      <c r="E19" s="29" t="n">
        <v>4717.79398</v>
      </c>
      <c r="F19" s="29" t="n">
        <v>4695.2428</v>
      </c>
      <c r="G19" s="29" t="n">
        <v>4518.59282</v>
      </c>
      <c r="H19" s="29" t="n">
        <v>4596.05595</v>
      </c>
      <c r="I19" s="29" t="n">
        <v>4755.40355</v>
      </c>
      <c r="J19" s="29" t="n">
        <v>4792.76972</v>
      </c>
      <c r="K19" s="29" t="n">
        <v>4769.97694</v>
      </c>
      <c r="L19" s="29" t="n">
        <v>4716.33597</v>
      </c>
      <c r="M19" s="29" t="n">
        <v>4718.85043</v>
      </c>
      <c r="N19" s="29" t="n">
        <v>4531.36057</v>
      </c>
      <c r="O19" s="29" t="n">
        <v>4556.93783</v>
      </c>
      <c r="Q19" s="29" t="n">
        <v>4552.00595</v>
      </c>
      <c r="R19" s="29" t="n">
        <v>4600.02361</v>
      </c>
      <c r="S19" s="29" t="n">
        <v>4575.84</v>
      </c>
      <c r="V19" s="29" t="n">
        <v>4519.36076</v>
      </c>
      <c r="AA19" s="29" t="n">
        <v>4575.84</v>
      </c>
      <c r="AB19" s="29" t="n">
        <v>4592.36752</v>
      </c>
      <c r="AC19" s="29" t="n">
        <v>4594.05141</v>
      </c>
      <c r="AD19" s="29" t="n">
        <v>0</v>
      </c>
    </row>
    <row r="20" ht="14.25" customHeight="1" s="28">
      <c r="A20" s="29" t="n">
        <v>1777425301</v>
      </c>
      <c r="B20" s="29" t="inlineStr">
        <is>
          <t>XAUUSD</t>
        </is>
      </c>
      <c r="C20" s="29" t="inlineStr">
        <is>
          <t>M15</t>
        </is>
      </c>
      <c r="D20" s="29" t="n">
        <v>4580.48</v>
      </c>
      <c r="E20" s="29" t="n">
        <v>4717.79398</v>
      </c>
      <c r="F20" s="29" t="n">
        <v>4695.2428</v>
      </c>
      <c r="G20" s="29" t="n">
        <v>4518.59282</v>
      </c>
      <c r="H20" s="29" t="n">
        <v>4596.05595</v>
      </c>
      <c r="I20" s="29" t="n">
        <v>4755.40355</v>
      </c>
      <c r="J20" s="29" t="n">
        <v>4792.76972</v>
      </c>
      <c r="K20" s="29" t="n">
        <v>4769.97694</v>
      </c>
      <c r="L20" s="29" t="n">
        <v>4716.33597</v>
      </c>
      <c r="M20" s="29" t="n">
        <v>4718.85043</v>
      </c>
      <c r="N20" s="29" t="n">
        <v>4531.36057</v>
      </c>
      <c r="O20" s="29" t="n">
        <v>4556.93783</v>
      </c>
      <c r="Q20" s="29" t="n">
        <v>4552.20839</v>
      </c>
      <c r="R20" s="29" t="n">
        <v>4600.22606</v>
      </c>
      <c r="S20" s="29" t="n">
        <v>4576.04245</v>
      </c>
      <c r="V20" s="29" t="n">
        <v>4519.5632</v>
      </c>
      <c r="AB20" s="29" t="n">
        <v>4590.93542</v>
      </c>
      <c r="AC20" s="29" t="n">
        <v>4592.49341</v>
      </c>
      <c r="AD20" s="29" t="n">
        <v>0</v>
      </c>
    </row>
    <row r="21" ht="14.25" customHeight="1" s="28">
      <c r="A21" s="29" t="n">
        <v>1777426201</v>
      </c>
      <c r="B21" s="29" t="inlineStr">
        <is>
          <t>XAUUSD</t>
        </is>
      </c>
      <c r="C21" s="29" t="inlineStr">
        <is>
          <t>M15</t>
        </is>
      </c>
      <c r="D21" s="29" t="n">
        <v>4590.56</v>
      </c>
      <c r="E21" s="29" t="n">
        <v>4717.79398</v>
      </c>
      <c r="F21" s="29" t="n">
        <v>4695.2428</v>
      </c>
      <c r="G21" s="29" t="n">
        <v>4518.59282</v>
      </c>
      <c r="H21" s="29" t="n">
        <v>4596.05595</v>
      </c>
      <c r="I21" s="29" t="n">
        <v>4755.40355</v>
      </c>
      <c r="J21" s="29" t="n">
        <v>4792.76972</v>
      </c>
      <c r="K21" s="29" t="n">
        <v>4769.97694</v>
      </c>
      <c r="L21" s="29" t="n">
        <v>4716.33597</v>
      </c>
      <c r="M21" s="29" t="n">
        <v>4718.85043</v>
      </c>
      <c r="N21" s="29" t="n">
        <v>4531.36057</v>
      </c>
      <c r="O21" s="29" t="n">
        <v>4556.93783</v>
      </c>
      <c r="Q21" s="29" t="n">
        <v>4552.41084</v>
      </c>
      <c r="R21" s="29" t="n">
        <v>4600.4285</v>
      </c>
      <c r="S21" s="29" t="n">
        <v>4576.24489</v>
      </c>
      <c r="V21" s="29" t="n">
        <v>4519.76565</v>
      </c>
      <c r="AB21" s="29" t="n">
        <v>4590.52418</v>
      </c>
      <c r="AC21" s="29" t="n">
        <v>4591.5088</v>
      </c>
      <c r="AD21" s="29" t="n">
        <v>0</v>
      </c>
    </row>
    <row r="22" ht="14.25" customHeight="1" s="28">
      <c r="A22" s="29" t="n">
        <v>1777427101</v>
      </c>
      <c r="B22" s="29" t="inlineStr">
        <is>
          <t>XAUUSD</t>
        </is>
      </c>
      <c r="C22" s="29" t="inlineStr">
        <is>
          <t>M15</t>
        </is>
      </c>
      <c r="D22" s="29" t="n">
        <v>4584.98</v>
      </c>
      <c r="E22" s="29" t="n">
        <v>4717.79398</v>
      </c>
      <c r="F22" s="29" t="n">
        <v>4695.2428</v>
      </c>
      <c r="G22" s="29" t="n">
        <v>4518.59282</v>
      </c>
      <c r="H22" s="29" t="n">
        <v>4596.05595</v>
      </c>
      <c r="I22" s="29" t="n">
        <v>4755.40355</v>
      </c>
      <c r="J22" s="29" t="n">
        <v>4792.76972</v>
      </c>
      <c r="K22" s="29" t="n">
        <v>4769.97694</v>
      </c>
      <c r="L22" s="29" t="n">
        <v>4716.33597</v>
      </c>
      <c r="M22" s="29" t="n">
        <v>4718.85043</v>
      </c>
      <c r="N22" s="29" t="n">
        <v>4531.36057</v>
      </c>
      <c r="O22" s="29" t="n">
        <v>4556.93783</v>
      </c>
      <c r="Q22" s="29" t="n">
        <v>4552.61328</v>
      </c>
      <c r="R22" s="29" t="n">
        <v>4600.63095</v>
      </c>
      <c r="S22" s="29" t="n">
        <v>4576.44734</v>
      </c>
      <c r="V22" s="29" t="n">
        <v>4519.96809</v>
      </c>
      <c r="AB22" s="29" t="n">
        <v>4590.93588</v>
      </c>
      <c r="AC22" s="29" t="n">
        <v>4591.22234</v>
      </c>
      <c r="AD22" s="29" t="n">
        <v>0</v>
      </c>
    </row>
    <row r="23" ht="14.25" customHeight="1" s="28">
      <c r="A23" s="29" t="n">
        <v>1777428001</v>
      </c>
      <c r="B23" s="29" t="inlineStr">
        <is>
          <t>XAUUSD</t>
        </is>
      </c>
      <c r="C23" s="29" t="inlineStr">
        <is>
          <t>M15</t>
        </is>
      </c>
      <c r="D23" s="29" t="n">
        <v>4600.87</v>
      </c>
      <c r="E23" s="29" t="n">
        <v>4717.79398</v>
      </c>
      <c r="F23" s="29" t="n">
        <v>4695.2428</v>
      </c>
      <c r="G23" s="29" t="n">
        <v>4518.59282</v>
      </c>
      <c r="H23" s="29" t="n">
        <v>4596.05595</v>
      </c>
      <c r="I23" s="29" t="n">
        <v>4755.40355</v>
      </c>
      <c r="J23" s="29" t="n">
        <v>4792.76972</v>
      </c>
      <c r="K23" s="29" t="n">
        <v>4769.97694</v>
      </c>
      <c r="L23" s="29" t="n">
        <v>4716.33597</v>
      </c>
      <c r="M23" s="29" t="n">
        <v>4718.85043</v>
      </c>
      <c r="N23" s="29" t="n">
        <v>4531.36057</v>
      </c>
      <c r="O23" s="29" t="n">
        <v>4556.93783</v>
      </c>
      <c r="Q23" s="29" t="n">
        <v>4552.81573</v>
      </c>
      <c r="R23" s="29" t="n">
        <v>4600.83339</v>
      </c>
      <c r="S23" s="29" t="n">
        <v>4576.64978</v>
      </c>
      <c r="V23" s="29" t="n">
        <v>4520.17054</v>
      </c>
      <c r="AB23" s="29" t="n">
        <v>4592.23227</v>
      </c>
      <c r="AC23" s="29" t="n">
        <v>4591.7273</v>
      </c>
      <c r="AD23" s="29" t="n">
        <v>1</v>
      </c>
    </row>
    <row r="24" ht="14.25" customHeight="1" s="28">
      <c r="A24" s="29" t="n">
        <v>1777428901</v>
      </c>
      <c r="B24" s="29" t="inlineStr">
        <is>
          <t>XAUUSD</t>
        </is>
      </c>
      <c r="C24" s="29" t="inlineStr">
        <is>
          <t>M15</t>
        </is>
      </c>
      <c r="D24" s="29" t="n">
        <v>4598.93</v>
      </c>
      <c r="E24" s="29" t="n">
        <v>4717.79398</v>
      </c>
      <c r="F24" s="29" t="n">
        <v>4695.2428</v>
      </c>
      <c r="G24" s="29" t="n">
        <v>4518.59282</v>
      </c>
      <c r="H24" s="29" t="n">
        <v>4596.05595</v>
      </c>
      <c r="I24" s="29" t="n">
        <v>4755.40355</v>
      </c>
      <c r="J24" s="29" t="n">
        <v>4792.76972</v>
      </c>
      <c r="K24" s="29" t="n">
        <v>4769.97694</v>
      </c>
      <c r="L24" s="29" t="n">
        <v>4716.33597</v>
      </c>
      <c r="M24" s="29" t="n">
        <v>4718.85043</v>
      </c>
      <c r="N24" s="29" t="n">
        <v>4531.36057</v>
      </c>
      <c r="O24" s="29" t="n">
        <v>4556.93783</v>
      </c>
      <c r="Q24" s="29" t="n">
        <v>4553.01818</v>
      </c>
      <c r="R24" s="29" t="n">
        <v>4601.03584</v>
      </c>
      <c r="S24" s="29" t="n">
        <v>4576.85223</v>
      </c>
      <c r="V24" s="29" t="n">
        <v>4520.37298</v>
      </c>
      <c r="AB24" s="29" t="n">
        <v>4593.74089</v>
      </c>
      <c r="AC24" s="29" t="n">
        <v>4592.7341</v>
      </c>
      <c r="AD24" s="29" t="n">
        <v>0</v>
      </c>
    </row>
    <row r="25" ht="14.25" customHeight="1" s="28">
      <c r="A25" s="29" t="n">
        <v>1777429801</v>
      </c>
      <c r="B25" s="29" t="inlineStr">
        <is>
          <t>XAUUSD</t>
        </is>
      </c>
      <c r="C25" s="29" t="inlineStr">
        <is>
          <t>M15</t>
        </is>
      </c>
      <c r="D25" s="29" t="n">
        <v>4596.92</v>
      </c>
      <c r="E25" s="29" t="n">
        <v>4717.79398</v>
      </c>
      <c r="F25" s="29" t="n">
        <v>4695.2428</v>
      </c>
      <c r="G25" s="29" t="n">
        <v>4518.59282</v>
      </c>
      <c r="H25" s="29" t="n">
        <v>4596.05595</v>
      </c>
      <c r="I25" s="29" t="n">
        <v>4755.40355</v>
      </c>
      <c r="J25" s="29" t="n">
        <v>4792.76972</v>
      </c>
      <c r="K25" s="29" t="n">
        <v>4769.97694</v>
      </c>
      <c r="L25" s="29" t="n">
        <v>4716.33597</v>
      </c>
      <c r="M25" s="29" t="n">
        <v>4718.85043</v>
      </c>
      <c r="N25" s="29" t="n">
        <v>4531.36057</v>
      </c>
      <c r="O25" s="29" t="n">
        <v>4556.93783</v>
      </c>
      <c r="Q25" s="29" t="n">
        <v>4553.22062</v>
      </c>
      <c r="R25" s="29" t="n">
        <v>4601.23829</v>
      </c>
      <c r="S25" s="29" t="n">
        <v>4577.05467</v>
      </c>
      <c r="V25" s="29" t="n">
        <v>4520.57543</v>
      </c>
      <c r="AB25" s="29" t="n">
        <v>4595.26049</v>
      </c>
      <c r="AC25" s="29" t="n">
        <v>4593.99729</v>
      </c>
      <c r="AD25" s="29" t="n">
        <v>0</v>
      </c>
    </row>
    <row r="26" ht="14.25" customHeight="1" s="28">
      <c r="A26" s="29" t="n">
        <v>1777430701</v>
      </c>
      <c r="B26" s="29" t="inlineStr">
        <is>
          <t>XAUUSD</t>
        </is>
      </c>
      <c r="C26" s="29" t="inlineStr">
        <is>
          <t>M15</t>
        </is>
      </c>
      <c r="D26" s="29" t="n">
        <v>4593.75</v>
      </c>
      <c r="E26" s="29" t="n">
        <v>4717.79398</v>
      </c>
      <c r="F26" s="29" t="n">
        <v>4695.2428</v>
      </c>
      <c r="G26" s="29" t="n">
        <v>4518.59282</v>
      </c>
      <c r="H26" s="29" t="n">
        <v>4596.05595</v>
      </c>
      <c r="I26" s="29" t="n">
        <v>4755.40355</v>
      </c>
      <c r="J26" s="29" t="n">
        <v>4792.76972</v>
      </c>
      <c r="K26" s="29" t="n">
        <v>4769.97694</v>
      </c>
      <c r="L26" s="29" t="n">
        <v>4716.33597</v>
      </c>
      <c r="M26" s="29" t="n">
        <v>4718.85043</v>
      </c>
      <c r="N26" s="29" t="n">
        <v>4531.36057</v>
      </c>
      <c r="O26" s="29" t="n">
        <v>4556.93783</v>
      </c>
      <c r="Q26" s="29" t="n">
        <v>4553.42307</v>
      </c>
      <c r="R26" s="29" t="n">
        <v>4601.44073</v>
      </c>
      <c r="S26" s="29" t="n">
        <v>4577.25712</v>
      </c>
      <c r="V26" s="29" t="n">
        <v>4520.77788</v>
      </c>
      <c r="AB26" s="29" t="n">
        <v>4596.61909</v>
      </c>
      <c r="AC26" s="29" t="n">
        <v>4595.30819</v>
      </c>
      <c r="AD26" s="29" t="n">
        <v>0</v>
      </c>
    </row>
    <row r="27" ht="14.25" customHeight="1" s="28">
      <c r="A27" s="29" t="n">
        <v>1777431601</v>
      </c>
      <c r="B27" s="29" t="inlineStr">
        <is>
          <t>XAUUSD</t>
        </is>
      </c>
      <c r="C27" s="29" t="inlineStr">
        <is>
          <t>M15</t>
        </is>
      </c>
      <c r="D27" s="29" t="n">
        <v>4601.89</v>
      </c>
      <c r="E27" s="29" t="n">
        <v>4717.79398</v>
      </c>
      <c r="F27" s="29" t="n">
        <v>4695.2428</v>
      </c>
      <c r="G27" s="29" t="n">
        <v>4518.59282</v>
      </c>
      <c r="H27" s="29" t="n">
        <v>4596.05595</v>
      </c>
      <c r="I27" s="29" t="n">
        <v>4755.40355</v>
      </c>
      <c r="J27" s="29" t="n">
        <v>4792.76972</v>
      </c>
      <c r="K27" s="29" t="n">
        <v>4769.97694</v>
      </c>
      <c r="L27" s="29" t="n">
        <v>4716.33597</v>
      </c>
      <c r="M27" s="29" t="n">
        <v>4718.85043</v>
      </c>
      <c r="N27" s="29" t="n">
        <v>4531.36057</v>
      </c>
      <c r="O27" s="29" t="n">
        <v>4556.93783</v>
      </c>
      <c r="Q27" s="29" t="n">
        <v>4553.62551</v>
      </c>
      <c r="R27" s="29" t="n">
        <v>4601.64318</v>
      </c>
      <c r="S27" s="29" t="n">
        <v>4577.45957</v>
      </c>
      <c r="V27" s="29" t="n">
        <v>4520.98032</v>
      </c>
      <c r="AB27" s="29" t="n">
        <v>4597.78291</v>
      </c>
      <c r="AC27" s="29" t="n">
        <v>4596.54555</v>
      </c>
      <c r="AD27" s="29" t="n">
        <v>0</v>
      </c>
    </row>
    <row r="28" ht="14.25" customHeight="1" s="28">
      <c r="A28" s="29" t="n">
        <v>1777432501</v>
      </c>
      <c r="B28" s="29" t="inlineStr">
        <is>
          <t>XAUUSD</t>
        </is>
      </c>
      <c r="C28" s="29" t="inlineStr">
        <is>
          <t>M15</t>
        </is>
      </c>
      <c r="D28" s="29" t="n">
        <v>4598.67</v>
      </c>
      <c r="E28" s="29" t="n">
        <v>4717.79398</v>
      </c>
      <c r="F28" s="29" t="n">
        <v>4695.2428</v>
      </c>
      <c r="G28" s="29" t="n">
        <v>4518.59282</v>
      </c>
      <c r="H28" s="29" t="n">
        <v>4596.05595</v>
      </c>
      <c r="I28" s="29" t="n">
        <v>4755.40355</v>
      </c>
      <c r="J28" s="29" t="n">
        <v>4792.76972</v>
      </c>
      <c r="K28" s="29" t="n">
        <v>4769.97694</v>
      </c>
      <c r="L28" s="29" t="n">
        <v>4716.33597</v>
      </c>
      <c r="M28" s="29" t="n">
        <v>4718.85043</v>
      </c>
      <c r="N28" s="29" t="n">
        <v>4531.36057</v>
      </c>
      <c r="O28" s="29" t="n">
        <v>4556.93783</v>
      </c>
      <c r="Q28" s="29" t="n">
        <v>4553.82796</v>
      </c>
      <c r="R28" s="29" t="n">
        <v>4601.84562</v>
      </c>
      <c r="S28" s="29" t="n">
        <v>4577.66201</v>
      </c>
      <c r="V28" s="29" t="n">
        <v>4521.18277</v>
      </c>
      <c r="AB28" s="29" t="n">
        <v>4598.54124</v>
      </c>
      <c r="AC28" s="29" t="n">
        <v>4597.5434</v>
      </c>
      <c r="AD28" s="29" t="n">
        <v>0</v>
      </c>
    </row>
    <row r="29" ht="14.25" customHeight="1" s="28">
      <c r="A29" s="29" t="n">
        <v>1777433401</v>
      </c>
      <c r="B29" s="29" t="inlineStr">
        <is>
          <t>XAUUSD</t>
        </is>
      </c>
      <c r="C29" s="29" t="inlineStr">
        <is>
          <t>M15</t>
        </is>
      </c>
      <c r="D29" s="29" t="n">
        <v>4593.91</v>
      </c>
      <c r="E29" s="29" t="n">
        <v>4717.79398</v>
      </c>
      <c r="F29" s="29" t="n">
        <v>4695.2428</v>
      </c>
      <c r="G29" s="29" t="n">
        <v>4518.59282</v>
      </c>
      <c r="H29" s="29" t="n">
        <v>4596.05595</v>
      </c>
      <c r="I29" s="29" t="n">
        <v>4755.40355</v>
      </c>
      <c r="J29" s="29" t="n">
        <v>4792.76972</v>
      </c>
      <c r="K29" s="29" t="n">
        <v>4769.97694</v>
      </c>
      <c r="L29" s="29" t="n">
        <v>4716.33597</v>
      </c>
      <c r="M29" s="29" t="n">
        <v>4718.85043</v>
      </c>
      <c r="N29" s="29" t="n">
        <v>4531.36057</v>
      </c>
      <c r="O29" s="29" t="n">
        <v>4556.93783</v>
      </c>
      <c r="Q29" s="29" t="n">
        <v>4554.0304</v>
      </c>
      <c r="R29" s="29" t="n">
        <v>4602.04807</v>
      </c>
      <c r="S29" s="29" t="n">
        <v>4577.86446</v>
      </c>
      <c r="V29" s="29" t="n">
        <v>4521.38521</v>
      </c>
      <c r="AB29" s="29" t="n">
        <v>4599.08196</v>
      </c>
      <c r="AC29" s="29" t="n">
        <v>4598.31268</v>
      </c>
      <c r="AD29" s="29" t="n">
        <v>0</v>
      </c>
    </row>
    <row r="30" ht="14.25" customHeight="1" s="28">
      <c r="A30" s="29" t="n">
        <v>1777434301</v>
      </c>
      <c r="B30" s="29" t="inlineStr">
        <is>
          <t>XAUUSD</t>
        </is>
      </c>
      <c r="C30" s="29" t="inlineStr">
        <is>
          <t>M15</t>
        </is>
      </c>
      <c r="D30" s="29" t="n">
        <v>4595.48</v>
      </c>
      <c r="E30" s="29" t="n">
        <v>4717.79398</v>
      </c>
      <c r="F30" s="29" t="n">
        <v>4695.2428</v>
      </c>
      <c r="G30" s="29" t="n">
        <v>4518.59282</v>
      </c>
      <c r="H30" s="29" t="n">
        <v>4596.05595</v>
      </c>
      <c r="I30" s="29" t="n">
        <v>4755.40355</v>
      </c>
      <c r="J30" s="29" t="n">
        <v>4792.76972</v>
      </c>
      <c r="K30" s="29" t="n">
        <v>4769.97694</v>
      </c>
      <c r="L30" s="29" t="n">
        <v>4716.33597</v>
      </c>
      <c r="M30" s="29" t="n">
        <v>4718.85043</v>
      </c>
      <c r="N30" s="29" t="n">
        <v>4531.36057</v>
      </c>
      <c r="O30" s="29" t="n">
        <v>4556.93783</v>
      </c>
      <c r="Q30" s="29" t="n">
        <v>4554.23285</v>
      </c>
      <c r="R30" s="29" t="n">
        <v>4602.25051</v>
      </c>
      <c r="S30" s="29" t="n">
        <v>4578.0669</v>
      </c>
      <c r="V30" s="29" t="n">
        <v>4521.58766</v>
      </c>
      <c r="AB30" s="29" t="n">
        <v>4599.67116</v>
      </c>
      <c r="AC30" s="29" t="n">
        <v>4598.99192</v>
      </c>
      <c r="AD30" s="29" t="n">
        <v>0</v>
      </c>
    </row>
    <row r="31" ht="14.25" customHeight="1" s="28">
      <c r="A31" s="29" t="n">
        <v>1777435201</v>
      </c>
      <c r="B31" s="29" t="inlineStr">
        <is>
          <t>XAUUSD</t>
        </is>
      </c>
      <c r="C31" s="29" t="inlineStr">
        <is>
          <t>M15</t>
        </is>
      </c>
      <c r="D31" s="29" t="n">
        <v>4600.68</v>
      </c>
      <c r="E31" s="29" t="n">
        <v>4717.79398</v>
      </c>
      <c r="F31" s="29" t="n">
        <v>4695.2428</v>
      </c>
      <c r="G31" s="29" t="n">
        <v>4518.59282</v>
      </c>
      <c r="H31" s="29" t="n">
        <v>4596.05595</v>
      </c>
      <c r="I31" s="29" t="n">
        <v>4755.40355</v>
      </c>
      <c r="J31" s="29" t="n">
        <v>4792.76972</v>
      </c>
      <c r="K31" s="29" t="n">
        <v>4769.97694</v>
      </c>
      <c r="L31" s="29" t="n">
        <v>4716.33597</v>
      </c>
      <c r="M31" s="29" t="n">
        <v>4718.85043</v>
      </c>
      <c r="N31" s="29" t="n">
        <v>4531.36057</v>
      </c>
      <c r="O31" s="29" t="n">
        <v>4556.93783</v>
      </c>
      <c r="Q31" s="29" t="n">
        <v>4554.4353</v>
      </c>
      <c r="R31" s="29" t="n">
        <v>4602.45296</v>
      </c>
      <c r="S31" s="29" t="n">
        <v>4578.26935</v>
      </c>
      <c r="V31" s="29" t="n">
        <v>4521.7901</v>
      </c>
      <c r="AB31" s="29" t="n">
        <v>4600.35332</v>
      </c>
      <c r="AC31" s="29" t="n">
        <v>4599.67262</v>
      </c>
      <c r="AD31" s="29" t="n">
        <v>0</v>
      </c>
    </row>
    <row r="32" ht="14.25" customHeight="1" s="28">
      <c r="A32" s="29" t="n">
        <v>1777436101</v>
      </c>
      <c r="B32" s="29" t="inlineStr">
        <is>
          <t>XAUUSD</t>
        </is>
      </c>
      <c r="C32" s="29" t="inlineStr">
        <is>
          <t>M15</t>
        </is>
      </c>
      <c r="D32" s="29" t="n">
        <v>4601.86</v>
      </c>
      <c r="E32" s="29" t="n">
        <v>4717.79398</v>
      </c>
      <c r="F32" s="29" t="n">
        <v>4695.2428</v>
      </c>
      <c r="G32" s="29" t="n">
        <v>4518.59282</v>
      </c>
      <c r="H32" s="29" t="n">
        <v>4596.05595</v>
      </c>
      <c r="I32" s="29" t="n">
        <v>4755.40355</v>
      </c>
      <c r="J32" s="29" t="n">
        <v>4792.76972</v>
      </c>
      <c r="K32" s="29" t="n">
        <v>4769.97694</v>
      </c>
      <c r="L32" s="29" t="n">
        <v>4716.33597</v>
      </c>
      <c r="M32" s="29" t="n">
        <v>4718.85043</v>
      </c>
      <c r="N32" s="29" t="n">
        <v>4531.36057</v>
      </c>
      <c r="O32" s="29" t="n">
        <v>4556.93783</v>
      </c>
      <c r="Q32" s="29" t="n">
        <v>4554.63774</v>
      </c>
      <c r="R32" s="29" t="n">
        <v>4602.65541</v>
      </c>
      <c r="S32" s="29" t="n">
        <v>4578.47179</v>
      </c>
      <c r="V32" s="29" t="n">
        <v>4521.99255</v>
      </c>
      <c r="AB32" s="29" t="n">
        <v>4600.96576</v>
      </c>
      <c r="AC32" s="29" t="n">
        <v>4600.31919</v>
      </c>
      <c r="AD32" s="29" t="n">
        <v>0</v>
      </c>
    </row>
    <row r="33" ht="14.25" customHeight="1" s="28">
      <c r="A33" s="29" t="n">
        <v>1777437001</v>
      </c>
      <c r="B33" s="29" t="inlineStr">
        <is>
          <t>XAUUSD</t>
        </is>
      </c>
      <c r="C33" s="29" t="inlineStr">
        <is>
          <t>M15</t>
        </is>
      </c>
      <c r="D33" s="29" t="n">
        <v>4602.15</v>
      </c>
      <c r="E33" s="29" t="n">
        <v>4717.79398</v>
      </c>
      <c r="F33" s="29" t="n">
        <v>4695.2428</v>
      </c>
      <c r="G33" s="29" t="n">
        <v>4518.59282</v>
      </c>
      <c r="H33" s="29" t="n">
        <v>4596.05595</v>
      </c>
      <c r="I33" s="29" t="n">
        <v>4755.40355</v>
      </c>
      <c r="J33" s="29" t="n">
        <v>4792.76972</v>
      </c>
      <c r="K33" s="29" t="n">
        <v>4769.97694</v>
      </c>
      <c r="L33" s="29" t="n">
        <v>4716.33597</v>
      </c>
      <c r="M33" s="29" t="n">
        <v>4718.85043</v>
      </c>
      <c r="N33" s="29" t="n">
        <v>4531.36057</v>
      </c>
      <c r="O33" s="29" t="n">
        <v>4556.93783</v>
      </c>
      <c r="Q33" s="29" t="n">
        <v>4554.84019</v>
      </c>
      <c r="R33" s="29" t="n">
        <v>4602.85785</v>
      </c>
      <c r="S33" s="29" t="n">
        <v>4578.67424</v>
      </c>
      <c r="V33" s="29" t="n">
        <v>4522.195</v>
      </c>
      <c r="AB33" s="29" t="n">
        <v>4601.38659</v>
      </c>
      <c r="AC33" s="29" t="n">
        <v>4600.85289</v>
      </c>
      <c r="AD33" s="29" t="n">
        <v>0</v>
      </c>
    </row>
    <row r="34" ht="14.25" customHeight="1" s="28">
      <c r="A34" s="29" t="n">
        <v>1777437901</v>
      </c>
      <c r="B34" s="29" t="inlineStr">
        <is>
          <t>XAUUSD</t>
        </is>
      </c>
      <c r="C34" s="29" t="inlineStr">
        <is>
          <t>M15</t>
        </is>
      </c>
      <c r="D34" s="29" t="n">
        <v>4604.85</v>
      </c>
      <c r="E34" s="29" t="n">
        <v>4717.79398</v>
      </c>
      <c r="F34" s="29" t="n">
        <v>4695.2428</v>
      </c>
      <c r="G34" s="29" t="n">
        <v>4518.59282</v>
      </c>
      <c r="H34" s="29" t="n">
        <v>4596.05595</v>
      </c>
      <c r="I34" s="29" t="n">
        <v>4755.40355</v>
      </c>
      <c r="J34" s="29" t="n">
        <v>4792.76972</v>
      </c>
      <c r="K34" s="29" t="n">
        <v>4769.97694</v>
      </c>
      <c r="L34" s="29" t="n">
        <v>4716.33597</v>
      </c>
      <c r="M34" s="29" t="n">
        <v>4718.85043</v>
      </c>
      <c r="N34" s="29" t="n">
        <v>4531.36057</v>
      </c>
      <c r="O34" s="29" t="n">
        <v>4556.93783</v>
      </c>
      <c r="Q34" s="29" t="n">
        <v>4555.04263</v>
      </c>
      <c r="R34" s="29" t="n">
        <v>4603.0603</v>
      </c>
      <c r="S34" s="29" t="n">
        <v>4578.87669</v>
      </c>
      <c r="V34" s="29" t="n">
        <v>4522.39744</v>
      </c>
      <c r="AB34" s="29" t="n">
        <v>4601.43118</v>
      </c>
      <c r="AC34" s="29" t="n">
        <v>4601.14204</v>
      </c>
      <c r="AD34" s="29" t="n">
        <v>0</v>
      </c>
    </row>
    <row r="35" ht="14.25" customHeight="1" s="28">
      <c r="A35" s="29" t="n">
        <v>1777438801</v>
      </c>
      <c r="B35" s="29" t="inlineStr">
        <is>
          <t>XAUUSD</t>
        </is>
      </c>
      <c r="C35" s="29" t="inlineStr">
        <is>
          <t>M15</t>
        </is>
      </c>
      <c r="D35" s="29" t="n">
        <v>4601.15</v>
      </c>
      <c r="E35" s="29" t="n">
        <v>4717.79398</v>
      </c>
      <c r="F35" s="29" t="n">
        <v>4695.2428</v>
      </c>
      <c r="G35" s="29" t="n">
        <v>4518.59282</v>
      </c>
      <c r="H35" s="29" t="n">
        <v>4596.05595</v>
      </c>
      <c r="I35" s="29" t="n">
        <v>4755.40355</v>
      </c>
      <c r="J35" s="29" t="n">
        <v>4792.76972</v>
      </c>
      <c r="K35" s="29" t="n">
        <v>4769.97694</v>
      </c>
      <c r="L35" s="29" t="n">
        <v>4716.33597</v>
      </c>
      <c r="M35" s="29" t="n">
        <v>4718.85043</v>
      </c>
      <c r="N35" s="29" t="n">
        <v>4531.36057</v>
      </c>
      <c r="O35" s="29" t="n">
        <v>4556.93783</v>
      </c>
      <c r="Q35" s="29" t="n">
        <v>4555.24508</v>
      </c>
      <c r="R35" s="29" t="n">
        <v>4603.26274</v>
      </c>
      <c r="S35" s="29" t="n">
        <v>4579.07913</v>
      </c>
      <c r="V35" s="29" t="n">
        <v>4522.59989</v>
      </c>
      <c r="Z35" s="29" t="n">
        <v>4607.77</v>
      </c>
      <c r="AB35" s="29" t="n">
        <v>4600.84516</v>
      </c>
      <c r="AC35" s="29" t="n">
        <v>4600.9936</v>
      </c>
      <c r="AD35" s="29" t="n">
        <v>1</v>
      </c>
    </row>
    <row r="36" ht="14.25" customHeight="1" s="28">
      <c r="A36" s="29" t="n">
        <v>1777439701</v>
      </c>
      <c r="B36" s="29" t="inlineStr">
        <is>
          <t>XAUUSD</t>
        </is>
      </c>
      <c r="C36" s="29" t="inlineStr">
        <is>
          <t>M15</t>
        </is>
      </c>
      <c r="D36" s="29" t="n">
        <v>4600.72</v>
      </c>
      <c r="E36" s="29" t="n">
        <v>4717.79398</v>
      </c>
      <c r="F36" s="29" t="n">
        <v>4695.2428</v>
      </c>
      <c r="G36" s="29" t="n">
        <v>4518.59282</v>
      </c>
      <c r="H36" s="29" t="n">
        <v>4596.05595</v>
      </c>
      <c r="I36" s="29" t="n">
        <v>4755.40355</v>
      </c>
      <c r="J36" s="29" t="n">
        <v>4792.76972</v>
      </c>
      <c r="K36" s="29" t="n">
        <v>4769.97694</v>
      </c>
      <c r="L36" s="29" t="n">
        <v>4716.33597</v>
      </c>
      <c r="M36" s="29" t="n">
        <v>4718.85043</v>
      </c>
      <c r="N36" s="29" t="n">
        <v>4531.36057</v>
      </c>
      <c r="O36" s="29" t="n">
        <v>4556.93783</v>
      </c>
      <c r="Q36" s="29" t="n">
        <v>4555.44752</v>
      </c>
      <c r="R36" s="29" t="n">
        <v>4603.46519</v>
      </c>
      <c r="S36" s="29" t="n">
        <v>4579.28158</v>
      </c>
      <c r="V36" s="29" t="n">
        <v>4522.80233</v>
      </c>
      <c r="AB36" s="29" t="n">
        <v>4599.55498</v>
      </c>
      <c r="AC36" s="29" t="n">
        <v>4600.27429</v>
      </c>
      <c r="AD36" s="29" t="n">
        <v>0</v>
      </c>
    </row>
    <row r="37" ht="14.25" customHeight="1" s="28">
      <c r="A37" s="29" t="n">
        <v>1777440601</v>
      </c>
      <c r="B37" s="29" t="inlineStr">
        <is>
          <t>XAUUSD</t>
        </is>
      </c>
      <c r="C37" s="29" t="inlineStr">
        <is>
          <t>M15</t>
        </is>
      </c>
      <c r="D37" s="29" t="n">
        <v>4599.05</v>
      </c>
      <c r="E37" s="29" t="n">
        <v>4717.79398</v>
      </c>
      <c r="F37" s="29" t="n">
        <v>4695.2428</v>
      </c>
      <c r="G37" s="29" t="n">
        <v>4518.59282</v>
      </c>
      <c r="H37" s="29" t="n">
        <v>4596.05595</v>
      </c>
      <c r="I37" s="29" t="n">
        <v>4755.40355</v>
      </c>
      <c r="J37" s="29" t="n">
        <v>4792.76972</v>
      </c>
      <c r="K37" s="29" t="n">
        <v>4769.97694</v>
      </c>
      <c r="L37" s="29" t="n">
        <v>4716.33597</v>
      </c>
      <c r="M37" s="29" t="n">
        <v>4718.85043</v>
      </c>
      <c r="N37" s="29" t="n">
        <v>4531.36057</v>
      </c>
      <c r="O37" s="29" t="n">
        <v>4556.93783</v>
      </c>
      <c r="Q37" s="29" t="n">
        <v>4555.64997</v>
      </c>
      <c r="R37" s="29" t="n">
        <v>4603.66763</v>
      </c>
      <c r="S37" s="29" t="n">
        <v>4579.48402</v>
      </c>
      <c r="V37" s="29" t="n">
        <v>4523.00478</v>
      </c>
      <c r="AB37" s="29" t="n">
        <v>4597.46432</v>
      </c>
      <c r="AC37" s="29" t="n">
        <v>4598.86931</v>
      </c>
      <c r="AD37" s="29" t="n">
        <v>0</v>
      </c>
    </row>
    <row r="38" ht="14.25" customHeight="1" s="28">
      <c r="A38" s="29" t="n">
        <v>1777441501</v>
      </c>
      <c r="B38" s="29" t="inlineStr">
        <is>
          <t>XAUUSD</t>
        </is>
      </c>
      <c r="C38" s="29" t="inlineStr">
        <is>
          <t>M15</t>
        </is>
      </c>
      <c r="D38" s="29" t="n">
        <v>4590.9</v>
      </c>
      <c r="E38" s="29" t="n">
        <v>4717.79398</v>
      </c>
      <c r="F38" s="29" t="n">
        <v>4695.2428</v>
      </c>
      <c r="G38" s="29" t="n">
        <v>4518.59282</v>
      </c>
      <c r="H38" s="29" t="n">
        <v>4596.05595</v>
      </c>
      <c r="I38" s="29" t="n">
        <v>4755.40355</v>
      </c>
      <c r="J38" s="29" t="n">
        <v>4792.76972</v>
      </c>
      <c r="K38" s="29" t="n">
        <v>4769.97694</v>
      </c>
      <c r="L38" s="29" t="n">
        <v>4716.33597</v>
      </c>
      <c r="M38" s="29" t="n">
        <v>4718.85043</v>
      </c>
      <c r="N38" s="29" t="n">
        <v>4531.36057</v>
      </c>
      <c r="O38" s="29" t="n">
        <v>4556.93783</v>
      </c>
      <c r="Q38" s="29" t="n">
        <v>4555.85242</v>
      </c>
      <c r="R38" s="29" t="n">
        <v>4603.87008</v>
      </c>
      <c r="S38" s="29" t="n">
        <v>4579.68647</v>
      </c>
      <c r="V38" s="29" t="n">
        <v>4523.20722</v>
      </c>
      <c r="AB38" s="29" t="n">
        <v>4594.57734</v>
      </c>
      <c r="AC38" s="29" t="n">
        <v>4596.72332</v>
      </c>
      <c r="AD38" s="29" t="n">
        <v>0</v>
      </c>
    </row>
    <row r="39" ht="14.25" customHeight="1" s="28">
      <c r="A39" s="29" t="n">
        <v>1777442401</v>
      </c>
      <c r="B39" s="29" t="inlineStr">
        <is>
          <t>XAUUSD</t>
        </is>
      </c>
      <c r="C39" s="29" t="inlineStr">
        <is>
          <t>M15</t>
        </is>
      </c>
      <c r="D39" s="29" t="n">
        <v>4588.73</v>
      </c>
      <c r="E39" s="29" t="n">
        <v>4717.79398</v>
      </c>
      <c r="F39" s="29" t="n">
        <v>4695.2428</v>
      </c>
      <c r="G39" s="29" t="n">
        <v>4518.59282</v>
      </c>
      <c r="H39" s="29" t="n">
        <v>4596.05595</v>
      </c>
      <c r="I39" s="29" t="n">
        <v>4755.40355</v>
      </c>
      <c r="J39" s="29" t="n">
        <v>4792.76972</v>
      </c>
      <c r="K39" s="29" t="n">
        <v>4769.97694</v>
      </c>
      <c r="L39" s="29" t="n">
        <v>4716.33597</v>
      </c>
      <c r="M39" s="29" t="n">
        <v>4718.85043</v>
      </c>
      <c r="N39" s="29" t="n">
        <v>4531.36057</v>
      </c>
      <c r="O39" s="29" t="n">
        <v>4556.93783</v>
      </c>
      <c r="Q39" s="29" t="n">
        <v>4556.05486</v>
      </c>
      <c r="R39" s="29" t="n">
        <v>4604.07253</v>
      </c>
      <c r="S39" s="29" t="n">
        <v>4579.88891</v>
      </c>
      <c r="V39" s="29" t="n">
        <v>4523.40967</v>
      </c>
      <c r="AB39" s="29" t="n">
        <v>4591.20114</v>
      </c>
      <c r="AC39" s="29" t="n">
        <v>4593.96223</v>
      </c>
      <c r="AD39" s="29" t="n">
        <v>0</v>
      </c>
    </row>
    <row r="40" ht="14.25" customHeight="1" s="28">
      <c r="A40" s="29" t="n">
        <v>1777443301</v>
      </c>
      <c r="B40" s="29" t="inlineStr">
        <is>
          <t>XAUUSD</t>
        </is>
      </c>
      <c r="C40" s="29" t="inlineStr">
        <is>
          <t>M15</t>
        </is>
      </c>
      <c r="D40" s="29" t="n">
        <v>4585.04</v>
      </c>
      <c r="E40" s="29" t="n">
        <v>4717.79398</v>
      </c>
      <c r="F40" s="29" t="n">
        <v>4695.2428</v>
      </c>
      <c r="G40" s="29" t="n">
        <v>4518.59282</v>
      </c>
      <c r="H40" s="29" t="n">
        <v>4596.05595</v>
      </c>
      <c r="I40" s="29" t="n">
        <v>4755.40355</v>
      </c>
      <c r="J40" s="29" t="n">
        <v>4792.76972</v>
      </c>
      <c r="K40" s="29" t="n">
        <v>4769.97694</v>
      </c>
      <c r="L40" s="29" t="n">
        <v>4716.33597</v>
      </c>
      <c r="M40" s="29" t="n">
        <v>4718.85043</v>
      </c>
      <c r="N40" s="29" t="n">
        <v>4531.36057</v>
      </c>
      <c r="O40" s="29" t="n">
        <v>4556.93783</v>
      </c>
      <c r="Q40" s="29" t="n">
        <v>4556.25731</v>
      </c>
      <c r="R40" s="29" t="n">
        <v>4604.27497</v>
      </c>
      <c r="S40" s="29" t="n">
        <v>4580.09136</v>
      </c>
      <c r="V40" s="29" t="n">
        <v>4523.61212</v>
      </c>
      <c r="AB40" s="29" t="n">
        <v>4587.55405</v>
      </c>
      <c r="AC40" s="29" t="n">
        <v>4590.75814</v>
      </c>
      <c r="AD40" s="29" t="n">
        <v>0</v>
      </c>
    </row>
    <row r="41" ht="14.25" customHeight="1" s="28">
      <c r="A41" s="29" t="n">
        <v>1777444201</v>
      </c>
      <c r="B41" s="29" t="inlineStr">
        <is>
          <t>XAUUSD</t>
        </is>
      </c>
      <c r="C41" s="29" t="inlineStr">
        <is>
          <t>M15</t>
        </is>
      </c>
      <c r="D41" s="29" t="n">
        <v>4585.03</v>
      </c>
      <c r="E41" s="29" t="n">
        <v>4717.79398</v>
      </c>
      <c r="F41" s="29" t="n">
        <v>4695.2428</v>
      </c>
      <c r="G41" s="29" t="n">
        <v>4518.59282</v>
      </c>
      <c r="H41" s="29" t="n">
        <v>4596.05595</v>
      </c>
      <c r="I41" s="29" t="n">
        <v>4755.40355</v>
      </c>
      <c r="J41" s="29" t="n">
        <v>4792.76972</v>
      </c>
      <c r="K41" s="29" t="n">
        <v>4769.97694</v>
      </c>
      <c r="L41" s="29" t="n">
        <v>4716.33597</v>
      </c>
      <c r="M41" s="29" t="n">
        <v>4718.85043</v>
      </c>
      <c r="N41" s="29" t="n">
        <v>4531.36057</v>
      </c>
      <c r="O41" s="29" t="n">
        <v>4556.93783</v>
      </c>
      <c r="Q41" s="29" t="n">
        <v>4556.45975</v>
      </c>
      <c r="R41" s="29" t="n">
        <v>4604.47742</v>
      </c>
      <c r="S41" s="29" t="n">
        <v>4580.29381</v>
      </c>
      <c r="V41" s="29" t="n">
        <v>4523.81456</v>
      </c>
      <c r="AB41" s="29" t="n">
        <v>4583.86023</v>
      </c>
      <c r="AC41" s="29" t="n">
        <v>4587.30918</v>
      </c>
      <c r="AD41" s="29" t="n">
        <v>0</v>
      </c>
    </row>
    <row r="42" ht="14.25" customHeight="1" s="28">
      <c r="A42" s="29" t="n">
        <v>1777445101</v>
      </c>
      <c r="B42" s="29" t="inlineStr">
        <is>
          <t>XAUUSD</t>
        </is>
      </c>
      <c r="C42" s="29" t="inlineStr">
        <is>
          <t>M15</t>
        </is>
      </c>
      <c r="D42" s="29" t="n">
        <v>4584.52</v>
      </c>
      <c r="E42" s="29" t="n">
        <v>4717.79398</v>
      </c>
      <c r="F42" s="29" t="n">
        <v>4695.2428</v>
      </c>
      <c r="G42" s="29" t="n">
        <v>4518.59282</v>
      </c>
      <c r="H42" s="29" t="n">
        <v>4596.05595</v>
      </c>
      <c r="I42" s="29" t="n">
        <v>4755.40355</v>
      </c>
      <c r="J42" s="29" t="n">
        <v>4792.76972</v>
      </c>
      <c r="K42" s="29" t="n">
        <v>4769.97694</v>
      </c>
      <c r="L42" s="29" t="n">
        <v>4716.33597</v>
      </c>
      <c r="M42" s="29" t="n">
        <v>4718.85043</v>
      </c>
      <c r="N42" s="29" t="n">
        <v>4531.36057</v>
      </c>
      <c r="O42" s="29" t="n">
        <v>4556.93783</v>
      </c>
      <c r="Q42" s="29" t="n">
        <v>4556.6622</v>
      </c>
      <c r="R42" s="29" t="n">
        <v>4604.67986</v>
      </c>
      <c r="S42" s="29" t="n">
        <v>4580.49625</v>
      </c>
      <c r="V42" s="29" t="n">
        <v>4524.01701</v>
      </c>
      <c r="AB42" s="29" t="n">
        <v>4580.25654</v>
      </c>
      <c r="AC42" s="29" t="n">
        <v>4583.78286</v>
      </c>
      <c r="AD42" s="29" t="n">
        <v>0</v>
      </c>
    </row>
    <row r="43" ht="14.25" customHeight="1" s="28">
      <c r="A43" s="29" t="n">
        <v>1777446001</v>
      </c>
      <c r="B43" s="29" t="inlineStr">
        <is>
          <t>XAUUSD</t>
        </is>
      </c>
      <c r="C43" s="29" t="inlineStr">
        <is>
          <t>M15</t>
        </is>
      </c>
      <c r="D43" s="29" t="n">
        <v>4578.72</v>
      </c>
      <c r="E43" s="29" t="n">
        <v>4717.79398</v>
      </c>
      <c r="F43" s="29" t="n">
        <v>4695.2428</v>
      </c>
      <c r="G43" s="29" t="n">
        <v>4518.59282</v>
      </c>
      <c r="H43" s="29" t="n">
        <v>4596.05595</v>
      </c>
      <c r="I43" s="29" t="n">
        <v>4755.40355</v>
      </c>
      <c r="J43" s="29" t="n">
        <v>4792.76972</v>
      </c>
      <c r="K43" s="29" t="n">
        <v>4769.97694</v>
      </c>
      <c r="L43" s="29" t="n">
        <v>4716.33597</v>
      </c>
      <c r="M43" s="29" t="n">
        <v>4718.85043</v>
      </c>
      <c r="N43" s="29" t="n">
        <v>4531.36057</v>
      </c>
      <c r="O43" s="29" t="n">
        <v>4556.93783</v>
      </c>
      <c r="Q43" s="29" t="n">
        <v>4556.86464</v>
      </c>
      <c r="R43" s="29" t="n">
        <v>4604.88231</v>
      </c>
      <c r="S43" s="29" t="n">
        <v>4580.6987</v>
      </c>
      <c r="V43" s="29" t="n">
        <v>4524.21945</v>
      </c>
      <c r="AB43" s="29" t="n">
        <v>4576.87731</v>
      </c>
      <c r="AC43" s="29" t="n">
        <v>4580.33009</v>
      </c>
      <c r="AD43" s="29" t="n">
        <v>0</v>
      </c>
    </row>
    <row r="44" ht="14.25" customHeight="1" s="28">
      <c r="A44" s="29" t="n">
        <v>1777446901</v>
      </c>
      <c r="B44" s="29" t="inlineStr">
        <is>
          <t>XAUUSD</t>
        </is>
      </c>
      <c r="C44" s="29" t="inlineStr">
        <is>
          <t>M15</t>
        </is>
      </c>
      <c r="D44" s="29" t="n">
        <v>4575.11</v>
      </c>
      <c r="E44" s="29" t="n">
        <v>4717.79398</v>
      </c>
      <c r="F44" s="29" t="n">
        <v>4695.2428</v>
      </c>
      <c r="G44" s="29" t="n">
        <v>4518.59282</v>
      </c>
      <c r="H44" s="29" t="n">
        <v>4596.05595</v>
      </c>
      <c r="I44" s="29" t="n">
        <v>4755.40355</v>
      </c>
      <c r="J44" s="29" t="n">
        <v>4792.76972</v>
      </c>
      <c r="K44" s="29" t="n">
        <v>4769.97694</v>
      </c>
      <c r="L44" s="29" t="n">
        <v>4716.33597</v>
      </c>
      <c r="M44" s="29" t="n">
        <v>4718.85043</v>
      </c>
      <c r="N44" s="29" t="n">
        <v>4531.36057</v>
      </c>
      <c r="O44" s="29" t="n">
        <v>4556.93783</v>
      </c>
      <c r="Q44" s="29" t="n">
        <v>4557.06709</v>
      </c>
      <c r="R44" s="29" t="n">
        <v>4605.08475</v>
      </c>
      <c r="S44" s="29" t="n">
        <v>4580.90114</v>
      </c>
      <c r="V44" s="29" t="n">
        <v>4524.4219</v>
      </c>
      <c r="AB44" s="29" t="n">
        <v>4573.98749</v>
      </c>
      <c r="AC44" s="29" t="n">
        <v>4577.15879</v>
      </c>
      <c r="AD44" s="29" t="n">
        <v>0</v>
      </c>
    </row>
    <row r="45" ht="14.25" customHeight="1" s="28">
      <c r="A45" s="29" t="n">
        <v>1777447801</v>
      </c>
      <c r="B45" s="29" t="inlineStr">
        <is>
          <t>XAUUSD</t>
        </is>
      </c>
      <c r="C45" s="29" t="inlineStr">
        <is>
          <t>M15</t>
        </is>
      </c>
      <c r="D45" s="29" t="n">
        <v>4570.56</v>
      </c>
      <c r="E45" s="29" t="n">
        <v>4717.79398</v>
      </c>
      <c r="F45" s="29" t="n">
        <v>4695.2428</v>
      </c>
      <c r="G45" s="29" t="n">
        <v>4518.59282</v>
      </c>
      <c r="H45" s="29" t="n">
        <v>4596.05595</v>
      </c>
      <c r="I45" s="29" t="n">
        <v>4755.40355</v>
      </c>
      <c r="J45" s="29" t="n">
        <v>4792.76972</v>
      </c>
      <c r="K45" s="29" t="n">
        <v>4769.97694</v>
      </c>
      <c r="L45" s="29" t="n">
        <v>4716.33597</v>
      </c>
      <c r="M45" s="29" t="n">
        <v>4718.85043</v>
      </c>
      <c r="N45" s="29" t="n">
        <v>4531.36057</v>
      </c>
      <c r="O45" s="29" t="n">
        <v>4556.93783</v>
      </c>
      <c r="Q45" s="29" t="n">
        <v>4557.26954</v>
      </c>
      <c r="R45" s="29" t="n">
        <v>4605.2872</v>
      </c>
      <c r="S45" s="29" t="n">
        <v>4581.10359</v>
      </c>
      <c r="V45" s="29" t="n">
        <v>4524.62434</v>
      </c>
      <c r="AB45" s="29" t="n">
        <v>4571.72337</v>
      </c>
      <c r="AC45" s="29" t="n">
        <v>4574.44108</v>
      </c>
      <c r="AD45" s="29" t="n">
        <v>0</v>
      </c>
    </row>
    <row r="46" ht="14.25" customHeight="1" s="28">
      <c r="A46" s="29" t="n">
        <v>1777448701</v>
      </c>
      <c r="B46" s="29" t="inlineStr">
        <is>
          <t>XAUUSD</t>
        </is>
      </c>
      <c r="C46" s="29" t="inlineStr">
        <is>
          <t>M15</t>
        </is>
      </c>
      <c r="D46" s="29" t="n">
        <v>4567.92</v>
      </c>
      <c r="E46" s="29" t="n">
        <v>4717.79398</v>
      </c>
      <c r="F46" s="29" t="n">
        <v>4695.2428</v>
      </c>
      <c r="G46" s="29" t="n">
        <v>4518.59282</v>
      </c>
      <c r="H46" s="29" t="n">
        <v>4596.05595</v>
      </c>
      <c r="I46" s="29" t="n">
        <v>4755.40355</v>
      </c>
      <c r="J46" s="29" t="n">
        <v>4792.76972</v>
      </c>
      <c r="K46" s="29" t="n">
        <v>4769.97694</v>
      </c>
      <c r="L46" s="29" t="n">
        <v>4716.33597</v>
      </c>
      <c r="M46" s="29" t="n">
        <v>4718.85043</v>
      </c>
      <c r="N46" s="29" t="n">
        <v>4531.36057</v>
      </c>
      <c r="O46" s="29" t="n">
        <v>4556.93783</v>
      </c>
      <c r="Q46" s="29" t="n">
        <v>4557.47198</v>
      </c>
      <c r="R46" s="29" t="n">
        <v>4605.48965</v>
      </c>
      <c r="S46" s="29" t="n">
        <v>4581.30603</v>
      </c>
      <c r="V46" s="29" t="n">
        <v>4524.82679</v>
      </c>
      <c r="AB46" s="29" t="n">
        <v>4570.13884</v>
      </c>
      <c r="AC46" s="29" t="n">
        <v>4572.28996</v>
      </c>
      <c r="AD46" s="29" t="n">
        <v>0</v>
      </c>
    </row>
    <row r="47" ht="14.25" customHeight="1" s="28">
      <c r="A47" s="29" t="n">
        <v>1777449601</v>
      </c>
      <c r="B47" s="29" t="inlineStr">
        <is>
          <t>XAUUSD</t>
        </is>
      </c>
      <c r="C47" s="29" t="inlineStr">
        <is>
          <t>M15</t>
        </is>
      </c>
      <c r="D47" s="29" t="n">
        <v>4565.44</v>
      </c>
      <c r="E47" s="29" t="n">
        <v>4717.79398</v>
      </c>
      <c r="F47" s="29" t="n">
        <v>4695.2428</v>
      </c>
      <c r="G47" s="29" t="n">
        <v>4518.59282</v>
      </c>
      <c r="H47" s="29" t="n">
        <v>4596.05595</v>
      </c>
      <c r="I47" s="29" t="n">
        <v>4755.40355</v>
      </c>
      <c r="J47" s="29" t="n">
        <v>4792.76972</v>
      </c>
      <c r="K47" s="29" t="n">
        <v>4769.97694</v>
      </c>
      <c r="L47" s="29" t="n">
        <v>4716.33597</v>
      </c>
      <c r="M47" s="29" t="n">
        <v>4718.85043</v>
      </c>
      <c r="N47" s="29" t="n">
        <v>4531.36057</v>
      </c>
      <c r="O47" s="29" t="n">
        <v>4556.93783</v>
      </c>
      <c r="Q47" s="29" t="n">
        <v>4557.67443</v>
      </c>
      <c r="R47" s="29" t="n">
        <v>4605.69209</v>
      </c>
      <c r="S47" s="29" t="n">
        <v>4581.50848</v>
      </c>
      <c r="V47" s="29" t="n">
        <v>4525.02924</v>
      </c>
      <c r="AB47" s="29" t="n">
        <v>4569.16033</v>
      </c>
      <c r="AC47" s="29" t="n">
        <v>4570.72515</v>
      </c>
      <c r="AD47" s="29" t="n">
        <v>0</v>
      </c>
    </row>
    <row r="48" ht="14.25" customHeight="1" s="28">
      <c r="A48" s="29" t="n">
        <v>1777450501</v>
      </c>
      <c r="B48" s="29" t="inlineStr">
        <is>
          <t>XAUUSD</t>
        </is>
      </c>
      <c r="C48" s="29" t="inlineStr">
        <is>
          <t>M15</t>
        </is>
      </c>
      <c r="D48" s="29" t="n">
        <v>4566.65</v>
      </c>
      <c r="E48" s="29" t="n">
        <v>4717.79398</v>
      </c>
      <c r="F48" s="29" t="n">
        <v>4695.2428</v>
      </c>
      <c r="G48" s="29" t="n">
        <v>4518.59282</v>
      </c>
      <c r="H48" s="29" t="n">
        <v>4596.05595</v>
      </c>
      <c r="I48" s="29" t="n">
        <v>4755.40355</v>
      </c>
      <c r="J48" s="29" t="n">
        <v>4792.76972</v>
      </c>
      <c r="K48" s="29" t="n">
        <v>4769.97694</v>
      </c>
      <c r="L48" s="29" t="n">
        <v>4716.33597</v>
      </c>
      <c r="M48" s="29" t="n">
        <v>4718.85043</v>
      </c>
      <c r="N48" s="29" t="n">
        <v>4531.36057</v>
      </c>
      <c r="O48" s="29" t="n">
        <v>4556.93783</v>
      </c>
      <c r="Q48" s="29" t="n">
        <v>4557.87687</v>
      </c>
      <c r="R48" s="29" t="n">
        <v>4605.89454</v>
      </c>
      <c r="S48" s="29" t="n">
        <v>4581.71093</v>
      </c>
      <c r="V48" s="29" t="n">
        <v>4525.23168</v>
      </c>
      <c r="AB48" s="29" t="n">
        <v>4568.61557</v>
      </c>
      <c r="AC48" s="29" t="n">
        <v>4569.67036</v>
      </c>
      <c r="AD48" s="29" t="n">
        <v>0</v>
      </c>
    </row>
    <row r="49" ht="14.25" customHeight="1" s="28">
      <c r="A49" s="29" t="n">
        <v>1777451401</v>
      </c>
      <c r="B49" s="29" t="inlineStr">
        <is>
          <t>XAUUSD</t>
        </is>
      </c>
      <c r="C49" s="29" t="inlineStr">
        <is>
          <t>M15</t>
        </is>
      </c>
      <c r="D49" s="29" t="n">
        <v>4568.37</v>
      </c>
      <c r="E49" s="29" t="n">
        <v>4717.79398</v>
      </c>
      <c r="F49" s="29" t="n">
        <v>4695.2428</v>
      </c>
      <c r="G49" s="29" t="n">
        <v>4518.59282</v>
      </c>
      <c r="H49" s="29" t="n">
        <v>4596.05595</v>
      </c>
      <c r="I49" s="29" t="n">
        <v>4755.40355</v>
      </c>
      <c r="J49" s="29" t="n">
        <v>4792.76972</v>
      </c>
      <c r="K49" s="29" t="n">
        <v>4769.97694</v>
      </c>
      <c r="L49" s="29" t="n">
        <v>4716.33597</v>
      </c>
      <c r="M49" s="29" t="n">
        <v>4718.85043</v>
      </c>
      <c r="N49" s="29" t="n">
        <v>4531.36057</v>
      </c>
      <c r="O49" s="29" t="n">
        <v>4556.93783</v>
      </c>
      <c r="Q49" s="29" t="n">
        <v>4558.07932</v>
      </c>
      <c r="R49" s="29" t="n">
        <v>4606.09698</v>
      </c>
      <c r="S49" s="29" t="n">
        <v>4581.91337</v>
      </c>
      <c r="V49" s="29" t="n">
        <v>4525.43413</v>
      </c>
      <c r="AB49" s="29" t="n">
        <v>4568.24917</v>
      </c>
      <c r="AC49" s="29" t="n">
        <v>4568.95976</v>
      </c>
      <c r="AD49" s="29" t="n">
        <v>0</v>
      </c>
    </row>
    <row r="50" ht="14.25" customHeight="1" s="28">
      <c r="A50" s="29" t="n">
        <v>1777452301</v>
      </c>
      <c r="B50" s="29" t="inlineStr">
        <is>
          <t>XAUUSD</t>
        </is>
      </c>
      <c r="C50" s="29" t="inlineStr">
        <is>
          <t>M15</t>
        </is>
      </c>
      <c r="D50" s="29" t="n">
        <v>4573.2</v>
      </c>
      <c r="E50" s="29" t="n">
        <v>4717.79398</v>
      </c>
      <c r="F50" s="29" t="n">
        <v>4695.2428</v>
      </c>
      <c r="G50" s="29" t="n">
        <v>4518.59282</v>
      </c>
      <c r="H50" s="29" t="n">
        <v>4596.05595</v>
      </c>
      <c r="I50" s="29" t="n">
        <v>4755.40355</v>
      </c>
      <c r="J50" s="29" t="n">
        <v>4792.76972</v>
      </c>
      <c r="K50" s="29" t="n">
        <v>4769.97694</v>
      </c>
      <c r="L50" s="29" t="n">
        <v>4716.33597</v>
      </c>
      <c r="M50" s="29" t="n">
        <v>4718.85043</v>
      </c>
      <c r="N50" s="29" t="n">
        <v>4531.36057</v>
      </c>
      <c r="O50" s="29" t="n">
        <v>4556.93783</v>
      </c>
      <c r="Q50" s="29" t="n">
        <v>4558.28176</v>
      </c>
      <c r="R50" s="29" t="n">
        <v>4606.29943</v>
      </c>
      <c r="S50" s="29" t="n">
        <v>4582.11582</v>
      </c>
      <c r="V50" s="29" t="n">
        <v>4525.63657</v>
      </c>
      <c r="AB50" s="29" t="n">
        <v>4567.82815</v>
      </c>
      <c r="AC50" s="29" t="n">
        <v>4568.39395</v>
      </c>
      <c r="AD50" s="29" t="n">
        <v>0</v>
      </c>
    </row>
    <row r="51" ht="14.25" customHeight="1" s="28">
      <c r="A51" s="29" t="n">
        <v>1777453201</v>
      </c>
      <c r="B51" s="29" t="inlineStr">
        <is>
          <t>XAUUSD</t>
        </is>
      </c>
      <c r="C51" s="29" t="inlineStr">
        <is>
          <t>M15</t>
        </is>
      </c>
      <c r="D51" s="29" t="n">
        <v>4574.2</v>
      </c>
      <c r="E51" s="29" t="n">
        <v>4717.79398</v>
      </c>
      <c r="F51" s="29" t="n">
        <v>4695.2428</v>
      </c>
      <c r="G51" s="29" t="n">
        <v>4518.59282</v>
      </c>
      <c r="H51" s="29" t="n">
        <v>4596.05595</v>
      </c>
      <c r="I51" s="29" t="n">
        <v>4755.40355</v>
      </c>
      <c r="J51" s="29" t="n">
        <v>4792.76972</v>
      </c>
      <c r="K51" s="29" t="n">
        <v>4769.97694</v>
      </c>
      <c r="L51" s="29" t="n">
        <v>4716.33597</v>
      </c>
      <c r="M51" s="29" t="n">
        <v>4718.85043</v>
      </c>
      <c r="N51" s="29" t="n">
        <v>4531.36057</v>
      </c>
      <c r="O51" s="29" t="n">
        <v>4556.93783</v>
      </c>
      <c r="Q51" s="29" t="n">
        <v>4558.48421</v>
      </c>
      <c r="R51" s="29" t="n">
        <v>4606.50187</v>
      </c>
      <c r="S51" s="29" t="n">
        <v>4582.31826</v>
      </c>
      <c r="V51" s="29" t="n">
        <v>4525.83902</v>
      </c>
      <c r="AB51" s="29" t="n">
        <v>4567.12603</v>
      </c>
      <c r="AC51" s="29" t="n">
        <v>4567.75999</v>
      </c>
      <c r="AD51" s="29" t="n">
        <v>0</v>
      </c>
    </row>
    <row r="52" ht="14.25" customHeight="1" s="28">
      <c r="A52" s="29" t="n">
        <v>1777454101</v>
      </c>
      <c r="B52" s="29" t="inlineStr">
        <is>
          <t>XAUUSD</t>
        </is>
      </c>
      <c r="C52" s="29" t="inlineStr">
        <is>
          <t>M15</t>
        </is>
      </c>
      <c r="D52" s="29" t="n">
        <v>4565.69</v>
      </c>
      <c r="E52" s="29" t="n">
        <v>4717.79398</v>
      </c>
      <c r="F52" s="29" t="n">
        <v>4695.2428</v>
      </c>
      <c r="G52" s="29" t="n">
        <v>4518.59282</v>
      </c>
      <c r="H52" s="29" t="n">
        <v>4596.05595</v>
      </c>
      <c r="I52" s="29" t="n">
        <v>4755.40355</v>
      </c>
      <c r="J52" s="29" t="n">
        <v>4792.76972</v>
      </c>
      <c r="K52" s="29" t="n">
        <v>4769.97694</v>
      </c>
      <c r="L52" s="29" t="n">
        <v>4716.33597</v>
      </c>
      <c r="M52" s="29" t="n">
        <v>4718.85043</v>
      </c>
      <c r="N52" s="29" t="n">
        <v>4531.36057</v>
      </c>
      <c r="O52" s="29" t="n">
        <v>4556.93783</v>
      </c>
      <c r="Q52" s="29" t="n">
        <v>4558.68666</v>
      </c>
      <c r="R52" s="29" t="n">
        <v>4606.70432</v>
      </c>
      <c r="S52" s="29" t="n">
        <v>4582.52071</v>
      </c>
      <c r="V52" s="29" t="n">
        <v>4526.04146</v>
      </c>
      <c r="AB52" s="29" t="n">
        <v>4566.14866</v>
      </c>
      <c r="AC52" s="29" t="n">
        <v>4566.95433</v>
      </c>
      <c r="AD52" s="29" t="n">
        <v>0</v>
      </c>
    </row>
    <row r="53" ht="14.25" customHeight="1" s="28">
      <c r="A53" s="29" t="n">
        <v>1777455001</v>
      </c>
      <c r="B53" s="29" t="inlineStr">
        <is>
          <t>XAUUSD</t>
        </is>
      </c>
      <c r="C53" s="29" t="inlineStr">
        <is>
          <t>M15</t>
        </is>
      </c>
      <c r="D53" s="29" t="n">
        <v>4558.86</v>
      </c>
      <c r="E53" s="29" t="n">
        <v>4717.79398</v>
      </c>
      <c r="F53" s="29" t="n">
        <v>4695.2428</v>
      </c>
      <c r="G53" s="29" t="n">
        <v>4518.59282</v>
      </c>
      <c r="H53" s="29" t="n">
        <v>4596.05595</v>
      </c>
      <c r="I53" s="29" t="n">
        <v>4755.40355</v>
      </c>
      <c r="J53" s="29" t="n">
        <v>4792.76972</v>
      </c>
      <c r="K53" s="29" t="n">
        <v>4769.97694</v>
      </c>
      <c r="L53" s="29" t="n">
        <v>4716.33597</v>
      </c>
      <c r="M53" s="29" t="n">
        <v>4718.85043</v>
      </c>
      <c r="N53" s="29" t="n">
        <v>4531.36057</v>
      </c>
      <c r="O53" s="29" t="n">
        <v>4556.93783</v>
      </c>
      <c r="Q53" s="29" t="n">
        <v>4558.8891</v>
      </c>
      <c r="R53" s="29" t="n">
        <v>4606.90677</v>
      </c>
      <c r="S53" s="29" t="n">
        <v>4582.72315</v>
      </c>
      <c r="V53" s="29" t="n">
        <v>4526.24391</v>
      </c>
      <c r="AB53" s="29" t="n">
        <v>4565.28688</v>
      </c>
      <c r="AC53" s="29" t="n">
        <v>4566.1206</v>
      </c>
      <c r="AD53" s="29" t="n">
        <v>0</v>
      </c>
    </row>
    <row r="54" ht="14.25" customHeight="1" s="28">
      <c r="A54" s="29" t="n">
        <v>1777455901</v>
      </c>
      <c r="B54" s="29" t="inlineStr">
        <is>
          <t>XAUUSD</t>
        </is>
      </c>
      <c r="C54" s="29" t="inlineStr">
        <is>
          <t>M15</t>
        </is>
      </c>
      <c r="D54" s="29" t="n">
        <v>4555.94</v>
      </c>
      <c r="E54" s="29" t="n">
        <v>4717.79398</v>
      </c>
      <c r="F54" s="29" t="n">
        <v>4695.2428</v>
      </c>
      <c r="G54" s="29" t="n">
        <v>4518.59282</v>
      </c>
      <c r="H54" s="29" t="n">
        <v>4596.05595</v>
      </c>
      <c r="I54" s="29" t="n">
        <v>4755.40355</v>
      </c>
      <c r="J54" s="29" t="n">
        <v>4792.76972</v>
      </c>
      <c r="K54" s="29" t="n">
        <v>4769.97694</v>
      </c>
      <c r="L54" s="29" t="n">
        <v>4716.33597</v>
      </c>
      <c r="M54" s="29" t="n">
        <v>4718.85043</v>
      </c>
      <c r="N54" s="29" t="n">
        <v>4531.36057</v>
      </c>
      <c r="O54" s="29" t="n">
        <v>4556.93783</v>
      </c>
      <c r="Q54" s="29" t="n">
        <v>4559.09155</v>
      </c>
      <c r="R54" s="29" t="n">
        <v>4607.10921</v>
      </c>
      <c r="S54" s="29" t="n">
        <v>4582.9256</v>
      </c>
      <c r="V54" s="29" t="n">
        <v>4526.44636</v>
      </c>
      <c r="AB54" s="29" t="n">
        <v>4564.86135</v>
      </c>
      <c r="AC54" s="29" t="n">
        <v>4565.49098</v>
      </c>
      <c r="AD54" s="29" t="n">
        <v>0</v>
      </c>
    </row>
    <row r="55" ht="14.25" customHeight="1" s="28">
      <c r="A55" s="29" t="n">
        <v>1777456801</v>
      </c>
      <c r="B55" s="29" t="inlineStr">
        <is>
          <t>XAUUSD</t>
        </is>
      </c>
      <c r="C55" s="29" t="inlineStr">
        <is>
          <t>M15</t>
        </is>
      </c>
      <c r="D55" s="29" t="n">
        <v>4568.04</v>
      </c>
      <c r="E55" s="29" t="n">
        <v>4717.79398</v>
      </c>
      <c r="F55" s="29" t="n">
        <v>4695.2428</v>
      </c>
      <c r="G55" s="29" t="n">
        <v>4518.59282</v>
      </c>
      <c r="H55" s="29" t="n">
        <v>4596.05595</v>
      </c>
      <c r="I55" s="29" t="n">
        <v>4755.40355</v>
      </c>
      <c r="J55" s="29" t="n">
        <v>4792.76972</v>
      </c>
      <c r="K55" s="29" t="n">
        <v>4769.97694</v>
      </c>
      <c r="L55" s="29" t="n">
        <v>4716.33597</v>
      </c>
      <c r="M55" s="29" t="n">
        <v>4718.85043</v>
      </c>
      <c r="N55" s="29" t="n">
        <v>4531.36057</v>
      </c>
      <c r="O55" s="29" t="n">
        <v>4556.93783</v>
      </c>
      <c r="Q55" s="29" t="n">
        <v>4559.29399</v>
      </c>
      <c r="R55" s="29" t="n">
        <v>4607.31166</v>
      </c>
      <c r="S55" s="29" t="n">
        <v>4583.12805</v>
      </c>
      <c r="V55" s="29" t="n">
        <v>4526.6488</v>
      </c>
      <c r="AB55" s="29" t="n">
        <v>4565.07204</v>
      </c>
      <c r="AC55" s="29" t="n">
        <v>4565.28151</v>
      </c>
      <c r="AD55" s="29" t="n">
        <v>0</v>
      </c>
    </row>
    <row r="56" ht="14.25" customHeight="1" s="28">
      <c r="A56" s="29" t="n">
        <v>1777457701</v>
      </c>
      <c r="B56" s="29" t="inlineStr">
        <is>
          <t>XAUUSD</t>
        </is>
      </c>
      <c r="C56" s="29" t="inlineStr">
        <is>
          <t>M15</t>
        </is>
      </c>
      <c r="D56" s="29" t="n">
        <v>4571.78</v>
      </c>
      <c r="E56" s="29" t="n">
        <v>4717.79398</v>
      </c>
      <c r="F56" s="29" t="n">
        <v>4695.2428</v>
      </c>
      <c r="G56" s="29" t="n">
        <v>4518.59282</v>
      </c>
      <c r="H56" s="29" t="n">
        <v>4596.05595</v>
      </c>
      <c r="I56" s="29" t="n">
        <v>4755.40355</v>
      </c>
      <c r="J56" s="29" t="n">
        <v>4792.76972</v>
      </c>
      <c r="K56" s="29" t="n">
        <v>4769.97694</v>
      </c>
      <c r="L56" s="29" t="n">
        <v>4716.33597</v>
      </c>
      <c r="M56" s="29" t="n">
        <v>4718.85043</v>
      </c>
      <c r="N56" s="29" t="n">
        <v>4531.36057</v>
      </c>
      <c r="O56" s="29" t="n">
        <v>4556.93783</v>
      </c>
      <c r="Q56" s="29" t="n">
        <v>4559.49644</v>
      </c>
      <c r="R56" s="29" t="n">
        <v>4607.5141</v>
      </c>
      <c r="S56" s="29" t="n">
        <v>4583.33049</v>
      </c>
      <c r="V56" s="29" t="n">
        <v>4526.85125</v>
      </c>
      <c r="AB56" s="29" t="n">
        <v>4565.60789</v>
      </c>
      <c r="AC56" s="29" t="n">
        <v>4565.4447</v>
      </c>
      <c r="AD56" s="29" t="n">
        <v>1</v>
      </c>
    </row>
    <row r="57" ht="14.25" customHeight="1" s="28">
      <c r="A57" s="29" t="n">
        <v>1777458601</v>
      </c>
      <c r="B57" s="29" t="inlineStr">
        <is>
          <t>XAUUSD</t>
        </is>
      </c>
      <c r="C57" s="29" t="inlineStr">
        <is>
          <t>M15</t>
        </is>
      </c>
      <c r="D57" s="29" t="n">
        <v>4566.36</v>
      </c>
      <c r="E57" s="29" t="n">
        <v>4717.79398</v>
      </c>
      <c r="F57" s="29" t="n">
        <v>4695.2428</v>
      </c>
      <c r="G57" s="29" t="n">
        <v>4518.59282</v>
      </c>
      <c r="H57" s="29" t="n">
        <v>4596.05595</v>
      </c>
      <c r="I57" s="29" t="n">
        <v>4755.40355</v>
      </c>
      <c r="J57" s="29" t="n">
        <v>4792.76972</v>
      </c>
      <c r="K57" s="29" t="n">
        <v>4769.97694</v>
      </c>
      <c r="L57" s="29" t="n">
        <v>4716.33597</v>
      </c>
      <c r="M57" s="29" t="n">
        <v>4718.85043</v>
      </c>
      <c r="N57" s="29" t="n">
        <v>4531.36057</v>
      </c>
      <c r="O57" s="29" t="n">
        <v>4556.93783</v>
      </c>
      <c r="Q57" s="29" t="n">
        <v>4559.69888</v>
      </c>
      <c r="R57" s="29" t="n">
        <v>4607.71655</v>
      </c>
      <c r="S57" s="29" t="n">
        <v>4583.53294</v>
      </c>
      <c r="V57" s="29" t="n">
        <v>4527.05369</v>
      </c>
      <c r="AB57" s="29" t="n">
        <v>4566.29792</v>
      </c>
      <c r="AC57" s="29" t="n">
        <v>4565.87131</v>
      </c>
      <c r="AD57" s="29" t="n">
        <v>0</v>
      </c>
    </row>
    <row r="58" ht="14.25" customHeight="1" s="28">
      <c r="A58" s="29" t="n">
        <v>1777459501</v>
      </c>
      <c r="B58" s="29" t="inlineStr">
        <is>
          <t>XAUUSD</t>
        </is>
      </c>
      <c r="C58" s="29" t="inlineStr">
        <is>
          <t>M15</t>
        </is>
      </c>
      <c r="D58" s="29" t="n">
        <v>4569.98</v>
      </c>
      <c r="E58" s="29" t="n">
        <v>4717.79398</v>
      </c>
      <c r="F58" s="29" t="n">
        <v>4695.2428</v>
      </c>
      <c r="G58" s="29" t="n">
        <v>4518.59282</v>
      </c>
      <c r="H58" s="29" t="n">
        <v>4596.05595</v>
      </c>
      <c r="I58" s="29" t="n">
        <v>4755.40355</v>
      </c>
      <c r="J58" s="29" t="n">
        <v>4792.76972</v>
      </c>
      <c r="K58" s="29" t="n">
        <v>4769.97694</v>
      </c>
      <c r="L58" s="29" t="n">
        <v>4716.33597</v>
      </c>
      <c r="M58" s="29" t="n">
        <v>4718.85043</v>
      </c>
      <c r="N58" s="29" t="n">
        <v>4531.36057</v>
      </c>
      <c r="O58" s="29" t="n">
        <v>4556.93783</v>
      </c>
      <c r="Q58" s="29" t="n">
        <v>4559.90133</v>
      </c>
      <c r="R58" s="29" t="n">
        <v>4607.91899</v>
      </c>
      <c r="S58" s="29" t="n">
        <v>4583.73538</v>
      </c>
      <c r="V58" s="29" t="n">
        <v>4527.25614</v>
      </c>
      <c r="AB58" s="29" t="n">
        <v>4567.16354</v>
      </c>
      <c r="AC58" s="29" t="n">
        <v>4566.51742</v>
      </c>
      <c r="AD58" s="29" t="n">
        <v>0</v>
      </c>
    </row>
    <row r="59" ht="14.25" customHeight="1" s="28">
      <c r="A59" s="29" t="n">
        <v>1777460401</v>
      </c>
      <c r="B59" s="29" t="inlineStr">
        <is>
          <t>XAUUSD</t>
        </is>
      </c>
      <c r="C59" s="29" t="inlineStr">
        <is>
          <t>M15</t>
        </is>
      </c>
      <c r="D59" s="29" t="n">
        <v>4568.02</v>
      </c>
      <c r="E59" s="29" t="n">
        <v>4717.79398</v>
      </c>
      <c r="F59" s="29" t="n">
        <v>4695.2428</v>
      </c>
      <c r="G59" s="29" t="n">
        <v>4518.59282</v>
      </c>
      <c r="H59" s="29" t="n">
        <v>4596.05595</v>
      </c>
      <c r="I59" s="29" t="n">
        <v>4755.40355</v>
      </c>
      <c r="J59" s="29" t="n">
        <v>4792.76972</v>
      </c>
      <c r="K59" s="29" t="n">
        <v>4769.97694</v>
      </c>
      <c r="L59" s="29" t="n">
        <v>4716.33597</v>
      </c>
      <c r="M59" s="29" t="n">
        <v>4718.85043</v>
      </c>
      <c r="N59" s="29" t="n">
        <v>4531.36057</v>
      </c>
      <c r="O59" s="29" t="n">
        <v>4556.93783</v>
      </c>
      <c r="Q59" s="29" t="n">
        <v>4560.10378</v>
      </c>
      <c r="R59" s="29" t="n">
        <v>4608.12144</v>
      </c>
      <c r="S59" s="29" t="n">
        <v>4583.93783</v>
      </c>
      <c r="V59" s="29" t="n">
        <v>4527.45858</v>
      </c>
      <c r="AB59" s="29" t="n">
        <v>4567.85456</v>
      </c>
      <c r="AC59" s="29" t="n">
        <v>4567.18599</v>
      </c>
      <c r="AD59" s="29" t="n">
        <v>0</v>
      </c>
    </row>
    <row r="60" ht="14.25" customHeight="1" s="28">
      <c r="A60" s="29" t="n">
        <v>1777461301</v>
      </c>
      <c r="B60" s="29" t="inlineStr">
        <is>
          <t>XAUUSD</t>
        </is>
      </c>
      <c r="C60" s="29" t="inlineStr">
        <is>
          <t>M15</t>
        </is>
      </c>
      <c r="D60" s="29" t="n">
        <v>4564.76</v>
      </c>
      <c r="E60" s="29" t="n">
        <v>4717.79398</v>
      </c>
      <c r="F60" s="29" t="n">
        <v>4695.2428</v>
      </c>
      <c r="G60" s="29" t="n">
        <v>4518.59282</v>
      </c>
      <c r="H60" s="29" t="n">
        <v>4596.05595</v>
      </c>
      <c r="I60" s="29" t="n">
        <v>4755.40355</v>
      </c>
      <c r="J60" s="29" t="n">
        <v>4792.76972</v>
      </c>
      <c r="K60" s="29" t="n">
        <v>4769.97694</v>
      </c>
      <c r="L60" s="29" t="n">
        <v>4716.33597</v>
      </c>
      <c r="M60" s="29" t="n">
        <v>4718.85043</v>
      </c>
      <c r="N60" s="29" t="n">
        <v>4531.36057</v>
      </c>
      <c r="O60" s="29" t="n">
        <v>4556.93783</v>
      </c>
      <c r="Q60" s="29" t="n">
        <v>4560.30622</v>
      </c>
      <c r="R60" s="29" t="n">
        <v>4608.32389</v>
      </c>
      <c r="S60" s="29" t="n">
        <v>4584.14027</v>
      </c>
      <c r="V60" s="29" t="n">
        <v>4527.66103</v>
      </c>
      <c r="AB60" s="29" t="n">
        <v>4568.1324</v>
      </c>
      <c r="AC60" s="29" t="n">
        <v>4567.65919</v>
      </c>
      <c r="AD60" s="29" t="n">
        <v>0</v>
      </c>
    </row>
    <row r="61" ht="14.25" customHeight="1" s="28">
      <c r="A61" s="29" t="n">
        <v>1777462201</v>
      </c>
      <c r="B61" s="29" t="inlineStr">
        <is>
          <t>XAUUSD</t>
        </is>
      </c>
      <c r="C61" s="29" t="inlineStr">
        <is>
          <t>M15</t>
        </is>
      </c>
      <c r="D61" s="29" t="n">
        <v>4567.03</v>
      </c>
      <c r="E61" s="29" t="n">
        <v>4717.79398</v>
      </c>
      <c r="F61" s="29" t="n">
        <v>4695.2428</v>
      </c>
      <c r="G61" s="29" t="n">
        <v>4518.59282</v>
      </c>
      <c r="H61" s="29" t="n">
        <v>4596.05595</v>
      </c>
      <c r="I61" s="29" t="n">
        <v>4755.40355</v>
      </c>
      <c r="J61" s="29" t="n">
        <v>4792.76972</v>
      </c>
      <c r="K61" s="29" t="n">
        <v>4769.97694</v>
      </c>
      <c r="L61" s="29" t="n">
        <v>4716.33597</v>
      </c>
      <c r="M61" s="29" t="n">
        <v>4718.85043</v>
      </c>
      <c r="N61" s="29" t="n">
        <v>4531.36057</v>
      </c>
      <c r="O61" s="29" t="n">
        <v>4556.93783</v>
      </c>
      <c r="Q61" s="29" t="n">
        <v>4560.50867</v>
      </c>
      <c r="R61" s="29" t="n">
        <v>4608.52633</v>
      </c>
      <c r="S61" s="29" t="n">
        <v>4584.34272</v>
      </c>
      <c r="V61" s="29" t="n">
        <v>4527.86348</v>
      </c>
      <c r="AB61" s="29" t="n">
        <v>4567.69281</v>
      </c>
      <c r="AC61" s="29" t="n">
        <v>4567.676</v>
      </c>
      <c r="AD61" s="29" t="n">
        <v>0</v>
      </c>
    </row>
    <row r="62" ht="14.25" customHeight="1" s="28">
      <c r="A62" s="29" t="n">
        <v>1777463101</v>
      </c>
      <c r="B62" s="29" t="inlineStr">
        <is>
          <t>XAUUSD</t>
        </is>
      </c>
      <c r="C62" s="29" t="inlineStr">
        <is>
          <t>M15</t>
        </is>
      </c>
      <c r="D62" s="29" t="n">
        <v>4561.87</v>
      </c>
      <c r="E62" s="29" t="n">
        <v>4717.79398</v>
      </c>
      <c r="F62" s="29" t="n">
        <v>4695.2428</v>
      </c>
      <c r="G62" s="29" t="n">
        <v>4518.59282</v>
      </c>
      <c r="H62" s="29" t="n">
        <v>4596.05595</v>
      </c>
      <c r="I62" s="29" t="n">
        <v>4755.40355</v>
      </c>
      <c r="J62" s="29" t="n">
        <v>4792.76972</v>
      </c>
      <c r="K62" s="29" t="n">
        <v>4769.97694</v>
      </c>
      <c r="L62" s="29" t="n">
        <v>4716.33597</v>
      </c>
      <c r="M62" s="29" t="n">
        <v>4718.85043</v>
      </c>
      <c r="N62" s="29" t="n">
        <v>4531.36057</v>
      </c>
      <c r="O62" s="29" t="n">
        <v>4556.93783</v>
      </c>
      <c r="Q62" s="29" t="n">
        <v>4560.71111</v>
      </c>
      <c r="R62" s="29" t="n">
        <v>4608.72878</v>
      </c>
      <c r="S62" s="29" t="n">
        <v>4584.54516</v>
      </c>
      <c r="V62" s="29" t="n">
        <v>4528.06592</v>
      </c>
      <c r="AB62" s="29" t="n">
        <v>4566.10145</v>
      </c>
      <c r="AC62" s="29" t="n">
        <v>4566.88873</v>
      </c>
      <c r="AD62" s="29" t="n">
        <v>1</v>
      </c>
    </row>
    <row r="63" ht="14.25" customHeight="1" s="28">
      <c r="A63" s="29" t="n">
        <v>1777464001</v>
      </c>
      <c r="B63" s="29" t="inlineStr">
        <is>
          <t>XAUUSD</t>
        </is>
      </c>
      <c r="C63" s="29" t="inlineStr">
        <is>
          <t>M15</t>
        </is>
      </c>
      <c r="D63" s="29" t="n">
        <v>4564.41</v>
      </c>
      <c r="E63" s="29" t="n">
        <v>4717.79398</v>
      </c>
      <c r="F63" s="29" t="n">
        <v>4695.2428</v>
      </c>
      <c r="G63" s="29" t="n">
        <v>4518.59282</v>
      </c>
      <c r="H63" s="29" t="n">
        <v>4596.05595</v>
      </c>
      <c r="I63" s="29" t="n">
        <v>4755.40355</v>
      </c>
      <c r="J63" s="29" t="n">
        <v>4792.76972</v>
      </c>
      <c r="K63" s="29" t="n">
        <v>4769.97694</v>
      </c>
      <c r="L63" s="29" t="n">
        <v>4716.33597</v>
      </c>
      <c r="M63" s="29" t="n">
        <v>4718.85043</v>
      </c>
      <c r="N63" s="29" t="n">
        <v>4531.36057</v>
      </c>
      <c r="O63" s="29" t="n">
        <v>4556.93783</v>
      </c>
      <c r="Q63" s="29" t="n">
        <v>4560.91356</v>
      </c>
      <c r="R63" s="29" t="n">
        <v>4608.93122</v>
      </c>
      <c r="S63" s="29" t="n">
        <v>4584.74761</v>
      </c>
      <c r="V63" s="29" t="n">
        <v>4528.26837</v>
      </c>
      <c r="AB63" s="29" t="n">
        <v>4563.24936</v>
      </c>
      <c r="AC63" s="29" t="n">
        <v>4565.06904</v>
      </c>
      <c r="AD63" s="29" t="n">
        <v>0</v>
      </c>
    </row>
    <row r="64" ht="14.25" customHeight="1" s="28">
      <c r="A64" s="29" t="n">
        <v>1777464901</v>
      </c>
      <c r="B64" s="29" t="inlineStr">
        <is>
          <t>XAUUSD</t>
        </is>
      </c>
      <c r="C64" s="29" t="inlineStr">
        <is>
          <t>M15</t>
        </is>
      </c>
      <c r="D64" s="29" t="n">
        <v>4559.4</v>
      </c>
      <c r="E64" s="29" t="n">
        <v>4717.79398</v>
      </c>
      <c r="F64" s="29" t="n">
        <v>4695.2428</v>
      </c>
      <c r="G64" s="29" t="n">
        <v>4518.59282</v>
      </c>
      <c r="H64" s="29" t="n">
        <v>4596.05595</v>
      </c>
      <c r="I64" s="29" t="n">
        <v>4755.40355</v>
      </c>
      <c r="J64" s="29" t="n">
        <v>4792.76972</v>
      </c>
      <c r="K64" s="29" t="n">
        <v>4769.97694</v>
      </c>
      <c r="L64" s="29" t="n">
        <v>4716.33597</v>
      </c>
      <c r="M64" s="29" t="n">
        <v>4718.85043</v>
      </c>
      <c r="N64" s="29" t="n">
        <v>4531.36057</v>
      </c>
      <c r="O64" s="29" t="n">
        <v>4556.93783</v>
      </c>
      <c r="Q64" s="29" t="n">
        <v>4561.116</v>
      </c>
      <c r="R64" s="29" t="n">
        <v>4609.13367</v>
      </c>
      <c r="S64" s="29" t="n">
        <v>4584.95006</v>
      </c>
      <c r="V64" s="29" t="n">
        <v>4528.47081</v>
      </c>
      <c r="AB64" s="29" t="n">
        <v>4558.9607</v>
      </c>
      <c r="AC64" s="29" t="n">
        <v>4562.01487</v>
      </c>
      <c r="AD64" s="29" t="n">
        <v>0</v>
      </c>
    </row>
    <row r="65" ht="14.25" customHeight="1" s="28">
      <c r="A65" s="29" t="n">
        <v>1777465801</v>
      </c>
      <c r="B65" s="29" t="inlineStr">
        <is>
          <t>XAUUSD</t>
        </is>
      </c>
      <c r="C65" s="29" t="inlineStr">
        <is>
          <t>M15</t>
        </is>
      </c>
      <c r="D65" s="29" t="n">
        <v>4557.62</v>
      </c>
      <c r="E65" s="29" t="n">
        <v>4717.79398</v>
      </c>
      <c r="F65" s="29" t="n">
        <v>4695.2428</v>
      </c>
      <c r="G65" s="29" t="n">
        <v>4518.59282</v>
      </c>
      <c r="H65" s="29" t="n">
        <v>4596.05595</v>
      </c>
      <c r="I65" s="29" t="n">
        <v>4755.40355</v>
      </c>
      <c r="J65" s="29" t="n">
        <v>4792.76972</v>
      </c>
      <c r="K65" s="29" t="n">
        <v>4769.97694</v>
      </c>
      <c r="L65" s="29" t="n">
        <v>4716.33597</v>
      </c>
      <c r="M65" s="29" t="n">
        <v>4718.85043</v>
      </c>
      <c r="N65" s="29" t="n">
        <v>4531.36057</v>
      </c>
      <c r="O65" s="29" t="n">
        <v>4556.93783</v>
      </c>
      <c r="Q65" s="29" t="n">
        <v>4561.31845</v>
      </c>
      <c r="R65" s="29" t="n">
        <v>4609.33611</v>
      </c>
      <c r="S65" s="29" t="n">
        <v>4585.1525</v>
      </c>
      <c r="V65" s="29" t="n">
        <v>4528.67326</v>
      </c>
      <c r="AB65" s="29" t="n">
        <v>4553.43356</v>
      </c>
      <c r="AC65" s="29" t="n">
        <v>4557.72422</v>
      </c>
      <c r="AD65" s="29" t="n">
        <v>0</v>
      </c>
    </row>
    <row r="66" ht="14.25" customHeight="1" s="28">
      <c r="A66" s="29" t="n">
        <v>1777466701</v>
      </c>
      <c r="B66" s="29" t="inlineStr">
        <is>
          <t>XAUUSD</t>
        </is>
      </c>
      <c r="C66" s="29" t="inlineStr">
        <is>
          <t>M15</t>
        </is>
      </c>
      <c r="D66" s="29" t="n">
        <v>4544.9</v>
      </c>
      <c r="E66" s="29" t="n">
        <v>4717.79398</v>
      </c>
      <c r="F66" s="29" t="n">
        <v>4695.2428</v>
      </c>
      <c r="G66" s="29" t="n">
        <v>4518.59282</v>
      </c>
      <c r="H66" s="29" t="n">
        <v>4596.05595</v>
      </c>
      <c r="I66" s="29" t="n">
        <v>4755.40355</v>
      </c>
      <c r="J66" s="29" t="n">
        <v>4792.76972</v>
      </c>
      <c r="K66" s="29" t="n">
        <v>4769.97694</v>
      </c>
      <c r="L66" s="29" t="n">
        <v>4716.33597</v>
      </c>
      <c r="M66" s="29" t="n">
        <v>4718.85043</v>
      </c>
      <c r="N66" s="29" t="n">
        <v>4531.36057</v>
      </c>
      <c r="O66" s="29" t="n">
        <v>4556.93783</v>
      </c>
      <c r="Q66" s="29" t="n">
        <v>4561.5209</v>
      </c>
      <c r="R66" s="29" t="n">
        <v>4609.53856</v>
      </c>
      <c r="S66" s="29" t="n">
        <v>4585.35495</v>
      </c>
      <c r="V66" s="29" t="n">
        <v>4528.8757</v>
      </c>
      <c r="AB66" s="29" t="n">
        <v>4547.01485</v>
      </c>
      <c r="AC66" s="29" t="n">
        <v>4552.36953</v>
      </c>
      <c r="AD66" s="29" t="n">
        <v>0</v>
      </c>
    </row>
    <row r="67" ht="14.25" customHeight="1" s="28">
      <c r="A67" s="29" t="n">
        <v>1777467601</v>
      </c>
      <c r="B67" s="29" t="inlineStr">
        <is>
          <t>XAUUSD</t>
        </is>
      </c>
      <c r="C67" s="29" t="inlineStr">
        <is>
          <t>M15</t>
        </is>
      </c>
      <c r="D67" s="29" t="n">
        <v>4549.8</v>
      </c>
      <c r="E67" s="29" t="n">
        <v>4717.79398</v>
      </c>
      <c r="F67" s="29" t="n">
        <v>4695.2428</v>
      </c>
      <c r="G67" s="29" t="n">
        <v>4518.59282</v>
      </c>
      <c r="H67" s="29" t="n">
        <v>4596.05595</v>
      </c>
      <c r="I67" s="29" t="n">
        <v>4755.40355</v>
      </c>
      <c r="J67" s="29" t="n">
        <v>4792.76972</v>
      </c>
      <c r="K67" s="29" t="n">
        <v>4769.97694</v>
      </c>
      <c r="L67" s="29" t="n">
        <v>4716.33597</v>
      </c>
      <c r="M67" s="29" t="n">
        <v>4718.85043</v>
      </c>
      <c r="N67" s="29" t="n">
        <v>4531.36057</v>
      </c>
      <c r="O67" s="29" t="n">
        <v>4556.93783</v>
      </c>
      <c r="Q67" s="29" t="n">
        <v>4561.72334</v>
      </c>
      <c r="R67" s="29" t="n">
        <v>4609.74101</v>
      </c>
      <c r="S67" s="29" t="n">
        <v>4585.55739</v>
      </c>
      <c r="V67" s="29" t="n">
        <v>4529.07815</v>
      </c>
      <c r="AB67" s="29" t="n">
        <v>4540.52002</v>
      </c>
      <c r="AC67" s="29" t="n">
        <v>4546.44477</v>
      </c>
      <c r="AD67" s="29" t="n">
        <v>0</v>
      </c>
    </row>
    <row r="68" ht="14.25" customHeight="1" s="28">
      <c r="A68" s="29" t="n">
        <v>1777468501</v>
      </c>
      <c r="B68" s="29" t="inlineStr">
        <is>
          <t>XAUUSD</t>
        </is>
      </c>
      <c r="C68" s="29" t="inlineStr">
        <is>
          <t>M15</t>
        </is>
      </c>
      <c r="D68" s="29" t="n">
        <v>4537.82</v>
      </c>
      <c r="E68" s="29" t="n">
        <v>4717.79398</v>
      </c>
      <c r="F68" s="29" t="n">
        <v>4695.2428</v>
      </c>
      <c r="G68" s="29" t="n">
        <v>4518.59282</v>
      </c>
      <c r="H68" s="29" t="n">
        <v>4596.05595</v>
      </c>
      <c r="I68" s="29" t="n">
        <v>4755.40355</v>
      </c>
      <c r="J68" s="29" t="n">
        <v>4792.76972</v>
      </c>
      <c r="K68" s="29" t="n">
        <v>4769.97694</v>
      </c>
      <c r="L68" s="29" t="n">
        <v>4716.33597</v>
      </c>
      <c r="M68" s="29" t="n">
        <v>4718.85043</v>
      </c>
      <c r="N68" s="29" t="n">
        <v>4531.36057</v>
      </c>
      <c r="O68" s="29" t="n">
        <v>4556.93783</v>
      </c>
      <c r="Q68" s="29" t="n">
        <v>4561.92579</v>
      </c>
      <c r="R68" s="29" t="n">
        <v>4609.94345</v>
      </c>
      <c r="S68" s="29" t="n">
        <v>4585.75984</v>
      </c>
      <c r="V68" s="29" t="n">
        <v>4529.2806</v>
      </c>
      <c r="AB68" s="29" t="n">
        <v>4534.37601</v>
      </c>
      <c r="AC68" s="29" t="n">
        <v>4540.41039</v>
      </c>
      <c r="AD68" s="29" t="n">
        <v>0</v>
      </c>
    </row>
    <row r="69" ht="14.25" customHeight="1" s="28">
      <c r="A69" s="29" t="n">
        <v>1777469401</v>
      </c>
      <c r="B69" s="29" t="inlineStr">
        <is>
          <t>XAUUSD</t>
        </is>
      </c>
      <c r="C69" s="29" t="inlineStr">
        <is>
          <t>M15</t>
        </is>
      </c>
      <c r="D69" s="29" t="n">
        <v>4514.81</v>
      </c>
      <c r="E69" s="29" t="n">
        <v>4717.79398</v>
      </c>
      <c r="F69" s="29" t="n">
        <v>4695.2428</v>
      </c>
      <c r="G69" s="29" t="n">
        <v>4518.59282</v>
      </c>
      <c r="H69" s="29" t="n">
        <v>4596.05595</v>
      </c>
      <c r="I69" s="29" t="n">
        <v>4755.40355</v>
      </c>
      <c r="J69" s="29" t="n">
        <v>4792.76972</v>
      </c>
      <c r="K69" s="29" t="n">
        <v>4769.97694</v>
      </c>
      <c r="L69" s="29" t="n">
        <v>4716.33597</v>
      </c>
      <c r="M69" s="29" t="n">
        <v>4718.85043</v>
      </c>
      <c r="N69" s="29" t="n">
        <v>4531.36057</v>
      </c>
      <c r="O69" s="29" t="n">
        <v>4556.93783</v>
      </c>
      <c r="Q69" s="29" t="n">
        <v>4562.12823</v>
      </c>
      <c r="R69" s="29" t="n">
        <v>4610.1459</v>
      </c>
      <c r="S69" s="29" t="n">
        <v>4585.96228</v>
      </c>
      <c r="V69" s="29" t="n">
        <v>4529.48304</v>
      </c>
      <c r="AB69" s="29" t="n">
        <v>4529.49932</v>
      </c>
      <c r="AC69" s="29" t="n">
        <v>4534.95486</v>
      </c>
      <c r="AD69" s="29" t="n">
        <v>0</v>
      </c>
    </row>
    <row r="70" ht="14.25" customHeight="1" s="28">
      <c r="A70" s="29" t="n">
        <v>1777470301</v>
      </c>
      <c r="B70" s="29" t="inlineStr">
        <is>
          <t>XAUUSD</t>
        </is>
      </c>
      <c r="C70" s="29" t="inlineStr">
        <is>
          <t>M15</t>
        </is>
      </c>
      <c r="D70" s="29" t="n">
        <v>4521.71</v>
      </c>
      <c r="E70" s="29" t="n">
        <v>4717.79398</v>
      </c>
      <c r="F70" s="29" t="n">
        <v>4695.2428</v>
      </c>
      <c r="G70" s="29" t="n">
        <v>4518.59282</v>
      </c>
      <c r="H70" s="29" t="n">
        <v>4596.05595</v>
      </c>
      <c r="I70" s="29" t="n">
        <v>4755.40355</v>
      </c>
      <c r="J70" s="29" t="n">
        <v>4792.76972</v>
      </c>
      <c r="K70" s="29" t="n">
        <v>4769.97694</v>
      </c>
      <c r="L70" s="29" t="n">
        <v>4716.33597</v>
      </c>
      <c r="M70" s="29" t="n">
        <v>4718.85043</v>
      </c>
      <c r="N70" s="29" t="n">
        <v>4531.36057</v>
      </c>
      <c r="O70" s="29" t="n">
        <v>4556.93783</v>
      </c>
      <c r="Q70" s="29" t="n">
        <v>4562.33068</v>
      </c>
      <c r="R70" s="29" t="n">
        <v>4610.34834</v>
      </c>
      <c r="S70" s="29" t="n">
        <v>4586.16473</v>
      </c>
      <c r="V70" s="29" t="n">
        <v>4529.68549</v>
      </c>
      <c r="AA70" s="29" t="n">
        <v>4510.28</v>
      </c>
      <c r="AB70" s="29" t="n">
        <v>4526.96404</v>
      </c>
      <c r="AC70" s="29" t="n">
        <v>4530.95945</v>
      </c>
      <c r="AD70" s="29" t="n">
        <v>0</v>
      </c>
    </row>
    <row r="71" ht="14.25" customHeight="1" s="28">
      <c r="A71" s="29" t="n">
        <v>1777471201</v>
      </c>
      <c r="B71" s="29" t="inlineStr">
        <is>
          <t>XAUUSD</t>
        </is>
      </c>
      <c r="C71" s="29" t="inlineStr">
        <is>
          <t>M15</t>
        </is>
      </c>
      <c r="D71" s="29" t="n">
        <v>4526.15</v>
      </c>
      <c r="E71" s="29" t="n">
        <v>4717.79398</v>
      </c>
      <c r="F71" s="29" t="n">
        <v>4695.2428</v>
      </c>
      <c r="G71" s="29" t="n">
        <v>4518.59282</v>
      </c>
      <c r="H71" s="29" t="n">
        <v>4596.05595</v>
      </c>
      <c r="I71" s="29" t="n">
        <v>4755.40355</v>
      </c>
      <c r="J71" s="29" t="n">
        <v>4792.76972</v>
      </c>
      <c r="K71" s="29" t="n">
        <v>4769.97694</v>
      </c>
      <c r="L71" s="29" t="n">
        <v>4716.33597</v>
      </c>
      <c r="M71" s="29" t="n">
        <v>4718.85043</v>
      </c>
      <c r="N71" s="29" t="n">
        <v>4531.36057</v>
      </c>
      <c r="O71" s="29" t="n">
        <v>4556.93783</v>
      </c>
      <c r="Q71" s="29" t="n">
        <v>4562.53312</v>
      </c>
      <c r="R71" s="29" t="n">
        <v>4610.55079</v>
      </c>
      <c r="S71" s="29" t="n">
        <v>4586.36718</v>
      </c>
      <c r="V71" s="29" t="n">
        <v>4529.88793</v>
      </c>
      <c r="AB71" s="29" t="n">
        <v>4526.75464</v>
      </c>
      <c r="AC71" s="29" t="n">
        <v>4528.85705</v>
      </c>
      <c r="AD71" s="29" t="n">
        <v>0</v>
      </c>
    </row>
    <row r="72" ht="14.25" customHeight="1" s="28">
      <c r="A72" s="29" t="n">
        <v>1777472101</v>
      </c>
      <c r="B72" s="29" t="inlineStr">
        <is>
          <t>XAUUSD</t>
        </is>
      </c>
      <c r="C72" s="29" t="inlineStr">
        <is>
          <t>M15</t>
        </is>
      </c>
      <c r="D72" s="29" t="n">
        <v>4533.2</v>
      </c>
      <c r="E72" s="29" t="n">
        <v>4717.79398</v>
      </c>
      <c r="F72" s="29" t="n">
        <v>4695.2428</v>
      </c>
      <c r="G72" s="29" t="n">
        <v>4518.59282</v>
      </c>
      <c r="H72" s="29" t="n">
        <v>4596.05595</v>
      </c>
      <c r="I72" s="29" t="n">
        <v>4755.40355</v>
      </c>
      <c r="J72" s="29" t="n">
        <v>4792.76972</v>
      </c>
      <c r="K72" s="29" t="n">
        <v>4769.97694</v>
      </c>
      <c r="L72" s="29" t="n">
        <v>4716.33597</v>
      </c>
      <c r="M72" s="29" t="n">
        <v>4718.85043</v>
      </c>
      <c r="N72" s="29" t="n">
        <v>4531.36057</v>
      </c>
      <c r="O72" s="29" t="n">
        <v>4556.93783</v>
      </c>
      <c r="Q72" s="29" t="n">
        <v>4562.73557</v>
      </c>
      <c r="R72" s="29" t="n">
        <v>4610.75323</v>
      </c>
      <c r="S72" s="29" t="n">
        <v>4586.56962</v>
      </c>
      <c r="V72" s="29" t="n">
        <v>4530.09038</v>
      </c>
      <c r="AB72" s="29" t="n">
        <v>4528.6334</v>
      </c>
      <c r="AC72" s="29" t="n">
        <v>4528.74522</v>
      </c>
      <c r="AD72" s="29" t="n">
        <v>0</v>
      </c>
    </row>
    <row r="73" ht="14.25" customHeight="1" s="28">
      <c r="A73" s="29" t="n">
        <v>1777473001</v>
      </c>
      <c r="B73" s="29" t="inlineStr">
        <is>
          <t>XAUUSD</t>
        </is>
      </c>
      <c r="C73" s="29" t="inlineStr">
        <is>
          <t>M15</t>
        </is>
      </c>
      <c r="D73" s="29" t="n">
        <v>4538.69</v>
      </c>
      <c r="E73" s="29" t="n">
        <v>4717.79398</v>
      </c>
      <c r="F73" s="29" t="n">
        <v>4695.2428</v>
      </c>
      <c r="G73" s="29" t="n">
        <v>4518.59282</v>
      </c>
      <c r="H73" s="29" t="n">
        <v>4596.05595</v>
      </c>
      <c r="I73" s="29" t="n">
        <v>4755.40355</v>
      </c>
      <c r="J73" s="29" t="n">
        <v>4792.76972</v>
      </c>
      <c r="K73" s="29" t="n">
        <v>4769.97694</v>
      </c>
      <c r="L73" s="29" t="n">
        <v>4716.33597</v>
      </c>
      <c r="M73" s="29" t="n">
        <v>4718.85043</v>
      </c>
      <c r="N73" s="29" t="n">
        <v>4531.36057</v>
      </c>
      <c r="O73" s="29" t="n">
        <v>4556.93783</v>
      </c>
      <c r="Q73" s="29" t="n">
        <v>4562.93802</v>
      </c>
      <c r="R73" s="29" t="n">
        <v>4610.95568</v>
      </c>
      <c r="S73" s="29" t="n">
        <v>4586.77207</v>
      </c>
      <c r="V73" s="29" t="n">
        <v>4530.29282</v>
      </c>
      <c r="AB73" s="29" t="n">
        <v>4532.06776</v>
      </c>
      <c r="AC73" s="29" t="n">
        <v>4530.40649</v>
      </c>
      <c r="AD73" s="29" t="n">
        <v>1</v>
      </c>
    </row>
    <row r="74" ht="14.25" customHeight="1" s="28">
      <c r="A74" s="29" t="n">
        <v>1777473901</v>
      </c>
      <c r="B74" s="29" t="inlineStr">
        <is>
          <t>XAUUSD</t>
        </is>
      </c>
      <c r="C74" s="29" t="inlineStr">
        <is>
          <t>M15</t>
        </is>
      </c>
      <c r="D74" s="29" t="n">
        <v>4539.25</v>
      </c>
      <c r="E74" s="29" t="n">
        <v>4717.79398</v>
      </c>
      <c r="F74" s="29" t="n">
        <v>4695.2428</v>
      </c>
      <c r="G74" s="29" t="n">
        <v>4518.59282</v>
      </c>
      <c r="H74" s="29" t="n">
        <v>4596.05595</v>
      </c>
      <c r="I74" s="29" t="n">
        <v>4755.40355</v>
      </c>
      <c r="J74" s="29" t="n">
        <v>4792.76972</v>
      </c>
      <c r="K74" s="29" t="n">
        <v>4769.97694</v>
      </c>
      <c r="L74" s="29" t="n">
        <v>4716.33597</v>
      </c>
      <c r="M74" s="29" t="n">
        <v>4718.85043</v>
      </c>
      <c r="N74" s="29" t="n">
        <v>4531.36057</v>
      </c>
      <c r="O74" s="29" t="n">
        <v>4556.93783</v>
      </c>
      <c r="Q74" s="29" t="n">
        <v>4563.14046</v>
      </c>
      <c r="R74" s="29" t="n">
        <v>4611.15813</v>
      </c>
      <c r="S74" s="29" t="n">
        <v>4586.97451</v>
      </c>
      <c r="V74" s="29" t="n">
        <v>4530.49527</v>
      </c>
      <c r="AB74" s="29" t="n">
        <v>4536.46429</v>
      </c>
      <c r="AC74" s="29" t="n">
        <v>4533.43539</v>
      </c>
      <c r="AD74" s="29" t="n">
        <v>0</v>
      </c>
    </row>
    <row r="75" ht="14.25" customHeight="1" s="28">
      <c r="A75" s="29" t="n">
        <v>1777474801</v>
      </c>
      <c r="B75" s="29" t="inlineStr">
        <is>
          <t>XAUUSD</t>
        </is>
      </c>
      <c r="C75" s="29" t="inlineStr">
        <is>
          <t>M15</t>
        </is>
      </c>
      <c r="D75" s="29" t="n">
        <v>4538.08</v>
      </c>
      <c r="E75" s="29" t="n">
        <v>4717.79398</v>
      </c>
      <c r="F75" s="29" t="n">
        <v>4695.2428</v>
      </c>
      <c r="G75" s="29" t="n">
        <v>4518.59282</v>
      </c>
      <c r="H75" s="29" t="n">
        <v>4596.05595</v>
      </c>
      <c r="I75" s="29" t="n">
        <v>4755.40355</v>
      </c>
      <c r="J75" s="29" t="n">
        <v>4792.76972</v>
      </c>
      <c r="K75" s="29" t="n">
        <v>4769.97694</v>
      </c>
      <c r="L75" s="29" t="n">
        <v>4716.33597</v>
      </c>
      <c r="M75" s="29" t="n">
        <v>4718.85043</v>
      </c>
      <c r="N75" s="29" t="n">
        <v>4531.36057</v>
      </c>
      <c r="O75" s="29" t="n">
        <v>4556.93783</v>
      </c>
      <c r="Q75" s="29" t="n">
        <v>4563.34291</v>
      </c>
      <c r="R75" s="29" t="n">
        <v>4611.36057</v>
      </c>
      <c r="S75" s="29" t="n">
        <v>4587.17696</v>
      </c>
      <c r="V75" s="29" t="n">
        <v>4530.69772</v>
      </c>
      <c r="AB75" s="29" t="n">
        <v>4541.33113</v>
      </c>
      <c r="AC75" s="29" t="n">
        <v>4537.38326</v>
      </c>
      <c r="AD75" s="29" t="n">
        <v>0</v>
      </c>
    </row>
    <row r="76" ht="14.25" customHeight="1" s="28">
      <c r="A76" s="29" t="n">
        <v>1777475701</v>
      </c>
      <c r="B76" s="29" t="inlineStr">
        <is>
          <t>XAUUSD</t>
        </is>
      </c>
      <c r="C76" s="29" t="inlineStr">
        <is>
          <t>M15</t>
        </is>
      </c>
      <c r="D76" s="29" t="n">
        <v>4543.61</v>
      </c>
      <c r="E76" s="29" t="n">
        <v>4717.79398</v>
      </c>
      <c r="F76" s="29" t="n">
        <v>4695.2428</v>
      </c>
      <c r="G76" s="29" t="n">
        <v>4518.59282</v>
      </c>
      <c r="H76" s="29" t="n">
        <v>4596.05595</v>
      </c>
      <c r="I76" s="29" t="n">
        <v>4755.40355</v>
      </c>
      <c r="J76" s="29" t="n">
        <v>4792.76972</v>
      </c>
      <c r="K76" s="29" t="n">
        <v>4769.97694</v>
      </c>
      <c r="L76" s="29" t="n">
        <v>4716.33597</v>
      </c>
      <c r="M76" s="29" t="n">
        <v>4718.85043</v>
      </c>
      <c r="N76" s="29" t="n">
        <v>4531.36057</v>
      </c>
      <c r="O76" s="29" t="n">
        <v>4556.93783</v>
      </c>
      <c r="Q76" s="29" t="n">
        <v>4563.54535</v>
      </c>
      <c r="R76" s="29" t="n">
        <v>4611.56302</v>
      </c>
      <c r="S76" s="29" t="n">
        <v>4587.3794</v>
      </c>
      <c r="V76" s="29" t="n">
        <v>4530.90016</v>
      </c>
      <c r="AB76" s="29" t="n">
        <v>4546.2278</v>
      </c>
      <c r="AC76" s="29" t="n">
        <v>4541.80553</v>
      </c>
      <c r="AD76" s="29" t="n">
        <v>0</v>
      </c>
    </row>
    <row r="77" ht="14.25" customHeight="1" s="28">
      <c r="A77" s="29" t="n">
        <v>1777476601</v>
      </c>
      <c r="B77" s="29" t="inlineStr">
        <is>
          <t>XAUUSD</t>
        </is>
      </c>
      <c r="C77" s="29" t="inlineStr">
        <is>
          <t>M15</t>
        </is>
      </c>
      <c r="D77" s="29" t="n">
        <v>4553.17</v>
      </c>
      <c r="E77" s="29" t="n">
        <v>4717.79398</v>
      </c>
      <c r="F77" s="29" t="n">
        <v>4695.2428</v>
      </c>
      <c r="G77" s="29" t="n">
        <v>4518.59282</v>
      </c>
      <c r="H77" s="29" t="n">
        <v>4596.05595</v>
      </c>
      <c r="I77" s="29" t="n">
        <v>4755.40355</v>
      </c>
      <c r="J77" s="29" t="n">
        <v>4792.76972</v>
      </c>
      <c r="K77" s="29" t="n">
        <v>4769.97694</v>
      </c>
      <c r="L77" s="29" t="n">
        <v>4716.33597</v>
      </c>
      <c r="M77" s="29" t="n">
        <v>4718.85043</v>
      </c>
      <c r="N77" s="29" t="n">
        <v>4531.36057</v>
      </c>
      <c r="O77" s="29" t="n">
        <v>4556.93783</v>
      </c>
      <c r="Q77" s="29" t="n">
        <v>4563.7478</v>
      </c>
      <c r="R77" s="29" t="n">
        <v>4611.76546</v>
      </c>
      <c r="S77" s="29" t="n">
        <v>4587.58185</v>
      </c>
      <c r="V77" s="29" t="n">
        <v>4531.10261</v>
      </c>
      <c r="AB77" s="29" t="n">
        <v>4550.55587</v>
      </c>
      <c r="AC77" s="29" t="n">
        <v>4546.1807</v>
      </c>
      <c r="AD77" s="29" t="n">
        <v>0</v>
      </c>
    </row>
    <row r="78" ht="14.25" customHeight="1" s="28">
      <c r="A78" s="29" t="n">
        <v>1777477501</v>
      </c>
      <c r="B78" s="29" t="inlineStr">
        <is>
          <t>XAUUSD</t>
        </is>
      </c>
      <c r="C78" s="29" t="inlineStr">
        <is>
          <t>M15</t>
        </is>
      </c>
      <c r="D78" s="29" t="n">
        <v>4547.48</v>
      </c>
      <c r="E78" s="29" t="n">
        <v>4717.79398</v>
      </c>
      <c r="F78" s="29" t="n">
        <v>4695.2428</v>
      </c>
      <c r="G78" s="29" t="n">
        <v>4518.59282</v>
      </c>
      <c r="H78" s="29" t="n">
        <v>4596.05595</v>
      </c>
      <c r="I78" s="29" t="n">
        <v>4755.40355</v>
      </c>
      <c r="J78" s="29" t="n">
        <v>4792.76972</v>
      </c>
      <c r="K78" s="29" t="n">
        <v>4769.97694</v>
      </c>
      <c r="L78" s="29" t="n">
        <v>4716.33597</v>
      </c>
      <c r="M78" s="29" t="n">
        <v>4718.85043</v>
      </c>
      <c r="N78" s="29" t="n">
        <v>4531.36057</v>
      </c>
      <c r="O78" s="29" t="n">
        <v>4556.93783</v>
      </c>
      <c r="Q78" s="29" t="n">
        <v>4563.95024</v>
      </c>
      <c r="R78" s="29" t="n">
        <v>4611.96791</v>
      </c>
      <c r="S78" s="29" t="n">
        <v>4587.7843</v>
      </c>
      <c r="V78" s="29" t="n">
        <v>4531.30505</v>
      </c>
      <c r="AB78" s="29" t="n">
        <v>4553.70883</v>
      </c>
      <c r="AC78" s="29" t="n">
        <v>4549.94477</v>
      </c>
      <c r="AD78" s="29" t="n">
        <v>0</v>
      </c>
    </row>
    <row r="79" ht="14.25" customHeight="1" s="28">
      <c r="A79" s="29" t="n">
        <v>1777478401</v>
      </c>
      <c r="B79" s="29" t="inlineStr">
        <is>
          <t>XAUUSD</t>
        </is>
      </c>
      <c r="C79" s="29" t="inlineStr">
        <is>
          <t>M15</t>
        </is>
      </c>
      <c r="D79" s="29" t="n">
        <v>4559.1</v>
      </c>
      <c r="E79" s="29" t="n">
        <v>4717.79398</v>
      </c>
      <c r="F79" s="29" t="n">
        <v>4695.2428</v>
      </c>
      <c r="G79" s="29" t="n">
        <v>4518.59282</v>
      </c>
      <c r="H79" s="29" t="n">
        <v>4596.05595</v>
      </c>
      <c r="I79" s="29" t="n">
        <v>4755.40355</v>
      </c>
      <c r="J79" s="29" t="n">
        <v>4792.76972</v>
      </c>
      <c r="K79" s="29" t="n">
        <v>4769.97694</v>
      </c>
      <c r="L79" s="29" t="n">
        <v>4716.33597</v>
      </c>
      <c r="M79" s="29" t="n">
        <v>4718.85043</v>
      </c>
      <c r="N79" s="29" t="n">
        <v>4531.36057</v>
      </c>
      <c r="O79" s="29" t="n">
        <v>4556.93783</v>
      </c>
      <c r="Q79" s="29" t="n">
        <v>4564.15269</v>
      </c>
      <c r="R79" s="29" t="n">
        <v>4612.17035</v>
      </c>
      <c r="S79" s="29" t="n">
        <v>4587.98674</v>
      </c>
      <c r="V79" s="29" t="n">
        <v>4531.5075</v>
      </c>
      <c r="AB79" s="29" t="n">
        <v>4555.59548</v>
      </c>
      <c r="AC79" s="29" t="n">
        <v>4552.77012</v>
      </c>
      <c r="AD79" s="29" t="n">
        <v>0</v>
      </c>
    </row>
    <row r="80" ht="14.25" customHeight="1" s="28">
      <c r="A80" s="29" t="n">
        <v>1777479301</v>
      </c>
      <c r="B80" s="29" t="inlineStr">
        <is>
          <t>XAUUSD</t>
        </is>
      </c>
      <c r="C80" s="29" t="inlineStr">
        <is>
          <t>M15</t>
        </is>
      </c>
      <c r="D80" s="29" t="n">
        <v>4560.23</v>
      </c>
      <c r="E80" s="29" t="n">
        <v>4717.79398</v>
      </c>
      <c r="F80" s="29" t="n">
        <v>4695.2428</v>
      </c>
      <c r="G80" s="29" t="n">
        <v>4518.59282</v>
      </c>
      <c r="H80" s="29" t="n">
        <v>4596.05595</v>
      </c>
      <c r="I80" s="29" t="n">
        <v>4755.40355</v>
      </c>
      <c r="J80" s="29" t="n">
        <v>4792.76972</v>
      </c>
      <c r="K80" s="29" t="n">
        <v>4769.97694</v>
      </c>
      <c r="L80" s="29" t="n">
        <v>4716.33597</v>
      </c>
      <c r="M80" s="29" t="n">
        <v>4718.85043</v>
      </c>
      <c r="N80" s="29" t="n">
        <v>4531.36057</v>
      </c>
      <c r="O80" s="29" t="n">
        <v>4556.93783</v>
      </c>
      <c r="Q80" s="29" t="n">
        <v>4564.35514</v>
      </c>
      <c r="R80" s="29" t="n">
        <v>4612.3728</v>
      </c>
      <c r="S80" s="29" t="n">
        <v>4588.18919</v>
      </c>
      <c r="V80" s="29" t="n">
        <v>4531.70994</v>
      </c>
      <c r="AB80" s="29" t="n">
        <v>4555.7869</v>
      </c>
      <c r="AC80" s="29" t="n">
        <v>4554.27851</v>
      </c>
      <c r="AD80" s="29" t="n">
        <v>0</v>
      </c>
    </row>
    <row r="81" ht="14.25" customHeight="1" s="28">
      <c r="A81" s="29" t="n">
        <v>1777480201</v>
      </c>
      <c r="B81" s="29" t="inlineStr">
        <is>
          <t>XAUUSD</t>
        </is>
      </c>
      <c r="C81" s="29" t="inlineStr">
        <is>
          <t>M15</t>
        </is>
      </c>
      <c r="D81" s="29" t="n">
        <v>4550.51</v>
      </c>
      <c r="E81" s="29" t="n">
        <v>4717.79398</v>
      </c>
      <c r="F81" s="29" t="n">
        <v>4695.2428</v>
      </c>
      <c r="G81" s="29" t="n">
        <v>4518.59282</v>
      </c>
      <c r="H81" s="29" t="n">
        <v>4596.05595</v>
      </c>
      <c r="I81" s="29" t="n">
        <v>4755.40355</v>
      </c>
      <c r="J81" s="29" t="n">
        <v>4792.76972</v>
      </c>
      <c r="K81" s="29" t="n">
        <v>4769.97694</v>
      </c>
      <c r="L81" s="29" t="n">
        <v>4716.33597</v>
      </c>
      <c r="M81" s="29" t="n">
        <v>4718.85043</v>
      </c>
      <c r="N81" s="29" t="n">
        <v>4531.36057</v>
      </c>
      <c r="O81" s="29" t="n">
        <v>4556.93783</v>
      </c>
      <c r="Q81" s="29" t="n">
        <v>4564.55758</v>
      </c>
      <c r="R81" s="29" t="n">
        <v>4612.57525</v>
      </c>
      <c r="S81" s="29" t="n">
        <v>4588.39163</v>
      </c>
      <c r="V81" s="29" t="n">
        <v>4531.91239</v>
      </c>
      <c r="AB81" s="29" t="n">
        <v>4554.30816</v>
      </c>
      <c r="AC81" s="29" t="n">
        <v>4554.29334</v>
      </c>
      <c r="AD81" s="29" t="n">
        <v>0</v>
      </c>
    </row>
    <row r="82" ht="14.25" customHeight="1" s="28">
      <c r="A82" s="29" t="n">
        <v>1777481101</v>
      </c>
      <c r="B82" s="29" t="inlineStr">
        <is>
          <t>XAUUSD</t>
        </is>
      </c>
      <c r="C82" s="29" t="inlineStr">
        <is>
          <t>M15</t>
        </is>
      </c>
      <c r="D82" s="29" t="n">
        <v>4545.36</v>
      </c>
      <c r="E82" s="29" t="n">
        <v>4717.79398</v>
      </c>
      <c r="F82" s="29" t="n">
        <v>4695.2428</v>
      </c>
      <c r="G82" s="29" t="n">
        <v>4518.59282</v>
      </c>
      <c r="H82" s="29" t="n">
        <v>4596.05595</v>
      </c>
      <c r="I82" s="29" t="n">
        <v>4755.40355</v>
      </c>
      <c r="J82" s="29" t="n">
        <v>4792.76972</v>
      </c>
      <c r="K82" s="29" t="n">
        <v>4769.97694</v>
      </c>
      <c r="L82" s="29" t="n">
        <v>4716.33597</v>
      </c>
      <c r="M82" s="29" t="n">
        <v>4718.85043</v>
      </c>
      <c r="N82" s="29" t="n">
        <v>4531.36057</v>
      </c>
      <c r="O82" s="29" t="n">
        <v>4556.93783</v>
      </c>
      <c r="Q82" s="29" t="n">
        <v>4564.76003</v>
      </c>
      <c r="R82" s="29" t="n">
        <v>4612.77769</v>
      </c>
      <c r="S82" s="29" t="n">
        <v>4588.59408</v>
      </c>
      <c r="V82" s="29" t="n">
        <v>4532.11484</v>
      </c>
      <c r="AB82" s="29" t="n">
        <v>4551.6611</v>
      </c>
      <c r="AC82" s="29" t="n">
        <v>4552.97722</v>
      </c>
      <c r="AD82" s="29" t="n">
        <v>1</v>
      </c>
    </row>
    <row r="83" ht="14.25" customHeight="1" s="28">
      <c r="A83" s="29" t="n">
        <v>1777482001</v>
      </c>
      <c r="B83" s="29" t="inlineStr">
        <is>
          <t>XAUUSD</t>
        </is>
      </c>
      <c r="C83" s="29" t="inlineStr">
        <is>
          <t>M15</t>
        </is>
      </c>
      <c r="D83" s="29" t="n">
        <v>4550.68</v>
      </c>
      <c r="E83" s="29" t="n">
        <v>4717.79398</v>
      </c>
      <c r="F83" s="29" t="n">
        <v>4695.2428</v>
      </c>
      <c r="G83" s="29" t="n">
        <v>4518.59282</v>
      </c>
      <c r="H83" s="29" t="n">
        <v>4596.05595</v>
      </c>
      <c r="I83" s="29" t="n">
        <v>4755.40355</v>
      </c>
      <c r="J83" s="29" t="n">
        <v>4792.76972</v>
      </c>
      <c r="K83" s="29" t="n">
        <v>4769.97694</v>
      </c>
      <c r="L83" s="29" t="n">
        <v>4716.33597</v>
      </c>
      <c r="M83" s="29" t="n">
        <v>4718.85043</v>
      </c>
      <c r="N83" s="29" t="n">
        <v>4531.36057</v>
      </c>
      <c r="O83" s="29" t="n">
        <v>4556.93783</v>
      </c>
      <c r="Q83" s="29" t="n">
        <v>4564.96247</v>
      </c>
      <c r="R83" s="29" t="n">
        <v>4612.98014</v>
      </c>
      <c r="S83" s="29" t="n">
        <v>4588.79652</v>
      </c>
      <c r="V83" s="29" t="n">
        <v>4532.31728</v>
      </c>
      <c r="AB83" s="29" t="n">
        <v>4548.32138</v>
      </c>
      <c r="AC83" s="29" t="n">
        <v>4550.6493</v>
      </c>
      <c r="AD83" s="29" t="n">
        <v>0</v>
      </c>
    </row>
    <row r="84" ht="14.25" customHeight="1" s="28">
      <c r="A84" s="29" t="n">
        <v>1777482901</v>
      </c>
      <c r="B84" s="29" t="inlineStr">
        <is>
          <t>XAUUSD</t>
        </is>
      </c>
      <c r="C84" s="29" t="inlineStr">
        <is>
          <t>M15</t>
        </is>
      </c>
      <c r="D84" s="29" t="n">
        <v>4547.23</v>
      </c>
      <c r="E84" s="29" t="n">
        <v>4717.79398</v>
      </c>
      <c r="F84" s="29" t="n">
        <v>4695.2428</v>
      </c>
      <c r="G84" s="29" t="n">
        <v>4518.59282</v>
      </c>
      <c r="H84" s="29" t="n">
        <v>4596.05595</v>
      </c>
      <c r="I84" s="29" t="n">
        <v>4755.40355</v>
      </c>
      <c r="J84" s="29" t="n">
        <v>4792.76972</v>
      </c>
      <c r="K84" s="29" t="n">
        <v>4769.97694</v>
      </c>
      <c r="L84" s="29" t="n">
        <v>4716.33597</v>
      </c>
      <c r="M84" s="29" t="n">
        <v>4718.85043</v>
      </c>
      <c r="N84" s="29" t="n">
        <v>4531.36057</v>
      </c>
      <c r="O84" s="29" t="n">
        <v>4556.93783</v>
      </c>
      <c r="Q84" s="29" t="n">
        <v>4565.16492</v>
      </c>
      <c r="R84" s="29" t="n">
        <v>4613.18258</v>
      </c>
      <c r="S84" s="29" t="n">
        <v>4588.99897</v>
      </c>
      <c r="V84" s="29" t="n">
        <v>4532.51973</v>
      </c>
      <c r="AB84" s="29" t="n">
        <v>4544.54776</v>
      </c>
      <c r="AC84" s="29" t="n">
        <v>4547.59853</v>
      </c>
      <c r="AD84" s="29" t="n">
        <v>0</v>
      </c>
    </row>
    <row r="85" ht="14.25" customHeight="1" s="28">
      <c r="A85" s="29" t="n">
        <v>1777483801</v>
      </c>
      <c r="B85" s="29" t="inlineStr">
        <is>
          <t>XAUUSD</t>
        </is>
      </c>
      <c r="C85" s="29" t="inlineStr">
        <is>
          <t>M15</t>
        </is>
      </c>
      <c r="D85" s="29" t="n">
        <v>4544.75</v>
      </c>
      <c r="E85" s="29" t="n">
        <v>4717.79398</v>
      </c>
      <c r="F85" s="29" t="n">
        <v>4695.2428</v>
      </c>
      <c r="G85" s="29" t="n">
        <v>4518.59282</v>
      </c>
      <c r="H85" s="29" t="n">
        <v>4596.05595</v>
      </c>
      <c r="I85" s="29" t="n">
        <v>4755.40355</v>
      </c>
      <c r="J85" s="29" t="n">
        <v>4792.76972</v>
      </c>
      <c r="K85" s="29" t="n">
        <v>4769.97694</v>
      </c>
      <c r="L85" s="29" t="n">
        <v>4716.33597</v>
      </c>
      <c r="M85" s="29" t="n">
        <v>4718.85043</v>
      </c>
      <c r="N85" s="29" t="n">
        <v>4531.36057</v>
      </c>
      <c r="O85" s="29" t="n">
        <v>4556.93783</v>
      </c>
      <c r="Q85" s="29" t="n">
        <v>4565.36736</v>
      </c>
      <c r="R85" s="29" t="n">
        <v>4613.38503</v>
      </c>
      <c r="S85" s="29" t="n">
        <v>4589.20142</v>
      </c>
      <c r="V85" s="29" t="n">
        <v>4532.72217</v>
      </c>
      <c r="AB85" s="29" t="n">
        <v>4540.83178</v>
      </c>
      <c r="AC85" s="29" t="n">
        <v>4544.21516</v>
      </c>
      <c r="AD85" s="29" t="n">
        <v>0</v>
      </c>
    </row>
    <row r="86" ht="14.25" customHeight="1" s="28">
      <c r="A86" s="29" t="n">
        <v>1777484701</v>
      </c>
      <c r="B86" s="29" t="inlineStr">
        <is>
          <t>XAUUSD</t>
        </is>
      </c>
      <c r="C86" s="29" t="inlineStr">
        <is>
          <t>M15</t>
        </is>
      </c>
      <c r="D86" s="29" t="n">
        <v>4547.33</v>
      </c>
      <c r="E86" s="29" t="n">
        <v>4717.79398</v>
      </c>
      <c r="F86" s="29" t="n">
        <v>4695.2428</v>
      </c>
      <c r="G86" s="29" t="n">
        <v>4518.59282</v>
      </c>
      <c r="H86" s="29" t="n">
        <v>4596.05595</v>
      </c>
      <c r="I86" s="29" t="n">
        <v>4755.40355</v>
      </c>
      <c r="J86" s="29" t="n">
        <v>4792.76972</v>
      </c>
      <c r="K86" s="29" t="n">
        <v>4769.97694</v>
      </c>
      <c r="L86" s="29" t="n">
        <v>4716.33597</v>
      </c>
      <c r="M86" s="29" t="n">
        <v>4718.85043</v>
      </c>
      <c r="N86" s="29" t="n">
        <v>4531.36057</v>
      </c>
      <c r="O86" s="29" t="n">
        <v>4556.93783</v>
      </c>
      <c r="Q86" s="29" t="n">
        <v>4565.56981</v>
      </c>
      <c r="R86" s="29" t="n">
        <v>4613.58747</v>
      </c>
      <c r="S86" s="29" t="n">
        <v>4589.40386</v>
      </c>
      <c r="V86" s="29" t="n">
        <v>4532.92462</v>
      </c>
      <c r="AB86" s="29" t="n">
        <v>4537.58408</v>
      </c>
      <c r="AC86" s="29" t="n">
        <v>4540.89962</v>
      </c>
      <c r="AD86" s="29" t="n">
        <v>0</v>
      </c>
    </row>
    <row r="87" ht="14.25" customHeight="1" s="28">
      <c r="A87" s="29" t="n">
        <v>1777485601</v>
      </c>
      <c r="B87" s="29" t="inlineStr">
        <is>
          <t>XAUUSD</t>
        </is>
      </c>
      <c r="C87" s="29" t="inlineStr">
        <is>
          <t>M15</t>
        </is>
      </c>
      <c r="D87" s="29" t="n">
        <v>4525.75</v>
      </c>
      <c r="E87" s="29" t="n">
        <v>4717.79398</v>
      </c>
      <c r="F87" s="29" t="n">
        <v>4695.2428</v>
      </c>
      <c r="G87" s="29" t="n">
        <v>4518.59282</v>
      </c>
      <c r="H87" s="29" t="n">
        <v>4596.05595</v>
      </c>
      <c r="I87" s="29" t="n">
        <v>4755.40355</v>
      </c>
      <c r="J87" s="29" t="n">
        <v>4792.76972</v>
      </c>
      <c r="K87" s="29" t="n">
        <v>4769.97694</v>
      </c>
      <c r="L87" s="29" t="n">
        <v>4716.33597</v>
      </c>
      <c r="M87" s="29" t="n">
        <v>4718.85043</v>
      </c>
      <c r="N87" s="29" t="n">
        <v>4531.36057</v>
      </c>
      <c r="O87" s="29" t="n">
        <v>4556.93783</v>
      </c>
      <c r="Q87" s="29" t="n">
        <v>4565.77226</v>
      </c>
      <c r="R87" s="29" t="n">
        <v>4613.78992</v>
      </c>
      <c r="S87" s="29" t="n">
        <v>4589.60631</v>
      </c>
      <c r="V87" s="29" t="n">
        <v>4533.12706</v>
      </c>
      <c r="AB87" s="29" t="n">
        <v>4535.04299</v>
      </c>
      <c r="AC87" s="29" t="n">
        <v>4537.97131</v>
      </c>
      <c r="AD87" s="29" t="n">
        <v>0</v>
      </c>
    </row>
    <row r="88" ht="14.25" customHeight="1" s="28">
      <c r="A88" s="29" t="n">
        <v>1777486501</v>
      </c>
      <c r="B88" s="29" t="inlineStr">
        <is>
          <t>XAUUSD</t>
        </is>
      </c>
      <c r="C88" s="29" t="inlineStr">
        <is>
          <t>M15</t>
        </is>
      </c>
      <c r="D88" s="29" t="n">
        <v>4532.95</v>
      </c>
      <c r="E88" s="29" t="n">
        <v>4717.79398</v>
      </c>
      <c r="F88" s="29" t="n">
        <v>4695.2428</v>
      </c>
      <c r="G88" s="29" t="n">
        <v>4518.59282</v>
      </c>
      <c r="H88" s="29" t="n">
        <v>4596.05595</v>
      </c>
      <c r="I88" s="29" t="n">
        <v>4755.40355</v>
      </c>
      <c r="J88" s="29" t="n">
        <v>4792.76972</v>
      </c>
      <c r="K88" s="29" t="n">
        <v>4769.97694</v>
      </c>
      <c r="L88" s="29" t="n">
        <v>4716.33597</v>
      </c>
      <c r="M88" s="29" t="n">
        <v>4718.85043</v>
      </c>
      <c r="N88" s="29" t="n">
        <v>4531.36057</v>
      </c>
      <c r="O88" s="29" t="n">
        <v>4556.93783</v>
      </c>
      <c r="Q88" s="29" t="n">
        <v>4565.9747</v>
      </c>
      <c r="R88" s="29" t="n">
        <v>4613.99237</v>
      </c>
      <c r="S88" s="29" t="n">
        <v>4589.80875</v>
      </c>
      <c r="V88" s="29" t="n">
        <v>4533.32951</v>
      </c>
      <c r="AB88" s="29" t="n">
        <v>4534.01298</v>
      </c>
      <c r="AC88" s="29" t="n">
        <v>4535.99214</v>
      </c>
      <c r="AD88" s="29" t="n">
        <v>0</v>
      </c>
    </row>
    <row r="89" ht="14.25" customHeight="1" s="28">
      <c r="A89" s="29" t="n">
        <v>1777487401</v>
      </c>
      <c r="B89" s="29" t="inlineStr">
        <is>
          <t>XAUUSD</t>
        </is>
      </c>
      <c r="C89" s="29" t="inlineStr">
        <is>
          <t>M15</t>
        </is>
      </c>
      <c r="D89" s="29" t="n">
        <v>4520.81</v>
      </c>
      <c r="E89" s="29" t="n">
        <v>4717.79398</v>
      </c>
      <c r="F89" s="29" t="n">
        <v>4695.2428</v>
      </c>
      <c r="G89" s="29" t="n">
        <v>4518.59282</v>
      </c>
      <c r="H89" s="29" t="n">
        <v>4596.05595</v>
      </c>
      <c r="I89" s="29" t="n">
        <v>4755.40355</v>
      </c>
      <c r="J89" s="29" t="n">
        <v>4792.76972</v>
      </c>
      <c r="K89" s="29" t="n">
        <v>4769.97694</v>
      </c>
      <c r="L89" s="29" t="n">
        <v>4716.33597</v>
      </c>
      <c r="M89" s="29" t="n">
        <v>4718.85043</v>
      </c>
      <c r="N89" s="29" t="n">
        <v>4531.36057</v>
      </c>
      <c r="O89" s="29" t="n">
        <v>4556.93783</v>
      </c>
      <c r="Q89" s="29" t="n">
        <v>4566.17715</v>
      </c>
      <c r="R89" s="29" t="n">
        <v>4614.19481</v>
      </c>
      <c r="S89" s="29" t="n">
        <v>4590.0112</v>
      </c>
      <c r="V89" s="29" t="n">
        <v>4533.53195</v>
      </c>
      <c r="AB89" s="29" t="n">
        <v>4534.27835</v>
      </c>
      <c r="AC89" s="29" t="n">
        <v>4535.13525</v>
      </c>
      <c r="AD89" s="29" t="n">
        <v>0</v>
      </c>
    </row>
    <row r="90" ht="14.25" customHeight="1" s="28">
      <c r="A90" s="29" t="n">
        <v>1777488301</v>
      </c>
      <c r="B90" s="29" t="inlineStr">
        <is>
          <t>XAUUSD</t>
        </is>
      </c>
      <c r="C90" s="29" t="inlineStr">
        <is>
          <t>M15</t>
        </is>
      </c>
      <c r="D90" s="29" t="n">
        <v>4538.19</v>
      </c>
      <c r="E90" s="29" t="n">
        <v>4717.79398</v>
      </c>
      <c r="F90" s="29" t="n">
        <v>4695.2428</v>
      </c>
      <c r="G90" s="29" t="n">
        <v>4518.59282</v>
      </c>
      <c r="H90" s="29" t="n">
        <v>4596.05595</v>
      </c>
      <c r="I90" s="29" t="n">
        <v>4755.40355</v>
      </c>
      <c r="J90" s="29" t="n">
        <v>4792.76972</v>
      </c>
      <c r="K90" s="29" t="n">
        <v>4769.97694</v>
      </c>
      <c r="L90" s="29" t="n">
        <v>4716.33597</v>
      </c>
      <c r="M90" s="29" t="n">
        <v>4718.85043</v>
      </c>
      <c r="N90" s="29" t="n">
        <v>4531.36057</v>
      </c>
      <c r="O90" s="29" t="n">
        <v>4556.93783</v>
      </c>
      <c r="Q90" s="29" t="n">
        <v>4566.37959</v>
      </c>
      <c r="R90" s="29" t="n">
        <v>4614.39726</v>
      </c>
      <c r="S90" s="29" t="n">
        <v>4590.21364</v>
      </c>
      <c r="V90" s="29" t="n">
        <v>4533.7344</v>
      </c>
      <c r="AA90" s="29" t="n">
        <v>4518.41</v>
      </c>
      <c r="AB90" s="29" t="n">
        <v>4535.96113</v>
      </c>
      <c r="AC90" s="29" t="n">
        <v>4535.54819</v>
      </c>
      <c r="AD90" s="29" t="n">
        <v>1</v>
      </c>
    </row>
    <row r="91" ht="14.25" customHeight="1" s="28">
      <c r="A91" s="29" t="n">
        <v>1777489201</v>
      </c>
      <c r="B91" s="29" t="inlineStr">
        <is>
          <t>XAUUSD</t>
        </is>
      </c>
      <c r="C91" s="29" t="inlineStr">
        <is>
          <t>M15</t>
        </is>
      </c>
      <c r="D91" s="29" t="n">
        <v>4547.72</v>
      </c>
      <c r="E91" s="29" t="n">
        <v>4717.79398</v>
      </c>
      <c r="F91" s="29" t="n">
        <v>4695.2428</v>
      </c>
      <c r="G91" s="29" t="n">
        <v>4518.59282</v>
      </c>
      <c r="H91" s="29" t="n">
        <v>4596.05595</v>
      </c>
      <c r="I91" s="29" t="n">
        <v>4755.40355</v>
      </c>
      <c r="J91" s="29" t="n">
        <v>4792.76972</v>
      </c>
      <c r="K91" s="29" t="n">
        <v>4769.97694</v>
      </c>
      <c r="L91" s="29" t="n">
        <v>4716.33597</v>
      </c>
      <c r="M91" s="29" t="n">
        <v>4718.85043</v>
      </c>
      <c r="N91" s="29" t="n">
        <v>4531.36057</v>
      </c>
      <c r="O91" s="29" t="n">
        <v>4556.93783</v>
      </c>
      <c r="Q91" s="29" t="n">
        <v>4566.58204</v>
      </c>
      <c r="R91" s="29" t="n">
        <v>4614.5997</v>
      </c>
      <c r="S91" s="29" t="n">
        <v>4590.41609</v>
      </c>
      <c r="V91" s="29" t="n">
        <v>4533.93685</v>
      </c>
      <c r="AB91" s="29" t="n">
        <v>4538.22619</v>
      </c>
      <c r="AC91" s="29" t="n">
        <v>4536.88719</v>
      </c>
      <c r="AD91" s="29" t="n">
        <v>0</v>
      </c>
    </row>
    <row r="92" ht="14.25" customHeight="1" s="28">
      <c r="A92" s="29" t="n">
        <v>1777490101</v>
      </c>
      <c r="B92" s="29" t="inlineStr">
        <is>
          <t>XAUUSD</t>
        </is>
      </c>
      <c r="C92" s="29" t="inlineStr">
        <is>
          <t>M15</t>
        </is>
      </c>
      <c r="D92" s="29" t="n">
        <v>4542.84</v>
      </c>
      <c r="E92" s="29" t="n">
        <v>4717.79398</v>
      </c>
      <c r="F92" s="29" t="n">
        <v>4695.2428</v>
      </c>
      <c r="G92" s="29" t="n">
        <v>4518.59282</v>
      </c>
      <c r="H92" s="29" t="n">
        <v>4596.05595</v>
      </c>
      <c r="I92" s="29" t="n">
        <v>4755.40355</v>
      </c>
      <c r="J92" s="29" t="n">
        <v>4792.76972</v>
      </c>
      <c r="K92" s="29" t="n">
        <v>4769.97694</v>
      </c>
      <c r="L92" s="29" t="n">
        <v>4716.33597</v>
      </c>
      <c r="M92" s="29" t="n">
        <v>4718.85043</v>
      </c>
      <c r="N92" s="29" t="n">
        <v>4531.36057</v>
      </c>
      <c r="O92" s="29" t="n">
        <v>4556.93783</v>
      </c>
      <c r="Q92" s="29" t="n">
        <v>4566.78448</v>
      </c>
      <c r="R92" s="29" t="n">
        <v>4614.80215</v>
      </c>
      <c r="S92" s="29" t="n">
        <v>4590.61854</v>
      </c>
      <c r="V92" s="29" t="n">
        <v>4534.13929</v>
      </c>
      <c r="AB92" s="29" t="n">
        <v>4540.41526</v>
      </c>
      <c r="AC92" s="29" t="n">
        <v>4538.65123</v>
      </c>
      <c r="AD92" s="29" t="n">
        <v>0</v>
      </c>
    </row>
    <row r="93" ht="14.25" customHeight="1" s="28">
      <c r="A93" s="29" t="n">
        <v>1777491001</v>
      </c>
      <c r="B93" s="29" t="inlineStr">
        <is>
          <t>XAUUSD</t>
        </is>
      </c>
      <c r="C93" s="29" t="inlineStr">
        <is>
          <t>M15</t>
        </is>
      </c>
      <c r="D93" s="29" t="n">
        <v>4539.61</v>
      </c>
      <c r="E93" s="29" t="n">
        <v>4717.79398</v>
      </c>
      <c r="F93" s="29" t="n">
        <v>4695.2428</v>
      </c>
      <c r="G93" s="29" t="n">
        <v>4518.59282</v>
      </c>
      <c r="H93" s="29" t="n">
        <v>4596.05595</v>
      </c>
      <c r="I93" s="29" t="n">
        <v>4755.40355</v>
      </c>
      <c r="J93" s="29" t="n">
        <v>4792.76972</v>
      </c>
      <c r="K93" s="29" t="n">
        <v>4769.97694</v>
      </c>
      <c r="L93" s="29" t="n">
        <v>4716.33597</v>
      </c>
      <c r="M93" s="29" t="n">
        <v>4718.85043</v>
      </c>
      <c r="N93" s="29" t="n">
        <v>4531.36057</v>
      </c>
      <c r="O93" s="29" t="n">
        <v>4556.93783</v>
      </c>
      <c r="Q93" s="29" t="n">
        <v>4566.98693</v>
      </c>
      <c r="R93" s="29" t="n">
        <v>4615.00459</v>
      </c>
      <c r="S93" s="29" t="n">
        <v>4590.82098</v>
      </c>
      <c r="V93" s="29" t="n">
        <v>4534.34174</v>
      </c>
      <c r="AB93" s="29" t="n">
        <v>4542.37717</v>
      </c>
      <c r="AC93" s="29" t="n">
        <v>4540.5142</v>
      </c>
      <c r="AD93" s="29" t="n">
        <v>0</v>
      </c>
    </row>
    <row r="94" ht="14.25" customHeight="1" s="28">
      <c r="A94" s="29" t="n">
        <v>1777491901</v>
      </c>
      <c r="B94" s="29" t="inlineStr">
        <is>
          <t>XAUUSD</t>
        </is>
      </c>
      <c r="C94" s="29" t="inlineStr">
        <is>
          <t>M15</t>
        </is>
      </c>
      <c r="D94" s="29" t="n">
        <v>4547.05</v>
      </c>
      <c r="E94" s="29" t="n">
        <v>4717.79398</v>
      </c>
      <c r="F94" s="29" t="n">
        <v>4695.2428</v>
      </c>
      <c r="G94" s="29" t="n">
        <v>4518.59282</v>
      </c>
      <c r="H94" s="29" t="n">
        <v>4596.05595</v>
      </c>
      <c r="I94" s="29" t="n">
        <v>4755.40355</v>
      </c>
      <c r="J94" s="29" t="n">
        <v>4792.76972</v>
      </c>
      <c r="K94" s="29" t="n">
        <v>4769.97694</v>
      </c>
      <c r="L94" s="29" t="n">
        <v>4716.33597</v>
      </c>
      <c r="M94" s="29" t="n">
        <v>4718.85043</v>
      </c>
      <c r="N94" s="29" t="n">
        <v>4531.36057</v>
      </c>
      <c r="O94" s="29" t="n">
        <v>4556.93783</v>
      </c>
      <c r="Q94" s="29" t="n">
        <v>4567.18938</v>
      </c>
      <c r="R94" s="29" t="n">
        <v>4615.20704</v>
      </c>
      <c r="S94" s="29" t="n">
        <v>4591.02343</v>
      </c>
      <c r="V94" s="29" t="n">
        <v>4534.54418</v>
      </c>
      <c r="AB94" s="29" t="n">
        <v>4544.01563</v>
      </c>
      <c r="AC94" s="29" t="n">
        <v>4542.26491</v>
      </c>
      <c r="AD94" s="29" t="n">
        <v>0</v>
      </c>
    </row>
    <row r="95" ht="14.25" customHeight="1" s="28">
      <c r="A95" s="29" t="n">
        <v>1777492801</v>
      </c>
      <c r="B95" s="29" t="inlineStr">
        <is>
          <t>XAUUSD</t>
        </is>
      </c>
      <c r="C95" s="29" t="inlineStr">
        <is>
          <t>M15</t>
        </is>
      </c>
      <c r="D95" s="29" t="n">
        <v>4546.25</v>
      </c>
      <c r="E95" s="29" t="n">
        <v>4717.79398</v>
      </c>
      <c r="F95" s="29" t="n">
        <v>4695.2428</v>
      </c>
      <c r="G95" s="29" t="n">
        <v>4518.59282</v>
      </c>
      <c r="H95" s="29" t="n">
        <v>4596.05595</v>
      </c>
      <c r="I95" s="29" t="n">
        <v>4755.40355</v>
      </c>
      <c r="J95" s="29" t="n">
        <v>4792.76972</v>
      </c>
      <c r="K95" s="29" t="n">
        <v>4769.97694</v>
      </c>
      <c r="L95" s="29" t="n">
        <v>4716.33597</v>
      </c>
      <c r="M95" s="29" t="n">
        <v>4718.85043</v>
      </c>
      <c r="N95" s="29" t="n">
        <v>4531.36057</v>
      </c>
      <c r="O95" s="29" t="n">
        <v>4556.93783</v>
      </c>
      <c r="Q95" s="29" t="n">
        <v>4567.39182</v>
      </c>
      <c r="R95" s="29" t="n">
        <v>4615.40949</v>
      </c>
      <c r="S95" s="29" t="n">
        <v>4591.22587</v>
      </c>
      <c r="V95" s="29" t="n">
        <v>4534.74663</v>
      </c>
      <c r="AB95" s="29" t="n">
        <v>4545.08305</v>
      </c>
      <c r="AC95" s="29" t="n">
        <v>4543.67398</v>
      </c>
      <c r="AD95" s="29" t="n">
        <v>0</v>
      </c>
    </row>
    <row r="96" ht="14.25" customHeight="1" s="28">
      <c r="A96" s="29" t="n">
        <v>1777493701</v>
      </c>
      <c r="B96" s="29" t="inlineStr">
        <is>
          <t>XAUUSD</t>
        </is>
      </c>
      <c r="C96" s="29" t="inlineStr">
        <is>
          <t>M15</t>
        </is>
      </c>
      <c r="D96" s="29" t="n">
        <v>4543.25</v>
      </c>
      <c r="E96" s="29" t="n">
        <v>4717.79398</v>
      </c>
      <c r="F96" s="29" t="n">
        <v>4695.2428</v>
      </c>
      <c r="G96" s="29" t="n">
        <v>4518.59282</v>
      </c>
      <c r="H96" s="29" t="n">
        <v>4596.05595</v>
      </c>
      <c r="I96" s="29" t="n">
        <v>4755.40355</v>
      </c>
      <c r="J96" s="29" t="n">
        <v>4792.76972</v>
      </c>
      <c r="K96" s="29" t="n">
        <v>4769.97694</v>
      </c>
      <c r="L96" s="29" t="n">
        <v>4716.33597</v>
      </c>
      <c r="M96" s="29" t="n">
        <v>4718.85043</v>
      </c>
      <c r="N96" s="29" t="n">
        <v>4531.36057</v>
      </c>
      <c r="O96" s="29" t="n">
        <v>4556.93783</v>
      </c>
      <c r="Q96" s="29" t="n">
        <v>4567.59427</v>
      </c>
      <c r="R96" s="29" t="n">
        <v>4615.61193</v>
      </c>
      <c r="S96" s="29" t="n">
        <v>4591.42832</v>
      </c>
      <c r="V96" s="29" t="n">
        <v>4534.94907</v>
      </c>
      <c r="AB96" s="29" t="n">
        <v>4545.66618</v>
      </c>
      <c r="AC96" s="29" t="n">
        <v>4544.67008</v>
      </c>
      <c r="AD96" s="29" t="n">
        <v>0</v>
      </c>
    </row>
    <row r="97" ht="14.25" customHeight="1" s="28">
      <c r="A97" s="29" t="n">
        <v>1777494601</v>
      </c>
      <c r="B97" s="29" t="inlineStr">
        <is>
          <t>XAUUSD</t>
        </is>
      </c>
      <c r="C97" s="29" t="inlineStr">
        <is>
          <t>M15</t>
        </is>
      </c>
      <c r="D97" s="29" t="n">
        <v>4543.79</v>
      </c>
      <c r="E97" s="29" t="n">
        <v>4717.79398</v>
      </c>
      <c r="F97" s="29" t="n">
        <v>4695.2428</v>
      </c>
      <c r="G97" s="29" t="n">
        <v>4518.59282</v>
      </c>
      <c r="H97" s="29" t="n">
        <v>4596.05595</v>
      </c>
      <c r="I97" s="29" t="n">
        <v>4755.40355</v>
      </c>
      <c r="J97" s="29" t="n">
        <v>4792.76972</v>
      </c>
      <c r="K97" s="29" t="n">
        <v>4769.97694</v>
      </c>
      <c r="L97" s="29" t="n">
        <v>4716.33597</v>
      </c>
      <c r="M97" s="29" t="n">
        <v>4718.85043</v>
      </c>
      <c r="N97" s="29" t="n">
        <v>4531.36057</v>
      </c>
      <c r="O97" s="29" t="n">
        <v>4556.93783</v>
      </c>
      <c r="Q97" s="29" t="n">
        <v>4567.79671</v>
      </c>
      <c r="R97" s="29" t="n">
        <v>4615.81438</v>
      </c>
      <c r="S97" s="29" t="n">
        <v>4591.63076</v>
      </c>
      <c r="V97" s="29" t="n">
        <v>4535.15152</v>
      </c>
      <c r="AB97" s="29" t="n">
        <v>4546.02341</v>
      </c>
      <c r="AC97" s="29" t="n">
        <v>4545.34675</v>
      </c>
      <c r="AD97" s="29" t="n">
        <v>0</v>
      </c>
    </row>
    <row r="98" ht="14.25" customHeight="1" s="28">
      <c r="A98" s="29" t="n">
        <v>1777495501</v>
      </c>
      <c r="B98" s="29" t="inlineStr">
        <is>
          <t>XAUUSD</t>
        </is>
      </c>
      <c r="C98" s="29" t="inlineStr">
        <is>
          <t>M15</t>
        </is>
      </c>
      <c r="D98" s="29" t="n">
        <v>4543.57</v>
      </c>
      <c r="E98" s="29" t="n">
        <v>4717.79398</v>
      </c>
      <c r="F98" s="29" t="n">
        <v>4695.2428</v>
      </c>
      <c r="G98" s="29" t="n">
        <v>4518.59282</v>
      </c>
      <c r="H98" s="29" t="n">
        <v>4596.05595</v>
      </c>
      <c r="I98" s="29" t="n">
        <v>4755.40355</v>
      </c>
      <c r="J98" s="29" t="n">
        <v>4792.76972</v>
      </c>
      <c r="K98" s="29" t="n">
        <v>4769.97694</v>
      </c>
      <c r="L98" s="29" t="n">
        <v>4716.33597</v>
      </c>
      <c r="M98" s="29" t="n">
        <v>4718.85043</v>
      </c>
      <c r="N98" s="29" t="n">
        <v>4531.36057</v>
      </c>
      <c r="O98" s="29" t="n">
        <v>4556.93783</v>
      </c>
      <c r="Q98" s="29" t="n">
        <v>4567.99916</v>
      </c>
      <c r="R98" s="29" t="n">
        <v>4616.01682</v>
      </c>
      <c r="S98" s="29" t="n">
        <v>4591.83321</v>
      </c>
      <c r="V98" s="29" t="n">
        <v>4535.35397</v>
      </c>
      <c r="AB98" s="29" t="n">
        <v>4546.30255</v>
      </c>
      <c r="AC98" s="29" t="n">
        <v>4545.82465</v>
      </c>
      <c r="AD98" s="29" t="n">
        <v>0</v>
      </c>
    </row>
    <row r="99" ht="14.25" customHeight="1" s="28">
      <c r="A99" s="29" t="n">
        <v>1777500001</v>
      </c>
      <c r="B99" s="29" t="inlineStr">
        <is>
          <t>XAUUSD</t>
        </is>
      </c>
      <c r="C99" s="29" t="inlineStr">
        <is>
          <t>M15</t>
        </is>
      </c>
      <c r="D99" s="29" t="n">
        <v>4546.4</v>
      </c>
      <c r="E99" s="29" t="n">
        <v>4717.79398</v>
      </c>
      <c r="F99" s="29" t="n">
        <v>4695.2428</v>
      </c>
      <c r="G99" s="29" t="n">
        <v>4518.59282</v>
      </c>
      <c r="H99" s="29" t="n">
        <v>4596.05595</v>
      </c>
      <c r="I99" s="29" t="n">
        <v>4755.40355</v>
      </c>
      <c r="J99" s="29" t="n">
        <v>4792.76972</v>
      </c>
      <c r="K99" s="29" t="n">
        <v>4769.97694</v>
      </c>
      <c r="L99" s="29" t="n">
        <v>4716.33597</v>
      </c>
      <c r="M99" s="29" t="n">
        <v>4718.85043</v>
      </c>
      <c r="N99" s="29" t="n">
        <v>4531.36057</v>
      </c>
      <c r="O99" s="29" t="n">
        <v>4556.93783</v>
      </c>
      <c r="Q99" s="29" t="n">
        <v>4568.2016</v>
      </c>
      <c r="R99" s="29" t="n">
        <v>4616.21927</v>
      </c>
      <c r="S99" s="29" t="n">
        <v>4592.03566</v>
      </c>
      <c r="V99" s="29" t="n">
        <v>4535.55641</v>
      </c>
      <c r="AB99" s="29" t="n">
        <v>4546.72227</v>
      </c>
      <c r="AC99" s="29" t="n">
        <v>4546.27346</v>
      </c>
      <c r="AD99" s="29" t="n">
        <v>0</v>
      </c>
    </row>
    <row r="100" ht="14.25" customHeight="1" s="28">
      <c r="A100" s="29" t="n">
        <v>1777500901</v>
      </c>
      <c r="B100" s="29" t="inlineStr">
        <is>
          <t>XAUUSD</t>
        </is>
      </c>
      <c r="C100" s="29" t="inlineStr">
        <is>
          <t>M15</t>
        </is>
      </c>
      <c r="D100" s="29" t="n">
        <v>4549.14</v>
      </c>
      <c r="E100" s="29" t="n">
        <v>4717.79398</v>
      </c>
      <c r="F100" s="29" t="n">
        <v>4695.2428</v>
      </c>
      <c r="G100" s="29" t="n">
        <v>4518.59282</v>
      </c>
      <c r="H100" s="29" t="n">
        <v>4596.05595</v>
      </c>
      <c r="I100" s="29" t="n">
        <v>4755.40355</v>
      </c>
      <c r="J100" s="29" t="n">
        <v>4792.76972</v>
      </c>
      <c r="K100" s="29" t="n">
        <v>4769.97694</v>
      </c>
      <c r="L100" s="29" t="n">
        <v>4716.33597</v>
      </c>
      <c r="M100" s="29" t="n">
        <v>4718.85043</v>
      </c>
      <c r="N100" s="29" t="n">
        <v>4531.36057</v>
      </c>
      <c r="O100" s="29" t="n">
        <v>4556.93783</v>
      </c>
      <c r="Q100" s="29" t="n">
        <v>4568.40405</v>
      </c>
      <c r="R100" s="29" t="n">
        <v>4616.42171</v>
      </c>
      <c r="S100" s="29" t="n">
        <v>4592.2381</v>
      </c>
      <c r="V100" s="29" t="n">
        <v>4535.75886</v>
      </c>
      <c r="AB100" s="29" t="n">
        <v>4547.40233</v>
      </c>
      <c r="AC100" s="29" t="n">
        <v>4546.83789</v>
      </c>
      <c r="AD100" s="29" t="n">
        <v>0</v>
      </c>
    </row>
    <row r="101" ht="14.25" customHeight="1" s="28">
      <c r="A101" s="29" t="n">
        <v>1777501801</v>
      </c>
      <c r="B101" s="29" t="inlineStr">
        <is>
          <t>XAUUSD</t>
        </is>
      </c>
      <c r="C101" s="29" t="inlineStr">
        <is>
          <t>M15</t>
        </is>
      </c>
      <c r="D101" s="29" t="n">
        <v>4548.51</v>
      </c>
      <c r="E101" s="29" t="n">
        <v>4717.79398</v>
      </c>
      <c r="F101" s="29" t="n">
        <v>4695.2428</v>
      </c>
      <c r="G101" s="29" t="n">
        <v>4518.59282</v>
      </c>
      <c r="H101" s="29" t="n">
        <v>4596.05595</v>
      </c>
      <c r="I101" s="29" t="n">
        <v>4755.40355</v>
      </c>
      <c r="J101" s="29" t="n">
        <v>4792.76972</v>
      </c>
      <c r="K101" s="29" t="n">
        <v>4769.97694</v>
      </c>
      <c r="L101" s="29" t="n">
        <v>4716.33597</v>
      </c>
      <c r="M101" s="29" t="n">
        <v>4718.85043</v>
      </c>
      <c r="N101" s="29" t="n">
        <v>4531.36057</v>
      </c>
      <c r="O101" s="29" t="n">
        <v>4556.93783</v>
      </c>
      <c r="Q101" s="29" t="n">
        <v>4568.60649</v>
      </c>
      <c r="R101" s="29" t="n">
        <v>4616.62416</v>
      </c>
      <c r="S101" s="29" t="n">
        <v>4592.44055</v>
      </c>
      <c r="V101" s="29" t="n">
        <v>4535.9613</v>
      </c>
      <c r="AB101" s="29" t="n">
        <v>4548.38375</v>
      </c>
      <c r="AC101" s="29" t="n">
        <v>4547.61082</v>
      </c>
      <c r="AD101" s="29" t="n">
        <v>0</v>
      </c>
    </row>
    <row r="102" ht="14.25" customHeight="1" s="28">
      <c r="A102" s="29" t="n">
        <v>1777502701</v>
      </c>
      <c r="B102" s="29" t="inlineStr">
        <is>
          <t>XAUUSD</t>
        </is>
      </c>
      <c r="C102" s="29" t="inlineStr">
        <is>
          <t>M15</t>
        </is>
      </c>
      <c r="D102" s="29" t="n">
        <v>4552.08</v>
      </c>
      <c r="E102" s="29" t="n">
        <v>4717.79398</v>
      </c>
      <c r="F102" s="29" t="n">
        <v>4695.2428</v>
      </c>
      <c r="G102" s="29" t="n">
        <v>4518.59282</v>
      </c>
      <c r="H102" s="29" t="n">
        <v>4596.05595</v>
      </c>
      <c r="I102" s="29" t="n">
        <v>4755.40355</v>
      </c>
      <c r="J102" s="29" t="n">
        <v>4792.76972</v>
      </c>
      <c r="K102" s="29" t="n">
        <v>4769.97694</v>
      </c>
      <c r="L102" s="29" t="n">
        <v>4716.33597</v>
      </c>
      <c r="M102" s="29" t="n">
        <v>4718.85043</v>
      </c>
      <c r="N102" s="29" t="n">
        <v>4531.36057</v>
      </c>
      <c r="O102" s="29" t="n">
        <v>4556.93783</v>
      </c>
      <c r="Q102" s="29" t="n">
        <v>4568.80894</v>
      </c>
      <c r="R102" s="29" t="n">
        <v>4616.8266</v>
      </c>
      <c r="S102" s="29" t="n">
        <v>4592.64299</v>
      </c>
      <c r="V102" s="29" t="n">
        <v>4536.16375</v>
      </c>
      <c r="AB102" s="29" t="n">
        <v>4549.74619</v>
      </c>
      <c r="AC102" s="29" t="n">
        <v>4548.67851</v>
      </c>
      <c r="AD102" s="29" t="n">
        <v>0</v>
      </c>
    </row>
    <row r="103" ht="14.25" customHeight="1" s="28">
      <c r="A103" s="29" t="n">
        <v>1777503601</v>
      </c>
      <c r="B103" s="29" t="inlineStr">
        <is>
          <t>XAUUSD</t>
        </is>
      </c>
      <c r="C103" s="29" t="inlineStr">
        <is>
          <t>M15</t>
        </is>
      </c>
      <c r="D103" s="29" t="n">
        <v>4553.33</v>
      </c>
      <c r="E103" s="29" t="n">
        <v>4717.79398</v>
      </c>
      <c r="F103" s="29" t="n">
        <v>4695.2428</v>
      </c>
      <c r="G103" s="29" t="n">
        <v>4518.59282</v>
      </c>
      <c r="H103" s="29" t="n">
        <v>4596.05595</v>
      </c>
      <c r="I103" s="29" t="n">
        <v>4755.40355</v>
      </c>
      <c r="J103" s="29" t="n">
        <v>4792.76972</v>
      </c>
      <c r="K103" s="29" t="n">
        <v>4769.97694</v>
      </c>
      <c r="L103" s="29" t="n">
        <v>4716.33597</v>
      </c>
      <c r="M103" s="29" t="n">
        <v>4718.85043</v>
      </c>
      <c r="N103" s="29" t="n">
        <v>4531.36057</v>
      </c>
      <c r="O103" s="29" t="n">
        <v>4556.93783</v>
      </c>
      <c r="Q103" s="29" t="n">
        <v>4569.01139</v>
      </c>
      <c r="R103" s="29" t="n">
        <v>4617.02905</v>
      </c>
      <c r="S103" s="29" t="n">
        <v>4592.84544</v>
      </c>
      <c r="V103" s="29" t="n">
        <v>4536.36619</v>
      </c>
      <c r="AB103" s="29" t="n">
        <v>4551.41538</v>
      </c>
      <c r="AC103" s="29" t="n">
        <v>4550.04694</v>
      </c>
      <c r="AD103" s="29" t="n">
        <v>0</v>
      </c>
    </row>
    <row r="104" ht="14.25" customHeight="1" s="28">
      <c r="A104" s="29" t="n">
        <v>1777504501</v>
      </c>
      <c r="B104" s="29" t="inlineStr">
        <is>
          <t>XAUUSD</t>
        </is>
      </c>
      <c r="C104" s="29" t="inlineStr">
        <is>
          <t>M15</t>
        </is>
      </c>
      <c r="D104" s="29" t="n">
        <v>4551.63</v>
      </c>
      <c r="E104" s="29" t="n">
        <v>4717.79398</v>
      </c>
      <c r="F104" s="29" t="n">
        <v>4695.2428</v>
      </c>
      <c r="G104" s="29" t="n">
        <v>4518.59282</v>
      </c>
      <c r="H104" s="29" t="n">
        <v>4596.05595</v>
      </c>
      <c r="I104" s="29" t="n">
        <v>4755.40355</v>
      </c>
      <c r="J104" s="29" t="n">
        <v>4792.76972</v>
      </c>
      <c r="K104" s="29" t="n">
        <v>4769.97694</v>
      </c>
      <c r="L104" s="29" t="n">
        <v>4716.33597</v>
      </c>
      <c r="M104" s="29" t="n">
        <v>4718.85043</v>
      </c>
      <c r="N104" s="29" t="n">
        <v>4531.36057</v>
      </c>
      <c r="O104" s="29" t="n">
        <v>4556.93783</v>
      </c>
      <c r="Q104" s="29" t="n">
        <v>4569.21383</v>
      </c>
      <c r="R104" s="29" t="n">
        <v>4617.2315</v>
      </c>
      <c r="S104" s="29" t="n">
        <v>4593.04788</v>
      </c>
      <c r="V104" s="29" t="n">
        <v>4536.56864</v>
      </c>
      <c r="AB104" s="29" t="n">
        <v>4553.37157</v>
      </c>
      <c r="AC104" s="29" t="n">
        <v>4551.70926</v>
      </c>
      <c r="AD104" s="29" t="n">
        <v>0</v>
      </c>
    </row>
    <row r="105" ht="14.25" customHeight="1" s="28">
      <c r="A105" s="29" t="n">
        <v>1777505401</v>
      </c>
      <c r="B105" s="29" t="inlineStr">
        <is>
          <t>XAUUSD</t>
        </is>
      </c>
      <c r="C105" s="29" t="inlineStr">
        <is>
          <t>M15</t>
        </is>
      </c>
      <c r="D105" s="29" t="n">
        <v>4554.44</v>
      </c>
      <c r="E105" s="29" t="n">
        <v>4717.79398</v>
      </c>
      <c r="F105" s="29" t="n">
        <v>4695.2428</v>
      </c>
      <c r="G105" s="29" t="n">
        <v>4518.59282</v>
      </c>
      <c r="H105" s="29" t="n">
        <v>4596.05595</v>
      </c>
      <c r="I105" s="29" t="n">
        <v>4755.40355</v>
      </c>
      <c r="J105" s="29" t="n">
        <v>4792.76972</v>
      </c>
      <c r="K105" s="29" t="n">
        <v>4769.97694</v>
      </c>
      <c r="L105" s="29" t="n">
        <v>4716.33597</v>
      </c>
      <c r="M105" s="29" t="n">
        <v>4718.85043</v>
      </c>
      <c r="N105" s="29" t="n">
        <v>4531.36057</v>
      </c>
      <c r="O105" s="29" t="n">
        <v>4556.93783</v>
      </c>
      <c r="Q105" s="29" t="n">
        <v>4569.41628</v>
      </c>
      <c r="R105" s="29" t="n">
        <v>4617.43394</v>
      </c>
      <c r="S105" s="29" t="n">
        <v>4593.25033</v>
      </c>
      <c r="V105" s="29" t="n">
        <v>4536.77109</v>
      </c>
      <c r="AB105" s="29" t="n">
        <v>4555.67977</v>
      </c>
      <c r="AC105" s="29" t="n">
        <v>4553.69451</v>
      </c>
      <c r="AD105" s="29" t="n">
        <v>0</v>
      </c>
    </row>
    <row r="106" ht="14.25" customHeight="1" s="28">
      <c r="A106" s="29" t="n">
        <v>1777506301</v>
      </c>
      <c r="B106" s="29" t="inlineStr">
        <is>
          <t>XAUUSD</t>
        </is>
      </c>
      <c r="C106" s="29" t="inlineStr">
        <is>
          <t>M15</t>
        </is>
      </c>
      <c r="D106" s="29" t="n">
        <v>4561.66</v>
      </c>
      <c r="E106" s="29" t="n">
        <v>4717.79398</v>
      </c>
      <c r="F106" s="29" t="n">
        <v>4695.2428</v>
      </c>
      <c r="G106" s="29" t="n">
        <v>4518.59282</v>
      </c>
      <c r="H106" s="29" t="n">
        <v>4596.05595</v>
      </c>
      <c r="I106" s="29" t="n">
        <v>4755.40355</v>
      </c>
      <c r="J106" s="29" t="n">
        <v>4792.76972</v>
      </c>
      <c r="K106" s="29" t="n">
        <v>4769.97694</v>
      </c>
      <c r="L106" s="29" t="n">
        <v>4716.33597</v>
      </c>
      <c r="M106" s="29" t="n">
        <v>4718.85043</v>
      </c>
      <c r="N106" s="29" t="n">
        <v>4531.36057</v>
      </c>
      <c r="O106" s="29" t="n">
        <v>4556.93783</v>
      </c>
      <c r="Q106" s="29" t="n">
        <v>4569.61872</v>
      </c>
      <c r="R106" s="29" t="n">
        <v>4617.63639</v>
      </c>
      <c r="S106" s="29" t="n">
        <v>4593.45278</v>
      </c>
      <c r="V106" s="29" t="n">
        <v>4536.97353</v>
      </c>
      <c r="AB106" s="29" t="n">
        <v>4558.31079</v>
      </c>
      <c r="AC106" s="29" t="n">
        <v>4556.00265</v>
      </c>
      <c r="AD106" s="29" t="n">
        <v>0</v>
      </c>
    </row>
    <row r="107" ht="14.25" customHeight="1" s="28">
      <c r="A107" s="29" t="n">
        <v>1777507201</v>
      </c>
      <c r="B107" s="29" t="inlineStr">
        <is>
          <t>XAUUSD</t>
        </is>
      </c>
      <c r="C107" s="29" t="inlineStr">
        <is>
          <t>M15</t>
        </is>
      </c>
      <c r="D107" s="29" t="n">
        <v>4557.93</v>
      </c>
      <c r="E107" s="29" t="n">
        <v>4717.79398</v>
      </c>
      <c r="F107" s="29" t="n">
        <v>4695.2428</v>
      </c>
      <c r="G107" s="29" t="n">
        <v>4518.59282</v>
      </c>
      <c r="H107" s="29" t="n">
        <v>4596.05595</v>
      </c>
      <c r="I107" s="29" t="n">
        <v>4755.40355</v>
      </c>
      <c r="J107" s="29" t="n">
        <v>4792.76972</v>
      </c>
      <c r="K107" s="29" t="n">
        <v>4769.97694</v>
      </c>
      <c r="L107" s="29" t="n">
        <v>4716.33597</v>
      </c>
      <c r="M107" s="29" t="n">
        <v>4718.85043</v>
      </c>
      <c r="N107" s="29" t="n">
        <v>4531.36057</v>
      </c>
      <c r="O107" s="29" t="n">
        <v>4556.93783</v>
      </c>
      <c r="Q107" s="29" t="n">
        <v>4569.82117</v>
      </c>
      <c r="R107" s="29" t="n">
        <v>4617.83883</v>
      </c>
      <c r="S107" s="29" t="n">
        <v>4593.65522</v>
      </c>
      <c r="V107" s="29" t="n">
        <v>4537.17598</v>
      </c>
      <c r="AB107" s="29" t="n">
        <v>4561.09762</v>
      </c>
      <c r="AC107" s="29" t="n">
        <v>4558.55014</v>
      </c>
      <c r="AD107" s="29" t="n">
        <v>0</v>
      </c>
    </row>
    <row r="108" ht="14.25" customHeight="1" s="28">
      <c r="A108" s="29" t="n">
        <v>1777508101</v>
      </c>
      <c r="B108" s="29" t="inlineStr">
        <is>
          <t>XAUUSD</t>
        </is>
      </c>
      <c r="C108" s="29" t="inlineStr">
        <is>
          <t>M15</t>
        </is>
      </c>
      <c r="D108" s="29" t="n">
        <v>4563.57</v>
      </c>
      <c r="E108" s="29" t="n">
        <v>4717.79398</v>
      </c>
      <c r="F108" s="29" t="n">
        <v>4695.2428</v>
      </c>
      <c r="G108" s="29" t="n">
        <v>4518.59282</v>
      </c>
      <c r="H108" s="29" t="n">
        <v>4596.05595</v>
      </c>
      <c r="I108" s="29" t="n">
        <v>4755.40355</v>
      </c>
      <c r="J108" s="29" t="n">
        <v>4792.76972</v>
      </c>
      <c r="K108" s="29" t="n">
        <v>4769.97694</v>
      </c>
      <c r="L108" s="29" t="n">
        <v>4716.33597</v>
      </c>
      <c r="M108" s="29" t="n">
        <v>4718.85043</v>
      </c>
      <c r="N108" s="29" t="n">
        <v>4531.36057</v>
      </c>
      <c r="O108" s="29" t="n">
        <v>4556.93783</v>
      </c>
      <c r="Q108" s="29" t="n">
        <v>4570.02361</v>
      </c>
      <c r="R108" s="29" t="n">
        <v>4618.04128</v>
      </c>
      <c r="S108" s="29" t="n">
        <v>4593.85767</v>
      </c>
      <c r="V108" s="29" t="n">
        <v>4537.37842</v>
      </c>
      <c r="AB108" s="29" t="n">
        <v>4564.13434</v>
      </c>
      <c r="AC108" s="29" t="n">
        <v>4561.34224</v>
      </c>
      <c r="AD108" s="29" t="n">
        <v>0</v>
      </c>
    </row>
    <row r="109" ht="14.25" customHeight="1" s="28">
      <c r="A109" s="29" t="n">
        <v>1777509001</v>
      </c>
      <c r="B109" s="29" t="inlineStr">
        <is>
          <t>XAUUSD</t>
        </is>
      </c>
      <c r="C109" s="29" t="inlineStr">
        <is>
          <t>M15</t>
        </is>
      </c>
      <c r="D109" s="29" t="n">
        <v>4567.11</v>
      </c>
      <c r="E109" s="29" t="n">
        <v>4717.79398</v>
      </c>
      <c r="F109" s="29" t="n">
        <v>4695.2428</v>
      </c>
      <c r="G109" s="29" t="n">
        <v>4518.59282</v>
      </c>
      <c r="H109" s="29" t="n">
        <v>4596.05595</v>
      </c>
      <c r="I109" s="29" t="n">
        <v>4755.40355</v>
      </c>
      <c r="J109" s="29" t="n">
        <v>4792.76972</v>
      </c>
      <c r="K109" s="29" t="n">
        <v>4769.97694</v>
      </c>
      <c r="L109" s="29" t="n">
        <v>4716.33597</v>
      </c>
      <c r="M109" s="29" t="n">
        <v>4718.85043</v>
      </c>
      <c r="N109" s="29" t="n">
        <v>4531.36057</v>
      </c>
      <c r="O109" s="29" t="n">
        <v>4556.93783</v>
      </c>
      <c r="Q109" s="29" t="n">
        <v>4570.22606</v>
      </c>
      <c r="R109" s="29" t="n">
        <v>4618.24372</v>
      </c>
      <c r="S109" s="29" t="n">
        <v>4594.06011</v>
      </c>
      <c r="V109" s="29" t="n">
        <v>4537.58087</v>
      </c>
      <c r="AB109" s="29" t="n">
        <v>4567.24095</v>
      </c>
      <c r="AC109" s="29" t="n">
        <v>4564.29159</v>
      </c>
      <c r="AD109" s="29" t="n">
        <v>0</v>
      </c>
    </row>
    <row r="110" ht="14.25" customHeight="1" s="28">
      <c r="A110" s="29" t="n">
        <v>1777509901</v>
      </c>
      <c r="B110" s="29" t="inlineStr">
        <is>
          <t>XAUUSD</t>
        </is>
      </c>
      <c r="C110" s="29" t="inlineStr">
        <is>
          <t>M15</t>
        </is>
      </c>
      <c r="D110" s="29" t="n">
        <v>4569.83</v>
      </c>
      <c r="E110" s="29" t="n">
        <v>4717.79398</v>
      </c>
      <c r="F110" s="29" t="n">
        <v>4695.2428</v>
      </c>
      <c r="G110" s="29" t="n">
        <v>4518.59282</v>
      </c>
      <c r="H110" s="29" t="n">
        <v>4596.05595</v>
      </c>
      <c r="I110" s="29" t="n">
        <v>4755.40355</v>
      </c>
      <c r="J110" s="29" t="n">
        <v>4792.76972</v>
      </c>
      <c r="K110" s="29" t="n">
        <v>4769.97694</v>
      </c>
      <c r="L110" s="29" t="n">
        <v>4716.33597</v>
      </c>
      <c r="M110" s="29" t="n">
        <v>4718.85043</v>
      </c>
      <c r="N110" s="29" t="n">
        <v>4531.36057</v>
      </c>
      <c r="O110" s="29" t="n">
        <v>4556.93783</v>
      </c>
      <c r="Q110" s="29" t="n">
        <v>4570.42851</v>
      </c>
      <c r="R110" s="29" t="n">
        <v>4618.44617</v>
      </c>
      <c r="S110" s="29" t="n">
        <v>4594.26256</v>
      </c>
      <c r="V110" s="29" t="n">
        <v>4537.78331</v>
      </c>
      <c r="AB110" s="29" t="n">
        <v>4570.18189</v>
      </c>
      <c r="AC110" s="29" t="n">
        <v>4567.23674</v>
      </c>
      <c r="AD110" s="29" t="n">
        <v>0</v>
      </c>
    </row>
    <row r="111" ht="14.25" customHeight="1" s="28">
      <c r="A111" s="29" t="n">
        <v>1777510801</v>
      </c>
      <c r="B111" s="29" t="inlineStr">
        <is>
          <t>XAUUSD</t>
        </is>
      </c>
      <c r="C111" s="29" t="inlineStr">
        <is>
          <t>M15</t>
        </is>
      </c>
      <c r="D111" s="29" t="n">
        <v>4568.52</v>
      </c>
      <c r="E111" s="29" t="n">
        <v>4717.79398</v>
      </c>
      <c r="F111" s="29" t="n">
        <v>4695.2428</v>
      </c>
      <c r="G111" s="29" t="n">
        <v>4518.59282</v>
      </c>
      <c r="H111" s="29" t="n">
        <v>4596.05595</v>
      </c>
      <c r="I111" s="29" t="n">
        <v>4755.40355</v>
      </c>
      <c r="J111" s="29" t="n">
        <v>4792.76972</v>
      </c>
      <c r="K111" s="29" t="n">
        <v>4769.97694</v>
      </c>
      <c r="L111" s="29" t="n">
        <v>4716.33597</v>
      </c>
      <c r="M111" s="29" t="n">
        <v>4718.85043</v>
      </c>
      <c r="N111" s="29" t="n">
        <v>4531.36057</v>
      </c>
      <c r="O111" s="29" t="n">
        <v>4556.93783</v>
      </c>
      <c r="Q111" s="29" t="n">
        <v>4570.63095</v>
      </c>
      <c r="R111" s="29" t="n">
        <v>4618.64862</v>
      </c>
      <c r="S111" s="29" t="n">
        <v>4594.465</v>
      </c>
      <c r="V111" s="29" t="n">
        <v>4537.98576</v>
      </c>
      <c r="AB111" s="29" t="n">
        <v>4572.76695</v>
      </c>
      <c r="AC111" s="29" t="n">
        <v>4570.00184</v>
      </c>
      <c r="AD111" s="29" t="n">
        <v>0</v>
      </c>
    </row>
    <row r="112" ht="14.25" customHeight="1" s="28">
      <c r="A112" s="29" t="n">
        <v>1777511701</v>
      </c>
      <c r="B112" s="29" t="inlineStr">
        <is>
          <t>XAUUSD</t>
        </is>
      </c>
      <c r="C112" s="29" t="inlineStr">
        <is>
          <t>M15</t>
        </is>
      </c>
      <c r="D112" s="29" t="n">
        <v>4579.79</v>
      </c>
      <c r="E112" s="29" t="n">
        <v>4717.79398</v>
      </c>
      <c r="F112" s="29" t="n">
        <v>4695.2428</v>
      </c>
      <c r="G112" s="29" t="n">
        <v>4518.59282</v>
      </c>
      <c r="H112" s="29" t="n">
        <v>4596.05595</v>
      </c>
      <c r="I112" s="29" t="n">
        <v>4755.40355</v>
      </c>
      <c r="J112" s="29" t="n">
        <v>4792.76972</v>
      </c>
      <c r="K112" s="29" t="n">
        <v>4769.97694</v>
      </c>
      <c r="L112" s="29" t="n">
        <v>4716.33597</v>
      </c>
      <c r="M112" s="29" t="n">
        <v>4718.85043</v>
      </c>
      <c r="N112" s="29" t="n">
        <v>4531.36057</v>
      </c>
      <c r="O112" s="29" t="n">
        <v>4556.93783</v>
      </c>
      <c r="Q112" s="29" t="n">
        <v>4570.8334</v>
      </c>
      <c r="R112" s="29" t="n">
        <v>4618.85106</v>
      </c>
      <c r="S112" s="29" t="n">
        <v>4594.66745</v>
      </c>
      <c r="V112" s="29" t="n">
        <v>4538.18821</v>
      </c>
      <c r="AB112" s="29" t="n">
        <v>4574.9109</v>
      </c>
      <c r="AC112" s="29" t="n">
        <v>4572.45637</v>
      </c>
      <c r="AD112" s="29" t="n">
        <v>0</v>
      </c>
    </row>
    <row r="113" ht="14.25" customHeight="1" s="28">
      <c r="A113" s="29" t="n">
        <v>1777512601</v>
      </c>
      <c r="B113" s="29" t="inlineStr">
        <is>
          <t>XAUUSD</t>
        </is>
      </c>
      <c r="C113" s="29" t="inlineStr">
        <is>
          <t>M15</t>
        </is>
      </c>
      <c r="D113" s="29" t="n">
        <v>4576.31</v>
      </c>
      <c r="E113" s="29" t="n">
        <v>4717.79398</v>
      </c>
      <c r="F113" s="29" t="n">
        <v>4695.2428</v>
      </c>
      <c r="G113" s="29" t="n">
        <v>4518.59282</v>
      </c>
      <c r="H113" s="29" t="n">
        <v>4596.05595</v>
      </c>
      <c r="I113" s="29" t="n">
        <v>4755.40355</v>
      </c>
      <c r="J113" s="29" t="n">
        <v>4792.76972</v>
      </c>
      <c r="K113" s="29" t="n">
        <v>4769.97694</v>
      </c>
      <c r="L113" s="29" t="n">
        <v>4716.33597</v>
      </c>
      <c r="M113" s="29" t="n">
        <v>4718.85043</v>
      </c>
      <c r="N113" s="29" t="n">
        <v>4531.36057</v>
      </c>
      <c r="O113" s="29" t="n">
        <v>4556.93783</v>
      </c>
      <c r="Q113" s="29" t="n">
        <v>4571.03584</v>
      </c>
      <c r="R113" s="29" t="n">
        <v>4619.05351</v>
      </c>
      <c r="S113" s="29" t="n">
        <v>4594.8699</v>
      </c>
      <c r="V113" s="29" t="n">
        <v>4538.39065</v>
      </c>
      <c r="AB113" s="29" t="n">
        <v>4576.15334</v>
      </c>
      <c r="AC113" s="29" t="n">
        <v>4574.30486</v>
      </c>
      <c r="AD113" s="29" t="n">
        <v>0</v>
      </c>
    </row>
    <row r="114" ht="14.25" customHeight="1" s="28">
      <c r="A114" s="29" t="n">
        <v>1777513501</v>
      </c>
      <c r="B114" s="29" t="inlineStr">
        <is>
          <t>XAUUSD</t>
        </is>
      </c>
      <c r="C114" s="29" t="inlineStr">
        <is>
          <t>M15</t>
        </is>
      </c>
      <c r="D114" s="29" t="n">
        <v>4579.13</v>
      </c>
      <c r="E114" s="29" t="n">
        <v>4717.79398</v>
      </c>
      <c r="F114" s="29" t="n">
        <v>4695.2428</v>
      </c>
      <c r="G114" s="29" t="n">
        <v>4518.59282</v>
      </c>
      <c r="H114" s="29" t="n">
        <v>4596.05595</v>
      </c>
      <c r="I114" s="29" t="n">
        <v>4755.40355</v>
      </c>
      <c r="J114" s="29" t="n">
        <v>4792.76972</v>
      </c>
      <c r="K114" s="29" t="n">
        <v>4769.97694</v>
      </c>
      <c r="L114" s="29" t="n">
        <v>4716.33597</v>
      </c>
      <c r="M114" s="29" t="n">
        <v>4718.85043</v>
      </c>
      <c r="N114" s="29" t="n">
        <v>4531.36057</v>
      </c>
      <c r="O114" s="29" t="n">
        <v>4556.93783</v>
      </c>
      <c r="Q114" s="29" t="n">
        <v>4571.23829</v>
      </c>
      <c r="R114" s="29" t="n">
        <v>4619.25595</v>
      </c>
      <c r="S114" s="29" t="n">
        <v>4595.07234</v>
      </c>
      <c r="V114" s="29" t="n">
        <v>4538.5931</v>
      </c>
      <c r="Z114" s="29" t="n">
        <v>4582.32</v>
      </c>
      <c r="AB114" s="29" t="n">
        <v>4576.44131</v>
      </c>
      <c r="AC114" s="29" t="n">
        <v>4575.37308</v>
      </c>
      <c r="AD114" s="29" t="n">
        <v>0</v>
      </c>
    </row>
    <row r="115" ht="14.25" customHeight="1" s="28">
      <c r="A115" s="29" t="n">
        <v>1777514401</v>
      </c>
      <c r="B115" s="29" t="inlineStr">
        <is>
          <t>XAUUSD</t>
        </is>
      </c>
      <c r="C115" s="29" t="inlineStr">
        <is>
          <t>M15</t>
        </is>
      </c>
      <c r="D115" s="29" t="n">
        <v>4579.74</v>
      </c>
      <c r="E115" s="29" t="n">
        <v>4717.79398</v>
      </c>
      <c r="F115" s="29" t="n">
        <v>4695.2428</v>
      </c>
      <c r="G115" s="29" t="n">
        <v>4518.59282</v>
      </c>
      <c r="H115" s="29" t="n">
        <v>4596.05595</v>
      </c>
      <c r="I115" s="29" t="n">
        <v>4755.40355</v>
      </c>
      <c r="J115" s="29" t="n">
        <v>4792.76972</v>
      </c>
      <c r="K115" s="29" t="n">
        <v>4769.97694</v>
      </c>
      <c r="L115" s="29" t="n">
        <v>4716.33597</v>
      </c>
      <c r="M115" s="29" t="n">
        <v>4718.85043</v>
      </c>
      <c r="N115" s="29" t="n">
        <v>4531.36057</v>
      </c>
      <c r="O115" s="29" t="n">
        <v>4556.93783</v>
      </c>
      <c r="Q115" s="29" t="n">
        <v>4571.44073</v>
      </c>
      <c r="R115" s="29" t="n">
        <v>4619.4584</v>
      </c>
      <c r="S115" s="29" t="n">
        <v>4595.27479</v>
      </c>
      <c r="V115" s="29" t="n">
        <v>4538.79554</v>
      </c>
      <c r="AB115" s="29" t="n">
        <v>4575.62065</v>
      </c>
      <c r="AC115" s="29" t="n">
        <v>4575.49687</v>
      </c>
      <c r="AD115" s="29" t="n">
        <v>0</v>
      </c>
    </row>
    <row r="116" ht="14.25" customHeight="1" s="28">
      <c r="A116" s="29" t="n">
        <v>1777515301</v>
      </c>
      <c r="B116" s="29" t="inlineStr">
        <is>
          <t>XAUUSD</t>
        </is>
      </c>
      <c r="C116" s="29" t="inlineStr">
        <is>
          <t>M15</t>
        </is>
      </c>
      <c r="D116" s="29" t="n">
        <v>4573.13</v>
      </c>
      <c r="E116" s="29" t="n">
        <v>4717.79398</v>
      </c>
      <c r="F116" s="29" t="n">
        <v>4695.2428</v>
      </c>
      <c r="G116" s="29" t="n">
        <v>4518.59282</v>
      </c>
      <c r="H116" s="29" t="n">
        <v>4596.05595</v>
      </c>
      <c r="I116" s="29" t="n">
        <v>4755.40355</v>
      </c>
      <c r="J116" s="29" t="n">
        <v>4792.76972</v>
      </c>
      <c r="K116" s="29" t="n">
        <v>4769.97694</v>
      </c>
      <c r="L116" s="29" t="n">
        <v>4716.33597</v>
      </c>
      <c r="M116" s="29" t="n">
        <v>4718.85043</v>
      </c>
      <c r="N116" s="29" t="n">
        <v>4531.36057</v>
      </c>
      <c r="O116" s="29" t="n">
        <v>4556.93783</v>
      </c>
      <c r="Q116" s="29" t="n">
        <v>4571.64318</v>
      </c>
      <c r="R116" s="29" t="n">
        <v>4619.66084</v>
      </c>
      <c r="S116" s="29" t="n">
        <v>4595.47723</v>
      </c>
      <c r="V116" s="29" t="n">
        <v>4538.99799</v>
      </c>
      <c r="AB116" s="29" t="n">
        <v>4573.70372</v>
      </c>
      <c r="AC116" s="29" t="n">
        <v>4574.60029</v>
      </c>
      <c r="AD116" s="29" t="n">
        <v>1</v>
      </c>
    </row>
    <row r="117" ht="14.25" customHeight="1" s="28">
      <c r="A117" s="29" t="n">
        <v>1777516201</v>
      </c>
      <c r="B117" s="29" t="inlineStr">
        <is>
          <t>XAUUSD</t>
        </is>
      </c>
      <c r="C117" s="29" t="inlineStr">
        <is>
          <t>M15</t>
        </is>
      </c>
      <c r="D117" s="29" t="n">
        <v>4562.53</v>
      </c>
      <c r="E117" s="29" t="n">
        <v>4717.79398</v>
      </c>
      <c r="F117" s="29" t="n">
        <v>4695.2428</v>
      </c>
      <c r="G117" s="29" t="n">
        <v>4518.59282</v>
      </c>
      <c r="H117" s="29" t="n">
        <v>4596.05595</v>
      </c>
      <c r="I117" s="29" t="n">
        <v>4755.40355</v>
      </c>
      <c r="J117" s="29" t="n">
        <v>4792.76972</v>
      </c>
      <c r="K117" s="29" t="n">
        <v>4769.97694</v>
      </c>
      <c r="L117" s="29" t="n">
        <v>4716.33597</v>
      </c>
      <c r="M117" s="29" t="n">
        <v>4718.85043</v>
      </c>
      <c r="N117" s="29" t="n">
        <v>4531.36057</v>
      </c>
      <c r="O117" s="29" t="n">
        <v>4556.93783</v>
      </c>
      <c r="Q117" s="29" t="n">
        <v>4571.84563</v>
      </c>
      <c r="R117" s="29" t="n">
        <v>4619.86329</v>
      </c>
      <c r="S117" s="29" t="n">
        <v>4595.67968</v>
      </c>
      <c r="V117" s="29" t="n">
        <v>4539.20043</v>
      </c>
      <c r="AB117" s="29" t="n">
        <v>4570.96608</v>
      </c>
      <c r="AC117" s="29" t="n">
        <v>4572.78319</v>
      </c>
      <c r="AD117" s="29" t="n">
        <v>0</v>
      </c>
    </row>
    <row r="118" ht="14.25" customHeight="1" s="28">
      <c r="A118" s="29" t="n">
        <v>1777517101</v>
      </c>
      <c r="B118" s="29" t="inlineStr">
        <is>
          <t>XAUUSD</t>
        </is>
      </c>
      <c r="C118" s="29" t="inlineStr">
        <is>
          <t>M15</t>
        </is>
      </c>
      <c r="D118" s="29" t="n">
        <v>4565.02</v>
      </c>
      <c r="E118" s="29" t="n">
        <v>4717.79398</v>
      </c>
      <c r="F118" s="29" t="n">
        <v>4695.2428</v>
      </c>
      <c r="G118" s="29" t="n">
        <v>4518.59282</v>
      </c>
      <c r="H118" s="29" t="n">
        <v>4596.05595</v>
      </c>
      <c r="I118" s="29" t="n">
        <v>4755.40355</v>
      </c>
      <c r="J118" s="29" t="n">
        <v>4792.76972</v>
      </c>
      <c r="K118" s="29" t="n">
        <v>4769.97694</v>
      </c>
      <c r="L118" s="29" t="n">
        <v>4716.33597</v>
      </c>
      <c r="M118" s="29" t="n">
        <v>4718.85043</v>
      </c>
      <c r="N118" s="29" t="n">
        <v>4531.36057</v>
      </c>
      <c r="O118" s="29" t="n">
        <v>4556.93783</v>
      </c>
      <c r="Q118" s="29" t="n">
        <v>4572.04807</v>
      </c>
      <c r="R118" s="29" t="n">
        <v>4620.06574</v>
      </c>
      <c r="S118" s="29" t="n">
        <v>4595.88212</v>
      </c>
      <c r="V118" s="29" t="n">
        <v>4539.40288</v>
      </c>
      <c r="AB118" s="29" t="n">
        <v>4567.88808</v>
      </c>
      <c r="AC118" s="29" t="n">
        <v>4570.33563</v>
      </c>
      <c r="AD118" s="29" t="n">
        <v>0</v>
      </c>
    </row>
    <row r="119" ht="14.25" customHeight="1" s="28">
      <c r="A119" s="29" t="n">
        <v>1777518001</v>
      </c>
      <c r="B119" s="29" t="inlineStr">
        <is>
          <t>XAUUSD</t>
        </is>
      </c>
      <c r="C119" s="29" t="inlineStr">
        <is>
          <t>M15</t>
        </is>
      </c>
      <c r="D119" s="29" t="n">
        <v>4564.98</v>
      </c>
      <c r="E119" s="29" t="n">
        <v>4717.79398</v>
      </c>
      <c r="F119" s="29" t="n">
        <v>4695.2428</v>
      </c>
      <c r="G119" s="29" t="n">
        <v>4518.59282</v>
      </c>
      <c r="H119" s="29" t="n">
        <v>4596.05595</v>
      </c>
      <c r="I119" s="29" t="n">
        <v>4755.40355</v>
      </c>
      <c r="J119" s="29" t="n">
        <v>4792.76972</v>
      </c>
      <c r="K119" s="29" t="n">
        <v>4769.97694</v>
      </c>
      <c r="L119" s="29" t="n">
        <v>4716.33597</v>
      </c>
      <c r="M119" s="29" t="n">
        <v>4718.85043</v>
      </c>
      <c r="N119" s="29" t="n">
        <v>4531.36057</v>
      </c>
      <c r="O119" s="29" t="n">
        <v>4556.93783</v>
      </c>
      <c r="Q119" s="29" t="n">
        <v>4572.25052</v>
      </c>
      <c r="R119" s="29" t="n">
        <v>4620.26818</v>
      </c>
      <c r="S119" s="29" t="n">
        <v>4596.08457</v>
      </c>
      <c r="V119" s="29" t="n">
        <v>4539.60533</v>
      </c>
      <c r="AB119" s="29" t="n">
        <v>4564.51586</v>
      </c>
      <c r="AC119" s="29" t="n">
        <v>4567.42575</v>
      </c>
      <c r="AD119" s="29" t="n">
        <v>0</v>
      </c>
    </row>
    <row r="120" ht="14.25" customHeight="1" s="28">
      <c r="A120" s="29" t="n">
        <v>1777518901</v>
      </c>
      <c r="B120" s="29" t="inlineStr">
        <is>
          <t>XAUUSD</t>
        </is>
      </c>
      <c r="C120" s="29" t="inlineStr">
        <is>
          <t>M15</t>
        </is>
      </c>
      <c r="D120" s="29" t="n">
        <v>4563.32</v>
      </c>
      <c r="E120" s="29" t="n">
        <v>4717.79398</v>
      </c>
      <c r="F120" s="29" t="n">
        <v>4695.2428</v>
      </c>
      <c r="G120" s="29" t="n">
        <v>4518.59282</v>
      </c>
      <c r="H120" s="29" t="n">
        <v>4596.05595</v>
      </c>
      <c r="I120" s="29" t="n">
        <v>4755.40355</v>
      </c>
      <c r="J120" s="29" t="n">
        <v>4792.76972</v>
      </c>
      <c r="K120" s="29" t="n">
        <v>4769.97694</v>
      </c>
      <c r="L120" s="29" t="n">
        <v>4716.33597</v>
      </c>
      <c r="M120" s="29" t="n">
        <v>4718.85043</v>
      </c>
      <c r="N120" s="29" t="n">
        <v>4531.36057</v>
      </c>
      <c r="O120" s="29" t="n">
        <v>4556.93783</v>
      </c>
      <c r="Q120" s="29" t="n">
        <v>4572.45296</v>
      </c>
      <c r="R120" s="29" t="n">
        <v>4620.47063</v>
      </c>
      <c r="S120" s="29" t="n">
        <v>4596.28702</v>
      </c>
      <c r="V120" s="29" t="n">
        <v>4539.80777</v>
      </c>
      <c r="AB120" s="29" t="n">
        <v>4561.02691</v>
      </c>
      <c r="AC120" s="29" t="n">
        <v>4564.22633</v>
      </c>
      <c r="AD120" s="29" t="n">
        <v>0</v>
      </c>
    </row>
    <row r="121" ht="14.25" customHeight="1" s="28">
      <c r="A121" s="29" t="n">
        <v>1777519801</v>
      </c>
      <c r="B121" s="29" t="inlineStr">
        <is>
          <t>XAUUSD</t>
        </is>
      </c>
      <c r="C121" s="29" t="inlineStr">
        <is>
          <t>M15</t>
        </is>
      </c>
      <c r="D121" s="29" t="n">
        <v>4561.66</v>
      </c>
      <c r="E121" s="29" t="n">
        <v>4717.79398</v>
      </c>
      <c r="F121" s="29" t="n">
        <v>4695.2428</v>
      </c>
      <c r="G121" s="29" t="n">
        <v>4518.59282</v>
      </c>
      <c r="H121" s="29" t="n">
        <v>4596.05595</v>
      </c>
      <c r="I121" s="29" t="n">
        <v>4755.40355</v>
      </c>
      <c r="J121" s="29" t="n">
        <v>4792.76972</v>
      </c>
      <c r="K121" s="29" t="n">
        <v>4769.97694</v>
      </c>
      <c r="L121" s="29" t="n">
        <v>4716.33597</v>
      </c>
      <c r="M121" s="29" t="n">
        <v>4718.85043</v>
      </c>
      <c r="N121" s="29" t="n">
        <v>4531.36057</v>
      </c>
      <c r="O121" s="29" t="n">
        <v>4556.93783</v>
      </c>
      <c r="Q121" s="29" t="n">
        <v>4572.65541</v>
      </c>
      <c r="R121" s="29" t="n">
        <v>4620.67307</v>
      </c>
      <c r="S121" s="29" t="n">
        <v>4596.48946</v>
      </c>
      <c r="V121" s="29" t="n">
        <v>4540.01022</v>
      </c>
      <c r="AB121" s="29" t="n">
        <v>4557.5727</v>
      </c>
      <c r="AC121" s="29" t="n">
        <v>4560.89951</v>
      </c>
      <c r="AD121" s="29" t="n">
        <v>0</v>
      </c>
    </row>
    <row r="122" ht="14.25" customHeight="1" s="28">
      <c r="A122" s="29" t="n">
        <v>1777520701</v>
      </c>
      <c r="B122" s="29" t="inlineStr">
        <is>
          <t>XAUUSD</t>
        </is>
      </c>
      <c r="C122" s="29" t="inlineStr">
        <is>
          <t>M15</t>
        </is>
      </c>
      <c r="D122" s="29" t="n">
        <v>4556.09</v>
      </c>
      <c r="E122" s="29" t="n">
        <v>4717.79398</v>
      </c>
      <c r="F122" s="29" t="n">
        <v>4695.2428</v>
      </c>
      <c r="G122" s="29" t="n">
        <v>4518.59282</v>
      </c>
      <c r="H122" s="29" t="n">
        <v>4596.05595</v>
      </c>
      <c r="I122" s="29" t="n">
        <v>4755.40355</v>
      </c>
      <c r="J122" s="29" t="n">
        <v>4792.76972</v>
      </c>
      <c r="K122" s="29" t="n">
        <v>4769.97694</v>
      </c>
      <c r="L122" s="29" t="n">
        <v>4716.33597</v>
      </c>
      <c r="M122" s="29" t="n">
        <v>4718.85043</v>
      </c>
      <c r="N122" s="29" t="n">
        <v>4531.36057</v>
      </c>
      <c r="O122" s="29" t="n">
        <v>4556.93783</v>
      </c>
      <c r="Q122" s="29" t="n">
        <v>4572.85785</v>
      </c>
      <c r="R122" s="29" t="n">
        <v>4620.87552</v>
      </c>
      <c r="S122" s="29" t="n">
        <v>4596.69191</v>
      </c>
      <c r="V122" s="29" t="n">
        <v>4540.21266</v>
      </c>
      <c r="AB122" s="29" t="n">
        <v>4554.33844</v>
      </c>
      <c r="AC122" s="29" t="n">
        <v>4557.61898</v>
      </c>
      <c r="AD122" s="29" t="n">
        <v>0</v>
      </c>
    </row>
    <row r="123" ht="14.25" customHeight="1" s="28">
      <c r="A123" s="29" t="n">
        <v>1777521601</v>
      </c>
      <c r="B123" s="29" t="inlineStr">
        <is>
          <t>XAUUSD</t>
        </is>
      </c>
      <c r="C123" s="29" t="inlineStr">
        <is>
          <t>M15</t>
        </is>
      </c>
      <c r="D123" s="29" t="n">
        <v>4555.41</v>
      </c>
      <c r="E123" s="29" t="n">
        <v>4717.79398</v>
      </c>
      <c r="F123" s="29" t="n">
        <v>4695.2428</v>
      </c>
      <c r="G123" s="29" t="n">
        <v>4518.59282</v>
      </c>
      <c r="H123" s="29" t="n">
        <v>4596.05595</v>
      </c>
      <c r="I123" s="29" t="n">
        <v>4755.40355</v>
      </c>
      <c r="J123" s="29" t="n">
        <v>4792.76972</v>
      </c>
      <c r="K123" s="29" t="n">
        <v>4769.97694</v>
      </c>
      <c r="L123" s="29" t="n">
        <v>4716.33597</v>
      </c>
      <c r="M123" s="29" t="n">
        <v>4718.85043</v>
      </c>
      <c r="N123" s="29" t="n">
        <v>4531.36057</v>
      </c>
      <c r="O123" s="29" t="n">
        <v>4556.93783</v>
      </c>
      <c r="Q123" s="29" t="n">
        <v>4573.0603</v>
      </c>
      <c r="R123" s="29" t="n">
        <v>4621.07796</v>
      </c>
      <c r="S123" s="29" t="n">
        <v>4596.89435</v>
      </c>
      <c r="V123" s="29" t="n">
        <v>4540.41511</v>
      </c>
      <c r="AB123" s="29" t="n">
        <v>4551.65328</v>
      </c>
      <c r="AC123" s="29" t="n">
        <v>4554.63613</v>
      </c>
      <c r="AD123" s="29" t="n">
        <v>0</v>
      </c>
    </row>
    <row r="124" ht="14.25" customHeight="1" s="28">
      <c r="A124" s="29" t="n">
        <v>1777522501</v>
      </c>
      <c r="B124" s="29" t="inlineStr">
        <is>
          <t>XAUUSD</t>
        </is>
      </c>
      <c r="C124" s="29" t="inlineStr">
        <is>
          <t>M15</t>
        </is>
      </c>
      <c r="D124" s="29" t="n">
        <v>4547.28</v>
      </c>
      <c r="E124" s="29" t="n">
        <v>4717.79398</v>
      </c>
      <c r="F124" s="29" t="n">
        <v>4695.2428</v>
      </c>
      <c r="G124" s="29" t="n">
        <v>4518.59282</v>
      </c>
      <c r="H124" s="29" t="n">
        <v>4596.05595</v>
      </c>
      <c r="I124" s="29" t="n">
        <v>4755.40355</v>
      </c>
      <c r="J124" s="29" t="n">
        <v>4792.76972</v>
      </c>
      <c r="K124" s="29" t="n">
        <v>4769.97694</v>
      </c>
      <c r="L124" s="29" t="n">
        <v>4716.33597</v>
      </c>
      <c r="M124" s="29" t="n">
        <v>4718.85043</v>
      </c>
      <c r="N124" s="29" t="n">
        <v>4531.36057</v>
      </c>
      <c r="O124" s="29" t="n">
        <v>4556.93783</v>
      </c>
      <c r="Q124" s="29" t="n">
        <v>4573.26275</v>
      </c>
      <c r="R124" s="29" t="n">
        <v>4621.28041</v>
      </c>
      <c r="S124" s="29" t="n">
        <v>4597.0968</v>
      </c>
      <c r="V124" s="29" t="n">
        <v>4540.61755</v>
      </c>
      <c r="AB124" s="29" t="n">
        <v>4549.72842</v>
      </c>
      <c r="AC124" s="29" t="n">
        <v>4552.18228</v>
      </c>
      <c r="AD124" s="29" t="n">
        <v>0</v>
      </c>
    </row>
    <row r="125" ht="14.25" customHeight="1" s="28">
      <c r="A125" s="29" t="n">
        <v>1777523401</v>
      </c>
      <c r="B125" s="29" t="inlineStr">
        <is>
          <t>XAUUSD</t>
        </is>
      </c>
      <c r="C125" s="29" t="inlineStr">
        <is>
          <t>M15</t>
        </is>
      </c>
      <c r="D125" s="29" t="n">
        <v>4544.74</v>
      </c>
      <c r="E125" s="29" t="n">
        <v>4717.79398</v>
      </c>
      <c r="F125" s="29" t="n">
        <v>4695.2428</v>
      </c>
      <c r="G125" s="29" t="n">
        <v>4518.59282</v>
      </c>
      <c r="H125" s="29" t="n">
        <v>4596.05595</v>
      </c>
      <c r="I125" s="29" t="n">
        <v>4755.40355</v>
      </c>
      <c r="J125" s="29" t="n">
        <v>4792.76972</v>
      </c>
      <c r="K125" s="29" t="n">
        <v>4769.97694</v>
      </c>
      <c r="L125" s="29" t="n">
        <v>4716.33597</v>
      </c>
      <c r="M125" s="29" t="n">
        <v>4718.85043</v>
      </c>
      <c r="N125" s="29" t="n">
        <v>4531.36057</v>
      </c>
      <c r="O125" s="29" t="n">
        <v>4556.93783</v>
      </c>
      <c r="Q125" s="29" t="n">
        <v>4573.46519</v>
      </c>
      <c r="R125" s="29" t="n">
        <v>4621.48286</v>
      </c>
      <c r="S125" s="29" t="n">
        <v>4597.29924</v>
      </c>
      <c r="V125" s="29" t="n">
        <v>4540.82</v>
      </c>
      <c r="AA125" s="29" t="n">
        <v>4540.82</v>
      </c>
      <c r="AB125" s="29" t="n">
        <v>4548.92114</v>
      </c>
      <c r="AC125" s="29" t="n">
        <v>4550.55171</v>
      </c>
      <c r="AD125" s="29" t="n">
        <v>0</v>
      </c>
    </row>
    <row r="126" ht="14.25" customHeight="1" s="28">
      <c r="A126" s="29" t="n">
        <v>1777524301</v>
      </c>
      <c r="B126" s="29" t="inlineStr">
        <is>
          <t>XAUUSD</t>
        </is>
      </c>
      <c r="C126" s="29" t="inlineStr">
        <is>
          <t>M15</t>
        </is>
      </c>
      <c r="D126" s="29" t="n">
        <v>4541.91</v>
      </c>
      <c r="E126" s="29" t="n">
        <v>4717.79398</v>
      </c>
      <c r="F126" s="29" t="n">
        <v>4695.2428</v>
      </c>
      <c r="G126" s="29" t="n">
        <v>4518.59282</v>
      </c>
      <c r="H126" s="29" t="n">
        <v>4596.05595</v>
      </c>
      <c r="I126" s="29" t="n">
        <v>4755.40355</v>
      </c>
      <c r="J126" s="29" t="n">
        <v>4792.76972</v>
      </c>
      <c r="K126" s="29" t="n">
        <v>4769.97694</v>
      </c>
      <c r="L126" s="29" t="n">
        <v>4716.33597</v>
      </c>
      <c r="M126" s="29" t="n">
        <v>4718.85043</v>
      </c>
      <c r="N126" s="29" t="n">
        <v>4531.36057</v>
      </c>
      <c r="O126" s="29" t="n">
        <v>4556.93783</v>
      </c>
      <c r="Q126" s="29" t="n">
        <v>4573.66764</v>
      </c>
      <c r="R126" s="29" t="n">
        <v>4621.6853</v>
      </c>
      <c r="S126" s="29" t="n">
        <v>4597.50169</v>
      </c>
      <c r="V126" s="29" t="n">
        <v>4541.02245</v>
      </c>
      <c r="AB126" s="29" t="n">
        <v>4549.3872</v>
      </c>
      <c r="AC126" s="29" t="n">
        <v>4549.96945</v>
      </c>
      <c r="AD126" s="29" t="n">
        <v>0</v>
      </c>
    </row>
    <row r="127" ht="14.25" customHeight="1" s="28">
      <c r="A127" s="29" t="n">
        <v>1777525201</v>
      </c>
      <c r="B127" s="29" t="inlineStr">
        <is>
          <t>XAUUSD</t>
        </is>
      </c>
      <c r="C127" s="29" t="inlineStr">
        <is>
          <t>M15</t>
        </is>
      </c>
      <c r="D127" s="29" t="n">
        <v>4553.22</v>
      </c>
      <c r="E127" s="29" t="n">
        <v>4717.79398</v>
      </c>
      <c r="F127" s="29" t="n">
        <v>4695.2428</v>
      </c>
      <c r="G127" s="29" t="n">
        <v>4518.59282</v>
      </c>
      <c r="H127" s="29" t="n">
        <v>4596.05595</v>
      </c>
      <c r="I127" s="29" t="n">
        <v>4755.40355</v>
      </c>
      <c r="J127" s="29" t="n">
        <v>4792.76972</v>
      </c>
      <c r="K127" s="29" t="n">
        <v>4769.97694</v>
      </c>
      <c r="L127" s="29" t="n">
        <v>4716.33597</v>
      </c>
      <c r="M127" s="29" t="n">
        <v>4718.85043</v>
      </c>
      <c r="N127" s="29" t="n">
        <v>4531.36057</v>
      </c>
      <c r="O127" s="29" t="n">
        <v>4556.93783</v>
      </c>
      <c r="Q127" s="29" t="n">
        <v>4573.87008</v>
      </c>
      <c r="R127" s="29" t="n">
        <v>4621.88775</v>
      </c>
      <c r="S127" s="29" t="n">
        <v>4597.70414</v>
      </c>
      <c r="V127" s="29" t="n">
        <v>4541.22489</v>
      </c>
      <c r="AB127" s="29" t="n">
        <v>4551.23411</v>
      </c>
      <c r="AC127" s="29" t="n">
        <v>4550.60178</v>
      </c>
      <c r="AD127" s="29" t="n">
        <v>1</v>
      </c>
    </row>
    <row r="128" ht="14.25" customHeight="1" s="28">
      <c r="A128" s="29" t="n">
        <v>1777526101</v>
      </c>
      <c r="B128" s="29" t="inlineStr">
        <is>
          <t>XAUUSD</t>
        </is>
      </c>
      <c r="C128" s="29" t="inlineStr">
        <is>
          <t>M15</t>
        </is>
      </c>
      <c r="D128" s="29" t="n">
        <v>4555.73</v>
      </c>
      <c r="E128" s="29" t="n">
        <v>4717.79398</v>
      </c>
      <c r="F128" s="29" t="n">
        <v>4695.2428</v>
      </c>
      <c r="G128" s="29" t="n">
        <v>4518.59282</v>
      </c>
      <c r="H128" s="29" t="n">
        <v>4596.05595</v>
      </c>
      <c r="I128" s="29" t="n">
        <v>4755.40355</v>
      </c>
      <c r="J128" s="29" t="n">
        <v>4792.76972</v>
      </c>
      <c r="K128" s="29" t="n">
        <v>4769.97694</v>
      </c>
      <c r="L128" s="29" t="n">
        <v>4716.33597</v>
      </c>
      <c r="M128" s="29" t="n">
        <v>4718.85043</v>
      </c>
      <c r="N128" s="29" t="n">
        <v>4531.36057</v>
      </c>
      <c r="O128" s="29" t="n">
        <v>4556.93783</v>
      </c>
      <c r="Q128" s="29" t="n">
        <v>4574.07253</v>
      </c>
      <c r="R128" s="29" t="n">
        <v>4622.09019</v>
      </c>
      <c r="S128" s="29" t="n">
        <v>4597.90658</v>
      </c>
      <c r="V128" s="29" t="n">
        <v>4541.42734</v>
      </c>
      <c r="AB128" s="29" t="n">
        <v>4554.10302</v>
      </c>
      <c r="AC128" s="29" t="n">
        <v>4552.3524</v>
      </c>
      <c r="AD128" s="29" t="n">
        <v>0</v>
      </c>
    </row>
    <row r="129" ht="14.25" customHeight="1" s="28">
      <c r="A129" s="29" t="n">
        <v>1777527001</v>
      </c>
      <c r="B129" s="29" t="inlineStr">
        <is>
          <t>XAUUSD</t>
        </is>
      </c>
      <c r="C129" s="29" t="inlineStr">
        <is>
          <t>M15</t>
        </is>
      </c>
      <c r="D129" s="29" t="n">
        <v>4564.04</v>
      </c>
      <c r="E129" s="29" t="n">
        <v>4717.79398</v>
      </c>
      <c r="F129" s="29" t="n">
        <v>4695.2428</v>
      </c>
      <c r="G129" s="29" t="n">
        <v>4518.59282</v>
      </c>
      <c r="H129" s="29" t="n">
        <v>4596.05595</v>
      </c>
      <c r="I129" s="29" t="n">
        <v>4755.40355</v>
      </c>
      <c r="J129" s="29" t="n">
        <v>4792.76972</v>
      </c>
      <c r="K129" s="29" t="n">
        <v>4769.97694</v>
      </c>
      <c r="L129" s="29" t="n">
        <v>4716.33597</v>
      </c>
      <c r="M129" s="29" t="n">
        <v>4718.85043</v>
      </c>
      <c r="N129" s="29" t="n">
        <v>4531.36057</v>
      </c>
      <c r="O129" s="29" t="n">
        <v>4556.93783</v>
      </c>
      <c r="Q129" s="29" t="n">
        <v>4574.27497</v>
      </c>
      <c r="R129" s="29" t="n">
        <v>4622.29264</v>
      </c>
      <c r="S129" s="29" t="n">
        <v>4598.10903</v>
      </c>
      <c r="V129" s="29" t="n">
        <v>4541.62978</v>
      </c>
      <c r="AB129" s="29" t="n">
        <v>4557.82199</v>
      </c>
      <c r="AC129" s="29" t="n">
        <v>4555.0872</v>
      </c>
      <c r="AD129" s="29" t="n">
        <v>0</v>
      </c>
    </row>
    <row r="130" ht="14.25" customHeight="1" s="28">
      <c r="A130" s="29" t="n">
        <v>1777527901</v>
      </c>
      <c r="B130" s="29" t="inlineStr">
        <is>
          <t>XAUUSD</t>
        </is>
      </c>
      <c r="C130" s="29" t="inlineStr">
        <is>
          <t>M15</t>
        </is>
      </c>
      <c r="D130" s="29" t="n">
        <v>4562.71</v>
      </c>
      <c r="E130" s="29" t="n">
        <v>4717.79398</v>
      </c>
      <c r="F130" s="29" t="n">
        <v>4695.2428</v>
      </c>
      <c r="G130" s="29" t="n">
        <v>4518.59282</v>
      </c>
      <c r="H130" s="29" t="n">
        <v>4596.05595</v>
      </c>
      <c r="I130" s="29" t="n">
        <v>4755.40355</v>
      </c>
      <c r="J130" s="29" t="n">
        <v>4792.76972</v>
      </c>
      <c r="K130" s="29" t="n">
        <v>4769.97694</v>
      </c>
      <c r="L130" s="29" t="n">
        <v>4716.33597</v>
      </c>
      <c r="M130" s="29" t="n">
        <v>4718.85043</v>
      </c>
      <c r="N130" s="29" t="n">
        <v>4531.36057</v>
      </c>
      <c r="O130" s="29" t="n">
        <v>4556.93783</v>
      </c>
      <c r="Q130" s="29" t="n">
        <v>4574.47742</v>
      </c>
      <c r="R130" s="29" t="n">
        <v>4622.49508</v>
      </c>
      <c r="S130" s="29" t="n">
        <v>4598.31147</v>
      </c>
      <c r="V130" s="29" t="n">
        <v>4541.83223</v>
      </c>
      <c r="AB130" s="29" t="n">
        <v>4562.10639</v>
      </c>
      <c r="AC130" s="29" t="n">
        <v>4558.59679</v>
      </c>
      <c r="AD130" s="29" t="n">
        <v>0</v>
      </c>
    </row>
    <row r="131" ht="14.25" customHeight="1" s="28">
      <c r="A131" s="29" t="n">
        <v>1777528801</v>
      </c>
      <c r="B131" s="29" t="inlineStr">
        <is>
          <t>XAUUSD</t>
        </is>
      </c>
      <c r="C131" s="29" t="inlineStr">
        <is>
          <t>M15</t>
        </is>
      </c>
      <c r="D131" s="29" t="n">
        <v>4566.21</v>
      </c>
      <c r="E131" s="29" t="n">
        <v>4717.79398</v>
      </c>
      <c r="F131" s="29" t="n">
        <v>4695.2428</v>
      </c>
      <c r="G131" s="29" t="n">
        <v>4518.59282</v>
      </c>
      <c r="H131" s="29" t="n">
        <v>4596.05595</v>
      </c>
      <c r="I131" s="29" t="n">
        <v>4755.40355</v>
      </c>
      <c r="J131" s="29" t="n">
        <v>4792.76972</v>
      </c>
      <c r="K131" s="29" t="n">
        <v>4769.97694</v>
      </c>
      <c r="L131" s="29" t="n">
        <v>4716.33597</v>
      </c>
      <c r="M131" s="29" t="n">
        <v>4718.85043</v>
      </c>
      <c r="N131" s="29" t="n">
        <v>4531.36057</v>
      </c>
      <c r="O131" s="29" t="n">
        <v>4556.93783</v>
      </c>
      <c r="Q131" s="29" t="n">
        <v>4574.67987</v>
      </c>
      <c r="R131" s="29" t="n">
        <v>4622.69753</v>
      </c>
      <c r="S131" s="29" t="n">
        <v>4598.51392</v>
      </c>
      <c r="V131" s="29" t="n">
        <v>4542.03467</v>
      </c>
      <c r="AB131" s="29" t="n">
        <v>4566.99173</v>
      </c>
      <c r="AC131" s="29" t="n">
        <v>4562.79426</v>
      </c>
      <c r="AD131" s="29" t="n">
        <v>0</v>
      </c>
    </row>
    <row r="132" ht="14.25" customHeight="1" s="28">
      <c r="A132" s="29" t="n">
        <v>1777529701</v>
      </c>
      <c r="B132" s="29" t="inlineStr">
        <is>
          <t>XAUUSD</t>
        </is>
      </c>
      <c r="C132" s="29" t="inlineStr">
        <is>
          <t>M15</t>
        </is>
      </c>
      <c r="D132" s="29" t="n">
        <v>4569.57</v>
      </c>
      <c r="E132" s="29" t="n">
        <v>4717.79398</v>
      </c>
      <c r="F132" s="29" t="n">
        <v>4695.2428</v>
      </c>
      <c r="G132" s="29" t="n">
        <v>4518.59282</v>
      </c>
      <c r="H132" s="29" t="n">
        <v>4596.05595</v>
      </c>
      <c r="I132" s="29" t="n">
        <v>4755.40355</v>
      </c>
      <c r="J132" s="29" t="n">
        <v>4792.76972</v>
      </c>
      <c r="K132" s="29" t="n">
        <v>4769.97694</v>
      </c>
      <c r="L132" s="29" t="n">
        <v>4716.33597</v>
      </c>
      <c r="M132" s="29" t="n">
        <v>4718.85043</v>
      </c>
      <c r="N132" s="29" t="n">
        <v>4531.36057</v>
      </c>
      <c r="O132" s="29" t="n">
        <v>4556.93783</v>
      </c>
      <c r="Q132" s="29" t="n">
        <v>4574.88231</v>
      </c>
      <c r="R132" s="29" t="n">
        <v>4622.89998</v>
      </c>
      <c r="S132" s="29" t="n">
        <v>4598.71636</v>
      </c>
      <c r="V132" s="29" t="n">
        <v>4542.23712</v>
      </c>
      <c r="AB132" s="29" t="n">
        <v>4572.40065</v>
      </c>
      <c r="AC132" s="29" t="n">
        <v>4567.59745</v>
      </c>
      <c r="AD132" s="29" t="n">
        <v>0</v>
      </c>
    </row>
    <row r="133" ht="14.25" customHeight="1" s="28">
      <c r="A133" s="29" t="n">
        <v>1777530601</v>
      </c>
      <c r="B133" s="29" t="inlineStr">
        <is>
          <t>XAUUSD</t>
        </is>
      </c>
      <c r="C133" s="29" t="inlineStr">
        <is>
          <t>M15</t>
        </is>
      </c>
      <c r="D133" s="29" t="n">
        <v>4575.23</v>
      </c>
      <c r="E133" s="29" t="n">
        <v>4717.79398</v>
      </c>
      <c r="F133" s="29" t="n">
        <v>4695.2428</v>
      </c>
      <c r="G133" s="29" t="n">
        <v>4518.59282</v>
      </c>
      <c r="H133" s="29" t="n">
        <v>4596.05595</v>
      </c>
      <c r="I133" s="29" t="n">
        <v>4755.40355</v>
      </c>
      <c r="J133" s="29" t="n">
        <v>4792.76972</v>
      </c>
      <c r="K133" s="29" t="n">
        <v>4769.97694</v>
      </c>
      <c r="L133" s="29" t="n">
        <v>4716.33597</v>
      </c>
      <c r="M133" s="29" t="n">
        <v>4718.85043</v>
      </c>
      <c r="N133" s="29" t="n">
        <v>4531.36057</v>
      </c>
      <c r="O133" s="29" t="n">
        <v>4556.93783</v>
      </c>
      <c r="Q133" s="29" t="n">
        <v>4575.08476</v>
      </c>
      <c r="R133" s="29" t="n">
        <v>4623.10242</v>
      </c>
      <c r="S133" s="29" t="n">
        <v>4598.91881</v>
      </c>
      <c r="V133" s="29" t="n">
        <v>4542.43957</v>
      </c>
      <c r="AB133" s="29" t="n">
        <v>4578.23145</v>
      </c>
      <c r="AC133" s="29" t="n">
        <v>4572.91445</v>
      </c>
      <c r="AD133" s="29" t="n">
        <v>0</v>
      </c>
    </row>
    <row r="134" ht="14.25" customHeight="1" s="28">
      <c r="A134" s="29" t="n">
        <v>1777531501</v>
      </c>
      <c r="B134" s="29" t="inlineStr">
        <is>
          <t>XAUUSD</t>
        </is>
      </c>
      <c r="C134" s="29" t="inlineStr">
        <is>
          <t>M15</t>
        </is>
      </c>
      <c r="D134" s="29" t="n">
        <v>4589.44</v>
      </c>
      <c r="E134" s="29" t="n">
        <v>4717.79398</v>
      </c>
      <c r="F134" s="29" t="n">
        <v>4695.2428</v>
      </c>
      <c r="G134" s="29" t="n">
        <v>4518.59282</v>
      </c>
      <c r="H134" s="29" t="n">
        <v>4596.05595</v>
      </c>
      <c r="I134" s="29" t="n">
        <v>4755.40355</v>
      </c>
      <c r="J134" s="29" t="n">
        <v>4792.76972</v>
      </c>
      <c r="K134" s="29" t="n">
        <v>4769.97694</v>
      </c>
      <c r="L134" s="29" t="n">
        <v>4716.33597</v>
      </c>
      <c r="M134" s="29" t="n">
        <v>4718.85043</v>
      </c>
      <c r="N134" s="29" t="n">
        <v>4531.36057</v>
      </c>
      <c r="O134" s="29" t="n">
        <v>4556.93783</v>
      </c>
      <c r="Q134" s="29" t="n">
        <v>4575.2872</v>
      </c>
      <c r="R134" s="29" t="n">
        <v>4623.30487</v>
      </c>
      <c r="S134" s="29" t="n">
        <v>4599.12126</v>
      </c>
      <c r="V134" s="29" t="n">
        <v>4542.64201</v>
      </c>
      <c r="AB134" s="29" t="n">
        <v>4584.24007</v>
      </c>
      <c r="AC134" s="29" t="n">
        <v>4578.57726</v>
      </c>
      <c r="AD134" s="29" t="n">
        <v>0</v>
      </c>
    </row>
    <row r="135" ht="14.25" customHeight="1" s="28">
      <c r="A135" s="29" t="n">
        <v>1777532401</v>
      </c>
      <c r="B135" s="29" t="inlineStr">
        <is>
          <t>XAUUSD</t>
        </is>
      </c>
      <c r="C135" s="29" t="inlineStr">
        <is>
          <t>M15</t>
        </is>
      </c>
      <c r="D135" s="29" t="n">
        <v>4591.59</v>
      </c>
      <c r="E135" s="29" t="n">
        <v>4717.79398</v>
      </c>
      <c r="F135" s="29" t="n">
        <v>4695.2428</v>
      </c>
      <c r="G135" s="29" t="n">
        <v>4518.59282</v>
      </c>
      <c r="H135" s="29" t="n">
        <v>4596.05595</v>
      </c>
      <c r="I135" s="29" t="n">
        <v>4755.40355</v>
      </c>
      <c r="J135" s="29" t="n">
        <v>4792.76972</v>
      </c>
      <c r="K135" s="29" t="n">
        <v>4769.97694</v>
      </c>
      <c r="L135" s="29" t="n">
        <v>4716.33597</v>
      </c>
      <c r="M135" s="29" t="n">
        <v>4718.85043</v>
      </c>
      <c r="N135" s="29" t="n">
        <v>4531.36057</v>
      </c>
      <c r="O135" s="29" t="n">
        <v>4556.93783</v>
      </c>
      <c r="Q135" s="29" t="n">
        <v>4575.48965</v>
      </c>
      <c r="R135" s="29" t="n">
        <v>4623.50731</v>
      </c>
      <c r="S135" s="29" t="n">
        <v>4599.3237</v>
      </c>
      <c r="V135" s="29" t="n">
        <v>4542.84446</v>
      </c>
      <c r="AB135" s="29" t="n">
        <v>4589.9598</v>
      </c>
      <c r="AC135" s="29" t="n">
        <v>4584.26853</v>
      </c>
      <c r="AD135" s="29" t="n">
        <v>0</v>
      </c>
    </row>
    <row r="136" ht="14.25" customHeight="1" s="28">
      <c r="A136" s="29" t="n">
        <v>1777533301</v>
      </c>
      <c r="B136" s="29" t="inlineStr">
        <is>
          <t>XAUUSD</t>
        </is>
      </c>
      <c r="C136" s="29" t="inlineStr">
        <is>
          <t>M15</t>
        </is>
      </c>
      <c r="D136" s="29" t="n">
        <v>4591.59</v>
      </c>
      <c r="E136" s="29" t="n">
        <v>4717.79398</v>
      </c>
      <c r="F136" s="29" t="n">
        <v>4695.2428</v>
      </c>
      <c r="G136" s="29" t="n">
        <v>4518.59282</v>
      </c>
      <c r="H136" s="29" t="n">
        <v>4596.05595</v>
      </c>
      <c r="I136" s="29" t="n">
        <v>4755.40355</v>
      </c>
      <c r="J136" s="29" t="n">
        <v>4792.76972</v>
      </c>
      <c r="K136" s="29" t="n">
        <v>4769.97694</v>
      </c>
      <c r="L136" s="29" t="n">
        <v>4716.33597</v>
      </c>
      <c r="M136" s="29" t="n">
        <v>4718.85043</v>
      </c>
      <c r="N136" s="29" t="n">
        <v>4531.36057</v>
      </c>
      <c r="O136" s="29" t="n">
        <v>4556.93783</v>
      </c>
      <c r="Q136" s="29" t="n">
        <v>4575.69209</v>
      </c>
      <c r="R136" s="29" t="n">
        <v>4623.70976</v>
      </c>
      <c r="S136" s="29" t="n">
        <v>4599.52615</v>
      </c>
      <c r="V136" s="29" t="n">
        <v>4543.0469</v>
      </c>
      <c r="AB136" s="29" t="n">
        <v>4595.30501</v>
      </c>
      <c r="AC136" s="29" t="n">
        <v>4589.78677</v>
      </c>
      <c r="AD136" s="29" t="n">
        <v>0</v>
      </c>
    </row>
    <row r="137" ht="14.25" customHeight="1" s="28">
      <c r="A137" s="29" t="n">
        <v>1777534201</v>
      </c>
      <c r="B137" s="29" t="inlineStr">
        <is>
          <t>XAUUSD</t>
        </is>
      </c>
      <c r="C137" s="29" t="inlineStr">
        <is>
          <t>M15</t>
        </is>
      </c>
      <c r="D137" s="29" t="n">
        <v>4596.69</v>
      </c>
      <c r="E137" s="29" t="n">
        <v>4717.79398</v>
      </c>
      <c r="F137" s="29" t="n">
        <v>4695.2428</v>
      </c>
      <c r="G137" s="29" t="n">
        <v>4518.59282</v>
      </c>
      <c r="H137" s="29" t="n">
        <v>4596.05595</v>
      </c>
      <c r="I137" s="29" t="n">
        <v>4755.40355</v>
      </c>
      <c r="J137" s="29" t="n">
        <v>4792.76972</v>
      </c>
      <c r="K137" s="29" t="n">
        <v>4769.97694</v>
      </c>
      <c r="L137" s="29" t="n">
        <v>4716.33597</v>
      </c>
      <c r="M137" s="29" t="n">
        <v>4718.85043</v>
      </c>
      <c r="N137" s="29" t="n">
        <v>4531.36057</v>
      </c>
      <c r="O137" s="29" t="n">
        <v>4556.93783</v>
      </c>
      <c r="Q137" s="29" t="n">
        <v>4575.89454</v>
      </c>
      <c r="R137" s="29" t="n">
        <v>4623.9122</v>
      </c>
      <c r="S137" s="29" t="n">
        <v>4599.72859</v>
      </c>
      <c r="V137" s="29" t="n">
        <v>4543.24935</v>
      </c>
      <c r="AB137" s="29" t="n">
        <v>4600.28116</v>
      </c>
      <c r="AC137" s="29" t="n">
        <v>4595.03396</v>
      </c>
      <c r="AD137" s="29" t="n">
        <v>0</v>
      </c>
    </row>
    <row r="138" ht="14.25" customHeight="1" s="28">
      <c r="A138" s="29" t="n">
        <v>1777535101</v>
      </c>
      <c r="B138" s="29" t="inlineStr">
        <is>
          <t>XAUUSD</t>
        </is>
      </c>
      <c r="C138" s="29" t="inlineStr">
        <is>
          <t>M15</t>
        </is>
      </c>
      <c r="D138" s="29" t="n">
        <v>4598.44</v>
      </c>
      <c r="E138" s="29" t="n">
        <v>4717.79398</v>
      </c>
      <c r="F138" s="29" t="n">
        <v>4695.2428</v>
      </c>
      <c r="G138" s="29" t="n">
        <v>4518.59282</v>
      </c>
      <c r="H138" s="29" t="n">
        <v>4596.05595</v>
      </c>
      <c r="I138" s="29" t="n">
        <v>4755.40355</v>
      </c>
      <c r="J138" s="29" t="n">
        <v>4792.76972</v>
      </c>
      <c r="K138" s="29" t="n">
        <v>4769.97694</v>
      </c>
      <c r="L138" s="29" t="n">
        <v>4716.33597</v>
      </c>
      <c r="M138" s="29" t="n">
        <v>4718.85043</v>
      </c>
      <c r="N138" s="29" t="n">
        <v>4531.36057</v>
      </c>
      <c r="O138" s="29" t="n">
        <v>4556.93783</v>
      </c>
      <c r="Q138" s="29" t="n">
        <v>4576.09699</v>
      </c>
      <c r="R138" s="29" t="n">
        <v>4624.11465</v>
      </c>
      <c r="S138" s="29" t="n">
        <v>4599.93104</v>
      </c>
      <c r="V138" s="29" t="n">
        <v>4543.45179</v>
      </c>
      <c r="AB138" s="29" t="n">
        <v>4604.81754</v>
      </c>
      <c r="AC138" s="29" t="n">
        <v>4599.92575</v>
      </c>
      <c r="AD138" s="29" t="n">
        <v>0</v>
      </c>
    </row>
    <row r="139" ht="14.25" customHeight="1" s="28">
      <c r="A139" s="29" t="n">
        <v>1777536001</v>
      </c>
      <c r="B139" s="29" t="inlineStr">
        <is>
          <t>XAUUSD</t>
        </is>
      </c>
      <c r="C139" s="29" t="inlineStr">
        <is>
          <t>M15</t>
        </is>
      </c>
      <c r="D139" s="29" t="n">
        <v>4618.7</v>
      </c>
      <c r="E139" s="29" t="n">
        <v>4717.79398</v>
      </c>
      <c r="F139" s="29" t="n">
        <v>4695.2428</v>
      </c>
      <c r="G139" s="29" t="n">
        <v>4518.59282</v>
      </c>
      <c r="H139" s="29" t="n">
        <v>4596.05595</v>
      </c>
      <c r="I139" s="29" t="n">
        <v>4755.40355</v>
      </c>
      <c r="J139" s="29" t="n">
        <v>4792.76972</v>
      </c>
      <c r="K139" s="29" t="n">
        <v>4769.97694</v>
      </c>
      <c r="L139" s="29" t="n">
        <v>4716.33597</v>
      </c>
      <c r="M139" s="29" t="n">
        <v>4718.85043</v>
      </c>
      <c r="N139" s="29" t="n">
        <v>4531.36057</v>
      </c>
      <c r="O139" s="29" t="n">
        <v>4556.93783</v>
      </c>
      <c r="Q139" s="29" t="n">
        <v>4576.29943</v>
      </c>
      <c r="R139" s="29" t="n">
        <v>4624.3171</v>
      </c>
      <c r="S139" s="29" t="n">
        <v>4600.13348</v>
      </c>
      <c r="V139" s="29" t="n">
        <v>4543.65424</v>
      </c>
      <c r="AB139" s="29" t="n">
        <v>4608.94986</v>
      </c>
      <c r="AC139" s="29" t="n">
        <v>4604.43781</v>
      </c>
      <c r="AD139" s="29" t="n">
        <v>0</v>
      </c>
    </row>
    <row r="140" ht="14.25" customHeight="1" s="28">
      <c r="A140" s="29" t="n">
        <v>1777536901</v>
      </c>
      <c r="B140" s="29" t="inlineStr">
        <is>
          <t>XAUUSD</t>
        </is>
      </c>
      <c r="C140" s="29" t="inlineStr">
        <is>
          <t>M15</t>
        </is>
      </c>
      <c r="D140" s="29" t="n">
        <v>4617.35</v>
      </c>
      <c r="E140" s="29" t="n">
        <v>4717.79398</v>
      </c>
      <c r="F140" s="29" t="n">
        <v>4695.2428</v>
      </c>
      <c r="G140" s="29" t="n">
        <v>4518.59282</v>
      </c>
      <c r="H140" s="29" t="n">
        <v>4596.05595</v>
      </c>
      <c r="I140" s="29" t="n">
        <v>4755.40355</v>
      </c>
      <c r="J140" s="29" t="n">
        <v>4792.76972</v>
      </c>
      <c r="K140" s="29" t="n">
        <v>4769.97694</v>
      </c>
      <c r="L140" s="29" t="n">
        <v>4716.33597</v>
      </c>
      <c r="M140" s="29" t="n">
        <v>4718.85043</v>
      </c>
      <c r="N140" s="29" t="n">
        <v>4531.36057</v>
      </c>
      <c r="O140" s="29" t="n">
        <v>4556.93783</v>
      </c>
      <c r="Q140" s="29" t="n">
        <v>4576.50188</v>
      </c>
      <c r="R140" s="29" t="n">
        <v>4624.51954</v>
      </c>
      <c r="S140" s="29" t="n">
        <v>4600.33593</v>
      </c>
      <c r="V140" s="29" t="n">
        <v>4543.85669</v>
      </c>
      <c r="AB140" s="29" t="n">
        <v>4612.27662</v>
      </c>
      <c r="AC140" s="29" t="n">
        <v>4608.35721</v>
      </c>
      <c r="AD140" s="29" t="n">
        <v>0</v>
      </c>
    </row>
    <row r="141" ht="14.25" customHeight="1" s="28">
      <c r="A141" s="29" t="n">
        <v>1777537801</v>
      </c>
      <c r="B141" s="29" t="inlineStr">
        <is>
          <t>XAUUSD</t>
        </is>
      </c>
      <c r="C141" s="29" t="inlineStr">
        <is>
          <t>M15</t>
        </is>
      </c>
      <c r="D141" s="29" t="n">
        <v>4614.82</v>
      </c>
      <c r="E141" s="29" t="n">
        <v>4717.79398</v>
      </c>
      <c r="F141" s="29" t="n">
        <v>4695.2428</v>
      </c>
      <c r="G141" s="29" t="n">
        <v>4518.59282</v>
      </c>
      <c r="H141" s="29" t="n">
        <v>4596.05595</v>
      </c>
      <c r="I141" s="29" t="n">
        <v>4755.40355</v>
      </c>
      <c r="J141" s="29" t="n">
        <v>4792.76972</v>
      </c>
      <c r="K141" s="29" t="n">
        <v>4769.97694</v>
      </c>
      <c r="L141" s="29" t="n">
        <v>4716.33597</v>
      </c>
      <c r="M141" s="29" t="n">
        <v>4718.85043</v>
      </c>
      <c r="N141" s="29" t="n">
        <v>4531.36057</v>
      </c>
      <c r="O141" s="29" t="n">
        <v>4556.93783</v>
      </c>
      <c r="Q141" s="29" t="n">
        <v>4576.70432</v>
      </c>
      <c r="R141" s="29" t="n">
        <v>4624.72199</v>
      </c>
      <c r="S141" s="29" t="n">
        <v>4600.53837</v>
      </c>
      <c r="V141" s="29" t="n">
        <v>4544.05913</v>
      </c>
      <c r="AB141" s="29" t="n">
        <v>4615.05883</v>
      </c>
      <c r="AC141" s="29" t="n">
        <v>4611.70802</v>
      </c>
      <c r="AD141" s="29" t="n">
        <v>0</v>
      </c>
    </row>
    <row r="142" ht="14.25" customHeight="1" s="28">
      <c r="A142" s="29" t="n">
        <v>1777538701</v>
      </c>
      <c r="B142" s="29" t="inlineStr">
        <is>
          <t>XAUUSD</t>
        </is>
      </c>
      <c r="C142" s="29" t="inlineStr">
        <is>
          <t>M15</t>
        </is>
      </c>
      <c r="D142" s="29" t="n">
        <v>4616</v>
      </c>
      <c r="E142" s="29" t="n">
        <v>4717.79398</v>
      </c>
      <c r="F142" s="29" t="n">
        <v>4695.2428</v>
      </c>
      <c r="G142" s="29" t="n">
        <v>4518.59282</v>
      </c>
      <c r="H142" s="29" t="n">
        <v>4596.05595</v>
      </c>
      <c r="I142" s="29" t="n">
        <v>4755.40355</v>
      </c>
      <c r="J142" s="29" t="n">
        <v>4792.76972</v>
      </c>
      <c r="K142" s="29" t="n">
        <v>4769.97694</v>
      </c>
      <c r="L142" s="29" t="n">
        <v>4716.33597</v>
      </c>
      <c r="M142" s="29" t="n">
        <v>4718.85043</v>
      </c>
      <c r="N142" s="29" t="n">
        <v>4531.36057</v>
      </c>
      <c r="O142" s="29" t="n">
        <v>4556.93783</v>
      </c>
      <c r="Q142" s="29" t="n">
        <v>4576.90677</v>
      </c>
      <c r="R142" s="29" t="n">
        <v>4624.92443</v>
      </c>
      <c r="S142" s="29" t="n">
        <v>4600.74082</v>
      </c>
      <c r="V142" s="29" t="n">
        <v>4544.26158</v>
      </c>
      <c r="AB142" s="29" t="n">
        <v>4617.65134</v>
      </c>
      <c r="AC142" s="29" t="n">
        <v>4614.67968</v>
      </c>
      <c r="AD142" s="29" t="n">
        <v>0</v>
      </c>
    </row>
    <row r="143" ht="14.25" customHeight="1" s="28">
      <c r="A143" s="29" t="n">
        <v>1777539601</v>
      </c>
      <c r="B143" s="29" t="inlineStr">
        <is>
          <t>XAUUSD</t>
        </is>
      </c>
      <c r="C143" s="29" t="inlineStr">
        <is>
          <t>M15</t>
        </is>
      </c>
      <c r="D143" s="29" t="n">
        <v>4618.96</v>
      </c>
      <c r="E143" s="29" t="n">
        <v>4717.79398</v>
      </c>
      <c r="F143" s="29" t="n">
        <v>4695.2428</v>
      </c>
      <c r="G143" s="29" t="n">
        <v>4518.59282</v>
      </c>
      <c r="H143" s="29" t="n">
        <v>4596.05595</v>
      </c>
      <c r="I143" s="29" t="n">
        <v>4755.40355</v>
      </c>
      <c r="J143" s="29" t="n">
        <v>4792.76972</v>
      </c>
      <c r="K143" s="29" t="n">
        <v>4769.97694</v>
      </c>
      <c r="L143" s="29" t="n">
        <v>4716.33597</v>
      </c>
      <c r="M143" s="29" t="n">
        <v>4718.85043</v>
      </c>
      <c r="N143" s="29" t="n">
        <v>4531.36057</v>
      </c>
      <c r="O143" s="29" t="n">
        <v>4556.93783</v>
      </c>
      <c r="Q143" s="29" t="n">
        <v>4577.10921</v>
      </c>
      <c r="R143" s="29" t="n">
        <v>4625.12688</v>
      </c>
      <c r="S143" s="29" t="n">
        <v>4600.94327</v>
      </c>
      <c r="V143" s="29" t="n">
        <v>4544.46402</v>
      </c>
      <c r="AB143" s="29" t="n">
        <v>4620.25437</v>
      </c>
      <c r="AC143" s="29" t="n">
        <v>4617.46703</v>
      </c>
      <c r="AD143" s="29" t="n">
        <v>0</v>
      </c>
    </row>
    <row r="144" ht="14.25" customHeight="1" s="28">
      <c r="A144" s="29" t="n">
        <v>1777540501</v>
      </c>
      <c r="B144" s="29" t="inlineStr">
        <is>
          <t>XAUUSD</t>
        </is>
      </c>
      <c r="C144" s="29" t="inlineStr">
        <is>
          <t>M15</t>
        </is>
      </c>
      <c r="D144" s="29" t="n">
        <v>4625.41</v>
      </c>
      <c r="E144" s="29" t="n">
        <v>4717.79398</v>
      </c>
      <c r="F144" s="29" t="n">
        <v>4695.2428</v>
      </c>
      <c r="G144" s="29" t="n">
        <v>4518.59282</v>
      </c>
      <c r="H144" s="29" t="n">
        <v>4596.05595</v>
      </c>
      <c r="I144" s="29" t="n">
        <v>4755.40355</v>
      </c>
      <c r="J144" s="29" t="n">
        <v>4792.76972</v>
      </c>
      <c r="K144" s="29" t="n">
        <v>4769.97694</v>
      </c>
      <c r="L144" s="29" t="n">
        <v>4716.33597</v>
      </c>
      <c r="M144" s="29" t="n">
        <v>4718.85043</v>
      </c>
      <c r="N144" s="29" t="n">
        <v>4531.36057</v>
      </c>
      <c r="O144" s="29" t="n">
        <v>4556.93783</v>
      </c>
      <c r="Q144" s="29" t="n">
        <v>4577.31166</v>
      </c>
      <c r="R144" s="29" t="n">
        <v>4625.32932</v>
      </c>
      <c r="S144" s="29" t="n">
        <v>4601.14571</v>
      </c>
      <c r="V144" s="29" t="n">
        <v>4544.66647</v>
      </c>
      <c r="AB144" s="29" t="n">
        <v>4622.95448</v>
      </c>
      <c r="AC144" s="29" t="n">
        <v>4620.21075</v>
      </c>
      <c r="AD144" s="29" t="n">
        <v>0</v>
      </c>
    </row>
    <row r="145" ht="14.25" customHeight="1" s="28">
      <c r="A145" s="29" t="n">
        <v>1777541401</v>
      </c>
      <c r="B145" s="29" t="inlineStr">
        <is>
          <t>XAUUSD</t>
        </is>
      </c>
      <c r="C145" s="29" t="inlineStr">
        <is>
          <t>M15</t>
        </is>
      </c>
      <c r="D145" s="29" t="n">
        <v>4619.35</v>
      </c>
      <c r="E145" s="29" t="n">
        <v>4717.79398</v>
      </c>
      <c r="F145" s="29" t="n">
        <v>4695.2428</v>
      </c>
      <c r="G145" s="29" t="n">
        <v>4518.59282</v>
      </c>
      <c r="H145" s="29" t="n">
        <v>4596.05595</v>
      </c>
      <c r="I145" s="29" t="n">
        <v>4755.40355</v>
      </c>
      <c r="J145" s="29" t="n">
        <v>4792.76972</v>
      </c>
      <c r="K145" s="29" t="n">
        <v>4769.97694</v>
      </c>
      <c r="L145" s="29" t="n">
        <v>4716.33597</v>
      </c>
      <c r="M145" s="29" t="n">
        <v>4718.85043</v>
      </c>
      <c r="N145" s="29" t="n">
        <v>4531.36057</v>
      </c>
      <c r="O145" s="29" t="n">
        <v>4556.93783</v>
      </c>
      <c r="Q145" s="29" t="n">
        <v>4577.51411</v>
      </c>
      <c r="R145" s="29" t="n">
        <v>4625.53177</v>
      </c>
      <c r="S145" s="29" t="n">
        <v>4601.34816</v>
      </c>
      <c r="V145" s="29" t="n">
        <v>4544.86891</v>
      </c>
      <c r="AB145" s="29" t="n">
        <v>4625.64644</v>
      </c>
      <c r="AC145" s="29" t="n">
        <v>4622.9286</v>
      </c>
      <c r="AD145" s="29" t="n">
        <v>0</v>
      </c>
    </row>
    <row r="146" ht="14.25" customHeight="1" s="28">
      <c r="A146" s="29" t="n">
        <v>1777542301</v>
      </c>
      <c r="B146" s="29" t="inlineStr">
        <is>
          <t>XAUUSD</t>
        </is>
      </c>
      <c r="C146" s="29" t="inlineStr">
        <is>
          <t>M15</t>
        </is>
      </c>
      <c r="D146" s="29" t="n">
        <v>4624.91</v>
      </c>
      <c r="E146" s="29" t="n">
        <v>4717.79398</v>
      </c>
      <c r="F146" s="29" t="n">
        <v>4695.2428</v>
      </c>
      <c r="G146" s="29" t="n">
        <v>4518.59282</v>
      </c>
      <c r="H146" s="29" t="n">
        <v>4596.05595</v>
      </c>
      <c r="I146" s="29" t="n">
        <v>4755.40355</v>
      </c>
      <c r="J146" s="29" t="n">
        <v>4792.76972</v>
      </c>
      <c r="K146" s="29" t="n">
        <v>4769.97694</v>
      </c>
      <c r="L146" s="29" t="n">
        <v>4716.33597</v>
      </c>
      <c r="M146" s="29" t="n">
        <v>4718.85043</v>
      </c>
      <c r="N146" s="29" t="n">
        <v>4531.36057</v>
      </c>
      <c r="O146" s="29" t="n">
        <v>4556.93783</v>
      </c>
      <c r="Q146" s="29" t="n">
        <v>4577.71655</v>
      </c>
      <c r="R146" s="29" t="n">
        <v>4625.73422</v>
      </c>
      <c r="S146" s="29" t="n">
        <v>4601.5506</v>
      </c>
      <c r="V146" s="29" t="n">
        <v>4545.07136</v>
      </c>
      <c r="AB146" s="29" t="n">
        <v>4628.46791</v>
      </c>
      <c r="AC146" s="29" t="n">
        <v>4625.69825</v>
      </c>
      <c r="AD146" s="29" t="n">
        <v>0</v>
      </c>
    </row>
    <row r="147" ht="14.25" customHeight="1" s="28">
      <c r="A147" s="29" t="n">
        <v>1777543201</v>
      </c>
      <c r="B147" s="29" t="inlineStr">
        <is>
          <t>XAUUSD</t>
        </is>
      </c>
      <c r="C147" s="29" t="inlineStr">
        <is>
          <t>M15</t>
        </is>
      </c>
      <c r="D147" s="29" t="n">
        <v>4626.92</v>
      </c>
      <c r="E147" s="29" t="n">
        <v>4717.79398</v>
      </c>
      <c r="F147" s="29" t="n">
        <v>4695.2428</v>
      </c>
      <c r="G147" s="29" t="n">
        <v>4518.59282</v>
      </c>
      <c r="H147" s="29" t="n">
        <v>4596.05595</v>
      </c>
      <c r="I147" s="29" t="n">
        <v>4755.40355</v>
      </c>
      <c r="J147" s="29" t="n">
        <v>4792.76972</v>
      </c>
      <c r="K147" s="29" t="n">
        <v>4769.97694</v>
      </c>
      <c r="L147" s="29" t="n">
        <v>4716.33597</v>
      </c>
      <c r="M147" s="29" t="n">
        <v>4718.85043</v>
      </c>
      <c r="N147" s="29" t="n">
        <v>4531.36057</v>
      </c>
      <c r="O147" s="29" t="n">
        <v>4556.93783</v>
      </c>
      <c r="Q147" s="29" t="n">
        <v>4577.919</v>
      </c>
      <c r="R147" s="29" t="n">
        <v>4625.93666</v>
      </c>
      <c r="S147" s="29" t="n">
        <v>4601.75305</v>
      </c>
      <c r="V147" s="29" t="n">
        <v>4545.27381</v>
      </c>
      <c r="AB147" s="29" t="n">
        <v>4631.18716</v>
      </c>
      <c r="AC147" s="29" t="n">
        <v>4628.44271</v>
      </c>
      <c r="AD147" s="29" t="n">
        <v>0</v>
      </c>
    </row>
    <row r="148" ht="14.25" customHeight="1" s="28">
      <c r="A148" s="29" t="n">
        <v>1777544101</v>
      </c>
      <c r="B148" s="29" t="inlineStr">
        <is>
          <t>XAUUSD</t>
        </is>
      </c>
      <c r="C148" s="29" t="inlineStr">
        <is>
          <t>M15</t>
        </is>
      </c>
      <c r="D148" s="29" t="n">
        <v>4643.78</v>
      </c>
      <c r="E148" s="29" t="n">
        <v>4717.79398</v>
      </c>
      <c r="F148" s="29" t="n">
        <v>4695.2428</v>
      </c>
      <c r="G148" s="29" t="n">
        <v>4518.59282</v>
      </c>
      <c r="H148" s="29" t="n">
        <v>4596.05595</v>
      </c>
      <c r="I148" s="29" t="n">
        <v>4755.40355</v>
      </c>
      <c r="J148" s="29" t="n">
        <v>4792.76972</v>
      </c>
      <c r="K148" s="29" t="n">
        <v>4769.97694</v>
      </c>
      <c r="L148" s="29" t="n">
        <v>4716.33597</v>
      </c>
      <c r="M148" s="29" t="n">
        <v>4718.85043</v>
      </c>
      <c r="N148" s="29" t="n">
        <v>4531.36057</v>
      </c>
      <c r="O148" s="29" t="n">
        <v>4556.93783</v>
      </c>
      <c r="Q148" s="29" t="n">
        <v>4578.12144</v>
      </c>
      <c r="R148" s="29" t="n">
        <v>4626.13911</v>
      </c>
      <c r="S148" s="29" t="n">
        <v>4601.95549</v>
      </c>
      <c r="V148" s="29" t="n">
        <v>4545.47625</v>
      </c>
      <c r="AB148" s="29" t="n">
        <v>4633.63017</v>
      </c>
      <c r="AC148" s="29" t="n">
        <v>4631.03644</v>
      </c>
      <c r="AD148" s="29" t="n">
        <v>0</v>
      </c>
    </row>
    <row r="149" ht="14.25" customHeight="1" s="28">
      <c r="A149" s="29" t="n">
        <v>1777545001</v>
      </c>
      <c r="B149" s="29" t="inlineStr">
        <is>
          <t>XAUUSD</t>
        </is>
      </c>
      <c r="C149" s="29" t="inlineStr">
        <is>
          <t>M15</t>
        </is>
      </c>
      <c r="D149" s="29" t="n">
        <v>4636.62</v>
      </c>
      <c r="E149" s="29" t="n">
        <v>4717.79398</v>
      </c>
      <c r="F149" s="29" t="n">
        <v>4695.2428</v>
      </c>
      <c r="G149" s="29" t="n">
        <v>4518.59282</v>
      </c>
      <c r="H149" s="29" t="n">
        <v>4596.05595</v>
      </c>
      <c r="I149" s="29" t="n">
        <v>4755.40355</v>
      </c>
      <c r="J149" s="29" t="n">
        <v>4792.76972</v>
      </c>
      <c r="K149" s="29" t="n">
        <v>4769.97694</v>
      </c>
      <c r="L149" s="29" t="n">
        <v>4716.33597</v>
      </c>
      <c r="M149" s="29" t="n">
        <v>4718.85043</v>
      </c>
      <c r="N149" s="29" t="n">
        <v>4531.36057</v>
      </c>
      <c r="O149" s="29" t="n">
        <v>4556.93783</v>
      </c>
      <c r="Q149" s="29" t="n">
        <v>4578.32389</v>
      </c>
      <c r="R149" s="29" t="n">
        <v>4626.34155</v>
      </c>
      <c r="S149" s="29" t="n">
        <v>4602.15794</v>
      </c>
      <c r="V149" s="29" t="n">
        <v>4545.6787</v>
      </c>
      <c r="Z149" s="29" t="n">
        <v>4647.1</v>
      </c>
      <c r="AB149" s="29" t="n">
        <v>4635.21014</v>
      </c>
      <c r="AC149" s="29" t="n">
        <v>4633.12329</v>
      </c>
      <c r="AD149" s="29" t="n">
        <v>0</v>
      </c>
    </row>
    <row r="150" ht="14.25" customHeight="1" s="28">
      <c r="A150" s="29" t="n">
        <v>1777545901</v>
      </c>
      <c r="B150" s="29" t="inlineStr">
        <is>
          <t>XAUUSD</t>
        </is>
      </c>
      <c r="C150" s="29" t="inlineStr">
        <is>
          <t>M15</t>
        </is>
      </c>
      <c r="D150" s="29" t="n">
        <v>4639.68</v>
      </c>
      <c r="E150" s="29" t="n">
        <v>4717.79398</v>
      </c>
      <c r="F150" s="29" t="n">
        <v>4695.2428</v>
      </c>
      <c r="G150" s="29" t="n">
        <v>4518.59282</v>
      </c>
      <c r="H150" s="29" t="n">
        <v>4596.05595</v>
      </c>
      <c r="I150" s="29" t="n">
        <v>4755.40355</v>
      </c>
      <c r="J150" s="29" t="n">
        <v>4792.76972</v>
      </c>
      <c r="K150" s="29" t="n">
        <v>4769.97694</v>
      </c>
      <c r="L150" s="29" t="n">
        <v>4716.33597</v>
      </c>
      <c r="M150" s="29" t="n">
        <v>4718.85043</v>
      </c>
      <c r="N150" s="29" t="n">
        <v>4531.36057</v>
      </c>
      <c r="O150" s="29" t="n">
        <v>4556.93783</v>
      </c>
      <c r="Q150" s="29" t="n">
        <v>4578.52633</v>
      </c>
      <c r="R150" s="29" t="n">
        <v>4626.544</v>
      </c>
      <c r="S150" s="29" t="n">
        <v>4602.36039</v>
      </c>
      <c r="V150" s="29" t="n">
        <v>4545.88114</v>
      </c>
      <c r="AB150" s="29" t="n">
        <v>4636.08044</v>
      </c>
      <c r="AC150" s="29" t="n">
        <v>4634.60186</v>
      </c>
      <c r="AD150" s="29" t="n">
        <v>0</v>
      </c>
    </row>
    <row r="151" ht="14.25" customHeight="1" s="28">
      <c r="A151" s="29" t="n">
        <v>1777546801</v>
      </c>
      <c r="B151" s="29" t="inlineStr">
        <is>
          <t>XAUUSD</t>
        </is>
      </c>
      <c r="C151" s="29" t="inlineStr">
        <is>
          <t>M15</t>
        </is>
      </c>
      <c r="D151" s="29" t="n">
        <v>4635.99</v>
      </c>
      <c r="E151" s="29" t="n">
        <v>4717.79398</v>
      </c>
      <c r="F151" s="29" t="n">
        <v>4695.2428</v>
      </c>
      <c r="G151" s="29" t="n">
        <v>4518.59282</v>
      </c>
      <c r="H151" s="29" t="n">
        <v>4596.05595</v>
      </c>
      <c r="I151" s="29" t="n">
        <v>4755.40355</v>
      </c>
      <c r="J151" s="29" t="n">
        <v>4792.76972</v>
      </c>
      <c r="K151" s="29" t="n">
        <v>4769.97694</v>
      </c>
      <c r="L151" s="29" t="n">
        <v>4716.33597</v>
      </c>
      <c r="M151" s="29" t="n">
        <v>4718.85043</v>
      </c>
      <c r="N151" s="29" t="n">
        <v>4531.36057</v>
      </c>
      <c r="O151" s="29" t="n">
        <v>4556.93783</v>
      </c>
      <c r="Q151" s="29" t="n">
        <v>4578.72878</v>
      </c>
      <c r="R151" s="29" t="n">
        <v>4626.74644</v>
      </c>
      <c r="S151" s="29" t="n">
        <v>4602.56283</v>
      </c>
      <c r="V151" s="29" t="n">
        <v>4546.08359</v>
      </c>
      <c r="AB151" s="29" t="n">
        <v>4636.22769</v>
      </c>
      <c r="AC151" s="29" t="n">
        <v>4635.41478</v>
      </c>
      <c r="AD151" s="29" t="n">
        <v>0</v>
      </c>
    </row>
    <row r="152" ht="14.25" customHeight="1" s="28">
      <c r="A152" s="29" t="n">
        <v>1777547701</v>
      </c>
      <c r="B152" s="29" t="inlineStr">
        <is>
          <t>XAUUSD</t>
        </is>
      </c>
      <c r="C152" s="29" t="inlineStr">
        <is>
          <t>M15</t>
        </is>
      </c>
      <c r="D152" s="29" t="n">
        <v>4637.7</v>
      </c>
      <c r="E152" s="29" t="n">
        <v>4717.79398</v>
      </c>
      <c r="F152" s="29" t="n">
        <v>4695.2428</v>
      </c>
      <c r="G152" s="29" t="n">
        <v>4518.59282</v>
      </c>
      <c r="H152" s="29" t="n">
        <v>4596.05595</v>
      </c>
      <c r="I152" s="29" t="n">
        <v>4755.40355</v>
      </c>
      <c r="J152" s="29" t="n">
        <v>4792.76972</v>
      </c>
      <c r="K152" s="29" t="n">
        <v>4769.97694</v>
      </c>
      <c r="L152" s="29" t="n">
        <v>4716.33597</v>
      </c>
      <c r="M152" s="29" t="n">
        <v>4718.85043</v>
      </c>
      <c r="N152" s="29" t="n">
        <v>4531.36057</v>
      </c>
      <c r="O152" s="29" t="n">
        <v>4556.93783</v>
      </c>
      <c r="Q152" s="29" t="n">
        <v>4578.93123</v>
      </c>
      <c r="R152" s="29" t="n">
        <v>4626.94889</v>
      </c>
      <c r="S152" s="29" t="n">
        <v>4602.76528</v>
      </c>
      <c r="V152" s="29" t="n">
        <v>4546.28603</v>
      </c>
      <c r="AB152" s="29" t="n">
        <v>4635.89963</v>
      </c>
      <c r="AC152" s="29" t="n">
        <v>4635.6572</v>
      </c>
      <c r="AD152" s="29" t="n">
        <v>0</v>
      </c>
    </row>
    <row r="153" ht="14.25" customHeight="1" s="28">
      <c r="A153" s="29" t="n">
        <v>1777548601</v>
      </c>
      <c r="B153" s="29" t="inlineStr">
        <is>
          <t>XAUUSD</t>
        </is>
      </c>
      <c r="C153" s="29" t="inlineStr">
        <is>
          <t>M15</t>
        </is>
      </c>
      <c r="D153" s="29" t="n">
        <v>4629.82</v>
      </c>
      <c r="E153" s="29" t="n">
        <v>4717.79398</v>
      </c>
      <c r="F153" s="29" t="n">
        <v>4695.2428</v>
      </c>
      <c r="G153" s="29" t="n">
        <v>4518.59282</v>
      </c>
      <c r="H153" s="29" t="n">
        <v>4596.05595</v>
      </c>
      <c r="I153" s="29" t="n">
        <v>4755.40355</v>
      </c>
      <c r="J153" s="29" t="n">
        <v>4792.76972</v>
      </c>
      <c r="K153" s="29" t="n">
        <v>4769.97694</v>
      </c>
      <c r="L153" s="29" t="n">
        <v>4716.33597</v>
      </c>
      <c r="M153" s="29" t="n">
        <v>4718.85043</v>
      </c>
      <c r="N153" s="29" t="n">
        <v>4531.36057</v>
      </c>
      <c r="O153" s="29" t="n">
        <v>4556.93783</v>
      </c>
      <c r="Q153" s="29" t="n">
        <v>4579.13367</v>
      </c>
      <c r="R153" s="29" t="n">
        <v>4627.15134</v>
      </c>
      <c r="S153" s="29" t="n">
        <v>4602.96772</v>
      </c>
      <c r="V153" s="29" t="n">
        <v>4546.48848</v>
      </c>
      <c r="AB153" s="29" t="n">
        <v>4635.23039</v>
      </c>
      <c r="AC153" s="29" t="n">
        <v>4635.4438</v>
      </c>
      <c r="AD153" s="29" t="n">
        <v>1</v>
      </c>
    </row>
    <row r="154" ht="14.25" customHeight="1" s="28">
      <c r="A154" s="29" t="n">
        <v>1777549501</v>
      </c>
      <c r="B154" s="29" t="inlineStr">
        <is>
          <t>XAUUSD</t>
        </is>
      </c>
      <c r="C154" s="29" t="inlineStr">
        <is>
          <t>M15</t>
        </is>
      </c>
      <c r="D154" s="29" t="n">
        <v>4630.21</v>
      </c>
      <c r="E154" s="29" t="n">
        <v>4717.79398</v>
      </c>
      <c r="F154" s="29" t="n">
        <v>4695.2428</v>
      </c>
      <c r="G154" s="29" t="n">
        <v>4518.59282</v>
      </c>
      <c r="H154" s="29" t="n">
        <v>4596.05595</v>
      </c>
      <c r="I154" s="29" t="n">
        <v>4755.40355</v>
      </c>
      <c r="J154" s="29" t="n">
        <v>4792.76972</v>
      </c>
      <c r="K154" s="29" t="n">
        <v>4769.97694</v>
      </c>
      <c r="L154" s="29" t="n">
        <v>4716.33597</v>
      </c>
      <c r="M154" s="29" t="n">
        <v>4718.85043</v>
      </c>
      <c r="N154" s="29" t="n">
        <v>4531.36057</v>
      </c>
      <c r="O154" s="29" t="n">
        <v>4556.93783</v>
      </c>
      <c r="Q154" s="29" t="n">
        <v>4579.33612</v>
      </c>
      <c r="R154" s="29" t="n">
        <v>4627.35378</v>
      </c>
      <c r="S154" s="29" t="n">
        <v>4603.17017</v>
      </c>
      <c r="V154" s="29" t="n">
        <v>4546.69093</v>
      </c>
      <c r="AB154" s="29" t="n">
        <v>4634.58541</v>
      </c>
      <c r="AC154" s="29" t="n">
        <v>4635.01461</v>
      </c>
      <c r="AD154" s="29" t="n">
        <v>0</v>
      </c>
    </row>
    <row r="155" ht="14.25" customHeight="1" s="28">
      <c r="A155" s="29" t="n">
        <v>1777550401</v>
      </c>
      <c r="B155" s="29" t="inlineStr">
        <is>
          <t>XAUUSD</t>
        </is>
      </c>
      <c r="C155" s="29" t="inlineStr">
        <is>
          <t>M15</t>
        </is>
      </c>
      <c r="D155" s="29" t="n">
        <v>4635.81</v>
      </c>
      <c r="E155" s="29" t="n">
        <v>4717.79398</v>
      </c>
      <c r="F155" s="29" t="n">
        <v>4695.2428</v>
      </c>
      <c r="G155" s="29" t="n">
        <v>4518.59282</v>
      </c>
      <c r="H155" s="29" t="n">
        <v>4596.05595</v>
      </c>
      <c r="I155" s="29" t="n">
        <v>4755.40355</v>
      </c>
      <c r="J155" s="29" t="n">
        <v>4792.76972</v>
      </c>
      <c r="K155" s="29" t="n">
        <v>4769.97694</v>
      </c>
      <c r="L155" s="29" t="n">
        <v>4716.33597</v>
      </c>
      <c r="M155" s="29" t="n">
        <v>4718.85043</v>
      </c>
      <c r="N155" s="29" t="n">
        <v>4531.36057</v>
      </c>
      <c r="O155" s="29" t="n">
        <v>4556.93783</v>
      </c>
      <c r="Q155" s="29" t="n">
        <v>4579.53856</v>
      </c>
      <c r="R155" s="29" t="n">
        <v>4627.55623</v>
      </c>
      <c r="S155" s="29" t="n">
        <v>4603.37261</v>
      </c>
      <c r="V155" s="29" t="n">
        <v>4546.89337</v>
      </c>
      <c r="AB155" s="29" t="n">
        <v>4634.04899</v>
      </c>
      <c r="AC155" s="29" t="n">
        <v>4634.5318</v>
      </c>
      <c r="AD155" s="29" t="n">
        <v>0</v>
      </c>
    </row>
    <row r="156" ht="14.25" customHeight="1" s="28">
      <c r="A156" s="29" t="n">
        <v>1777551301</v>
      </c>
      <c r="B156" s="29" t="inlineStr">
        <is>
          <t>XAUUSD</t>
        </is>
      </c>
      <c r="C156" s="29" t="inlineStr">
        <is>
          <t>M15</t>
        </is>
      </c>
      <c r="D156" s="29" t="n">
        <v>4630.51</v>
      </c>
      <c r="E156" s="29" t="n">
        <v>4717.79398</v>
      </c>
      <c r="F156" s="29" t="n">
        <v>4695.2428</v>
      </c>
      <c r="G156" s="29" t="n">
        <v>4518.59282</v>
      </c>
      <c r="H156" s="29" t="n">
        <v>4596.05595</v>
      </c>
      <c r="I156" s="29" t="n">
        <v>4755.40355</v>
      </c>
      <c r="J156" s="29" t="n">
        <v>4792.76972</v>
      </c>
      <c r="K156" s="29" t="n">
        <v>4769.97694</v>
      </c>
      <c r="L156" s="29" t="n">
        <v>4716.33597</v>
      </c>
      <c r="M156" s="29" t="n">
        <v>4718.85043</v>
      </c>
      <c r="N156" s="29" t="n">
        <v>4531.36057</v>
      </c>
      <c r="O156" s="29" t="n">
        <v>4556.93783</v>
      </c>
      <c r="Q156" s="29" t="n">
        <v>4579.74101</v>
      </c>
      <c r="R156" s="29" t="n">
        <v>4627.75867</v>
      </c>
      <c r="S156" s="29" t="n">
        <v>4603.57506</v>
      </c>
      <c r="V156" s="29" t="n">
        <v>4547.09582</v>
      </c>
      <c r="AB156" s="29" t="n">
        <v>4633.43639</v>
      </c>
      <c r="AC156" s="29" t="n">
        <v>4633.98409</v>
      </c>
      <c r="AD156" s="29" t="n">
        <v>0</v>
      </c>
    </row>
    <row r="157" ht="14.25" customHeight="1" s="28">
      <c r="A157" s="29" t="n">
        <v>1777552201</v>
      </c>
      <c r="B157" s="29" t="inlineStr">
        <is>
          <t>XAUUSD</t>
        </is>
      </c>
      <c r="C157" s="29" t="inlineStr">
        <is>
          <t>M15</t>
        </is>
      </c>
      <c r="D157" s="29" t="n">
        <v>4625.92</v>
      </c>
      <c r="E157" s="29" t="n">
        <v>4717.79398</v>
      </c>
      <c r="F157" s="29" t="n">
        <v>4695.2428</v>
      </c>
      <c r="G157" s="29" t="n">
        <v>4518.59282</v>
      </c>
      <c r="H157" s="29" t="n">
        <v>4596.05595</v>
      </c>
      <c r="I157" s="29" t="n">
        <v>4755.40355</v>
      </c>
      <c r="J157" s="29" t="n">
        <v>4792.76972</v>
      </c>
      <c r="K157" s="29" t="n">
        <v>4769.97694</v>
      </c>
      <c r="L157" s="29" t="n">
        <v>4716.33597</v>
      </c>
      <c r="M157" s="29" t="n">
        <v>4718.85043</v>
      </c>
      <c r="N157" s="29" t="n">
        <v>4531.36057</v>
      </c>
      <c r="O157" s="29" t="n">
        <v>4556.93783</v>
      </c>
      <c r="Q157" s="29" t="n">
        <v>4579.94345</v>
      </c>
      <c r="R157" s="29" t="n">
        <v>4627.96112</v>
      </c>
      <c r="S157" s="29" t="n">
        <v>4603.77751</v>
      </c>
      <c r="V157" s="29" t="n">
        <v>4547.29826</v>
      </c>
      <c r="AB157" s="29" t="n">
        <v>4632.80607</v>
      </c>
      <c r="AC157" s="29" t="n">
        <v>4633.39508</v>
      </c>
      <c r="AD157" s="29" t="n">
        <v>0</v>
      </c>
    </row>
    <row r="158" ht="14.25" customHeight="1" s="28">
      <c r="A158" s="29" t="n">
        <v>1777553101</v>
      </c>
      <c r="B158" s="29" t="inlineStr">
        <is>
          <t>XAUUSD</t>
        </is>
      </c>
      <c r="C158" s="29" t="inlineStr">
        <is>
          <t>M15</t>
        </is>
      </c>
      <c r="D158" s="29" t="n">
        <v>4639.57</v>
      </c>
      <c r="E158" s="29" t="n">
        <v>4717.79398</v>
      </c>
      <c r="F158" s="29" t="n">
        <v>4695.2428</v>
      </c>
      <c r="G158" s="29" t="n">
        <v>4518.59282</v>
      </c>
      <c r="H158" s="29" t="n">
        <v>4596.05595</v>
      </c>
      <c r="I158" s="29" t="n">
        <v>4755.40355</v>
      </c>
      <c r="J158" s="29" t="n">
        <v>4792.76972</v>
      </c>
      <c r="K158" s="29" t="n">
        <v>4769.97694</v>
      </c>
      <c r="L158" s="29" t="n">
        <v>4716.33597</v>
      </c>
      <c r="M158" s="29" t="n">
        <v>4718.85043</v>
      </c>
      <c r="N158" s="29" t="n">
        <v>4531.36057</v>
      </c>
      <c r="O158" s="29" t="n">
        <v>4556.93783</v>
      </c>
      <c r="Q158" s="29" t="n">
        <v>4580.1459</v>
      </c>
      <c r="R158" s="29" t="n">
        <v>4628.16356</v>
      </c>
      <c r="S158" s="29" t="n">
        <v>4603.97995</v>
      </c>
      <c r="V158" s="29" t="n">
        <v>4547.50071</v>
      </c>
      <c r="AB158" s="29" t="n">
        <v>4632.1084</v>
      </c>
      <c r="AC158" s="29" t="n">
        <v>4632.75174</v>
      </c>
      <c r="AD158" s="29" t="n">
        <v>0</v>
      </c>
    </row>
    <row r="159" ht="14.25" customHeight="1" s="28">
      <c r="A159" s="29" t="n">
        <v>1777554001</v>
      </c>
      <c r="B159" s="29" t="inlineStr">
        <is>
          <t>XAUUSD</t>
        </is>
      </c>
      <c r="C159" s="29" t="inlineStr">
        <is>
          <t>M15</t>
        </is>
      </c>
      <c r="D159" s="29" t="n">
        <v>4641.5</v>
      </c>
      <c r="E159" s="29" t="n">
        <v>4717.79398</v>
      </c>
      <c r="F159" s="29" t="n">
        <v>4695.2428</v>
      </c>
      <c r="G159" s="29" t="n">
        <v>4518.59282</v>
      </c>
      <c r="H159" s="29" t="n">
        <v>4596.05595</v>
      </c>
      <c r="I159" s="29" t="n">
        <v>4755.40355</v>
      </c>
      <c r="J159" s="29" t="n">
        <v>4792.76972</v>
      </c>
      <c r="K159" s="29" t="n">
        <v>4769.97694</v>
      </c>
      <c r="L159" s="29" t="n">
        <v>4716.33597</v>
      </c>
      <c r="M159" s="29" t="n">
        <v>4718.85043</v>
      </c>
      <c r="N159" s="29" t="n">
        <v>4531.36057</v>
      </c>
      <c r="O159" s="29" t="n">
        <v>4556.93783</v>
      </c>
      <c r="Q159" s="29" t="n">
        <v>4580.34835</v>
      </c>
      <c r="R159" s="29" t="n">
        <v>4628.36601</v>
      </c>
      <c r="S159" s="29" t="n">
        <v>4604.1824</v>
      </c>
      <c r="V159" s="29" t="n">
        <v>4547.70315</v>
      </c>
      <c r="AB159" s="29" t="n">
        <v>4630.81082</v>
      </c>
      <c r="AC159" s="29" t="n">
        <v>4631.78128</v>
      </c>
      <c r="AD159" s="29" t="n">
        <v>0</v>
      </c>
    </row>
    <row r="160" ht="14.25" customHeight="1" s="28">
      <c r="A160" s="29" t="n">
        <v>1777554901</v>
      </c>
      <c r="B160" s="29" t="inlineStr">
        <is>
          <t>XAUUSD</t>
        </is>
      </c>
      <c r="C160" s="29" t="inlineStr">
        <is>
          <t>M15</t>
        </is>
      </c>
      <c r="D160" s="29" t="n">
        <v>4633.5</v>
      </c>
      <c r="E160" s="29" t="n">
        <v>4717.79398</v>
      </c>
      <c r="F160" s="29" t="n">
        <v>4695.2428</v>
      </c>
      <c r="G160" s="29" t="n">
        <v>4518.59282</v>
      </c>
      <c r="H160" s="29" t="n">
        <v>4596.05595</v>
      </c>
      <c r="I160" s="29" t="n">
        <v>4755.40355</v>
      </c>
      <c r="J160" s="29" t="n">
        <v>4792.76972</v>
      </c>
      <c r="K160" s="29" t="n">
        <v>4769.97694</v>
      </c>
      <c r="L160" s="29" t="n">
        <v>4716.33597</v>
      </c>
      <c r="M160" s="29" t="n">
        <v>4718.85043</v>
      </c>
      <c r="N160" s="29" t="n">
        <v>4531.36057</v>
      </c>
      <c r="O160" s="29" t="n">
        <v>4556.93783</v>
      </c>
      <c r="Q160" s="29" t="n">
        <v>4580.55079</v>
      </c>
      <c r="R160" s="29" t="n">
        <v>4628.56846</v>
      </c>
      <c r="S160" s="29" t="n">
        <v>4604.38484</v>
      </c>
      <c r="V160" s="29" t="n">
        <v>4547.9056</v>
      </c>
      <c r="AB160" s="29" t="n">
        <v>4628.8019</v>
      </c>
      <c r="AC160" s="29" t="n">
        <v>4630.29159</v>
      </c>
      <c r="AD160" s="29" t="n">
        <v>0</v>
      </c>
    </row>
    <row r="161" ht="14.25" customHeight="1" s="28">
      <c r="A161" s="29" t="n">
        <v>1777555801</v>
      </c>
      <c r="B161" s="29" t="inlineStr">
        <is>
          <t>XAUUSD</t>
        </is>
      </c>
      <c r="C161" s="29" t="inlineStr">
        <is>
          <t>M15</t>
        </is>
      </c>
      <c r="D161" s="29" t="n">
        <v>4625.44</v>
      </c>
      <c r="E161" s="29" t="n">
        <v>4717.79398</v>
      </c>
      <c r="F161" s="29" t="n">
        <v>4695.2428</v>
      </c>
      <c r="G161" s="29" t="n">
        <v>4518.59282</v>
      </c>
      <c r="H161" s="29" t="n">
        <v>4596.05595</v>
      </c>
      <c r="I161" s="29" t="n">
        <v>4755.40355</v>
      </c>
      <c r="J161" s="29" t="n">
        <v>4792.76972</v>
      </c>
      <c r="K161" s="29" t="n">
        <v>4769.97694</v>
      </c>
      <c r="L161" s="29" t="n">
        <v>4716.33597</v>
      </c>
      <c r="M161" s="29" t="n">
        <v>4718.85043</v>
      </c>
      <c r="N161" s="29" t="n">
        <v>4531.36057</v>
      </c>
      <c r="O161" s="29" t="n">
        <v>4556.93783</v>
      </c>
      <c r="Q161" s="29" t="n">
        <v>4580.75324</v>
      </c>
      <c r="R161" s="29" t="n">
        <v>4628.7709</v>
      </c>
      <c r="S161" s="29" t="n">
        <v>4604.58729</v>
      </c>
      <c r="V161" s="29" t="n">
        <v>4548.10805</v>
      </c>
      <c r="AB161" s="29" t="n">
        <v>4626.40722</v>
      </c>
      <c r="AC161" s="29" t="n">
        <v>4628.3494</v>
      </c>
      <c r="AD161" s="29" t="n">
        <v>0</v>
      </c>
    </row>
    <row r="162" ht="14.25" customHeight="1" s="28">
      <c r="A162" s="29" t="n">
        <v>1777556701</v>
      </c>
      <c r="B162" s="29" t="inlineStr">
        <is>
          <t>XAUUSD</t>
        </is>
      </c>
      <c r="C162" s="29" t="inlineStr">
        <is>
          <t>M15</t>
        </is>
      </c>
      <c r="D162" s="29" t="n">
        <v>4610.99</v>
      </c>
      <c r="E162" s="29" t="n">
        <v>4717.79398</v>
      </c>
      <c r="F162" s="29" t="n">
        <v>4695.2428</v>
      </c>
      <c r="G162" s="29" t="n">
        <v>4518.59282</v>
      </c>
      <c r="H162" s="29" t="n">
        <v>4596.05595</v>
      </c>
      <c r="I162" s="29" t="n">
        <v>4755.40355</v>
      </c>
      <c r="J162" s="29" t="n">
        <v>4792.76972</v>
      </c>
      <c r="K162" s="29" t="n">
        <v>4769.97694</v>
      </c>
      <c r="L162" s="29" t="n">
        <v>4716.33597</v>
      </c>
      <c r="M162" s="29" t="n">
        <v>4718.85043</v>
      </c>
      <c r="N162" s="29" t="n">
        <v>4531.36057</v>
      </c>
      <c r="O162" s="29" t="n">
        <v>4556.93783</v>
      </c>
      <c r="Q162" s="29" t="n">
        <v>4580.95568</v>
      </c>
      <c r="R162" s="29" t="n">
        <v>4628.97335</v>
      </c>
      <c r="S162" s="29" t="n">
        <v>4604.78973</v>
      </c>
      <c r="V162" s="29" t="n">
        <v>4548.31049</v>
      </c>
      <c r="AB162" s="29" t="n">
        <v>4624.03612</v>
      </c>
      <c r="AC162" s="29" t="n">
        <v>4626.19276</v>
      </c>
      <c r="AD162" s="29" t="n">
        <v>0</v>
      </c>
    </row>
    <row r="163" ht="14.25" customHeight="1" s="28">
      <c r="A163" s="29" t="n">
        <v>1777557601</v>
      </c>
      <c r="B163" s="29" t="inlineStr">
        <is>
          <t>XAUUSD</t>
        </is>
      </c>
      <c r="C163" s="29" t="inlineStr">
        <is>
          <t>M15</t>
        </is>
      </c>
      <c r="D163" s="29" t="n">
        <v>4620.39</v>
      </c>
      <c r="E163" s="29" t="n">
        <v>4717.79398</v>
      </c>
      <c r="F163" s="29" t="n">
        <v>4695.2428</v>
      </c>
      <c r="G163" s="29" t="n">
        <v>4518.59282</v>
      </c>
      <c r="H163" s="29" t="n">
        <v>4596.05595</v>
      </c>
      <c r="I163" s="29" t="n">
        <v>4755.40355</v>
      </c>
      <c r="J163" s="29" t="n">
        <v>4792.76972</v>
      </c>
      <c r="K163" s="29" t="n">
        <v>4769.97694</v>
      </c>
      <c r="L163" s="29" t="n">
        <v>4716.33597</v>
      </c>
      <c r="M163" s="29" t="n">
        <v>4718.85043</v>
      </c>
      <c r="N163" s="29" t="n">
        <v>4531.36057</v>
      </c>
      <c r="O163" s="29" t="n">
        <v>4556.93783</v>
      </c>
      <c r="Q163" s="29" t="n">
        <v>4581.15813</v>
      </c>
      <c r="R163" s="29" t="n">
        <v>4629.17579</v>
      </c>
      <c r="S163" s="29" t="n">
        <v>4604.99218</v>
      </c>
      <c r="V163" s="29" t="n">
        <v>4548.51294</v>
      </c>
      <c r="AB163" s="29" t="n">
        <v>4622.27171</v>
      </c>
      <c r="AC163" s="29" t="n">
        <v>4624.23224</v>
      </c>
      <c r="AD163" s="29" t="n">
        <v>0</v>
      </c>
    </row>
    <row r="164" ht="14.25" customHeight="1" s="28">
      <c r="A164" s="29" t="n">
        <v>1777558501</v>
      </c>
      <c r="B164" s="29" t="inlineStr">
        <is>
          <t>XAUUSD</t>
        </is>
      </c>
      <c r="C164" s="29" t="inlineStr">
        <is>
          <t>M15</t>
        </is>
      </c>
      <c r="D164" s="29" t="n">
        <v>4622.81</v>
      </c>
      <c r="E164" s="29" t="n">
        <v>4717.79398</v>
      </c>
      <c r="F164" s="29" t="n">
        <v>4695.2428</v>
      </c>
      <c r="G164" s="29" t="n">
        <v>4518.59282</v>
      </c>
      <c r="H164" s="29" t="n">
        <v>4596.05595</v>
      </c>
      <c r="I164" s="29" t="n">
        <v>4755.40355</v>
      </c>
      <c r="J164" s="29" t="n">
        <v>4792.76972</v>
      </c>
      <c r="K164" s="29" t="n">
        <v>4769.97694</v>
      </c>
      <c r="L164" s="29" t="n">
        <v>4716.33597</v>
      </c>
      <c r="M164" s="29" t="n">
        <v>4718.85043</v>
      </c>
      <c r="N164" s="29" t="n">
        <v>4531.36057</v>
      </c>
      <c r="O164" s="29" t="n">
        <v>4556.93783</v>
      </c>
      <c r="Q164" s="29" t="n">
        <v>4581.36057</v>
      </c>
      <c r="R164" s="29" t="n">
        <v>4629.37824</v>
      </c>
      <c r="S164" s="29" t="n">
        <v>4605.19463</v>
      </c>
      <c r="V164" s="29" t="n">
        <v>4548.71538</v>
      </c>
      <c r="AB164" s="29" t="n">
        <v>4620.92027</v>
      </c>
      <c r="AC164" s="29" t="n">
        <v>4622.57625</v>
      </c>
      <c r="AD164" s="29" t="n">
        <v>0</v>
      </c>
    </row>
    <row r="165" ht="14.25" customHeight="1" s="28">
      <c r="A165" s="29" t="n">
        <v>1777559401</v>
      </c>
      <c r="B165" s="29" t="inlineStr">
        <is>
          <t>XAUUSD</t>
        </is>
      </c>
      <c r="C165" s="29" t="inlineStr">
        <is>
          <t>M15</t>
        </is>
      </c>
      <c r="D165" s="29" t="n">
        <v>4617.7</v>
      </c>
      <c r="E165" s="29" t="n">
        <v>4717.79398</v>
      </c>
      <c r="F165" s="29" t="n">
        <v>4695.2428</v>
      </c>
      <c r="G165" s="29" t="n">
        <v>4518.59282</v>
      </c>
      <c r="H165" s="29" t="n">
        <v>4596.05595</v>
      </c>
      <c r="I165" s="29" t="n">
        <v>4755.40355</v>
      </c>
      <c r="J165" s="29" t="n">
        <v>4792.76972</v>
      </c>
      <c r="K165" s="29" t="n">
        <v>4769.97694</v>
      </c>
      <c r="L165" s="29" t="n">
        <v>4716.33597</v>
      </c>
      <c r="M165" s="29" t="n">
        <v>4718.85043</v>
      </c>
      <c r="N165" s="29" t="n">
        <v>4531.36057</v>
      </c>
      <c r="O165" s="29" t="n">
        <v>4556.93783</v>
      </c>
      <c r="Q165" s="29" t="n">
        <v>4581.56302</v>
      </c>
      <c r="R165" s="29" t="n">
        <v>4629.58068</v>
      </c>
      <c r="S165" s="29" t="n">
        <v>4605.39707</v>
      </c>
      <c r="V165" s="29" t="n">
        <v>4548.91783</v>
      </c>
      <c r="AB165" s="29" t="n">
        <v>4619.83949</v>
      </c>
      <c r="AC165" s="29" t="n">
        <v>4621.20787</v>
      </c>
      <c r="AD165" s="29" t="n">
        <v>0</v>
      </c>
    </row>
    <row r="166" ht="14.25" customHeight="1" s="28">
      <c r="A166" s="29" t="n">
        <v>1777560301</v>
      </c>
      <c r="B166" s="29" t="inlineStr">
        <is>
          <t>XAUUSD</t>
        </is>
      </c>
      <c r="C166" s="29" t="inlineStr">
        <is>
          <t>M15</t>
        </is>
      </c>
      <c r="D166" s="29" t="n">
        <v>4619.59</v>
      </c>
      <c r="E166" s="29" t="n">
        <v>4717.79398</v>
      </c>
      <c r="F166" s="29" t="n">
        <v>4695.2428</v>
      </c>
      <c r="G166" s="29" t="n">
        <v>4518.59282</v>
      </c>
      <c r="H166" s="29" t="n">
        <v>4596.05595</v>
      </c>
      <c r="I166" s="29" t="n">
        <v>4755.40355</v>
      </c>
      <c r="J166" s="29" t="n">
        <v>4792.76972</v>
      </c>
      <c r="K166" s="29" t="n">
        <v>4769.97694</v>
      </c>
      <c r="L166" s="29" t="n">
        <v>4716.33597</v>
      </c>
      <c r="M166" s="29" t="n">
        <v>4718.85043</v>
      </c>
      <c r="N166" s="29" t="n">
        <v>4531.36057</v>
      </c>
      <c r="O166" s="29" t="n">
        <v>4556.93783</v>
      </c>
      <c r="Q166" s="29" t="n">
        <v>4581.76547</v>
      </c>
      <c r="R166" s="29" t="n">
        <v>4629.78313</v>
      </c>
      <c r="S166" s="29" t="n">
        <v>4605.59952</v>
      </c>
      <c r="V166" s="29" t="n">
        <v>4549.12027</v>
      </c>
      <c r="AB166" s="29" t="n">
        <v>4619.02569</v>
      </c>
      <c r="AC166" s="29" t="n">
        <v>4620.11678</v>
      </c>
      <c r="AD166" s="29" t="n">
        <v>0</v>
      </c>
    </row>
    <row r="167" ht="14.25" customHeight="1" s="28">
      <c r="A167" s="29" t="n">
        <v>1777561201</v>
      </c>
      <c r="B167" s="29" t="inlineStr">
        <is>
          <t>XAUUSD</t>
        </is>
      </c>
      <c r="C167" s="29" t="inlineStr">
        <is>
          <t>M15</t>
        </is>
      </c>
      <c r="D167" s="29" t="n">
        <v>4620.13</v>
      </c>
      <c r="E167" s="29" t="n">
        <v>4717.79398</v>
      </c>
      <c r="F167" s="29" t="n">
        <v>4695.2428</v>
      </c>
      <c r="G167" s="29" t="n">
        <v>4518.59282</v>
      </c>
      <c r="H167" s="29" t="n">
        <v>4596.05595</v>
      </c>
      <c r="I167" s="29" t="n">
        <v>4755.40355</v>
      </c>
      <c r="J167" s="29" t="n">
        <v>4792.76972</v>
      </c>
      <c r="K167" s="29" t="n">
        <v>4769.97694</v>
      </c>
      <c r="L167" s="29" t="n">
        <v>4716.33597</v>
      </c>
      <c r="M167" s="29" t="n">
        <v>4718.85043</v>
      </c>
      <c r="N167" s="29" t="n">
        <v>4531.36057</v>
      </c>
      <c r="O167" s="29" t="n">
        <v>4556.93783</v>
      </c>
      <c r="Q167" s="29" t="n">
        <v>4581.96791</v>
      </c>
      <c r="R167" s="29" t="n">
        <v>4629.98558</v>
      </c>
      <c r="S167" s="29" t="n">
        <v>4605.80196</v>
      </c>
      <c r="V167" s="29" t="n">
        <v>4549.32272</v>
      </c>
      <c r="AB167" s="29" t="n">
        <v>4618.23207</v>
      </c>
      <c r="AC167" s="29" t="n">
        <v>4619.17443</v>
      </c>
      <c r="AD167" s="29" t="n">
        <v>0</v>
      </c>
    </row>
    <row r="168" ht="14.25" customHeight="1" s="28">
      <c r="A168" s="29" t="n">
        <v>1777562101</v>
      </c>
      <c r="B168" s="29" t="inlineStr">
        <is>
          <t>XAUUSD</t>
        </is>
      </c>
      <c r="C168" s="29" t="inlineStr">
        <is>
          <t>M15</t>
        </is>
      </c>
      <c r="D168" s="29" t="n">
        <v>4623.09</v>
      </c>
      <c r="E168" s="29" t="n">
        <v>4717.79398</v>
      </c>
      <c r="F168" s="29" t="n">
        <v>4695.2428</v>
      </c>
      <c r="G168" s="29" t="n">
        <v>4518.59282</v>
      </c>
      <c r="H168" s="29" t="n">
        <v>4596.05595</v>
      </c>
      <c r="I168" s="29" t="n">
        <v>4755.40355</v>
      </c>
      <c r="J168" s="29" t="n">
        <v>4792.76972</v>
      </c>
      <c r="K168" s="29" t="n">
        <v>4769.97694</v>
      </c>
      <c r="L168" s="29" t="n">
        <v>4716.33597</v>
      </c>
      <c r="M168" s="29" t="n">
        <v>4718.85043</v>
      </c>
      <c r="N168" s="29" t="n">
        <v>4531.36057</v>
      </c>
      <c r="O168" s="29" t="n">
        <v>4556.93783</v>
      </c>
      <c r="Q168" s="29" t="n">
        <v>4582.17036</v>
      </c>
      <c r="R168" s="29" t="n">
        <v>4630.18802</v>
      </c>
      <c r="S168" s="29" t="n">
        <v>4606.00441</v>
      </c>
      <c r="V168" s="29" t="n">
        <v>4549.52516</v>
      </c>
      <c r="AB168" s="29" t="n">
        <v>4617.24817</v>
      </c>
      <c r="AC168" s="29" t="n">
        <v>4618.2113</v>
      </c>
      <c r="AD168" s="29" t="n">
        <v>0</v>
      </c>
    </row>
    <row r="169" ht="14.25" customHeight="1" s="28">
      <c r="A169" s="29" t="n">
        <v>1777563001</v>
      </c>
      <c r="B169" s="29" t="inlineStr">
        <is>
          <t>XAUUSD</t>
        </is>
      </c>
      <c r="C169" s="29" t="inlineStr">
        <is>
          <t>M15</t>
        </is>
      </c>
      <c r="D169" s="29" t="n">
        <v>4615.65</v>
      </c>
      <c r="E169" s="29" t="n">
        <v>4717.79398</v>
      </c>
      <c r="F169" s="29" t="n">
        <v>4695.2428</v>
      </c>
      <c r="G169" s="29" t="n">
        <v>4518.59282</v>
      </c>
      <c r="H169" s="29" t="n">
        <v>4596.05595</v>
      </c>
      <c r="I169" s="29" t="n">
        <v>4755.40355</v>
      </c>
      <c r="J169" s="29" t="n">
        <v>4792.76972</v>
      </c>
      <c r="K169" s="29" t="n">
        <v>4769.97694</v>
      </c>
      <c r="L169" s="29" t="n">
        <v>4716.33597</v>
      </c>
      <c r="M169" s="29" t="n">
        <v>4718.85043</v>
      </c>
      <c r="N169" s="29" t="n">
        <v>4531.36057</v>
      </c>
      <c r="O169" s="29" t="n">
        <v>4556.93783</v>
      </c>
      <c r="Q169" s="29" t="n">
        <v>4582.3728</v>
      </c>
      <c r="R169" s="29" t="n">
        <v>4630.39047</v>
      </c>
      <c r="S169" s="29" t="n">
        <v>4606.20685</v>
      </c>
      <c r="V169" s="29" t="n">
        <v>4549.72761</v>
      </c>
      <c r="AB169" s="29" t="n">
        <v>4615.89207</v>
      </c>
      <c r="AC169" s="29" t="n">
        <v>4617.05168</v>
      </c>
      <c r="AD169" s="29" t="n">
        <v>0</v>
      </c>
    </row>
    <row r="170" ht="14.25" customHeight="1" s="28">
      <c r="A170" s="29" t="n">
        <v>1777563901</v>
      </c>
      <c r="B170" s="29" t="inlineStr">
        <is>
          <t>XAUUSD</t>
        </is>
      </c>
      <c r="C170" s="29" t="inlineStr">
        <is>
          <t>M15</t>
        </is>
      </c>
      <c r="D170" s="29" t="n">
        <v>4615.35</v>
      </c>
      <c r="E170" s="29" t="n">
        <v>4717.79398</v>
      </c>
      <c r="F170" s="29" t="n">
        <v>4695.2428</v>
      </c>
      <c r="G170" s="29" t="n">
        <v>4518.59282</v>
      </c>
      <c r="H170" s="29" t="n">
        <v>4596.05595</v>
      </c>
      <c r="I170" s="29" t="n">
        <v>4755.40355</v>
      </c>
      <c r="J170" s="29" t="n">
        <v>4792.76972</v>
      </c>
      <c r="K170" s="29" t="n">
        <v>4769.97694</v>
      </c>
      <c r="L170" s="29" t="n">
        <v>4716.33597</v>
      </c>
      <c r="M170" s="29" t="n">
        <v>4718.85043</v>
      </c>
      <c r="N170" s="29" t="n">
        <v>4531.36057</v>
      </c>
      <c r="O170" s="29" t="n">
        <v>4556.93783</v>
      </c>
      <c r="Q170" s="29" t="n">
        <v>4582.57525</v>
      </c>
      <c r="R170" s="29" t="n">
        <v>4630.59291</v>
      </c>
      <c r="S170" s="29" t="n">
        <v>4606.4093</v>
      </c>
      <c r="V170" s="29" t="n">
        <v>4549.93006</v>
      </c>
      <c r="AB170" s="29" t="n">
        <v>4614.35706</v>
      </c>
      <c r="AC170" s="29" t="n">
        <v>4615.70437</v>
      </c>
      <c r="AD170" s="29" t="n">
        <v>0</v>
      </c>
    </row>
    <row r="171" ht="14.25" customHeight="1" s="28">
      <c r="A171" s="29" t="n">
        <v>1777564801</v>
      </c>
      <c r="B171" s="29" t="inlineStr">
        <is>
          <t>XAUUSD</t>
        </is>
      </c>
      <c r="C171" s="29" t="inlineStr">
        <is>
          <t>M15</t>
        </is>
      </c>
      <c r="D171" s="29" t="n">
        <v>4611.63</v>
      </c>
      <c r="E171" s="29" t="n">
        <v>4717.79398</v>
      </c>
      <c r="F171" s="29" t="n">
        <v>4695.2428</v>
      </c>
      <c r="G171" s="29" t="n">
        <v>4518.59282</v>
      </c>
      <c r="H171" s="29" t="n">
        <v>4596.05595</v>
      </c>
      <c r="I171" s="29" t="n">
        <v>4755.40355</v>
      </c>
      <c r="J171" s="29" t="n">
        <v>4792.76972</v>
      </c>
      <c r="K171" s="29" t="n">
        <v>4769.97694</v>
      </c>
      <c r="L171" s="29" t="n">
        <v>4716.33597</v>
      </c>
      <c r="M171" s="29" t="n">
        <v>4718.85043</v>
      </c>
      <c r="N171" s="29" t="n">
        <v>4531.36057</v>
      </c>
      <c r="O171" s="29" t="n">
        <v>4556.93783</v>
      </c>
      <c r="Q171" s="29" t="n">
        <v>4582.77769</v>
      </c>
      <c r="R171" s="29" t="n">
        <v>4630.79536</v>
      </c>
      <c r="S171" s="29" t="n">
        <v>4606.61175</v>
      </c>
      <c r="V171" s="29" t="n">
        <v>4550.1325</v>
      </c>
      <c r="AB171" s="29" t="n">
        <v>4612.79631</v>
      </c>
      <c r="AC171" s="29" t="n">
        <v>4614.25034</v>
      </c>
      <c r="AD171" s="29" t="n">
        <v>0</v>
      </c>
    </row>
    <row r="172" ht="14.25" customHeight="1" s="28">
      <c r="A172" s="29" t="n">
        <v>1777565701</v>
      </c>
      <c r="B172" s="29" t="inlineStr">
        <is>
          <t>XAUUSD</t>
        </is>
      </c>
      <c r="C172" s="29" t="inlineStr">
        <is>
          <t>M15</t>
        </is>
      </c>
      <c r="D172" s="29" t="n">
        <v>4608.08</v>
      </c>
      <c r="E172" s="29" t="n">
        <v>4717.79398</v>
      </c>
      <c r="F172" s="29" t="n">
        <v>4695.2428</v>
      </c>
      <c r="G172" s="29" t="n">
        <v>4518.59282</v>
      </c>
      <c r="H172" s="29" t="n">
        <v>4596.05595</v>
      </c>
      <c r="I172" s="29" t="n">
        <v>4755.40355</v>
      </c>
      <c r="J172" s="29" t="n">
        <v>4792.76972</v>
      </c>
      <c r="K172" s="29" t="n">
        <v>4769.97694</v>
      </c>
      <c r="L172" s="29" t="n">
        <v>4716.33597</v>
      </c>
      <c r="M172" s="29" t="n">
        <v>4718.85043</v>
      </c>
      <c r="N172" s="29" t="n">
        <v>4531.36057</v>
      </c>
      <c r="O172" s="29" t="n">
        <v>4556.93783</v>
      </c>
      <c r="Q172" s="29" t="n">
        <v>4582.98014</v>
      </c>
      <c r="R172" s="29" t="n">
        <v>4630.9978</v>
      </c>
      <c r="S172" s="29" t="n">
        <v>4606.81419</v>
      </c>
      <c r="V172" s="29" t="n">
        <v>4550.33495</v>
      </c>
      <c r="AB172" s="29" t="n">
        <v>4611.55884</v>
      </c>
      <c r="AC172" s="29" t="n">
        <v>4612.90459</v>
      </c>
      <c r="AD172" s="29" t="n">
        <v>0</v>
      </c>
    </row>
    <row r="173" ht="14.25" customHeight="1" s="28">
      <c r="A173" s="29" t="n">
        <v>1777566601</v>
      </c>
      <c r="B173" s="29" t="inlineStr">
        <is>
          <t>XAUUSD</t>
        </is>
      </c>
      <c r="C173" s="29" t="inlineStr">
        <is>
          <t>M15</t>
        </is>
      </c>
      <c r="D173" s="29" t="n">
        <v>4609.12</v>
      </c>
      <c r="E173" s="29" t="n">
        <v>4717.79398</v>
      </c>
      <c r="F173" s="29" t="n">
        <v>4695.2428</v>
      </c>
      <c r="G173" s="29" t="n">
        <v>4518.59282</v>
      </c>
      <c r="H173" s="29" t="n">
        <v>4596.05595</v>
      </c>
      <c r="I173" s="29" t="n">
        <v>4755.40355</v>
      </c>
      <c r="J173" s="29" t="n">
        <v>4792.76972</v>
      </c>
      <c r="K173" s="29" t="n">
        <v>4769.97694</v>
      </c>
      <c r="L173" s="29" t="n">
        <v>4716.33597</v>
      </c>
      <c r="M173" s="29" t="n">
        <v>4718.85043</v>
      </c>
      <c r="N173" s="29" t="n">
        <v>4531.36057</v>
      </c>
      <c r="O173" s="29" t="n">
        <v>4556.93783</v>
      </c>
      <c r="Q173" s="29" t="n">
        <v>4583.18259</v>
      </c>
      <c r="R173" s="29" t="n">
        <v>4631.20025</v>
      </c>
      <c r="S173" s="29" t="n">
        <v>4607.01664</v>
      </c>
      <c r="V173" s="29" t="n">
        <v>4550.53739</v>
      </c>
      <c r="AB173" s="29" t="n">
        <v>4610.99644</v>
      </c>
      <c r="AC173" s="29" t="n">
        <v>4611.95051</v>
      </c>
      <c r="AD173" s="29" t="n">
        <v>0</v>
      </c>
    </row>
    <row r="174" ht="14.25" customHeight="1" s="28">
      <c r="A174" s="29" t="n">
        <v>1777567501</v>
      </c>
      <c r="B174" s="29" t="inlineStr">
        <is>
          <t>XAUUSD</t>
        </is>
      </c>
      <c r="C174" s="29" t="inlineStr">
        <is>
          <t>M15</t>
        </is>
      </c>
      <c r="D174" s="29" t="n">
        <v>4607.62</v>
      </c>
      <c r="E174" s="29" t="n">
        <v>4717.79398</v>
      </c>
      <c r="F174" s="29" t="n">
        <v>4695.2428</v>
      </c>
      <c r="G174" s="29" t="n">
        <v>4518.59282</v>
      </c>
      <c r="H174" s="29" t="n">
        <v>4596.05595</v>
      </c>
      <c r="I174" s="29" t="n">
        <v>4755.40355</v>
      </c>
      <c r="J174" s="29" t="n">
        <v>4792.76972</v>
      </c>
      <c r="K174" s="29" t="n">
        <v>4769.97694</v>
      </c>
      <c r="L174" s="29" t="n">
        <v>4716.33597</v>
      </c>
      <c r="M174" s="29" t="n">
        <v>4718.85043</v>
      </c>
      <c r="N174" s="29" t="n">
        <v>4531.36057</v>
      </c>
      <c r="O174" s="29" t="n">
        <v>4556.93783</v>
      </c>
      <c r="Q174" s="29" t="n">
        <v>4583.38503</v>
      </c>
      <c r="R174" s="29" t="n">
        <v>4631.4027</v>
      </c>
      <c r="S174" s="29" t="n">
        <v>4607.21908</v>
      </c>
      <c r="V174" s="29" t="n">
        <v>4550.73984</v>
      </c>
      <c r="AA174" s="29" t="n">
        <v>4605.56</v>
      </c>
      <c r="AB174" s="29" t="n">
        <v>4611.26795</v>
      </c>
      <c r="AC174" s="29" t="n">
        <v>4611.60923</v>
      </c>
      <c r="AD174" s="29" t="n">
        <v>0</v>
      </c>
    </row>
    <row r="175" ht="14.25" customHeight="1" s="28">
      <c r="A175" s="29" t="n">
        <v>1777568401</v>
      </c>
      <c r="B175" s="29" t="inlineStr">
        <is>
          <t>XAUUSD</t>
        </is>
      </c>
      <c r="C175" s="29" t="inlineStr">
        <is>
          <t>M15</t>
        </is>
      </c>
      <c r="D175" s="29" t="n">
        <v>4615.95</v>
      </c>
      <c r="E175" s="29" t="n">
        <v>4717.79398</v>
      </c>
      <c r="F175" s="29" t="n">
        <v>4695.2428</v>
      </c>
      <c r="G175" s="29" t="n">
        <v>4518.59282</v>
      </c>
      <c r="H175" s="29" t="n">
        <v>4596.05595</v>
      </c>
      <c r="I175" s="29" t="n">
        <v>4755.40355</v>
      </c>
      <c r="J175" s="29" t="n">
        <v>4792.76972</v>
      </c>
      <c r="K175" s="29" t="n">
        <v>4769.97694</v>
      </c>
      <c r="L175" s="29" t="n">
        <v>4716.33597</v>
      </c>
      <c r="M175" s="29" t="n">
        <v>4718.85043</v>
      </c>
      <c r="N175" s="29" t="n">
        <v>4531.36057</v>
      </c>
      <c r="O175" s="29" t="n">
        <v>4556.93783</v>
      </c>
      <c r="Q175" s="29" t="n">
        <v>4583.58748</v>
      </c>
      <c r="R175" s="29" t="n">
        <v>4631.60514</v>
      </c>
      <c r="S175" s="29" t="n">
        <v>4607.42153</v>
      </c>
      <c r="V175" s="29" t="n">
        <v>4550.94228</v>
      </c>
      <c r="AB175" s="29" t="n">
        <v>4612.47026</v>
      </c>
      <c r="AC175" s="29" t="n">
        <v>4612.03975</v>
      </c>
      <c r="AD175" s="29" t="n">
        <v>1</v>
      </c>
    </row>
    <row r="176" ht="14.25" customHeight="1" s="28">
      <c r="A176" s="29" t="n">
        <v>1777569301</v>
      </c>
      <c r="B176" s="29" t="inlineStr">
        <is>
          <t>XAUUSD</t>
        </is>
      </c>
      <c r="C176" s="29" t="inlineStr">
        <is>
          <t>M15</t>
        </is>
      </c>
      <c r="D176" s="29" t="n">
        <v>4618</v>
      </c>
      <c r="E176" s="29" t="n">
        <v>4717.79398</v>
      </c>
      <c r="F176" s="29" t="n">
        <v>4695.2428</v>
      </c>
      <c r="G176" s="29" t="n">
        <v>4518.59282</v>
      </c>
      <c r="H176" s="29" t="n">
        <v>4596.05595</v>
      </c>
      <c r="I176" s="29" t="n">
        <v>4755.40355</v>
      </c>
      <c r="J176" s="29" t="n">
        <v>4792.76972</v>
      </c>
      <c r="K176" s="29" t="n">
        <v>4769.97694</v>
      </c>
      <c r="L176" s="29" t="n">
        <v>4716.33597</v>
      </c>
      <c r="M176" s="29" t="n">
        <v>4718.85043</v>
      </c>
      <c r="N176" s="29" t="n">
        <v>4531.36057</v>
      </c>
      <c r="O176" s="29" t="n">
        <v>4556.93783</v>
      </c>
      <c r="Q176" s="29" t="n">
        <v>4583.78992</v>
      </c>
      <c r="R176" s="29" t="n">
        <v>4631.80759</v>
      </c>
      <c r="S176" s="29" t="n">
        <v>4607.62397</v>
      </c>
      <c r="V176" s="29" t="n">
        <v>4551.14473</v>
      </c>
      <c r="AB176" s="29" t="n">
        <v>4614.29549</v>
      </c>
      <c r="AC176" s="29" t="n">
        <v>4613.16762</v>
      </c>
      <c r="AD176" s="29" t="n">
        <v>0</v>
      </c>
    </row>
    <row r="177" ht="14.25" customHeight="1" s="28">
      <c r="A177" s="29" t="n">
        <v>1777570201</v>
      </c>
      <c r="B177" s="29" t="inlineStr">
        <is>
          <t>XAUUSD</t>
        </is>
      </c>
      <c r="C177" s="29" t="inlineStr">
        <is>
          <t>M15</t>
        </is>
      </c>
      <c r="D177" s="29" t="n">
        <v>4617.86</v>
      </c>
      <c r="E177" s="29" t="n">
        <v>4717.79398</v>
      </c>
      <c r="F177" s="29" t="n">
        <v>4695.2428</v>
      </c>
      <c r="G177" s="29" t="n">
        <v>4518.59282</v>
      </c>
      <c r="H177" s="29" t="n">
        <v>4596.05595</v>
      </c>
      <c r="I177" s="29" t="n">
        <v>4755.40355</v>
      </c>
      <c r="J177" s="29" t="n">
        <v>4792.76972</v>
      </c>
      <c r="K177" s="29" t="n">
        <v>4769.97694</v>
      </c>
      <c r="L177" s="29" t="n">
        <v>4716.33597</v>
      </c>
      <c r="M177" s="29" t="n">
        <v>4718.85043</v>
      </c>
      <c r="N177" s="29" t="n">
        <v>4531.36057</v>
      </c>
      <c r="O177" s="29" t="n">
        <v>4556.93783</v>
      </c>
      <c r="Q177" s="29" t="n">
        <v>4583.99237</v>
      </c>
      <c r="R177" s="29" t="n">
        <v>4632.01003</v>
      </c>
      <c r="S177" s="29" t="n">
        <v>4607.82642</v>
      </c>
      <c r="V177" s="29" t="n">
        <v>4551.34718</v>
      </c>
      <c r="AB177" s="29" t="n">
        <v>4616.46912</v>
      </c>
      <c r="AC177" s="29" t="n">
        <v>4614.81837</v>
      </c>
      <c r="AD177" s="29" t="n">
        <v>0</v>
      </c>
    </row>
    <row r="178" ht="14.25" customHeight="1" s="28">
      <c r="A178" s="29" t="n">
        <v>1777571101</v>
      </c>
      <c r="B178" s="29" t="inlineStr">
        <is>
          <t>XAUUSD</t>
        </is>
      </c>
      <c r="C178" s="29" t="inlineStr">
        <is>
          <t>M15</t>
        </is>
      </c>
      <c r="D178" s="29" t="n">
        <v>4616.86</v>
      </c>
      <c r="E178" s="29" t="n">
        <v>4717.79398</v>
      </c>
      <c r="F178" s="29" t="n">
        <v>4695.2428</v>
      </c>
      <c r="G178" s="29" t="n">
        <v>4518.59282</v>
      </c>
      <c r="H178" s="29" t="n">
        <v>4596.05595</v>
      </c>
      <c r="I178" s="29" t="n">
        <v>4755.40355</v>
      </c>
      <c r="J178" s="29" t="n">
        <v>4792.76972</v>
      </c>
      <c r="K178" s="29" t="n">
        <v>4769.97694</v>
      </c>
      <c r="L178" s="29" t="n">
        <v>4716.33597</v>
      </c>
      <c r="M178" s="29" t="n">
        <v>4718.85043</v>
      </c>
      <c r="N178" s="29" t="n">
        <v>4531.36057</v>
      </c>
      <c r="O178" s="29" t="n">
        <v>4556.93783</v>
      </c>
      <c r="Q178" s="29" t="n">
        <v>4584.19481</v>
      </c>
      <c r="R178" s="29" t="n">
        <v>4632.21248</v>
      </c>
      <c r="S178" s="29" t="n">
        <v>4608.02887</v>
      </c>
      <c r="V178" s="29" t="n">
        <v>4551.54962</v>
      </c>
      <c r="AB178" s="29" t="n">
        <v>4618.69063</v>
      </c>
      <c r="AC178" s="29" t="n">
        <v>4616.7545</v>
      </c>
      <c r="AD178" s="29" t="n">
        <v>0</v>
      </c>
    </row>
    <row r="179" ht="14.25" customHeight="1" s="28">
      <c r="A179" s="29" t="n">
        <v>1777572001</v>
      </c>
      <c r="B179" s="29" t="inlineStr">
        <is>
          <t>XAUUSD</t>
        </is>
      </c>
      <c r="C179" s="29" t="inlineStr">
        <is>
          <t>M15</t>
        </is>
      </c>
      <c r="D179" s="29" t="n">
        <v>4620.57</v>
      </c>
      <c r="E179" s="29" t="n">
        <v>4717.79398</v>
      </c>
      <c r="F179" s="29" t="n">
        <v>4695.2428</v>
      </c>
      <c r="G179" s="29" t="n">
        <v>4518.59282</v>
      </c>
      <c r="H179" s="29" t="n">
        <v>4596.05595</v>
      </c>
      <c r="I179" s="29" t="n">
        <v>4755.40355</v>
      </c>
      <c r="J179" s="29" t="n">
        <v>4792.76972</v>
      </c>
      <c r="K179" s="29" t="n">
        <v>4769.97694</v>
      </c>
      <c r="L179" s="29" t="n">
        <v>4716.33597</v>
      </c>
      <c r="M179" s="29" t="n">
        <v>4718.85043</v>
      </c>
      <c r="N179" s="29" t="n">
        <v>4531.36057</v>
      </c>
      <c r="O179" s="29" t="n">
        <v>4556.93783</v>
      </c>
      <c r="Q179" s="29" t="n">
        <v>4584.39726</v>
      </c>
      <c r="R179" s="29" t="n">
        <v>4632.41492</v>
      </c>
      <c r="S179" s="29" t="n">
        <v>4608.23131</v>
      </c>
      <c r="V179" s="29" t="n">
        <v>4551.75207</v>
      </c>
      <c r="AB179" s="29" t="n">
        <v>4620.65316</v>
      </c>
      <c r="AC179" s="29" t="n">
        <v>4618.70383</v>
      </c>
      <c r="AD179" s="29" t="n">
        <v>0</v>
      </c>
    </row>
    <row r="180" ht="14.25" customHeight="1" s="28">
      <c r="A180" s="29" t="n">
        <v>1777572901</v>
      </c>
      <c r="B180" s="29" t="inlineStr">
        <is>
          <t>XAUUSD</t>
        </is>
      </c>
      <c r="C180" s="29" t="inlineStr">
        <is>
          <t>M15</t>
        </is>
      </c>
      <c r="D180" s="29" t="n">
        <v>4620.79</v>
      </c>
      <c r="E180" s="29" t="n">
        <v>4717.79398</v>
      </c>
      <c r="F180" s="29" t="n">
        <v>4695.2428</v>
      </c>
      <c r="G180" s="29" t="n">
        <v>4518.59282</v>
      </c>
      <c r="H180" s="29" t="n">
        <v>4596.05595</v>
      </c>
      <c r="I180" s="29" t="n">
        <v>4755.40355</v>
      </c>
      <c r="J180" s="29" t="n">
        <v>4792.76972</v>
      </c>
      <c r="K180" s="29" t="n">
        <v>4769.97694</v>
      </c>
      <c r="L180" s="29" t="n">
        <v>4716.33597</v>
      </c>
      <c r="M180" s="29" t="n">
        <v>4718.85043</v>
      </c>
      <c r="N180" s="29" t="n">
        <v>4531.36057</v>
      </c>
      <c r="O180" s="29" t="n">
        <v>4556.93783</v>
      </c>
      <c r="Q180" s="29" t="n">
        <v>4584.5997</v>
      </c>
      <c r="R180" s="29" t="n">
        <v>4632.61737</v>
      </c>
      <c r="S180" s="29" t="n">
        <v>4608.43376</v>
      </c>
      <c r="V180" s="29" t="n">
        <v>4551.95451</v>
      </c>
      <c r="AB180" s="29" t="n">
        <v>4622.00271</v>
      </c>
      <c r="AC180" s="29" t="n">
        <v>4620.35327</v>
      </c>
      <c r="AD180" s="29" t="n">
        <v>0</v>
      </c>
    </row>
    <row r="181" ht="14.25" customHeight="1" s="28">
      <c r="A181" s="29" t="n">
        <v>1777573801</v>
      </c>
      <c r="B181" s="29" t="inlineStr">
        <is>
          <t>XAUUSD</t>
        </is>
      </c>
      <c r="C181" s="29" t="inlineStr">
        <is>
          <t>M15</t>
        </is>
      </c>
      <c r="D181" s="29" t="n">
        <v>4620.7</v>
      </c>
      <c r="E181" s="29" t="n">
        <v>4717.79398</v>
      </c>
      <c r="F181" s="29" t="n">
        <v>4695.2428</v>
      </c>
      <c r="G181" s="29" t="n">
        <v>4518.59282</v>
      </c>
      <c r="H181" s="29" t="n">
        <v>4596.05595</v>
      </c>
      <c r="I181" s="29" t="n">
        <v>4755.40355</v>
      </c>
      <c r="J181" s="29" t="n">
        <v>4792.76972</v>
      </c>
      <c r="K181" s="29" t="n">
        <v>4769.97694</v>
      </c>
      <c r="L181" s="29" t="n">
        <v>4716.33597</v>
      </c>
      <c r="M181" s="29" t="n">
        <v>4718.85043</v>
      </c>
      <c r="N181" s="29" t="n">
        <v>4531.36057</v>
      </c>
      <c r="O181" s="29" t="n">
        <v>4556.93783</v>
      </c>
      <c r="Q181" s="29" t="n">
        <v>4584.80215</v>
      </c>
      <c r="R181" s="29" t="n">
        <v>4632.81981</v>
      </c>
      <c r="S181" s="29" t="n">
        <v>4608.6362</v>
      </c>
      <c r="V181" s="29" t="n">
        <v>4552.15696</v>
      </c>
      <c r="AB181" s="29" t="n">
        <v>4622.56406</v>
      </c>
      <c r="AC181" s="29" t="n">
        <v>4621.45866</v>
      </c>
      <c r="AD181" s="29" t="n">
        <v>0</v>
      </c>
    </row>
    <row r="182" ht="14.25" customHeight="1" s="28">
      <c r="A182" s="29" t="n">
        <v>1777574701</v>
      </c>
      <c r="B182" s="29" t="inlineStr">
        <is>
          <t>XAUUSD</t>
        </is>
      </c>
      <c r="C182" s="29" t="inlineStr">
        <is>
          <t>M15</t>
        </is>
      </c>
      <c r="D182" s="29" t="n">
        <v>4622.48</v>
      </c>
      <c r="E182" s="29" t="n">
        <v>4717.79398</v>
      </c>
      <c r="F182" s="29" t="n">
        <v>4695.2428</v>
      </c>
      <c r="G182" s="29" t="n">
        <v>4518.59282</v>
      </c>
      <c r="H182" s="29" t="n">
        <v>4596.05595</v>
      </c>
      <c r="I182" s="29" t="n">
        <v>4755.40355</v>
      </c>
      <c r="J182" s="29" t="n">
        <v>4792.76972</v>
      </c>
      <c r="K182" s="29" t="n">
        <v>4769.97694</v>
      </c>
      <c r="L182" s="29" t="n">
        <v>4716.33597</v>
      </c>
      <c r="M182" s="29" t="n">
        <v>4718.85043</v>
      </c>
      <c r="N182" s="29" t="n">
        <v>4531.36057</v>
      </c>
      <c r="O182" s="29" t="n">
        <v>4556.93783</v>
      </c>
      <c r="Q182" s="29" t="n">
        <v>4585.0046</v>
      </c>
      <c r="R182" s="29" t="n">
        <v>4633.02226</v>
      </c>
      <c r="S182" s="29" t="n">
        <v>4608.83865</v>
      </c>
      <c r="V182" s="29" t="n">
        <v>4552.3594</v>
      </c>
      <c r="AB182" s="29" t="n">
        <v>4622.31167</v>
      </c>
      <c r="AC182" s="29" t="n">
        <v>4621.88517</v>
      </c>
      <c r="AD182" s="29" t="n">
        <v>0</v>
      </c>
    </row>
    <row r="183" ht="14.25" customHeight="1" s="28">
      <c r="A183" s="29" t="n">
        <v>1777575601</v>
      </c>
      <c r="B183" s="29" t="inlineStr">
        <is>
          <t>XAUUSD</t>
        </is>
      </c>
      <c r="C183" s="29" t="inlineStr">
        <is>
          <t>M15</t>
        </is>
      </c>
      <c r="D183" s="29" t="n">
        <v>4624.33</v>
      </c>
      <c r="E183" s="29" t="n">
        <v>4717.79398</v>
      </c>
      <c r="F183" s="29" t="n">
        <v>4695.2428</v>
      </c>
      <c r="G183" s="29" t="n">
        <v>4518.59282</v>
      </c>
      <c r="H183" s="29" t="n">
        <v>4596.05595</v>
      </c>
      <c r="I183" s="29" t="n">
        <v>4755.40355</v>
      </c>
      <c r="J183" s="29" t="n">
        <v>4792.76972</v>
      </c>
      <c r="K183" s="29" t="n">
        <v>4769.97694</v>
      </c>
      <c r="L183" s="29" t="n">
        <v>4716.33597</v>
      </c>
      <c r="M183" s="29" t="n">
        <v>4718.85043</v>
      </c>
      <c r="N183" s="29" t="n">
        <v>4531.36057</v>
      </c>
      <c r="O183" s="29" t="n">
        <v>4556.93783</v>
      </c>
      <c r="Q183" s="29" t="n">
        <v>4585.20704</v>
      </c>
      <c r="R183" s="29" t="n">
        <v>4633.22471</v>
      </c>
      <c r="S183" s="29" t="n">
        <v>4609.04109</v>
      </c>
      <c r="V183" s="29" t="n">
        <v>4552.56185</v>
      </c>
      <c r="AB183" s="29" t="n">
        <v>4621.3179</v>
      </c>
      <c r="AC183" s="29" t="n">
        <v>4621.60153</v>
      </c>
      <c r="AD183" s="29" t="n">
        <v>1</v>
      </c>
    </row>
    <row r="184" ht="14.25" customHeight="1" s="28">
      <c r="A184" s="29" t="n">
        <v>1777576501</v>
      </c>
      <c r="B184" s="29" t="inlineStr">
        <is>
          <t>XAUUSD</t>
        </is>
      </c>
      <c r="C184" s="29" t="inlineStr">
        <is>
          <t>M15</t>
        </is>
      </c>
      <c r="D184" s="29" t="n">
        <v>4617.77</v>
      </c>
      <c r="E184" s="29" t="n">
        <v>4717.79398</v>
      </c>
      <c r="F184" s="29" t="n">
        <v>4695.2428</v>
      </c>
      <c r="G184" s="29" t="n">
        <v>4518.59282</v>
      </c>
      <c r="H184" s="29" t="n">
        <v>4596.05595</v>
      </c>
      <c r="I184" s="29" t="n">
        <v>4755.40355</v>
      </c>
      <c r="J184" s="29" t="n">
        <v>4792.76972</v>
      </c>
      <c r="K184" s="29" t="n">
        <v>4769.97694</v>
      </c>
      <c r="L184" s="29" t="n">
        <v>4716.33597</v>
      </c>
      <c r="M184" s="29" t="n">
        <v>4718.85043</v>
      </c>
      <c r="N184" s="29" t="n">
        <v>4531.36057</v>
      </c>
      <c r="O184" s="29" t="n">
        <v>4556.93783</v>
      </c>
      <c r="Q184" s="29" t="n">
        <v>4585.40949</v>
      </c>
      <c r="R184" s="29" t="n">
        <v>4633.42715</v>
      </c>
      <c r="S184" s="29" t="n">
        <v>4609.24354</v>
      </c>
      <c r="V184" s="29" t="n">
        <v>4552.7643</v>
      </c>
      <c r="AB184" s="29" t="n">
        <v>4619.84251</v>
      </c>
      <c r="AC184" s="29" t="n">
        <v>4620.72202</v>
      </c>
      <c r="AD184" s="29" t="n">
        <v>0</v>
      </c>
    </row>
    <row r="185" ht="14.25" customHeight="1" s="28">
      <c r="A185" s="29" t="n">
        <v>1777577401</v>
      </c>
      <c r="B185" s="29" t="inlineStr">
        <is>
          <t>XAUUSD</t>
        </is>
      </c>
      <c r="C185" s="29" t="inlineStr">
        <is>
          <t>M15</t>
        </is>
      </c>
      <c r="D185" s="29" t="n">
        <v>4622.49</v>
      </c>
      <c r="E185" s="29" t="n">
        <v>4717.79398</v>
      </c>
      <c r="F185" s="29" t="n">
        <v>4695.2428</v>
      </c>
      <c r="G185" s="29" t="n">
        <v>4518.59282</v>
      </c>
      <c r="H185" s="29" t="n">
        <v>4596.05595</v>
      </c>
      <c r="I185" s="29" t="n">
        <v>4755.40355</v>
      </c>
      <c r="J185" s="29" t="n">
        <v>4792.76972</v>
      </c>
      <c r="K185" s="29" t="n">
        <v>4769.97694</v>
      </c>
      <c r="L185" s="29" t="n">
        <v>4716.33597</v>
      </c>
      <c r="M185" s="29" t="n">
        <v>4718.85043</v>
      </c>
      <c r="N185" s="29" t="n">
        <v>4531.36057</v>
      </c>
      <c r="O185" s="29" t="n">
        <v>4556.93783</v>
      </c>
      <c r="Q185" s="29" t="n">
        <v>4585.61193</v>
      </c>
      <c r="R185" s="29" t="n">
        <v>4633.6296</v>
      </c>
      <c r="S185" s="29" t="n">
        <v>4609.44599</v>
      </c>
      <c r="V185" s="29" t="n">
        <v>4552.96674</v>
      </c>
      <c r="AB185" s="29" t="n">
        <v>4618.46841</v>
      </c>
      <c r="AC185" s="29" t="n">
        <v>4619.59522</v>
      </c>
      <c r="AD185" s="29" t="n">
        <v>0</v>
      </c>
    </row>
    <row r="186" ht="14.25" customHeight="1" s="28">
      <c r="A186" s="29" t="n">
        <v>1777578301</v>
      </c>
      <c r="B186" s="29" t="inlineStr">
        <is>
          <t>XAUUSD</t>
        </is>
      </c>
      <c r="C186" s="29" t="inlineStr">
        <is>
          <t>M15</t>
        </is>
      </c>
      <c r="D186" s="29" t="n">
        <v>4617.07</v>
      </c>
      <c r="E186" s="29" t="n">
        <v>4717.79398</v>
      </c>
      <c r="F186" s="29" t="n">
        <v>4695.2428</v>
      </c>
      <c r="G186" s="29" t="n">
        <v>4518.59282</v>
      </c>
      <c r="H186" s="29" t="n">
        <v>4596.05595</v>
      </c>
      <c r="I186" s="29" t="n">
        <v>4755.40355</v>
      </c>
      <c r="J186" s="29" t="n">
        <v>4792.76972</v>
      </c>
      <c r="K186" s="29" t="n">
        <v>4769.97694</v>
      </c>
      <c r="L186" s="29" t="n">
        <v>4716.33597</v>
      </c>
      <c r="M186" s="29" t="n">
        <v>4718.85043</v>
      </c>
      <c r="N186" s="29" t="n">
        <v>4531.36057</v>
      </c>
      <c r="O186" s="29" t="n">
        <v>4556.93783</v>
      </c>
      <c r="Q186" s="29" t="n">
        <v>4585.81438</v>
      </c>
      <c r="R186" s="29" t="n">
        <v>4633.83204</v>
      </c>
      <c r="S186" s="29" t="n">
        <v>4609.64843</v>
      </c>
      <c r="V186" s="29" t="n">
        <v>4553.16919</v>
      </c>
      <c r="AB186" s="29" t="n">
        <v>4617.48319</v>
      </c>
      <c r="AC186" s="29" t="n">
        <v>4618.5392</v>
      </c>
      <c r="AD186" s="29" t="n">
        <v>0</v>
      </c>
    </row>
    <row r="187" ht="14.25" customHeight="1" s="28">
      <c r="A187" s="29" t="n">
        <v>1777579201</v>
      </c>
      <c r="B187" s="29" t="inlineStr">
        <is>
          <t>XAUUSD</t>
        </is>
      </c>
      <c r="C187" s="29" t="inlineStr">
        <is>
          <t>M15</t>
        </is>
      </c>
      <c r="D187" s="29" t="n">
        <v>4616.16</v>
      </c>
      <c r="E187" s="29" t="n">
        <v>4717.79398</v>
      </c>
      <c r="F187" s="29" t="n">
        <v>4695.2428</v>
      </c>
      <c r="G187" s="29" t="n">
        <v>4518.59282</v>
      </c>
      <c r="H187" s="29" t="n">
        <v>4596.05595</v>
      </c>
      <c r="I187" s="29" t="n">
        <v>4755.40355</v>
      </c>
      <c r="J187" s="29" t="n">
        <v>4792.76972</v>
      </c>
      <c r="K187" s="29" t="n">
        <v>4769.97694</v>
      </c>
      <c r="L187" s="29" t="n">
        <v>4716.33597</v>
      </c>
      <c r="M187" s="29" t="n">
        <v>4718.85043</v>
      </c>
      <c r="N187" s="29" t="n">
        <v>4531.36057</v>
      </c>
      <c r="O187" s="29" t="n">
        <v>4556.93783</v>
      </c>
      <c r="Q187" s="29" t="n">
        <v>4586.01682</v>
      </c>
      <c r="R187" s="29" t="n">
        <v>4634.03449</v>
      </c>
      <c r="S187" s="29" t="n">
        <v>4609.85088</v>
      </c>
      <c r="V187" s="29" t="n">
        <v>4553.37163</v>
      </c>
      <c r="AB187" s="29" t="n">
        <v>4617.39455</v>
      </c>
      <c r="AC187" s="29" t="n">
        <v>4617.96688</v>
      </c>
      <c r="AD187" s="29" t="n">
        <v>0</v>
      </c>
    </row>
    <row r="188" ht="14.25" customHeight="1" s="28">
      <c r="A188" s="29" t="n">
        <v>1777580101</v>
      </c>
      <c r="B188" s="29" t="inlineStr">
        <is>
          <t>XAUUSD</t>
        </is>
      </c>
      <c r="C188" s="29" t="inlineStr">
        <is>
          <t>M15</t>
        </is>
      </c>
      <c r="D188" s="29" t="n">
        <v>4616.72</v>
      </c>
      <c r="E188" s="29" t="n">
        <v>4717.79398</v>
      </c>
      <c r="F188" s="29" t="n">
        <v>4695.2428</v>
      </c>
      <c r="G188" s="29" t="n">
        <v>4518.59282</v>
      </c>
      <c r="H188" s="29" t="n">
        <v>4596.05595</v>
      </c>
      <c r="I188" s="29" t="n">
        <v>4755.40355</v>
      </c>
      <c r="J188" s="29" t="n">
        <v>4792.76972</v>
      </c>
      <c r="K188" s="29" t="n">
        <v>4769.97694</v>
      </c>
      <c r="L188" s="29" t="n">
        <v>4716.33597</v>
      </c>
      <c r="M188" s="29" t="n">
        <v>4718.85043</v>
      </c>
      <c r="N188" s="29" t="n">
        <v>4531.36057</v>
      </c>
      <c r="O188" s="29" t="n">
        <v>4556.93783</v>
      </c>
      <c r="Q188" s="29" t="n">
        <v>4586.21927</v>
      </c>
      <c r="R188" s="29" t="n">
        <v>4634.23693</v>
      </c>
      <c r="S188" s="29" t="n">
        <v>4610.05332</v>
      </c>
      <c r="V188" s="29" t="n">
        <v>4553.57408</v>
      </c>
      <c r="AB188" s="29" t="n">
        <v>4618.42066</v>
      </c>
      <c r="AC188" s="29" t="n">
        <v>4618.19377</v>
      </c>
      <c r="AD188" s="29" t="n">
        <v>1</v>
      </c>
    </row>
    <row r="189" ht="14.25" customHeight="1" s="28">
      <c r="A189" s="29" t="n">
        <v>1777581001</v>
      </c>
      <c r="B189" s="29" t="inlineStr">
        <is>
          <t>XAUUSD</t>
        </is>
      </c>
      <c r="C189" s="29" t="inlineStr">
        <is>
          <t>M15</t>
        </is>
      </c>
      <c r="D189" s="29" t="n">
        <v>4617.33</v>
      </c>
      <c r="E189" s="29" t="n">
        <v>4717.79398</v>
      </c>
      <c r="F189" s="29" t="n">
        <v>4695.2428</v>
      </c>
      <c r="G189" s="29" t="n">
        <v>4518.59282</v>
      </c>
      <c r="H189" s="29" t="n">
        <v>4596.05595</v>
      </c>
      <c r="I189" s="29" t="n">
        <v>4755.40355</v>
      </c>
      <c r="J189" s="29" t="n">
        <v>4792.76972</v>
      </c>
      <c r="K189" s="29" t="n">
        <v>4769.97694</v>
      </c>
      <c r="L189" s="29" t="n">
        <v>4716.33597</v>
      </c>
      <c r="M189" s="29" t="n">
        <v>4718.85043</v>
      </c>
      <c r="N189" s="29" t="n">
        <v>4531.36057</v>
      </c>
      <c r="O189" s="29" t="n">
        <v>4556.93783</v>
      </c>
      <c r="Q189" s="29" t="n">
        <v>4586.42172</v>
      </c>
      <c r="R189" s="29" t="n">
        <v>4634.43938</v>
      </c>
      <c r="S189" s="29" t="n">
        <v>4610.25577</v>
      </c>
      <c r="V189" s="29" t="n">
        <v>4553.77652</v>
      </c>
      <c r="AB189" s="29" t="n">
        <v>4620.48777</v>
      </c>
      <c r="AC189" s="29" t="n">
        <v>4619.34077</v>
      </c>
      <c r="AD189" s="29" t="n">
        <v>0</v>
      </c>
    </row>
    <row r="190" ht="14.25" customHeight="1" s="28">
      <c r="A190" s="29" t="n">
        <v>1777581901</v>
      </c>
      <c r="B190" s="29" t="inlineStr">
        <is>
          <t>XAUUSD</t>
        </is>
      </c>
      <c r="C190" s="29" t="inlineStr">
        <is>
          <t>M15</t>
        </is>
      </c>
      <c r="D190" s="29" t="n">
        <v>4621.81</v>
      </c>
      <c r="E190" s="29" t="n">
        <v>4717.79398</v>
      </c>
      <c r="F190" s="29" t="n">
        <v>4695.2428</v>
      </c>
      <c r="G190" s="29" t="n">
        <v>4518.59282</v>
      </c>
      <c r="H190" s="29" t="n">
        <v>4596.05595</v>
      </c>
      <c r="I190" s="29" t="n">
        <v>4755.40355</v>
      </c>
      <c r="J190" s="29" t="n">
        <v>4792.76972</v>
      </c>
      <c r="K190" s="29" t="n">
        <v>4769.97694</v>
      </c>
      <c r="L190" s="29" t="n">
        <v>4716.33597</v>
      </c>
      <c r="M190" s="29" t="n">
        <v>4718.85043</v>
      </c>
      <c r="N190" s="29" t="n">
        <v>4531.36057</v>
      </c>
      <c r="O190" s="29" t="n">
        <v>4556.93783</v>
      </c>
      <c r="Q190" s="29" t="n">
        <v>4586.62416</v>
      </c>
      <c r="R190" s="29" t="n">
        <v>4634.64183</v>
      </c>
      <c r="S190" s="29" t="n">
        <v>4610.45821</v>
      </c>
      <c r="V190" s="29" t="n">
        <v>4553.97897</v>
      </c>
      <c r="AB190" s="29" t="n">
        <v>4623.32065</v>
      </c>
      <c r="AC190" s="29" t="n">
        <v>4621.33071</v>
      </c>
      <c r="AD190" s="29" t="n">
        <v>0</v>
      </c>
    </row>
    <row r="191" ht="14.25" customHeight="1" s="28">
      <c r="A191" s="29" t="n">
        <v>1777586401</v>
      </c>
      <c r="B191" s="29" t="inlineStr">
        <is>
          <t>XAUUSD</t>
        </is>
      </c>
      <c r="C191" s="29" t="inlineStr">
        <is>
          <t>M15</t>
        </is>
      </c>
      <c r="D191" s="29" t="n">
        <v>4631.38</v>
      </c>
      <c r="E191" s="29" t="n">
        <v>4717.79398</v>
      </c>
      <c r="F191" s="29" t="n">
        <v>4695.2428</v>
      </c>
      <c r="G191" s="29" t="n">
        <v>4518.59282</v>
      </c>
      <c r="H191" s="29" t="n">
        <v>4596.05595</v>
      </c>
      <c r="I191" s="29" t="n">
        <v>4755.40355</v>
      </c>
      <c r="J191" s="29" t="n">
        <v>4792.76972</v>
      </c>
      <c r="K191" s="29" t="n">
        <v>4769.97694</v>
      </c>
      <c r="L191" s="29" t="n">
        <v>4716.33597</v>
      </c>
      <c r="M191" s="29" t="n">
        <v>4718.85043</v>
      </c>
      <c r="N191" s="29" t="n">
        <v>4531.36057</v>
      </c>
      <c r="O191" s="29" t="n">
        <v>4556.93783</v>
      </c>
      <c r="Q191" s="29" t="n">
        <v>4586.82661</v>
      </c>
      <c r="R191" s="29" t="n">
        <v>4634.84427</v>
      </c>
      <c r="S191" s="29" t="n">
        <v>4610.66066</v>
      </c>
      <c r="V191" s="29" t="n">
        <v>4554.18142</v>
      </c>
      <c r="AB191" s="29" t="n">
        <v>4626.42762</v>
      </c>
      <c r="AC191" s="29" t="n">
        <v>4623.87917</v>
      </c>
      <c r="AD191" s="29" t="n">
        <v>0</v>
      </c>
    </row>
    <row r="192" ht="14.25" customHeight="1" s="28">
      <c r="A192" s="29" t="n">
        <v>1777587301</v>
      </c>
      <c r="B192" s="29" t="inlineStr">
        <is>
          <t>XAUUSD</t>
        </is>
      </c>
      <c r="C192" s="29" t="inlineStr">
        <is>
          <t>M15</t>
        </is>
      </c>
      <c r="D192" s="29" t="n">
        <v>4631.38</v>
      </c>
      <c r="E192" s="29" t="n">
        <v>4717.79398</v>
      </c>
      <c r="F192" s="29" t="n">
        <v>4695.2428</v>
      </c>
      <c r="G192" s="29" t="n">
        <v>4518.59282</v>
      </c>
      <c r="H192" s="29" t="n">
        <v>4596.05595</v>
      </c>
      <c r="I192" s="29" t="n">
        <v>4755.40355</v>
      </c>
      <c r="J192" s="29" t="n">
        <v>4792.76972</v>
      </c>
      <c r="K192" s="29" t="n">
        <v>4769.97694</v>
      </c>
      <c r="L192" s="29" t="n">
        <v>4716.33597</v>
      </c>
      <c r="M192" s="29" t="n">
        <v>4718.85043</v>
      </c>
      <c r="N192" s="29" t="n">
        <v>4531.36057</v>
      </c>
      <c r="O192" s="29" t="n">
        <v>4556.93783</v>
      </c>
      <c r="Q192" s="29" t="n">
        <v>4587.02905</v>
      </c>
      <c r="R192" s="29" t="n">
        <v>4635.04672</v>
      </c>
      <c r="S192" s="29" t="n">
        <v>4610.86311</v>
      </c>
      <c r="V192" s="29" t="n">
        <v>4554.38386</v>
      </c>
      <c r="AB192" s="29" t="n">
        <v>4629.1488</v>
      </c>
      <c r="AC192" s="29" t="n">
        <v>4626.51398</v>
      </c>
      <c r="AD192" s="29" t="n">
        <v>0</v>
      </c>
    </row>
    <row r="193" ht="14.25" customHeight="1" s="28">
      <c r="A193" s="29" t="n">
        <v>1777588201</v>
      </c>
      <c r="B193" s="29" t="inlineStr">
        <is>
          <t>XAUUSD</t>
        </is>
      </c>
      <c r="C193" s="29" t="inlineStr">
        <is>
          <t>M15</t>
        </is>
      </c>
      <c r="D193" s="29" t="n">
        <v>4631.75</v>
      </c>
      <c r="E193" s="29" t="n">
        <v>4717.79398</v>
      </c>
      <c r="F193" s="29" t="n">
        <v>4695.2428</v>
      </c>
      <c r="G193" s="29" t="n">
        <v>4518.59282</v>
      </c>
      <c r="H193" s="29" t="n">
        <v>4596.05595</v>
      </c>
      <c r="I193" s="29" t="n">
        <v>4755.40355</v>
      </c>
      <c r="J193" s="29" t="n">
        <v>4792.76972</v>
      </c>
      <c r="K193" s="29" t="n">
        <v>4769.97694</v>
      </c>
      <c r="L193" s="29" t="n">
        <v>4716.33597</v>
      </c>
      <c r="M193" s="29" t="n">
        <v>4718.85043</v>
      </c>
      <c r="N193" s="29" t="n">
        <v>4531.36057</v>
      </c>
      <c r="O193" s="29" t="n">
        <v>4556.93783</v>
      </c>
      <c r="Q193" s="29" t="n">
        <v>4587.2315</v>
      </c>
      <c r="R193" s="29" t="n">
        <v>4635.24916</v>
      </c>
      <c r="S193" s="29" t="n">
        <v>4611.06555</v>
      </c>
      <c r="V193" s="29" t="n">
        <v>4554.58631</v>
      </c>
      <c r="AB193" s="29" t="n">
        <v>4631.15873</v>
      </c>
      <c r="AC193" s="29" t="n">
        <v>4628.83636</v>
      </c>
      <c r="AD193" s="29" t="n">
        <v>0</v>
      </c>
    </row>
    <row r="194" ht="14.25" customHeight="1" s="28">
      <c r="A194" s="29" t="n">
        <v>1777589101</v>
      </c>
      <c r="B194" s="29" t="inlineStr">
        <is>
          <t>XAUUSD</t>
        </is>
      </c>
      <c r="C194" s="29" t="inlineStr">
        <is>
          <t>M15</t>
        </is>
      </c>
      <c r="D194" s="29" t="n">
        <v>4630.51</v>
      </c>
      <c r="E194" s="29" t="n">
        <v>4717.79398</v>
      </c>
      <c r="F194" s="29" t="n">
        <v>4695.2428</v>
      </c>
      <c r="G194" s="29" t="n">
        <v>4518.59282</v>
      </c>
      <c r="H194" s="29" t="n">
        <v>4596.05595</v>
      </c>
      <c r="I194" s="29" t="n">
        <v>4755.40355</v>
      </c>
      <c r="J194" s="29" t="n">
        <v>4792.76972</v>
      </c>
      <c r="K194" s="29" t="n">
        <v>4769.97694</v>
      </c>
      <c r="L194" s="29" t="n">
        <v>4716.33597</v>
      </c>
      <c r="M194" s="29" t="n">
        <v>4718.85043</v>
      </c>
      <c r="N194" s="29" t="n">
        <v>4531.36057</v>
      </c>
      <c r="O194" s="29" t="n">
        <v>4556.93783</v>
      </c>
      <c r="Q194" s="29" t="n">
        <v>4587.43394</v>
      </c>
      <c r="R194" s="29" t="n">
        <v>4635.45161</v>
      </c>
      <c r="S194" s="29" t="n">
        <v>4611.268</v>
      </c>
      <c r="V194" s="29" t="n">
        <v>4554.78875</v>
      </c>
      <c r="AB194" s="29" t="n">
        <v>4632.1927</v>
      </c>
      <c r="AC194" s="29" t="n">
        <v>4630.51453</v>
      </c>
      <c r="AD194" s="29" t="n">
        <v>0</v>
      </c>
    </row>
    <row r="195" ht="14.25" customHeight="1" s="28">
      <c r="A195" s="29" t="n">
        <v>1777590001</v>
      </c>
      <c r="B195" s="29" t="inlineStr">
        <is>
          <t>XAUUSD</t>
        </is>
      </c>
      <c r="C195" s="29" t="inlineStr">
        <is>
          <t>M15</t>
        </is>
      </c>
      <c r="D195" s="29" t="n">
        <v>4630.26</v>
      </c>
      <c r="E195" s="29" t="n">
        <v>4717.79398</v>
      </c>
      <c r="F195" s="29" t="n">
        <v>4695.2428</v>
      </c>
      <c r="G195" s="29" t="n">
        <v>4518.59282</v>
      </c>
      <c r="H195" s="29" t="n">
        <v>4596.05595</v>
      </c>
      <c r="I195" s="29" t="n">
        <v>4755.40355</v>
      </c>
      <c r="J195" s="29" t="n">
        <v>4792.76972</v>
      </c>
      <c r="K195" s="29" t="n">
        <v>4769.97694</v>
      </c>
      <c r="L195" s="29" t="n">
        <v>4716.33597</v>
      </c>
      <c r="M195" s="29" t="n">
        <v>4718.85043</v>
      </c>
      <c r="N195" s="29" t="n">
        <v>4531.36057</v>
      </c>
      <c r="O195" s="29" t="n">
        <v>4556.93783</v>
      </c>
      <c r="Q195" s="29" t="n">
        <v>4587.63639</v>
      </c>
      <c r="R195" s="29" t="n">
        <v>4635.65405</v>
      </c>
      <c r="S195" s="29" t="n">
        <v>4611.47044</v>
      </c>
      <c r="V195" s="29" t="n">
        <v>4554.9912</v>
      </c>
      <c r="AB195" s="29" t="n">
        <v>4632.18551</v>
      </c>
      <c r="AC195" s="29" t="n">
        <v>4631.35002</v>
      </c>
      <c r="AD195" s="29" t="n">
        <v>0</v>
      </c>
    </row>
    <row r="196" ht="14.25" customHeight="1" s="28">
      <c r="A196" s="29" t="n">
        <v>1777590901</v>
      </c>
      <c r="B196" s="29" t="inlineStr">
        <is>
          <t>XAUUSD</t>
        </is>
      </c>
      <c r="C196" s="29" t="inlineStr">
        <is>
          <t>M15</t>
        </is>
      </c>
      <c r="D196" s="29" t="n">
        <v>4630.75</v>
      </c>
      <c r="E196" s="29" t="n">
        <v>4717.79398</v>
      </c>
      <c r="F196" s="29" t="n">
        <v>4695.2428</v>
      </c>
      <c r="G196" s="29" t="n">
        <v>4518.59282</v>
      </c>
      <c r="H196" s="29" t="n">
        <v>4596.05595</v>
      </c>
      <c r="I196" s="29" t="n">
        <v>4755.40355</v>
      </c>
      <c r="J196" s="29" t="n">
        <v>4792.76972</v>
      </c>
      <c r="K196" s="29" t="n">
        <v>4769.97694</v>
      </c>
      <c r="L196" s="29" t="n">
        <v>4716.33597</v>
      </c>
      <c r="M196" s="29" t="n">
        <v>4718.85043</v>
      </c>
      <c r="N196" s="29" t="n">
        <v>4531.36057</v>
      </c>
      <c r="O196" s="29" t="n">
        <v>4556.93783</v>
      </c>
      <c r="Q196" s="29" t="n">
        <v>4587.83884</v>
      </c>
      <c r="R196" s="29" t="n">
        <v>4635.8565</v>
      </c>
      <c r="S196" s="29" t="n">
        <v>4611.67289</v>
      </c>
      <c r="V196" s="29" t="n">
        <v>4555.19364</v>
      </c>
      <c r="AB196" s="29" t="n">
        <v>4631.18623</v>
      </c>
      <c r="AC196" s="29" t="n">
        <v>4631.26813</v>
      </c>
      <c r="AD196" s="29" t="n">
        <v>1</v>
      </c>
    </row>
    <row r="197" ht="14.25" customHeight="1" s="28">
      <c r="A197" s="29" t="n">
        <v>1777591801</v>
      </c>
      <c r="B197" s="29" t="inlineStr">
        <is>
          <t>XAUUSD</t>
        </is>
      </c>
      <c r="C197" s="29" t="inlineStr">
        <is>
          <t>M15</t>
        </is>
      </c>
      <c r="D197" s="29" t="n">
        <v>4631.31</v>
      </c>
      <c r="E197" s="29" t="n">
        <v>4717.79398</v>
      </c>
      <c r="F197" s="29" t="n">
        <v>4695.2428</v>
      </c>
      <c r="G197" s="29" t="n">
        <v>4518.59282</v>
      </c>
      <c r="H197" s="29" t="n">
        <v>4596.05595</v>
      </c>
      <c r="I197" s="29" t="n">
        <v>4755.40355</v>
      </c>
      <c r="J197" s="29" t="n">
        <v>4792.76972</v>
      </c>
      <c r="K197" s="29" t="n">
        <v>4769.97694</v>
      </c>
      <c r="L197" s="29" t="n">
        <v>4716.33597</v>
      </c>
      <c r="M197" s="29" t="n">
        <v>4718.85043</v>
      </c>
      <c r="N197" s="29" t="n">
        <v>4531.36057</v>
      </c>
      <c r="O197" s="29" t="n">
        <v>4556.93783</v>
      </c>
      <c r="Q197" s="29" t="n">
        <v>4588.04128</v>
      </c>
      <c r="R197" s="29" t="n">
        <v>4636.05895</v>
      </c>
      <c r="S197" s="29" t="n">
        <v>4611.87533</v>
      </c>
      <c r="V197" s="29" t="n">
        <v>4555.39609</v>
      </c>
      <c r="AB197" s="29" t="n">
        <v>4629.33694</v>
      </c>
      <c r="AC197" s="29" t="n">
        <v>4630.30253</v>
      </c>
      <c r="AD197" s="29" t="n">
        <v>0</v>
      </c>
    </row>
    <row r="198" ht="14.25" customHeight="1" s="28">
      <c r="A198" s="29" t="n">
        <v>1777592701</v>
      </c>
      <c r="B198" s="29" t="inlineStr">
        <is>
          <t>XAUUSD</t>
        </is>
      </c>
      <c r="C198" s="29" t="inlineStr">
        <is>
          <t>M15</t>
        </is>
      </c>
      <c r="D198" s="29" t="n">
        <v>4626.71</v>
      </c>
      <c r="E198" s="29" t="n">
        <v>4717.79398</v>
      </c>
      <c r="F198" s="29" t="n">
        <v>4695.2428</v>
      </c>
      <c r="G198" s="29" t="n">
        <v>4518.59282</v>
      </c>
      <c r="H198" s="29" t="n">
        <v>4596.05595</v>
      </c>
      <c r="I198" s="29" t="n">
        <v>4755.40355</v>
      </c>
      <c r="J198" s="29" t="n">
        <v>4792.76972</v>
      </c>
      <c r="K198" s="29" t="n">
        <v>4769.97694</v>
      </c>
      <c r="L198" s="29" t="n">
        <v>4716.33597</v>
      </c>
      <c r="M198" s="29" t="n">
        <v>4718.85043</v>
      </c>
      <c r="N198" s="29" t="n">
        <v>4531.36057</v>
      </c>
      <c r="O198" s="29" t="n">
        <v>4556.93783</v>
      </c>
      <c r="Q198" s="29" t="n">
        <v>4588.24373</v>
      </c>
      <c r="R198" s="29" t="n">
        <v>4636.26139</v>
      </c>
      <c r="S198" s="29" t="n">
        <v>4612.07778</v>
      </c>
      <c r="V198" s="29" t="n">
        <v>4555.59854</v>
      </c>
      <c r="AB198" s="29" t="n">
        <v>4626.8861</v>
      </c>
      <c r="AC198" s="29" t="n">
        <v>4628.59431</v>
      </c>
      <c r="AD198" s="29" t="n">
        <v>0</v>
      </c>
    </row>
    <row r="199" ht="14.25" customHeight="1" s="28">
      <c r="A199" s="29" t="n">
        <v>1777593601</v>
      </c>
      <c r="B199" s="29" t="inlineStr">
        <is>
          <t>XAUUSD</t>
        </is>
      </c>
      <c r="C199" s="29" t="inlineStr">
        <is>
          <t>M15</t>
        </is>
      </c>
      <c r="D199" s="29" t="n">
        <v>4622.55</v>
      </c>
      <c r="E199" s="29" t="n">
        <v>4717.79398</v>
      </c>
      <c r="F199" s="29" t="n">
        <v>4695.2428</v>
      </c>
      <c r="G199" s="29" t="n">
        <v>4518.59282</v>
      </c>
      <c r="H199" s="29" t="n">
        <v>4596.05595</v>
      </c>
      <c r="I199" s="29" t="n">
        <v>4755.40355</v>
      </c>
      <c r="J199" s="29" t="n">
        <v>4792.76972</v>
      </c>
      <c r="K199" s="29" t="n">
        <v>4769.97694</v>
      </c>
      <c r="L199" s="29" t="n">
        <v>4716.33597</v>
      </c>
      <c r="M199" s="29" t="n">
        <v>4718.85043</v>
      </c>
      <c r="N199" s="29" t="n">
        <v>4531.36057</v>
      </c>
      <c r="O199" s="29" t="n">
        <v>4556.93783</v>
      </c>
      <c r="Q199" s="29" t="n">
        <v>4588.44617</v>
      </c>
      <c r="R199" s="29" t="n">
        <v>4636.46384</v>
      </c>
      <c r="S199" s="29" t="n">
        <v>4612.28023</v>
      </c>
      <c r="V199" s="29" t="n">
        <v>4555.80098</v>
      </c>
      <c r="AB199" s="29" t="n">
        <v>4624.29223</v>
      </c>
      <c r="AC199" s="29" t="n">
        <v>4626.44327</v>
      </c>
      <c r="AD199" s="29" t="n">
        <v>0</v>
      </c>
    </row>
    <row r="200" ht="14.25" customHeight="1" s="28">
      <c r="A200" s="29" t="n">
        <v>1777594501</v>
      </c>
      <c r="B200" s="29" t="inlineStr">
        <is>
          <t>XAUUSD</t>
        </is>
      </c>
      <c r="C200" s="29" t="inlineStr">
        <is>
          <t>M15</t>
        </is>
      </c>
      <c r="D200" s="29" t="n">
        <v>4623.65</v>
      </c>
      <c r="E200" s="29" t="n">
        <v>4717.79398</v>
      </c>
      <c r="F200" s="29" t="n">
        <v>4695.2428</v>
      </c>
      <c r="G200" s="29" t="n">
        <v>4518.59282</v>
      </c>
      <c r="H200" s="29" t="n">
        <v>4596.05595</v>
      </c>
      <c r="I200" s="29" t="n">
        <v>4755.40355</v>
      </c>
      <c r="J200" s="29" t="n">
        <v>4792.76972</v>
      </c>
      <c r="K200" s="29" t="n">
        <v>4769.97694</v>
      </c>
      <c r="L200" s="29" t="n">
        <v>4716.33597</v>
      </c>
      <c r="M200" s="29" t="n">
        <v>4718.85043</v>
      </c>
      <c r="N200" s="29" t="n">
        <v>4531.36057</v>
      </c>
      <c r="O200" s="29" t="n">
        <v>4556.93783</v>
      </c>
      <c r="Q200" s="29" t="n">
        <v>4588.64862</v>
      </c>
      <c r="R200" s="29" t="n">
        <v>4636.66628</v>
      </c>
      <c r="S200" s="29" t="n">
        <v>4612.48267</v>
      </c>
      <c r="V200" s="29" t="n">
        <v>4556.00343</v>
      </c>
      <c r="AB200" s="29" t="n">
        <v>4622.01892</v>
      </c>
      <c r="AC200" s="29" t="n">
        <v>4624.2311</v>
      </c>
      <c r="AD200" s="29" t="n">
        <v>0</v>
      </c>
    </row>
    <row r="201" ht="14.25" customHeight="1" s="28">
      <c r="A201" s="29" t="n">
        <v>1777595401</v>
      </c>
      <c r="B201" s="29" t="inlineStr">
        <is>
          <t>XAUUSD</t>
        </is>
      </c>
      <c r="C201" s="29" t="inlineStr">
        <is>
          <t>M15</t>
        </is>
      </c>
      <c r="D201" s="29" t="n">
        <v>4620.9</v>
      </c>
      <c r="E201" s="29" t="n">
        <v>4717.79398</v>
      </c>
      <c r="F201" s="29" t="n">
        <v>4695.2428</v>
      </c>
      <c r="G201" s="29" t="n">
        <v>4518.59282</v>
      </c>
      <c r="H201" s="29" t="n">
        <v>4596.05595</v>
      </c>
      <c r="I201" s="29" t="n">
        <v>4755.40355</v>
      </c>
      <c r="J201" s="29" t="n">
        <v>4792.76972</v>
      </c>
      <c r="K201" s="29" t="n">
        <v>4769.97694</v>
      </c>
      <c r="L201" s="29" t="n">
        <v>4716.33597</v>
      </c>
      <c r="M201" s="29" t="n">
        <v>4718.85043</v>
      </c>
      <c r="N201" s="29" t="n">
        <v>4531.36057</v>
      </c>
      <c r="O201" s="29" t="n">
        <v>4556.93783</v>
      </c>
      <c r="Q201" s="29" t="n">
        <v>4588.85106</v>
      </c>
      <c r="R201" s="29" t="n">
        <v>4636.86873</v>
      </c>
      <c r="S201" s="29" t="n">
        <v>4612.68512</v>
      </c>
      <c r="V201" s="29" t="n">
        <v>4556.20587</v>
      </c>
      <c r="AB201" s="29" t="n">
        <v>4620.30067</v>
      </c>
      <c r="AC201" s="29" t="n">
        <v>4622.26588</v>
      </c>
      <c r="AD201" s="29" t="n">
        <v>0</v>
      </c>
    </row>
    <row r="202" ht="14.25" customHeight="1" s="28">
      <c r="A202" s="29" t="n">
        <v>1777596301</v>
      </c>
      <c r="B202" s="29" t="inlineStr">
        <is>
          <t>XAUUSD</t>
        </is>
      </c>
      <c r="C202" s="29" t="inlineStr">
        <is>
          <t>M15</t>
        </is>
      </c>
      <c r="D202" s="29" t="n">
        <v>4620.02</v>
      </c>
      <c r="E202" s="29" t="n">
        <v>4717.79398</v>
      </c>
      <c r="F202" s="29" t="n">
        <v>4695.2428</v>
      </c>
      <c r="G202" s="29" t="n">
        <v>4518.59282</v>
      </c>
      <c r="H202" s="29" t="n">
        <v>4596.05595</v>
      </c>
      <c r="I202" s="29" t="n">
        <v>4755.40355</v>
      </c>
      <c r="J202" s="29" t="n">
        <v>4792.76972</v>
      </c>
      <c r="K202" s="29" t="n">
        <v>4769.97694</v>
      </c>
      <c r="L202" s="29" t="n">
        <v>4716.33597</v>
      </c>
      <c r="M202" s="29" t="n">
        <v>4718.85043</v>
      </c>
      <c r="N202" s="29" t="n">
        <v>4531.36057</v>
      </c>
      <c r="O202" s="29" t="n">
        <v>4556.93783</v>
      </c>
      <c r="Q202" s="29" t="n">
        <v>4589.05351</v>
      </c>
      <c r="R202" s="29" t="n">
        <v>4637.07117</v>
      </c>
      <c r="S202" s="29" t="n">
        <v>4612.88756</v>
      </c>
      <c r="V202" s="29" t="n">
        <v>4556.40832</v>
      </c>
      <c r="AB202" s="29" t="n">
        <v>4619.3652</v>
      </c>
      <c r="AC202" s="29" t="n">
        <v>4620.81554</v>
      </c>
      <c r="AD202" s="29" t="n">
        <v>0</v>
      </c>
    </row>
    <row r="203" ht="14.25" customHeight="1" s="28">
      <c r="A203" s="29" t="n">
        <v>1777597201</v>
      </c>
      <c r="B203" s="29" t="inlineStr">
        <is>
          <t>XAUUSD</t>
        </is>
      </c>
      <c r="C203" s="29" t="inlineStr">
        <is>
          <t>M15</t>
        </is>
      </c>
      <c r="D203" s="29" t="n">
        <v>4618.7</v>
      </c>
      <c r="E203" s="29" t="n">
        <v>4717.79398</v>
      </c>
      <c r="F203" s="29" t="n">
        <v>4695.2428</v>
      </c>
      <c r="G203" s="29" t="n">
        <v>4518.59282</v>
      </c>
      <c r="H203" s="29" t="n">
        <v>4596.05595</v>
      </c>
      <c r="I203" s="29" t="n">
        <v>4755.40355</v>
      </c>
      <c r="J203" s="29" t="n">
        <v>4792.76972</v>
      </c>
      <c r="K203" s="29" t="n">
        <v>4769.97694</v>
      </c>
      <c r="L203" s="29" t="n">
        <v>4716.33597</v>
      </c>
      <c r="M203" s="29" t="n">
        <v>4718.85043</v>
      </c>
      <c r="N203" s="29" t="n">
        <v>4531.36057</v>
      </c>
      <c r="O203" s="29" t="n">
        <v>4556.93783</v>
      </c>
      <c r="Q203" s="29" t="n">
        <v>4589.25596</v>
      </c>
      <c r="R203" s="29" t="n">
        <v>4637.27362</v>
      </c>
      <c r="S203" s="29" t="n">
        <v>4613.09001</v>
      </c>
      <c r="V203" s="29" t="n">
        <v>4556.61076</v>
      </c>
      <c r="AB203" s="29" t="n">
        <v>4619.26545</v>
      </c>
      <c r="AC203" s="29" t="n">
        <v>4620.04049</v>
      </c>
      <c r="AD203" s="29" t="n">
        <v>0</v>
      </c>
    </row>
    <row r="204" ht="14.25" customHeight="1" s="28">
      <c r="A204" s="29" t="n">
        <v>1777598101</v>
      </c>
      <c r="B204" s="29" t="inlineStr">
        <is>
          <t>XAUUSD</t>
        </is>
      </c>
      <c r="C204" s="29" t="inlineStr">
        <is>
          <t>M15</t>
        </is>
      </c>
      <c r="D204" s="29" t="n">
        <v>4616.68</v>
      </c>
      <c r="E204" s="29" t="n">
        <v>4717.79398</v>
      </c>
      <c r="F204" s="29" t="n">
        <v>4695.2428</v>
      </c>
      <c r="G204" s="29" t="n">
        <v>4518.59282</v>
      </c>
      <c r="H204" s="29" t="n">
        <v>4596.05595</v>
      </c>
      <c r="I204" s="29" t="n">
        <v>4755.40355</v>
      </c>
      <c r="J204" s="29" t="n">
        <v>4792.76972</v>
      </c>
      <c r="K204" s="29" t="n">
        <v>4769.97694</v>
      </c>
      <c r="L204" s="29" t="n">
        <v>4716.33597</v>
      </c>
      <c r="M204" s="29" t="n">
        <v>4718.85043</v>
      </c>
      <c r="N204" s="29" t="n">
        <v>4531.36057</v>
      </c>
      <c r="O204" s="29" t="n">
        <v>4556.93783</v>
      </c>
      <c r="Q204" s="29" t="n">
        <v>4589.4584</v>
      </c>
      <c r="R204" s="29" t="n">
        <v>4637.47607</v>
      </c>
      <c r="S204" s="29" t="n">
        <v>4613.29245</v>
      </c>
      <c r="V204" s="29" t="n">
        <v>4556.81321</v>
      </c>
      <c r="AB204" s="29" t="n">
        <v>4619.91773</v>
      </c>
      <c r="AC204" s="29" t="n">
        <v>4619.97911</v>
      </c>
      <c r="AD204" s="29" t="n">
        <v>0</v>
      </c>
    </row>
    <row r="205" ht="14.25" customHeight="1" s="28">
      <c r="A205" s="29" t="n">
        <v>1777599001</v>
      </c>
      <c r="B205" s="29" t="inlineStr">
        <is>
          <t>XAUUSD</t>
        </is>
      </c>
      <c r="C205" s="29" t="inlineStr">
        <is>
          <t>M15</t>
        </is>
      </c>
      <c r="D205" s="29" t="n">
        <v>4620.2</v>
      </c>
      <c r="E205" s="29" t="n">
        <v>4717.79398</v>
      </c>
      <c r="F205" s="29" t="n">
        <v>4695.2428</v>
      </c>
      <c r="G205" s="29" t="n">
        <v>4518.59282</v>
      </c>
      <c r="H205" s="29" t="n">
        <v>4596.05595</v>
      </c>
      <c r="I205" s="29" t="n">
        <v>4755.40355</v>
      </c>
      <c r="J205" s="29" t="n">
        <v>4792.76972</v>
      </c>
      <c r="K205" s="29" t="n">
        <v>4769.97694</v>
      </c>
      <c r="L205" s="29" t="n">
        <v>4716.33597</v>
      </c>
      <c r="M205" s="29" t="n">
        <v>4718.85043</v>
      </c>
      <c r="N205" s="29" t="n">
        <v>4531.36057</v>
      </c>
      <c r="O205" s="29" t="n">
        <v>4556.93783</v>
      </c>
      <c r="Q205" s="29" t="n">
        <v>4589.66085</v>
      </c>
      <c r="R205" s="29" t="n">
        <v>4637.67851</v>
      </c>
      <c r="S205" s="29" t="n">
        <v>4613.4949</v>
      </c>
      <c r="V205" s="29" t="n">
        <v>4557.01566</v>
      </c>
      <c r="AB205" s="29" t="n">
        <v>4621.17664</v>
      </c>
      <c r="AC205" s="29" t="n">
        <v>4620.57787</v>
      </c>
      <c r="AD205" s="29" t="n">
        <v>1</v>
      </c>
    </row>
    <row r="206" ht="14.25" customHeight="1" s="28">
      <c r="A206" s="29" t="n">
        <v>1777599901</v>
      </c>
      <c r="B206" s="29" t="inlineStr">
        <is>
          <t>XAUUSD</t>
        </is>
      </c>
      <c r="C206" s="29" t="inlineStr">
        <is>
          <t>M15</t>
        </is>
      </c>
      <c r="D206" s="29" t="n">
        <v>4621.05</v>
      </c>
      <c r="E206" s="29" t="n">
        <v>4717.79398</v>
      </c>
      <c r="F206" s="29" t="n">
        <v>4695.2428</v>
      </c>
      <c r="G206" s="29" t="n">
        <v>4518.59282</v>
      </c>
      <c r="H206" s="29" t="n">
        <v>4596.05595</v>
      </c>
      <c r="I206" s="29" t="n">
        <v>4755.40355</v>
      </c>
      <c r="J206" s="29" t="n">
        <v>4792.76972</v>
      </c>
      <c r="K206" s="29" t="n">
        <v>4769.97694</v>
      </c>
      <c r="L206" s="29" t="n">
        <v>4716.33597</v>
      </c>
      <c r="M206" s="29" t="n">
        <v>4718.85043</v>
      </c>
      <c r="N206" s="29" t="n">
        <v>4531.36057</v>
      </c>
      <c r="O206" s="29" t="n">
        <v>4556.93783</v>
      </c>
      <c r="Q206" s="29" t="n">
        <v>4589.86329</v>
      </c>
      <c r="R206" s="29" t="n">
        <v>4637.88096</v>
      </c>
      <c r="S206" s="29" t="n">
        <v>4613.69735</v>
      </c>
      <c r="V206" s="29" t="n">
        <v>4557.2181</v>
      </c>
      <c r="AB206" s="29" t="n">
        <v>4622.67109</v>
      </c>
      <c r="AC206" s="29" t="n">
        <v>4621.62448</v>
      </c>
      <c r="AD206" s="29" t="n">
        <v>0</v>
      </c>
    </row>
    <row r="207" ht="14.25" customHeight="1" s="28">
      <c r="A207" s="29" t="n">
        <v>1777600801</v>
      </c>
      <c r="B207" s="29" t="inlineStr">
        <is>
          <t>XAUUSD</t>
        </is>
      </c>
      <c r="C207" s="29" t="inlineStr">
        <is>
          <t>M15</t>
        </is>
      </c>
      <c r="D207" s="29" t="n">
        <v>4630.89</v>
      </c>
      <c r="E207" s="29" t="n">
        <v>4717.79398</v>
      </c>
      <c r="F207" s="29" t="n">
        <v>4695.2428</v>
      </c>
      <c r="G207" s="29" t="n">
        <v>4518.59282</v>
      </c>
      <c r="H207" s="29" t="n">
        <v>4596.05595</v>
      </c>
      <c r="I207" s="29" t="n">
        <v>4755.40355</v>
      </c>
      <c r="J207" s="29" t="n">
        <v>4792.76972</v>
      </c>
      <c r="K207" s="29" t="n">
        <v>4769.97694</v>
      </c>
      <c r="L207" s="29" t="n">
        <v>4716.33597</v>
      </c>
      <c r="M207" s="29" t="n">
        <v>4718.85043</v>
      </c>
      <c r="N207" s="29" t="n">
        <v>4531.36057</v>
      </c>
      <c r="O207" s="29" t="n">
        <v>4556.93783</v>
      </c>
      <c r="Q207" s="29" t="n">
        <v>4590.06574</v>
      </c>
      <c r="R207" s="29" t="n">
        <v>4638.0834</v>
      </c>
      <c r="S207" s="29" t="n">
        <v>4613.89979</v>
      </c>
      <c r="V207" s="29" t="n">
        <v>4557.42055</v>
      </c>
      <c r="AB207" s="29" t="n">
        <v>4624.1071</v>
      </c>
      <c r="AC207" s="29" t="n">
        <v>4622.86579</v>
      </c>
      <c r="AD207" s="29" t="n">
        <v>0</v>
      </c>
    </row>
    <row r="208" ht="14.25" customHeight="1" s="28">
      <c r="A208" s="29" t="n">
        <v>1777601701</v>
      </c>
      <c r="B208" s="29" t="inlineStr">
        <is>
          <t>XAUUSD</t>
        </is>
      </c>
      <c r="C208" s="29" t="inlineStr">
        <is>
          <t>M15</t>
        </is>
      </c>
      <c r="D208" s="29" t="n">
        <v>4629.39</v>
      </c>
      <c r="E208" s="29" t="n">
        <v>4717.79398</v>
      </c>
      <c r="F208" s="29" t="n">
        <v>4695.2428</v>
      </c>
      <c r="G208" s="29" t="n">
        <v>4518.59282</v>
      </c>
      <c r="H208" s="29" t="n">
        <v>4596.05595</v>
      </c>
      <c r="I208" s="29" t="n">
        <v>4755.40355</v>
      </c>
      <c r="J208" s="29" t="n">
        <v>4792.76972</v>
      </c>
      <c r="K208" s="29" t="n">
        <v>4769.97694</v>
      </c>
      <c r="L208" s="29" t="n">
        <v>4716.33597</v>
      </c>
      <c r="M208" s="29" t="n">
        <v>4718.85043</v>
      </c>
      <c r="N208" s="29" t="n">
        <v>4531.36057</v>
      </c>
      <c r="O208" s="29" t="n">
        <v>4556.93783</v>
      </c>
      <c r="Q208" s="29" t="n">
        <v>4590.26818</v>
      </c>
      <c r="R208" s="29" t="n">
        <v>4638.28585</v>
      </c>
      <c r="S208" s="29" t="n">
        <v>4614.10224</v>
      </c>
      <c r="V208" s="29" t="n">
        <v>4557.62299</v>
      </c>
      <c r="Z208" s="29" t="n">
        <v>4635.83</v>
      </c>
      <c r="AB208" s="29" t="n">
        <v>4625.02416</v>
      </c>
      <c r="AC208" s="29" t="n">
        <v>4623.94497</v>
      </c>
      <c r="AD208" s="29" t="n">
        <v>0</v>
      </c>
    </row>
    <row r="209" ht="14.25" customHeight="1" s="28">
      <c r="A209" s="29" t="n">
        <v>1777602601</v>
      </c>
      <c r="B209" s="29" t="inlineStr">
        <is>
          <t>XAUUSD</t>
        </is>
      </c>
      <c r="C209" s="29" t="inlineStr">
        <is>
          <t>M15</t>
        </is>
      </c>
      <c r="D209" s="29" t="n">
        <v>4624.38</v>
      </c>
      <c r="E209" s="29" t="n">
        <v>4717.79398</v>
      </c>
      <c r="F209" s="29" t="n">
        <v>4695.2428</v>
      </c>
      <c r="G209" s="29" t="n">
        <v>4518.59282</v>
      </c>
      <c r="H209" s="29" t="n">
        <v>4596.05595</v>
      </c>
      <c r="I209" s="29" t="n">
        <v>4755.40355</v>
      </c>
      <c r="J209" s="29" t="n">
        <v>4792.76972</v>
      </c>
      <c r="K209" s="29" t="n">
        <v>4769.97694</v>
      </c>
      <c r="L209" s="29" t="n">
        <v>4716.33597</v>
      </c>
      <c r="M209" s="29" t="n">
        <v>4718.85043</v>
      </c>
      <c r="N209" s="29" t="n">
        <v>4531.36057</v>
      </c>
      <c r="O209" s="29" t="n">
        <v>4556.93783</v>
      </c>
      <c r="Q209" s="29" t="n">
        <v>4590.47063</v>
      </c>
      <c r="R209" s="29" t="n">
        <v>4638.48829</v>
      </c>
      <c r="S209" s="29" t="n">
        <v>4614.30468</v>
      </c>
      <c r="V209" s="29" t="n">
        <v>4557.82544</v>
      </c>
      <c r="AB209" s="29" t="n">
        <v>4625.40267</v>
      </c>
      <c r="AC209" s="29" t="n">
        <v>4624.67382</v>
      </c>
      <c r="AD209" s="29" t="n">
        <v>0</v>
      </c>
    </row>
    <row r="210" ht="14.25" customHeight="1" s="28">
      <c r="A210" s="29" t="n">
        <v>1777603501</v>
      </c>
      <c r="B210" s="29" t="inlineStr">
        <is>
          <t>XAUUSD</t>
        </is>
      </c>
      <c r="C210" s="29" t="inlineStr">
        <is>
          <t>M15</t>
        </is>
      </c>
      <c r="D210" s="29" t="n">
        <v>4619.15</v>
      </c>
      <c r="E210" s="29" t="n">
        <v>4717.79398</v>
      </c>
      <c r="F210" s="29" t="n">
        <v>4695.2428</v>
      </c>
      <c r="G210" s="29" t="n">
        <v>4518.59282</v>
      </c>
      <c r="H210" s="29" t="n">
        <v>4596.05595</v>
      </c>
      <c r="I210" s="29" t="n">
        <v>4755.40355</v>
      </c>
      <c r="J210" s="29" t="n">
        <v>4792.76972</v>
      </c>
      <c r="K210" s="29" t="n">
        <v>4769.97694</v>
      </c>
      <c r="L210" s="29" t="n">
        <v>4716.33597</v>
      </c>
      <c r="M210" s="29" t="n">
        <v>4718.85043</v>
      </c>
      <c r="N210" s="29" t="n">
        <v>4531.36057</v>
      </c>
      <c r="O210" s="29" t="n">
        <v>4556.93783</v>
      </c>
      <c r="Q210" s="29" t="n">
        <v>4590.67308</v>
      </c>
      <c r="R210" s="29" t="n">
        <v>4638.69074</v>
      </c>
      <c r="S210" s="29" t="n">
        <v>4614.50713</v>
      </c>
      <c r="V210" s="29" t="n">
        <v>4558.02788</v>
      </c>
      <c r="AB210" s="29" t="n">
        <v>4625.38626</v>
      </c>
      <c r="AC210" s="29" t="n">
        <v>4625.03004</v>
      </c>
      <c r="AD210" s="29" t="n">
        <v>0</v>
      </c>
    </row>
    <row r="211" ht="14.25" customHeight="1" s="28">
      <c r="A211" s="29" t="n">
        <v>1777604401</v>
      </c>
      <c r="B211" s="29" t="inlineStr">
        <is>
          <t>XAUUSD</t>
        </is>
      </c>
      <c r="C211" s="29" t="inlineStr">
        <is>
          <t>M15</t>
        </is>
      </c>
      <c r="D211" s="29" t="n">
        <v>4620.85</v>
      </c>
      <c r="E211" s="29" t="n">
        <v>4717.79398</v>
      </c>
      <c r="F211" s="29" t="n">
        <v>4695.2428</v>
      </c>
      <c r="G211" s="29" t="n">
        <v>4518.59282</v>
      </c>
      <c r="H211" s="29" t="n">
        <v>4596.05595</v>
      </c>
      <c r="I211" s="29" t="n">
        <v>4755.40355</v>
      </c>
      <c r="J211" s="29" t="n">
        <v>4792.76972</v>
      </c>
      <c r="K211" s="29" t="n">
        <v>4769.97694</v>
      </c>
      <c r="L211" s="29" t="n">
        <v>4716.33597</v>
      </c>
      <c r="M211" s="29" t="n">
        <v>4718.85043</v>
      </c>
      <c r="N211" s="29" t="n">
        <v>4531.36057</v>
      </c>
      <c r="O211" s="29" t="n">
        <v>4556.93783</v>
      </c>
      <c r="Q211" s="29" t="n">
        <v>4590.87552</v>
      </c>
      <c r="R211" s="29" t="n">
        <v>4638.89319</v>
      </c>
      <c r="S211" s="29" t="n">
        <v>4614.70957</v>
      </c>
      <c r="V211" s="29" t="n">
        <v>4558.23033</v>
      </c>
      <c r="AB211" s="29" t="n">
        <v>4625.15934</v>
      </c>
      <c r="AC211" s="29" t="n">
        <v>4625.09469</v>
      </c>
      <c r="AD211" s="29" t="n">
        <v>0</v>
      </c>
    </row>
    <row r="212" ht="14.25" customHeight="1" s="28">
      <c r="A212" s="29" t="n">
        <v>1777605301</v>
      </c>
      <c r="B212" s="29" t="inlineStr">
        <is>
          <t>XAUUSD</t>
        </is>
      </c>
      <c r="C212" s="29" t="inlineStr">
        <is>
          <t>M15</t>
        </is>
      </c>
      <c r="D212" s="29" t="n">
        <v>4626.13</v>
      </c>
      <c r="E212" s="29" t="n">
        <v>4717.79398</v>
      </c>
      <c r="F212" s="29" t="n">
        <v>4695.2428</v>
      </c>
      <c r="G212" s="29" t="n">
        <v>4518.59282</v>
      </c>
      <c r="H212" s="29" t="n">
        <v>4596.05595</v>
      </c>
      <c r="I212" s="29" t="n">
        <v>4755.40355</v>
      </c>
      <c r="J212" s="29" t="n">
        <v>4792.76972</v>
      </c>
      <c r="K212" s="29" t="n">
        <v>4769.97694</v>
      </c>
      <c r="L212" s="29" t="n">
        <v>4716.33597</v>
      </c>
      <c r="M212" s="29" t="n">
        <v>4718.85043</v>
      </c>
      <c r="N212" s="29" t="n">
        <v>4531.36057</v>
      </c>
      <c r="O212" s="29" t="n">
        <v>4556.93783</v>
      </c>
      <c r="Q212" s="29" t="n">
        <v>4591.07797</v>
      </c>
      <c r="R212" s="29" t="n">
        <v>4639.09563</v>
      </c>
      <c r="S212" s="29" t="n">
        <v>4614.91202</v>
      </c>
      <c r="V212" s="29" t="n">
        <v>4558.43278</v>
      </c>
      <c r="AB212" s="29" t="n">
        <v>4624.70187</v>
      </c>
      <c r="AC212" s="29" t="n">
        <v>4624.89828</v>
      </c>
      <c r="AD212" s="29" t="n">
        <v>1</v>
      </c>
    </row>
    <row r="213" ht="14.25" customHeight="1" s="28">
      <c r="A213" s="29" t="n">
        <v>1777606201</v>
      </c>
      <c r="B213" s="29" t="inlineStr">
        <is>
          <t>XAUUSD</t>
        </is>
      </c>
      <c r="C213" s="29" t="inlineStr">
        <is>
          <t>M15</t>
        </is>
      </c>
      <c r="D213" s="29" t="n">
        <v>4626.21</v>
      </c>
      <c r="E213" s="29" t="n">
        <v>4717.79398</v>
      </c>
      <c r="F213" s="29" t="n">
        <v>4695.2428</v>
      </c>
      <c r="G213" s="29" t="n">
        <v>4518.59282</v>
      </c>
      <c r="H213" s="29" t="n">
        <v>4596.05595</v>
      </c>
      <c r="I213" s="29" t="n">
        <v>4755.40355</v>
      </c>
      <c r="J213" s="29" t="n">
        <v>4792.76972</v>
      </c>
      <c r="K213" s="29" t="n">
        <v>4769.97694</v>
      </c>
      <c r="L213" s="29" t="n">
        <v>4716.33597</v>
      </c>
      <c r="M213" s="29" t="n">
        <v>4718.85043</v>
      </c>
      <c r="N213" s="29" t="n">
        <v>4531.36057</v>
      </c>
      <c r="O213" s="29" t="n">
        <v>4556.93783</v>
      </c>
      <c r="Q213" s="29" t="n">
        <v>4591.28041</v>
      </c>
      <c r="R213" s="29" t="n">
        <v>4639.29808</v>
      </c>
      <c r="S213" s="29" t="n">
        <v>4615.11447</v>
      </c>
      <c r="V213" s="29" t="n">
        <v>4558.63522</v>
      </c>
      <c r="AB213" s="29" t="n">
        <v>4623.85411</v>
      </c>
      <c r="AC213" s="29" t="n">
        <v>4624.37619</v>
      </c>
      <c r="AD213" s="29" t="n">
        <v>0</v>
      </c>
    </row>
    <row r="214" ht="14.25" customHeight="1" s="28">
      <c r="A214" s="29" t="n">
        <v>1777607101</v>
      </c>
      <c r="B214" s="29" t="inlineStr">
        <is>
          <t>XAUUSD</t>
        </is>
      </c>
      <c r="C214" s="29" t="inlineStr">
        <is>
          <t>M15</t>
        </is>
      </c>
      <c r="D214" s="29" t="n">
        <v>4626.67</v>
      </c>
      <c r="E214" s="29" t="n">
        <v>4717.79398</v>
      </c>
      <c r="F214" s="29" t="n">
        <v>4695.2428</v>
      </c>
      <c r="G214" s="29" t="n">
        <v>4518.59282</v>
      </c>
      <c r="H214" s="29" t="n">
        <v>4596.05595</v>
      </c>
      <c r="I214" s="29" t="n">
        <v>4755.40355</v>
      </c>
      <c r="J214" s="29" t="n">
        <v>4792.76972</v>
      </c>
      <c r="K214" s="29" t="n">
        <v>4769.97694</v>
      </c>
      <c r="L214" s="29" t="n">
        <v>4716.33597</v>
      </c>
      <c r="M214" s="29" t="n">
        <v>4718.85043</v>
      </c>
      <c r="N214" s="29" t="n">
        <v>4531.36057</v>
      </c>
      <c r="O214" s="29" t="n">
        <v>4556.93783</v>
      </c>
      <c r="Q214" s="29" t="n">
        <v>4591.48286</v>
      </c>
      <c r="R214" s="29" t="n">
        <v>4639.50052</v>
      </c>
      <c r="S214" s="29" t="n">
        <v>4615.31691</v>
      </c>
      <c r="V214" s="29" t="n">
        <v>4558.83767</v>
      </c>
      <c r="AB214" s="29" t="n">
        <v>4622.57556</v>
      </c>
      <c r="AC214" s="29" t="n">
        <v>4623.47588</v>
      </c>
      <c r="AD214" s="29" t="n">
        <v>0</v>
      </c>
    </row>
    <row r="215" ht="14.25" customHeight="1" s="28">
      <c r="A215" s="29" t="n">
        <v>1777608001</v>
      </c>
      <c r="B215" s="29" t="inlineStr">
        <is>
          <t>XAUUSD</t>
        </is>
      </c>
      <c r="C215" s="29" t="inlineStr">
        <is>
          <t>M15</t>
        </is>
      </c>
      <c r="D215" s="29" t="n">
        <v>4621.93</v>
      </c>
      <c r="E215" s="29" t="n">
        <v>4717.79398</v>
      </c>
      <c r="F215" s="29" t="n">
        <v>4695.2428</v>
      </c>
      <c r="G215" s="29" t="n">
        <v>4518.59282</v>
      </c>
      <c r="H215" s="29" t="n">
        <v>4596.05595</v>
      </c>
      <c r="I215" s="29" t="n">
        <v>4755.40355</v>
      </c>
      <c r="J215" s="29" t="n">
        <v>4792.76972</v>
      </c>
      <c r="K215" s="29" t="n">
        <v>4769.97694</v>
      </c>
      <c r="L215" s="29" t="n">
        <v>4716.33597</v>
      </c>
      <c r="M215" s="29" t="n">
        <v>4718.85043</v>
      </c>
      <c r="N215" s="29" t="n">
        <v>4531.36057</v>
      </c>
      <c r="O215" s="29" t="n">
        <v>4556.93783</v>
      </c>
      <c r="Q215" s="29" t="n">
        <v>4591.6853</v>
      </c>
      <c r="R215" s="29" t="n">
        <v>4639.70297</v>
      </c>
      <c r="S215" s="29" t="n">
        <v>4615.51936</v>
      </c>
      <c r="V215" s="29" t="n">
        <v>4559.04011</v>
      </c>
      <c r="AB215" s="29" t="n">
        <v>4620.83276</v>
      </c>
      <c r="AC215" s="29" t="n">
        <v>4622.15432</v>
      </c>
      <c r="AD215" s="29" t="n">
        <v>0</v>
      </c>
    </row>
    <row r="216" ht="14.25" customHeight="1" s="28">
      <c r="A216" s="29" t="n">
        <v>1777608901</v>
      </c>
      <c r="B216" s="29" t="inlineStr">
        <is>
          <t>XAUUSD</t>
        </is>
      </c>
      <c r="C216" s="29" t="inlineStr">
        <is>
          <t>M15</t>
        </is>
      </c>
      <c r="D216" s="29" t="n">
        <v>4617.53</v>
      </c>
      <c r="E216" s="29" t="n">
        <v>4717.79398</v>
      </c>
      <c r="F216" s="29" t="n">
        <v>4695.2428</v>
      </c>
      <c r="G216" s="29" t="n">
        <v>4518.59282</v>
      </c>
      <c r="H216" s="29" t="n">
        <v>4596.05595</v>
      </c>
      <c r="I216" s="29" t="n">
        <v>4755.40355</v>
      </c>
      <c r="J216" s="29" t="n">
        <v>4792.76972</v>
      </c>
      <c r="K216" s="29" t="n">
        <v>4769.97694</v>
      </c>
      <c r="L216" s="29" t="n">
        <v>4716.33597</v>
      </c>
      <c r="M216" s="29" t="n">
        <v>4718.85043</v>
      </c>
      <c r="N216" s="29" t="n">
        <v>4531.36057</v>
      </c>
      <c r="O216" s="29" t="n">
        <v>4556.93783</v>
      </c>
      <c r="Q216" s="29" t="n">
        <v>4591.88775</v>
      </c>
      <c r="R216" s="29" t="n">
        <v>4639.90541</v>
      </c>
      <c r="S216" s="29" t="n">
        <v>4615.7218</v>
      </c>
      <c r="V216" s="29" t="n">
        <v>4559.24256</v>
      </c>
      <c r="AB216" s="29" t="n">
        <v>4618.75149</v>
      </c>
      <c r="AC216" s="29" t="n">
        <v>4620.4529</v>
      </c>
      <c r="AD216" s="29" t="n">
        <v>0</v>
      </c>
    </row>
    <row r="217" ht="14.25" customHeight="1" s="28">
      <c r="A217" s="29" t="n">
        <v>1777609801</v>
      </c>
      <c r="B217" s="29" t="inlineStr">
        <is>
          <t>XAUUSD</t>
        </is>
      </c>
      <c r="C217" s="29" t="inlineStr">
        <is>
          <t>M15</t>
        </is>
      </c>
      <c r="D217" s="29" t="n">
        <v>4613.51</v>
      </c>
      <c r="E217" s="29" t="n">
        <v>4717.79398</v>
      </c>
      <c r="F217" s="29" t="n">
        <v>4695.2428</v>
      </c>
      <c r="G217" s="29" t="n">
        <v>4518.59282</v>
      </c>
      <c r="H217" s="29" t="n">
        <v>4596.05595</v>
      </c>
      <c r="I217" s="29" t="n">
        <v>4755.40355</v>
      </c>
      <c r="J217" s="29" t="n">
        <v>4792.76972</v>
      </c>
      <c r="K217" s="29" t="n">
        <v>4769.97694</v>
      </c>
      <c r="L217" s="29" t="n">
        <v>4716.33597</v>
      </c>
      <c r="M217" s="29" t="n">
        <v>4718.85043</v>
      </c>
      <c r="N217" s="29" t="n">
        <v>4531.36057</v>
      </c>
      <c r="O217" s="29" t="n">
        <v>4556.93783</v>
      </c>
      <c r="Q217" s="29" t="n">
        <v>4592.0902</v>
      </c>
      <c r="R217" s="29" t="n">
        <v>4640.10786</v>
      </c>
      <c r="S217" s="29" t="n">
        <v>4615.92425</v>
      </c>
      <c r="V217" s="29" t="n">
        <v>4559.445</v>
      </c>
      <c r="AB217" s="29" t="n">
        <v>4616.49328</v>
      </c>
      <c r="AC217" s="29" t="n">
        <v>4618.47309</v>
      </c>
      <c r="AD217" s="29" t="n">
        <v>0</v>
      </c>
    </row>
    <row r="218" ht="14.25" customHeight="1" s="28">
      <c r="A218" s="29" t="n">
        <v>1777610701</v>
      </c>
      <c r="B218" s="29" t="inlineStr">
        <is>
          <t>XAUUSD</t>
        </is>
      </c>
      <c r="C218" s="29" t="inlineStr">
        <is>
          <t>M15</t>
        </is>
      </c>
      <c r="D218" s="29" t="n">
        <v>4609.18</v>
      </c>
      <c r="E218" s="29" t="n">
        <v>4717.79398</v>
      </c>
      <c r="F218" s="29" t="n">
        <v>4695.2428</v>
      </c>
      <c r="G218" s="29" t="n">
        <v>4518.59282</v>
      </c>
      <c r="H218" s="29" t="n">
        <v>4596.05595</v>
      </c>
      <c r="I218" s="29" t="n">
        <v>4755.40355</v>
      </c>
      <c r="J218" s="29" t="n">
        <v>4792.76972</v>
      </c>
      <c r="K218" s="29" t="n">
        <v>4769.97694</v>
      </c>
      <c r="L218" s="29" t="n">
        <v>4716.33597</v>
      </c>
      <c r="M218" s="29" t="n">
        <v>4718.85043</v>
      </c>
      <c r="N218" s="29" t="n">
        <v>4531.36057</v>
      </c>
      <c r="O218" s="29" t="n">
        <v>4556.93783</v>
      </c>
      <c r="Q218" s="29" t="n">
        <v>4592.29264</v>
      </c>
      <c r="R218" s="29" t="n">
        <v>4640.31031</v>
      </c>
      <c r="S218" s="29" t="n">
        <v>4616.12669</v>
      </c>
      <c r="V218" s="29" t="n">
        <v>4559.64745</v>
      </c>
      <c r="AB218" s="29" t="n">
        <v>4614.20071</v>
      </c>
      <c r="AC218" s="29" t="n">
        <v>4616.3369</v>
      </c>
      <c r="AD218" s="29" t="n">
        <v>0</v>
      </c>
    </row>
    <row r="219" ht="14.25" customHeight="1" s="28">
      <c r="A219" s="29" t="n">
        <v>1777611601</v>
      </c>
      <c r="B219" s="29" t="inlineStr">
        <is>
          <t>XAUUSD</t>
        </is>
      </c>
      <c r="C219" s="29" t="inlineStr">
        <is>
          <t>M15</t>
        </is>
      </c>
      <c r="D219" s="29" t="n">
        <v>4614.29</v>
      </c>
      <c r="E219" s="29" t="n">
        <v>4717.79398</v>
      </c>
      <c r="F219" s="29" t="n">
        <v>4695.2428</v>
      </c>
      <c r="G219" s="29" t="n">
        <v>4518.59282</v>
      </c>
      <c r="H219" s="29" t="n">
        <v>4596.05595</v>
      </c>
      <c r="I219" s="29" t="n">
        <v>4755.40355</v>
      </c>
      <c r="J219" s="29" t="n">
        <v>4792.76972</v>
      </c>
      <c r="K219" s="29" t="n">
        <v>4769.97694</v>
      </c>
      <c r="L219" s="29" t="n">
        <v>4716.33597</v>
      </c>
      <c r="M219" s="29" t="n">
        <v>4718.85043</v>
      </c>
      <c r="N219" s="29" t="n">
        <v>4531.36057</v>
      </c>
      <c r="O219" s="29" t="n">
        <v>4556.93783</v>
      </c>
      <c r="Q219" s="29" t="n">
        <v>4592.49509</v>
      </c>
      <c r="R219" s="29" t="n">
        <v>4640.51275</v>
      </c>
      <c r="S219" s="29" t="n">
        <v>4616.32914</v>
      </c>
      <c r="V219" s="29" t="n">
        <v>4559.8499</v>
      </c>
      <c r="AB219" s="29" t="n">
        <v>4611.98192</v>
      </c>
      <c r="AC219" s="29" t="n">
        <v>4614.15941</v>
      </c>
      <c r="AD219" s="29" t="n">
        <v>0</v>
      </c>
    </row>
    <row r="220" ht="14.25" customHeight="1" s="28">
      <c r="A220" s="29" t="n">
        <v>1777612501</v>
      </c>
      <c r="B220" s="29" t="inlineStr">
        <is>
          <t>XAUUSD</t>
        </is>
      </c>
      <c r="C220" s="29" t="inlineStr">
        <is>
          <t>M15</t>
        </is>
      </c>
      <c r="D220" s="29" t="n">
        <v>4614.64</v>
      </c>
      <c r="E220" s="29" t="n">
        <v>4717.79398</v>
      </c>
      <c r="F220" s="29" t="n">
        <v>4695.2428</v>
      </c>
      <c r="G220" s="29" t="n">
        <v>4518.59282</v>
      </c>
      <c r="H220" s="29" t="n">
        <v>4596.05595</v>
      </c>
      <c r="I220" s="29" t="n">
        <v>4755.40355</v>
      </c>
      <c r="J220" s="29" t="n">
        <v>4792.76972</v>
      </c>
      <c r="K220" s="29" t="n">
        <v>4769.97694</v>
      </c>
      <c r="L220" s="29" t="n">
        <v>4716.33597</v>
      </c>
      <c r="M220" s="29" t="n">
        <v>4718.85043</v>
      </c>
      <c r="N220" s="29" t="n">
        <v>4531.36057</v>
      </c>
      <c r="O220" s="29" t="n">
        <v>4556.93783</v>
      </c>
      <c r="Q220" s="29" t="n">
        <v>4592.69753</v>
      </c>
      <c r="R220" s="29" t="n">
        <v>4640.7152</v>
      </c>
      <c r="S220" s="29" t="n">
        <v>4616.53158</v>
      </c>
      <c r="V220" s="29" t="n">
        <v>4560.05234</v>
      </c>
      <c r="AB220" s="29" t="n">
        <v>4609.70218</v>
      </c>
      <c r="AC220" s="29" t="n">
        <v>4611.9308</v>
      </c>
      <c r="AD220" s="29" t="n">
        <v>0</v>
      </c>
    </row>
    <row r="221" ht="14.25" customHeight="1" s="28">
      <c r="A221" s="29" t="n">
        <v>1777613401</v>
      </c>
      <c r="B221" s="29" t="inlineStr">
        <is>
          <t>XAUUSD</t>
        </is>
      </c>
      <c r="C221" s="29" t="inlineStr">
        <is>
          <t>M15</t>
        </is>
      </c>
      <c r="D221" s="29" t="n">
        <v>4610</v>
      </c>
      <c r="E221" s="29" t="n">
        <v>4717.79398</v>
      </c>
      <c r="F221" s="29" t="n">
        <v>4695.2428</v>
      </c>
      <c r="G221" s="29" t="n">
        <v>4518.59282</v>
      </c>
      <c r="H221" s="29" t="n">
        <v>4596.05595</v>
      </c>
      <c r="I221" s="29" t="n">
        <v>4755.40355</v>
      </c>
      <c r="J221" s="29" t="n">
        <v>4792.76972</v>
      </c>
      <c r="K221" s="29" t="n">
        <v>4769.97694</v>
      </c>
      <c r="L221" s="29" t="n">
        <v>4716.33597</v>
      </c>
      <c r="M221" s="29" t="n">
        <v>4718.85043</v>
      </c>
      <c r="N221" s="29" t="n">
        <v>4531.36057</v>
      </c>
      <c r="O221" s="29" t="n">
        <v>4556.93783</v>
      </c>
      <c r="Q221" s="29" t="n">
        <v>4592.89998</v>
      </c>
      <c r="R221" s="29" t="n">
        <v>4640.91764</v>
      </c>
      <c r="S221" s="29" t="n">
        <v>4616.73403</v>
      </c>
      <c r="V221" s="29" t="n">
        <v>4560.25479</v>
      </c>
      <c r="AB221" s="29" t="n">
        <v>4607.30397</v>
      </c>
      <c r="AC221" s="29" t="n">
        <v>4609.61738</v>
      </c>
      <c r="AD221" s="29" t="n">
        <v>0</v>
      </c>
    </row>
    <row r="222" ht="14.25" customHeight="1" s="28">
      <c r="A222" s="29" t="n">
        <v>1777614301</v>
      </c>
      <c r="B222" s="29" t="inlineStr">
        <is>
          <t>XAUUSD</t>
        </is>
      </c>
      <c r="C222" s="29" t="inlineStr">
        <is>
          <t>M15</t>
        </is>
      </c>
      <c r="D222" s="29" t="n">
        <v>4605.03</v>
      </c>
      <c r="E222" s="29" t="n">
        <v>4717.79398</v>
      </c>
      <c r="F222" s="29" t="n">
        <v>4695.2428</v>
      </c>
      <c r="G222" s="29" t="n">
        <v>4518.59282</v>
      </c>
      <c r="H222" s="29" t="n">
        <v>4596.05595</v>
      </c>
      <c r="I222" s="29" t="n">
        <v>4755.40355</v>
      </c>
      <c r="J222" s="29" t="n">
        <v>4792.76972</v>
      </c>
      <c r="K222" s="29" t="n">
        <v>4769.97694</v>
      </c>
      <c r="L222" s="29" t="n">
        <v>4716.33597</v>
      </c>
      <c r="M222" s="29" t="n">
        <v>4718.85043</v>
      </c>
      <c r="N222" s="29" t="n">
        <v>4531.36057</v>
      </c>
      <c r="O222" s="29" t="n">
        <v>4556.93783</v>
      </c>
      <c r="Q222" s="29" t="n">
        <v>4593.10242</v>
      </c>
      <c r="R222" s="29" t="n">
        <v>4641.12009</v>
      </c>
      <c r="S222" s="29" t="n">
        <v>4616.93648</v>
      </c>
      <c r="V222" s="29" t="n">
        <v>4560.45723</v>
      </c>
      <c r="AB222" s="29" t="n">
        <v>4604.83316</v>
      </c>
      <c r="AC222" s="29" t="n">
        <v>4607.22527</v>
      </c>
      <c r="AD222" s="29" t="n">
        <v>0</v>
      </c>
    </row>
    <row r="223" ht="14.25" customHeight="1" s="28">
      <c r="A223" s="29" t="n">
        <v>1777615201</v>
      </c>
      <c r="B223" s="29" t="inlineStr">
        <is>
          <t>XAUUSD</t>
        </is>
      </c>
      <c r="C223" s="29" t="inlineStr">
        <is>
          <t>M15</t>
        </is>
      </c>
      <c r="D223" s="29" t="n">
        <v>4601.49</v>
      </c>
      <c r="E223" s="29" t="n">
        <v>4717.79398</v>
      </c>
      <c r="F223" s="29" t="n">
        <v>4695.2428</v>
      </c>
      <c r="G223" s="29" t="n">
        <v>4518.59282</v>
      </c>
      <c r="H223" s="29" t="n">
        <v>4596.05595</v>
      </c>
      <c r="I223" s="29" t="n">
        <v>4755.40355</v>
      </c>
      <c r="J223" s="29" t="n">
        <v>4792.76972</v>
      </c>
      <c r="K223" s="29" t="n">
        <v>4769.97694</v>
      </c>
      <c r="L223" s="29" t="n">
        <v>4716.33597</v>
      </c>
      <c r="M223" s="29" t="n">
        <v>4718.85043</v>
      </c>
      <c r="N223" s="29" t="n">
        <v>4531.36057</v>
      </c>
      <c r="O223" s="29" t="n">
        <v>4556.93783</v>
      </c>
      <c r="Q223" s="29" t="n">
        <v>4593.30487</v>
      </c>
      <c r="R223" s="29" t="n">
        <v>4641.32253</v>
      </c>
      <c r="S223" s="29" t="n">
        <v>4617.13892</v>
      </c>
      <c r="V223" s="29" t="n">
        <v>4560.65968</v>
      </c>
      <c r="AB223" s="29" t="n">
        <v>4602.33592</v>
      </c>
      <c r="AC223" s="29" t="n">
        <v>4604.7806</v>
      </c>
      <c r="AD223" s="29" t="n">
        <v>0</v>
      </c>
    </row>
    <row r="224" ht="14.25" customHeight="1" s="28">
      <c r="A224" s="29" t="n">
        <v>1777616101</v>
      </c>
      <c r="B224" s="29" t="inlineStr">
        <is>
          <t>XAUUSD</t>
        </is>
      </c>
      <c r="C224" s="29" t="inlineStr">
        <is>
          <t>M15</t>
        </is>
      </c>
      <c r="D224" s="29" t="n">
        <v>4593.44</v>
      </c>
      <c r="E224" s="29" t="n">
        <v>4717.79398</v>
      </c>
      <c r="F224" s="29" t="n">
        <v>4695.2428</v>
      </c>
      <c r="G224" s="29" t="n">
        <v>4518.59282</v>
      </c>
      <c r="H224" s="29" t="n">
        <v>4596.05595</v>
      </c>
      <c r="I224" s="29" t="n">
        <v>4755.40355</v>
      </c>
      <c r="J224" s="29" t="n">
        <v>4792.76972</v>
      </c>
      <c r="K224" s="29" t="n">
        <v>4769.97694</v>
      </c>
      <c r="L224" s="29" t="n">
        <v>4716.33597</v>
      </c>
      <c r="M224" s="29" t="n">
        <v>4718.85043</v>
      </c>
      <c r="N224" s="29" t="n">
        <v>4531.36057</v>
      </c>
      <c r="O224" s="29" t="n">
        <v>4556.93783</v>
      </c>
      <c r="Q224" s="29" t="n">
        <v>4593.50732</v>
      </c>
      <c r="R224" s="29" t="n">
        <v>4641.52498</v>
      </c>
      <c r="S224" s="29" t="n">
        <v>4617.34137</v>
      </c>
      <c r="V224" s="29" t="n">
        <v>4560.86212</v>
      </c>
      <c r="AB224" s="29" t="n">
        <v>4599.75347</v>
      </c>
      <c r="AC224" s="29" t="n">
        <v>4602.26703</v>
      </c>
      <c r="AD224" s="29" t="n">
        <v>0</v>
      </c>
    </row>
    <row r="225" ht="14.25" customHeight="1" s="28">
      <c r="A225" s="29" t="n">
        <v>1777617001</v>
      </c>
      <c r="B225" s="29" t="inlineStr">
        <is>
          <t>XAUUSD</t>
        </is>
      </c>
      <c r="C225" s="29" t="inlineStr">
        <is>
          <t>M15</t>
        </is>
      </c>
      <c r="D225" s="29" t="n">
        <v>4593.36</v>
      </c>
      <c r="E225" s="29" t="n">
        <v>4717.79398</v>
      </c>
      <c r="F225" s="29" t="n">
        <v>4695.2428</v>
      </c>
      <c r="G225" s="29" t="n">
        <v>4518.59282</v>
      </c>
      <c r="H225" s="29" t="n">
        <v>4596.05595</v>
      </c>
      <c r="I225" s="29" t="n">
        <v>4755.40355</v>
      </c>
      <c r="J225" s="29" t="n">
        <v>4792.76972</v>
      </c>
      <c r="K225" s="29" t="n">
        <v>4769.97694</v>
      </c>
      <c r="L225" s="29" t="n">
        <v>4716.33597</v>
      </c>
      <c r="M225" s="29" t="n">
        <v>4718.85043</v>
      </c>
      <c r="N225" s="29" t="n">
        <v>4531.36057</v>
      </c>
      <c r="O225" s="29" t="n">
        <v>4556.93783</v>
      </c>
      <c r="Q225" s="29" t="n">
        <v>4593.70976</v>
      </c>
      <c r="R225" s="29" t="n">
        <v>4641.72743</v>
      </c>
      <c r="S225" s="29" t="n">
        <v>4617.54381</v>
      </c>
      <c r="V225" s="29" t="n">
        <v>4561.06457</v>
      </c>
      <c r="AB225" s="29" t="n">
        <v>4597.13603</v>
      </c>
      <c r="AC225" s="29" t="n">
        <v>4599.70153</v>
      </c>
      <c r="AD225" s="29" t="n">
        <v>0</v>
      </c>
    </row>
    <row r="226" ht="14.25" customHeight="1" s="28">
      <c r="A226" s="29" t="n">
        <v>1777617901</v>
      </c>
      <c r="B226" s="29" t="inlineStr">
        <is>
          <t>XAUUSD</t>
        </is>
      </c>
      <c r="C226" s="29" t="inlineStr">
        <is>
          <t>M15</t>
        </is>
      </c>
      <c r="D226" s="29" t="n">
        <v>4594.77</v>
      </c>
      <c r="E226" s="29" t="n">
        <v>4717.79398</v>
      </c>
      <c r="F226" s="29" t="n">
        <v>4695.2428</v>
      </c>
      <c r="G226" s="29" t="n">
        <v>4518.59282</v>
      </c>
      <c r="H226" s="29" t="n">
        <v>4596.05595</v>
      </c>
      <c r="I226" s="29" t="n">
        <v>4755.40355</v>
      </c>
      <c r="J226" s="29" t="n">
        <v>4792.76972</v>
      </c>
      <c r="K226" s="29" t="n">
        <v>4769.97694</v>
      </c>
      <c r="L226" s="29" t="n">
        <v>4716.33597</v>
      </c>
      <c r="M226" s="29" t="n">
        <v>4718.85043</v>
      </c>
      <c r="N226" s="29" t="n">
        <v>4531.36057</v>
      </c>
      <c r="O226" s="29" t="n">
        <v>4556.93783</v>
      </c>
      <c r="Q226" s="29" t="n">
        <v>4593.91221</v>
      </c>
      <c r="R226" s="29" t="n">
        <v>4641.92987</v>
      </c>
      <c r="S226" s="29" t="n">
        <v>4617.74626</v>
      </c>
      <c r="V226" s="29" t="n">
        <v>4561.26702</v>
      </c>
      <c r="AB226" s="29" t="n">
        <v>4594.29338</v>
      </c>
      <c r="AC226" s="29" t="n">
        <v>4596.99745</v>
      </c>
      <c r="AD226" s="29" t="n">
        <v>0</v>
      </c>
    </row>
    <row r="227" ht="14.25" customHeight="1" s="28">
      <c r="A227" s="29" t="n">
        <v>1777618801</v>
      </c>
      <c r="B227" s="29" t="inlineStr">
        <is>
          <t>XAUUSD</t>
        </is>
      </c>
      <c r="C227" s="29" t="inlineStr">
        <is>
          <t>M15</t>
        </is>
      </c>
      <c r="D227" s="29" t="n">
        <v>4595.97</v>
      </c>
      <c r="E227" s="29" t="n">
        <v>4717.79398</v>
      </c>
      <c r="F227" s="29" t="n">
        <v>4695.2428</v>
      </c>
      <c r="G227" s="29" t="n">
        <v>4518.59282</v>
      </c>
      <c r="H227" s="29" t="n">
        <v>4596.05595</v>
      </c>
      <c r="I227" s="29" t="n">
        <v>4755.40355</v>
      </c>
      <c r="J227" s="29" t="n">
        <v>4792.76972</v>
      </c>
      <c r="K227" s="29" t="n">
        <v>4769.97694</v>
      </c>
      <c r="L227" s="29" t="n">
        <v>4716.33597</v>
      </c>
      <c r="M227" s="29" t="n">
        <v>4718.85043</v>
      </c>
      <c r="N227" s="29" t="n">
        <v>4531.36057</v>
      </c>
      <c r="O227" s="29" t="n">
        <v>4556.93783</v>
      </c>
      <c r="Q227" s="29" t="n">
        <v>4594.11465</v>
      </c>
      <c r="R227" s="29" t="n">
        <v>4642.13232</v>
      </c>
      <c r="S227" s="29" t="n">
        <v>4617.9487</v>
      </c>
      <c r="V227" s="29" t="n">
        <v>4561.46946</v>
      </c>
      <c r="AB227" s="29" t="n">
        <v>4591.09649</v>
      </c>
      <c r="AC227" s="29" t="n">
        <v>4594.04697</v>
      </c>
      <c r="AD227" s="29" t="n">
        <v>0</v>
      </c>
    </row>
    <row r="228" ht="14.25" customHeight="1" s="28">
      <c r="A228" s="29" t="n">
        <v>1777619701</v>
      </c>
      <c r="B228" s="29" t="inlineStr">
        <is>
          <t>XAUUSD</t>
        </is>
      </c>
      <c r="C228" s="29" t="inlineStr">
        <is>
          <t>M15</t>
        </is>
      </c>
      <c r="D228" s="29" t="n">
        <v>4592.32</v>
      </c>
      <c r="E228" s="29" t="n">
        <v>4717.79398</v>
      </c>
      <c r="F228" s="29" t="n">
        <v>4695.2428</v>
      </c>
      <c r="G228" s="29" t="n">
        <v>4518.59282</v>
      </c>
      <c r="H228" s="29" t="n">
        <v>4596.05595</v>
      </c>
      <c r="I228" s="29" t="n">
        <v>4755.40355</v>
      </c>
      <c r="J228" s="29" t="n">
        <v>4792.76972</v>
      </c>
      <c r="K228" s="29" t="n">
        <v>4769.97694</v>
      </c>
      <c r="L228" s="29" t="n">
        <v>4716.33597</v>
      </c>
      <c r="M228" s="29" t="n">
        <v>4718.85043</v>
      </c>
      <c r="N228" s="29" t="n">
        <v>4531.36057</v>
      </c>
      <c r="O228" s="29" t="n">
        <v>4556.93783</v>
      </c>
      <c r="Q228" s="29" t="n">
        <v>4594.3171</v>
      </c>
      <c r="R228" s="29" t="n">
        <v>4642.33476</v>
      </c>
      <c r="S228" s="29" t="n">
        <v>4618.15115</v>
      </c>
      <c r="V228" s="29" t="n">
        <v>4561.67191</v>
      </c>
      <c r="AB228" s="29" t="n">
        <v>4587.48142</v>
      </c>
      <c r="AC228" s="29" t="n">
        <v>4590.7642</v>
      </c>
      <c r="AD228" s="29" t="n">
        <v>0</v>
      </c>
    </row>
    <row r="229" ht="14.25" customHeight="1" s="28">
      <c r="A229" s="29" t="n">
        <v>1777620601</v>
      </c>
      <c r="B229" s="29" t="inlineStr">
        <is>
          <t>XAUUSD</t>
        </is>
      </c>
      <c r="C229" s="29" t="inlineStr">
        <is>
          <t>M15</t>
        </is>
      </c>
      <c r="D229" s="29" t="n">
        <v>4585.41</v>
      </c>
      <c r="E229" s="29" t="n">
        <v>4717.79398</v>
      </c>
      <c r="F229" s="29" t="n">
        <v>4695.2428</v>
      </c>
      <c r="G229" s="29" t="n">
        <v>4518.59282</v>
      </c>
      <c r="H229" s="29" t="n">
        <v>4596.05595</v>
      </c>
      <c r="I229" s="29" t="n">
        <v>4755.40355</v>
      </c>
      <c r="J229" s="29" t="n">
        <v>4792.76972</v>
      </c>
      <c r="K229" s="29" t="n">
        <v>4769.97694</v>
      </c>
      <c r="L229" s="29" t="n">
        <v>4716.33597</v>
      </c>
      <c r="M229" s="29" t="n">
        <v>4718.85043</v>
      </c>
      <c r="N229" s="29" t="n">
        <v>4531.36057</v>
      </c>
      <c r="O229" s="29" t="n">
        <v>4556.93783</v>
      </c>
      <c r="Q229" s="29" t="n">
        <v>4594.51954</v>
      </c>
      <c r="R229" s="29" t="n">
        <v>4642.53721</v>
      </c>
      <c r="S229" s="29" t="n">
        <v>4618.3536</v>
      </c>
      <c r="V229" s="29" t="n">
        <v>4561.87435</v>
      </c>
      <c r="AB229" s="29" t="n">
        <v>4583.57847</v>
      </c>
      <c r="AC229" s="29" t="n">
        <v>4587.17133</v>
      </c>
      <c r="AD229" s="29" t="n">
        <v>0</v>
      </c>
    </row>
    <row r="230" ht="14.25" customHeight="1" s="28">
      <c r="A230" s="29" t="n">
        <v>1777621501</v>
      </c>
      <c r="B230" s="29" t="inlineStr">
        <is>
          <t>XAUUSD</t>
        </is>
      </c>
      <c r="C230" s="29" t="inlineStr">
        <is>
          <t>M15</t>
        </is>
      </c>
      <c r="D230" s="29" t="n">
        <v>4578.16</v>
      </c>
      <c r="E230" s="29" t="n">
        <v>4717.79398</v>
      </c>
      <c r="F230" s="29" t="n">
        <v>4695.2428</v>
      </c>
      <c r="G230" s="29" t="n">
        <v>4518.59282</v>
      </c>
      <c r="H230" s="29" t="n">
        <v>4596.05595</v>
      </c>
      <c r="I230" s="29" t="n">
        <v>4755.40355</v>
      </c>
      <c r="J230" s="29" t="n">
        <v>4792.76972</v>
      </c>
      <c r="K230" s="29" t="n">
        <v>4769.97694</v>
      </c>
      <c r="L230" s="29" t="n">
        <v>4716.33597</v>
      </c>
      <c r="M230" s="29" t="n">
        <v>4718.85043</v>
      </c>
      <c r="N230" s="29" t="n">
        <v>4531.36057</v>
      </c>
      <c r="O230" s="29" t="n">
        <v>4556.93783</v>
      </c>
      <c r="Q230" s="29" t="n">
        <v>4594.72199</v>
      </c>
      <c r="R230" s="29" t="n">
        <v>4642.73965</v>
      </c>
      <c r="S230" s="29" t="n">
        <v>4618.55604</v>
      </c>
      <c r="V230" s="29" t="n">
        <v>4562.0768</v>
      </c>
      <c r="AB230" s="29" t="n">
        <v>4579.65779</v>
      </c>
      <c r="AC230" s="29" t="n">
        <v>4583.41456</v>
      </c>
      <c r="AD230" s="29" t="n">
        <v>0</v>
      </c>
    </row>
    <row r="231" ht="14.25" customHeight="1" s="28">
      <c r="A231" s="29" t="n">
        <v>1777622401</v>
      </c>
      <c r="B231" s="29" t="inlineStr">
        <is>
          <t>XAUUSD</t>
        </is>
      </c>
      <c r="C231" s="29" t="inlineStr">
        <is>
          <t>M15</t>
        </is>
      </c>
      <c r="D231" s="29" t="n">
        <v>4574.06</v>
      </c>
      <c r="E231" s="29" t="n">
        <v>4717.79398</v>
      </c>
      <c r="F231" s="29" t="n">
        <v>4695.2428</v>
      </c>
      <c r="G231" s="29" t="n">
        <v>4518.59282</v>
      </c>
      <c r="H231" s="29" t="n">
        <v>4596.05595</v>
      </c>
      <c r="I231" s="29" t="n">
        <v>4755.40355</v>
      </c>
      <c r="J231" s="29" t="n">
        <v>4792.76972</v>
      </c>
      <c r="K231" s="29" t="n">
        <v>4769.97694</v>
      </c>
      <c r="L231" s="29" t="n">
        <v>4716.33597</v>
      </c>
      <c r="M231" s="29" t="n">
        <v>4718.85043</v>
      </c>
      <c r="N231" s="29" t="n">
        <v>4531.36057</v>
      </c>
      <c r="O231" s="29" t="n">
        <v>4556.93783</v>
      </c>
      <c r="Q231" s="29" t="n">
        <v>4594.92444</v>
      </c>
      <c r="R231" s="29" t="n">
        <v>4642.9421</v>
      </c>
      <c r="S231" s="29" t="n">
        <v>4618.75849</v>
      </c>
      <c r="V231" s="29" t="n">
        <v>4562.27924</v>
      </c>
      <c r="AB231" s="29" t="n">
        <v>4576.01848</v>
      </c>
      <c r="AC231" s="29" t="n">
        <v>4579.71652</v>
      </c>
      <c r="AD231" s="29" t="n">
        <v>0</v>
      </c>
    </row>
    <row r="232" ht="14.25" customHeight="1" s="28">
      <c r="A232" s="29" t="n">
        <v>1777623301</v>
      </c>
      <c r="B232" s="29" t="inlineStr">
        <is>
          <t>XAUUSD</t>
        </is>
      </c>
      <c r="C232" s="29" t="inlineStr">
        <is>
          <t>M15</t>
        </is>
      </c>
      <c r="D232" s="29" t="n">
        <v>4567.37</v>
      </c>
      <c r="E232" s="29" t="n">
        <v>4717.79398</v>
      </c>
      <c r="F232" s="29" t="n">
        <v>4695.2428</v>
      </c>
      <c r="G232" s="29" t="n">
        <v>4518.59282</v>
      </c>
      <c r="H232" s="29" t="n">
        <v>4596.05595</v>
      </c>
      <c r="I232" s="29" t="n">
        <v>4755.40355</v>
      </c>
      <c r="J232" s="29" t="n">
        <v>4792.76972</v>
      </c>
      <c r="K232" s="29" t="n">
        <v>4769.97694</v>
      </c>
      <c r="L232" s="29" t="n">
        <v>4716.33597</v>
      </c>
      <c r="M232" s="29" t="n">
        <v>4718.85043</v>
      </c>
      <c r="N232" s="29" t="n">
        <v>4531.36057</v>
      </c>
      <c r="O232" s="29" t="n">
        <v>4556.93783</v>
      </c>
      <c r="Q232" s="29" t="n">
        <v>4595.12688</v>
      </c>
      <c r="R232" s="29" t="n">
        <v>4643.14455</v>
      </c>
      <c r="S232" s="29" t="n">
        <v>4618.96093</v>
      </c>
      <c r="V232" s="29" t="n">
        <v>4562.48169</v>
      </c>
      <c r="AB232" s="29" t="n">
        <v>4572.85269</v>
      </c>
      <c r="AC232" s="29" t="n">
        <v>4576.2846</v>
      </c>
      <c r="AD232" s="29" t="n">
        <v>0</v>
      </c>
    </row>
    <row r="233" ht="14.25" customHeight="1" s="28">
      <c r="A233" s="29" t="n">
        <v>1777624201</v>
      </c>
      <c r="B233" s="29" t="inlineStr">
        <is>
          <t>XAUUSD</t>
        </is>
      </c>
      <c r="C233" s="29" t="inlineStr">
        <is>
          <t>M15</t>
        </is>
      </c>
      <c r="D233" s="29" t="n">
        <v>4571.29</v>
      </c>
      <c r="E233" s="29" t="n">
        <v>4717.79398</v>
      </c>
      <c r="F233" s="29" t="n">
        <v>4695.2428</v>
      </c>
      <c r="G233" s="29" t="n">
        <v>4518.59282</v>
      </c>
      <c r="H233" s="29" t="n">
        <v>4596.05595</v>
      </c>
      <c r="I233" s="29" t="n">
        <v>4755.40355</v>
      </c>
      <c r="J233" s="29" t="n">
        <v>4792.76972</v>
      </c>
      <c r="K233" s="29" t="n">
        <v>4769.97694</v>
      </c>
      <c r="L233" s="29" t="n">
        <v>4716.33597</v>
      </c>
      <c r="M233" s="29" t="n">
        <v>4718.85043</v>
      </c>
      <c r="N233" s="29" t="n">
        <v>4531.36057</v>
      </c>
      <c r="O233" s="29" t="n">
        <v>4556.93783</v>
      </c>
      <c r="Q233" s="29" t="n">
        <v>4595.32933</v>
      </c>
      <c r="R233" s="29" t="n">
        <v>4643.34699</v>
      </c>
      <c r="S233" s="29" t="n">
        <v>4619.16338</v>
      </c>
      <c r="V233" s="29" t="n">
        <v>4562.68414</v>
      </c>
      <c r="AB233" s="29" t="n">
        <v>4570.38966</v>
      </c>
      <c r="AC233" s="29" t="n">
        <v>4573.33713</v>
      </c>
      <c r="AD233" s="29" t="n">
        <v>0</v>
      </c>
    </row>
    <row r="234" ht="14.25" customHeight="1" s="28">
      <c r="A234" s="29" t="n">
        <v>1777625101</v>
      </c>
      <c r="B234" s="29" t="inlineStr">
        <is>
          <t>XAUUSD</t>
        </is>
      </c>
      <c r="C234" s="29" t="inlineStr">
        <is>
          <t>M15</t>
        </is>
      </c>
      <c r="D234" s="29" t="n">
        <v>4568.51</v>
      </c>
      <c r="E234" s="29" t="n">
        <v>4717.79398</v>
      </c>
      <c r="F234" s="29" t="n">
        <v>4695.2428</v>
      </c>
      <c r="G234" s="29" t="n">
        <v>4518.59282</v>
      </c>
      <c r="H234" s="29" t="n">
        <v>4596.05595</v>
      </c>
      <c r="I234" s="29" t="n">
        <v>4755.40355</v>
      </c>
      <c r="J234" s="29" t="n">
        <v>4792.76972</v>
      </c>
      <c r="K234" s="29" t="n">
        <v>4769.97694</v>
      </c>
      <c r="L234" s="29" t="n">
        <v>4716.33597</v>
      </c>
      <c r="M234" s="29" t="n">
        <v>4718.85043</v>
      </c>
      <c r="N234" s="29" t="n">
        <v>4531.36057</v>
      </c>
      <c r="O234" s="29" t="n">
        <v>4556.93783</v>
      </c>
      <c r="Q234" s="29" t="n">
        <v>4595.53177</v>
      </c>
      <c r="R234" s="29" t="n">
        <v>4643.54944</v>
      </c>
      <c r="S234" s="29" t="n">
        <v>4619.36582</v>
      </c>
      <c r="V234" s="29" t="n">
        <v>4562.88658</v>
      </c>
      <c r="AB234" s="29" t="n">
        <v>4568.51331</v>
      </c>
      <c r="AC234" s="29" t="n">
        <v>4570.92522</v>
      </c>
      <c r="AD234" s="29" t="n">
        <v>0</v>
      </c>
    </row>
    <row r="235" ht="14.25" customHeight="1" s="28">
      <c r="A235" s="29" t="n">
        <v>1777626001</v>
      </c>
      <c r="B235" s="29" t="inlineStr">
        <is>
          <t>XAUUSD</t>
        </is>
      </c>
      <c r="C235" s="29" t="inlineStr">
        <is>
          <t>M15</t>
        </is>
      </c>
      <c r="D235" s="29" t="n">
        <v>4565.87</v>
      </c>
      <c r="E235" s="29" t="n">
        <v>4717.79398</v>
      </c>
      <c r="F235" s="29" t="n">
        <v>4695.2428</v>
      </c>
      <c r="G235" s="29" t="n">
        <v>4518.59282</v>
      </c>
      <c r="H235" s="29" t="n">
        <v>4596.05595</v>
      </c>
      <c r="I235" s="29" t="n">
        <v>4755.40355</v>
      </c>
      <c r="J235" s="29" t="n">
        <v>4792.76972</v>
      </c>
      <c r="K235" s="29" t="n">
        <v>4769.97694</v>
      </c>
      <c r="L235" s="29" t="n">
        <v>4716.33597</v>
      </c>
      <c r="M235" s="29" t="n">
        <v>4718.85043</v>
      </c>
      <c r="N235" s="29" t="n">
        <v>4531.36057</v>
      </c>
      <c r="O235" s="29" t="n">
        <v>4556.93783</v>
      </c>
      <c r="Q235" s="29" t="n">
        <v>4595.73422</v>
      </c>
      <c r="R235" s="29" t="n">
        <v>4643.75188</v>
      </c>
      <c r="S235" s="29" t="n">
        <v>4619.56827</v>
      </c>
      <c r="V235" s="29" t="n">
        <v>4563.08903</v>
      </c>
      <c r="AB235" s="29" t="n">
        <v>4567.25655</v>
      </c>
      <c r="AC235" s="29" t="n">
        <v>4569.09088</v>
      </c>
      <c r="AD235" s="29" t="n">
        <v>0</v>
      </c>
    </row>
    <row r="236" ht="14.25" customHeight="1" s="28">
      <c r="A236" s="29" t="n">
        <v>1777626901</v>
      </c>
      <c r="B236" s="29" t="inlineStr">
        <is>
          <t>XAUUSD</t>
        </is>
      </c>
      <c r="C236" s="29" t="inlineStr">
        <is>
          <t>M15</t>
        </is>
      </c>
      <c r="D236" s="29" t="n">
        <v>4569.29</v>
      </c>
      <c r="E236" s="29" t="n">
        <v>4717.79398</v>
      </c>
      <c r="F236" s="29" t="n">
        <v>4695.2428</v>
      </c>
      <c r="G236" s="29" t="n">
        <v>4518.59282</v>
      </c>
      <c r="H236" s="29" t="n">
        <v>4596.05595</v>
      </c>
      <c r="I236" s="29" t="n">
        <v>4755.40355</v>
      </c>
      <c r="J236" s="29" t="n">
        <v>4792.76972</v>
      </c>
      <c r="K236" s="29" t="n">
        <v>4769.97694</v>
      </c>
      <c r="L236" s="29" t="n">
        <v>4716.33597</v>
      </c>
      <c r="M236" s="29" t="n">
        <v>4718.85043</v>
      </c>
      <c r="N236" s="29" t="n">
        <v>4531.36057</v>
      </c>
      <c r="O236" s="29" t="n">
        <v>4556.93783</v>
      </c>
      <c r="Q236" s="29" t="n">
        <v>4595.93666</v>
      </c>
      <c r="R236" s="29" t="n">
        <v>4643.95433</v>
      </c>
      <c r="S236" s="29" t="n">
        <v>4619.77072</v>
      </c>
      <c r="V236" s="29" t="n">
        <v>4563.29147</v>
      </c>
      <c r="AB236" s="29" t="n">
        <v>4566.60201</v>
      </c>
      <c r="AC236" s="29" t="n">
        <v>4567.84645</v>
      </c>
      <c r="AD236" s="29" t="n">
        <v>0</v>
      </c>
    </row>
    <row r="237" ht="14.25" customHeight="1" s="28">
      <c r="A237" s="29" t="n">
        <v>1777627801</v>
      </c>
      <c r="B237" s="29" t="inlineStr">
        <is>
          <t>XAUUSD</t>
        </is>
      </c>
      <c r="C237" s="29" t="inlineStr">
        <is>
          <t>M15</t>
        </is>
      </c>
      <c r="D237" s="29" t="n">
        <v>4570.62</v>
      </c>
      <c r="E237" s="29" t="n">
        <v>4717.79398</v>
      </c>
      <c r="F237" s="29" t="n">
        <v>4695.2428</v>
      </c>
      <c r="G237" s="29" t="n">
        <v>4518.59282</v>
      </c>
      <c r="H237" s="29" t="n">
        <v>4596.05595</v>
      </c>
      <c r="I237" s="29" t="n">
        <v>4755.40355</v>
      </c>
      <c r="J237" s="29" t="n">
        <v>4792.76972</v>
      </c>
      <c r="K237" s="29" t="n">
        <v>4769.97694</v>
      </c>
      <c r="L237" s="29" t="n">
        <v>4716.33597</v>
      </c>
      <c r="M237" s="29" t="n">
        <v>4718.85043</v>
      </c>
      <c r="N237" s="29" t="n">
        <v>4531.36057</v>
      </c>
      <c r="O237" s="29" t="n">
        <v>4556.93783</v>
      </c>
      <c r="Q237" s="29" t="n">
        <v>4596.13911</v>
      </c>
      <c r="R237" s="29" t="n">
        <v>4644.15677</v>
      </c>
      <c r="S237" s="29" t="n">
        <v>4619.97316</v>
      </c>
      <c r="V237" s="29" t="n">
        <v>4563.49392</v>
      </c>
      <c r="AB237" s="29" t="n">
        <v>4566.36135</v>
      </c>
      <c r="AC237" s="29" t="n">
        <v>4567.1039</v>
      </c>
      <c r="AD237" s="29" t="n">
        <v>0</v>
      </c>
    </row>
    <row r="238" ht="14.25" customHeight="1" s="28">
      <c r="A238" s="29" t="n">
        <v>1777628701</v>
      </c>
      <c r="B238" s="29" t="inlineStr">
        <is>
          <t>XAUUSD</t>
        </is>
      </c>
      <c r="C238" s="29" t="inlineStr">
        <is>
          <t>M15</t>
        </is>
      </c>
      <c r="D238" s="29" t="n">
        <v>4563.12</v>
      </c>
      <c r="E238" s="29" t="n">
        <v>4717.79398</v>
      </c>
      <c r="F238" s="29" t="n">
        <v>4695.2428</v>
      </c>
      <c r="G238" s="29" t="n">
        <v>4518.59282</v>
      </c>
      <c r="H238" s="29" t="n">
        <v>4596.05595</v>
      </c>
      <c r="I238" s="29" t="n">
        <v>4755.40355</v>
      </c>
      <c r="J238" s="29" t="n">
        <v>4792.76972</v>
      </c>
      <c r="K238" s="29" t="n">
        <v>4769.97694</v>
      </c>
      <c r="L238" s="29" t="n">
        <v>4716.33597</v>
      </c>
      <c r="M238" s="29" t="n">
        <v>4718.85043</v>
      </c>
      <c r="N238" s="29" t="n">
        <v>4531.36057</v>
      </c>
      <c r="O238" s="29" t="n">
        <v>4556.93783</v>
      </c>
      <c r="Q238" s="29" t="n">
        <v>4596.34156</v>
      </c>
      <c r="R238" s="29" t="n">
        <v>4644.35922</v>
      </c>
      <c r="S238" s="29" t="n">
        <v>4620.17561</v>
      </c>
      <c r="V238" s="29" t="n">
        <v>4563.69636</v>
      </c>
      <c r="AA238" s="29" t="n">
        <v>4560.44</v>
      </c>
      <c r="AB238" s="29" t="n">
        <v>4566.40961</v>
      </c>
      <c r="AC238" s="29" t="n">
        <v>4566.75676</v>
      </c>
      <c r="AD238" s="29" t="n">
        <v>0</v>
      </c>
    </row>
    <row r="239" ht="14.25" customHeight="1" s="28">
      <c r="A239" s="29" t="n">
        <v>1777629601</v>
      </c>
      <c r="B239" s="29" t="inlineStr">
        <is>
          <t>XAUUSD</t>
        </is>
      </c>
      <c r="C239" s="29" t="inlineStr">
        <is>
          <t>M15</t>
        </is>
      </c>
      <c r="D239" s="29" t="n">
        <v>4566.78</v>
      </c>
      <c r="E239" s="29" t="n">
        <v>4717.79398</v>
      </c>
      <c r="F239" s="29" t="n">
        <v>4695.2428</v>
      </c>
      <c r="G239" s="29" t="n">
        <v>4518.59282</v>
      </c>
      <c r="H239" s="29" t="n">
        <v>4596.05595</v>
      </c>
      <c r="I239" s="29" t="n">
        <v>4755.40355</v>
      </c>
      <c r="J239" s="29" t="n">
        <v>4792.76972</v>
      </c>
      <c r="K239" s="29" t="n">
        <v>4769.97694</v>
      </c>
      <c r="L239" s="29" t="n">
        <v>4716.33597</v>
      </c>
      <c r="M239" s="29" t="n">
        <v>4718.85043</v>
      </c>
      <c r="N239" s="29" t="n">
        <v>4531.36057</v>
      </c>
      <c r="O239" s="29" t="n">
        <v>4556.93783</v>
      </c>
      <c r="Q239" s="29" t="n">
        <v>4596.544</v>
      </c>
      <c r="R239" s="29" t="n">
        <v>4644.56167</v>
      </c>
      <c r="S239" s="29" t="n">
        <v>4620.37805</v>
      </c>
      <c r="V239" s="29" t="n">
        <v>4563.89881</v>
      </c>
      <c r="AB239" s="29" t="n">
        <v>4566.93363</v>
      </c>
      <c r="AC239" s="29" t="n">
        <v>4566.84519</v>
      </c>
      <c r="AD239" s="29" t="n">
        <v>1</v>
      </c>
    </row>
    <row r="240" ht="14.25" customHeight="1" s="28">
      <c r="A240" s="29" t="n">
        <v>1777630501</v>
      </c>
      <c r="B240" s="29" t="inlineStr">
        <is>
          <t>XAUUSD</t>
        </is>
      </c>
      <c r="C240" s="29" t="inlineStr">
        <is>
          <t>M15</t>
        </is>
      </c>
      <c r="D240" s="29" t="n">
        <v>4572.18</v>
      </c>
      <c r="E240" s="29" t="n">
        <v>4717.79398</v>
      </c>
      <c r="F240" s="29" t="n">
        <v>4695.2428</v>
      </c>
      <c r="G240" s="29" t="n">
        <v>4518.59282</v>
      </c>
      <c r="H240" s="29" t="n">
        <v>4596.05595</v>
      </c>
      <c r="I240" s="29" t="n">
        <v>4755.40355</v>
      </c>
      <c r="J240" s="29" t="n">
        <v>4792.76972</v>
      </c>
      <c r="K240" s="29" t="n">
        <v>4769.97694</v>
      </c>
      <c r="L240" s="29" t="n">
        <v>4716.33597</v>
      </c>
      <c r="M240" s="29" t="n">
        <v>4718.85043</v>
      </c>
      <c r="N240" s="29" t="n">
        <v>4531.36057</v>
      </c>
      <c r="O240" s="29" t="n">
        <v>4556.93783</v>
      </c>
      <c r="Q240" s="29" t="n">
        <v>4596.74645</v>
      </c>
      <c r="R240" s="29" t="n">
        <v>4644.76411</v>
      </c>
      <c r="S240" s="29" t="n">
        <v>4620.5805</v>
      </c>
      <c r="V240" s="29" t="n">
        <v>4564.10126</v>
      </c>
      <c r="AB240" s="29" t="n">
        <v>4567.82184</v>
      </c>
      <c r="AC240" s="29" t="n">
        <v>4567.33352</v>
      </c>
      <c r="AD240" s="29" t="n">
        <v>0</v>
      </c>
    </row>
    <row r="241" ht="14.25" customHeight="1" s="28">
      <c r="A241" s="29" t="n">
        <v>1777631401</v>
      </c>
      <c r="B241" s="29" t="inlineStr">
        <is>
          <t>XAUUSD</t>
        </is>
      </c>
      <c r="C241" s="29" t="inlineStr">
        <is>
          <t>M15</t>
        </is>
      </c>
      <c r="D241" s="29" t="n">
        <v>4570.49</v>
      </c>
      <c r="E241" s="29" t="n">
        <v>4717.79398</v>
      </c>
      <c r="F241" s="29" t="n">
        <v>4695.2428</v>
      </c>
      <c r="G241" s="29" t="n">
        <v>4518.59282</v>
      </c>
      <c r="H241" s="29" t="n">
        <v>4596.05595</v>
      </c>
      <c r="I241" s="29" t="n">
        <v>4755.40355</v>
      </c>
      <c r="J241" s="29" t="n">
        <v>4792.76972</v>
      </c>
      <c r="K241" s="29" t="n">
        <v>4769.97694</v>
      </c>
      <c r="L241" s="29" t="n">
        <v>4716.33597</v>
      </c>
      <c r="M241" s="29" t="n">
        <v>4718.85043</v>
      </c>
      <c r="N241" s="29" t="n">
        <v>4531.36057</v>
      </c>
      <c r="O241" s="29" t="n">
        <v>4556.93783</v>
      </c>
      <c r="Q241" s="29" t="n">
        <v>4596.94889</v>
      </c>
      <c r="R241" s="29" t="n">
        <v>4644.96656</v>
      </c>
      <c r="S241" s="29" t="n">
        <v>4620.78294</v>
      </c>
      <c r="V241" s="29" t="n">
        <v>4564.3037</v>
      </c>
      <c r="AB241" s="29" t="n">
        <v>4568.91827</v>
      </c>
      <c r="AC241" s="29" t="n">
        <v>4568.12589</v>
      </c>
      <c r="AD241" s="29" t="n">
        <v>0</v>
      </c>
    </row>
    <row r="242" ht="14.25" customHeight="1" s="28">
      <c r="A242" s="29" t="n">
        <v>1777632301</v>
      </c>
      <c r="B242" s="29" t="inlineStr">
        <is>
          <t>XAUUSD</t>
        </is>
      </c>
      <c r="C242" s="29" t="inlineStr">
        <is>
          <t>M15</t>
        </is>
      </c>
      <c r="D242" s="29" t="n">
        <v>4566.67</v>
      </c>
      <c r="E242" s="29" t="n">
        <v>4717.79398</v>
      </c>
      <c r="F242" s="29" t="n">
        <v>4695.2428</v>
      </c>
      <c r="G242" s="29" t="n">
        <v>4518.59282</v>
      </c>
      <c r="H242" s="29" t="n">
        <v>4596.05595</v>
      </c>
      <c r="I242" s="29" t="n">
        <v>4755.40355</v>
      </c>
      <c r="J242" s="29" t="n">
        <v>4792.76972</v>
      </c>
      <c r="K242" s="29" t="n">
        <v>4769.97694</v>
      </c>
      <c r="L242" s="29" t="n">
        <v>4716.33597</v>
      </c>
      <c r="M242" s="29" t="n">
        <v>4718.85043</v>
      </c>
      <c r="N242" s="29" t="n">
        <v>4531.36057</v>
      </c>
      <c r="O242" s="29" t="n">
        <v>4556.93783</v>
      </c>
      <c r="Q242" s="29" t="n">
        <v>4597.15134</v>
      </c>
      <c r="R242" s="29" t="n">
        <v>4645.169</v>
      </c>
      <c r="S242" s="29" t="n">
        <v>4620.98539</v>
      </c>
      <c r="V242" s="29" t="n">
        <v>4564.50615</v>
      </c>
      <c r="AB242" s="29" t="n">
        <v>4570.29255</v>
      </c>
      <c r="AC242" s="29" t="n">
        <v>4569.20922</v>
      </c>
      <c r="AD242" s="29" t="n">
        <v>0</v>
      </c>
    </row>
    <row r="243" ht="14.25" customHeight="1" s="28">
      <c r="A243" s="29" t="n">
        <v>1777633201</v>
      </c>
      <c r="B243" s="29" t="inlineStr">
        <is>
          <t>XAUUSD</t>
        </is>
      </c>
      <c r="C243" s="29" t="inlineStr">
        <is>
          <t>M15</t>
        </is>
      </c>
      <c r="D243" s="29" t="n">
        <v>4565.94</v>
      </c>
      <c r="E243" s="29" t="n">
        <v>4717.79398</v>
      </c>
      <c r="F243" s="29" t="n">
        <v>4695.2428</v>
      </c>
      <c r="G243" s="29" t="n">
        <v>4518.59282</v>
      </c>
      <c r="H243" s="29" t="n">
        <v>4596.05595</v>
      </c>
      <c r="I243" s="29" t="n">
        <v>4755.40355</v>
      </c>
      <c r="J243" s="29" t="n">
        <v>4792.76972</v>
      </c>
      <c r="K243" s="29" t="n">
        <v>4769.97694</v>
      </c>
      <c r="L243" s="29" t="n">
        <v>4716.33597</v>
      </c>
      <c r="M243" s="29" t="n">
        <v>4718.85043</v>
      </c>
      <c r="N243" s="29" t="n">
        <v>4531.36057</v>
      </c>
      <c r="O243" s="29" t="n">
        <v>4556.93783</v>
      </c>
      <c r="Q243" s="29" t="n">
        <v>4597.35378</v>
      </c>
      <c r="R243" s="29" t="n">
        <v>4645.37145</v>
      </c>
      <c r="S243" s="29" t="n">
        <v>4621.18784</v>
      </c>
      <c r="V243" s="29" t="n">
        <v>4564.70859</v>
      </c>
      <c r="AB243" s="29" t="n">
        <v>4572.03909</v>
      </c>
      <c r="AC243" s="29" t="n">
        <v>4570.62416</v>
      </c>
      <c r="AD243" s="29" t="n">
        <v>0</v>
      </c>
    </row>
    <row r="244" ht="14.25" customHeight="1" s="28">
      <c r="A244" s="29" t="n">
        <v>1777634101</v>
      </c>
      <c r="B244" s="29" t="inlineStr">
        <is>
          <t>XAUUSD</t>
        </is>
      </c>
      <c r="C244" s="29" t="inlineStr">
        <is>
          <t>M15</t>
        </is>
      </c>
      <c r="D244" s="29" t="n">
        <v>4572.03</v>
      </c>
      <c r="E244" s="29" t="n">
        <v>4717.79398</v>
      </c>
      <c r="F244" s="29" t="n">
        <v>4695.2428</v>
      </c>
      <c r="G244" s="29" t="n">
        <v>4518.59282</v>
      </c>
      <c r="H244" s="29" t="n">
        <v>4596.05595</v>
      </c>
      <c r="I244" s="29" t="n">
        <v>4755.40355</v>
      </c>
      <c r="J244" s="29" t="n">
        <v>4792.76972</v>
      </c>
      <c r="K244" s="29" t="n">
        <v>4769.97694</v>
      </c>
      <c r="L244" s="29" t="n">
        <v>4716.33597</v>
      </c>
      <c r="M244" s="29" t="n">
        <v>4718.85043</v>
      </c>
      <c r="N244" s="29" t="n">
        <v>4531.36057</v>
      </c>
      <c r="O244" s="29" t="n">
        <v>4556.93783</v>
      </c>
      <c r="Q244" s="29" t="n">
        <v>4597.55623</v>
      </c>
      <c r="R244" s="29" t="n">
        <v>4645.57389</v>
      </c>
      <c r="S244" s="29" t="n">
        <v>4621.39028</v>
      </c>
      <c r="V244" s="29" t="n">
        <v>4564.91104</v>
      </c>
      <c r="AB244" s="29" t="n">
        <v>4574.19344</v>
      </c>
      <c r="AC244" s="29" t="n">
        <v>4572.4088</v>
      </c>
      <c r="AD244" s="29" t="n">
        <v>0</v>
      </c>
    </row>
    <row r="245" ht="14.25" customHeight="1" s="28">
      <c r="A245" s="29" t="n">
        <v>1777635001</v>
      </c>
      <c r="B245" s="29" t="inlineStr">
        <is>
          <t>XAUUSD</t>
        </is>
      </c>
      <c r="C245" s="29" t="inlineStr">
        <is>
          <t>M15</t>
        </is>
      </c>
      <c r="D245" s="29" t="n">
        <v>4575.75</v>
      </c>
      <c r="E245" s="29" t="n">
        <v>4717.79398</v>
      </c>
      <c r="F245" s="29" t="n">
        <v>4695.2428</v>
      </c>
      <c r="G245" s="29" t="n">
        <v>4518.59282</v>
      </c>
      <c r="H245" s="29" t="n">
        <v>4596.05595</v>
      </c>
      <c r="I245" s="29" t="n">
        <v>4755.40355</v>
      </c>
      <c r="J245" s="29" t="n">
        <v>4792.76972</v>
      </c>
      <c r="K245" s="29" t="n">
        <v>4769.97694</v>
      </c>
      <c r="L245" s="29" t="n">
        <v>4716.33597</v>
      </c>
      <c r="M245" s="29" t="n">
        <v>4718.85043</v>
      </c>
      <c r="N245" s="29" t="n">
        <v>4531.36057</v>
      </c>
      <c r="O245" s="29" t="n">
        <v>4556.93783</v>
      </c>
      <c r="Q245" s="29" t="n">
        <v>4597.75868</v>
      </c>
      <c r="R245" s="29" t="n">
        <v>4645.77634</v>
      </c>
      <c r="S245" s="29" t="n">
        <v>4621.59273</v>
      </c>
      <c r="V245" s="29" t="n">
        <v>4565.11348</v>
      </c>
      <c r="AB245" s="29" t="n">
        <v>4576.61592</v>
      </c>
      <c r="AC245" s="29" t="n">
        <v>4574.51236</v>
      </c>
      <c r="AD245" s="29" t="n">
        <v>0</v>
      </c>
    </row>
    <row r="246" ht="14.25" customHeight="1" s="28">
      <c r="A246" s="29" t="n">
        <v>1777635901</v>
      </c>
      <c r="B246" s="29" t="inlineStr">
        <is>
          <t>XAUUSD</t>
        </is>
      </c>
      <c r="C246" s="29" t="inlineStr">
        <is>
          <t>M15</t>
        </is>
      </c>
      <c r="D246" s="29" t="n">
        <v>4578.84</v>
      </c>
      <c r="E246" s="29" t="n">
        <v>4717.79398</v>
      </c>
      <c r="F246" s="29" t="n">
        <v>4695.2428</v>
      </c>
      <c r="G246" s="29" t="n">
        <v>4518.59282</v>
      </c>
      <c r="H246" s="29" t="n">
        <v>4596.05595</v>
      </c>
      <c r="I246" s="29" t="n">
        <v>4755.40355</v>
      </c>
      <c r="J246" s="29" t="n">
        <v>4792.76972</v>
      </c>
      <c r="K246" s="29" t="n">
        <v>4769.97694</v>
      </c>
      <c r="L246" s="29" t="n">
        <v>4716.33597</v>
      </c>
      <c r="M246" s="29" t="n">
        <v>4718.85043</v>
      </c>
      <c r="N246" s="29" t="n">
        <v>4531.36057</v>
      </c>
      <c r="O246" s="29" t="n">
        <v>4556.93783</v>
      </c>
      <c r="Q246" s="29" t="n">
        <v>4597.96112</v>
      </c>
      <c r="R246" s="29" t="n">
        <v>4645.97879</v>
      </c>
      <c r="S246" s="29" t="n">
        <v>4621.79517</v>
      </c>
      <c r="V246" s="29" t="n">
        <v>4565.31593</v>
      </c>
      <c r="AB246" s="29" t="n">
        <v>4579.29706</v>
      </c>
      <c r="AC246" s="29" t="n">
        <v>4576.90471</v>
      </c>
      <c r="AD246" s="29" t="n">
        <v>0</v>
      </c>
    </row>
    <row r="247" ht="14.25" customHeight="1" s="28">
      <c r="A247" s="29" t="n">
        <v>1777636801</v>
      </c>
      <c r="B247" s="29" t="inlineStr">
        <is>
          <t>XAUUSD</t>
        </is>
      </c>
      <c r="C247" s="29" t="inlineStr">
        <is>
          <t>M15</t>
        </is>
      </c>
      <c r="D247" s="29" t="n">
        <v>4584.86</v>
      </c>
      <c r="E247" s="29" t="n">
        <v>4717.79398</v>
      </c>
      <c r="F247" s="29" t="n">
        <v>4695.2428</v>
      </c>
      <c r="G247" s="29" t="n">
        <v>4518.59282</v>
      </c>
      <c r="H247" s="29" t="n">
        <v>4596.05595</v>
      </c>
      <c r="I247" s="29" t="n">
        <v>4755.40355</v>
      </c>
      <c r="J247" s="29" t="n">
        <v>4792.76972</v>
      </c>
      <c r="K247" s="29" t="n">
        <v>4769.97694</v>
      </c>
      <c r="L247" s="29" t="n">
        <v>4716.33597</v>
      </c>
      <c r="M247" s="29" t="n">
        <v>4718.85043</v>
      </c>
      <c r="N247" s="29" t="n">
        <v>4531.36057</v>
      </c>
      <c r="O247" s="29" t="n">
        <v>4556.93783</v>
      </c>
      <c r="Q247" s="29" t="n">
        <v>4598.16357</v>
      </c>
      <c r="R247" s="29" t="n">
        <v>4646.18123</v>
      </c>
      <c r="S247" s="29" t="n">
        <v>4621.99762</v>
      </c>
      <c r="V247" s="29" t="n">
        <v>4565.51837</v>
      </c>
      <c r="AB247" s="29" t="n">
        <v>4582.33157</v>
      </c>
      <c r="AC247" s="29" t="n">
        <v>4579.61814</v>
      </c>
      <c r="AD247" s="29" t="n">
        <v>0</v>
      </c>
    </row>
    <row r="248" ht="14.25" customHeight="1" s="28">
      <c r="A248" s="29" t="n">
        <v>1777637701</v>
      </c>
      <c r="B248" s="29" t="inlineStr">
        <is>
          <t>XAUUSD</t>
        </is>
      </c>
      <c r="C248" s="29" t="inlineStr">
        <is>
          <t>M15</t>
        </is>
      </c>
      <c r="D248" s="29" t="n">
        <v>4602.95</v>
      </c>
      <c r="E248" s="29" t="n">
        <v>4717.79398</v>
      </c>
      <c r="F248" s="29" t="n">
        <v>4695.2428</v>
      </c>
      <c r="G248" s="29" t="n">
        <v>4518.59282</v>
      </c>
      <c r="H248" s="29" t="n">
        <v>4596.05595</v>
      </c>
      <c r="I248" s="29" t="n">
        <v>4755.40355</v>
      </c>
      <c r="J248" s="29" t="n">
        <v>4792.76972</v>
      </c>
      <c r="K248" s="29" t="n">
        <v>4769.97694</v>
      </c>
      <c r="L248" s="29" t="n">
        <v>4716.33597</v>
      </c>
      <c r="M248" s="29" t="n">
        <v>4718.85043</v>
      </c>
      <c r="N248" s="29" t="n">
        <v>4531.36057</v>
      </c>
      <c r="O248" s="29" t="n">
        <v>4556.93783</v>
      </c>
      <c r="Q248" s="29" t="n">
        <v>4598.36601</v>
      </c>
      <c r="R248" s="29" t="n">
        <v>4646.38368</v>
      </c>
      <c r="S248" s="29" t="n">
        <v>4622.20006</v>
      </c>
      <c r="V248" s="29" t="n">
        <v>4565.72082</v>
      </c>
      <c r="AB248" s="29" t="n">
        <v>4585.81697</v>
      </c>
      <c r="AC248" s="29" t="n">
        <v>4582.71755</v>
      </c>
      <c r="AD248" s="29" t="n">
        <v>0</v>
      </c>
    </row>
    <row r="249" ht="14.25" customHeight="1" s="28">
      <c r="A249" s="29" t="n">
        <v>1777638601</v>
      </c>
      <c r="B249" s="29" t="inlineStr">
        <is>
          <t>XAUUSD</t>
        </is>
      </c>
      <c r="C249" s="29" t="inlineStr">
        <is>
          <t>M15</t>
        </is>
      </c>
      <c r="D249" s="29" t="n">
        <v>4591.95</v>
      </c>
      <c r="E249" s="29" t="n">
        <v>4717.79398</v>
      </c>
      <c r="F249" s="29" t="n">
        <v>4695.2428</v>
      </c>
      <c r="G249" s="29" t="n">
        <v>4518.59282</v>
      </c>
      <c r="H249" s="29" t="n">
        <v>4596.05595</v>
      </c>
      <c r="I249" s="29" t="n">
        <v>4755.40355</v>
      </c>
      <c r="J249" s="29" t="n">
        <v>4792.76972</v>
      </c>
      <c r="K249" s="29" t="n">
        <v>4769.97694</v>
      </c>
      <c r="L249" s="29" t="n">
        <v>4716.33597</v>
      </c>
      <c r="M249" s="29" t="n">
        <v>4718.85043</v>
      </c>
      <c r="N249" s="29" t="n">
        <v>4531.36057</v>
      </c>
      <c r="O249" s="29" t="n">
        <v>4556.93783</v>
      </c>
      <c r="Q249" s="29" t="n">
        <v>4598.56846</v>
      </c>
      <c r="R249" s="29" t="n">
        <v>4646.58612</v>
      </c>
      <c r="S249" s="29" t="n">
        <v>4622.40251</v>
      </c>
      <c r="V249" s="29" t="n">
        <v>4565.92327</v>
      </c>
      <c r="AB249" s="29" t="n">
        <v>4589.55893</v>
      </c>
      <c r="AC249" s="29" t="n">
        <v>4586.13824</v>
      </c>
      <c r="AD249" s="29" t="n">
        <v>0</v>
      </c>
    </row>
    <row r="250" ht="14.25" customHeight="1" s="28">
      <c r="A250" s="29" t="n">
        <v>1777639501</v>
      </c>
      <c r="B250" s="29" t="inlineStr">
        <is>
          <t>XAUUSD</t>
        </is>
      </c>
      <c r="C250" s="29" t="inlineStr">
        <is>
          <t>M15</t>
        </is>
      </c>
      <c r="D250" s="29" t="n">
        <v>4591.18</v>
      </c>
      <c r="E250" s="29" t="n">
        <v>4717.79398</v>
      </c>
      <c r="F250" s="29" t="n">
        <v>4695.2428</v>
      </c>
      <c r="G250" s="29" t="n">
        <v>4518.59282</v>
      </c>
      <c r="H250" s="29" t="n">
        <v>4596.05595</v>
      </c>
      <c r="I250" s="29" t="n">
        <v>4755.40355</v>
      </c>
      <c r="J250" s="29" t="n">
        <v>4792.76972</v>
      </c>
      <c r="K250" s="29" t="n">
        <v>4769.97694</v>
      </c>
      <c r="L250" s="29" t="n">
        <v>4716.33597</v>
      </c>
      <c r="M250" s="29" t="n">
        <v>4718.85043</v>
      </c>
      <c r="N250" s="29" t="n">
        <v>4531.36057</v>
      </c>
      <c r="O250" s="29" t="n">
        <v>4556.93783</v>
      </c>
      <c r="Q250" s="29" t="n">
        <v>4598.7709</v>
      </c>
      <c r="R250" s="29" t="n">
        <v>4646.78857</v>
      </c>
      <c r="S250" s="29" t="n">
        <v>4622.60496</v>
      </c>
      <c r="V250" s="29" t="n">
        <v>4566.12571</v>
      </c>
      <c r="AB250" s="29" t="n">
        <v>4594.16412</v>
      </c>
      <c r="AC250" s="29" t="n">
        <v>4590.15118</v>
      </c>
      <c r="AD250" s="29" t="n">
        <v>0</v>
      </c>
    </row>
    <row r="251" ht="14.25" customHeight="1" s="28">
      <c r="A251" s="29" t="n">
        <v>1777640401</v>
      </c>
      <c r="B251" s="29" t="inlineStr">
        <is>
          <t>XAUUSD</t>
        </is>
      </c>
      <c r="C251" s="29" t="inlineStr">
        <is>
          <t>M15</t>
        </is>
      </c>
      <c r="D251" s="29" t="n">
        <v>4591.32</v>
      </c>
      <c r="E251" s="29" t="n">
        <v>4717.79398</v>
      </c>
      <c r="F251" s="29" t="n">
        <v>4695.2428</v>
      </c>
      <c r="G251" s="29" t="n">
        <v>4518.59282</v>
      </c>
      <c r="H251" s="29" t="n">
        <v>4596.05595</v>
      </c>
      <c r="I251" s="29" t="n">
        <v>4755.40355</v>
      </c>
      <c r="J251" s="29" t="n">
        <v>4792.76972</v>
      </c>
      <c r="K251" s="29" t="n">
        <v>4769.97694</v>
      </c>
      <c r="L251" s="29" t="n">
        <v>4716.33597</v>
      </c>
      <c r="M251" s="29" t="n">
        <v>4718.85043</v>
      </c>
      <c r="N251" s="29" t="n">
        <v>4531.36057</v>
      </c>
      <c r="O251" s="29" t="n">
        <v>4556.93783</v>
      </c>
      <c r="Q251" s="29" t="n">
        <v>4598.97335</v>
      </c>
      <c r="R251" s="29" t="n">
        <v>4646.99101</v>
      </c>
      <c r="S251" s="29" t="n">
        <v>4622.8074</v>
      </c>
      <c r="V251" s="29" t="n">
        <v>4566.32816</v>
      </c>
      <c r="AB251" s="29" t="n">
        <v>4599.89016</v>
      </c>
      <c r="AC251" s="29" t="n">
        <v>4595.02067</v>
      </c>
      <c r="AD251" s="29" t="n">
        <v>0</v>
      </c>
    </row>
    <row r="252" ht="14.25" customHeight="1" s="28">
      <c r="A252" s="29" t="n">
        <v>1777641301</v>
      </c>
      <c r="B252" s="29" t="inlineStr">
        <is>
          <t>XAUUSD</t>
        </is>
      </c>
      <c r="C252" s="29" t="inlineStr">
        <is>
          <t>M15</t>
        </is>
      </c>
      <c r="D252" s="29" t="n">
        <v>4589.2</v>
      </c>
      <c r="E252" s="29" t="n">
        <v>4717.79398</v>
      </c>
      <c r="F252" s="29" t="n">
        <v>4695.2428</v>
      </c>
      <c r="G252" s="29" t="n">
        <v>4518.59282</v>
      </c>
      <c r="H252" s="29" t="n">
        <v>4596.05595</v>
      </c>
      <c r="I252" s="29" t="n">
        <v>4755.40355</v>
      </c>
      <c r="J252" s="29" t="n">
        <v>4792.76972</v>
      </c>
      <c r="K252" s="29" t="n">
        <v>4769.97694</v>
      </c>
      <c r="L252" s="29" t="n">
        <v>4716.33597</v>
      </c>
      <c r="M252" s="29" t="n">
        <v>4718.85043</v>
      </c>
      <c r="N252" s="29" t="n">
        <v>4531.36057</v>
      </c>
      <c r="O252" s="29" t="n">
        <v>4556.93783</v>
      </c>
      <c r="Q252" s="29" t="n">
        <v>4599.1758</v>
      </c>
      <c r="R252" s="29" t="n">
        <v>4647.19346</v>
      </c>
      <c r="S252" s="29" t="n">
        <v>4623.00985</v>
      </c>
      <c r="V252" s="29" t="n">
        <v>4566.5306</v>
      </c>
      <c r="AB252" s="29" t="n">
        <v>4606.79485</v>
      </c>
      <c r="AC252" s="29" t="n">
        <v>4600.90776</v>
      </c>
      <c r="AD252" s="29" t="n">
        <v>0</v>
      </c>
    </row>
    <row r="253" ht="14.25" customHeight="1" s="28">
      <c r="A253" s="29" t="n">
        <v>1777642201</v>
      </c>
      <c r="B253" s="29" t="inlineStr">
        <is>
          <t>XAUUSD</t>
        </is>
      </c>
      <c r="C253" s="29" t="inlineStr">
        <is>
          <t>M15</t>
        </is>
      </c>
      <c r="D253" s="29" t="n">
        <v>4608.07</v>
      </c>
      <c r="E253" s="29" t="n">
        <v>4717.79398</v>
      </c>
      <c r="F253" s="29" t="n">
        <v>4695.2428</v>
      </c>
      <c r="G253" s="29" t="n">
        <v>4518.59282</v>
      </c>
      <c r="H253" s="29" t="n">
        <v>4596.05595</v>
      </c>
      <c r="I253" s="29" t="n">
        <v>4755.40355</v>
      </c>
      <c r="J253" s="29" t="n">
        <v>4792.76972</v>
      </c>
      <c r="K253" s="29" t="n">
        <v>4769.97694</v>
      </c>
      <c r="L253" s="29" t="n">
        <v>4716.33597</v>
      </c>
      <c r="M253" s="29" t="n">
        <v>4718.85043</v>
      </c>
      <c r="N253" s="29" t="n">
        <v>4531.36057</v>
      </c>
      <c r="O253" s="29" t="n">
        <v>4556.93783</v>
      </c>
      <c r="Q253" s="29" t="n">
        <v>4599.37824</v>
      </c>
      <c r="R253" s="29" t="n">
        <v>4647.39591</v>
      </c>
      <c r="S253" s="29" t="n">
        <v>4623.21229</v>
      </c>
      <c r="V253" s="29" t="n">
        <v>4566.73305</v>
      </c>
      <c r="AB253" s="29" t="n">
        <v>4614.75087</v>
      </c>
      <c r="AC253" s="29" t="n">
        <v>4607.82932</v>
      </c>
      <c r="AD253" s="29" t="n">
        <v>0</v>
      </c>
    </row>
    <row r="254" ht="14.25" customHeight="1" s="28">
      <c r="A254" s="29" t="n">
        <v>1777643101</v>
      </c>
      <c r="B254" s="29" t="inlineStr">
        <is>
          <t>XAUUSD</t>
        </is>
      </c>
      <c r="C254" s="29" t="inlineStr">
        <is>
          <t>M15</t>
        </is>
      </c>
      <c r="D254" s="29" t="n">
        <v>4625.7</v>
      </c>
      <c r="E254" s="29" t="n">
        <v>4717.79398</v>
      </c>
      <c r="F254" s="29" t="n">
        <v>4695.2428</v>
      </c>
      <c r="G254" s="29" t="n">
        <v>4518.59282</v>
      </c>
      <c r="H254" s="29" t="n">
        <v>4596.05595</v>
      </c>
      <c r="I254" s="29" t="n">
        <v>4755.40355</v>
      </c>
      <c r="J254" s="29" t="n">
        <v>4792.76972</v>
      </c>
      <c r="K254" s="29" t="n">
        <v>4769.97694</v>
      </c>
      <c r="L254" s="29" t="n">
        <v>4716.33597</v>
      </c>
      <c r="M254" s="29" t="n">
        <v>4718.85043</v>
      </c>
      <c r="N254" s="29" t="n">
        <v>4531.36057</v>
      </c>
      <c r="O254" s="29" t="n">
        <v>4556.93783</v>
      </c>
      <c r="Q254" s="29" t="n">
        <v>4599.58069</v>
      </c>
      <c r="R254" s="29" t="n">
        <v>4647.59835</v>
      </c>
      <c r="S254" s="29" t="n">
        <v>4623.41474</v>
      </c>
      <c r="V254" s="29" t="n">
        <v>4566.93549</v>
      </c>
      <c r="AB254" s="29" t="n">
        <v>4622.81406</v>
      </c>
      <c r="AC254" s="29" t="n">
        <v>4615.32169</v>
      </c>
      <c r="AD254" s="29" t="n">
        <v>0</v>
      </c>
    </row>
    <row r="255" ht="14.25" customHeight="1" s="28">
      <c r="A255" s="29" t="n">
        <v>1777644001</v>
      </c>
      <c r="B255" s="29" t="inlineStr">
        <is>
          <t>XAUUSD</t>
        </is>
      </c>
      <c r="C255" s="29" t="inlineStr">
        <is>
          <t>M15</t>
        </is>
      </c>
      <c r="D255" s="29" t="n">
        <v>4656.06</v>
      </c>
      <c r="E255" s="29" t="n">
        <v>4717.79398</v>
      </c>
      <c r="F255" s="29" t="n">
        <v>4695.2428</v>
      </c>
      <c r="G255" s="29" t="n">
        <v>4518.59282</v>
      </c>
      <c r="H255" s="29" t="n">
        <v>4596.05595</v>
      </c>
      <c r="I255" s="29" t="n">
        <v>4755.40355</v>
      </c>
      <c r="J255" s="29" t="n">
        <v>4792.76972</v>
      </c>
      <c r="K255" s="29" t="n">
        <v>4769.97694</v>
      </c>
      <c r="L255" s="29" t="n">
        <v>4716.33597</v>
      </c>
      <c r="M255" s="29" t="n">
        <v>4718.85043</v>
      </c>
      <c r="N255" s="29" t="n">
        <v>4531.36057</v>
      </c>
      <c r="O255" s="29" t="n">
        <v>4556.93783</v>
      </c>
      <c r="Q255" s="29" t="n">
        <v>4599.78313</v>
      </c>
      <c r="R255" s="29" t="n">
        <v>4647.8008</v>
      </c>
      <c r="S255" s="29" t="n">
        <v>4623.61718</v>
      </c>
      <c r="V255" s="29" t="n">
        <v>4567.13794</v>
      </c>
      <c r="AB255" s="29" t="n">
        <v>4630.01888</v>
      </c>
      <c r="AC255" s="29" t="n">
        <v>4622.67028</v>
      </c>
      <c r="AD255" s="29" t="n">
        <v>0</v>
      </c>
    </row>
    <row r="256" ht="14.25" customHeight="1" s="28">
      <c r="A256" s="29" t="n">
        <v>1777644901</v>
      </c>
      <c r="B256" s="29" t="inlineStr">
        <is>
          <t>XAUUSD</t>
        </is>
      </c>
      <c r="C256" s="29" t="inlineStr">
        <is>
          <t>M15</t>
        </is>
      </c>
      <c r="D256" s="29" t="n">
        <v>4644.67</v>
      </c>
      <c r="E256" s="29" t="n">
        <v>4717.79398</v>
      </c>
      <c r="F256" s="29" t="n">
        <v>4695.2428</v>
      </c>
      <c r="G256" s="29" t="n">
        <v>4518.59282</v>
      </c>
      <c r="H256" s="29" t="n">
        <v>4596.05595</v>
      </c>
      <c r="I256" s="29" t="n">
        <v>4755.40355</v>
      </c>
      <c r="J256" s="29" t="n">
        <v>4792.76972</v>
      </c>
      <c r="K256" s="29" t="n">
        <v>4769.97694</v>
      </c>
      <c r="L256" s="29" t="n">
        <v>4716.33597</v>
      </c>
      <c r="M256" s="29" t="n">
        <v>4718.85043</v>
      </c>
      <c r="N256" s="29" t="n">
        <v>4531.36057</v>
      </c>
      <c r="O256" s="29" t="n">
        <v>4556.93783</v>
      </c>
      <c r="Q256" s="29" t="n">
        <v>4599.98558</v>
      </c>
      <c r="R256" s="29" t="n">
        <v>4648.00324</v>
      </c>
      <c r="S256" s="29" t="n">
        <v>4623.81963</v>
      </c>
      <c r="V256" s="29" t="n">
        <v>4567.34039</v>
      </c>
      <c r="Z256" s="29" t="n">
        <v>4660.32</v>
      </c>
      <c r="AB256" s="29" t="n">
        <v>4635.15975</v>
      </c>
      <c r="AC256" s="29" t="n">
        <v>4628.91501</v>
      </c>
      <c r="AD256" s="29" t="n">
        <v>0</v>
      </c>
    </row>
    <row r="257" ht="14.25" customHeight="1" s="28">
      <c r="A257" s="29" t="n">
        <v>1777645801</v>
      </c>
      <c r="B257" s="29" t="inlineStr">
        <is>
          <t>XAUUSD</t>
        </is>
      </c>
      <c r="C257" s="29" t="inlineStr">
        <is>
          <t>M15</t>
        </is>
      </c>
      <c r="D257" s="29" t="n">
        <v>4633.23</v>
      </c>
      <c r="E257" s="29" t="n">
        <v>4717.79398</v>
      </c>
      <c r="F257" s="29" t="n">
        <v>4695.2428</v>
      </c>
      <c r="G257" s="29" t="n">
        <v>4518.59282</v>
      </c>
      <c r="H257" s="29" t="n">
        <v>4596.05595</v>
      </c>
      <c r="I257" s="29" t="n">
        <v>4755.40355</v>
      </c>
      <c r="J257" s="29" t="n">
        <v>4792.76972</v>
      </c>
      <c r="K257" s="29" t="n">
        <v>4769.97694</v>
      </c>
      <c r="L257" s="29" t="n">
        <v>4716.33597</v>
      </c>
      <c r="M257" s="29" t="n">
        <v>4718.85043</v>
      </c>
      <c r="N257" s="29" t="n">
        <v>4531.36057</v>
      </c>
      <c r="O257" s="29" t="n">
        <v>4556.93783</v>
      </c>
      <c r="Q257" s="29" t="n">
        <v>4600.18802</v>
      </c>
      <c r="R257" s="29" t="n">
        <v>4648.20569</v>
      </c>
      <c r="S257" s="29" t="n">
        <v>4624.02208</v>
      </c>
      <c r="V257" s="29" t="n">
        <v>4567.54283</v>
      </c>
      <c r="AB257" s="29" t="n">
        <v>4638.49104</v>
      </c>
      <c r="AC257" s="29" t="n">
        <v>4633.70303</v>
      </c>
      <c r="AD257" s="29" t="n">
        <v>0</v>
      </c>
    </row>
    <row r="258" ht="14.25" customHeight="1" s="28">
      <c r="A258" s="29" t="n">
        <v>1777646701</v>
      </c>
      <c r="B258" s="29" t="inlineStr">
        <is>
          <t>XAUUSD</t>
        </is>
      </c>
      <c r="C258" s="29" t="inlineStr">
        <is>
          <t>M15</t>
        </is>
      </c>
      <c r="D258" s="29" t="n">
        <v>4632.21</v>
      </c>
      <c r="E258" s="29" t="n">
        <v>4717.79398</v>
      </c>
      <c r="F258" s="29" t="n">
        <v>4695.2428</v>
      </c>
      <c r="G258" s="29" t="n">
        <v>4518.59282</v>
      </c>
      <c r="H258" s="29" t="n">
        <v>4596.05595</v>
      </c>
      <c r="I258" s="29" t="n">
        <v>4755.40355</v>
      </c>
      <c r="J258" s="29" t="n">
        <v>4792.76972</v>
      </c>
      <c r="K258" s="29" t="n">
        <v>4769.97694</v>
      </c>
      <c r="L258" s="29" t="n">
        <v>4716.33597</v>
      </c>
      <c r="M258" s="29" t="n">
        <v>4718.85043</v>
      </c>
      <c r="N258" s="29" t="n">
        <v>4531.36057</v>
      </c>
      <c r="O258" s="29" t="n">
        <v>4556.93783</v>
      </c>
      <c r="Q258" s="29" t="n">
        <v>4600.39047</v>
      </c>
      <c r="R258" s="29" t="n">
        <v>4648.40813</v>
      </c>
      <c r="S258" s="29" t="n">
        <v>4624.22452</v>
      </c>
      <c r="V258" s="29" t="n">
        <v>4567.74528</v>
      </c>
      <c r="AB258" s="29" t="n">
        <v>4640.51928</v>
      </c>
      <c r="AC258" s="29" t="n">
        <v>4637.11115</v>
      </c>
      <c r="AD258" s="29" t="n">
        <v>0</v>
      </c>
    </row>
    <row r="259" ht="14.25" customHeight="1" s="28">
      <c r="A259" s="29" t="n">
        <v>1777647601</v>
      </c>
      <c r="B259" s="29" t="inlineStr">
        <is>
          <t>XAUUSD</t>
        </is>
      </c>
      <c r="C259" s="29" t="inlineStr">
        <is>
          <t>M15</t>
        </is>
      </c>
      <c r="D259" s="29" t="n">
        <v>4636.58</v>
      </c>
      <c r="E259" s="29" t="n">
        <v>4717.79398</v>
      </c>
      <c r="F259" s="29" t="n">
        <v>4695.2428</v>
      </c>
      <c r="G259" s="29" t="n">
        <v>4518.59282</v>
      </c>
      <c r="H259" s="29" t="n">
        <v>4596.05595</v>
      </c>
      <c r="I259" s="29" t="n">
        <v>4755.40355</v>
      </c>
      <c r="J259" s="29" t="n">
        <v>4792.76972</v>
      </c>
      <c r="K259" s="29" t="n">
        <v>4769.97694</v>
      </c>
      <c r="L259" s="29" t="n">
        <v>4716.33597</v>
      </c>
      <c r="M259" s="29" t="n">
        <v>4718.85043</v>
      </c>
      <c r="N259" s="29" t="n">
        <v>4531.36057</v>
      </c>
      <c r="O259" s="29" t="n">
        <v>4556.93783</v>
      </c>
      <c r="Q259" s="29" t="n">
        <v>4600.59291</v>
      </c>
      <c r="R259" s="29" t="n">
        <v>4648.61058</v>
      </c>
      <c r="S259" s="29" t="n">
        <v>4624.42697</v>
      </c>
      <c r="V259" s="29" t="n">
        <v>4567.94772</v>
      </c>
      <c r="AB259" s="29" t="n">
        <v>4641.58542</v>
      </c>
      <c r="AC259" s="29" t="n">
        <v>4639.34829</v>
      </c>
      <c r="AD259" s="29" t="n">
        <v>0</v>
      </c>
    </row>
    <row r="260" ht="14.25" customHeight="1" s="28">
      <c r="A260" s="29" t="n">
        <v>1777648501</v>
      </c>
      <c r="B260" s="29" t="inlineStr">
        <is>
          <t>XAUUSD</t>
        </is>
      </c>
      <c r="C260" s="29" t="inlineStr">
        <is>
          <t>M15</t>
        </is>
      </c>
      <c r="D260" s="29" t="n">
        <v>4636.46</v>
      </c>
      <c r="E260" s="29" t="n">
        <v>4717.79398</v>
      </c>
      <c r="F260" s="29" t="n">
        <v>4695.2428</v>
      </c>
      <c r="G260" s="29" t="n">
        <v>4518.59282</v>
      </c>
      <c r="H260" s="29" t="n">
        <v>4596.05595</v>
      </c>
      <c r="I260" s="29" t="n">
        <v>4755.40355</v>
      </c>
      <c r="J260" s="29" t="n">
        <v>4792.76972</v>
      </c>
      <c r="K260" s="29" t="n">
        <v>4769.97694</v>
      </c>
      <c r="L260" s="29" t="n">
        <v>4716.33597</v>
      </c>
      <c r="M260" s="29" t="n">
        <v>4718.85043</v>
      </c>
      <c r="N260" s="29" t="n">
        <v>4531.36057</v>
      </c>
      <c r="O260" s="29" t="n">
        <v>4556.93783</v>
      </c>
      <c r="Q260" s="29" t="n">
        <v>4600.79536</v>
      </c>
      <c r="R260" s="29" t="n">
        <v>4648.81302</v>
      </c>
      <c r="S260" s="29" t="n">
        <v>4624.62941</v>
      </c>
      <c r="V260" s="29" t="n">
        <v>4568.15017</v>
      </c>
      <c r="AB260" s="29" t="n">
        <v>4641.91621</v>
      </c>
      <c r="AC260" s="29" t="n">
        <v>4640.63225</v>
      </c>
      <c r="AD260" s="29" t="n">
        <v>0</v>
      </c>
    </row>
    <row r="261" ht="14.25" customHeight="1" s="28">
      <c r="A261" s="29" t="n">
        <v>1777649401</v>
      </c>
      <c r="B261" s="29" t="inlineStr">
        <is>
          <t>XAUUSD</t>
        </is>
      </c>
      <c r="C261" s="29" t="inlineStr">
        <is>
          <t>M15</t>
        </is>
      </c>
      <c r="D261" s="29" t="n">
        <v>4643.6</v>
      </c>
      <c r="E261" s="29" t="n">
        <v>4717.79398</v>
      </c>
      <c r="F261" s="29" t="n">
        <v>4695.2428</v>
      </c>
      <c r="G261" s="29" t="n">
        <v>4518.59282</v>
      </c>
      <c r="H261" s="29" t="n">
        <v>4596.05595</v>
      </c>
      <c r="I261" s="29" t="n">
        <v>4755.40355</v>
      </c>
      <c r="J261" s="29" t="n">
        <v>4792.76972</v>
      </c>
      <c r="K261" s="29" t="n">
        <v>4769.97694</v>
      </c>
      <c r="L261" s="29" t="n">
        <v>4716.33597</v>
      </c>
      <c r="M261" s="29" t="n">
        <v>4718.85043</v>
      </c>
      <c r="N261" s="29" t="n">
        <v>4531.36057</v>
      </c>
      <c r="O261" s="29" t="n">
        <v>4556.93783</v>
      </c>
      <c r="Q261" s="29" t="n">
        <v>4600.99781</v>
      </c>
      <c r="R261" s="29" t="n">
        <v>4649.01547</v>
      </c>
      <c r="S261" s="29" t="n">
        <v>4624.83186</v>
      </c>
      <c r="V261" s="29" t="n">
        <v>4568.35261</v>
      </c>
      <c r="AB261" s="29" t="n">
        <v>4641.80579</v>
      </c>
      <c r="AC261" s="29" t="n">
        <v>4641.21902</v>
      </c>
      <c r="AD261" s="29" t="n">
        <v>0</v>
      </c>
    </row>
    <row r="262" ht="14.25" customHeight="1" s="28">
      <c r="A262" s="29" t="n">
        <v>1777650301</v>
      </c>
      <c r="B262" s="29" t="inlineStr">
        <is>
          <t>XAUUSD</t>
        </is>
      </c>
      <c r="C262" s="29" t="inlineStr">
        <is>
          <t>M15</t>
        </is>
      </c>
      <c r="D262" s="29" t="n">
        <v>4643.3</v>
      </c>
      <c r="E262" s="29" t="n">
        <v>4717.79398</v>
      </c>
      <c r="F262" s="29" t="n">
        <v>4695.2428</v>
      </c>
      <c r="G262" s="29" t="n">
        <v>4518.59282</v>
      </c>
      <c r="H262" s="29" t="n">
        <v>4596.05595</v>
      </c>
      <c r="I262" s="29" t="n">
        <v>4755.40355</v>
      </c>
      <c r="J262" s="29" t="n">
        <v>4792.76972</v>
      </c>
      <c r="K262" s="29" t="n">
        <v>4769.97694</v>
      </c>
      <c r="L262" s="29" t="n">
        <v>4716.33597</v>
      </c>
      <c r="M262" s="29" t="n">
        <v>4718.85043</v>
      </c>
      <c r="N262" s="29" t="n">
        <v>4531.36057</v>
      </c>
      <c r="O262" s="29" t="n">
        <v>4556.93783</v>
      </c>
      <c r="Q262" s="29" t="n">
        <v>4601.20025</v>
      </c>
      <c r="R262" s="29" t="n">
        <v>4649.21792</v>
      </c>
      <c r="S262" s="29" t="n">
        <v>4625.0343</v>
      </c>
      <c r="V262" s="29" t="n">
        <v>4568.55506</v>
      </c>
      <c r="AB262" s="29" t="n">
        <v>4641.25997</v>
      </c>
      <c r="AC262" s="29" t="n">
        <v>4641.23949</v>
      </c>
      <c r="AD262" s="29" t="n">
        <v>0</v>
      </c>
    </row>
    <row r="263" ht="14.25" customHeight="1" s="28">
      <c r="A263" s="29" t="n">
        <v>1777651201</v>
      </c>
      <c r="B263" s="29" t="inlineStr">
        <is>
          <t>XAUUSD</t>
        </is>
      </c>
      <c r="C263" s="29" t="inlineStr">
        <is>
          <t>M15</t>
        </is>
      </c>
      <c r="D263" s="29" t="n">
        <v>4642.75</v>
      </c>
      <c r="E263" s="29" t="n">
        <v>4717.79398</v>
      </c>
      <c r="F263" s="29" t="n">
        <v>4695.2428</v>
      </c>
      <c r="G263" s="29" t="n">
        <v>4518.59282</v>
      </c>
      <c r="H263" s="29" t="n">
        <v>4596.05595</v>
      </c>
      <c r="I263" s="29" t="n">
        <v>4755.40355</v>
      </c>
      <c r="J263" s="29" t="n">
        <v>4792.76972</v>
      </c>
      <c r="K263" s="29" t="n">
        <v>4769.97694</v>
      </c>
      <c r="L263" s="29" t="n">
        <v>4716.33597</v>
      </c>
      <c r="M263" s="29" t="n">
        <v>4718.85043</v>
      </c>
      <c r="N263" s="29" t="n">
        <v>4531.36057</v>
      </c>
      <c r="O263" s="29" t="n">
        <v>4556.93783</v>
      </c>
      <c r="Q263" s="29" t="n">
        <v>4601.4027</v>
      </c>
      <c r="R263" s="29" t="n">
        <v>4649.42036</v>
      </c>
      <c r="S263" s="29" t="n">
        <v>4625.23675</v>
      </c>
      <c r="V263" s="29" t="n">
        <v>4568.75751</v>
      </c>
      <c r="AB263" s="29" t="n">
        <v>4640.41346</v>
      </c>
      <c r="AC263" s="29" t="n">
        <v>4640.82648</v>
      </c>
      <c r="AD263" s="29" t="n">
        <v>1</v>
      </c>
    </row>
    <row r="264" ht="14.25" customHeight="1" s="28">
      <c r="A264" s="29" t="n">
        <v>1777652101</v>
      </c>
      <c r="B264" s="29" t="inlineStr">
        <is>
          <t>XAUUSD</t>
        </is>
      </c>
      <c r="C264" s="29" t="inlineStr">
        <is>
          <t>M15</t>
        </is>
      </c>
      <c r="D264" s="29" t="n">
        <v>4637.96</v>
      </c>
      <c r="E264" s="29" t="n">
        <v>4717.79398</v>
      </c>
      <c r="F264" s="29" t="n">
        <v>4695.2428</v>
      </c>
      <c r="G264" s="29" t="n">
        <v>4518.59282</v>
      </c>
      <c r="H264" s="29" t="n">
        <v>4596.05595</v>
      </c>
      <c r="I264" s="29" t="n">
        <v>4755.40355</v>
      </c>
      <c r="J264" s="29" t="n">
        <v>4792.76972</v>
      </c>
      <c r="K264" s="29" t="n">
        <v>4769.97694</v>
      </c>
      <c r="L264" s="29" t="n">
        <v>4716.33597</v>
      </c>
      <c r="M264" s="29" t="n">
        <v>4718.85043</v>
      </c>
      <c r="N264" s="29" t="n">
        <v>4531.36057</v>
      </c>
      <c r="O264" s="29" t="n">
        <v>4556.93783</v>
      </c>
      <c r="Q264" s="29" t="n">
        <v>4601.60514</v>
      </c>
      <c r="R264" s="29" t="n">
        <v>4649.62281</v>
      </c>
      <c r="S264" s="29" t="n">
        <v>4625.4392</v>
      </c>
      <c r="V264" s="29" t="n">
        <v>4568.95995</v>
      </c>
      <c r="AB264" s="29" t="n">
        <v>4639.30238</v>
      </c>
      <c r="AC264" s="29" t="n">
        <v>4640.06443</v>
      </c>
      <c r="AD264" s="29" t="n">
        <v>0</v>
      </c>
    </row>
    <row r="265" ht="14.25" customHeight="1" s="28">
      <c r="A265" s="29" t="n">
        <v>1777653001</v>
      </c>
      <c r="B265" s="29" t="inlineStr">
        <is>
          <t>XAUUSD</t>
        </is>
      </c>
      <c r="C265" s="29" t="inlineStr">
        <is>
          <t>M15</t>
        </is>
      </c>
      <c r="D265" s="29" t="n">
        <v>4638.86</v>
      </c>
      <c r="E265" s="29" t="n">
        <v>4717.79398</v>
      </c>
      <c r="F265" s="29" t="n">
        <v>4695.2428</v>
      </c>
      <c r="G265" s="29" t="n">
        <v>4518.59282</v>
      </c>
      <c r="H265" s="29" t="n">
        <v>4596.05595</v>
      </c>
      <c r="I265" s="29" t="n">
        <v>4755.40355</v>
      </c>
      <c r="J265" s="29" t="n">
        <v>4792.76972</v>
      </c>
      <c r="K265" s="29" t="n">
        <v>4769.97694</v>
      </c>
      <c r="L265" s="29" t="n">
        <v>4716.33597</v>
      </c>
      <c r="M265" s="29" t="n">
        <v>4718.85043</v>
      </c>
      <c r="N265" s="29" t="n">
        <v>4531.36057</v>
      </c>
      <c r="O265" s="29" t="n">
        <v>4556.93783</v>
      </c>
      <c r="Q265" s="29" t="n">
        <v>4601.80759</v>
      </c>
      <c r="R265" s="29" t="n">
        <v>4649.82525</v>
      </c>
      <c r="S265" s="29" t="n">
        <v>4625.64164</v>
      </c>
      <c r="V265" s="29" t="n">
        <v>4569.1624</v>
      </c>
      <c r="AB265" s="29" t="n">
        <v>4638.02024</v>
      </c>
      <c r="AC265" s="29" t="n">
        <v>4639.04233</v>
      </c>
      <c r="AD265" s="29" t="n">
        <v>0</v>
      </c>
    </row>
    <row r="266" ht="14.25" customHeight="1" s="28">
      <c r="A266" s="29" t="n">
        <v>1777653901</v>
      </c>
      <c r="B266" s="29" t="inlineStr">
        <is>
          <t>XAUUSD</t>
        </is>
      </c>
      <c r="C266" s="29" t="inlineStr">
        <is>
          <t>M15</t>
        </is>
      </c>
      <c r="D266" s="29" t="n">
        <v>4638.72</v>
      </c>
      <c r="E266" s="29" t="n">
        <v>4717.79398</v>
      </c>
      <c r="F266" s="29" t="n">
        <v>4695.2428</v>
      </c>
      <c r="G266" s="29" t="n">
        <v>4518.59282</v>
      </c>
      <c r="H266" s="29" t="n">
        <v>4596.05595</v>
      </c>
      <c r="I266" s="29" t="n">
        <v>4755.40355</v>
      </c>
      <c r="J266" s="29" t="n">
        <v>4792.76972</v>
      </c>
      <c r="K266" s="29" t="n">
        <v>4769.97694</v>
      </c>
      <c r="L266" s="29" t="n">
        <v>4716.33597</v>
      </c>
      <c r="M266" s="29" t="n">
        <v>4718.85043</v>
      </c>
      <c r="N266" s="29" t="n">
        <v>4531.36057</v>
      </c>
      <c r="O266" s="29" t="n">
        <v>4556.93783</v>
      </c>
      <c r="Q266" s="29" t="n">
        <v>4602.01003</v>
      </c>
      <c r="R266" s="29" t="n">
        <v>4650.0277</v>
      </c>
      <c r="S266" s="29" t="n">
        <v>4625.84409</v>
      </c>
      <c r="V266" s="29" t="n">
        <v>4569.36484</v>
      </c>
      <c r="AB266" s="29" t="n">
        <v>4636.50939</v>
      </c>
      <c r="AC266" s="29" t="n">
        <v>4637.77586</v>
      </c>
      <c r="AD266" s="29" t="n">
        <v>0</v>
      </c>
    </row>
    <row r="267" ht="14.25" customHeight="1" s="28">
      <c r="A267" s="29" t="n">
        <v>1777654801</v>
      </c>
      <c r="B267" s="29" t="inlineStr">
        <is>
          <t>XAUUSD</t>
        </is>
      </c>
      <c r="C267" s="29" t="inlineStr">
        <is>
          <t>M15</t>
        </is>
      </c>
      <c r="D267" s="29" t="n">
        <v>4639.73</v>
      </c>
      <c r="E267" s="29" t="n">
        <v>4717.79398</v>
      </c>
      <c r="F267" s="29" t="n">
        <v>4695.2428</v>
      </c>
      <c r="G267" s="29" t="n">
        <v>4518.59282</v>
      </c>
      <c r="H267" s="29" t="n">
        <v>4596.05595</v>
      </c>
      <c r="I267" s="29" t="n">
        <v>4755.40355</v>
      </c>
      <c r="J267" s="29" t="n">
        <v>4792.76972</v>
      </c>
      <c r="K267" s="29" t="n">
        <v>4769.97694</v>
      </c>
      <c r="L267" s="29" t="n">
        <v>4716.33597</v>
      </c>
      <c r="M267" s="29" t="n">
        <v>4718.85043</v>
      </c>
      <c r="N267" s="29" t="n">
        <v>4531.36057</v>
      </c>
      <c r="O267" s="29" t="n">
        <v>4556.93783</v>
      </c>
      <c r="Q267" s="29" t="n">
        <v>4602.21248</v>
      </c>
      <c r="R267" s="29" t="n">
        <v>4650.23014</v>
      </c>
      <c r="S267" s="29" t="n">
        <v>4626.04653</v>
      </c>
      <c r="V267" s="29" t="n">
        <v>4569.56729</v>
      </c>
      <c r="AB267" s="29" t="n">
        <v>4634.714</v>
      </c>
      <c r="AC267" s="29" t="n">
        <v>4636.24493</v>
      </c>
      <c r="AD267" s="29" t="n">
        <v>0</v>
      </c>
    </row>
    <row r="268" ht="14.25" customHeight="1" s="28">
      <c r="A268" s="29" t="n">
        <v>1777655701</v>
      </c>
      <c r="B268" s="29" t="inlineStr">
        <is>
          <t>XAUUSD</t>
        </is>
      </c>
      <c r="C268" s="29" t="inlineStr">
        <is>
          <t>M15</t>
        </is>
      </c>
      <c r="D268" s="29" t="n">
        <v>4631.67</v>
      </c>
      <c r="E268" s="29" t="n">
        <v>4717.79398</v>
      </c>
      <c r="F268" s="29" t="n">
        <v>4695.2428</v>
      </c>
      <c r="G268" s="29" t="n">
        <v>4518.59282</v>
      </c>
      <c r="H268" s="29" t="n">
        <v>4596.05595</v>
      </c>
      <c r="I268" s="29" t="n">
        <v>4755.40355</v>
      </c>
      <c r="J268" s="29" t="n">
        <v>4792.76972</v>
      </c>
      <c r="K268" s="29" t="n">
        <v>4769.97694</v>
      </c>
      <c r="L268" s="29" t="n">
        <v>4716.33597</v>
      </c>
      <c r="M268" s="29" t="n">
        <v>4718.85043</v>
      </c>
      <c r="N268" s="29" t="n">
        <v>4531.36057</v>
      </c>
      <c r="O268" s="29" t="n">
        <v>4556.93783</v>
      </c>
      <c r="Q268" s="29" t="n">
        <v>4602.41493</v>
      </c>
      <c r="R268" s="29" t="n">
        <v>4650.43259</v>
      </c>
      <c r="S268" s="29" t="n">
        <v>4626.24898</v>
      </c>
      <c r="V268" s="29" t="n">
        <v>4569.76973</v>
      </c>
      <c r="AB268" s="29" t="n">
        <v>4632.56488</v>
      </c>
      <c r="AC268" s="29" t="n">
        <v>4634.40491</v>
      </c>
      <c r="AD268" s="29" t="n">
        <v>0</v>
      </c>
    </row>
    <row r="269" ht="14.25" customHeight="1" s="28">
      <c r="A269" s="29" t="n">
        <v>1777656601</v>
      </c>
      <c r="B269" s="29" t="inlineStr">
        <is>
          <t>XAUUSD</t>
        </is>
      </c>
      <c r="C269" s="29" t="inlineStr">
        <is>
          <t>M15</t>
        </is>
      </c>
      <c r="D269" s="29" t="n">
        <v>4628</v>
      </c>
      <c r="E269" s="29" t="n">
        <v>4717.79398</v>
      </c>
      <c r="F269" s="29" t="n">
        <v>4695.2428</v>
      </c>
      <c r="G269" s="29" t="n">
        <v>4518.59282</v>
      </c>
      <c r="H269" s="29" t="n">
        <v>4596.05595</v>
      </c>
      <c r="I269" s="29" t="n">
        <v>4755.40355</v>
      </c>
      <c r="J269" s="29" t="n">
        <v>4792.76972</v>
      </c>
      <c r="K269" s="29" t="n">
        <v>4769.97694</v>
      </c>
      <c r="L269" s="29" t="n">
        <v>4716.33597</v>
      </c>
      <c r="M269" s="29" t="n">
        <v>4718.85043</v>
      </c>
      <c r="N269" s="29" t="n">
        <v>4531.36057</v>
      </c>
      <c r="O269" s="29" t="n">
        <v>4556.93783</v>
      </c>
      <c r="Q269" s="29" t="n">
        <v>4602.61737</v>
      </c>
      <c r="R269" s="29" t="n">
        <v>4650.63504</v>
      </c>
      <c r="S269" s="29" t="n">
        <v>4626.45142</v>
      </c>
      <c r="V269" s="29" t="n">
        <v>4569.97218</v>
      </c>
      <c r="AB269" s="29" t="n">
        <v>4630.30637</v>
      </c>
      <c r="AC269" s="29" t="n">
        <v>4632.35564</v>
      </c>
      <c r="AD269" s="29" t="n">
        <v>0</v>
      </c>
    </row>
    <row r="270" ht="14.25" customHeight="1" s="28">
      <c r="A270" s="29" t="n">
        <v>1777657501</v>
      </c>
      <c r="B270" s="29" t="inlineStr">
        <is>
          <t>XAUUSD</t>
        </is>
      </c>
      <c r="C270" s="29" t="inlineStr">
        <is>
          <t>M15</t>
        </is>
      </c>
      <c r="D270" s="29" t="n">
        <v>4629.43</v>
      </c>
      <c r="E270" s="29" t="n">
        <v>4717.79398</v>
      </c>
      <c r="F270" s="29" t="n">
        <v>4695.2428</v>
      </c>
      <c r="G270" s="29" t="n">
        <v>4518.59282</v>
      </c>
      <c r="H270" s="29" t="n">
        <v>4596.05595</v>
      </c>
      <c r="I270" s="29" t="n">
        <v>4755.40355</v>
      </c>
      <c r="J270" s="29" t="n">
        <v>4792.76972</v>
      </c>
      <c r="K270" s="29" t="n">
        <v>4769.97694</v>
      </c>
      <c r="L270" s="29" t="n">
        <v>4716.33597</v>
      </c>
      <c r="M270" s="29" t="n">
        <v>4718.85043</v>
      </c>
      <c r="N270" s="29" t="n">
        <v>4531.36057</v>
      </c>
      <c r="O270" s="29" t="n">
        <v>4556.93783</v>
      </c>
      <c r="Q270" s="29" t="n">
        <v>4602.81982</v>
      </c>
      <c r="R270" s="29" t="n">
        <v>4650.83748</v>
      </c>
      <c r="S270" s="29" t="n">
        <v>4626.65387</v>
      </c>
      <c r="V270" s="29" t="n">
        <v>4570.17463</v>
      </c>
      <c r="AB270" s="29" t="n">
        <v>4628.09334</v>
      </c>
      <c r="AC270" s="29" t="n">
        <v>4630.22449</v>
      </c>
      <c r="AD270" s="29" t="n">
        <v>0</v>
      </c>
    </row>
    <row r="271" ht="14.25" customHeight="1" s="28">
      <c r="A271" s="29" t="n">
        <v>1777658401</v>
      </c>
      <c r="B271" s="29" t="inlineStr">
        <is>
          <t>XAUUSD</t>
        </is>
      </c>
      <c r="C271" s="29" t="inlineStr">
        <is>
          <t>M15</t>
        </is>
      </c>
      <c r="D271" s="29" t="n">
        <v>4615.72</v>
      </c>
      <c r="E271" s="29" t="n">
        <v>4717.79398</v>
      </c>
      <c r="F271" s="29" t="n">
        <v>4695.2428</v>
      </c>
      <c r="G271" s="29" t="n">
        <v>4518.59282</v>
      </c>
      <c r="H271" s="29" t="n">
        <v>4596.05595</v>
      </c>
      <c r="I271" s="29" t="n">
        <v>4755.40355</v>
      </c>
      <c r="J271" s="29" t="n">
        <v>4792.76972</v>
      </c>
      <c r="K271" s="29" t="n">
        <v>4769.97694</v>
      </c>
      <c r="L271" s="29" t="n">
        <v>4716.33597</v>
      </c>
      <c r="M271" s="29" t="n">
        <v>4718.85043</v>
      </c>
      <c r="N271" s="29" t="n">
        <v>4531.36057</v>
      </c>
      <c r="O271" s="29" t="n">
        <v>4556.93783</v>
      </c>
      <c r="Q271" s="29" t="n">
        <v>4603.02226</v>
      </c>
      <c r="R271" s="29" t="n">
        <v>4651.03993</v>
      </c>
      <c r="S271" s="29" t="n">
        <v>4626.85632</v>
      </c>
      <c r="V271" s="29" t="n">
        <v>4570.37707</v>
      </c>
      <c r="AB271" s="29" t="n">
        <v>4625.93992</v>
      </c>
      <c r="AC271" s="29" t="n">
        <v>4628.08221</v>
      </c>
      <c r="AD271" s="29" t="n">
        <v>0</v>
      </c>
    </row>
    <row r="272" ht="14.25" customHeight="1" s="28">
      <c r="A272" s="29" t="n">
        <v>1777659301</v>
      </c>
      <c r="B272" s="29" t="inlineStr">
        <is>
          <t>XAUUSD</t>
        </is>
      </c>
      <c r="C272" s="29" t="inlineStr">
        <is>
          <t>M15</t>
        </is>
      </c>
      <c r="D272" s="29" t="n">
        <v>4623.48</v>
      </c>
      <c r="E272" s="29" t="n">
        <v>4717.79398</v>
      </c>
      <c r="F272" s="29" t="n">
        <v>4695.2428</v>
      </c>
      <c r="G272" s="29" t="n">
        <v>4518.59282</v>
      </c>
      <c r="H272" s="29" t="n">
        <v>4596.05595</v>
      </c>
      <c r="I272" s="29" t="n">
        <v>4755.40355</v>
      </c>
      <c r="J272" s="29" t="n">
        <v>4792.76972</v>
      </c>
      <c r="K272" s="29" t="n">
        <v>4769.97694</v>
      </c>
      <c r="L272" s="29" t="n">
        <v>4716.33597</v>
      </c>
      <c r="M272" s="29" t="n">
        <v>4718.85043</v>
      </c>
      <c r="N272" s="29" t="n">
        <v>4531.36057</v>
      </c>
      <c r="O272" s="29" t="n">
        <v>4556.93783</v>
      </c>
      <c r="Q272" s="29" t="n">
        <v>4603.22471</v>
      </c>
      <c r="R272" s="29" t="n">
        <v>4651.24237</v>
      </c>
      <c r="S272" s="29" t="n">
        <v>4627.05876</v>
      </c>
      <c r="V272" s="29" t="n">
        <v>4570.57952</v>
      </c>
      <c r="AB272" s="29" t="n">
        <v>4624.1975</v>
      </c>
      <c r="AC272" s="29" t="n">
        <v>4626.13985</v>
      </c>
      <c r="AD272" s="29" t="n">
        <v>0</v>
      </c>
    </row>
    <row r="273" ht="14.25" customHeight="1" s="28">
      <c r="A273" s="29" t="n">
        <v>1777660201</v>
      </c>
      <c r="B273" s="29" t="inlineStr">
        <is>
          <t>XAUUSD</t>
        </is>
      </c>
      <c r="C273" s="29" t="inlineStr">
        <is>
          <t>M15</t>
        </is>
      </c>
      <c r="D273" s="29" t="n">
        <v>4622.32</v>
      </c>
      <c r="E273" s="29" t="n">
        <v>4717.79398</v>
      </c>
      <c r="F273" s="29" t="n">
        <v>4695.2428</v>
      </c>
      <c r="G273" s="29" t="n">
        <v>4518.59282</v>
      </c>
      <c r="H273" s="29" t="n">
        <v>4596.05595</v>
      </c>
      <c r="I273" s="29" t="n">
        <v>4755.40355</v>
      </c>
      <c r="J273" s="29" t="n">
        <v>4792.76972</v>
      </c>
      <c r="K273" s="29" t="n">
        <v>4769.97694</v>
      </c>
      <c r="L273" s="29" t="n">
        <v>4716.33597</v>
      </c>
      <c r="M273" s="29" t="n">
        <v>4718.85043</v>
      </c>
      <c r="N273" s="29" t="n">
        <v>4531.36057</v>
      </c>
      <c r="O273" s="29" t="n">
        <v>4556.93783</v>
      </c>
      <c r="Q273" s="29" t="n">
        <v>4603.42715</v>
      </c>
      <c r="R273" s="29" t="n">
        <v>4651.44482</v>
      </c>
      <c r="S273" s="29" t="n">
        <v>4627.26121</v>
      </c>
      <c r="V273" s="29" t="n">
        <v>4570.78196</v>
      </c>
      <c r="AB273" s="29" t="n">
        <v>4622.58442</v>
      </c>
      <c r="AC273" s="29" t="n">
        <v>4624.36214</v>
      </c>
      <c r="AD273" s="29" t="n">
        <v>0</v>
      </c>
    </row>
    <row r="274" ht="14.25" customHeight="1" s="28">
      <c r="A274" s="29" t="n">
        <v>1777661101</v>
      </c>
      <c r="B274" s="29" t="inlineStr">
        <is>
          <t>XAUUSD</t>
        </is>
      </c>
      <c r="C274" s="29" t="inlineStr">
        <is>
          <t>M15</t>
        </is>
      </c>
      <c r="D274" s="29" t="n">
        <v>4624.35</v>
      </c>
      <c r="E274" s="29" t="n">
        <v>4717.79398</v>
      </c>
      <c r="F274" s="29" t="n">
        <v>4695.2428</v>
      </c>
      <c r="G274" s="29" t="n">
        <v>4518.59282</v>
      </c>
      <c r="H274" s="29" t="n">
        <v>4596.05595</v>
      </c>
      <c r="I274" s="29" t="n">
        <v>4755.40355</v>
      </c>
      <c r="J274" s="29" t="n">
        <v>4792.76972</v>
      </c>
      <c r="K274" s="29" t="n">
        <v>4769.97694</v>
      </c>
      <c r="L274" s="29" t="n">
        <v>4716.33597</v>
      </c>
      <c r="M274" s="29" t="n">
        <v>4718.85043</v>
      </c>
      <c r="N274" s="29" t="n">
        <v>4531.36057</v>
      </c>
      <c r="O274" s="29" t="n">
        <v>4556.93783</v>
      </c>
      <c r="Q274" s="29" t="n">
        <v>4603.6296</v>
      </c>
      <c r="R274" s="29" t="n">
        <v>4651.64726</v>
      </c>
      <c r="S274" s="29" t="n">
        <v>4627.46365</v>
      </c>
      <c r="V274" s="29" t="n">
        <v>4570.98441</v>
      </c>
      <c r="AB274" s="29" t="n">
        <v>4621.02677</v>
      </c>
      <c r="AC274" s="29" t="n">
        <v>4622.69445</v>
      </c>
      <c r="AD274" s="29" t="n">
        <v>0</v>
      </c>
    </row>
    <row r="275" ht="14.25" customHeight="1" s="28">
      <c r="A275" s="29" t="n">
        <v>1777662001</v>
      </c>
      <c r="B275" s="29" t="inlineStr">
        <is>
          <t>XAUUSD</t>
        </is>
      </c>
      <c r="C275" s="29" t="inlineStr">
        <is>
          <t>M15</t>
        </is>
      </c>
      <c r="D275" s="29" t="n">
        <v>4626.3</v>
      </c>
      <c r="E275" s="29" t="n">
        <v>4717.79398</v>
      </c>
      <c r="F275" s="29" t="n">
        <v>4695.2428</v>
      </c>
      <c r="G275" s="29" t="n">
        <v>4518.59282</v>
      </c>
      <c r="H275" s="29" t="n">
        <v>4596.05595</v>
      </c>
      <c r="I275" s="29" t="n">
        <v>4755.40355</v>
      </c>
      <c r="J275" s="29" t="n">
        <v>4792.76972</v>
      </c>
      <c r="K275" s="29" t="n">
        <v>4769.97694</v>
      </c>
      <c r="L275" s="29" t="n">
        <v>4716.33597</v>
      </c>
      <c r="M275" s="29" t="n">
        <v>4718.85043</v>
      </c>
      <c r="N275" s="29" t="n">
        <v>4531.36057</v>
      </c>
      <c r="O275" s="29" t="n">
        <v>4556.93783</v>
      </c>
      <c r="Q275" s="29" t="n">
        <v>4603.83205</v>
      </c>
      <c r="R275" s="29" t="n">
        <v>4651.84971</v>
      </c>
      <c r="S275" s="29" t="n">
        <v>4627.6661</v>
      </c>
      <c r="V275" s="29" t="n">
        <v>4571.18685</v>
      </c>
      <c r="AB275" s="29" t="n">
        <v>4619.38731</v>
      </c>
      <c r="AC275" s="29" t="n">
        <v>4621.04088</v>
      </c>
      <c r="AD275" s="29" t="n">
        <v>0</v>
      </c>
    </row>
    <row r="276" ht="14.25" customHeight="1" s="28">
      <c r="A276" s="29" t="n">
        <v>1777662901</v>
      </c>
      <c r="B276" s="29" t="inlineStr">
        <is>
          <t>XAUUSD</t>
        </is>
      </c>
      <c r="C276" s="29" t="inlineStr">
        <is>
          <t>M15</t>
        </is>
      </c>
      <c r="D276" s="29" t="n">
        <v>4624.4</v>
      </c>
      <c r="E276" s="29" t="n">
        <v>4717.79398</v>
      </c>
      <c r="F276" s="29" t="n">
        <v>4695.2428</v>
      </c>
      <c r="G276" s="29" t="n">
        <v>4518.59282</v>
      </c>
      <c r="H276" s="29" t="n">
        <v>4596.05595</v>
      </c>
      <c r="I276" s="29" t="n">
        <v>4755.40355</v>
      </c>
      <c r="J276" s="29" t="n">
        <v>4792.76972</v>
      </c>
      <c r="K276" s="29" t="n">
        <v>4769.97694</v>
      </c>
      <c r="L276" s="29" t="n">
        <v>4716.33597</v>
      </c>
      <c r="M276" s="29" t="n">
        <v>4718.85043</v>
      </c>
      <c r="N276" s="29" t="n">
        <v>4531.36057</v>
      </c>
      <c r="O276" s="29" t="n">
        <v>4556.93783</v>
      </c>
      <c r="Q276" s="29" t="n">
        <v>4604.03449</v>
      </c>
      <c r="R276" s="29" t="n">
        <v>4652.05216</v>
      </c>
      <c r="S276" s="29" t="n">
        <v>4627.86854</v>
      </c>
      <c r="V276" s="29" t="n">
        <v>4571.3893</v>
      </c>
      <c r="AB276" s="29" t="n">
        <v>4617.61764</v>
      </c>
      <c r="AC276" s="29" t="n">
        <v>4619.32926</v>
      </c>
      <c r="AD276" s="29" t="n">
        <v>0</v>
      </c>
    </row>
    <row r="277" ht="14.25" customHeight="1" s="28">
      <c r="A277" s="29" t="n">
        <v>1777663801</v>
      </c>
      <c r="B277" s="29" t="inlineStr">
        <is>
          <t>XAUUSD</t>
        </is>
      </c>
      <c r="C277" s="29" t="inlineStr">
        <is>
          <t>M15</t>
        </is>
      </c>
      <c r="D277" s="29" t="n">
        <v>4611.78</v>
      </c>
      <c r="E277" s="29" t="n">
        <v>4717.79398</v>
      </c>
      <c r="F277" s="29" t="n">
        <v>4695.2428</v>
      </c>
      <c r="G277" s="29" t="n">
        <v>4518.59282</v>
      </c>
      <c r="H277" s="29" t="n">
        <v>4596.05595</v>
      </c>
      <c r="I277" s="29" t="n">
        <v>4755.40355</v>
      </c>
      <c r="J277" s="29" t="n">
        <v>4792.76972</v>
      </c>
      <c r="K277" s="29" t="n">
        <v>4769.97694</v>
      </c>
      <c r="L277" s="29" t="n">
        <v>4716.33597</v>
      </c>
      <c r="M277" s="29" t="n">
        <v>4718.85043</v>
      </c>
      <c r="N277" s="29" t="n">
        <v>4531.36057</v>
      </c>
      <c r="O277" s="29" t="n">
        <v>4556.93783</v>
      </c>
      <c r="Q277" s="29" t="n">
        <v>4604.23694</v>
      </c>
      <c r="R277" s="29" t="n">
        <v>4652.2546</v>
      </c>
      <c r="S277" s="29" t="n">
        <v>4628.07099</v>
      </c>
      <c r="V277" s="29" t="n">
        <v>4571.59175</v>
      </c>
      <c r="AB277" s="29" t="n">
        <v>4615.85239</v>
      </c>
      <c r="AC277" s="29" t="n">
        <v>4617.59082</v>
      </c>
      <c r="AD277" s="29" t="n">
        <v>0</v>
      </c>
    </row>
    <row r="278" ht="14.25" customHeight="1" s="28">
      <c r="A278" s="29" t="n">
        <v>1777664701</v>
      </c>
      <c r="B278" s="29" t="inlineStr">
        <is>
          <t>XAUUSD</t>
        </is>
      </c>
      <c r="C278" s="29" t="inlineStr">
        <is>
          <t>M15</t>
        </is>
      </c>
      <c r="D278" s="29" t="n">
        <v>4610.06</v>
      </c>
      <c r="E278" s="29" t="n">
        <v>4717.79398</v>
      </c>
      <c r="F278" s="29" t="n">
        <v>4695.2428</v>
      </c>
      <c r="G278" s="29" t="n">
        <v>4518.59282</v>
      </c>
      <c r="H278" s="29" t="n">
        <v>4596.05595</v>
      </c>
      <c r="I278" s="29" t="n">
        <v>4755.40355</v>
      </c>
      <c r="J278" s="29" t="n">
        <v>4792.76972</v>
      </c>
      <c r="K278" s="29" t="n">
        <v>4769.97694</v>
      </c>
      <c r="L278" s="29" t="n">
        <v>4716.33597</v>
      </c>
      <c r="M278" s="29" t="n">
        <v>4718.85043</v>
      </c>
      <c r="N278" s="29" t="n">
        <v>4531.36057</v>
      </c>
      <c r="O278" s="29" t="n">
        <v>4556.93783</v>
      </c>
      <c r="Q278" s="29" t="n">
        <v>4604.43938</v>
      </c>
      <c r="R278" s="29" t="n">
        <v>4652.45705</v>
      </c>
      <c r="S278" s="29" t="n">
        <v>4628.27344</v>
      </c>
      <c r="V278" s="29" t="n">
        <v>4571.79419</v>
      </c>
      <c r="AB278" s="29" t="n">
        <v>4614.60638</v>
      </c>
      <c r="AC278" s="29" t="n">
        <v>4616.0986</v>
      </c>
      <c r="AD278" s="29" t="n">
        <v>0</v>
      </c>
    </row>
    <row r="279" ht="14.25" customHeight="1" s="28">
      <c r="A279" s="29" t="n">
        <v>1777665601</v>
      </c>
      <c r="B279" s="29" t="inlineStr">
        <is>
          <t>XAUUSD</t>
        </is>
      </c>
      <c r="C279" s="29" t="inlineStr">
        <is>
          <t>M15</t>
        </is>
      </c>
      <c r="D279" s="29" t="n">
        <v>4611.41</v>
      </c>
      <c r="E279" s="29" t="n">
        <v>4717.79398</v>
      </c>
      <c r="F279" s="29" t="n">
        <v>4695.2428</v>
      </c>
      <c r="G279" s="29" t="n">
        <v>4518.59282</v>
      </c>
      <c r="H279" s="29" t="n">
        <v>4596.05595</v>
      </c>
      <c r="I279" s="29" t="n">
        <v>4755.40355</v>
      </c>
      <c r="J279" s="29" t="n">
        <v>4792.76972</v>
      </c>
      <c r="K279" s="29" t="n">
        <v>4769.97694</v>
      </c>
      <c r="L279" s="29" t="n">
        <v>4716.33597</v>
      </c>
      <c r="M279" s="29" t="n">
        <v>4718.85043</v>
      </c>
      <c r="N279" s="29" t="n">
        <v>4531.36057</v>
      </c>
      <c r="O279" s="29" t="n">
        <v>4556.93783</v>
      </c>
      <c r="Q279" s="29" t="n">
        <v>4604.64183</v>
      </c>
      <c r="R279" s="29" t="n">
        <v>4652.65949</v>
      </c>
      <c r="S279" s="29" t="n">
        <v>4628.47588</v>
      </c>
      <c r="V279" s="29" t="n">
        <v>4571.99664</v>
      </c>
      <c r="AB279" s="29" t="n">
        <v>4614.05923</v>
      </c>
      <c r="AC279" s="29" t="n">
        <v>4615.07892</v>
      </c>
      <c r="AD279" s="29" t="n">
        <v>0</v>
      </c>
    </row>
    <row r="280" ht="14.25" customHeight="1" s="28">
      <c r="A280" s="29" t="n">
        <v>1777666501</v>
      </c>
      <c r="B280" s="29" t="inlineStr">
        <is>
          <t>XAUUSD</t>
        </is>
      </c>
      <c r="C280" s="29" t="inlineStr">
        <is>
          <t>M15</t>
        </is>
      </c>
      <c r="D280" s="29" t="n">
        <v>4613.3</v>
      </c>
      <c r="E280" s="29" t="n">
        <v>4717.79398</v>
      </c>
      <c r="F280" s="29" t="n">
        <v>4695.2428</v>
      </c>
      <c r="G280" s="29" t="n">
        <v>4518.59282</v>
      </c>
      <c r="H280" s="29" t="n">
        <v>4596.05595</v>
      </c>
      <c r="I280" s="29" t="n">
        <v>4755.40355</v>
      </c>
      <c r="J280" s="29" t="n">
        <v>4792.76972</v>
      </c>
      <c r="K280" s="29" t="n">
        <v>4769.97694</v>
      </c>
      <c r="L280" s="29" t="n">
        <v>4716.33597</v>
      </c>
      <c r="M280" s="29" t="n">
        <v>4718.85043</v>
      </c>
      <c r="N280" s="29" t="n">
        <v>4531.36057</v>
      </c>
      <c r="O280" s="29" t="n">
        <v>4556.93783</v>
      </c>
      <c r="Q280" s="29" t="n">
        <v>4604.84427</v>
      </c>
      <c r="R280" s="29" t="n">
        <v>4652.86194</v>
      </c>
      <c r="S280" s="29" t="n">
        <v>4628.67833</v>
      </c>
      <c r="V280" s="29" t="n">
        <v>4572.19908</v>
      </c>
      <c r="AB280" s="29" t="n">
        <v>4614.27441</v>
      </c>
      <c r="AC280" s="29" t="n">
        <v>4614.67666</v>
      </c>
      <c r="AD280" s="29" t="n">
        <v>0</v>
      </c>
    </row>
    <row r="281" ht="14.25" customHeight="1" s="28">
      <c r="A281" s="29" t="n">
        <v>1777667401</v>
      </c>
      <c r="B281" s="29" t="inlineStr">
        <is>
          <t>XAUUSD</t>
        </is>
      </c>
      <c r="C281" s="29" t="inlineStr">
        <is>
          <t>M15</t>
        </is>
      </c>
      <c r="D281" s="29" t="n">
        <v>4613.77</v>
      </c>
      <c r="E281" s="29" t="n">
        <v>4717.79398</v>
      </c>
      <c r="F281" s="29" t="n">
        <v>4695.2428</v>
      </c>
      <c r="G281" s="29" t="n">
        <v>4518.59282</v>
      </c>
      <c r="H281" s="29" t="n">
        <v>4596.05595</v>
      </c>
      <c r="I281" s="29" t="n">
        <v>4755.40355</v>
      </c>
      <c r="J281" s="29" t="n">
        <v>4792.76972</v>
      </c>
      <c r="K281" s="29" t="n">
        <v>4769.97694</v>
      </c>
      <c r="L281" s="29" t="n">
        <v>4716.33597</v>
      </c>
      <c r="M281" s="29" t="n">
        <v>4718.85043</v>
      </c>
      <c r="N281" s="29" t="n">
        <v>4531.36057</v>
      </c>
      <c r="O281" s="29" t="n">
        <v>4556.93783</v>
      </c>
      <c r="Q281" s="29" t="n">
        <v>4605.04672</v>
      </c>
      <c r="R281" s="29" t="n">
        <v>4653.06438</v>
      </c>
      <c r="S281" s="29" t="n">
        <v>4628.88077</v>
      </c>
      <c r="V281" s="29" t="n">
        <v>4572.40153</v>
      </c>
      <c r="AB281" s="29" t="n">
        <v>4615.19343</v>
      </c>
      <c r="AC281" s="29" t="n">
        <v>4614.93505</v>
      </c>
      <c r="AD281" s="29" t="n">
        <v>1</v>
      </c>
    </row>
    <row r="282" ht="14.25" customHeight="1" s="28">
      <c r="A282" s="29" t="n">
        <v>1777668301</v>
      </c>
      <c r="B282" s="29" t="inlineStr">
        <is>
          <t>XAUUSD</t>
        </is>
      </c>
      <c r="C282" s="29" t="inlineStr">
        <is>
          <t>M15</t>
        </is>
      </c>
      <c r="D282" s="29" t="n">
        <v>4613.98</v>
      </c>
      <c r="E282" s="29" t="n">
        <v>4717.79398</v>
      </c>
      <c r="F282" s="29" t="n">
        <v>4695.2428</v>
      </c>
      <c r="G282" s="29" t="n">
        <v>4518.59282</v>
      </c>
      <c r="H282" s="29" t="n">
        <v>4596.05595</v>
      </c>
      <c r="I282" s="29" t="n">
        <v>4755.40355</v>
      </c>
      <c r="J282" s="29" t="n">
        <v>4792.76972</v>
      </c>
      <c r="K282" s="29" t="n">
        <v>4769.97694</v>
      </c>
      <c r="L282" s="29" t="n">
        <v>4716.33597</v>
      </c>
      <c r="M282" s="29" t="n">
        <v>4718.85043</v>
      </c>
      <c r="N282" s="29" t="n">
        <v>4531.36057</v>
      </c>
      <c r="O282" s="29" t="n">
        <v>4556.93783</v>
      </c>
      <c r="Q282" s="29" t="n">
        <v>4605.24917</v>
      </c>
      <c r="R282" s="29" t="n">
        <v>4653.26683</v>
      </c>
      <c r="S282" s="29" t="n">
        <v>4629.08322</v>
      </c>
      <c r="V282" s="29" t="n">
        <v>4572.60397</v>
      </c>
      <c r="AB282" s="29" t="n">
        <v>4616.67455</v>
      </c>
      <c r="AC282" s="29" t="n">
        <v>4615.8048</v>
      </c>
      <c r="AD282" s="29" t="n">
        <v>0</v>
      </c>
    </row>
    <row r="283" ht="14.25" customHeight="1" s="28">
      <c r="A283" s="29" t="n">
        <v>1777845601</v>
      </c>
      <c r="B283" s="29" t="inlineStr">
        <is>
          <t>XAUUSD</t>
        </is>
      </c>
      <c r="C283" s="29" t="inlineStr">
        <is>
          <t>M15</t>
        </is>
      </c>
      <c r="D283" s="29" t="n">
        <v>4623.11</v>
      </c>
      <c r="E283" s="29" t="n">
        <v>4717.79398</v>
      </c>
      <c r="F283" s="29" t="n">
        <v>4695.2428</v>
      </c>
      <c r="G283" s="29" t="n">
        <v>4518.59282</v>
      </c>
      <c r="H283" s="29" t="n">
        <v>4596.05595</v>
      </c>
      <c r="I283" s="29" t="n">
        <v>4755.40355</v>
      </c>
      <c r="J283" s="29" t="n">
        <v>4792.76972</v>
      </c>
      <c r="K283" s="29" t="n">
        <v>4769.97694</v>
      </c>
      <c r="L283" s="29" t="n">
        <v>4716.33597</v>
      </c>
      <c r="M283" s="29" t="n">
        <v>4718.85043</v>
      </c>
      <c r="N283" s="29" t="n">
        <v>4531.36057</v>
      </c>
      <c r="O283" s="29" t="n">
        <v>4556.93783</v>
      </c>
      <c r="Q283" s="29" t="n">
        <v>4605.45161</v>
      </c>
      <c r="R283" s="29" t="n">
        <v>4653.46928</v>
      </c>
      <c r="S283" s="29" t="n">
        <v>4629.28566</v>
      </c>
      <c r="V283" s="29" t="n">
        <v>4572.80642</v>
      </c>
      <c r="AB283" s="29" t="n">
        <v>4618.47149</v>
      </c>
      <c r="AC283" s="29" t="n">
        <v>4617.13815</v>
      </c>
      <c r="AD283" s="29" t="n">
        <v>0</v>
      </c>
    </row>
    <row r="284" ht="14.25" customHeight="1" s="28">
      <c r="A284" s="29" t="n">
        <v>1777846501</v>
      </c>
      <c r="B284" s="29" t="inlineStr">
        <is>
          <t>XAUUSD</t>
        </is>
      </c>
      <c r="C284" s="29" t="inlineStr">
        <is>
          <t>M15</t>
        </is>
      </c>
      <c r="D284" s="29" t="n">
        <v>4620.91</v>
      </c>
      <c r="E284" s="29" t="n">
        <v>4717.79398</v>
      </c>
      <c r="F284" s="29" t="n">
        <v>4695.2428</v>
      </c>
      <c r="G284" s="29" t="n">
        <v>4518.59282</v>
      </c>
      <c r="H284" s="29" t="n">
        <v>4596.05595</v>
      </c>
      <c r="I284" s="29" t="n">
        <v>4755.40355</v>
      </c>
      <c r="J284" s="29" t="n">
        <v>4792.76972</v>
      </c>
      <c r="K284" s="29" t="n">
        <v>4769.97694</v>
      </c>
      <c r="L284" s="29" t="n">
        <v>4716.33597</v>
      </c>
      <c r="M284" s="29" t="n">
        <v>4718.85043</v>
      </c>
      <c r="N284" s="29" t="n">
        <v>4531.36057</v>
      </c>
      <c r="O284" s="29" t="n">
        <v>4556.93783</v>
      </c>
      <c r="Q284" s="29" t="n">
        <v>4605.65406</v>
      </c>
      <c r="R284" s="29" t="n">
        <v>4653.67172</v>
      </c>
      <c r="S284" s="29" t="n">
        <v>4629.48811</v>
      </c>
      <c r="V284" s="29" t="n">
        <v>4573.00887</v>
      </c>
      <c r="AB284" s="29" t="n">
        <v>4619.95768</v>
      </c>
      <c r="AC284" s="29" t="n">
        <v>4618.54791</v>
      </c>
      <c r="AD284" s="29" t="n">
        <v>0</v>
      </c>
    </row>
    <row r="285" ht="14.25" customHeight="1" s="28">
      <c r="A285" s="29" t="n">
        <v>1777847401</v>
      </c>
      <c r="B285" s="29" t="inlineStr">
        <is>
          <t>XAUUSD</t>
        </is>
      </c>
      <c r="C285" s="29" t="inlineStr">
        <is>
          <t>M15</t>
        </is>
      </c>
      <c r="D285" s="29" t="n">
        <v>4628.2</v>
      </c>
      <c r="E285" s="29" t="n">
        <v>4717.79398</v>
      </c>
      <c r="F285" s="29" t="n">
        <v>4695.2428</v>
      </c>
      <c r="G285" s="29" t="n">
        <v>4518.59282</v>
      </c>
      <c r="H285" s="29" t="n">
        <v>4596.05595</v>
      </c>
      <c r="I285" s="29" t="n">
        <v>4755.40355</v>
      </c>
      <c r="J285" s="29" t="n">
        <v>4792.76972</v>
      </c>
      <c r="K285" s="29" t="n">
        <v>4769.97694</v>
      </c>
      <c r="L285" s="29" t="n">
        <v>4716.33597</v>
      </c>
      <c r="M285" s="29" t="n">
        <v>4718.85043</v>
      </c>
      <c r="N285" s="29" t="n">
        <v>4531.36057</v>
      </c>
      <c r="O285" s="29" t="n">
        <v>4556.93783</v>
      </c>
      <c r="Q285" s="29" t="n">
        <v>4605.8565</v>
      </c>
      <c r="R285" s="29" t="n">
        <v>4653.87417</v>
      </c>
      <c r="S285" s="29" t="n">
        <v>4629.69056</v>
      </c>
      <c r="V285" s="29" t="n">
        <v>4573.21131</v>
      </c>
      <c r="AB285" s="29" t="n">
        <v>4620.82973</v>
      </c>
      <c r="AC285" s="29" t="n">
        <v>4619.68882</v>
      </c>
      <c r="AD285" s="29" t="n">
        <v>0</v>
      </c>
    </row>
    <row r="286" ht="14.25" customHeight="1" s="28">
      <c r="A286" s="29" t="n">
        <v>1777848301</v>
      </c>
      <c r="B286" s="29" t="inlineStr">
        <is>
          <t>XAUUSD</t>
        </is>
      </c>
      <c r="C286" s="29" t="inlineStr">
        <is>
          <t>M15</t>
        </is>
      </c>
      <c r="D286" s="29" t="n">
        <v>4618.95</v>
      </c>
      <c r="E286" s="29" t="n">
        <v>4717.79398</v>
      </c>
      <c r="F286" s="29" t="n">
        <v>4695.2428</v>
      </c>
      <c r="G286" s="29" t="n">
        <v>4518.59282</v>
      </c>
      <c r="H286" s="29" t="n">
        <v>4596.05595</v>
      </c>
      <c r="I286" s="29" t="n">
        <v>4755.40355</v>
      </c>
      <c r="J286" s="29" t="n">
        <v>4792.76972</v>
      </c>
      <c r="K286" s="29" t="n">
        <v>4769.97694</v>
      </c>
      <c r="L286" s="29" t="n">
        <v>4716.33597</v>
      </c>
      <c r="M286" s="29" t="n">
        <v>4718.85043</v>
      </c>
      <c r="N286" s="29" t="n">
        <v>4531.36057</v>
      </c>
      <c r="O286" s="29" t="n">
        <v>4556.93783</v>
      </c>
      <c r="Q286" s="29" t="n">
        <v>4606.05895</v>
      </c>
      <c r="R286" s="29" t="n">
        <v>4654.07661</v>
      </c>
      <c r="S286" s="29" t="n">
        <v>4629.893</v>
      </c>
      <c r="V286" s="29" t="n">
        <v>4573.41376</v>
      </c>
      <c r="AB286" s="29" t="n">
        <v>4620.61267</v>
      </c>
      <c r="AC286" s="29" t="n">
        <v>4620.15074</v>
      </c>
      <c r="AD286" s="29" t="n">
        <v>0</v>
      </c>
    </row>
    <row r="287" ht="14.25" customHeight="1" s="28">
      <c r="A287" s="29" t="n">
        <v>1777849201</v>
      </c>
      <c r="B287" s="29" t="inlineStr">
        <is>
          <t>XAUUSD</t>
        </is>
      </c>
      <c r="C287" s="29" t="inlineStr">
        <is>
          <t>M15</t>
        </is>
      </c>
      <c r="D287" s="29" t="n">
        <v>4615.08</v>
      </c>
      <c r="E287" s="29" t="n">
        <v>4717.79398</v>
      </c>
      <c r="F287" s="29" t="n">
        <v>4695.2428</v>
      </c>
      <c r="G287" s="29" t="n">
        <v>4518.59282</v>
      </c>
      <c r="H287" s="29" t="n">
        <v>4596.05595</v>
      </c>
      <c r="I287" s="29" t="n">
        <v>4755.40355</v>
      </c>
      <c r="J287" s="29" t="n">
        <v>4792.76972</v>
      </c>
      <c r="K287" s="29" t="n">
        <v>4769.97694</v>
      </c>
      <c r="L287" s="29" t="n">
        <v>4716.33597</v>
      </c>
      <c r="M287" s="29" t="n">
        <v>4718.85043</v>
      </c>
      <c r="N287" s="29" t="n">
        <v>4531.36057</v>
      </c>
      <c r="O287" s="29" t="n">
        <v>4556.93783</v>
      </c>
      <c r="Q287" s="29" t="n">
        <v>4606.26139</v>
      </c>
      <c r="R287" s="29" t="n">
        <v>4654.27906</v>
      </c>
      <c r="S287" s="29" t="n">
        <v>4630.09545</v>
      </c>
      <c r="V287" s="29" t="n">
        <v>4573.6162</v>
      </c>
      <c r="AB287" s="29" t="n">
        <v>4619.52983</v>
      </c>
      <c r="AC287" s="29" t="n">
        <v>4619.84029</v>
      </c>
      <c r="AD287" s="29" t="n">
        <v>1</v>
      </c>
    </row>
    <row r="288" ht="14.25" customHeight="1" s="28">
      <c r="A288" s="29" t="n">
        <v>1777850101</v>
      </c>
      <c r="B288" s="29" t="inlineStr">
        <is>
          <t>XAUUSD</t>
        </is>
      </c>
      <c r="C288" s="29" t="inlineStr">
        <is>
          <t>M15</t>
        </is>
      </c>
      <c r="D288" s="29" t="n">
        <v>4617.09</v>
      </c>
      <c r="E288" s="29" t="n">
        <v>4717.79398</v>
      </c>
      <c r="F288" s="29" t="n">
        <v>4695.2428</v>
      </c>
      <c r="G288" s="29" t="n">
        <v>4518.59282</v>
      </c>
      <c r="H288" s="29" t="n">
        <v>4596.05595</v>
      </c>
      <c r="I288" s="29" t="n">
        <v>4755.40355</v>
      </c>
      <c r="J288" s="29" t="n">
        <v>4792.76972</v>
      </c>
      <c r="K288" s="29" t="n">
        <v>4769.97694</v>
      </c>
      <c r="L288" s="29" t="n">
        <v>4716.33597</v>
      </c>
      <c r="M288" s="29" t="n">
        <v>4718.85043</v>
      </c>
      <c r="N288" s="29" t="n">
        <v>4531.36057</v>
      </c>
      <c r="O288" s="29" t="n">
        <v>4556.93783</v>
      </c>
      <c r="Q288" s="29" t="n">
        <v>4606.46384</v>
      </c>
      <c r="R288" s="29" t="n">
        <v>4654.4815</v>
      </c>
      <c r="S288" s="29" t="n">
        <v>4630.29789</v>
      </c>
      <c r="V288" s="29" t="n">
        <v>4573.81865</v>
      </c>
      <c r="AB288" s="29" t="n">
        <v>4617.81383</v>
      </c>
      <c r="AC288" s="29" t="n">
        <v>4618.82706</v>
      </c>
      <c r="AD288" s="29" t="n">
        <v>0</v>
      </c>
    </row>
    <row r="289" ht="14.25" customHeight="1" s="28">
      <c r="A289" s="29" t="n">
        <v>1777851001</v>
      </c>
      <c r="B289" s="29" t="inlineStr">
        <is>
          <t>XAUUSD</t>
        </is>
      </c>
      <c r="C289" s="29" t="inlineStr">
        <is>
          <t>M15</t>
        </is>
      </c>
      <c r="D289" s="29" t="n">
        <v>4613.63</v>
      </c>
      <c r="E289" s="29" t="n">
        <v>4717.79398</v>
      </c>
      <c r="F289" s="29" t="n">
        <v>4695.2428</v>
      </c>
      <c r="G289" s="29" t="n">
        <v>4518.59282</v>
      </c>
      <c r="H289" s="29" t="n">
        <v>4596.05595</v>
      </c>
      <c r="I289" s="29" t="n">
        <v>4755.40355</v>
      </c>
      <c r="J289" s="29" t="n">
        <v>4792.76972</v>
      </c>
      <c r="K289" s="29" t="n">
        <v>4769.97694</v>
      </c>
      <c r="L289" s="29" t="n">
        <v>4716.33597</v>
      </c>
      <c r="M289" s="29" t="n">
        <v>4718.85043</v>
      </c>
      <c r="N289" s="29" t="n">
        <v>4531.36057</v>
      </c>
      <c r="O289" s="29" t="n">
        <v>4556.93783</v>
      </c>
      <c r="Q289" s="29" t="n">
        <v>4606.66629</v>
      </c>
      <c r="R289" s="29" t="n">
        <v>4654.68395</v>
      </c>
      <c r="S289" s="29" t="n">
        <v>4630.50034</v>
      </c>
      <c r="V289" s="29" t="n">
        <v>4574.02109</v>
      </c>
      <c r="AB289" s="29" t="n">
        <v>4615.57777</v>
      </c>
      <c r="AC289" s="29" t="n">
        <v>4617.20241</v>
      </c>
      <c r="AD289" s="29" t="n">
        <v>0</v>
      </c>
    </row>
    <row r="290" ht="14.25" customHeight="1" s="28">
      <c r="A290" s="29" t="n">
        <v>1777851901</v>
      </c>
      <c r="B290" s="29" t="inlineStr">
        <is>
          <t>XAUUSD</t>
        </is>
      </c>
      <c r="C290" s="29" t="inlineStr">
        <is>
          <t>M15</t>
        </is>
      </c>
      <c r="D290" s="29" t="n">
        <v>4613.86</v>
      </c>
      <c r="E290" s="29" t="n">
        <v>4717.79398</v>
      </c>
      <c r="F290" s="29" t="n">
        <v>4695.2428</v>
      </c>
      <c r="G290" s="29" t="n">
        <v>4518.59282</v>
      </c>
      <c r="H290" s="29" t="n">
        <v>4596.05595</v>
      </c>
      <c r="I290" s="29" t="n">
        <v>4755.40355</v>
      </c>
      <c r="J290" s="29" t="n">
        <v>4792.76972</v>
      </c>
      <c r="K290" s="29" t="n">
        <v>4769.97694</v>
      </c>
      <c r="L290" s="29" t="n">
        <v>4716.33597</v>
      </c>
      <c r="M290" s="29" t="n">
        <v>4718.85043</v>
      </c>
      <c r="N290" s="29" t="n">
        <v>4531.36057</v>
      </c>
      <c r="O290" s="29" t="n">
        <v>4556.93783</v>
      </c>
      <c r="Q290" s="29" t="n">
        <v>4606.86873</v>
      </c>
      <c r="R290" s="29" t="n">
        <v>4654.8864</v>
      </c>
      <c r="S290" s="29" t="n">
        <v>4630.70278</v>
      </c>
      <c r="V290" s="29" t="n">
        <v>4574.22354</v>
      </c>
      <c r="AB290" s="29" t="n">
        <v>4613.10995</v>
      </c>
      <c r="AC290" s="29" t="n">
        <v>4615.15618</v>
      </c>
      <c r="AD290" s="29" t="n">
        <v>0</v>
      </c>
    </row>
    <row r="291" ht="14.25" customHeight="1" s="28">
      <c r="A291" s="29" t="n">
        <v>1777852801</v>
      </c>
      <c r="B291" s="29" t="inlineStr">
        <is>
          <t>XAUUSD</t>
        </is>
      </c>
      <c r="C291" s="29" t="inlineStr">
        <is>
          <t>M15</t>
        </is>
      </c>
      <c r="D291" s="29" t="n">
        <v>4612.3</v>
      </c>
      <c r="E291" s="29" t="n">
        <v>4717.79398</v>
      </c>
      <c r="F291" s="29" t="n">
        <v>4695.2428</v>
      </c>
      <c r="G291" s="29" t="n">
        <v>4518.59282</v>
      </c>
      <c r="H291" s="29" t="n">
        <v>4596.05595</v>
      </c>
      <c r="I291" s="29" t="n">
        <v>4755.40355</v>
      </c>
      <c r="J291" s="29" t="n">
        <v>4792.76972</v>
      </c>
      <c r="K291" s="29" t="n">
        <v>4769.97694</v>
      </c>
      <c r="L291" s="29" t="n">
        <v>4716.33597</v>
      </c>
      <c r="M291" s="29" t="n">
        <v>4718.85043</v>
      </c>
      <c r="N291" s="29" t="n">
        <v>4531.36057</v>
      </c>
      <c r="O291" s="29" t="n">
        <v>4556.93783</v>
      </c>
      <c r="Q291" s="29" t="n">
        <v>4607.07118</v>
      </c>
      <c r="R291" s="29" t="n">
        <v>4655.08884</v>
      </c>
      <c r="S291" s="29" t="n">
        <v>4630.90523</v>
      </c>
      <c r="V291" s="29" t="n">
        <v>4574.42599</v>
      </c>
      <c r="AB291" s="29" t="n">
        <v>4610.61196</v>
      </c>
      <c r="AC291" s="29" t="n">
        <v>4612.88407</v>
      </c>
      <c r="AD291" s="29" t="n">
        <v>0</v>
      </c>
    </row>
    <row r="292" ht="14.25" customHeight="1" s="28">
      <c r="A292" s="29" t="n">
        <v>1777853701</v>
      </c>
      <c r="B292" s="29" t="inlineStr">
        <is>
          <t>XAUUSD</t>
        </is>
      </c>
      <c r="C292" s="29" t="inlineStr">
        <is>
          <t>M15</t>
        </is>
      </c>
      <c r="D292" s="29" t="n">
        <v>4606.13</v>
      </c>
      <c r="E292" s="29" t="n">
        <v>4717.79398</v>
      </c>
      <c r="F292" s="29" t="n">
        <v>4695.2428</v>
      </c>
      <c r="G292" s="29" t="n">
        <v>4518.59282</v>
      </c>
      <c r="H292" s="29" t="n">
        <v>4596.05595</v>
      </c>
      <c r="I292" s="29" t="n">
        <v>4755.40355</v>
      </c>
      <c r="J292" s="29" t="n">
        <v>4792.76972</v>
      </c>
      <c r="K292" s="29" t="n">
        <v>4769.97694</v>
      </c>
      <c r="L292" s="29" t="n">
        <v>4716.33597</v>
      </c>
      <c r="M292" s="29" t="n">
        <v>4718.85043</v>
      </c>
      <c r="N292" s="29" t="n">
        <v>4531.36057</v>
      </c>
      <c r="O292" s="29" t="n">
        <v>4556.93783</v>
      </c>
      <c r="Q292" s="29" t="n">
        <v>4607.27362</v>
      </c>
      <c r="R292" s="29" t="n">
        <v>4655.29129</v>
      </c>
      <c r="S292" s="29" t="n">
        <v>4631.10768</v>
      </c>
      <c r="V292" s="29" t="n">
        <v>4574.62843</v>
      </c>
      <c r="AB292" s="29" t="n">
        <v>4608.26458</v>
      </c>
      <c r="AC292" s="29" t="n">
        <v>4610.57432</v>
      </c>
      <c r="AD292" s="29" t="n">
        <v>0</v>
      </c>
    </row>
    <row r="293" ht="14.25" customHeight="1" s="28">
      <c r="A293" s="29" t="n">
        <v>1777854601</v>
      </c>
      <c r="B293" s="29" t="inlineStr">
        <is>
          <t>XAUUSD</t>
        </is>
      </c>
      <c r="C293" s="29" t="inlineStr">
        <is>
          <t>M15</t>
        </is>
      </c>
      <c r="D293" s="29" t="n">
        <v>4605.86</v>
      </c>
      <c r="E293" s="29" t="n">
        <v>4717.79398</v>
      </c>
      <c r="F293" s="29" t="n">
        <v>4695.2428</v>
      </c>
      <c r="G293" s="29" t="n">
        <v>4518.59282</v>
      </c>
      <c r="H293" s="29" t="n">
        <v>4596.05595</v>
      </c>
      <c r="I293" s="29" t="n">
        <v>4755.40355</v>
      </c>
      <c r="J293" s="29" t="n">
        <v>4792.76972</v>
      </c>
      <c r="K293" s="29" t="n">
        <v>4769.97694</v>
      </c>
      <c r="L293" s="29" t="n">
        <v>4716.33597</v>
      </c>
      <c r="M293" s="29" t="n">
        <v>4718.85043</v>
      </c>
      <c r="N293" s="29" t="n">
        <v>4531.36057</v>
      </c>
      <c r="O293" s="29" t="n">
        <v>4556.93783</v>
      </c>
      <c r="Q293" s="29" t="n">
        <v>4607.47607</v>
      </c>
      <c r="R293" s="29" t="n">
        <v>4655.49373</v>
      </c>
      <c r="S293" s="29" t="n">
        <v>4631.31012</v>
      </c>
      <c r="V293" s="29" t="n">
        <v>4574.83088</v>
      </c>
      <c r="AB293" s="29" t="n">
        <v>4606.33898</v>
      </c>
      <c r="AC293" s="29" t="n">
        <v>4608.45665</v>
      </c>
      <c r="AD293" s="29" t="n">
        <v>0</v>
      </c>
    </row>
    <row r="294" ht="14.25" customHeight="1" s="28">
      <c r="A294" s="29" t="n">
        <v>1777855501</v>
      </c>
      <c r="B294" s="29" t="inlineStr">
        <is>
          <t>XAUUSD</t>
        </is>
      </c>
      <c r="C294" s="29" t="inlineStr">
        <is>
          <t>M15</t>
        </is>
      </c>
      <c r="D294" s="29" t="n">
        <v>4613.01</v>
      </c>
      <c r="E294" s="29" t="n">
        <v>4717.79398</v>
      </c>
      <c r="F294" s="29" t="n">
        <v>4695.2428</v>
      </c>
      <c r="G294" s="29" t="n">
        <v>4518.59282</v>
      </c>
      <c r="H294" s="29" t="n">
        <v>4596.05595</v>
      </c>
      <c r="I294" s="29" t="n">
        <v>4755.40355</v>
      </c>
      <c r="J294" s="29" t="n">
        <v>4792.76972</v>
      </c>
      <c r="K294" s="29" t="n">
        <v>4769.97694</v>
      </c>
      <c r="L294" s="29" t="n">
        <v>4716.33597</v>
      </c>
      <c r="M294" s="29" t="n">
        <v>4718.85043</v>
      </c>
      <c r="N294" s="29" t="n">
        <v>4531.36057</v>
      </c>
      <c r="O294" s="29" t="n">
        <v>4556.93783</v>
      </c>
      <c r="Q294" s="29" t="n">
        <v>4607.67851</v>
      </c>
      <c r="R294" s="29" t="n">
        <v>4655.69618</v>
      </c>
      <c r="S294" s="29" t="n">
        <v>4631.51257</v>
      </c>
      <c r="V294" s="29" t="n">
        <v>4575.03332</v>
      </c>
      <c r="AB294" s="29" t="n">
        <v>4604.85083</v>
      </c>
      <c r="AC294" s="29" t="n">
        <v>4606.65374</v>
      </c>
      <c r="AD294" s="29" t="n">
        <v>0</v>
      </c>
    </row>
    <row r="295" ht="14.25" customHeight="1" s="28">
      <c r="A295" s="29" t="n">
        <v>1777856401</v>
      </c>
      <c r="B295" s="29" t="inlineStr">
        <is>
          <t>XAUUSD</t>
        </is>
      </c>
      <c r="C295" s="29" t="inlineStr">
        <is>
          <t>M15</t>
        </is>
      </c>
      <c r="D295" s="29" t="n">
        <v>4600.58</v>
      </c>
      <c r="E295" s="29" t="n">
        <v>4717.79398</v>
      </c>
      <c r="F295" s="29" t="n">
        <v>4695.2428</v>
      </c>
      <c r="G295" s="29" t="n">
        <v>4518.59282</v>
      </c>
      <c r="H295" s="29" t="n">
        <v>4596.05595</v>
      </c>
      <c r="I295" s="29" t="n">
        <v>4755.40355</v>
      </c>
      <c r="J295" s="29" t="n">
        <v>4792.76972</v>
      </c>
      <c r="K295" s="29" t="n">
        <v>4769.97694</v>
      </c>
      <c r="L295" s="29" t="n">
        <v>4716.33597</v>
      </c>
      <c r="M295" s="29" t="n">
        <v>4718.85043</v>
      </c>
      <c r="N295" s="29" t="n">
        <v>4531.36057</v>
      </c>
      <c r="O295" s="29" t="n">
        <v>4556.93783</v>
      </c>
      <c r="Q295" s="29" t="n">
        <v>4607.88096</v>
      </c>
      <c r="R295" s="29" t="n">
        <v>4655.89862</v>
      </c>
      <c r="S295" s="29" t="n">
        <v>4631.71501</v>
      </c>
      <c r="V295" s="29" t="n">
        <v>4575.23577</v>
      </c>
      <c r="AB295" s="29" t="n">
        <v>4603.58268</v>
      </c>
      <c r="AC295" s="29" t="n">
        <v>4605.11821</v>
      </c>
      <c r="AD295" s="29" t="n">
        <v>0</v>
      </c>
    </row>
    <row r="296" ht="14.25" customHeight="1" s="28">
      <c r="A296" s="29" t="n">
        <v>1777857301</v>
      </c>
      <c r="B296" s="29" t="inlineStr">
        <is>
          <t>XAUUSD</t>
        </is>
      </c>
      <c r="C296" s="29" t="inlineStr">
        <is>
          <t>M15</t>
        </is>
      </c>
      <c r="D296" s="29" t="n">
        <v>4594.65</v>
      </c>
      <c r="E296" s="29" t="n">
        <v>4717.79398</v>
      </c>
      <c r="F296" s="29" t="n">
        <v>4695.2428</v>
      </c>
      <c r="G296" s="29" t="n">
        <v>4518.59282</v>
      </c>
      <c r="H296" s="29" t="n">
        <v>4596.05595</v>
      </c>
      <c r="I296" s="29" t="n">
        <v>4755.40355</v>
      </c>
      <c r="J296" s="29" t="n">
        <v>4792.76972</v>
      </c>
      <c r="K296" s="29" t="n">
        <v>4769.97694</v>
      </c>
      <c r="L296" s="29" t="n">
        <v>4716.33597</v>
      </c>
      <c r="M296" s="29" t="n">
        <v>4718.85043</v>
      </c>
      <c r="N296" s="29" t="n">
        <v>4531.36057</v>
      </c>
      <c r="O296" s="29" t="n">
        <v>4556.93783</v>
      </c>
      <c r="Q296" s="29" t="n">
        <v>4608.08341</v>
      </c>
      <c r="R296" s="29" t="n">
        <v>4656.10107</v>
      </c>
      <c r="S296" s="29" t="n">
        <v>4631.91746</v>
      </c>
      <c r="V296" s="29" t="n">
        <v>4575.43821</v>
      </c>
      <c r="AB296" s="29" t="n">
        <v>4602.82428</v>
      </c>
      <c r="AC296" s="29" t="n">
        <v>4603.97125</v>
      </c>
      <c r="AD296" s="29" t="n">
        <v>0</v>
      </c>
    </row>
    <row r="297" ht="14.25" customHeight="1" s="28">
      <c r="A297" s="29" t="n">
        <v>1777858201</v>
      </c>
      <c r="B297" s="29" t="inlineStr">
        <is>
          <t>XAUUSD</t>
        </is>
      </c>
      <c r="C297" s="29" t="inlineStr">
        <is>
          <t>M15</t>
        </is>
      </c>
      <c r="D297" s="29" t="n">
        <v>4601.59</v>
      </c>
      <c r="E297" s="29" t="n">
        <v>4717.79398</v>
      </c>
      <c r="F297" s="29" t="n">
        <v>4695.2428</v>
      </c>
      <c r="G297" s="29" t="n">
        <v>4518.59282</v>
      </c>
      <c r="H297" s="29" t="n">
        <v>4596.05595</v>
      </c>
      <c r="I297" s="29" t="n">
        <v>4755.40355</v>
      </c>
      <c r="J297" s="29" t="n">
        <v>4792.76972</v>
      </c>
      <c r="K297" s="29" t="n">
        <v>4769.97694</v>
      </c>
      <c r="L297" s="29" t="n">
        <v>4716.33597</v>
      </c>
      <c r="M297" s="29" t="n">
        <v>4718.85043</v>
      </c>
      <c r="N297" s="29" t="n">
        <v>4531.36057</v>
      </c>
      <c r="O297" s="29" t="n">
        <v>4556.93783</v>
      </c>
      <c r="Q297" s="29" t="n">
        <v>4608.28585</v>
      </c>
      <c r="R297" s="29" t="n">
        <v>4656.30352</v>
      </c>
      <c r="S297" s="29" t="n">
        <v>4632.1199</v>
      </c>
      <c r="V297" s="29" t="n">
        <v>4575.64066</v>
      </c>
      <c r="AB297" s="29" t="n">
        <v>4602.68068</v>
      </c>
      <c r="AC297" s="29" t="n">
        <v>4603.32596</v>
      </c>
      <c r="AD297" s="29" t="n">
        <v>0</v>
      </c>
    </row>
    <row r="298" ht="14.25" customHeight="1" s="28">
      <c r="A298" s="29" t="n">
        <v>1777859101</v>
      </c>
      <c r="B298" s="29" t="inlineStr">
        <is>
          <t>XAUUSD</t>
        </is>
      </c>
      <c r="C298" s="29" t="inlineStr">
        <is>
          <t>M15</t>
        </is>
      </c>
      <c r="D298" s="29" t="n">
        <v>4613.14</v>
      </c>
      <c r="E298" s="29" t="n">
        <v>4717.79398</v>
      </c>
      <c r="F298" s="29" t="n">
        <v>4695.2428</v>
      </c>
      <c r="G298" s="29" t="n">
        <v>4518.59282</v>
      </c>
      <c r="H298" s="29" t="n">
        <v>4596.05595</v>
      </c>
      <c r="I298" s="29" t="n">
        <v>4755.40355</v>
      </c>
      <c r="J298" s="29" t="n">
        <v>4792.76972</v>
      </c>
      <c r="K298" s="29" t="n">
        <v>4769.97694</v>
      </c>
      <c r="L298" s="29" t="n">
        <v>4716.33597</v>
      </c>
      <c r="M298" s="29" t="n">
        <v>4718.85043</v>
      </c>
      <c r="N298" s="29" t="n">
        <v>4531.36057</v>
      </c>
      <c r="O298" s="29" t="n">
        <v>4556.93783</v>
      </c>
      <c r="Q298" s="29" t="n">
        <v>4608.4883</v>
      </c>
      <c r="R298" s="29" t="n">
        <v>4656.50596</v>
      </c>
      <c r="S298" s="29" t="n">
        <v>4632.32235</v>
      </c>
      <c r="V298" s="29" t="n">
        <v>4575.84311</v>
      </c>
      <c r="AB298" s="29" t="n">
        <v>4602.87373</v>
      </c>
      <c r="AC298" s="29" t="n">
        <v>4603.09985</v>
      </c>
      <c r="AD298" s="29" t="n">
        <v>0</v>
      </c>
    </row>
    <row r="299" ht="14.25" customHeight="1" s="28">
      <c r="A299" s="29" t="n">
        <v>1777860001</v>
      </c>
      <c r="B299" s="29" t="inlineStr">
        <is>
          <t>XAUUSD</t>
        </is>
      </c>
      <c r="C299" s="29" t="inlineStr">
        <is>
          <t>M15</t>
        </is>
      </c>
      <c r="D299" s="29" t="n">
        <v>4608.34</v>
      </c>
      <c r="E299" s="29" t="n">
        <v>4717.79398</v>
      </c>
      <c r="F299" s="29" t="n">
        <v>4695.2428</v>
      </c>
      <c r="G299" s="29" t="n">
        <v>4518.59282</v>
      </c>
      <c r="H299" s="29" t="n">
        <v>4596.05595</v>
      </c>
      <c r="I299" s="29" t="n">
        <v>4755.40355</v>
      </c>
      <c r="J299" s="29" t="n">
        <v>4792.76972</v>
      </c>
      <c r="K299" s="29" t="n">
        <v>4769.97694</v>
      </c>
      <c r="L299" s="29" t="n">
        <v>4716.33597</v>
      </c>
      <c r="M299" s="29" t="n">
        <v>4718.85043</v>
      </c>
      <c r="N299" s="29" t="n">
        <v>4531.36057</v>
      </c>
      <c r="O299" s="29" t="n">
        <v>4556.93783</v>
      </c>
      <c r="Q299" s="29" t="n">
        <v>4608.69074</v>
      </c>
      <c r="R299" s="29" t="n">
        <v>4656.70841</v>
      </c>
      <c r="S299" s="29" t="n">
        <v>4632.52479</v>
      </c>
      <c r="V299" s="29" t="n">
        <v>4576.04555</v>
      </c>
      <c r="AB299" s="29" t="n">
        <v>4603.07433</v>
      </c>
      <c r="AC299" s="29" t="n">
        <v>4603.08709</v>
      </c>
      <c r="AD299" s="29" t="n">
        <v>0</v>
      </c>
    </row>
    <row r="300" ht="14.25" customHeight="1" s="28">
      <c r="A300" s="29" t="n">
        <v>1777860901</v>
      </c>
      <c r="B300" s="29" t="inlineStr">
        <is>
          <t>XAUUSD</t>
        </is>
      </c>
      <c r="C300" s="29" t="inlineStr">
        <is>
          <t>M15</t>
        </is>
      </c>
      <c r="D300" s="29" t="n">
        <v>4593.09</v>
      </c>
      <c r="E300" s="29" t="n">
        <v>4717.79398</v>
      </c>
      <c r="F300" s="29" t="n">
        <v>4695.2428</v>
      </c>
      <c r="G300" s="29" t="n">
        <v>4518.59282</v>
      </c>
      <c r="H300" s="29" t="n">
        <v>4596.05595</v>
      </c>
      <c r="I300" s="29" t="n">
        <v>4755.40355</v>
      </c>
      <c r="J300" s="29" t="n">
        <v>4792.76972</v>
      </c>
      <c r="K300" s="29" t="n">
        <v>4769.97694</v>
      </c>
      <c r="L300" s="29" t="n">
        <v>4716.33597</v>
      </c>
      <c r="M300" s="29" t="n">
        <v>4718.85043</v>
      </c>
      <c r="N300" s="29" t="n">
        <v>4531.36057</v>
      </c>
      <c r="O300" s="29" t="n">
        <v>4556.93783</v>
      </c>
      <c r="Q300" s="29" t="n">
        <v>4608.89319</v>
      </c>
      <c r="R300" s="29" t="n">
        <v>4656.91085</v>
      </c>
      <c r="S300" s="29" t="n">
        <v>4632.72724</v>
      </c>
      <c r="V300" s="29" t="n">
        <v>4576.248</v>
      </c>
      <c r="AB300" s="29" t="n">
        <v>4603.46313</v>
      </c>
      <c r="AC300" s="29" t="n">
        <v>4603.27511</v>
      </c>
      <c r="AD300" s="29" t="n">
        <v>1</v>
      </c>
    </row>
    <row r="301" ht="14.25" customHeight="1" s="28">
      <c r="A301" s="29" t="n">
        <v>1777861801</v>
      </c>
      <c r="B301" s="29" t="inlineStr">
        <is>
          <t>XAUUSD</t>
        </is>
      </c>
      <c r="C301" s="29" t="inlineStr">
        <is>
          <t>M15</t>
        </is>
      </c>
      <c r="D301" s="29" t="n">
        <v>4603.32</v>
      </c>
      <c r="E301" s="29" t="n">
        <v>4717.79398</v>
      </c>
      <c r="F301" s="29" t="n">
        <v>4695.2428</v>
      </c>
      <c r="G301" s="29" t="n">
        <v>4518.59282</v>
      </c>
      <c r="H301" s="29" t="n">
        <v>4596.05595</v>
      </c>
      <c r="I301" s="29" t="n">
        <v>4755.40355</v>
      </c>
      <c r="J301" s="29" t="n">
        <v>4792.76972</v>
      </c>
      <c r="K301" s="29" t="n">
        <v>4769.97694</v>
      </c>
      <c r="L301" s="29" t="n">
        <v>4716.33597</v>
      </c>
      <c r="M301" s="29" t="n">
        <v>4718.85043</v>
      </c>
      <c r="N301" s="29" t="n">
        <v>4531.36057</v>
      </c>
      <c r="O301" s="29" t="n">
        <v>4556.93783</v>
      </c>
      <c r="Q301" s="29" t="n">
        <v>4609.09563</v>
      </c>
      <c r="R301" s="29" t="n">
        <v>4657.1133</v>
      </c>
      <c r="S301" s="29" t="n">
        <v>4632.92969</v>
      </c>
      <c r="V301" s="29" t="n">
        <v>4576.45044</v>
      </c>
      <c r="AB301" s="29" t="n">
        <v>4604.51814</v>
      </c>
      <c r="AC301" s="29" t="n">
        <v>4603.89663</v>
      </c>
      <c r="AD301" s="29" t="n">
        <v>0</v>
      </c>
    </row>
    <row r="302" ht="14.25" customHeight="1" s="28">
      <c r="A302" s="29" t="n">
        <v>1777862701</v>
      </c>
      <c r="B302" s="29" t="inlineStr">
        <is>
          <t>XAUUSD</t>
        </is>
      </c>
      <c r="C302" s="29" t="inlineStr">
        <is>
          <t>M15</t>
        </is>
      </c>
      <c r="D302" s="29" t="n">
        <v>4605.77</v>
      </c>
      <c r="E302" s="29" t="n">
        <v>4717.79398</v>
      </c>
      <c r="F302" s="29" t="n">
        <v>4695.2428</v>
      </c>
      <c r="G302" s="29" t="n">
        <v>4518.59282</v>
      </c>
      <c r="H302" s="29" t="n">
        <v>4596.05595</v>
      </c>
      <c r="I302" s="29" t="n">
        <v>4755.40355</v>
      </c>
      <c r="J302" s="29" t="n">
        <v>4792.76972</v>
      </c>
      <c r="K302" s="29" t="n">
        <v>4769.97694</v>
      </c>
      <c r="L302" s="29" t="n">
        <v>4716.33597</v>
      </c>
      <c r="M302" s="29" t="n">
        <v>4718.85043</v>
      </c>
      <c r="N302" s="29" t="n">
        <v>4531.36057</v>
      </c>
      <c r="O302" s="29" t="n">
        <v>4556.93783</v>
      </c>
      <c r="Q302" s="29" t="n">
        <v>4609.29808</v>
      </c>
      <c r="R302" s="29" t="n">
        <v>4657.31574</v>
      </c>
      <c r="S302" s="29" t="n">
        <v>4633.13213</v>
      </c>
      <c r="V302" s="29" t="n">
        <v>4576.65289</v>
      </c>
      <c r="AB302" s="29" t="n">
        <v>4605.99584</v>
      </c>
      <c r="AC302" s="29" t="n">
        <v>4604.94624</v>
      </c>
      <c r="AD302" s="29" t="n">
        <v>0</v>
      </c>
    </row>
    <row r="303" ht="14.25" customHeight="1" s="28">
      <c r="A303" s="29" t="n">
        <v>1777863601</v>
      </c>
      <c r="B303" s="29" t="inlineStr">
        <is>
          <t>XAUUSD</t>
        </is>
      </c>
      <c r="C303" s="29" t="inlineStr">
        <is>
          <t>M15</t>
        </is>
      </c>
      <c r="D303" s="29" t="n">
        <v>4610.07</v>
      </c>
      <c r="E303" s="29" t="n">
        <v>4717.79398</v>
      </c>
      <c r="F303" s="29" t="n">
        <v>4695.2428</v>
      </c>
      <c r="G303" s="29" t="n">
        <v>4518.59282</v>
      </c>
      <c r="H303" s="29" t="n">
        <v>4596.05595</v>
      </c>
      <c r="I303" s="29" t="n">
        <v>4755.40355</v>
      </c>
      <c r="J303" s="29" t="n">
        <v>4792.76972</v>
      </c>
      <c r="K303" s="29" t="n">
        <v>4769.97694</v>
      </c>
      <c r="L303" s="29" t="n">
        <v>4716.33597</v>
      </c>
      <c r="M303" s="29" t="n">
        <v>4718.85043</v>
      </c>
      <c r="N303" s="29" t="n">
        <v>4531.36057</v>
      </c>
      <c r="O303" s="29" t="n">
        <v>4556.93783</v>
      </c>
      <c r="Q303" s="29" t="n">
        <v>4609.50053</v>
      </c>
      <c r="R303" s="29" t="n">
        <v>4657.51819</v>
      </c>
      <c r="S303" s="29" t="n">
        <v>4633.33458</v>
      </c>
      <c r="V303" s="29" t="n">
        <v>4576.85533</v>
      </c>
      <c r="AB303" s="29" t="n">
        <v>4607.64179</v>
      </c>
      <c r="AC303" s="29" t="n">
        <v>4606.29401</v>
      </c>
      <c r="AD303" s="29" t="n">
        <v>0</v>
      </c>
    </row>
    <row r="304" ht="14.25" customHeight="1" s="28">
      <c r="A304" s="29" t="n">
        <v>1777864501</v>
      </c>
      <c r="B304" s="29" t="inlineStr">
        <is>
          <t>XAUUSD</t>
        </is>
      </c>
      <c r="C304" s="29" t="inlineStr">
        <is>
          <t>M15</t>
        </is>
      </c>
      <c r="D304" s="29" t="n">
        <v>4610.27</v>
      </c>
      <c r="E304" s="29" t="n">
        <v>4717.79398</v>
      </c>
      <c r="F304" s="29" t="n">
        <v>4695.2428</v>
      </c>
      <c r="G304" s="29" t="n">
        <v>4518.59282</v>
      </c>
      <c r="H304" s="29" t="n">
        <v>4596.05595</v>
      </c>
      <c r="I304" s="29" t="n">
        <v>4755.40355</v>
      </c>
      <c r="J304" s="29" t="n">
        <v>4792.76972</v>
      </c>
      <c r="K304" s="29" t="n">
        <v>4769.97694</v>
      </c>
      <c r="L304" s="29" t="n">
        <v>4716.33597</v>
      </c>
      <c r="M304" s="29" t="n">
        <v>4718.85043</v>
      </c>
      <c r="N304" s="29" t="n">
        <v>4531.36057</v>
      </c>
      <c r="O304" s="29" t="n">
        <v>4556.93783</v>
      </c>
      <c r="Q304" s="29" t="n">
        <v>4609.70297</v>
      </c>
      <c r="R304" s="29" t="n">
        <v>4657.72064</v>
      </c>
      <c r="S304" s="29" t="n">
        <v>4633.53702</v>
      </c>
      <c r="V304" s="29" t="n">
        <v>4577.05778</v>
      </c>
      <c r="AB304" s="29" t="n">
        <v>4609.07942</v>
      </c>
      <c r="AC304" s="29" t="n">
        <v>4607.68672</v>
      </c>
      <c r="AD304" s="29" t="n">
        <v>0</v>
      </c>
    </row>
    <row r="305" ht="14.25" customHeight="1" s="28">
      <c r="A305" s="29" t="n">
        <v>1777865401</v>
      </c>
      <c r="B305" s="29" t="inlineStr">
        <is>
          <t>XAUUSD</t>
        </is>
      </c>
      <c r="C305" s="29" t="inlineStr">
        <is>
          <t>M15</t>
        </is>
      </c>
      <c r="D305" s="29" t="n">
        <v>4605.07</v>
      </c>
      <c r="E305" s="29" t="n">
        <v>4717.79398</v>
      </c>
      <c r="F305" s="29" t="n">
        <v>4695.2428</v>
      </c>
      <c r="G305" s="29" t="n">
        <v>4518.59282</v>
      </c>
      <c r="H305" s="29" t="n">
        <v>4596.05595</v>
      </c>
      <c r="I305" s="29" t="n">
        <v>4755.40355</v>
      </c>
      <c r="J305" s="29" t="n">
        <v>4792.76972</v>
      </c>
      <c r="K305" s="29" t="n">
        <v>4769.97694</v>
      </c>
      <c r="L305" s="29" t="n">
        <v>4716.33597</v>
      </c>
      <c r="M305" s="29" t="n">
        <v>4718.85043</v>
      </c>
      <c r="N305" s="29" t="n">
        <v>4531.36057</v>
      </c>
      <c r="O305" s="29" t="n">
        <v>4556.93783</v>
      </c>
      <c r="Q305" s="29" t="n">
        <v>4609.90542</v>
      </c>
      <c r="R305" s="29" t="n">
        <v>4657.92308</v>
      </c>
      <c r="S305" s="29" t="n">
        <v>4633.73947</v>
      </c>
      <c r="V305" s="29" t="n">
        <v>4577.26023</v>
      </c>
      <c r="AB305" s="29" t="n">
        <v>4610.0652</v>
      </c>
      <c r="AC305" s="29" t="n">
        <v>4608.87596</v>
      </c>
      <c r="AD305" s="29" t="n">
        <v>0</v>
      </c>
    </row>
    <row r="306" ht="14.25" customHeight="1" s="28">
      <c r="A306" s="29" t="n">
        <v>1777866301</v>
      </c>
      <c r="B306" s="29" t="inlineStr">
        <is>
          <t>XAUUSD</t>
        </is>
      </c>
      <c r="C306" s="29" t="inlineStr">
        <is>
          <t>M15</t>
        </is>
      </c>
      <c r="D306" s="29" t="n">
        <v>4615.09</v>
      </c>
      <c r="E306" s="29" t="n">
        <v>4717.79398</v>
      </c>
      <c r="F306" s="29" t="n">
        <v>4695.2428</v>
      </c>
      <c r="G306" s="29" t="n">
        <v>4518.59282</v>
      </c>
      <c r="H306" s="29" t="n">
        <v>4596.05595</v>
      </c>
      <c r="I306" s="29" t="n">
        <v>4755.40355</v>
      </c>
      <c r="J306" s="29" t="n">
        <v>4792.76972</v>
      </c>
      <c r="K306" s="29" t="n">
        <v>4769.97694</v>
      </c>
      <c r="L306" s="29" t="n">
        <v>4716.33597</v>
      </c>
      <c r="M306" s="29" t="n">
        <v>4718.85043</v>
      </c>
      <c r="N306" s="29" t="n">
        <v>4531.36057</v>
      </c>
      <c r="O306" s="29" t="n">
        <v>4556.93783</v>
      </c>
      <c r="Q306" s="29" t="n">
        <v>4610.10786</v>
      </c>
      <c r="R306" s="29" t="n">
        <v>4658.12553</v>
      </c>
      <c r="S306" s="29" t="n">
        <v>4633.94191</v>
      </c>
      <c r="V306" s="29" t="n">
        <v>4577.46267</v>
      </c>
      <c r="AB306" s="29" t="n">
        <v>4610.55983</v>
      </c>
      <c r="AC306" s="29" t="n">
        <v>4609.71789</v>
      </c>
      <c r="AD306" s="29" t="n">
        <v>0</v>
      </c>
    </row>
    <row r="307" ht="14.25" customHeight="1" s="28">
      <c r="A307" s="29" t="n">
        <v>1777867201</v>
      </c>
      <c r="B307" s="29" t="inlineStr">
        <is>
          <t>XAUUSD</t>
        </is>
      </c>
      <c r="C307" s="29" t="inlineStr">
        <is>
          <t>M15</t>
        </is>
      </c>
      <c r="D307" s="29" t="n">
        <v>4611.19</v>
      </c>
      <c r="E307" s="29" t="n">
        <v>4717.79398</v>
      </c>
      <c r="F307" s="29" t="n">
        <v>4695.2428</v>
      </c>
      <c r="G307" s="29" t="n">
        <v>4518.59282</v>
      </c>
      <c r="H307" s="29" t="n">
        <v>4596.05595</v>
      </c>
      <c r="I307" s="29" t="n">
        <v>4755.40355</v>
      </c>
      <c r="J307" s="29" t="n">
        <v>4792.76972</v>
      </c>
      <c r="K307" s="29" t="n">
        <v>4769.97694</v>
      </c>
      <c r="L307" s="29" t="n">
        <v>4716.33597</v>
      </c>
      <c r="M307" s="29" t="n">
        <v>4718.85043</v>
      </c>
      <c r="N307" s="29" t="n">
        <v>4531.36057</v>
      </c>
      <c r="O307" s="29" t="n">
        <v>4556.93783</v>
      </c>
      <c r="Q307" s="29" t="n">
        <v>4610.31031</v>
      </c>
      <c r="R307" s="29" t="n">
        <v>4658.32797</v>
      </c>
      <c r="S307" s="29" t="n">
        <v>4634.14436</v>
      </c>
      <c r="V307" s="29" t="n">
        <v>4577.66512</v>
      </c>
      <c r="AB307" s="29" t="n">
        <v>4610.21073</v>
      </c>
      <c r="AC307" s="29" t="n">
        <v>4609.96431</v>
      </c>
      <c r="AD307" s="29" t="n">
        <v>0</v>
      </c>
    </row>
    <row r="308" ht="14.25" customHeight="1" s="28">
      <c r="A308" s="29" t="n">
        <v>1777868101</v>
      </c>
      <c r="B308" s="29" t="inlineStr">
        <is>
          <t>XAUUSD</t>
        </is>
      </c>
      <c r="C308" s="29" t="inlineStr">
        <is>
          <t>M15</t>
        </is>
      </c>
      <c r="D308" s="29" t="n">
        <v>4608.12</v>
      </c>
      <c r="E308" s="29" t="n">
        <v>4717.79398</v>
      </c>
      <c r="F308" s="29" t="n">
        <v>4695.2428</v>
      </c>
      <c r="G308" s="29" t="n">
        <v>4518.59282</v>
      </c>
      <c r="H308" s="29" t="n">
        <v>4596.05595</v>
      </c>
      <c r="I308" s="29" t="n">
        <v>4755.40355</v>
      </c>
      <c r="J308" s="29" t="n">
        <v>4792.76972</v>
      </c>
      <c r="K308" s="29" t="n">
        <v>4769.97694</v>
      </c>
      <c r="L308" s="29" t="n">
        <v>4716.33597</v>
      </c>
      <c r="M308" s="29" t="n">
        <v>4718.85043</v>
      </c>
      <c r="N308" s="29" t="n">
        <v>4531.36057</v>
      </c>
      <c r="O308" s="29" t="n">
        <v>4556.93783</v>
      </c>
      <c r="Q308" s="29" t="n">
        <v>4610.51275</v>
      </c>
      <c r="R308" s="29" t="n">
        <v>4658.53042</v>
      </c>
      <c r="S308" s="29" t="n">
        <v>4634.34681</v>
      </c>
      <c r="V308" s="29" t="n">
        <v>4577.86756</v>
      </c>
      <c r="AB308" s="29" t="n">
        <v>4609.17869</v>
      </c>
      <c r="AC308" s="29" t="n">
        <v>4609.5715</v>
      </c>
      <c r="AD308" s="29" t="n">
        <v>1</v>
      </c>
    </row>
    <row r="309" ht="14.25" customHeight="1" s="28">
      <c r="A309" s="29" t="n">
        <v>1777869001</v>
      </c>
      <c r="B309" s="29" t="inlineStr">
        <is>
          <t>XAUUSD</t>
        </is>
      </c>
      <c r="C309" s="29" t="inlineStr">
        <is>
          <t>M15</t>
        </is>
      </c>
      <c r="D309" s="29" t="n">
        <v>4609.32</v>
      </c>
      <c r="E309" s="29" t="n">
        <v>4717.79398</v>
      </c>
      <c r="F309" s="29" t="n">
        <v>4695.2428</v>
      </c>
      <c r="G309" s="29" t="n">
        <v>4518.59282</v>
      </c>
      <c r="H309" s="29" t="n">
        <v>4596.05595</v>
      </c>
      <c r="I309" s="29" t="n">
        <v>4755.40355</v>
      </c>
      <c r="J309" s="29" t="n">
        <v>4792.76972</v>
      </c>
      <c r="K309" s="29" t="n">
        <v>4769.97694</v>
      </c>
      <c r="L309" s="29" t="n">
        <v>4716.33597</v>
      </c>
      <c r="M309" s="29" t="n">
        <v>4718.85043</v>
      </c>
      <c r="N309" s="29" t="n">
        <v>4531.36057</v>
      </c>
      <c r="O309" s="29" t="n">
        <v>4556.93783</v>
      </c>
      <c r="Q309" s="29" t="n">
        <v>4610.7152</v>
      </c>
      <c r="R309" s="29" t="n">
        <v>4658.73286</v>
      </c>
      <c r="S309" s="29" t="n">
        <v>4634.54925</v>
      </c>
      <c r="V309" s="29" t="n">
        <v>4578.07001</v>
      </c>
      <c r="AB309" s="29" t="n">
        <v>4607.63961</v>
      </c>
      <c r="AC309" s="29" t="n">
        <v>4608.60555</v>
      </c>
      <c r="AD309" s="29" t="n">
        <v>0</v>
      </c>
    </row>
    <row r="310" ht="14.25" customHeight="1" s="28">
      <c r="A310" s="29" t="n">
        <v>1777869901</v>
      </c>
      <c r="B310" s="29" t="inlineStr">
        <is>
          <t>XAUUSD</t>
        </is>
      </c>
      <c r="C310" s="29" t="inlineStr">
        <is>
          <t>M15</t>
        </is>
      </c>
      <c r="D310" s="29" t="n">
        <v>4606</v>
      </c>
      <c r="E310" s="29" t="n">
        <v>4717.79398</v>
      </c>
      <c r="F310" s="29" t="n">
        <v>4695.2428</v>
      </c>
      <c r="G310" s="29" t="n">
        <v>4518.59282</v>
      </c>
      <c r="H310" s="29" t="n">
        <v>4596.05595</v>
      </c>
      <c r="I310" s="29" t="n">
        <v>4755.40355</v>
      </c>
      <c r="J310" s="29" t="n">
        <v>4792.76972</v>
      </c>
      <c r="K310" s="29" t="n">
        <v>4769.97694</v>
      </c>
      <c r="L310" s="29" t="n">
        <v>4716.33597</v>
      </c>
      <c r="M310" s="29" t="n">
        <v>4718.85043</v>
      </c>
      <c r="N310" s="29" t="n">
        <v>4531.36057</v>
      </c>
      <c r="O310" s="29" t="n">
        <v>4556.93783</v>
      </c>
      <c r="Q310" s="29" t="n">
        <v>4610.91765</v>
      </c>
      <c r="R310" s="29" t="n">
        <v>4658.93531</v>
      </c>
      <c r="S310" s="29" t="n">
        <v>4634.7517</v>
      </c>
      <c r="V310" s="29" t="n">
        <v>4578.27245</v>
      </c>
      <c r="AB310" s="29" t="n">
        <v>4605.68574</v>
      </c>
      <c r="AC310" s="29" t="n">
        <v>4607.14565</v>
      </c>
      <c r="AD310" s="29" t="n">
        <v>0</v>
      </c>
    </row>
    <row r="311" ht="14.25" customHeight="1" s="28">
      <c r="A311" s="29" t="n">
        <v>1777870801</v>
      </c>
      <c r="B311" s="29" t="inlineStr">
        <is>
          <t>XAUUSD</t>
        </is>
      </c>
      <c r="C311" s="29" t="inlineStr">
        <is>
          <t>M15</t>
        </is>
      </c>
      <c r="D311" s="29" t="n">
        <v>4603.74</v>
      </c>
      <c r="E311" s="29" t="n">
        <v>4717.79398</v>
      </c>
      <c r="F311" s="29" t="n">
        <v>4695.2428</v>
      </c>
      <c r="G311" s="29" t="n">
        <v>4518.59282</v>
      </c>
      <c r="H311" s="29" t="n">
        <v>4596.05595</v>
      </c>
      <c r="I311" s="29" t="n">
        <v>4755.40355</v>
      </c>
      <c r="J311" s="29" t="n">
        <v>4792.76972</v>
      </c>
      <c r="K311" s="29" t="n">
        <v>4769.97694</v>
      </c>
      <c r="L311" s="29" t="n">
        <v>4716.33597</v>
      </c>
      <c r="M311" s="29" t="n">
        <v>4718.85043</v>
      </c>
      <c r="N311" s="29" t="n">
        <v>4531.36057</v>
      </c>
      <c r="O311" s="29" t="n">
        <v>4556.93783</v>
      </c>
      <c r="Q311" s="29" t="n">
        <v>4611.12009</v>
      </c>
      <c r="R311" s="29" t="n">
        <v>4659.13776</v>
      </c>
      <c r="S311" s="29" t="n">
        <v>4634.95414</v>
      </c>
      <c r="V311" s="29" t="n">
        <v>4578.4749</v>
      </c>
      <c r="AB311" s="29" t="n">
        <v>4603.53031</v>
      </c>
      <c r="AC311" s="29" t="n">
        <v>4605.33798</v>
      </c>
      <c r="AD311" s="29" t="n">
        <v>0</v>
      </c>
    </row>
    <row r="312" ht="14.25" customHeight="1" s="28">
      <c r="A312" s="29" t="n">
        <v>1777871701</v>
      </c>
      <c r="B312" s="29" t="inlineStr">
        <is>
          <t>XAUUSD</t>
        </is>
      </c>
      <c r="C312" s="29" t="inlineStr">
        <is>
          <t>M15</t>
        </is>
      </c>
      <c r="D312" s="29" t="n">
        <v>4596.32</v>
      </c>
      <c r="E312" s="29" t="n">
        <v>4717.79398</v>
      </c>
      <c r="F312" s="29" t="n">
        <v>4695.2428</v>
      </c>
      <c r="G312" s="29" t="n">
        <v>4518.59282</v>
      </c>
      <c r="H312" s="29" t="n">
        <v>4596.05595</v>
      </c>
      <c r="I312" s="29" t="n">
        <v>4755.40355</v>
      </c>
      <c r="J312" s="29" t="n">
        <v>4792.76972</v>
      </c>
      <c r="K312" s="29" t="n">
        <v>4769.97694</v>
      </c>
      <c r="L312" s="29" t="n">
        <v>4716.33597</v>
      </c>
      <c r="M312" s="29" t="n">
        <v>4718.85043</v>
      </c>
      <c r="N312" s="29" t="n">
        <v>4531.36057</v>
      </c>
      <c r="O312" s="29" t="n">
        <v>4556.93783</v>
      </c>
      <c r="Q312" s="29" t="n">
        <v>4611.32254</v>
      </c>
      <c r="R312" s="29" t="n">
        <v>4659.3402</v>
      </c>
      <c r="S312" s="29" t="n">
        <v>4635.15659</v>
      </c>
      <c r="V312" s="29" t="n">
        <v>4578.67735</v>
      </c>
      <c r="AB312" s="29" t="n">
        <v>4601.33061</v>
      </c>
      <c r="AC312" s="29" t="n">
        <v>4603.33429</v>
      </c>
      <c r="AD312" s="29" t="n">
        <v>0</v>
      </c>
    </row>
    <row r="313" ht="14.25" customHeight="1" s="28">
      <c r="A313" s="29" t="n">
        <v>1777872601</v>
      </c>
      <c r="B313" s="29" t="inlineStr">
        <is>
          <t>XAUUSD</t>
        </is>
      </c>
      <c r="C313" s="29" t="inlineStr">
        <is>
          <t>M15</t>
        </is>
      </c>
      <c r="D313" s="29" t="n">
        <v>4598.85</v>
      </c>
      <c r="E313" s="29" t="n">
        <v>4717.79398</v>
      </c>
      <c r="F313" s="29" t="n">
        <v>4695.2428</v>
      </c>
      <c r="G313" s="29" t="n">
        <v>4518.59282</v>
      </c>
      <c r="H313" s="29" t="n">
        <v>4596.05595</v>
      </c>
      <c r="I313" s="29" t="n">
        <v>4755.40355</v>
      </c>
      <c r="J313" s="29" t="n">
        <v>4792.76972</v>
      </c>
      <c r="K313" s="29" t="n">
        <v>4769.97694</v>
      </c>
      <c r="L313" s="29" t="n">
        <v>4716.33597</v>
      </c>
      <c r="M313" s="29" t="n">
        <v>4718.85043</v>
      </c>
      <c r="N313" s="29" t="n">
        <v>4531.36057</v>
      </c>
      <c r="O313" s="29" t="n">
        <v>4556.93783</v>
      </c>
      <c r="Q313" s="29" t="n">
        <v>4611.52498</v>
      </c>
      <c r="R313" s="29" t="n">
        <v>4659.54265</v>
      </c>
      <c r="S313" s="29" t="n">
        <v>4635.35903</v>
      </c>
      <c r="V313" s="29" t="n">
        <v>4578.87979</v>
      </c>
      <c r="AB313" s="29" t="n">
        <v>4599.31382</v>
      </c>
      <c r="AC313" s="29" t="n">
        <v>4601.32406</v>
      </c>
      <c r="AD313" s="29" t="n">
        <v>0</v>
      </c>
    </row>
    <row r="314" ht="14.25" customHeight="1" s="28">
      <c r="A314" s="29" t="n">
        <v>1777873501</v>
      </c>
      <c r="B314" s="29" t="inlineStr">
        <is>
          <t>XAUUSD</t>
        </is>
      </c>
      <c r="C314" s="29" t="inlineStr">
        <is>
          <t>M15</t>
        </is>
      </c>
      <c r="D314" s="29" t="n">
        <v>4599.12</v>
      </c>
      <c r="E314" s="29" t="n">
        <v>4717.79398</v>
      </c>
      <c r="F314" s="29" t="n">
        <v>4695.2428</v>
      </c>
      <c r="G314" s="29" t="n">
        <v>4518.59282</v>
      </c>
      <c r="H314" s="29" t="n">
        <v>4596.05595</v>
      </c>
      <c r="I314" s="29" t="n">
        <v>4755.40355</v>
      </c>
      <c r="J314" s="29" t="n">
        <v>4792.76972</v>
      </c>
      <c r="K314" s="29" t="n">
        <v>4769.97694</v>
      </c>
      <c r="L314" s="29" t="n">
        <v>4716.33597</v>
      </c>
      <c r="M314" s="29" t="n">
        <v>4718.85043</v>
      </c>
      <c r="N314" s="29" t="n">
        <v>4531.36057</v>
      </c>
      <c r="O314" s="29" t="n">
        <v>4556.93783</v>
      </c>
      <c r="Q314" s="29" t="n">
        <v>4611.72743</v>
      </c>
      <c r="R314" s="29" t="n">
        <v>4659.74509</v>
      </c>
      <c r="S314" s="29" t="n">
        <v>4635.56148</v>
      </c>
      <c r="V314" s="29" t="n">
        <v>4579.08224</v>
      </c>
      <c r="AB314" s="29" t="n">
        <v>4597.33706</v>
      </c>
      <c r="AC314" s="29" t="n">
        <v>4599.33056</v>
      </c>
      <c r="AD314" s="29" t="n">
        <v>0</v>
      </c>
    </row>
    <row r="315" ht="14.25" customHeight="1" s="28">
      <c r="A315" s="29" t="n">
        <v>1777874401</v>
      </c>
      <c r="B315" s="29" t="inlineStr">
        <is>
          <t>XAUUSD</t>
        </is>
      </c>
      <c r="C315" s="29" t="inlineStr">
        <is>
          <t>M15</t>
        </is>
      </c>
      <c r="D315" s="29" t="n">
        <v>4597.44</v>
      </c>
      <c r="E315" s="29" t="n">
        <v>4717.79398</v>
      </c>
      <c r="F315" s="29" t="n">
        <v>4695.2428</v>
      </c>
      <c r="G315" s="29" t="n">
        <v>4518.59282</v>
      </c>
      <c r="H315" s="29" t="n">
        <v>4596.05595</v>
      </c>
      <c r="I315" s="29" t="n">
        <v>4755.40355</v>
      </c>
      <c r="J315" s="29" t="n">
        <v>4792.76972</v>
      </c>
      <c r="K315" s="29" t="n">
        <v>4769.97694</v>
      </c>
      <c r="L315" s="29" t="n">
        <v>4716.33597</v>
      </c>
      <c r="M315" s="29" t="n">
        <v>4718.85043</v>
      </c>
      <c r="N315" s="29" t="n">
        <v>4531.36057</v>
      </c>
      <c r="O315" s="29" t="n">
        <v>4556.93783</v>
      </c>
      <c r="Q315" s="29" t="n">
        <v>4611.92987</v>
      </c>
      <c r="R315" s="29" t="n">
        <v>4659.94754</v>
      </c>
      <c r="S315" s="29" t="n">
        <v>4635.76393</v>
      </c>
      <c r="V315" s="29" t="n">
        <v>4579.28468</v>
      </c>
      <c r="AB315" s="29" t="n">
        <v>4595.29208</v>
      </c>
      <c r="AC315" s="29" t="n">
        <v>4597.31132</v>
      </c>
      <c r="AD315" s="29" t="n">
        <v>0</v>
      </c>
    </row>
    <row r="316" ht="14.25" customHeight="1" s="28">
      <c r="A316" s="29" t="n">
        <v>1777875301</v>
      </c>
      <c r="B316" s="29" t="inlineStr">
        <is>
          <t>XAUUSD</t>
        </is>
      </c>
      <c r="C316" s="29" t="inlineStr">
        <is>
          <t>M15</t>
        </is>
      </c>
      <c r="D316" s="29" t="n">
        <v>4594.08</v>
      </c>
      <c r="E316" s="29" t="n">
        <v>4717.79398</v>
      </c>
      <c r="F316" s="29" t="n">
        <v>4695.2428</v>
      </c>
      <c r="G316" s="29" t="n">
        <v>4518.59282</v>
      </c>
      <c r="H316" s="29" t="n">
        <v>4596.05595</v>
      </c>
      <c r="I316" s="29" t="n">
        <v>4755.40355</v>
      </c>
      <c r="J316" s="29" t="n">
        <v>4792.76972</v>
      </c>
      <c r="K316" s="29" t="n">
        <v>4769.97694</v>
      </c>
      <c r="L316" s="29" t="n">
        <v>4716.33597</v>
      </c>
      <c r="M316" s="29" t="n">
        <v>4718.85043</v>
      </c>
      <c r="N316" s="29" t="n">
        <v>4531.36057</v>
      </c>
      <c r="O316" s="29" t="n">
        <v>4556.93783</v>
      </c>
      <c r="Q316" s="29" t="n">
        <v>4612.13232</v>
      </c>
      <c r="R316" s="29" t="n">
        <v>4660.14998</v>
      </c>
      <c r="S316" s="29" t="n">
        <v>4635.96637</v>
      </c>
      <c r="V316" s="29" t="n">
        <v>4579.48713</v>
      </c>
      <c r="AB316" s="29" t="n">
        <v>4593.10538</v>
      </c>
      <c r="AC316" s="29" t="n">
        <v>4595.20835</v>
      </c>
      <c r="AD316" s="29" t="n">
        <v>0</v>
      </c>
    </row>
    <row r="317" ht="14.25" customHeight="1" s="28">
      <c r="A317" s="29" t="n">
        <v>1777876201</v>
      </c>
      <c r="B317" s="29" t="inlineStr">
        <is>
          <t>XAUUSD</t>
        </is>
      </c>
      <c r="C317" s="29" t="inlineStr">
        <is>
          <t>M15</t>
        </is>
      </c>
      <c r="D317" s="29" t="n">
        <v>4585.46</v>
      </c>
      <c r="E317" s="29" t="n">
        <v>4717.79398</v>
      </c>
      <c r="F317" s="29" t="n">
        <v>4695.2428</v>
      </c>
      <c r="G317" s="29" t="n">
        <v>4518.59282</v>
      </c>
      <c r="H317" s="29" t="n">
        <v>4596.05595</v>
      </c>
      <c r="I317" s="29" t="n">
        <v>4755.40355</v>
      </c>
      <c r="J317" s="29" t="n">
        <v>4792.76972</v>
      </c>
      <c r="K317" s="29" t="n">
        <v>4769.97694</v>
      </c>
      <c r="L317" s="29" t="n">
        <v>4716.33597</v>
      </c>
      <c r="M317" s="29" t="n">
        <v>4718.85043</v>
      </c>
      <c r="N317" s="29" t="n">
        <v>4531.36057</v>
      </c>
      <c r="O317" s="29" t="n">
        <v>4556.93783</v>
      </c>
      <c r="Q317" s="29" t="n">
        <v>4612.33477</v>
      </c>
      <c r="R317" s="29" t="n">
        <v>4660.35243</v>
      </c>
      <c r="S317" s="29" t="n">
        <v>4636.16882</v>
      </c>
      <c r="V317" s="29" t="n">
        <v>4579.68957</v>
      </c>
      <c r="AB317" s="29" t="n">
        <v>4590.84735</v>
      </c>
      <c r="AC317" s="29" t="n">
        <v>4593.02785</v>
      </c>
      <c r="AD317" s="29" t="n">
        <v>0</v>
      </c>
    </row>
    <row r="318" ht="14.25" customHeight="1" s="28">
      <c r="A318" s="29" t="n">
        <v>1777877101</v>
      </c>
      <c r="B318" s="29" t="inlineStr">
        <is>
          <t>XAUUSD</t>
        </is>
      </c>
      <c r="C318" s="29" t="inlineStr">
        <is>
          <t>M15</t>
        </is>
      </c>
      <c r="D318" s="29" t="n">
        <v>4588.54</v>
      </c>
      <c r="E318" s="29" t="n">
        <v>4717.79398</v>
      </c>
      <c r="F318" s="29" t="n">
        <v>4695.2428</v>
      </c>
      <c r="G318" s="29" t="n">
        <v>4518.59282</v>
      </c>
      <c r="H318" s="29" t="n">
        <v>4596.05595</v>
      </c>
      <c r="I318" s="29" t="n">
        <v>4755.40355</v>
      </c>
      <c r="J318" s="29" t="n">
        <v>4792.76972</v>
      </c>
      <c r="K318" s="29" t="n">
        <v>4769.97694</v>
      </c>
      <c r="L318" s="29" t="n">
        <v>4716.33597</v>
      </c>
      <c r="M318" s="29" t="n">
        <v>4718.85043</v>
      </c>
      <c r="N318" s="29" t="n">
        <v>4531.36057</v>
      </c>
      <c r="O318" s="29" t="n">
        <v>4556.93783</v>
      </c>
      <c r="Q318" s="29" t="n">
        <v>4612.53721</v>
      </c>
      <c r="R318" s="29" t="n">
        <v>4660.55488</v>
      </c>
      <c r="S318" s="29" t="n">
        <v>4636.37126</v>
      </c>
      <c r="V318" s="29" t="n">
        <v>4579.89202</v>
      </c>
      <c r="AB318" s="29" t="n">
        <v>4588.78298</v>
      </c>
      <c r="AC318" s="29" t="n">
        <v>4590.90542</v>
      </c>
      <c r="AD318" s="29" t="n">
        <v>0</v>
      </c>
    </row>
    <row r="319" ht="14.25" customHeight="1" s="28">
      <c r="A319" s="29" t="n">
        <v>1777878001</v>
      </c>
      <c r="B319" s="29" t="inlineStr">
        <is>
          <t>XAUUSD</t>
        </is>
      </c>
      <c r="C319" s="29" t="inlineStr">
        <is>
          <t>M15</t>
        </is>
      </c>
      <c r="D319" s="29" t="n">
        <v>4592.16</v>
      </c>
      <c r="E319" s="29" t="n">
        <v>4717.79398</v>
      </c>
      <c r="F319" s="29" t="n">
        <v>4695.2428</v>
      </c>
      <c r="G319" s="29" t="n">
        <v>4518.59282</v>
      </c>
      <c r="H319" s="29" t="n">
        <v>4596.05595</v>
      </c>
      <c r="I319" s="29" t="n">
        <v>4755.40355</v>
      </c>
      <c r="J319" s="29" t="n">
        <v>4792.76972</v>
      </c>
      <c r="K319" s="29" t="n">
        <v>4769.97694</v>
      </c>
      <c r="L319" s="29" t="n">
        <v>4716.33597</v>
      </c>
      <c r="M319" s="29" t="n">
        <v>4718.85043</v>
      </c>
      <c r="N319" s="29" t="n">
        <v>4531.36057</v>
      </c>
      <c r="O319" s="29" t="n">
        <v>4556.93783</v>
      </c>
      <c r="Q319" s="29" t="n">
        <v>4612.73966</v>
      </c>
      <c r="R319" s="29" t="n">
        <v>4660.75732</v>
      </c>
      <c r="S319" s="29" t="n">
        <v>4636.57371</v>
      </c>
      <c r="V319" s="29" t="n">
        <v>4580.09447</v>
      </c>
      <c r="AB319" s="29" t="n">
        <v>4586.85043</v>
      </c>
      <c r="AC319" s="29" t="n">
        <v>4588.87792</v>
      </c>
      <c r="AD319" s="29" t="n">
        <v>0</v>
      </c>
    </row>
    <row r="320" ht="14.25" customHeight="1" s="28">
      <c r="A320" s="29" t="n">
        <v>1777878901</v>
      </c>
      <c r="B320" s="29" t="inlineStr">
        <is>
          <t>XAUUSD</t>
        </is>
      </c>
      <c r="C320" s="29" t="inlineStr">
        <is>
          <t>M15</t>
        </is>
      </c>
      <c r="D320" s="29" t="n">
        <v>4585.82</v>
      </c>
      <c r="E320" s="29" t="n">
        <v>4717.79398</v>
      </c>
      <c r="F320" s="29" t="n">
        <v>4695.2428</v>
      </c>
      <c r="G320" s="29" t="n">
        <v>4518.59282</v>
      </c>
      <c r="H320" s="29" t="n">
        <v>4596.05595</v>
      </c>
      <c r="I320" s="29" t="n">
        <v>4755.40355</v>
      </c>
      <c r="J320" s="29" t="n">
        <v>4792.76972</v>
      </c>
      <c r="K320" s="29" t="n">
        <v>4769.97694</v>
      </c>
      <c r="L320" s="29" t="n">
        <v>4716.33597</v>
      </c>
      <c r="M320" s="29" t="n">
        <v>4718.85043</v>
      </c>
      <c r="N320" s="29" t="n">
        <v>4531.36057</v>
      </c>
      <c r="O320" s="29" t="n">
        <v>4556.93783</v>
      </c>
      <c r="Q320" s="29" t="n">
        <v>4612.9421</v>
      </c>
      <c r="R320" s="29" t="n">
        <v>4660.95977</v>
      </c>
      <c r="S320" s="29" t="n">
        <v>4636.77615</v>
      </c>
      <c r="V320" s="29" t="n">
        <v>4580.29691</v>
      </c>
      <c r="AB320" s="29" t="n">
        <v>4585.02155</v>
      </c>
      <c r="AC320" s="29" t="n">
        <v>4586.94974</v>
      </c>
      <c r="AD320" s="29" t="n">
        <v>0</v>
      </c>
    </row>
    <row r="321" ht="14.25" customHeight="1" s="28">
      <c r="A321" s="29" t="n">
        <v>1777879801</v>
      </c>
      <c r="B321" s="29" t="inlineStr">
        <is>
          <t>XAUUSD</t>
        </is>
      </c>
      <c r="C321" s="29" t="inlineStr">
        <is>
          <t>M15</t>
        </is>
      </c>
      <c r="D321" s="29" t="n">
        <v>4587.99</v>
      </c>
      <c r="E321" s="29" t="n">
        <v>4717.79398</v>
      </c>
      <c r="F321" s="29" t="n">
        <v>4695.2428</v>
      </c>
      <c r="G321" s="29" t="n">
        <v>4518.59282</v>
      </c>
      <c r="H321" s="29" t="n">
        <v>4596.05595</v>
      </c>
      <c r="I321" s="29" t="n">
        <v>4755.40355</v>
      </c>
      <c r="J321" s="29" t="n">
        <v>4792.76972</v>
      </c>
      <c r="K321" s="29" t="n">
        <v>4769.97694</v>
      </c>
      <c r="L321" s="29" t="n">
        <v>4716.33597</v>
      </c>
      <c r="M321" s="29" t="n">
        <v>4718.85043</v>
      </c>
      <c r="N321" s="29" t="n">
        <v>4531.36057</v>
      </c>
      <c r="O321" s="29" t="n">
        <v>4556.93783</v>
      </c>
      <c r="Q321" s="29" t="n">
        <v>4613.14455</v>
      </c>
      <c r="R321" s="29" t="n">
        <v>4661.16221</v>
      </c>
      <c r="S321" s="29" t="n">
        <v>4636.9786</v>
      </c>
      <c r="V321" s="29" t="n">
        <v>4580.49936</v>
      </c>
      <c r="AB321" s="29" t="n">
        <v>4583.56213</v>
      </c>
      <c r="AC321" s="29" t="n">
        <v>4585.25593</v>
      </c>
      <c r="AD321" s="29" t="n">
        <v>0</v>
      </c>
    </row>
    <row r="322" ht="14.25" customHeight="1" s="28">
      <c r="A322" s="29" t="n">
        <v>1777880701</v>
      </c>
      <c r="B322" s="29" t="inlineStr">
        <is>
          <t>XAUUSD</t>
        </is>
      </c>
      <c r="C322" s="29" t="inlineStr">
        <is>
          <t>M15</t>
        </is>
      </c>
      <c r="D322" s="29" t="n">
        <v>4579.06</v>
      </c>
      <c r="E322" s="29" t="n">
        <v>4717.79398</v>
      </c>
      <c r="F322" s="29" t="n">
        <v>4695.2428</v>
      </c>
      <c r="G322" s="29" t="n">
        <v>4518.59282</v>
      </c>
      <c r="H322" s="29" t="n">
        <v>4596.05595</v>
      </c>
      <c r="I322" s="29" t="n">
        <v>4755.40355</v>
      </c>
      <c r="J322" s="29" t="n">
        <v>4792.76972</v>
      </c>
      <c r="K322" s="29" t="n">
        <v>4769.97694</v>
      </c>
      <c r="L322" s="29" t="n">
        <v>4716.33597</v>
      </c>
      <c r="M322" s="29" t="n">
        <v>4718.85043</v>
      </c>
      <c r="N322" s="29" t="n">
        <v>4531.36057</v>
      </c>
      <c r="O322" s="29" t="n">
        <v>4556.93783</v>
      </c>
      <c r="Q322" s="29" t="n">
        <v>4613.34699</v>
      </c>
      <c r="R322" s="29" t="n">
        <v>4661.36466</v>
      </c>
      <c r="S322" s="29" t="n">
        <v>4637.18105</v>
      </c>
      <c r="V322" s="29" t="n">
        <v>4580.7018</v>
      </c>
      <c r="AB322" s="29" t="n">
        <v>4582.44301</v>
      </c>
      <c r="AC322" s="29" t="n">
        <v>4583.84947</v>
      </c>
      <c r="AD322" s="29" t="n">
        <v>0</v>
      </c>
    </row>
    <row r="323" ht="14.25" customHeight="1" s="28">
      <c r="A323" s="29" t="n">
        <v>1777881601</v>
      </c>
      <c r="B323" s="29" t="inlineStr">
        <is>
          <t>XAUUSD</t>
        </is>
      </c>
      <c r="C323" s="29" t="inlineStr">
        <is>
          <t>M15</t>
        </is>
      </c>
      <c r="D323" s="29" t="n">
        <v>4580.25</v>
      </c>
      <c r="E323" s="29" t="n">
        <v>4717.79398</v>
      </c>
      <c r="F323" s="29" t="n">
        <v>4695.2428</v>
      </c>
      <c r="G323" s="29" t="n">
        <v>4518.59282</v>
      </c>
      <c r="H323" s="29" t="n">
        <v>4596.05595</v>
      </c>
      <c r="I323" s="29" t="n">
        <v>4755.40355</v>
      </c>
      <c r="J323" s="29" t="n">
        <v>4792.76972</v>
      </c>
      <c r="K323" s="29" t="n">
        <v>4769.97694</v>
      </c>
      <c r="L323" s="29" t="n">
        <v>4716.33597</v>
      </c>
      <c r="M323" s="29" t="n">
        <v>4718.85043</v>
      </c>
      <c r="N323" s="29" t="n">
        <v>4531.36057</v>
      </c>
      <c r="O323" s="29" t="n">
        <v>4556.93783</v>
      </c>
      <c r="Q323" s="29" t="n">
        <v>4613.54944</v>
      </c>
      <c r="R323" s="29" t="n">
        <v>4661.5671</v>
      </c>
      <c r="S323" s="29" t="n">
        <v>4637.38349</v>
      </c>
      <c r="V323" s="29" t="n">
        <v>4580.90425</v>
      </c>
      <c r="AB323" s="29" t="n">
        <v>4581.82346</v>
      </c>
      <c r="AC323" s="29" t="n">
        <v>4582.83646</v>
      </c>
      <c r="AD323" s="29" t="n">
        <v>0</v>
      </c>
    </row>
    <row r="324" ht="14.25" customHeight="1" s="28">
      <c r="A324" s="29" t="n">
        <v>1777882501</v>
      </c>
      <c r="B324" s="29" t="inlineStr">
        <is>
          <t>XAUUSD</t>
        </is>
      </c>
      <c r="C324" s="29" t="inlineStr">
        <is>
          <t>M15</t>
        </is>
      </c>
      <c r="D324" s="29" t="n">
        <v>4575.07</v>
      </c>
      <c r="E324" s="29" t="n">
        <v>4717.79398</v>
      </c>
      <c r="F324" s="29" t="n">
        <v>4695.2428</v>
      </c>
      <c r="G324" s="29" t="n">
        <v>4518.59282</v>
      </c>
      <c r="H324" s="29" t="n">
        <v>4596.05595</v>
      </c>
      <c r="I324" s="29" t="n">
        <v>4755.40355</v>
      </c>
      <c r="J324" s="29" t="n">
        <v>4792.76972</v>
      </c>
      <c r="K324" s="29" t="n">
        <v>4769.97694</v>
      </c>
      <c r="L324" s="29" t="n">
        <v>4716.33597</v>
      </c>
      <c r="M324" s="29" t="n">
        <v>4718.85043</v>
      </c>
      <c r="N324" s="29" t="n">
        <v>4531.36057</v>
      </c>
      <c r="O324" s="29" t="n">
        <v>4556.93783</v>
      </c>
      <c r="Q324" s="29" t="n">
        <v>4613.75189</v>
      </c>
      <c r="R324" s="29" t="n">
        <v>4661.76955</v>
      </c>
      <c r="S324" s="29" t="n">
        <v>4637.58594</v>
      </c>
      <c r="V324" s="29" t="n">
        <v>4581.10669</v>
      </c>
      <c r="AB324" s="29" t="n">
        <v>4581.41462</v>
      </c>
      <c r="AC324" s="29" t="n">
        <v>4582.12554</v>
      </c>
      <c r="AD324" s="29" t="n">
        <v>0</v>
      </c>
    </row>
    <row r="325" ht="14.25" customHeight="1" s="28">
      <c r="A325" s="29" t="n">
        <v>1777883401</v>
      </c>
      <c r="B325" s="29" t="inlineStr">
        <is>
          <t>XAUUSD</t>
        </is>
      </c>
      <c r="C325" s="29" t="inlineStr">
        <is>
          <t>M15</t>
        </is>
      </c>
      <c r="D325" s="29" t="n">
        <v>4578.09</v>
      </c>
      <c r="E325" s="29" t="n">
        <v>4717.79398</v>
      </c>
      <c r="F325" s="29" t="n">
        <v>4695.2428</v>
      </c>
      <c r="G325" s="29" t="n">
        <v>4518.59282</v>
      </c>
      <c r="H325" s="29" t="n">
        <v>4596.05595</v>
      </c>
      <c r="I325" s="29" t="n">
        <v>4755.40355</v>
      </c>
      <c r="J325" s="29" t="n">
        <v>4792.76972</v>
      </c>
      <c r="K325" s="29" t="n">
        <v>4769.97694</v>
      </c>
      <c r="L325" s="29" t="n">
        <v>4716.33597</v>
      </c>
      <c r="M325" s="29" t="n">
        <v>4718.85043</v>
      </c>
      <c r="N325" s="29" t="n">
        <v>4531.36057</v>
      </c>
      <c r="O325" s="29" t="n">
        <v>4556.93783</v>
      </c>
      <c r="Q325" s="29" t="n">
        <v>4613.95433</v>
      </c>
      <c r="R325" s="29" t="n">
        <v>4661.972</v>
      </c>
      <c r="S325" s="29" t="n">
        <v>4637.78838</v>
      </c>
      <c r="V325" s="29" t="n">
        <v>4581.30914</v>
      </c>
      <c r="AB325" s="29" t="n">
        <v>4580.98161</v>
      </c>
      <c r="AC325" s="29" t="n">
        <v>4581.55357</v>
      </c>
      <c r="AD325" s="29" t="n">
        <v>0</v>
      </c>
    </row>
    <row r="326" ht="14.25" customHeight="1" s="28">
      <c r="A326" s="29" t="n">
        <v>1777884301</v>
      </c>
      <c r="B326" s="29" t="inlineStr">
        <is>
          <t>XAUUSD</t>
        </is>
      </c>
      <c r="C326" s="29" t="inlineStr">
        <is>
          <t>M15</t>
        </is>
      </c>
      <c r="D326" s="29" t="n">
        <v>4577.11</v>
      </c>
      <c r="E326" s="29" t="n">
        <v>4717.79398</v>
      </c>
      <c r="F326" s="29" t="n">
        <v>4695.2428</v>
      </c>
      <c r="G326" s="29" t="n">
        <v>4518.59282</v>
      </c>
      <c r="H326" s="29" t="n">
        <v>4596.05595</v>
      </c>
      <c r="I326" s="29" t="n">
        <v>4755.40355</v>
      </c>
      <c r="J326" s="29" t="n">
        <v>4792.76972</v>
      </c>
      <c r="K326" s="29" t="n">
        <v>4769.97694</v>
      </c>
      <c r="L326" s="29" t="n">
        <v>4716.33597</v>
      </c>
      <c r="M326" s="29" t="n">
        <v>4718.85043</v>
      </c>
      <c r="N326" s="29" t="n">
        <v>4531.36057</v>
      </c>
      <c r="O326" s="29" t="n">
        <v>4556.93783</v>
      </c>
      <c r="Q326" s="29" t="n">
        <v>4614.15678</v>
      </c>
      <c r="R326" s="29" t="n">
        <v>4662.17444</v>
      </c>
      <c r="S326" s="29" t="n">
        <v>4637.99083</v>
      </c>
      <c r="V326" s="29" t="n">
        <v>4581.51158</v>
      </c>
      <c r="AB326" s="29" t="n">
        <v>4580.04908</v>
      </c>
      <c r="AC326" s="29" t="n">
        <v>4580.80133</v>
      </c>
      <c r="AD326" s="29" t="n">
        <v>0</v>
      </c>
    </row>
    <row r="327" ht="14.25" customHeight="1" s="28">
      <c r="A327" s="29" t="n">
        <v>1777885201</v>
      </c>
      <c r="B327" s="29" t="inlineStr">
        <is>
          <t>XAUUSD</t>
        </is>
      </c>
      <c r="C327" s="29" t="inlineStr">
        <is>
          <t>M15</t>
        </is>
      </c>
      <c r="D327" s="29" t="n">
        <v>4584.21</v>
      </c>
      <c r="E327" s="29" t="n">
        <v>4717.79398</v>
      </c>
      <c r="F327" s="29" t="n">
        <v>4695.2428</v>
      </c>
      <c r="G327" s="29" t="n">
        <v>4518.59282</v>
      </c>
      <c r="H327" s="29" t="n">
        <v>4596.05595</v>
      </c>
      <c r="I327" s="29" t="n">
        <v>4755.40355</v>
      </c>
      <c r="J327" s="29" t="n">
        <v>4792.76972</v>
      </c>
      <c r="K327" s="29" t="n">
        <v>4769.97694</v>
      </c>
      <c r="L327" s="29" t="n">
        <v>4716.33597</v>
      </c>
      <c r="M327" s="29" t="n">
        <v>4718.85043</v>
      </c>
      <c r="N327" s="29" t="n">
        <v>4531.36057</v>
      </c>
      <c r="O327" s="29" t="n">
        <v>4556.93783</v>
      </c>
      <c r="Q327" s="29" t="n">
        <v>4614.35922</v>
      </c>
      <c r="R327" s="29" t="n">
        <v>4662.37689</v>
      </c>
      <c r="S327" s="29" t="n">
        <v>4638.19327</v>
      </c>
      <c r="V327" s="29" t="n">
        <v>4581.71403</v>
      </c>
      <c r="AB327" s="29" t="n">
        <v>4578.27299</v>
      </c>
      <c r="AC327" s="29" t="n">
        <v>4579.53716</v>
      </c>
      <c r="AD327" s="29" t="n">
        <v>0</v>
      </c>
    </row>
    <row r="328" ht="14.25" customHeight="1" s="28">
      <c r="A328" s="29" t="n">
        <v>1777886101</v>
      </c>
      <c r="B328" s="29" t="inlineStr">
        <is>
          <t>XAUUSD</t>
        </is>
      </c>
      <c r="C328" s="29" t="inlineStr">
        <is>
          <t>M15</t>
        </is>
      </c>
      <c r="D328" s="29" t="n">
        <v>4581.15</v>
      </c>
      <c r="E328" s="29" t="n">
        <v>4717.79398</v>
      </c>
      <c r="F328" s="29" t="n">
        <v>4695.2428</v>
      </c>
      <c r="G328" s="29" t="n">
        <v>4518.59282</v>
      </c>
      <c r="H328" s="29" t="n">
        <v>4596.05595</v>
      </c>
      <c r="I328" s="29" t="n">
        <v>4755.40355</v>
      </c>
      <c r="J328" s="29" t="n">
        <v>4792.76972</v>
      </c>
      <c r="K328" s="29" t="n">
        <v>4769.97694</v>
      </c>
      <c r="L328" s="29" t="n">
        <v>4716.33597</v>
      </c>
      <c r="M328" s="29" t="n">
        <v>4718.85043</v>
      </c>
      <c r="N328" s="29" t="n">
        <v>4531.36057</v>
      </c>
      <c r="O328" s="29" t="n">
        <v>4556.93783</v>
      </c>
      <c r="Q328" s="29" t="n">
        <v>4614.56167</v>
      </c>
      <c r="R328" s="29" t="n">
        <v>4662.57933</v>
      </c>
      <c r="S328" s="29" t="n">
        <v>4638.39572</v>
      </c>
      <c r="V328" s="29" t="n">
        <v>4581.91648</v>
      </c>
      <c r="AB328" s="29" t="n">
        <v>4575.25669</v>
      </c>
      <c r="AC328" s="29" t="n">
        <v>4577.39692</v>
      </c>
      <c r="AD328" s="29" t="n">
        <v>0</v>
      </c>
    </row>
    <row r="329" ht="14.25" customHeight="1" s="28">
      <c r="A329" s="29" t="n">
        <v>1777887001</v>
      </c>
      <c r="B329" s="29" t="inlineStr">
        <is>
          <t>XAUUSD</t>
        </is>
      </c>
      <c r="C329" s="29" t="inlineStr">
        <is>
          <t>M15</t>
        </is>
      </c>
      <c r="D329" s="29" t="n">
        <v>4581.26</v>
      </c>
      <c r="E329" s="29" t="n">
        <v>4717.79398</v>
      </c>
      <c r="F329" s="29" t="n">
        <v>4695.2428</v>
      </c>
      <c r="G329" s="29" t="n">
        <v>4518.59282</v>
      </c>
      <c r="H329" s="29" t="n">
        <v>4596.05595</v>
      </c>
      <c r="I329" s="29" t="n">
        <v>4755.40355</v>
      </c>
      <c r="J329" s="29" t="n">
        <v>4792.76972</v>
      </c>
      <c r="K329" s="29" t="n">
        <v>4769.97694</v>
      </c>
      <c r="L329" s="29" t="n">
        <v>4716.33597</v>
      </c>
      <c r="M329" s="29" t="n">
        <v>4718.85043</v>
      </c>
      <c r="N329" s="29" t="n">
        <v>4531.36057</v>
      </c>
      <c r="O329" s="29" t="n">
        <v>4556.93783</v>
      </c>
      <c r="Q329" s="29" t="n">
        <v>4614.76411</v>
      </c>
      <c r="R329" s="29" t="n">
        <v>4662.78178</v>
      </c>
      <c r="S329" s="29" t="n">
        <v>4638.59817</v>
      </c>
      <c r="V329" s="29" t="n">
        <v>4582.11892</v>
      </c>
      <c r="AB329" s="29" t="n">
        <v>4571.14583</v>
      </c>
      <c r="AC329" s="29" t="n">
        <v>4574.27138</v>
      </c>
      <c r="AD329" s="29" t="n">
        <v>0</v>
      </c>
    </row>
    <row r="330" ht="14.25" customHeight="1" s="28">
      <c r="A330" s="29" t="n">
        <v>1777887901</v>
      </c>
      <c r="B330" s="29" t="inlineStr">
        <is>
          <t>XAUUSD</t>
        </is>
      </c>
      <c r="C330" s="29" t="inlineStr">
        <is>
          <t>M15</t>
        </is>
      </c>
      <c r="D330" s="29" t="n">
        <v>4575.47</v>
      </c>
      <c r="E330" s="29" t="n">
        <v>4717.79398</v>
      </c>
      <c r="F330" s="29" t="n">
        <v>4695.2428</v>
      </c>
      <c r="G330" s="29" t="n">
        <v>4518.59282</v>
      </c>
      <c r="H330" s="29" t="n">
        <v>4596.05595</v>
      </c>
      <c r="I330" s="29" t="n">
        <v>4755.40355</v>
      </c>
      <c r="J330" s="29" t="n">
        <v>4792.76972</v>
      </c>
      <c r="K330" s="29" t="n">
        <v>4769.97694</v>
      </c>
      <c r="L330" s="29" t="n">
        <v>4716.33597</v>
      </c>
      <c r="M330" s="29" t="n">
        <v>4718.85043</v>
      </c>
      <c r="N330" s="29" t="n">
        <v>4531.36057</v>
      </c>
      <c r="O330" s="29" t="n">
        <v>4556.93783</v>
      </c>
      <c r="Q330" s="29" t="n">
        <v>4614.96656</v>
      </c>
      <c r="R330" s="29" t="n">
        <v>4662.98422</v>
      </c>
      <c r="S330" s="29" t="n">
        <v>4638.80061</v>
      </c>
      <c r="V330" s="29" t="n">
        <v>4582.32137</v>
      </c>
      <c r="AB330" s="29" t="n">
        <v>4566.29874</v>
      </c>
      <c r="AC330" s="29" t="n">
        <v>4570.28506</v>
      </c>
      <c r="AD330" s="29" t="n">
        <v>0</v>
      </c>
    </row>
    <row r="331" ht="14.25" customHeight="1" s="28">
      <c r="A331" s="29" t="n">
        <v>1777888801</v>
      </c>
      <c r="B331" s="29" t="inlineStr">
        <is>
          <t>XAUUSD</t>
        </is>
      </c>
      <c r="C331" s="29" t="inlineStr">
        <is>
          <t>M15</t>
        </is>
      </c>
      <c r="D331" s="29" t="n">
        <v>4541.79</v>
      </c>
      <c r="E331" s="29" t="n">
        <v>4717.79398</v>
      </c>
      <c r="F331" s="29" t="n">
        <v>4695.2428</v>
      </c>
      <c r="G331" s="29" t="n">
        <v>4518.59282</v>
      </c>
      <c r="H331" s="29" t="n">
        <v>4596.05595</v>
      </c>
      <c r="I331" s="29" t="n">
        <v>4755.40355</v>
      </c>
      <c r="J331" s="29" t="n">
        <v>4792.76972</v>
      </c>
      <c r="K331" s="29" t="n">
        <v>4769.97694</v>
      </c>
      <c r="L331" s="29" t="n">
        <v>4716.33597</v>
      </c>
      <c r="M331" s="29" t="n">
        <v>4718.85043</v>
      </c>
      <c r="N331" s="29" t="n">
        <v>4531.36057</v>
      </c>
      <c r="O331" s="29" t="n">
        <v>4556.93783</v>
      </c>
      <c r="Q331" s="29" t="n">
        <v>4615.169</v>
      </c>
      <c r="R331" s="29" t="n">
        <v>4663.18667</v>
      </c>
      <c r="S331" s="29" t="n">
        <v>4639.00306</v>
      </c>
      <c r="V331" s="29" t="n">
        <v>4582.52381</v>
      </c>
      <c r="AB331" s="29" t="n">
        <v>4561.49005</v>
      </c>
      <c r="AC331" s="29" t="n">
        <v>4565.88755</v>
      </c>
      <c r="AD331" s="29" t="n">
        <v>0</v>
      </c>
    </row>
    <row r="332" ht="14.25" customHeight="1" s="28">
      <c r="A332" s="29" t="n">
        <v>1777889701</v>
      </c>
      <c r="B332" s="29" t="inlineStr">
        <is>
          <t>XAUUSD</t>
        </is>
      </c>
      <c r="C332" s="29" t="inlineStr">
        <is>
          <t>M15</t>
        </is>
      </c>
      <c r="D332" s="29" t="n">
        <v>4545</v>
      </c>
      <c r="E332" s="29" t="n">
        <v>4717.79398</v>
      </c>
      <c r="F332" s="29" t="n">
        <v>4695.2428</v>
      </c>
      <c r="G332" s="29" t="n">
        <v>4518.59282</v>
      </c>
      <c r="H332" s="29" t="n">
        <v>4596.05595</v>
      </c>
      <c r="I332" s="29" t="n">
        <v>4755.40355</v>
      </c>
      <c r="J332" s="29" t="n">
        <v>4792.76972</v>
      </c>
      <c r="K332" s="29" t="n">
        <v>4769.97694</v>
      </c>
      <c r="L332" s="29" t="n">
        <v>4716.33597</v>
      </c>
      <c r="M332" s="29" t="n">
        <v>4718.85043</v>
      </c>
      <c r="N332" s="29" t="n">
        <v>4531.36057</v>
      </c>
      <c r="O332" s="29" t="n">
        <v>4556.93783</v>
      </c>
      <c r="Q332" s="29" t="n">
        <v>4615.37145</v>
      </c>
      <c r="R332" s="29" t="n">
        <v>4663.38911</v>
      </c>
      <c r="S332" s="29" t="n">
        <v>4639.2055</v>
      </c>
      <c r="V332" s="29" t="n">
        <v>4582.72626</v>
      </c>
      <c r="AA332" s="29" t="n">
        <v>4526.4</v>
      </c>
      <c r="AB332" s="29" t="n">
        <v>4558.22146</v>
      </c>
      <c r="AC332" s="29" t="n">
        <v>4562.05451</v>
      </c>
      <c r="AD332" s="29" t="n">
        <v>0</v>
      </c>
    </row>
    <row r="333" ht="14.25" customHeight="1" s="28">
      <c r="A333" s="29" t="n">
        <v>1777890601</v>
      </c>
      <c r="B333" s="29" t="inlineStr">
        <is>
          <t>XAUUSD</t>
        </is>
      </c>
      <c r="C333" s="29" t="inlineStr">
        <is>
          <t>M15</t>
        </is>
      </c>
      <c r="D333" s="29" t="n">
        <v>4558.64</v>
      </c>
      <c r="E333" s="29" t="n">
        <v>4717.79398</v>
      </c>
      <c r="F333" s="29" t="n">
        <v>4695.2428</v>
      </c>
      <c r="G333" s="29" t="n">
        <v>4518.59282</v>
      </c>
      <c r="H333" s="29" t="n">
        <v>4596.05595</v>
      </c>
      <c r="I333" s="29" t="n">
        <v>4755.40355</v>
      </c>
      <c r="J333" s="29" t="n">
        <v>4792.76972</v>
      </c>
      <c r="K333" s="29" t="n">
        <v>4769.97694</v>
      </c>
      <c r="L333" s="29" t="n">
        <v>4716.33597</v>
      </c>
      <c r="M333" s="29" t="n">
        <v>4718.85043</v>
      </c>
      <c r="N333" s="29" t="n">
        <v>4531.36057</v>
      </c>
      <c r="O333" s="29" t="n">
        <v>4556.93783</v>
      </c>
      <c r="Q333" s="29" t="n">
        <v>4615.5739</v>
      </c>
      <c r="R333" s="29" t="n">
        <v>4663.59156</v>
      </c>
      <c r="S333" s="29" t="n">
        <v>4639.40795</v>
      </c>
      <c r="V333" s="29" t="n">
        <v>4582.9287</v>
      </c>
      <c r="AB333" s="29" t="n">
        <v>4556.75146</v>
      </c>
      <c r="AC333" s="29" t="n">
        <v>4559.40298</v>
      </c>
      <c r="AD333" s="29" t="n">
        <v>0</v>
      </c>
    </row>
    <row r="334" ht="14.25" customHeight="1" s="28">
      <c r="A334" s="29" t="n">
        <v>1777891501</v>
      </c>
      <c r="B334" s="29" t="inlineStr">
        <is>
          <t>XAUUSD</t>
        </is>
      </c>
      <c r="C334" s="29" t="inlineStr">
        <is>
          <t>M15</t>
        </is>
      </c>
      <c r="D334" s="29" t="n">
        <v>4562.67</v>
      </c>
      <c r="E334" s="29" t="n">
        <v>4717.79398</v>
      </c>
      <c r="F334" s="29" t="n">
        <v>4695.2428</v>
      </c>
      <c r="G334" s="29" t="n">
        <v>4518.59282</v>
      </c>
      <c r="H334" s="29" t="n">
        <v>4596.05595</v>
      </c>
      <c r="I334" s="29" t="n">
        <v>4755.40355</v>
      </c>
      <c r="J334" s="29" t="n">
        <v>4792.76972</v>
      </c>
      <c r="K334" s="29" t="n">
        <v>4769.97694</v>
      </c>
      <c r="L334" s="29" t="n">
        <v>4716.33597</v>
      </c>
      <c r="M334" s="29" t="n">
        <v>4718.85043</v>
      </c>
      <c r="N334" s="29" t="n">
        <v>4531.36057</v>
      </c>
      <c r="O334" s="29" t="n">
        <v>4556.93783</v>
      </c>
      <c r="Q334" s="29" t="n">
        <v>4615.77634</v>
      </c>
      <c r="R334" s="29" t="n">
        <v>4663.79401</v>
      </c>
      <c r="S334" s="29" t="n">
        <v>4639.61039</v>
      </c>
      <c r="V334" s="29" t="n">
        <v>4583.13115</v>
      </c>
      <c r="AB334" s="29" t="n">
        <v>4556.70054</v>
      </c>
      <c r="AC334" s="29" t="n">
        <v>4558.05176</v>
      </c>
      <c r="AD334" s="29" t="n">
        <v>0</v>
      </c>
    </row>
    <row r="335" ht="14.25" customHeight="1" s="28">
      <c r="A335" s="29" t="n">
        <v>1777892401</v>
      </c>
      <c r="B335" s="29" t="inlineStr">
        <is>
          <t>XAUUSD</t>
        </is>
      </c>
      <c r="C335" s="29" t="inlineStr">
        <is>
          <t>M15</t>
        </is>
      </c>
      <c r="D335" s="29" t="n">
        <v>4565.34</v>
      </c>
      <c r="E335" s="29" t="n">
        <v>4717.79398</v>
      </c>
      <c r="F335" s="29" t="n">
        <v>4695.2428</v>
      </c>
      <c r="G335" s="29" t="n">
        <v>4518.59282</v>
      </c>
      <c r="H335" s="29" t="n">
        <v>4596.05595</v>
      </c>
      <c r="I335" s="29" t="n">
        <v>4755.40355</v>
      </c>
      <c r="J335" s="29" t="n">
        <v>4792.76972</v>
      </c>
      <c r="K335" s="29" t="n">
        <v>4769.97694</v>
      </c>
      <c r="L335" s="29" t="n">
        <v>4716.33597</v>
      </c>
      <c r="M335" s="29" t="n">
        <v>4718.85043</v>
      </c>
      <c r="N335" s="29" t="n">
        <v>4531.36057</v>
      </c>
      <c r="O335" s="29" t="n">
        <v>4556.93783</v>
      </c>
      <c r="Q335" s="29" t="n">
        <v>4615.97879</v>
      </c>
      <c r="R335" s="29" t="n">
        <v>4663.99645</v>
      </c>
      <c r="S335" s="29" t="n">
        <v>4639.81284</v>
      </c>
      <c r="V335" s="29" t="n">
        <v>4583.3336</v>
      </c>
      <c r="AB335" s="29" t="n">
        <v>4557.69867</v>
      </c>
      <c r="AC335" s="29" t="n">
        <v>4557.87521</v>
      </c>
      <c r="AD335" s="29" t="n">
        <v>0</v>
      </c>
    </row>
    <row r="336" ht="14.25" customHeight="1" s="28">
      <c r="A336" s="29" t="n">
        <v>1777893301</v>
      </c>
      <c r="B336" s="29" t="inlineStr">
        <is>
          <t>XAUUSD</t>
        </is>
      </c>
      <c r="C336" s="29" t="inlineStr">
        <is>
          <t>M15</t>
        </is>
      </c>
      <c r="D336" s="29" t="n">
        <v>4562.26</v>
      </c>
      <c r="E336" s="29" t="n">
        <v>4717.79398</v>
      </c>
      <c r="F336" s="29" t="n">
        <v>4695.2428</v>
      </c>
      <c r="G336" s="29" t="n">
        <v>4518.59282</v>
      </c>
      <c r="H336" s="29" t="n">
        <v>4596.05595</v>
      </c>
      <c r="I336" s="29" t="n">
        <v>4755.40355</v>
      </c>
      <c r="J336" s="29" t="n">
        <v>4792.76972</v>
      </c>
      <c r="K336" s="29" t="n">
        <v>4769.97694</v>
      </c>
      <c r="L336" s="29" t="n">
        <v>4716.33597</v>
      </c>
      <c r="M336" s="29" t="n">
        <v>4718.85043</v>
      </c>
      <c r="N336" s="29" t="n">
        <v>4531.36057</v>
      </c>
      <c r="O336" s="29" t="n">
        <v>4556.93783</v>
      </c>
      <c r="Q336" s="29" t="n">
        <v>4616.18123</v>
      </c>
      <c r="R336" s="29" t="n">
        <v>4664.1989</v>
      </c>
      <c r="S336" s="29" t="n">
        <v>4640.01529</v>
      </c>
      <c r="V336" s="29" t="n">
        <v>4583.53604</v>
      </c>
      <c r="AB336" s="29" t="n">
        <v>4559.26237</v>
      </c>
      <c r="AC336" s="29" t="n">
        <v>4558.56879</v>
      </c>
      <c r="AD336" s="29" t="n">
        <v>1</v>
      </c>
    </row>
    <row r="337" ht="14.25" customHeight="1" s="28">
      <c r="A337" s="29" t="n">
        <v>1777894201</v>
      </c>
      <c r="B337" s="29" t="inlineStr">
        <is>
          <t>XAUUSD</t>
        </is>
      </c>
      <c r="C337" s="29" t="inlineStr">
        <is>
          <t>M15</t>
        </is>
      </c>
      <c r="D337" s="29" t="n">
        <v>4553.65</v>
      </c>
      <c r="E337" s="29" t="n">
        <v>4717.79398</v>
      </c>
      <c r="F337" s="29" t="n">
        <v>4695.2428</v>
      </c>
      <c r="G337" s="29" t="n">
        <v>4518.59282</v>
      </c>
      <c r="H337" s="29" t="n">
        <v>4596.05595</v>
      </c>
      <c r="I337" s="29" t="n">
        <v>4755.40355</v>
      </c>
      <c r="J337" s="29" t="n">
        <v>4792.76972</v>
      </c>
      <c r="K337" s="29" t="n">
        <v>4769.97694</v>
      </c>
      <c r="L337" s="29" t="n">
        <v>4716.33597</v>
      </c>
      <c r="M337" s="29" t="n">
        <v>4718.85043</v>
      </c>
      <c r="N337" s="29" t="n">
        <v>4531.36057</v>
      </c>
      <c r="O337" s="29" t="n">
        <v>4556.93783</v>
      </c>
      <c r="Q337" s="29" t="n">
        <v>4616.38368</v>
      </c>
      <c r="R337" s="29" t="n">
        <v>4664.40134</v>
      </c>
      <c r="S337" s="29" t="n">
        <v>4640.21773</v>
      </c>
      <c r="V337" s="29" t="n">
        <v>4583.73849</v>
      </c>
      <c r="AB337" s="29" t="n">
        <v>4561.01172</v>
      </c>
      <c r="AC337" s="29" t="n">
        <v>4559.79026</v>
      </c>
      <c r="AD337" s="29" t="n">
        <v>0</v>
      </c>
    </row>
    <row r="338" ht="14.25" customHeight="1" s="28">
      <c r="A338" s="29" t="n">
        <v>1777895101</v>
      </c>
      <c r="B338" s="29" t="inlineStr">
        <is>
          <t>XAUUSD</t>
        </is>
      </c>
      <c r="C338" s="29" t="inlineStr">
        <is>
          <t>M15</t>
        </is>
      </c>
      <c r="D338" s="29" t="n">
        <v>4559.94</v>
      </c>
      <c r="E338" s="29" t="n">
        <v>4717.79398</v>
      </c>
      <c r="F338" s="29" t="n">
        <v>4695.2428</v>
      </c>
      <c r="G338" s="29" t="n">
        <v>4518.59282</v>
      </c>
      <c r="H338" s="29" t="n">
        <v>4596.05595</v>
      </c>
      <c r="I338" s="29" t="n">
        <v>4755.40355</v>
      </c>
      <c r="J338" s="29" t="n">
        <v>4792.76972</v>
      </c>
      <c r="K338" s="29" t="n">
        <v>4769.97694</v>
      </c>
      <c r="L338" s="29" t="n">
        <v>4716.33597</v>
      </c>
      <c r="M338" s="29" t="n">
        <v>4718.85043</v>
      </c>
      <c r="N338" s="29" t="n">
        <v>4531.36057</v>
      </c>
      <c r="O338" s="29" t="n">
        <v>4556.93783</v>
      </c>
      <c r="Q338" s="29" t="n">
        <v>4616.58612</v>
      </c>
      <c r="R338" s="29" t="n">
        <v>4664.60379</v>
      </c>
      <c r="S338" s="29" t="n">
        <v>4640.42018</v>
      </c>
      <c r="V338" s="29" t="n">
        <v>4583.94093</v>
      </c>
      <c r="AB338" s="29" t="n">
        <v>4562.81704</v>
      </c>
      <c r="AC338" s="29" t="n">
        <v>4561.30365</v>
      </c>
      <c r="AD338" s="29" t="n">
        <v>0</v>
      </c>
    </row>
    <row r="339" ht="14.25" customHeight="1" s="28">
      <c r="A339" s="29" t="n">
        <v>1777896001</v>
      </c>
      <c r="B339" s="29" t="inlineStr">
        <is>
          <t>XAUUSD</t>
        </is>
      </c>
      <c r="C339" s="29" t="inlineStr">
        <is>
          <t>M15</t>
        </is>
      </c>
      <c r="D339" s="29" t="n">
        <v>4563.67</v>
      </c>
      <c r="E339" s="29" t="n">
        <v>4717.79398</v>
      </c>
      <c r="F339" s="29" t="n">
        <v>4695.2428</v>
      </c>
      <c r="G339" s="29" t="n">
        <v>4518.59282</v>
      </c>
      <c r="H339" s="29" t="n">
        <v>4596.05595</v>
      </c>
      <c r="I339" s="29" t="n">
        <v>4755.40355</v>
      </c>
      <c r="J339" s="29" t="n">
        <v>4792.76972</v>
      </c>
      <c r="K339" s="29" t="n">
        <v>4769.97694</v>
      </c>
      <c r="L339" s="29" t="n">
        <v>4716.33597</v>
      </c>
      <c r="M339" s="29" t="n">
        <v>4718.85043</v>
      </c>
      <c r="N339" s="29" t="n">
        <v>4531.36057</v>
      </c>
      <c r="O339" s="29" t="n">
        <v>4556.93783</v>
      </c>
      <c r="Q339" s="29" t="n">
        <v>4616.78857</v>
      </c>
      <c r="R339" s="29" t="n">
        <v>4664.80623</v>
      </c>
      <c r="S339" s="29" t="n">
        <v>4640.62262</v>
      </c>
      <c r="V339" s="29" t="n">
        <v>4584.14338</v>
      </c>
      <c r="AB339" s="29" t="n">
        <v>4564.27067</v>
      </c>
      <c r="AC339" s="29" t="n">
        <v>4562.78716</v>
      </c>
      <c r="AD339" s="29" t="n">
        <v>0</v>
      </c>
    </row>
    <row r="340" ht="14.25" customHeight="1" s="28">
      <c r="A340" s="29" t="n">
        <v>1777896901</v>
      </c>
      <c r="B340" s="29" t="inlineStr">
        <is>
          <t>XAUUSD</t>
        </is>
      </c>
      <c r="C340" s="29" t="inlineStr">
        <is>
          <t>M15</t>
        </is>
      </c>
      <c r="D340" s="29" t="n">
        <v>4568.68</v>
      </c>
      <c r="E340" s="29" t="n">
        <v>4717.79398</v>
      </c>
      <c r="F340" s="29" t="n">
        <v>4695.2428</v>
      </c>
      <c r="G340" s="29" t="n">
        <v>4518.59282</v>
      </c>
      <c r="H340" s="29" t="n">
        <v>4596.05595</v>
      </c>
      <c r="I340" s="29" t="n">
        <v>4755.40355</v>
      </c>
      <c r="J340" s="29" t="n">
        <v>4792.76972</v>
      </c>
      <c r="K340" s="29" t="n">
        <v>4769.97694</v>
      </c>
      <c r="L340" s="29" t="n">
        <v>4716.33597</v>
      </c>
      <c r="M340" s="29" t="n">
        <v>4718.85043</v>
      </c>
      <c r="N340" s="29" t="n">
        <v>4531.36057</v>
      </c>
      <c r="O340" s="29" t="n">
        <v>4556.93783</v>
      </c>
      <c r="Q340" s="29" t="n">
        <v>4616.99102</v>
      </c>
      <c r="R340" s="29" t="n">
        <v>4665.00868</v>
      </c>
      <c r="S340" s="29" t="n">
        <v>4640.82507</v>
      </c>
      <c r="V340" s="29" t="n">
        <v>4584.34582</v>
      </c>
      <c r="AB340" s="29" t="n">
        <v>4565.21562</v>
      </c>
      <c r="AC340" s="29" t="n">
        <v>4564.00139</v>
      </c>
      <c r="AD340" s="29" t="n">
        <v>0</v>
      </c>
    </row>
    <row r="341" ht="14.25" customHeight="1" s="28">
      <c r="A341" s="29" t="n">
        <v>1777897801</v>
      </c>
      <c r="B341" s="29" t="inlineStr">
        <is>
          <t>XAUUSD</t>
        </is>
      </c>
      <c r="C341" s="29" t="inlineStr">
        <is>
          <t>M15</t>
        </is>
      </c>
      <c r="D341" s="29" t="n">
        <v>4570.1</v>
      </c>
      <c r="E341" s="29" t="n">
        <v>4717.79398</v>
      </c>
      <c r="F341" s="29" t="n">
        <v>4695.2428</v>
      </c>
      <c r="G341" s="29" t="n">
        <v>4518.59282</v>
      </c>
      <c r="H341" s="29" t="n">
        <v>4596.05595</v>
      </c>
      <c r="I341" s="29" t="n">
        <v>4755.40355</v>
      </c>
      <c r="J341" s="29" t="n">
        <v>4792.76972</v>
      </c>
      <c r="K341" s="29" t="n">
        <v>4769.97694</v>
      </c>
      <c r="L341" s="29" t="n">
        <v>4716.33597</v>
      </c>
      <c r="M341" s="29" t="n">
        <v>4718.85043</v>
      </c>
      <c r="N341" s="29" t="n">
        <v>4531.36057</v>
      </c>
      <c r="O341" s="29" t="n">
        <v>4556.93783</v>
      </c>
      <c r="Q341" s="29" t="n">
        <v>4617.19346</v>
      </c>
      <c r="R341" s="29" t="n">
        <v>4665.21113</v>
      </c>
      <c r="S341" s="29" t="n">
        <v>4641.02751</v>
      </c>
      <c r="V341" s="29" t="n">
        <v>4584.54827</v>
      </c>
      <c r="AB341" s="29" t="n">
        <v>4565.65915</v>
      </c>
      <c r="AC341" s="29" t="n">
        <v>4564.83027</v>
      </c>
      <c r="AD341" s="29" t="n">
        <v>0</v>
      </c>
    </row>
    <row r="342" ht="14.25" customHeight="1" s="28">
      <c r="A342" s="29" t="n">
        <v>1777898701</v>
      </c>
      <c r="B342" s="29" t="inlineStr">
        <is>
          <t>XAUUSD</t>
        </is>
      </c>
      <c r="C342" s="29" t="inlineStr">
        <is>
          <t>M15</t>
        </is>
      </c>
      <c r="D342" s="29" t="n">
        <v>4568.79</v>
      </c>
      <c r="E342" s="29" t="n">
        <v>4717.79398</v>
      </c>
      <c r="F342" s="29" t="n">
        <v>4695.2428</v>
      </c>
      <c r="G342" s="29" t="n">
        <v>4518.59282</v>
      </c>
      <c r="H342" s="29" t="n">
        <v>4596.05595</v>
      </c>
      <c r="I342" s="29" t="n">
        <v>4755.40355</v>
      </c>
      <c r="J342" s="29" t="n">
        <v>4792.76972</v>
      </c>
      <c r="K342" s="29" t="n">
        <v>4769.97694</v>
      </c>
      <c r="L342" s="29" t="n">
        <v>4716.33597</v>
      </c>
      <c r="M342" s="29" t="n">
        <v>4718.85043</v>
      </c>
      <c r="N342" s="29" t="n">
        <v>4531.36057</v>
      </c>
      <c r="O342" s="29" t="n">
        <v>4556.93783</v>
      </c>
      <c r="Q342" s="29" t="n">
        <v>4617.39591</v>
      </c>
      <c r="R342" s="29" t="n">
        <v>4665.41357</v>
      </c>
      <c r="S342" s="29" t="n">
        <v>4641.22996</v>
      </c>
      <c r="V342" s="29" t="n">
        <v>4584.75072</v>
      </c>
      <c r="AB342" s="29" t="n">
        <v>4565.82801</v>
      </c>
      <c r="AC342" s="29" t="n">
        <v>4565.32914</v>
      </c>
      <c r="AD342" s="29" t="n">
        <v>0</v>
      </c>
    </row>
    <row r="343" ht="14.25" customHeight="1" s="28">
      <c r="A343" s="29" t="n">
        <v>1777899601</v>
      </c>
      <c r="B343" s="29" t="inlineStr">
        <is>
          <t>XAUUSD</t>
        </is>
      </c>
      <c r="C343" s="29" t="inlineStr">
        <is>
          <t>M15</t>
        </is>
      </c>
      <c r="D343" s="29" t="n">
        <v>4565.98</v>
      </c>
      <c r="E343" s="29" t="n">
        <v>4717.79398</v>
      </c>
      <c r="F343" s="29" t="n">
        <v>4695.2428</v>
      </c>
      <c r="G343" s="29" t="n">
        <v>4518.59282</v>
      </c>
      <c r="H343" s="29" t="n">
        <v>4596.05595</v>
      </c>
      <c r="I343" s="29" t="n">
        <v>4755.40355</v>
      </c>
      <c r="J343" s="29" t="n">
        <v>4792.76972</v>
      </c>
      <c r="K343" s="29" t="n">
        <v>4769.97694</v>
      </c>
      <c r="L343" s="29" t="n">
        <v>4716.33597</v>
      </c>
      <c r="M343" s="29" t="n">
        <v>4718.85043</v>
      </c>
      <c r="N343" s="29" t="n">
        <v>4531.36057</v>
      </c>
      <c r="O343" s="29" t="n">
        <v>4556.93783</v>
      </c>
      <c r="Q343" s="29" t="n">
        <v>4617.59835</v>
      </c>
      <c r="R343" s="29" t="n">
        <v>4665.61602</v>
      </c>
      <c r="S343" s="29" t="n">
        <v>4641.43241</v>
      </c>
      <c r="V343" s="29" t="n">
        <v>4584.95316</v>
      </c>
      <c r="AB343" s="29" t="n">
        <v>4566.04079</v>
      </c>
      <c r="AC343" s="29" t="n">
        <v>4565.68496</v>
      </c>
      <c r="AD343" s="29" t="n">
        <v>0</v>
      </c>
    </row>
    <row r="344" ht="14.25" customHeight="1" s="28">
      <c r="A344" s="29" t="n">
        <v>1777900501</v>
      </c>
      <c r="B344" s="29" t="inlineStr">
        <is>
          <t>XAUUSD</t>
        </is>
      </c>
      <c r="C344" s="29" t="inlineStr">
        <is>
          <t>M15</t>
        </is>
      </c>
      <c r="D344" s="29" t="n">
        <v>4561.09</v>
      </c>
      <c r="E344" s="29" t="n">
        <v>4717.79398</v>
      </c>
      <c r="F344" s="29" t="n">
        <v>4695.2428</v>
      </c>
      <c r="G344" s="29" t="n">
        <v>4518.59282</v>
      </c>
      <c r="H344" s="29" t="n">
        <v>4596.05595</v>
      </c>
      <c r="I344" s="29" t="n">
        <v>4755.40355</v>
      </c>
      <c r="J344" s="29" t="n">
        <v>4792.76972</v>
      </c>
      <c r="K344" s="29" t="n">
        <v>4769.97694</v>
      </c>
      <c r="L344" s="29" t="n">
        <v>4716.33597</v>
      </c>
      <c r="M344" s="29" t="n">
        <v>4718.85043</v>
      </c>
      <c r="N344" s="29" t="n">
        <v>4531.36057</v>
      </c>
      <c r="O344" s="29" t="n">
        <v>4556.93783</v>
      </c>
      <c r="Q344" s="29" t="n">
        <v>4617.8008</v>
      </c>
      <c r="R344" s="29" t="n">
        <v>4665.81846</v>
      </c>
      <c r="S344" s="29" t="n">
        <v>4641.63485</v>
      </c>
      <c r="V344" s="29" t="n">
        <v>4585.15561</v>
      </c>
      <c r="AB344" s="29" t="n">
        <v>4566.51181</v>
      </c>
      <c r="AC344" s="29" t="n">
        <v>4566.09838</v>
      </c>
      <c r="AD344" s="29" t="n">
        <v>0</v>
      </c>
    </row>
    <row r="345" ht="14.25" customHeight="1" s="28">
      <c r="A345" s="29" t="n">
        <v>1777901401</v>
      </c>
      <c r="B345" s="29" t="inlineStr">
        <is>
          <t>XAUUSD</t>
        </is>
      </c>
      <c r="C345" s="29" t="inlineStr">
        <is>
          <t>M15</t>
        </is>
      </c>
      <c r="D345" s="29" t="n">
        <v>4565.51</v>
      </c>
      <c r="E345" s="29" t="n">
        <v>4717.79398</v>
      </c>
      <c r="F345" s="29" t="n">
        <v>4695.2428</v>
      </c>
      <c r="G345" s="29" t="n">
        <v>4518.59282</v>
      </c>
      <c r="H345" s="29" t="n">
        <v>4596.05595</v>
      </c>
      <c r="I345" s="29" t="n">
        <v>4755.40355</v>
      </c>
      <c r="J345" s="29" t="n">
        <v>4792.76972</v>
      </c>
      <c r="K345" s="29" t="n">
        <v>4769.97694</v>
      </c>
      <c r="L345" s="29" t="n">
        <v>4716.33597</v>
      </c>
      <c r="M345" s="29" t="n">
        <v>4718.85043</v>
      </c>
      <c r="N345" s="29" t="n">
        <v>4531.36057</v>
      </c>
      <c r="O345" s="29" t="n">
        <v>4556.93783</v>
      </c>
      <c r="Q345" s="29" t="n">
        <v>4618.00324</v>
      </c>
      <c r="R345" s="29" t="n">
        <v>4666.02091</v>
      </c>
      <c r="S345" s="29" t="n">
        <v>4641.8373</v>
      </c>
      <c r="V345" s="29" t="n">
        <v>4585.35805</v>
      </c>
      <c r="AB345" s="29" t="n">
        <v>4567.28242</v>
      </c>
      <c r="AC345" s="29" t="n">
        <v>4566.6904</v>
      </c>
      <c r="AD345" s="29" t="n">
        <v>0</v>
      </c>
    </row>
    <row r="346" ht="14.25" customHeight="1" s="28">
      <c r="A346" s="29" t="n">
        <v>1777902301</v>
      </c>
      <c r="B346" s="29" t="inlineStr">
        <is>
          <t>XAUUSD</t>
        </is>
      </c>
      <c r="C346" s="29" t="inlineStr">
        <is>
          <t>M15</t>
        </is>
      </c>
      <c r="D346" s="29" t="n">
        <v>4563.85</v>
      </c>
      <c r="E346" s="29" t="n">
        <v>4717.79398</v>
      </c>
      <c r="F346" s="29" t="n">
        <v>4695.2428</v>
      </c>
      <c r="G346" s="29" t="n">
        <v>4518.59282</v>
      </c>
      <c r="H346" s="29" t="n">
        <v>4596.05595</v>
      </c>
      <c r="I346" s="29" t="n">
        <v>4755.40355</v>
      </c>
      <c r="J346" s="29" t="n">
        <v>4792.76972</v>
      </c>
      <c r="K346" s="29" t="n">
        <v>4769.97694</v>
      </c>
      <c r="L346" s="29" t="n">
        <v>4716.33597</v>
      </c>
      <c r="M346" s="29" t="n">
        <v>4718.85043</v>
      </c>
      <c r="N346" s="29" t="n">
        <v>4531.36057</v>
      </c>
      <c r="O346" s="29" t="n">
        <v>4556.93783</v>
      </c>
      <c r="Q346" s="29" t="n">
        <v>4618.20569</v>
      </c>
      <c r="R346" s="29" t="n">
        <v>4666.22335</v>
      </c>
      <c r="S346" s="29" t="n">
        <v>4642.03974</v>
      </c>
      <c r="V346" s="29" t="n">
        <v>4585.5605</v>
      </c>
      <c r="AB346" s="29" t="n">
        <v>4567.88901</v>
      </c>
      <c r="AC346" s="29" t="n">
        <v>4567.2897</v>
      </c>
      <c r="AD346" s="29" t="n">
        <v>0</v>
      </c>
    </row>
    <row r="347" ht="14.25" customHeight="1" s="28">
      <c r="A347" s="29" t="n">
        <v>1777903201</v>
      </c>
      <c r="B347" s="29" t="inlineStr">
        <is>
          <t>XAUUSD</t>
        </is>
      </c>
      <c r="C347" s="29" t="inlineStr">
        <is>
          <t>M15</t>
        </is>
      </c>
      <c r="D347" s="29" t="n">
        <v>4560.18</v>
      </c>
      <c r="E347" s="29" t="n">
        <v>4717.79398</v>
      </c>
      <c r="F347" s="29" t="n">
        <v>4695.2428</v>
      </c>
      <c r="G347" s="29" t="n">
        <v>4518.59282</v>
      </c>
      <c r="H347" s="29" t="n">
        <v>4596.05595</v>
      </c>
      <c r="I347" s="29" t="n">
        <v>4755.40355</v>
      </c>
      <c r="J347" s="29" t="n">
        <v>4792.76972</v>
      </c>
      <c r="K347" s="29" t="n">
        <v>4769.97694</v>
      </c>
      <c r="L347" s="29" t="n">
        <v>4716.33597</v>
      </c>
      <c r="M347" s="29" t="n">
        <v>4718.85043</v>
      </c>
      <c r="N347" s="29" t="n">
        <v>4531.36057</v>
      </c>
      <c r="O347" s="29" t="n">
        <v>4556.93783</v>
      </c>
      <c r="Q347" s="29" t="n">
        <v>4618.40814</v>
      </c>
      <c r="R347" s="29" t="n">
        <v>4666.4258</v>
      </c>
      <c r="S347" s="29" t="n">
        <v>4642.24219</v>
      </c>
      <c r="V347" s="29" t="n">
        <v>4585.76294</v>
      </c>
      <c r="AB347" s="29" t="n">
        <v>4567.82539</v>
      </c>
      <c r="AC347" s="29" t="n">
        <v>4567.55755</v>
      </c>
      <c r="AD347" s="29" t="n">
        <v>0</v>
      </c>
    </row>
    <row r="348" ht="14.25" customHeight="1" s="28">
      <c r="A348" s="29" t="n">
        <v>1777904101</v>
      </c>
      <c r="B348" s="29" t="inlineStr">
        <is>
          <t>XAUUSD</t>
        </is>
      </c>
      <c r="C348" s="29" t="inlineStr">
        <is>
          <t>M15</t>
        </is>
      </c>
      <c r="D348" s="29" t="n">
        <v>4571.2</v>
      </c>
      <c r="E348" s="29" t="n">
        <v>4717.79398</v>
      </c>
      <c r="F348" s="29" t="n">
        <v>4695.2428</v>
      </c>
      <c r="G348" s="29" t="n">
        <v>4518.59282</v>
      </c>
      <c r="H348" s="29" t="n">
        <v>4596.05595</v>
      </c>
      <c r="I348" s="29" t="n">
        <v>4755.40355</v>
      </c>
      <c r="J348" s="29" t="n">
        <v>4792.76972</v>
      </c>
      <c r="K348" s="29" t="n">
        <v>4769.97694</v>
      </c>
      <c r="L348" s="29" t="n">
        <v>4716.33597</v>
      </c>
      <c r="M348" s="29" t="n">
        <v>4718.85043</v>
      </c>
      <c r="N348" s="29" t="n">
        <v>4531.36057</v>
      </c>
      <c r="O348" s="29" t="n">
        <v>4556.93783</v>
      </c>
      <c r="Q348" s="29" t="n">
        <v>4618.61058</v>
      </c>
      <c r="R348" s="29" t="n">
        <v>4666.62825</v>
      </c>
      <c r="S348" s="29" t="n">
        <v>4642.44463</v>
      </c>
      <c r="V348" s="29" t="n">
        <v>4585.96539</v>
      </c>
      <c r="AB348" s="29" t="n">
        <v>4566.55373</v>
      </c>
      <c r="AC348" s="29" t="n">
        <v>4567.05564</v>
      </c>
      <c r="AD348" s="29" t="n">
        <v>1</v>
      </c>
    </row>
    <row r="349" ht="14.25" customHeight="1" s="28">
      <c r="A349" s="29" t="n">
        <v>1777905001</v>
      </c>
      <c r="B349" s="29" t="inlineStr">
        <is>
          <t>XAUUSD</t>
        </is>
      </c>
      <c r="C349" s="29" t="inlineStr">
        <is>
          <t>M15</t>
        </is>
      </c>
      <c r="D349" s="29" t="n">
        <v>4574.38</v>
      </c>
      <c r="E349" s="29" t="n">
        <v>4717.79398</v>
      </c>
      <c r="F349" s="29" t="n">
        <v>4695.2428</v>
      </c>
      <c r="G349" s="29" t="n">
        <v>4518.59282</v>
      </c>
      <c r="H349" s="29" t="n">
        <v>4596.05595</v>
      </c>
      <c r="I349" s="29" t="n">
        <v>4755.40355</v>
      </c>
      <c r="J349" s="29" t="n">
        <v>4792.76972</v>
      </c>
      <c r="K349" s="29" t="n">
        <v>4769.97694</v>
      </c>
      <c r="L349" s="29" t="n">
        <v>4716.33597</v>
      </c>
      <c r="M349" s="29" t="n">
        <v>4718.85043</v>
      </c>
      <c r="N349" s="29" t="n">
        <v>4531.36057</v>
      </c>
      <c r="O349" s="29" t="n">
        <v>4556.93783</v>
      </c>
      <c r="Q349" s="29" t="n">
        <v>4618.81303</v>
      </c>
      <c r="R349" s="29" t="n">
        <v>4666.83069</v>
      </c>
      <c r="S349" s="29" t="n">
        <v>4642.64708</v>
      </c>
      <c r="V349" s="29" t="n">
        <v>4586.16784</v>
      </c>
      <c r="Z349" s="29" t="n">
        <v>4583.16</v>
      </c>
      <c r="AB349" s="29" t="n">
        <v>4563.19435</v>
      </c>
      <c r="AC349" s="29" t="n">
        <v>4565.12499</v>
      </c>
      <c r="AD349" s="29" t="n">
        <v>0</v>
      </c>
    </row>
    <row r="350" ht="14.25" customHeight="1" s="28">
      <c r="A350" s="29" t="n">
        <v>1777905901</v>
      </c>
      <c r="B350" s="29" t="inlineStr">
        <is>
          <t>XAUUSD</t>
        </is>
      </c>
      <c r="C350" s="29" t="inlineStr">
        <is>
          <t>M15</t>
        </is>
      </c>
      <c r="D350" s="29" t="n">
        <v>4561.26</v>
      </c>
      <c r="E350" s="29" t="n">
        <v>4717.79398</v>
      </c>
      <c r="F350" s="29" t="n">
        <v>4695.2428</v>
      </c>
      <c r="G350" s="29" t="n">
        <v>4518.59282</v>
      </c>
      <c r="H350" s="29" t="n">
        <v>4596.05595</v>
      </c>
      <c r="I350" s="29" t="n">
        <v>4755.40355</v>
      </c>
      <c r="J350" s="29" t="n">
        <v>4792.76972</v>
      </c>
      <c r="K350" s="29" t="n">
        <v>4769.97694</v>
      </c>
      <c r="L350" s="29" t="n">
        <v>4716.33597</v>
      </c>
      <c r="M350" s="29" t="n">
        <v>4718.85043</v>
      </c>
      <c r="N350" s="29" t="n">
        <v>4531.36057</v>
      </c>
      <c r="O350" s="29" t="n">
        <v>4556.93783</v>
      </c>
      <c r="Q350" s="29" t="n">
        <v>4619.01547</v>
      </c>
      <c r="R350" s="29" t="n">
        <v>4667.03314</v>
      </c>
      <c r="S350" s="29" t="n">
        <v>4642.84953</v>
      </c>
      <c r="V350" s="29" t="n">
        <v>4586.37028</v>
      </c>
      <c r="AB350" s="29" t="n">
        <v>4557.36864</v>
      </c>
      <c r="AC350" s="29" t="n">
        <v>4561.24682</v>
      </c>
      <c r="AD350" s="29" t="n">
        <v>0</v>
      </c>
    </row>
    <row r="351" ht="14.25" customHeight="1" s="28">
      <c r="A351" s="29" t="n">
        <v>1777906801</v>
      </c>
      <c r="B351" s="29" t="inlineStr">
        <is>
          <t>XAUUSD</t>
        </is>
      </c>
      <c r="C351" s="29" t="inlineStr">
        <is>
          <t>M15</t>
        </is>
      </c>
      <c r="D351" s="29" t="n">
        <v>4548.46</v>
      </c>
      <c r="E351" s="29" t="n">
        <v>4717.79398</v>
      </c>
      <c r="F351" s="29" t="n">
        <v>4695.2428</v>
      </c>
      <c r="G351" s="29" t="n">
        <v>4518.59282</v>
      </c>
      <c r="H351" s="29" t="n">
        <v>4596.05595</v>
      </c>
      <c r="I351" s="29" t="n">
        <v>4755.40355</v>
      </c>
      <c r="J351" s="29" t="n">
        <v>4792.76972</v>
      </c>
      <c r="K351" s="29" t="n">
        <v>4769.97694</v>
      </c>
      <c r="L351" s="29" t="n">
        <v>4716.33597</v>
      </c>
      <c r="M351" s="29" t="n">
        <v>4718.85043</v>
      </c>
      <c r="N351" s="29" t="n">
        <v>4531.36057</v>
      </c>
      <c r="O351" s="29" t="n">
        <v>4556.93783</v>
      </c>
      <c r="Q351" s="29" t="n">
        <v>4619.21792</v>
      </c>
      <c r="R351" s="29" t="n">
        <v>4667.23558</v>
      </c>
      <c r="S351" s="29" t="n">
        <v>4643.05197</v>
      </c>
      <c r="V351" s="29" t="n">
        <v>4586.57273</v>
      </c>
      <c r="AB351" s="29" t="n">
        <v>4549.59106</v>
      </c>
      <c r="AC351" s="29" t="n">
        <v>4555.41894</v>
      </c>
      <c r="AD351" s="29" t="n">
        <v>0</v>
      </c>
    </row>
    <row r="352" ht="14.25" customHeight="1" s="28">
      <c r="A352" s="29" t="n">
        <v>1777907701</v>
      </c>
      <c r="B352" s="29" t="inlineStr">
        <is>
          <t>XAUUSD</t>
        </is>
      </c>
      <c r="C352" s="29" t="inlineStr">
        <is>
          <t>M15</t>
        </is>
      </c>
      <c r="D352" s="29" t="n">
        <v>4537.95</v>
      </c>
      <c r="E352" s="29" t="n">
        <v>4717.79398</v>
      </c>
      <c r="F352" s="29" t="n">
        <v>4695.2428</v>
      </c>
      <c r="G352" s="29" t="n">
        <v>4518.59282</v>
      </c>
      <c r="H352" s="29" t="n">
        <v>4596.05595</v>
      </c>
      <c r="I352" s="29" t="n">
        <v>4755.40355</v>
      </c>
      <c r="J352" s="29" t="n">
        <v>4792.76972</v>
      </c>
      <c r="K352" s="29" t="n">
        <v>4769.97694</v>
      </c>
      <c r="L352" s="29" t="n">
        <v>4716.33597</v>
      </c>
      <c r="M352" s="29" t="n">
        <v>4718.85043</v>
      </c>
      <c r="N352" s="29" t="n">
        <v>4531.36057</v>
      </c>
      <c r="O352" s="29" t="n">
        <v>4556.93783</v>
      </c>
      <c r="Q352" s="29" t="n">
        <v>4619.42036</v>
      </c>
      <c r="R352" s="29" t="n">
        <v>4667.43803</v>
      </c>
      <c r="S352" s="29" t="n">
        <v>4643.25442</v>
      </c>
      <c r="V352" s="29" t="n">
        <v>4586.77517</v>
      </c>
      <c r="AB352" s="29" t="n">
        <v>4540.74889</v>
      </c>
      <c r="AC352" s="29" t="n">
        <v>4548.08392</v>
      </c>
      <c r="AD352" s="29" t="n">
        <v>0</v>
      </c>
    </row>
    <row r="353" ht="14.25" customHeight="1" s="28">
      <c r="A353" s="29" t="n">
        <v>1777908601</v>
      </c>
      <c r="B353" s="29" t="inlineStr">
        <is>
          <t>XAUUSD</t>
        </is>
      </c>
      <c r="C353" s="29" t="inlineStr">
        <is>
          <t>M15</t>
        </is>
      </c>
      <c r="D353" s="29" t="n">
        <v>4535.1</v>
      </c>
      <c r="E353" s="29" t="n">
        <v>4717.79398</v>
      </c>
      <c r="F353" s="29" t="n">
        <v>4695.2428</v>
      </c>
      <c r="G353" s="29" t="n">
        <v>4518.59282</v>
      </c>
      <c r="H353" s="29" t="n">
        <v>4596.05595</v>
      </c>
      <c r="I353" s="29" t="n">
        <v>4755.40355</v>
      </c>
      <c r="J353" s="29" t="n">
        <v>4792.76972</v>
      </c>
      <c r="K353" s="29" t="n">
        <v>4769.97694</v>
      </c>
      <c r="L353" s="29" t="n">
        <v>4716.33597</v>
      </c>
      <c r="M353" s="29" t="n">
        <v>4718.85043</v>
      </c>
      <c r="N353" s="29" t="n">
        <v>4531.36057</v>
      </c>
      <c r="O353" s="29" t="n">
        <v>4556.93783</v>
      </c>
      <c r="Q353" s="29" t="n">
        <v>4619.62281</v>
      </c>
      <c r="R353" s="29" t="n">
        <v>4667.64047</v>
      </c>
      <c r="S353" s="29" t="n">
        <v>4643.45686</v>
      </c>
      <c r="V353" s="29" t="n">
        <v>4586.97762</v>
      </c>
      <c r="AB353" s="29" t="n">
        <v>4531.91789</v>
      </c>
      <c r="AC353" s="29" t="n">
        <v>4540.0009</v>
      </c>
      <c r="AD353" s="29" t="n">
        <v>0</v>
      </c>
    </row>
    <row r="354" ht="14.25" customHeight="1" s="28">
      <c r="A354" s="29" t="n">
        <v>1777909501</v>
      </c>
      <c r="B354" s="29" t="inlineStr">
        <is>
          <t>XAUUSD</t>
        </is>
      </c>
      <c r="C354" s="29" t="inlineStr">
        <is>
          <t>M15</t>
        </is>
      </c>
      <c r="D354" s="29" t="n">
        <v>4521.33</v>
      </c>
      <c r="E354" s="29" t="n">
        <v>4717.79398</v>
      </c>
      <c r="F354" s="29" t="n">
        <v>4695.2428</v>
      </c>
      <c r="G354" s="29" t="n">
        <v>4518.59282</v>
      </c>
      <c r="H354" s="29" t="n">
        <v>4596.05595</v>
      </c>
      <c r="I354" s="29" t="n">
        <v>4755.40355</v>
      </c>
      <c r="J354" s="29" t="n">
        <v>4792.76972</v>
      </c>
      <c r="K354" s="29" t="n">
        <v>4769.97694</v>
      </c>
      <c r="L354" s="29" t="n">
        <v>4716.33597</v>
      </c>
      <c r="M354" s="29" t="n">
        <v>4718.85043</v>
      </c>
      <c r="N354" s="29" t="n">
        <v>4531.36057</v>
      </c>
      <c r="O354" s="29" t="n">
        <v>4556.93783</v>
      </c>
      <c r="Q354" s="29" t="n">
        <v>4619.82526</v>
      </c>
      <c r="R354" s="29" t="n">
        <v>4667.84292</v>
      </c>
      <c r="S354" s="29" t="n">
        <v>4643.65931</v>
      </c>
      <c r="V354" s="29" t="n">
        <v>4587.18006</v>
      </c>
      <c r="AB354" s="29" t="n">
        <v>4523.98413</v>
      </c>
      <c r="AC354" s="29" t="n">
        <v>4531.99252</v>
      </c>
      <c r="AD354" s="29" t="n">
        <v>0</v>
      </c>
    </row>
    <row r="355" ht="14.25" customHeight="1" s="28">
      <c r="A355" s="29" t="n">
        <v>1777910401</v>
      </c>
      <c r="B355" s="29" t="inlineStr">
        <is>
          <t>XAUUSD</t>
        </is>
      </c>
      <c r="C355" s="29" t="inlineStr">
        <is>
          <t>M15</t>
        </is>
      </c>
      <c r="D355" s="29" t="n">
        <v>4509.88</v>
      </c>
      <c r="E355" s="29" t="n">
        <v>4717.79398</v>
      </c>
      <c r="F355" s="29" t="n">
        <v>4695.2428</v>
      </c>
      <c r="G355" s="29" t="n">
        <v>4518.59282</v>
      </c>
      <c r="H355" s="29" t="n">
        <v>4596.05595</v>
      </c>
      <c r="I355" s="29" t="n">
        <v>4755.40355</v>
      </c>
      <c r="J355" s="29" t="n">
        <v>4792.76972</v>
      </c>
      <c r="K355" s="29" t="n">
        <v>4769.97694</v>
      </c>
      <c r="L355" s="29" t="n">
        <v>4716.33597</v>
      </c>
      <c r="M355" s="29" t="n">
        <v>4718.85043</v>
      </c>
      <c r="N355" s="29" t="n">
        <v>4531.36057</v>
      </c>
      <c r="O355" s="29" t="n">
        <v>4556.93783</v>
      </c>
      <c r="Q355" s="29" t="n">
        <v>4620.0277</v>
      </c>
      <c r="R355" s="29" t="n">
        <v>4668.04537</v>
      </c>
      <c r="S355" s="29" t="n">
        <v>4643.86175</v>
      </c>
      <c r="V355" s="29" t="n">
        <v>4587.38251</v>
      </c>
      <c r="AA355" s="29" t="n">
        <v>4500.86</v>
      </c>
      <c r="AB355" s="29" t="n">
        <v>4518.02761</v>
      </c>
      <c r="AC355" s="29" t="n">
        <v>4525.01006</v>
      </c>
      <c r="AD355" s="29" t="n">
        <v>0</v>
      </c>
    </row>
    <row r="356" ht="14.25" customHeight="1" s="28">
      <c r="A356" s="29" t="n">
        <v>1777911301</v>
      </c>
      <c r="B356" s="29" t="inlineStr">
        <is>
          <t>XAUUSD</t>
        </is>
      </c>
      <c r="C356" s="29" t="inlineStr">
        <is>
          <t>M15</t>
        </is>
      </c>
      <c r="D356" s="29" t="n">
        <v>4515.03</v>
      </c>
      <c r="E356" s="29" t="n">
        <v>4717.79398</v>
      </c>
      <c r="F356" s="29" t="n">
        <v>4695.2428</v>
      </c>
      <c r="G356" s="29" t="n">
        <v>4518.59282</v>
      </c>
      <c r="H356" s="29" t="n">
        <v>4596.05595</v>
      </c>
      <c r="I356" s="29" t="n">
        <v>4755.40355</v>
      </c>
      <c r="J356" s="29" t="n">
        <v>4792.76972</v>
      </c>
      <c r="K356" s="29" t="n">
        <v>4769.97694</v>
      </c>
      <c r="L356" s="29" t="n">
        <v>4716.33597</v>
      </c>
      <c r="M356" s="29" t="n">
        <v>4718.85043</v>
      </c>
      <c r="N356" s="29" t="n">
        <v>4531.36057</v>
      </c>
      <c r="O356" s="29" t="n">
        <v>4556.93783</v>
      </c>
      <c r="Q356" s="29" t="n">
        <v>4620.23015</v>
      </c>
      <c r="R356" s="29" t="n">
        <v>4668.24781</v>
      </c>
      <c r="S356" s="29" t="n">
        <v>4644.0642</v>
      </c>
      <c r="V356" s="29" t="n">
        <v>4587.58496</v>
      </c>
      <c r="AB356" s="29" t="n">
        <v>4514.68386</v>
      </c>
      <c r="AC356" s="29" t="n">
        <v>4519.84696</v>
      </c>
      <c r="AD356" s="29" t="n">
        <v>0</v>
      </c>
    </row>
    <row r="357" ht="14.25" customHeight="1" s="28">
      <c r="A357" s="29" t="n">
        <v>1777912201</v>
      </c>
      <c r="B357" s="29" t="inlineStr">
        <is>
          <t>XAUUSD</t>
        </is>
      </c>
      <c r="C357" s="29" t="inlineStr">
        <is>
          <t>M15</t>
        </is>
      </c>
      <c r="D357" s="29" t="n">
        <v>4512.59</v>
      </c>
      <c r="E357" s="29" t="n">
        <v>4717.79398</v>
      </c>
      <c r="F357" s="29" t="n">
        <v>4695.2428</v>
      </c>
      <c r="G357" s="29" t="n">
        <v>4518.59282</v>
      </c>
      <c r="H357" s="29" t="n">
        <v>4596.05595</v>
      </c>
      <c r="I357" s="29" t="n">
        <v>4755.40355</v>
      </c>
      <c r="J357" s="29" t="n">
        <v>4792.76972</v>
      </c>
      <c r="K357" s="29" t="n">
        <v>4769.97694</v>
      </c>
      <c r="L357" s="29" t="n">
        <v>4716.33597</v>
      </c>
      <c r="M357" s="29" t="n">
        <v>4718.85043</v>
      </c>
      <c r="N357" s="29" t="n">
        <v>4531.36057</v>
      </c>
      <c r="O357" s="29" t="n">
        <v>4556.93783</v>
      </c>
      <c r="Q357" s="29" t="n">
        <v>4620.43259</v>
      </c>
      <c r="R357" s="29" t="n">
        <v>4668.45026</v>
      </c>
      <c r="S357" s="29" t="n">
        <v>4644.26665</v>
      </c>
      <c r="V357" s="29" t="n">
        <v>4587.7874</v>
      </c>
      <c r="AB357" s="29" t="n">
        <v>4513.70295</v>
      </c>
      <c r="AC357" s="29" t="n">
        <v>4516.77496</v>
      </c>
      <c r="AD357" s="29" t="n">
        <v>0</v>
      </c>
    </row>
    <row r="358" ht="14.25" customHeight="1" s="28">
      <c r="A358" s="29" t="n">
        <v>1777913101</v>
      </c>
      <c r="B358" s="29" t="inlineStr">
        <is>
          <t>XAUUSD</t>
        </is>
      </c>
      <c r="C358" s="29" t="inlineStr">
        <is>
          <t>M15</t>
        </is>
      </c>
      <c r="D358" s="29" t="n">
        <v>4510.69</v>
      </c>
      <c r="E358" s="29" t="n">
        <v>4717.79398</v>
      </c>
      <c r="F358" s="29" t="n">
        <v>4695.2428</v>
      </c>
      <c r="G358" s="29" t="n">
        <v>4518.59282</v>
      </c>
      <c r="H358" s="29" t="n">
        <v>4596.05595</v>
      </c>
      <c r="I358" s="29" t="n">
        <v>4755.40355</v>
      </c>
      <c r="J358" s="29" t="n">
        <v>4792.76972</v>
      </c>
      <c r="K358" s="29" t="n">
        <v>4769.97694</v>
      </c>
      <c r="L358" s="29" t="n">
        <v>4716.33597</v>
      </c>
      <c r="M358" s="29" t="n">
        <v>4718.85043</v>
      </c>
      <c r="N358" s="29" t="n">
        <v>4531.36057</v>
      </c>
      <c r="O358" s="29" t="n">
        <v>4556.93783</v>
      </c>
      <c r="Q358" s="29" t="n">
        <v>4620.63504</v>
      </c>
      <c r="R358" s="29" t="n">
        <v>4668.6527</v>
      </c>
      <c r="S358" s="29" t="n">
        <v>4644.46909</v>
      </c>
      <c r="V358" s="29" t="n">
        <v>4587.98985</v>
      </c>
      <c r="AB358" s="29" t="n">
        <v>4514.63593</v>
      </c>
      <c r="AC358" s="29" t="n">
        <v>4515.70544</v>
      </c>
      <c r="AD358" s="29" t="n">
        <v>0</v>
      </c>
    </row>
    <row r="359" ht="14.25" customHeight="1" s="28">
      <c r="A359" s="29" t="n">
        <v>1777914001</v>
      </c>
      <c r="B359" s="29" t="inlineStr">
        <is>
          <t>XAUUSD</t>
        </is>
      </c>
      <c r="C359" s="29" t="inlineStr">
        <is>
          <t>M15</t>
        </is>
      </c>
      <c r="D359" s="29" t="n">
        <v>4522.39</v>
      </c>
      <c r="E359" s="29" t="n">
        <v>4717.79398</v>
      </c>
      <c r="F359" s="29" t="n">
        <v>4695.2428</v>
      </c>
      <c r="G359" s="29" t="n">
        <v>4518.59282</v>
      </c>
      <c r="H359" s="29" t="n">
        <v>4596.05595</v>
      </c>
      <c r="I359" s="29" t="n">
        <v>4755.40355</v>
      </c>
      <c r="J359" s="29" t="n">
        <v>4792.76972</v>
      </c>
      <c r="K359" s="29" t="n">
        <v>4769.97694</v>
      </c>
      <c r="L359" s="29" t="n">
        <v>4716.33597</v>
      </c>
      <c r="M359" s="29" t="n">
        <v>4718.85043</v>
      </c>
      <c r="N359" s="29" t="n">
        <v>4531.36057</v>
      </c>
      <c r="O359" s="29" t="n">
        <v>4556.93783</v>
      </c>
      <c r="Q359" s="29" t="n">
        <v>4620.83748</v>
      </c>
      <c r="R359" s="29" t="n">
        <v>4668.85515</v>
      </c>
      <c r="S359" s="29" t="n">
        <v>4644.67154</v>
      </c>
      <c r="V359" s="29" t="n">
        <v>4588.19229</v>
      </c>
      <c r="AB359" s="29" t="n">
        <v>4516.79679</v>
      </c>
      <c r="AC359" s="29" t="n">
        <v>4516.25111</v>
      </c>
      <c r="AD359" s="29" t="n">
        <v>1</v>
      </c>
    </row>
    <row r="360" ht="14.25" customHeight="1" s="28">
      <c r="A360" s="29" t="n">
        <v>1777914901</v>
      </c>
      <c r="B360" s="29" t="inlineStr">
        <is>
          <t>XAUUSD</t>
        </is>
      </c>
      <c r="C360" s="29" t="inlineStr">
        <is>
          <t>M15</t>
        </is>
      </c>
      <c r="D360" s="29" t="n">
        <v>4524.38</v>
      </c>
      <c r="E360" s="29" t="n">
        <v>4717.79398</v>
      </c>
      <c r="F360" s="29" t="n">
        <v>4695.2428</v>
      </c>
      <c r="G360" s="29" t="n">
        <v>4518.59282</v>
      </c>
      <c r="H360" s="29" t="n">
        <v>4596.05595</v>
      </c>
      <c r="I360" s="29" t="n">
        <v>4755.40355</v>
      </c>
      <c r="J360" s="29" t="n">
        <v>4792.76972</v>
      </c>
      <c r="K360" s="29" t="n">
        <v>4769.97694</v>
      </c>
      <c r="L360" s="29" t="n">
        <v>4716.33597</v>
      </c>
      <c r="M360" s="29" t="n">
        <v>4718.85043</v>
      </c>
      <c r="N360" s="29" t="n">
        <v>4531.36057</v>
      </c>
      <c r="O360" s="29" t="n">
        <v>4556.93783</v>
      </c>
      <c r="Q360" s="29" t="n">
        <v>4621.03993</v>
      </c>
      <c r="R360" s="29" t="n">
        <v>4669.05759</v>
      </c>
      <c r="S360" s="29" t="n">
        <v>4644.87398</v>
      </c>
      <c r="V360" s="29" t="n">
        <v>4588.39474</v>
      </c>
      <c r="AB360" s="29" t="n">
        <v>4519.04827</v>
      </c>
      <c r="AC360" s="29" t="n">
        <v>4517.64969</v>
      </c>
      <c r="AD360" s="29" t="n">
        <v>0</v>
      </c>
    </row>
    <row r="361" ht="14.25" customHeight="1" s="28">
      <c r="A361" s="29" t="n">
        <v>1777915801</v>
      </c>
      <c r="B361" s="29" t="inlineStr">
        <is>
          <t>XAUUSD</t>
        </is>
      </c>
      <c r="C361" s="29" t="inlineStr">
        <is>
          <t>M15</t>
        </is>
      </c>
      <c r="D361" s="29" t="n">
        <v>4526.1</v>
      </c>
      <c r="E361" s="29" t="n">
        <v>4717.79398</v>
      </c>
      <c r="F361" s="29" t="n">
        <v>4695.2428</v>
      </c>
      <c r="G361" s="29" t="n">
        <v>4518.59282</v>
      </c>
      <c r="H361" s="29" t="n">
        <v>4596.05595</v>
      </c>
      <c r="I361" s="29" t="n">
        <v>4755.40355</v>
      </c>
      <c r="J361" s="29" t="n">
        <v>4792.76972</v>
      </c>
      <c r="K361" s="29" t="n">
        <v>4769.97694</v>
      </c>
      <c r="L361" s="29" t="n">
        <v>4716.33597</v>
      </c>
      <c r="M361" s="29" t="n">
        <v>4718.85043</v>
      </c>
      <c r="N361" s="29" t="n">
        <v>4531.36057</v>
      </c>
      <c r="O361" s="29" t="n">
        <v>4556.93783</v>
      </c>
      <c r="Q361" s="29" t="n">
        <v>4621.24238</v>
      </c>
      <c r="R361" s="29" t="n">
        <v>4669.26004</v>
      </c>
      <c r="S361" s="29" t="n">
        <v>4645.07643</v>
      </c>
      <c r="V361" s="29" t="n">
        <v>4588.59718</v>
      </c>
      <c r="AB361" s="29" t="n">
        <v>4520.6637</v>
      </c>
      <c r="AC361" s="29" t="n">
        <v>4519.1567</v>
      </c>
      <c r="AD361" s="29" t="n">
        <v>0</v>
      </c>
    </row>
    <row r="362" ht="14.25" customHeight="1" s="28">
      <c r="A362" s="29" t="n">
        <v>1777916701</v>
      </c>
      <c r="B362" s="29" t="inlineStr">
        <is>
          <t>XAUUSD</t>
        </is>
      </c>
      <c r="C362" s="29" t="inlineStr">
        <is>
          <t>M15</t>
        </is>
      </c>
      <c r="D362" s="29" t="n">
        <v>4522.35</v>
      </c>
      <c r="E362" s="29" t="n">
        <v>4717.79398</v>
      </c>
      <c r="F362" s="29" t="n">
        <v>4695.2428</v>
      </c>
      <c r="G362" s="29" t="n">
        <v>4518.59282</v>
      </c>
      <c r="H362" s="29" t="n">
        <v>4596.05595</v>
      </c>
      <c r="I362" s="29" t="n">
        <v>4755.40355</v>
      </c>
      <c r="J362" s="29" t="n">
        <v>4792.76972</v>
      </c>
      <c r="K362" s="29" t="n">
        <v>4769.97694</v>
      </c>
      <c r="L362" s="29" t="n">
        <v>4716.33597</v>
      </c>
      <c r="M362" s="29" t="n">
        <v>4718.85043</v>
      </c>
      <c r="N362" s="29" t="n">
        <v>4531.36057</v>
      </c>
      <c r="O362" s="29" t="n">
        <v>4556.93783</v>
      </c>
      <c r="Q362" s="29" t="n">
        <v>4621.44482</v>
      </c>
      <c r="R362" s="29" t="n">
        <v>4669.46249</v>
      </c>
      <c r="S362" s="29" t="n">
        <v>4645.27887</v>
      </c>
      <c r="V362" s="29" t="n">
        <v>4588.79963</v>
      </c>
      <c r="AB362" s="29" t="n">
        <v>4521.27447</v>
      </c>
      <c r="AC362" s="29" t="n">
        <v>4520.21558</v>
      </c>
      <c r="AD362" s="29" t="n">
        <v>0</v>
      </c>
    </row>
    <row r="363" ht="14.25" customHeight="1" s="28">
      <c r="A363" s="29" t="n">
        <v>1777917601</v>
      </c>
      <c r="B363" s="29" t="inlineStr">
        <is>
          <t>XAUUSD</t>
        </is>
      </c>
      <c r="C363" s="29" t="inlineStr">
        <is>
          <t>M15</t>
        </is>
      </c>
      <c r="D363" s="29" t="n">
        <v>4520.01</v>
      </c>
      <c r="E363" s="29" t="n">
        <v>4717.79398</v>
      </c>
      <c r="F363" s="29" t="n">
        <v>4695.2428</v>
      </c>
      <c r="G363" s="29" t="n">
        <v>4518.59282</v>
      </c>
      <c r="H363" s="29" t="n">
        <v>4596.05595</v>
      </c>
      <c r="I363" s="29" t="n">
        <v>4755.40355</v>
      </c>
      <c r="J363" s="29" t="n">
        <v>4792.76972</v>
      </c>
      <c r="K363" s="29" t="n">
        <v>4769.97694</v>
      </c>
      <c r="L363" s="29" t="n">
        <v>4716.33597</v>
      </c>
      <c r="M363" s="29" t="n">
        <v>4718.85043</v>
      </c>
      <c r="N363" s="29" t="n">
        <v>4531.36057</v>
      </c>
      <c r="O363" s="29" t="n">
        <v>4556.93783</v>
      </c>
      <c r="Q363" s="29" t="n">
        <v>4621.64727</v>
      </c>
      <c r="R363" s="29" t="n">
        <v>4669.66493</v>
      </c>
      <c r="S363" s="29" t="n">
        <v>4645.48132</v>
      </c>
      <c r="V363" s="29" t="n">
        <v>4589.00208</v>
      </c>
      <c r="AB363" s="29" t="n">
        <v>4520.90726</v>
      </c>
      <c r="AC363" s="29" t="n">
        <v>4520.56142</v>
      </c>
      <c r="AD363" s="29" t="n">
        <v>0</v>
      </c>
    </row>
    <row r="364" ht="14.25" customHeight="1" s="28">
      <c r="A364" s="29" t="n">
        <v>1777918501</v>
      </c>
      <c r="B364" s="29" t="inlineStr">
        <is>
          <t>XAUUSD</t>
        </is>
      </c>
      <c r="C364" s="29" t="inlineStr">
        <is>
          <t>M15</t>
        </is>
      </c>
      <c r="D364" s="29" t="n">
        <v>4511.95</v>
      </c>
      <c r="E364" s="29" t="n">
        <v>4717.79398</v>
      </c>
      <c r="F364" s="29" t="n">
        <v>4695.2428</v>
      </c>
      <c r="G364" s="29" t="n">
        <v>4518.59282</v>
      </c>
      <c r="H364" s="29" t="n">
        <v>4596.05595</v>
      </c>
      <c r="I364" s="29" t="n">
        <v>4755.40355</v>
      </c>
      <c r="J364" s="29" t="n">
        <v>4792.76972</v>
      </c>
      <c r="K364" s="29" t="n">
        <v>4769.97694</v>
      </c>
      <c r="L364" s="29" t="n">
        <v>4716.33597</v>
      </c>
      <c r="M364" s="29" t="n">
        <v>4718.85043</v>
      </c>
      <c r="N364" s="29" t="n">
        <v>4531.36057</v>
      </c>
      <c r="O364" s="29" t="n">
        <v>4556.93783</v>
      </c>
      <c r="Q364" s="29" t="n">
        <v>4621.84971</v>
      </c>
      <c r="R364" s="29" t="n">
        <v>4669.86738</v>
      </c>
      <c r="S364" s="29" t="n">
        <v>4645.68377</v>
      </c>
      <c r="V364" s="29" t="n">
        <v>4589.20452</v>
      </c>
      <c r="AB364" s="29" t="n">
        <v>4519.79381</v>
      </c>
      <c r="AC364" s="29" t="n">
        <v>4520.17761</v>
      </c>
      <c r="AD364" s="29" t="n">
        <v>1</v>
      </c>
    </row>
    <row r="365" ht="14.25" customHeight="1" s="28">
      <c r="A365" s="29" t="n">
        <v>1777919401</v>
      </c>
      <c r="B365" s="29" t="inlineStr">
        <is>
          <t>XAUUSD</t>
        </is>
      </c>
      <c r="C365" s="29" t="inlineStr">
        <is>
          <t>M15</t>
        </is>
      </c>
      <c r="D365" s="29" t="n">
        <v>4511.86</v>
      </c>
      <c r="E365" s="29" t="n">
        <v>4717.79398</v>
      </c>
      <c r="F365" s="29" t="n">
        <v>4695.2428</v>
      </c>
      <c r="G365" s="29" t="n">
        <v>4518.59282</v>
      </c>
      <c r="H365" s="29" t="n">
        <v>4596.05595</v>
      </c>
      <c r="I365" s="29" t="n">
        <v>4755.40355</v>
      </c>
      <c r="J365" s="29" t="n">
        <v>4792.76972</v>
      </c>
      <c r="K365" s="29" t="n">
        <v>4769.97694</v>
      </c>
      <c r="L365" s="29" t="n">
        <v>4716.33597</v>
      </c>
      <c r="M365" s="29" t="n">
        <v>4718.85043</v>
      </c>
      <c r="N365" s="29" t="n">
        <v>4531.36057</v>
      </c>
      <c r="O365" s="29" t="n">
        <v>4556.93783</v>
      </c>
      <c r="Q365" s="29" t="n">
        <v>4622.05216</v>
      </c>
      <c r="R365" s="29" t="n">
        <v>4670.06982</v>
      </c>
      <c r="S365" s="29" t="n">
        <v>4645.88621</v>
      </c>
      <c r="V365" s="29" t="n">
        <v>4589.40697</v>
      </c>
      <c r="AB365" s="29" t="n">
        <v>4518.50828</v>
      </c>
      <c r="AC365" s="29" t="n">
        <v>4519.34294</v>
      </c>
      <c r="AD365" s="29" t="n">
        <v>0</v>
      </c>
    </row>
    <row r="366" ht="14.25" customHeight="1" s="28">
      <c r="A366" s="29" t="n">
        <v>1777920301</v>
      </c>
      <c r="B366" s="29" t="inlineStr">
        <is>
          <t>XAUUSD</t>
        </is>
      </c>
      <c r="C366" s="29" t="inlineStr">
        <is>
          <t>M15</t>
        </is>
      </c>
      <c r="D366" s="29" t="n">
        <v>4516.4</v>
      </c>
      <c r="E366" s="29" t="n">
        <v>4717.79398</v>
      </c>
      <c r="F366" s="29" t="n">
        <v>4695.2428</v>
      </c>
      <c r="G366" s="29" t="n">
        <v>4518.59282</v>
      </c>
      <c r="H366" s="29" t="n">
        <v>4596.05595</v>
      </c>
      <c r="I366" s="29" t="n">
        <v>4755.40355</v>
      </c>
      <c r="J366" s="29" t="n">
        <v>4792.76972</v>
      </c>
      <c r="K366" s="29" t="n">
        <v>4769.97694</v>
      </c>
      <c r="L366" s="29" t="n">
        <v>4716.33597</v>
      </c>
      <c r="M366" s="29" t="n">
        <v>4718.85043</v>
      </c>
      <c r="N366" s="29" t="n">
        <v>4531.36057</v>
      </c>
      <c r="O366" s="29" t="n">
        <v>4556.93783</v>
      </c>
      <c r="Q366" s="29" t="n">
        <v>4622.2546</v>
      </c>
      <c r="R366" s="29" t="n">
        <v>4670.27227</v>
      </c>
      <c r="S366" s="29" t="n">
        <v>4646.08866</v>
      </c>
      <c r="V366" s="29" t="n">
        <v>4589.60941</v>
      </c>
      <c r="AB366" s="29" t="n">
        <v>4517.41568</v>
      </c>
      <c r="AC366" s="29" t="n">
        <v>4518.37931</v>
      </c>
      <c r="AD366" s="29" t="n">
        <v>0</v>
      </c>
    </row>
    <row r="367" ht="14.25" customHeight="1" s="28">
      <c r="A367" s="29" t="n">
        <v>1777921201</v>
      </c>
      <c r="B367" s="29" t="inlineStr">
        <is>
          <t>XAUUSD</t>
        </is>
      </c>
      <c r="C367" s="29" t="inlineStr">
        <is>
          <t>M15</t>
        </is>
      </c>
      <c r="D367" s="29" t="n">
        <v>4519.05</v>
      </c>
      <c r="E367" s="29" t="n">
        <v>4717.79398</v>
      </c>
      <c r="F367" s="29" t="n">
        <v>4695.2428</v>
      </c>
      <c r="G367" s="29" t="n">
        <v>4518.59282</v>
      </c>
      <c r="H367" s="29" t="n">
        <v>4596.05595</v>
      </c>
      <c r="I367" s="29" t="n">
        <v>4755.40355</v>
      </c>
      <c r="J367" s="29" t="n">
        <v>4792.76972</v>
      </c>
      <c r="K367" s="29" t="n">
        <v>4769.97694</v>
      </c>
      <c r="L367" s="29" t="n">
        <v>4716.33597</v>
      </c>
      <c r="M367" s="29" t="n">
        <v>4718.85043</v>
      </c>
      <c r="N367" s="29" t="n">
        <v>4531.36057</v>
      </c>
      <c r="O367" s="29" t="n">
        <v>4556.93783</v>
      </c>
      <c r="Q367" s="29" t="n">
        <v>4622.45705</v>
      </c>
      <c r="R367" s="29" t="n">
        <v>4670.47471</v>
      </c>
      <c r="S367" s="29" t="n">
        <v>4646.2911</v>
      </c>
      <c r="V367" s="29" t="n">
        <v>4589.81186</v>
      </c>
      <c r="AB367" s="29" t="n">
        <v>4516.69738</v>
      </c>
      <c r="AC367" s="29" t="n">
        <v>4517.53835</v>
      </c>
      <c r="AD367" s="29" t="n">
        <v>0</v>
      </c>
    </row>
    <row r="368" ht="14.25" customHeight="1" s="28">
      <c r="A368" s="29" t="n">
        <v>1777922101</v>
      </c>
      <c r="B368" s="29" t="inlineStr">
        <is>
          <t>XAUUSD</t>
        </is>
      </c>
      <c r="C368" s="29" t="inlineStr">
        <is>
          <t>M15</t>
        </is>
      </c>
      <c r="D368" s="29" t="n">
        <v>4522.42</v>
      </c>
      <c r="E368" s="29" t="n">
        <v>4717.79398</v>
      </c>
      <c r="F368" s="29" t="n">
        <v>4695.2428</v>
      </c>
      <c r="G368" s="29" t="n">
        <v>4518.59282</v>
      </c>
      <c r="H368" s="29" t="n">
        <v>4596.05595</v>
      </c>
      <c r="I368" s="29" t="n">
        <v>4755.40355</v>
      </c>
      <c r="J368" s="29" t="n">
        <v>4792.76972</v>
      </c>
      <c r="K368" s="29" t="n">
        <v>4769.97694</v>
      </c>
      <c r="L368" s="29" t="n">
        <v>4716.33597</v>
      </c>
      <c r="M368" s="29" t="n">
        <v>4718.85043</v>
      </c>
      <c r="N368" s="29" t="n">
        <v>4531.36057</v>
      </c>
      <c r="O368" s="29" t="n">
        <v>4556.93783</v>
      </c>
      <c r="Q368" s="29" t="n">
        <v>4622.6595</v>
      </c>
      <c r="R368" s="29" t="n">
        <v>4670.67716</v>
      </c>
      <c r="S368" s="29" t="n">
        <v>4646.49355</v>
      </c>
      <c r="V368" s="29" t="n">
        <v>4590.0143</v>
      </c>
      <c r="AB368" s="29" t="n">
        <v>4516.46243</v>
      </c>
      <c r="AC368" s="29" t="n">
        <v>4517.00039</v>
      </c>
      <c r="AD368" s="29" t="n">
        <v>0</v>
      </c>
    </row>
    <row r="369" ht="14.25" customHeight="1" s="28">
      <c r="A369" s="29" t="n">
        <v>1777923001</v>
      </c>
      <c r="B369" s="29" t="inlineStr">
        <is>
          <t>XAUUSD</t>
        </is>
      </c>
      <c r="C369" s="29" t="inlineStr">
        <is>
          <t>M15</t>
        </is>
      </c>
      <c r="D369" s="29" t="n">
        <v>4521.16</v>
      </c>
      <c r="E369" s="29" t="n">
        <v>4717.79398</v>
      </c>
      <c r="F369" s="29" t="n">
        <v>4695.2428</v>
      </c>
      <c r="G369" s="29" t="n">
        <v>4518.59282</v>
      </c>
      <c r="H369" s="29" t="n">
        <v>4596.05595</v>
      </c>
      <c r="I369" s="29" t="n">
        <v>4755.40355</v>
      </c>
      <c r="J369" s="29" t="n">
        <v>4792.76972</v>
      </c>
      <c r="K369" s="29" t="n">
        <v>4769.97694</v>
      </c>
      <c r="L369" s="29" t="n">
        <v>4716.33597</v>
      </c>
      <c r="M369" s="29" t="n">
        <v>4718.85043</v>
      </c>
      <c r="N369" s="29" t="n">
        <v>4531.36057</v>
      </c>
      <c r="O369" s="29" t="n">
        <v>4556.93783</v>
      </c>
      <c r="Q369" s="29" t="n">
        <v>4622.86194</v>
      </c>
      <c r="R369" s="29" t="n">
        <v>4670.87961</v>
      </c>
      <c r="S369" s="29" t="n">
        <v>4646.69599</v>
      </c>
      <c r="V369" s="29" t="n">
        <v>4590.21675</v>
      </c>
      <c r="AB369" s="29" t="n">
        <v>4516.63686</v>
      </c>
      <c r="AC369" s="29" t="n">
        <v>4516.81862</v>
      </c>
      <c r="AD369" s="29" t="n">
        <v>0</v>
      </c>
    </row>
    <row r="370" ht="14.25" customHeight="1" s="28">
      <c r="A370" s="29" t="n">
        <v>1777923901</v>
      </c>
      <c r="B370" s="29" t="inlineStr">
        <is>
          <t>XAUUSD</t>
        </is>
      </c>
      <c r="C370" s="29" t="inlineStr">
        <is>
          <t>M15</t>
        </is>
      </c>
      <c r="D370" s="29" t="n">
        <v>4517.46</v>
      </c>
      <c r="E370" s="29" t="n">
        <v>4717.79398</v>
      </c>
      <c r="F370" s="29" t="n">
        <v>4695.2428</v>
      </c>
      <c r="G370" s="29" t="n">
        <v>4518.59282</v>
      </c>
      <c r="H370" s="29" t="n">
        <v>4596.05595</v>
      </c>
      <c r="I370" s="29" t="n">
        <v>4755.40355</v>
      </c>
      <c r="J370" s="29" t="n">
        <v>4792.76972</v>
      </c>
      <c r="K370" s="29" t="n">
        <v>4769.97694</v>
      </c>
      <c r="L370" s="29" t="n">
        <v>4716.33597</v>
      </c>
      <c r="M370" s="29" t="n">
        <v>4718.85043</v>
      </c>
      <c r="N370" s="29" t="n">
        <v>4531.36057</v>
      </c>
      <c r="O370" s="29" t="n">
        <v>4556.93783</v>
      </c>
      <c r="Q370" s="29" t="n">
        <v>4623.06439</v>
      </c>
      <c r="R370" s="29" t="n">
        <v>4671.08205</v>
      </c>
      <c r="S370" s="29" t="n">
        <v>4646.89844</v>
      </c>
      <c r="V370" s="29" t="n">
        <v>4590.4192</v>
      </c>
      <c r="AB370" s="29" t="n">
        <v>4517.16653</v>
      </c>
      <c r="AC370" s="29" t="n">
        <v>4516.99258</v>
      </c>
      <c r="AD370" s="29" t="n">
        <v>1</v>
      </c>
    </row>
    <row r="371" ht="14.25" customHeight="1" s="28">
      <c r="A371" s="29" t="n">
        <v>1777924801</v>
      </c>
      <c r="B371" s="29" t="inlineStr">
        <is>
          <t>XAUUSD</t>
        </is>
      </c>
      <c r="C371" s="29" t="inlineStr">
        <is>
          <t>M15</t>
        </is>
      </c>
      <c r="D371" s="29" t="n">
        <v>4514.74</v>
      </c>
      <c r="E371" s="29" t="n">
        <v>4717.79398</v>
      </c>
      <c r="F371" s="29" t="n">
        <v>4695.2428</v>
      </c>
      <c r="G371" s="29" t="n">
        <v>4518.59282</v>
      </c>
      <c r="H371" s="29" t="n">
        <v>4596.05595</v>
      </c>
      <c r="I371" s="29" t="n">
        <v>4755.40355</v>
      </c>
      <c r="J371" s="29" t="n">
        <v>4792.76972</v>
      </c>
      <c r="K371" s="29" t="n">
        <v>4769.97694</v>
      </c>
      <c r="L371" s="29" t="n">
        <v>4716.33597</v>
      </c>
      <c r="M371" s="29" t="n">
        <v>4718.85043</v>
      </c>
      <c r="N371" s="29" t="n">
        <v>4531.36057</v>
      </c>
      <c r="O371" s="29" t="n">
        <v>4556.93783</v>
      </c>
      <c r="Q371" s="29" t="n">
        <v>4623.26683</v>
      </c>
      <c r="R371" s="29" t="n">
        <v>4671.2845</v>
      </c>
      <c r="S371" s="29" t="n">
        <v>4647.10089</v>
      </c>
      <c r="V371" s="29" t="n">
        <v>4590.62164</v>
      </c>
      <c r="AB371" s="29" t="n">
        <v>4517.98711</v>
      </c>
      <c r="AC371" s="29" t="n">
        <v>4517.48985</v>
      </c>
      <c r="AD371" s="29" t="n">
        <v>0</v>
      </c>
    </row>
    <row r="372" ht="14.25" customHeight="1" s="28">
      <c r="A372" s="29" t="n">
        <v>1777925701</v>
      </c>
      <c r="B372" s="29" t="inlineStr">
        <is>
          <t>XAUUSD</t>
        </is>
      </c>
      <c r="C372" s="29" t="inlineStr">
        <is>
          <t>M15</t>
        </is>
      </c>
      <c r="D372" s="29" t="n">
        <v>4515.21</v>
      </c>
      <c r="E372" s="29" t="n">
        <v>4717.79398</v>
      </c>
      <c r="F372" s="29" t="n">
        <v>4695.2428</v>
      </c>
      <c r="G372" s="29" t="n">
        <v>4518.59282</v>
      </c>
      <c r="H372" s="29" t="n">
        <v>4596.05595</v>
      </c>
      <c r="I372" s="29" t="n">
        <v>4755.40355</v>
      </c>
      <c r="J372" s="29" t="n">
        <v>4792.76972</v>
      </c>
      <c r="K372" s="29" t="n">
        <v>4769.97694</v>
      </c>
      <c r="L372" s="29" t="n">
        <v>4716.33597</v>
      </c>
      <c r="M372" s="29" t="n">
        <v>4718.85043</v>
      </c>
      <c r="N372" s="29" t="n">
        <v>4531.36057</v>
      </c>
      <c r="O372" s="29" t="n">
        <v>4556.93783</v>
      </c>
      <c r="Q372" s="29" t="n">
        <v>4623.46928</v>
      </c>
      <c r="R372" s="29" t="n">
        <v>4671.48694</v>
      </c>
      <c r="S372" s="29" t="n">
        <v>4647.30333</v>
      </c>
      <c r="V372" s="29" t="n">
        <v>4590.82409</v>
      </c>
      <c r="AB372" s="29" t="n">
        <v>4518.96045</v>
      </c>
      <c r="AC372" s="29" t="n">
        <v>4518.22515</v>
      </c>
      <c r="AD372" s="29" t="n">
        <v>0</v>
      </c>
    </row>
    <row r="373" ht="14.25" customHeight="1" s="28">
      <c r="A373" s="29" t="n">
        <v>1777926601</v>
      </c>
      <c r="B373" s="29" t="inlineStr">
        <is>
          <t>XAUUSD</t>
        </is>
      </c>
      <c r="C373" s="29" t="inlineStr">
        <is>
          <t>M15</t>
        </is>
      </c>
      <c r="D373" s="29" t="n">
        <v>4518.75</v>
      </c>
      <c r="E373" s="29" t="n">
        <v>4717.79398</v>
      </c>
      <c r="F373" s="29" t="n">
        <v>4695.2428</v>
      </c>
      <c r="G373" s="29" t="n">
        <v>4518.59282</v>
      </c>
      <c r="H373" s="29" t="n">
        <v>4596.05595</v>
      </c>
      <c r="I373" s="29" t="n">
        <v>4755.40355</v>
      </c>
      <c r="J373" s="29" t="n">
        <v>4792.76972</v>
      </c>
      <c r="K373" s="29" t="n">
        <v>4769.97694</v>
      </c>
      <c r="L373" s="29" t="n">
        <v>4716.33597</v>
      </c>
      <c r="M373" s="29" t="n">
        <v>4718.85043</v>
      </c>
      <c r="N373" s="29" t="n">
        <v>4531.36057</v>
      </c>
      <c r="O373" s="29" t="n">
        <v>4556.93783</v>
      </c>
      <c r="Q373" s="29" t="n">
        <v>4623.67172</v>
      </c>
      <c r="R373" s="29" t="n">
        <v>4671.68939</v>
      </c>
      <c r="S373" s="29" t="n">
        <v>4647.50578</v>
      </c>
      <c r="V373" s="29" t="n">
        <v>4591.02653</v>
      </c>
      <c r="AB373" s="29" t="n">
        <v>4519.86715</v>
      </c>
      <c r="AC373" s="29" t="n">
        <v>4519.04615</v>
      </c>
      <c r="AD373" s="29" t="n">
        <v>0</v>
      </c>
    </row>
    <row r="374" ht="14.25" customHeight="1" s="28">
      <c r="A374" s="29" t="n">
        <v>1777927501</v>
      </c>
      <c r="B374" s="29" t="inlineStr">
        <is>
          <t>XAUUSD</t>
        </is>
      </c>
      <c r="C374" s="29" t="inlineStr">
        <is>
          <t>M15</t>
        </is>
      </c>
      <c r="D374" s="29" t="n">
        <v>4523.84</v>
      </c>
      <c r="E374" s="29" t="n">
        <v>4717.79398</v>
      </c>
      <c r="F374" s="29" t="n">
        <v>4695.2428</v>
      </c>
      <c r="G374" s="29" t="n">
        <v>4518.59282</v>
      </c>
      <c r="H374" s="29" t="n">
        <v>4596.05595</v>
      </c>
      <c r="I374" s="29" t="n">
        <v>4755.40355</v>
      </c>
      <c r="J374" s="29" t="n">
        <v>4792.76972</v>
      </c>
      <c r="K374" s="29" t="n">
        <v>4769.97694</v>
      </c>
      <c r="L374" s="29" t="n">
        <v>4716.33597</v>
      </c>
      <c r="M374" s="29" t="n">
        <v>4718.85043</v>
      </c>
      <c r="N374" s="29" t="n">
        <v>4531.36057</v>
      </c>
      <c r="O374" s="29" t="n">
        <v>4556.93783</v>
      </c>
      <c r="Q374" s="29" t="n">
        <v>4623.87417</v>
      </c>
      <c r="R374" s="29" t="n">
        <v>4671.89183</v>
      </c>
      <c r="S374" s="29" t="n">
        <v>4647.70822</v>
      </c>
      <c r="V374" s="29" t="n">
        <v>4591.22898</v>
      </c>
      <c r="AB374" s="29" t="n">
        <v>4520.45224</v>
      </c>
      <c r="AC374" s="29" t="n">
        <v>4519.74919</v>
      </c>
      <c r="AD374" s="29" t="n">
        <v>0</v>
      </c>
    </row>
    <row r="375" ht="14.25" customHeight="1" s="28">
      <c r="A375" s="29" t="n">
        <v>1777932001</v>
      </c>
      <c r="B375" s="29" t="inlineStr">
        <is>
          <t>XAUUSD</t>
        </is>
      </c>
      <c r="C375" s="29" t="inlineStr">
        <is>
          <t>M15</t>
        </is>
      </c>
      <c r="D375" s="29" t="n">
        <v>4521.1</v>
      </c>
      <c r="E375" s="29" t="n">
        <v>4717.79398</v>
      </c>
      <c r="F375" s="29" t="n">
        <v>4695.2428</v>
      </c>
      <c r="G375" s="29" t="n">
        <v>4518.59282</v>
      </c>
      <c r="H375" s="29" t="n">
        <v>4596.05595</v>
      </c>
      <c r="I375" s="29" t="n">
        <v>4755.40355</v>
      </c>
      <c r="J375" s="29" t="n">
        <v>4792.76972</v>
      </c>
      <c r="K375" s="29" t="n">
        <v>4769.97694</v>
      </c>
      <c r="L375" s="29" t="n">
        <v>4716.33597</v>
      </c>
      <c r="M375" s="29" t="n">
        <v>4718.85043</v>
      </c>
      <c r="N375" s="29" t="n">
        <v>4531.36057</v>
      </c>
      <c r="O375" s="29" t="n">
        <v>4556.93783</v>
      </c>
      <c r="Q375" s="29" t="n">
        <v>4624.07662</v>
      </c>
      <c r="R375" s="29" t="n">
        <v>4672.09428</v>
      </c>
      <c r="S375" s="29" t="n">
        <v>4647.91067</v>
      </c>
      <c r="V375" s="29" t="n">
        <v>4591.43142</v>
      </c>
      <c r="AB375" s="29" t="n">
        <v>4520.53403</v>
      </c>
      <c r="AC375" s="29" t="n">
        <v>4520.14161</v>
      </c>
      <c r="AD375" s="29" t="n">
        <v>0</v>
      </c>
    </row>
    <row r="376" ht="14.25" customHeight="1" s="28">
      <c r="A376" s="29" t="n">
        <v>1777932901</v>
      </c>
      <c r="B376" s="29" t="inlineStr">
        <is>
          <t>XAUUSD</t>
        </is>
      </c>
      <c r="C376" s="29" t="inlineStr">
        <is>
          <t>M15</t>
        </is>
      </c>
      <c r="D376" s="29" t="n">
        <v>4519.66</v>
      </c>
      <c r="E376" s="29" t="n">
        <v>4717.79398</v>
      </c>
      <c r="F376" s="29" t="n">
        <v>4695.2428</v>
      </c>
      <c r="G376" s="29" t="n">
        <v>4518.59282</v>
      </c>
      <c r="H376" s="29" t="n">
        <v>4596.05595</v>
      </c>
      <c r="I376" s="29" t="n">
        <v>4755.40355</v>
      </c>
      <c r="J376" s="29" t="n">
        <v>4792.76972</v>
      </c>
      <c r="K376" s="29" t="n">
        <v>4769.97694</v>
      </c>
      <c r="L376" s="29" t="n">
        <v>4716.33597</v>
      </c>
      <c r="M376" s="29" t="n">
        <v>4718.85043</v>
      </c>
      <c r="N376" s="29" t="n">
        <v>4531.36057</v>
      </c>
      <c r="O376" s="29" t="n">
        <v>4556.93783</v>
      </c>
      <c r="Q376" s="29" t="n">
        <v>4624.27906</v>
      </c>
      <c r="R376" s="29" t="n">
        <v>4672.29673</v>
      </c>
      <c r="S376" s="29" t="n">
        <v>4648.11311</v>
      </c>
      <c r="V376" s="29" t="n">
        <v>4591.63387</v>
      </c>
      <c r="AB376" s="29" t="n">
        <v>4520.23738</v>
      </c>
      <c r="AC376" s="29" t="n">
        <v>4520.1895</v>
      </c>
      <c r="AD376" s="29" t="n">
        <v>0</v>
      </c>
    </row>
    <row r="377" ht="14.25" customHeight="1" s="28">
      <c r="A377" s="29" t="n">
        <v>1777933801</v>
      </c>
      <c r="B377" s="29" t="inlineStr">
        <is>
          <t>XAUUSD</t>
        </is>
      </c>
      <c r="C377" s="29" t="inlineStr">
        <is>
          <t>M15</t>
        </is>
      </c>
      <c r="D377" s="29" t="n">
        <v>4519.02</v>
      </c>
      <c r="E377" s="29" t="n">
        <v>4717.79398</v>
      </c>
      <c r="F377" s="29" t="n">
        <v>4695.2428</v>
      </c>
      <c r="G377" s="29" t="n">
        <v>4518.59282</v>
      </c>
      <c r="H377" s="29" t="n">
        <v>4596.05595</v>
      </c>
      <c r="I377" s="29" t="n">
        <v>4755.40355</v>
      </c>
      <c r="J377" s="29" t="n">
        <v>4792.76972</v>
      </c>
      <c r="K377" s="29" t="n">
        <v>4769.97694</v>
      </c>
      <c r="L377" s="29" t="n">
        <v>4716.33597</v>
      </c>
      <c r="M377" s="29" t="n">
        <v>4718.85043</v>
      </c>
      <c r="N377" s="29" t="n">
        <v>4531.36057</v>
      </c>
      <c r="O377" s="29" t="n">
        <v>4556.93783</v>
      </c>
      <c r="Q377" s="29" t="n">
        <v>4624.48151</v>
      </c>
      <c r="R377" s="29" t="n">
        <v>4672.49917</v>
      </c>
      <c r="S377" s="29" t="n">
        <v>4648.31556</v>
      </c>
      <c r="V377" s="29" t="n">
        <v>4591.83632</v>
      </c>
      <c r="AB377" s="29" t="n">
        <v>4519.7573</v>
      </c>
      <c r="AC377" s="29" t="n">
        <v>4519.9734</v>
      </c>
      <c r="AD377" s="29" t="n">
        <v>1</v>
      </c>
    </row>
    <row r="378" ht="14.25" customHeight="1" s="28">
      <c r="A378" s="29" t="n">
        <v>1777934701</v>
      </c>
      <c r="B378" s="29" t="inlineStr">
        <is>
          <t>XAUUSD</t>
        </is>
      </c>
      <c r="C378" s="29" t="inlineStr">
        <is>
          <t>M15</t>
        </is>
      </c>
      <c r="D378" s="29" t="n">
        <v>4517.52</v>
      </c>
      <c r="E378" s="29" t="n">
        <v>4717.79398</v>
      </c>
      <c r="F378" s="29" t="n">
        <v>4695.2428</v>
      </c>
      <c r="G378" s="29" t="n">
        <v>4518.59282</v>
      </c>
      <c r="H378" s="29" t="n">
        <v>4596.05595</v>
      </c>
      <c r="I378" s="29" t="n">
        <v>4755.40355</v>
      </c>
      <c r="J378" s="29" t="n">
        <v>4792.76972</v>
      </c>
      <c r="K378" s="29" t="n">
        <v>4769.97694</v>
      </c>
      <c r="L378" s="29" t="n">
        <v>4716.33597</v>
      </c>
      <c r="M378" s="29" t="n">
        <v>4718.85043</v>
      </c>
      <c r="N378" s="29" t="n">
        <v>4531.36057</v>
      </c>
      <c r="O378" s="29" t="n">
        <v>4556.93783</v>
      </c>
      <c r="Q378" s="29" t="n">
        <v>4624.68395</v>
      </c>
      <c r="R378" s="29" t="n">
        <v>4672.70162</v>
      </c>
      <c r="S378" s="29" t="n">
        <v>4648.518</v>
      </c>
      <c r="V378" s="29" t="n">
        <v>4592.03876</v>
      </c>
      <c r="AB378" s="29" t="n">
        <v>4519.30251</v>
      </c>
      <c r="AC378" s="29" t="n">
        <v>4519.63796</v>
      </c>
      <c r="AD378" s="29" t="n">
        <v>0</v>
      </c>
    </row>
    <row r="379" ht="14.25" customHeight="1" s="28">
      <c r="A379" s="29" t="n">
        <v>1777935601</v>
      </c>
      <c r="B379" s="29" t="inlineStr">
        <is>
          <t>XAUUSD</t>
        </is>
      </c>
      <c r="C379" s="29" t="inlineStr">
        <is>
          <t>M15</t>
        </is>
      </c>
      <c r="D379" s="29" t="n">
        <v>4520.44</v>
      </c>
      <c r="E379" s="29" t="n">
        <v>4717.79398</v>
      </c>
      <c r="F379" s="29" t="n">
        <v>4695.2428</v>
      </c>
      <c r="G379" s="29" t="n">
        <v>4518.59282</v>
      </c>
      <c r="H379" s="29" t="n">
        <v>4596.05595</v>
      </c>
      <c r="I379" s="29" t="n">
        <v>4755.40355</v>
      </c>
      <c r="J379" s="29" t="n">
        <v>4792.76972</v>
      </c>
      <c r="K379" s="29" t="n">
        <v>4769.97694</v>
      </c>
      <c r="L379" s="29" t="n">
        <v>4716.33597</v>
      </c>
      <c r="M379" s="29" t="n">
        <v>4718.85043</v>
      </c>
      <c r="N379" s="29" t="n">
        <v>4531.36057</v>
      </c>
      <c r="O379" s="29" t="n">
        <v>4556.93783</v>
      </c>
      <c r="Q379" s="29" t="n">
        <v>4624.8864</v>
      </c>
      <c r="R379" s="29" t="n">
        <v>4672.90406</v>
      </c>
      <c r="S379" s="29" t="n">
        <v>4648.72045</v>
      </c>
      <c r="V379" s="29" t="n">
        <v>4592.24121</v>
      </c>
      <c r="AB379" s="29" t="n">
        <v>4519.06874</v>
      </c>
      <c r="AC379" s="29" t="n">
        <v>4519.35335</v>
      </c>
      <c r="AD379" s="29" t="n">
        <v>0</v>
      </c>
    </row>
    <row r="380" ht="14.25" customHeight="1" s="28">
      <c r="A380" s="29" t="n">
        <v>1777936501</v>
      </c>
      <c r="B380" s="29" t="inlineStr">
        <is>
          <t>XAUUSD</t>
        </is>
      </c>
      <c r="C380" s="29" t="inlineStr">
        <is>
          <t>M15</t>
        </is>
      </c>
      <c r="D380" s="29" t="n">
        <v>4521.13</v>
      </c>
      <c r="E380" s="29" t="n">
        <v>4717.79398</v>
      </c>
      <c r="F380" s="29" t="n">
        <v>4695.2428</v>
      </c>
      <c r="G380" s="29" t="n">
        <v>4518.59282</v>
      </c>
      <c r="H380" s="29" t="n">
        <v>4596.05595</v>
      </c>
      <c r="I380" s="29" t="n">
        <v>4755.40355</v>
      </c>
      <c r="J380" s="29" t="n">
        <v>4792.76972</v>
      </c>
      <c r="K380" s="29" t="n">
        <v>4769.97694</v>
      </c>
      <c r="L380" s="29" t="n">
        <v>4716.33597</v>
      </c>
      <c r="M380" s="29" t="n">
        <v>4718.85043</v>
      </c>
      <c r="N380" s="29" t="n">
        <v>4531.36057</v>
      </c>
      <c r="O380" s="29" t="n">
        <v>4556.93783</v>
      </c>
      <c r="Q380" s="29" t="n">
        <v>4625.08884</v>
      </c>
      <c r="R380" s="29" t="n">
        <v>4673.10651</v>
      </c>
      <c r="S380" s="29" t="n">
        <v>4648.9229</v>
      </c>
      <c r="V380" s="29" t="n">
        <v>4592.44365</v>
      </c>
      <c r="AB380" s="29" t="n">
        <v>4519.0811</v>
      </c>
      <c r="AC380" s="29" t="n">
        <v>4519.21723</v>
      </c>
      <c r="AD380" s="29" t="n">
        <v>0</v>
      </c>
    </row>
    <row r="381" ht="14.25" customHeight="1" s="28">
      <c r="A381" s="29" t="n">
        <v>1777937401</v>
      </c>
      <c r="B381" s="29" t="inlineStr">
        <is>
          <t>XAUUSD</t>
        </is>
      </c>
      <c r="C381" s="29" t="inlineStr">
        <is>
          <t>M15</t>
        </is>
      </c>
      <c r="D381" s="29" t="n">
        <v>4518.52</v>
      </c>
      <c r="E381" s="29" t="n">
        <v>4717.79398</v>
      </c>
      <c r="F381" s="29" t="n">
        <v>4695.2428</v>
      </c>
      <c r="G381" s="29" t="n">
        <v>4518.59282</v>
      </c>
      <c r="H381" s="29" t="n">
        <v>4596.05595</v>
      </c>
      <c r="I381" s="29" t="n">
        <v>4755.40355</v>
      </c>
      <c r="J381" s="29" t="n">
        <v>4792.76972</v>
      </c>
      <c r="K381" s="29" t="n">
        <v>4769.97694</v>
      </c>
      <c r="L381" s="29" t="n">
        <v>4716.33597</v>
      </c>
      <c r="M381" s="29" t="n">
        <v>4718.85043</v>
      </c>
      <c r="N381" s="29" t="n">
        <v>4531.36057</v>
      </c>
      <c r="O381" s="29" t="n">
        <v>4556.93783</v>
      </c>
      <c r="Q381" s="29" t="n">
        <v>4625.29129</v>
      </c>
      <c r="R381" s="29" t="n">
        <v>4673.30895</v>
      </c>
      <c r="S381" s="29" t="n">
        <v>4649.12534</v>
      </c>
      <c r="V381" s="29" t="n">
        <v>4592.6461</v>
      </c>
      <c r="AB381" s="29" t="n">
        <v>4519.44966</v>
      </c>
      <c r="AC381" s="29" t="n">
        <v>4519.33344</v>
      </c>
      <c r="AD381" s="29" t="n">
        <v>1</v>
      </c>
    </row>
    <row r="382" ht="14.25" customHeight="1" s="28">
      <c r="A382" s="29" t="n">
        <v>1777938301</v>
      </c>
      <c r="B382" s="29" t="inlineStr">
        <is>
          <t>XAUUSD</t>
        </is>
      </c>
      <c r="C382" s="29" t="inlineStr">
        <is>
          <t>M15</t>
        </is>
      </c>
      <c r="D382" s="29" t="n">
        <v>4519.04</v>
      </c>
      <c r="E382" s="29" t="n">
        <v>4717.79398</v>
      </c>
      <c r="F382" s="29" t="n">
        <v>4695.2428</v>
      </c>
      <c r="G382" s="29" t="n">
        <v>4518.59282</v>
      </c>
      <c r="H382" s="29" t="n">
        <v>4596.05595</v>
      </c>
      <c r="I382" s="29" t="n">
        <v>4755.40355</v>
      </c>
      <c r="J382" s="29" t="n">
        <v>4792.76972</v>
      </c>
      <c r="K382" s="29" t="n">
        <v>4769.97694</v>
      </c>
      <c r="L382" s="29" t="n">
        <v>4716.33597</v>
      </c>
      <c r="M382" s="29" t="n">
        <v>4718.85043</v>
      </c>
      <c r="N382" s="29" t="n">
        <v>4531.36057</v>
      </c>
      <c r="O382" s="29" t="n">
        <v>4556.93783</v>
      </c>
      <c r="Q382" s="29" t="n">
        <v>4625.49374</v>
      </c>
      <c r="R382" s="29" t="n">
        <v>4673.5114</v>
      </c>
      <c r="S382" s="29" t="n">
        <v>4649.32779</v>
      </c>
      <c r="V382" s="29" t="n">
        <v>4592.84854</v>
      </c>
      <c r="AB382" s="29" t="n">
        <v>4520.35726</v>
      </c>
      <c r="AC382" s="29" t="n">
        <v>4519.84535</v>
      </c>
      <c r="AD382" s="29" t="n">
        <v>0</v>
      </c>
    </row>
    <row r="383" ht="14.25" customHeight="1" s="28">
      <c r="A383" s="29" t="n">
        <v>1777939201</v>
      </c>
      <c r="B383" s="29" t="inlineStr">
        <is>
          <t>XAUUSD</t>
        </is>
      </c>
      <c r="C383" s="29" t="inlineStr">
        <is>
          <t>M15</t>
        </is>
      </c>
      <c r="D383" s="29" t="n">
        <v>4527.77</v>
      </c>
      <c r="E383" s="29" t="n">
        <v>4717.79398</v>
      </c>
      <c r="F383" s="29" t="n">
        <v>4695.2428</v>
      </c>
      <c r="G383" s="29" t="n">
        <v>4518.59282</v>
      </c>
      <c r="H383" s="29" t="n">
        <v>4596.05595</v>
      </c>
      <c r="I383" s="29" t="n">
        <v>4755.40355</v>
      </c>
      <c r="J383" s="29" t="n">
        <v>4792.76972</v>
      </c>
      <c r="K383" s="29" t="n">
        <v>4769.97694</v>
      </c>
      <c r="L383" s="29" t="n">
        <v>4716.33597</v>
      </c>
      <c r="M383" s="29" t="n">
        <v>4718.85043</v>
      </c>
      <c r="N383" s="29" t="n">
        <v>4531.36057</v>
      </c>
      <c r="O383" s="29" t="n">
        <v>4556.93783</v>
      </c>
      <c r="Q383" s="29" t="n">
        <v>4625.69618</v>
      </c>
      <c r="R383" s="29" t="n">
        <v>4673.71385</v>
      </c>
      <c r="S383" s="29" t="n">
        <v>4649.53023</v>
      </c>
      <c r="V383" s="29" t="n">
        <v>4593.05099</v>
      </c>
      <c r="AB383" s="29" t="n">
        <v>4521.88741</v>
      </c>
      <c r="AC383" s="29" t="n">
        <v>4520.86638</v>
      </c>
      <c r="AD383" s="29" t="n">
        <v>0</v>
      </c>
    </row>
    <row r="384" ht="14.25" customHeight="1" s="28">
      <c r="A384" s="29" t="n">
        <v>1777940101</v>
      </c>
      <c r="B384" s="29" t="inlineStr">
        <is>
          <t>XAUUSD</t>
        </is>
      </c>
      <c r="C384" s="29" t="inlineStr">
        <is>
          <t>M15</t>
        </is>
      </c>
      <c r="D384" s="29" t="n">
        <v>4517.12</v>
      </c>
      <c r="E384" s="29" t="n">
        <v>4717.79398</v>
      </c>
      <c r="F384" s="29" t="n">
        <v>4695.2428</v>
      </c>
      <c r="G384" s="29" t="n">
        <v>4518.59282</v>
      </c>
      <c r="H384" s="29" t="n">
        <v>4596.05595</v>
      </c>
      <c r="I384" s="29" t="n">
        <v>4755.40355</v>
      </c>
      <c r="J384" s="29" t="n">
        <v>4792.76972</v>
      </c>
      <c r="K384" s="29" t="n">
        <v>4769.97694</v>
      </c>
      <c r="L384" s="29" t="n">
        <v>4716.33597</v>
      </c>
      <c r="M384" s="29" t="n">
        <v>4718.85043</v>
      </c>
      <c r="N384" s="29" t="n">
        <v>4531.36057</v>
      </c>
      <c r="O384" s="29" t="n">
        <v>4556.93783</v>
      </c>
      <c r="Q384" s="29" t="n">
        <v>4625.89863</v>
      </c>
      <c r="R384" s="29" t="n">
        <v>4673.91629</v>
      </c>
      <c r="S384" s="29" t="n">
        <v>4649.73268</v>
      </c>
      <c r="V384" s="29" t="n">
        <v>4593.25344</v>
      </c>
      <c r="AB384" s="29" t="n">
        <v>4523.83946</v>
      </c>
      <c r="AC384" s="29" t="n">
        <v>4522.35292</v>
      </c>
      <c r="AD384" s="29" t="n">
        <v>0</v>
      </c>
    </row>
    <row r="385" ht="14.25" customHeight="1" s="28">
      <c r="A385" s="29" t="n">
        <v>1777941001</v>
      </c>
      <c r="B385" s="29" t="inlineStr">
        <is>
          <t>XAUUSD</t>
        </is>
      </c>
      <c r="C385" s="29" t="inlineStr">
        <is>
          <t>M15</t>
        </is>
      </c>
      <c r="D385" s="29" t="n">
        <v>4523.87</v>
      </c>
      <c r="E385" s="29" t="n">
        <v>4717.79398</v>
      </c>
      <c r="F385" s="29" t="n">
        <v>4695.2428</v>
      </c>
      <c r="G385" s="29" t="n">
        <v>4518.59282</v>
      </c>
      <c r="H385" s="29" t="n">
        <v>4596.05595</v>
      </c>
      <c r="I385" s="29" t="n">
        <v>4755.40355</v>
      </c>
      <c r="J385" s="29" t="n">
        <v>4792.76972</v>
      </c>
      <c r="K385" s="29" t="n">
        <v>4769.97694</v>
      </c>
      <c r="L385" s="29" t="n">
        <v>4716.33597</v>
      </c>
      <c r="M385" s="29" t="n">
        <v>4718.85043</v>
      </c>
      <c r="N385" s="29" t="n">
        <v>4531.36057</v>
      </c>
      <c r="O385" s="29" t="n">
        <v>4556.93783</v>
      </c>
      <c r="Q385" s="29" t="n">
        <v>4626.10107</v>
      </c>
      <c r="R385" s="29" t="n">
        <v>4674.11874</v>
      </c>
      <c r="S385" s="29" t="n">
        <v>4649.93512</v>
      </c>
      <c r="V385" s="29" t="n">
        <v>4593.45588</v>
      </c>
      <c r="AB385" s="29" t="n">
        <v>4526.53491</v>
      </c>
      <c r="AC385" s="29" t="n">
        <v>4524.44392</v>
      </c>
      <c r="AD385" s="29" t="n">
        <v>0</v>
      </c>
    </row>
    <row r="386" ht="14.25" customHeight="1" s="28">
      <c r="A386" s="29" t="n">
        <v>1777941901</v>
      </c>
      <c r="B386" s="29" t="inlineStr">
        <is>
          <t>XAUUSD</t>
        </is>
      </c>
      <c r="C386" s="29" t="inlineStr">
        <is>
          <t>M15</t>
        </is>
      </c>
      <c r="D386" s="29" t="n">
        <v>4530.12</v>
      </c>
      <c r="E386" s="29" t="n">
        <v>4717.79398</v>
      </c>
      <c r="F386" s="29" t="n">
        <v>4695.2428</v>
      </c>
      <c r="G386" s="29" t="n">
        <v>4518.59282</v>
      </c>
      <c r="H386" s="29" t="n">
        <v>4596.05595</v>
      </c>
      <c r="I386" s="29" t="n">
        <v>4755.40355</v>
      </c>
      <c r="J386" s="29" t="n">
        <v>4792.76972</v>
      </c>
      <c r="K386" s="29" t="n">
        <v>4769.97694</v>
      </c>
      <c r="L386" s="29" t="n">
        <v>4716.33597</v>
      </c>
      <c r="M386" s="29" t="n">
        <v>4718.85043</v>
      </c>
      <c r="N386" s="29" t="n">
        <v>4531.36057</v>
      </c>
      <c r="O386" s="29" t="n">
        <v>4556.93783</v>
      </c>
      <c r="Q386" s="29" t="n">
        <v>4626.30352</v>
      </c>
      <c r="R386" s="29" t="n">
        <v>4674.32118</v>
      </c>
      <c r="S386" s="29" t="n">
        <v>4650.13757</v>
      </c>
      <c r="V386" s="29" t="n">
        <v>4593.65833</v>
      </c>
      <c r="AB386" s="29" t="n">
        <v>4529.72044</v>
      </c>
      <c r="AC386" s="29" t="n">
        <v>4527.08218</v>
      </c>
      <c r="AD386" s="29" t="n">
        <v>0</v>
      </c>
    </row>
    <row r="387" ht="14.25" customHeight="1" s="28">
      <c r="A387" s="29" t="n">
        <v>1777942801</v>
      </c>
      <c r="B387" s="29" t="inlineStr">
        <is>
          <t>XAUUSD</t>
        </is>
      </c>
      <c r="C387" s="29" t="inlineStr">
        <is>
          <t>M15</t>
        </is>
      </c>
      <c r="D387" s="29" t="n">
        <v>4538.86</v>
      </c>
      <c r="E387" s="29" t="n">
        <v>4717.79398</v>
      </c>
      <c r="F387" s="29" t="n">
        <v>4695.2428</v>
      </c>
      <c r="G387" s="29" t="n">
        <v>4518.59282</v>
      </c>
      <c r="H387" s="29" t="n">
        <v>4596.05595</v>
      </c>
      <c r="I387" s="29" t="n">
        <v>4755.40355</v>
      </c>
      <c r="J387" s="29" t="n">
        <v>4792.76972</v>
      </c>
      <c r="K387" s="29" t="n">
        <v>4769.97694</v>
      </c>
      <c r="L387" s="29" t="n">
        <v>4716.33597</v>
      </c>
      <c r="M387" s="29" t="n">
        <v>4718.85043</v>
      </c>
      <c r="N387" s="29" t="n">
        <v>4531.36057</v>
      </c>
      <c r="O387" s="29" t="n">
        <v>4556.93783</v>
      </c>
      <c r="Q387" s="29" t="n">
        <v>4626.50596</v>
      </c>
      <c r="R387" s="29" t="n">
        <v>4674.52363</v>
      </c>
      <c r="S387" s="29" t="n">
        <v>4650.34002</v>
      </c>
      <c r="V387" s="29" t="n">
        <v>4593.86077</v>
      </c>
      <c r="AB387" s="29" t="n">
        <v>4533.05746</v>
      </c>
      <c r="AC387" s="29" t="n">
        <v>4530.06982</v>
      </c>
      <c r="AD387" s="29" t="n">
        <v>0</v>
      </c>
    </row>
    <row r="388" ht="14.25" customHeight="1" s="28">
      <c r="A388" s="29" t="n">
        <v>1777943701</v>
      </c>
      <c r="B388" s="29" t="inlineStr">
        <is>
          <t>XAUUSD</t>
        </is>
      </c>
      <c r="C388" s="29" t="inlineStr">
        <is>
          <t>M15</t>
        </is>
      </c>
      <c r="D388" s="29" t="n">
        <v>4537.8</v>
      </c>
      <c r="E388" s="29" t="n">
        <v>4717.79398</v>
      </c>
      <c r="F388" s="29" t="n">
        <v>4695.2428</v>
      </c>
      <c r="G388" s="29" t="n">
        <v>4518.59282</v>
      </c>
      <c r="H388" s="29" t="n">
        <v>4596.05595</v>
      </c>
      <c r="I388" s="29" t="n">
        <v>4755.40355</v>
      </c>
      <c r="J388" s="29" t="n">
        <v>4792.76972</v>
      </c>
      <c r="K388" s="29" t="n">
        <v>4769.97694</v>
      </c>
      <c r="L388" s="29" t="n">
        <v>4716.33597</v>
      </c>
      <c r="M388" s="29" t="n">
        <v>4718.85043</v>
      </c>
      <c r="N388" s="29" t="n">
        <v>4531.36057</v>
      </c>
      <c r="O388" s="29" t="n">
        <v>4556.93783</v>
      </c>
      <c r="Q388" s="29" t="n">
        <v>4626.70841</v>
      </c>
      <c r="R388" s="29" t="n">
        <v>4674.72607</v>
      </c>
      <c r="S388" s="29" t="n">
        <v>4650.54246</v>
      </c>
      <c r="V388" s="29" t="n">
        <v>4594.06322</v>
      </c>
      <c r="AB388" s="29" t="n">
        <v>4536.1219</v>
      </c>
      <c r="AC388" s="29" t="n">
        <v>4533.09586</v>
      </c>
      <c r="AD388" s="29" t="n">
        <v>0</v>
      </c>
    </row>
    <row r="389" ht="14.25" customHeight="1" s="28">
      <c r="A389" s="29" t="n">
        <v>1777944601</v>
      </c>
      <c r="B389" s="29" t="inlineStr">
        <is>
          <t>XAUUSD</t>
        </is>
      </c>
      <c r="C389" s="29" t="inlineStr">
        <is>
          <t>M15</t>
        </is>
      </c>
      <c r="D389" s="29" t="n">
        <v>4536.92</v>
      </c>
      <c r="E389" s="29" t="n">
        <v>4717.79398</v>
      </c>
      <c r="F389" s="29" t="n">
        <v>4695.2428</v>
      </c>
      <c r="G389" s="29" t="n">
        <v>4518.59282</v>
      </c>
      <c r="H389" s="29" t="n">
        <v>4596.05595</v>
      </c>
      <c r="I389" s="29" t="n">
        <v>4755.40355</v>
      </c>
      <c r="J389" s="29" t="n">
        <v>4792.76972</v>
      </c>
      <c r="K389" s="29" t="n">
        <v>4769.97694</v>
      </c>
      <c r="L389" s="29" t="n">
        <v>4716.33597</v>
      </c>
      <c r="M389" s="29" t="n">
        <v>4718.85043</v>
      </c>
      <c r="N389" s="29" t="n">
        <v>4531.36057</v>
      </c>
      <c r="O389" s="29" t="n">
        <v>4556.93783</v>
      </c>
      <c r="Q389" s="29" t="n">
        <v>4626.91086</v>
      </c>
      <c r="R389" s="29" t="n">
        <v>4674.92852</v>
      </c>
      <c r="S389" s="29" t="n">
        <v>4650.74491</v>
      </c>
      <c r="V389" s="29" t="n">
        <v>4594.26566</v>
      </c>
      <c r="AB389" s="29" t="n">
        <v>4538.75609</v>
      </c>
      <c r="AC389" s="29" t="n">
        <v>4535.92597</v>
      </c>
      <c r="AD389" s="29" t="n">
        <v>0</v>
      </c>
    </row>
    <row r="390" ht="14.25" customHeight="1" s="28">
      <c r="A390" s="29" t="n">
        <v>1777945501</v>
      </c>
      <c r="B390" s="29" t="inlineStr">
        <is>
          <t>XAUUSD</t>
        </is>
      </c>
      <c r="C390" s="29" t="inlineStr">
        <is>
          <t>M15</t>
        </is>
      </c>
      <c r="D390" s="29" t="n">
        <v>4541.02</v>
      </c>
      <c r="E390" s="29" t="n">
        <v>4717.79398</v>
      </c>
      <c r="F390" s="29" t="n">
        <v>4695.2428</v>
      </c>
      <c r="G390" s="29" t="n">
        <v>4518.59282</v>
      </c>
      <c r="H390" s="29" t="n">
        <v>4596.05595</v>
      </c>
      <c r="I390" s="29" t="n">
        <v>4755.40355</v>
      </c>
      <c r="J390" s="29" t="n">
        <v>4792.76972</v>
      </c>
      <c r="K390" s="29" t="n">
        <v>4769.97694</v>
      </c>
      <c r="L390" s="29" t="n">
        <v>4716.33597</v>
      </c>
      <c r="M390" s="29" t="n">
        <v>4718.85043</v>
      </c>
      <c r="N390" s="29" t="n">
        <v>4531.36057</v>
      </c>
      <c r="O390" s="29" t="n">
        <v>4556.93783</v>
      </c>
      <c r="Q390" s="29" t="n">
        <v>4627.1133</v>
      </c>
      <c r="R390" s="29" t="n">
        <v>4675.13097</v>
      </c>
      <c r="S390" s="29" t="n">
        <v>4650.94735</v>
      </c>
      <c r="V390" s="29" t="n">
        <v>4594.46811</v>
      </c>
      <c r="AB390" s="29" t="n">
        <v>4540.81753</v>
      </c>
      <c r="AC390" s="29" t="n">
        <v>4538.37175</v>
      </c>
      <c r="AD390" s="29" t="n">
        <v>0</v>
      </c>
    </row>
    <row r="391" ht="14.25" customHeight="1" s="28">
      <c r="A391" s="29" t="n">
        <v>1777946401</v>
      </c>
      <c r="B391" s="29" t="inlineStr">
        <is>
          <t>XAUUSD</t>
        </is>
      </c>
      <c r="C391" s="29" t="inlineStr">
        <is>
          <t>M15</t>
        </is>
      </c>
      <c r="D391" s="29" t="n">
        <v>4538.55</v>
      </c>
      <c r="E391" s="29" t="n">
        <v>4717.79398</v>
      </c>
      <c r="F391" s="29" t="n">
        <v>4695.2428</v>
      </c>
      <c r="G391" s="29" t="n">
        <v>4518.59282</v>
      </c>
      <c r="H391" s="29" t="n">
        <v>4596.05595</v>
      </c>
      <c r="I391" s="29" t="n">
        <v>4755.40355</v>
      </c>
      <c r="J391" s="29" t="n">
        <v>4792.76972</v>
      </c>
      <c r="K391" s="29" t="n">
        <v>4769.97694</v>
      </c>
      <c r="L391" s="29" t="n">
        <v>4716.33597</v>
      </c>
      <c r="M391" s="29" t="n">
        <v>4718.85043</v>
      </c>
      <c r="N391" s="29" t="n">
        <v>4531.36057</v>
      </c>
      <c r="O391" s="29" t="n">
        <v>4556.93783</v>
      </c>
      <c r="Q391" s="29" t="n">
        <v>4627.31575</v>
      </c>
      <c r="R391" s="29" t="n">
        <v>4675.33341</v>
      </c>
      <c r="S391" s="29" t="n">
        <v>4651.1498</v>
      </c>
      <c r="V391" s="29" t="n">
        <v>4594.67056</v>
      </c>
      <c r="AB391" s="29" t="n">
        <v>4542.08799</v>
      </c>
      <c r="AC391" s="29" t="n">
        <v>4540.22987</v>
      </c>
      <c r="AD391" s="29" t="n">
        <v>0</v>
      </c>
    </row>
    <row r="392" ht="14.25" customHeight="1" s="28">
      <c r="A392" s="29" t="n">
        <v>1777947301</v>
      </c>
      <c r="B392" s="29" t="inlineStr">
        <is>
          <t>XAUUSD</t>
        </is>
      </c>
      <c r="C392" s="29" t="inlineStr">
        <is>
          <t>M15</t>
        </is>
      </c>
      <c r="D392" s="29" t="n">
        <v>4541.49</v>
      </c>
      <c r="E392" s="29" t="n">
        <v>4717.79398</v>
      </c>
      <c r="F392" s="29" t="n">
        <v>4695.2428</v>
      </c>
      <c r="G392" s="29" t="n">
        <v>4518.59282</v>
      </c>
      <c r="H392" s="29" t="n">
        <v>4596.05595</v>
      </c>
      <c r="I392" s="29" t="n">
        <v>4755.40355</v>
      </c>
      <c r="J392" s="29" t="n">
        <v>4792.76972</v>
      </c>
      <c r="K392" s="29" t="n">
        <v>4769.97694</v>
      </c>
      <c r="L392" s="29" t="n">
        <v>4716.33597</v>
      </c>
      <c r="M392" s="29" t="n">
        <v>4718.85043</v>
      </c>
      <c r="N392" s="29" t="n">
        <v>4531.36057</v>
      </c>
      <c r="O392" s="29" t="n">
        <v>4556.93783</v>
      </c>
      <c r="Q392" s="29" t="n">
        <v>4627.51819</v>
      </c>
      <c r="R392" s="29" t="n">
        <v>4675.53586</v>
      </c>
      <c r="S392" s="29" t="n">
        <v>4651.35224</v>
      </c>
      <c r="V392" s="29" t="n">
        <v>4594.873</v>
      </c>
      <c r="AB392" s="29" t="n">
        <v>4542.56935</v>
      </c>
      <c r="AC392" s="29" t="n">
        <v>4541.39961</v>
      </c>
      <c r="AD392" s="29" t="n">
        <v>0</v>
      </c>
    </row>
    <row r="393" ht="14.25" customHeight="1" s="28">
      <c r="A393" s="29" t="n">
        <v>1777948201</v>
      </c>
      <c r="B393" s="29" t="inlineStr">
        <is>
          <t>XAUUSD</t>
        </is>
      </c>
      <c r="C393" s="29" t="inlineStr">
        <is>
          <t>M15</t>
        </is>
      </c>
      <c r="D393" s="29" t="n">
        <v>4544.58</v>
      </c>
      <c r="E393" s="29" t="n">
        <v>4717.79398</v>
      </c>
      <c r="F393" s="29" t="n">
        <v>4695.2428</v>
      </c>
      <c r="G393" s="29" t="n">
        <v>4518.59282</v>
      </c>
      <c r="H393" s="29" t="n">
        <v>4596.05595</v>
      </c>
      <c r="I393" s="29" t="n">
        <v>4755.40355</v>
      </c>
      <c r="J393" s="29" t="n">
        <v>4792.76972</v>
      </c>
      <c r="K393" s="29" t="n">
        <v>4769.97694</v>
      </c>
      <c r="L393" s="29" t="n">
        <v>4716.33597</v>
      </c>
      <c r="M393" s="29" t="n">
        <v>4718.85043</v>
      </c>
      <c r="N393" s="29" t="n">
        <v>4531.36057</v>
      </c>
      <c r="O393" s="29" t="n">
        <v>4556.93783</v>
      </c>
      <c r="Q393" s="29" t="n">
        <v>4627.72064</v>
      </c>
      <c r="R393" s="29" t="n">
        <v>4675.7383</v>
      </c>
      <c r="S393" s="29" t="n">
        <v>4651.55469</v>
      </c>
      <c r="V393" s="29" t="n">
        <v>4595.07545</v>
      </c>
      <c r="AB393" s="29" t="n">
        <v>4542.20125</v>
      </c>
      <c r="AC393" s="29" t="n">
        <v>4541.80043</v>
      </c>
      <c r="AD393" s="29" t="n">
        <v>0</v>
      </c>
    </row>
    <row r="394" ht="14.25" customHeight="1" s="28">
      <c r="A394" s="29" t="n">
        <v>1777949101</v>
      </c>
      <c r="B394" s="29" t="inlineStr">
        <is>
          <t>XAUUSD</t>
        </is>
      </c>
      <c r="C394" s="29" t="inlineStr">
        <is>
          <t>M15</t>
        </is>
      </c>
      <c r="D394" s="29" t="n">
        <v>4539.17</v>
      </c>
      <c r="E394" s="29" t="n">
        <v>4717.79398</v>
      </c>
      <c r="F394" s="29" t="n">
        <v>4695.2428</v>
      </c>
      <c r="G394" s="29" t="n">
        <v>4518.59282</v>
      </c>
      <c r="H394" s="29" t="n">
        <v>4596.05595</v>
      </c>
      <c r="I394" s="29" t="n">
        <v>4755.40355</v>
      </c>
      <c r="J394" s="29" t="n">
        <v>4792.76972</v>
      </c>
      <c r="K394" s="29" t="n">
        <v>4769.97694</v>
      </c>
      <c r="L394" s="29" t="n">
        <v>4716.33597</v>
      </c>
      <c r="M394" s="29" t="n">
        <v>4718.85043</v>
      </c>
      <c r="N394" s="29" t="n">
        <v>4531.36057</v>
      </c>
      <c r="O394" s="29" t="n">
        <v>4556.93783</v>
      </c>
      <c r="Q394" s="29" t="n">
        <v>4627.92308</v>
      </c>
      <c r="R394" s="29" t="n">
        <v>4675.94075</v>
      </c>
      <c r="S394" s="29" t="n">
        <v>4651.75714</v>
      </c>
      <c r="V394" s="29" t="n">
        <v>4595.27789</v>
      </c>
      <c r="AB394" s="29" t="n">
        <v>4541.01117</v>
      </c>
      <c r="AC394" s="29" t="n">
        <v>4541.4058</v>
      </c>
      <c r="AD394" s="29" t="n">
        <v>1</v>
      </c>
    </row>
    <row r="395" ht="14.25" customHeight="1" s="28">
      <c r="A395" s="29" t="n">
        <v>1777950001</v>
      </c>
      <c r="B395" s="29" t="inlineStr">
        <is>
          <t>XAUUSD</t>
        </is>
      </c>
      <c r="C395" s="29" t="inlineStr">
        <is>
          <t>M15</t>
        </is>
      </c>
      <c r="D395" s="29" t="n">
        <v>4542.12</v>
      </c>
      <c r="E395" s="29" t="n">
        <v>4717.79398</v>
      </c>
      <c r="F395" s="29" t="n">
        <v>4695.2428</v>
      </c>
      <c r="G395" s="29" t="n">
        <v>4518.59282</v>
      </c>
      <c r="H395" s="29" t="n">
        <v>4596.05595</v>
      </c>
      <c r="I395" s="29" t="n">
        <v>4755.40355</v>
      </c>
      <c r="J395" s="29" t="n">
        <v>4792.76972</v>
      </c>
      <c r="K395" s="29" t="n">
        <v>4769.97694</v>
      </c>
      <c r="L395" s="29" t="n">
        <v>4716.33597</v>
      </c>
      <c r="M395" s="29" t="n">
        <v>4718.85043</v>
      </c>
      <c r="N395" s="29" t="n">
        <v>4531.36057</v>
      </c>
      <c r="O395" s="29" t="n">
        <v>4556.93783</v>
      </c>
      <c r="Q395" s="29" t="n">
        <v>4628.12553</v>
      </c>
      <c r="R395" s="29" t="n">
        <v>4676.14319</v>
      </c>
      <c r="S395" s="29" t="n">
        <v>4651.95958</v>
      </c>
      <c r="V395" s="29" t="n">
        <v>4595.48034</v>
      </c>
      <c r="AB395" s="29" t="n">
        <v>4539.35531</v>
      </c>
      <c r="AC395" s="29" t="n">
        <v>4540.38055</v>
      </c>
      <c r="AD395" s="29" t="n">
        <v>0</v>
      </c>
    </row>
    <row r="396" ht="14.25" customHeight="1" s="28">
      <c r="A396" s="29" t="n">
        <v>1777950901</v>
      </c>
      <c r="B396" s="29" t="inlineStr">
        <is>
          <t>XAUUSD</t>
        </is>
      </c>
      <c r="C396" s="29" t="inlineStr">
        <is>
          <t>M15</t>
        </is>
      </c>
      <c r="D396" s="29" t="n">
        <v>4538.07</v>
      </c>
      <c r="E396" s="29" t="n">
        <v>4717.79398</v>
      </c>
      <c r="F396" s="29" t="n">
        <v>4695.2428</v>
      </c>
      <c r="G396" s="29" t="n">
        <v>4518.59282</v>
      </c>
      <c r="H396" s="29" t="n">
        <v>4596.05595</v>
      </c>
      <c r="I396" s="29" t="n">
        <v>4755.40355</v>
      </c>
      <c r="J396" s="29" t="n">
        <v>4792.76972</v>
      </c>
      <c r="K396" s="29" t="n">
        <v>4769.97694</v>
      </c>
      <c r="L396" s="29" t="n">
        <v>4716.33597</v>
      </c>
      <c r="M396" s="29" t="n">
        <v>4718.85043</v>
      </c>
      <c r="N396" s="29" t="n">
        <v>4531.36057</v>
      </c>
      <c r="O396" s="29" t="n">
        <v>4556.93783</v>
      </c>
      <c r="Q396" s="29" t="n">
        <v>4628.32798</v>
      </c>
      <c r="R396" s="29" t="n">
        <v>4676.34564</v>
      </c>
      <c r="S396" s="29" t="n">
        <v>4652.16203</v>
      </c>
      <c r="V396" s="29" t="n">
        <v>4595.68278</v>
      </c>
      <c r="AB396" s="29" t="n">
        <v>4537.3956</v>
      </c>
      <c r="AC396" s="29" t="n">
        <v>4538.88808</v>
      </c>
      <c r="AD396" s="29" t="n">
        <v>0</v>
      </c>
    </row>
    <row r="397" ht="14.25" customHeight="1" s="28">
      <c r="A397" s="29" t="n">
        <v>1777951801</v>
      </c>
      <c r="B397" s="29" t="inlineStr">
        <is>
          <t>XAUUSD</t>
        </is>
      </c>
      <c r="C397" s="29" t="inlineStr">
        <is>
          <t>M15</t>
        </is>
      </c>
      <c r="D397" s="29" t="n">
        <v>4535.98</v>
      </c>
      <c r="E397" s="29" t="n">
        <v>4717.79398</v>
      </c>
      <c r="F397" s="29" t="n">
        <v>4695.2428</v>
      </c>
      <c r="G397" s="29" t="n">
        <v>4518.59282</v>
      </c>
      <c r="H397" s="29" t="n">
        <v>4596.05595</v>
      </c>
      <c r="I397" s="29" t="n">
        <v>4755.40355</v>
      </c>
      <c r="J397" s="29" t="n">
        <v>4792.76972</v>
      </c>
      <c r="K397" s="29" t="n">
        <v>4769.97694</v>
      </c>
      <c r="L397" s="29" t="n">
        <v>4716.33597</v>
      </c>
      <c r="M397" s="29" t="n">
        <v>4718.85043</v>
      </c>
      <c r="N397" s="29" t="n">
        <v>4531.36057</v>
      </c>
      <c r="O397" s="29" t="n">
        <v>4556.93783</v>
      </c>
      <c r="Q397" s="29" t="n">
        <v>4628.53042</v>
      </c>
      <c r="R397" s="29" t="n">
        <v>4676.54809</v>
      </c>
      <c r="S397" s="29" t="n">
        <v>4652.36447</v>
      </c>
      <c r="V397" s="29" t="n">
        <v>4595.88523</v>
      </c>
      <c r="AB397" s="29" t="n">
        <v>4535.49685</v>
      </c>
      <c r="AC397" s="29" t="n">
        <v>4537.19247</v>
      </c>
      <c r="AD397" s="29" t="n">
        <v>0</v>
      </c>
    </row>
    <row r="398" ht="14.25" customHeight="1" s="28">
      <c r="A398" s="29" t="n">
        <v>1777952701</v>
      </c>
      <c r="B398" s="29" t="inlineStr">
        <is>
          <t>XAUUSD</t>
        </is>
      </c>
      <c r="C398" s="29" t="inlineStr">
        <is>
          <t>M15</t>
        </is>
      </c>
      <c r="D398" s="29" t="n">
        <v>4534.67</v>
      </c>
      <c r="E398" s="29" t="n">
        <v>4717.79398</v>
      </c>
      <c r="F398" s="29" t="n">
        <v>4695.2428</v>
      </c>
      <c r="G398" s="29" t="n">
        <v>4518.59282</v>
      </c>
      <c r="H398" s="29" t="n">
        <v>4596.05595</v>
      </c>
      <c r="I398" s="29" t="n">
        <v>4755.40355</v>
      </c>
      <c r="J398" s="29" t="n">
        <v>4792.76972</v>
      </c>
      <c r="K398" s="29" t="n">
        <v>4769.97694</v>
      </c>
      <c r="L398" s="29" t="n">
        <v>4716.33597</v>
      </c>
      <c r="M398" s="29" t="n">
        <v>4718.85043</v>
      </c>
      <c r="N398" s="29" t="n">
        <v>4531.36057</v>
      </c>
      <c r="O398" s="29" t="n">
        <v>4556.93783</v>
      </c>
      <c r="Q398" s="29" t="n">
        <v>4628.73287</v>
      </c>
      <c r="R398" s="29" t="n">
        <v>4676.75053</v>
      </c>
      <c r="S398" s="29" t="n">
        <v>4652.56692</v>
      </c>
      <c r="V398" s="29" t="n">
        <v>4596.08768</v>
      </c>
      <c r="AB398" s="29" t="n">
        <v>4533.94874</v>
      </c>
      <c r="AC398" s="29" t="n">
        <v>4535.5706</v>
      </c>
      <c r="AD398" s="29" t="n">
        <v>0</v>
      </c>
    </row>
    <row r="399" ht="14.25" customHeight="1" s="28">
      <c r="A399" s="29" t="n">
        <v>1777953601</v>
      </c>
      <c r="B399" s="29" t="inlineStr">
        <is>
          <t>XAUUSD</t>
        </is>
      </c>
      <c r="C399" s="29" t="inlineStr">
        <is>
          <t>M15</t>
        </is>
      </c>
      <c r="D399" s="29" t="n">
        <v>4532.97</v>
      </c>
      <c r="E399" s="29" t="n">
        <v>4717.79398</v>
      </c>
      <c r="F399" s="29" t="n">
        <v>4695.2428</v>
      </c>
      <c r="G399" s="29" t="n">
        <v>4518.59282</v>
      </c>
      <c r="H399" s="29" t="n">
        <v>4596.05595</v>
      </c>
      <c r="I399" s="29" t="n">
        <v>4755.40355</v>
      </c>
      <c r="J399" s="29" t="n">
        <v>4792.76972</v>
      </c>
      <c r="K399" s="29" t="n">
        <v>4769.97694</v>
      </c>
      <c r="L399" s="29" t="n">
        <v>4716.33597</v>
      </c>
      <c r="M399" s="29" t="n">
        <v>4718.85043</v>
      </c>
      <c r="N399" s="29" t="n">
        <v>4531.36057</v>
      </c>
      <c r="O399" s="29" t="n">
        <v>4556.93783</v>
      </c>
      <c r="Q399" s="29" t="n">
        <v>4628.93531</v>
      </c>
      <c r="R399" s="29" t="n">
        <v>4676.95298</v>
      </c>
      <c r="S399" s="29" t="n">
        <v>4652.76936</v>
      </c>
      <c r="V399" s="29" t="n">
        <v>4596.29012</v>
      </c>
      <c r="AB399" s="29" t="n">
        <v>4532.99222</v>
      </c>
      <c r="AC399" s="29" t="n">
        <v>4534.28141</v>
      </c>
      <c r="AD399" s="29" t="n">
        <v>0</v>
      </c>
    </row>
    <row r="400" ht="14.25" customHeight="1" s="28">
      <c r="A400" s="29" t="n">
        <v>1777954501</v>
      </c>
      <c r="B400" s="29" t="inlineStr">
        <is>
          <t>XAUUSD</t>
        </is>
      </c>
      <c r="C400" s="29" t="inlineStr">
        <is>
          <t>M15</t>
        </is>
      </c>
      <c r="D400" s="29" t="n">
        <v>4529.71</v>
      </c>
      <c r="E400" s="29" t="n">
        <v>4717.79398</v>
      </c>
      <c r="F400" s="29" t="n">
        <v>4695.2428</v>
      </c>
      <c r="G400" s="29" t="n">
        <v>4518.59282</v>
      </c>
      <c r="H400" s="29" t="n">
        <v>4596.05595</v>
      </c>
      <c r="I400" s="29" t="n">
        <v>4755.40355</v>
      </c>
      <c r="J400" s="29" t="n">
        <v>4792.76972</v>
      </c>
      <c r="K400" s="29" t="n">
        <v>4769.97694</v>
      </c>
      <c r="L400" s="29" t="n">
        <v>4716.33597</v>
      </c>
      <c r="M400" s="29" t="n">
        <v>4718.85043</v>
      </c>
      <c r="N400" s="29" t="n">
        <v>4531.36057</v>
      </c>
      <c r="O400" s="29" t="n">
        <v>4556.93783</v>
      </c>
      <c r="Q400" s="29" t="n">
        <v>4629.13776</v>
      </c>
      <c r="R400" s="29" t="n">
        <v>4677.15542</v>
      </c>
      <c r="S400" s="29" t="n">
        <v>4652.97181</v>
      </c>
      <c r="V400" s="29" t="n">
        <v>4596.49257</v>
      </c>
      <c r="AB400" s="29" t="n">
        <v>4532.81797</v>
      </c>
      <c r="AC400" s="29" t="n">
        <v>4533.54969</v>
      </c>
      <c r="AD400" s="29" t="n">
        <v>0</v>
      </c>
    </row>
    <row r="401" ht="14.25" customHeight="1" s="28">
      <c r="A401" s="29" t="n">
        <v>1777955401</v>
      </c>
      <c r="B401" s="29" t="inlineStr">
        <is>
          <t>XAUUSD</t>
        </is>
      </c>
      <c r="C401" s="29" t="inlineStr">
        <is>
          <t>M15</t>
        </is>
      </c>
      <c r="D401" s="29" t="n">
        <v>4531.71</v>
      </c>
      <c r="E401" s="29" t="n">
        <v>4717.79398</v>
      </c>
      <c r="F401" s="29" t="n">
        <v>4695.2428</v>
      </c>
      <c r="G401" s="29" t="n">
        <v>4518.59282</v>
      </c>
      <c r="H401" s="29" t="n">
        <v>4596.05595</v>
      </c>
      <c r="I401" s="29" t="n">
        <v>4755.40355</v>
      </c>
      <c r="J401" s="29" t="n">
        <v>4792.76972</v>
      </c>
      <c r="K401" s="29" t="n">
        <v>4769.97694</v>
      </c>
      <c r="L401" s="29" t="n">
        <v>4716.33597</v>
      </c>
      <c r="M401" s="29" t="n">
        <v>4718.85043</v>
      </c>
      <c r="N401" s="29" t="n">
        <v>4531.36057</v>
      </c>
      <c r="O401" s="29" t="n">
        <v>4556.93783</v>
      </c>
      <c r="Q401" s="29" t="n">
        <v>4629.3402</v>
      </c>
      <c r="R401" s="29" t="n">
        <v>4677.35787</v>
      </c>
      <c r="S401" s="29" t="n">
        <v>4653.17426</v>
      </c>
      <c r="V401" s="29" t="n">
        <v>4596.69501</v>
      </c>
      <c r="AB401" s="29" t="n">
        <v>4533.58094</v>
      </c>
      <c r="AC401" s="29" t="n">
        <v>4533.56532</v>
      </c>
      <c r="AD401" s="29" t="n">
        <v>1</v>
      </c>
    </row>
    <row r="402" ht="14.25" customHeight="1" s="28">
      <c r="A402" s="29" t="n">
        <v>1777956301</v>
      </c>
      <c r="B402" s="29" t="inlineStr">
        <is>
          <t>XAUUSD</t>
        </is>
      </c>
      <c r="C402" s="29" t="inlineStr">
        <is>
          <t>M15</t>
        </is>
      </c>
      <c r="D402" s="29" t="n">
        <v>4533.58</v>
      </c>
      <c r="E402" s="29" t="n">
        <v>4717.79398</v>
      </c>
      <c r="F402" s="29" t="n">
        <v>4695.2428</v>
      </c>
      <c r="G402" s="29" t="n">
        <v>4518.59282</v>
      </c>
      <c r="H402" s="29" t="n">
        <v>4596.05595</v>
      </c>
      <c r="I402" s="29" t="n">
        <v>4755.40355</v>
      </c>
      <c r="J402" s="29" t="n">
        <v>4792.76972</v>
      </c>
      <c r="K402" s="29" t="n">
        <v>4769.97694</v>
      </c>
      <c r="L402" s="29" t="n">
        <v>4716.33597</v>
      </c>
      <c r="M402" s="29" t="n">
        <v>4718.85043</v>
      </c>
      <c r="N402" s="29" t="n">
        <v>4531.36057</v>
      </c>
      <c r="O402" s="29" t="n">
        <v>4556.93783</v>
      </c>
      <c r="Q402" s="29" t="n">
        <v>4629.54265</v>
      </c>
      <c r="R402" s="29" t="n">
        <v>4677.56031</v>
      </c>
      <c r="S402" s="29" t="n">
        <v>4653.3767</v>
      </c>
      <c r="V402" s="29" t="n">
        <v>4596.89746</v>
      </c>
      <c r="AB402" s="29" t="n">
        <v>4535.16184</v>
      </c>
      <c r="AC402" s="29" t="n">
        <v>4534.36358</v>
      </c>
      <c r="AD402" s="29" t="n">
        <v>0</v>
      </c>
    </row>
    <row r="403" ht="14.25" customHeight="1" s="28">
      <c r="A403" s="29" t="n">
        <v>1777957201</v>
      </c>
      <c r="B403" s="29" t="inlineStr">
        <is>
          <t>XAUUSD</t>
        </is>
      </c>
      <c r="C403" s="29" t="inlineStr">
        <is>
          <t>M15</t>
        </is>
      </c>
      <c r="D403" s="29" t="n">
        <v>4540.2</v>
      </c>
      <c r="E403" s="29" t="n">
        <v>4717.79398</v>
      </c>
      <c r="F403" s="29" t="n">
        <v>4695.2428</v>
      </c>
      <c r="G403" s="29" t="n">
        <v>4518.59282</v>
      </c>
      <c r="H403" s="29" t="n">
        <v>4596.05595</v>
      </c>
      <c r="I403" s="29" t="n">
        <v>4755.40355</v>
      </c>
      <c r="J403" s="29" t="n">
        <v>4792.76972</v>
      </c>
      <c r="K403" s="29" t="n">
        <v>4769.97694</v>
      </c>
      <c r="L403" s="29" t="n">
        <v>4716.33597</v>
      </c>
      <c r="M403" s="29" t="n">
        <v>4718.85043</v>
      </c>
      <c r="N403" s="29" t="n">
        <v>4531.36057</v>
      </c>
      <c r="O403" s="29" t="n">
        <v>4556.93783</v>
      </c>
      <c r="Q403" s="29" t="n">
        <v>4629.7451</v>
      </c>
      <c r="R403" s="29" t="n">
        <v>4677.76276</v>
      </c>
      <c r="S403" s="29" t="n">
        <v>4653.57915</v>
      </c>
      <c r="V403" s="29" t="n">
        <v>4597.0999</v>
      </c>
      <c r="AB403" s="29" t="n">
        <v>4537.31816</v>
      </c>
      <c r="AC403" s="29" t="n">
        <v>4535.84087</v>
      </c>
      <c r="AD403" s="29" t="n">
        <v>0</v>
      </c>
    </row>
    <row r="404" ht="14.25" customHeight="1" s="28">
      <c r="A404" s="29" t="n">
        <v>1777958101</v>
      </c>
      <c r="B404" s="29" t="inlineStr">
        <is>
          <t>XAUUSD</t>
        </is>
      </c>
      <c r="C404" s="29" t="inlineStr">
        <is>
          <t>M15</t>
        </is>
      </c>
      <c r="D404" s="29" t="n">
        <v>4540.11</v>
      </c>
      <c r="E404" s="29" t="n">
        <v>4717.79398</v>
      </c>
      <c r="F404" s="29" t="n">
        <v>4695.2428</v>
      </c>
      <c r="G404" s="29" t="n">
        <v>4518.59282</v>
      </c>
      <c r="H404" s="29" t="n">
        <v>4596.05595</v>
      </c>
      <c r="I404" s="29" t="n">
        <v>4755.40355</v>
      </c>
      <c r="J404" s="29" t="n">
        <v>4792.76972</v>
      </c>
      <c r="K404" s="29" t="n">
        <v>4769.97694</v>
      </c>
      <c r="L404" s="29" t="n">
        <v>4716.33597</v>
      </c>
      <c r="M404" s="29" t="n">
        <v>4718.85043</v>
      </c>
      <c r="N404" s="29" t="n">
        <v>4531.36057</v>
      </c>
      <c r="O404" s="29" t="n">
        <v>4556.93783</v>
      </c>
      <c r="Q404" s="29" t="n">
        <v>4629.94754</v>
      </c>
      <c r="R404" s="29" t="n">
        <v>4677.96521</v>
      </c>
      <c r="S404" s="29" t="n">
        <v>4653.78159</v>
      </c>
      <c r="V404" s="29" t="n">
        <v>4597.30235</v>
      </c>
      <c r="AB404" s="29" t="n">
        <v>4539.63197</v>
      </c>
      <c r="AC404" s="29" t="n">
        <v>4537.73642</v>
      </c>
      <c r="AD404" s="29" t="n">
        <v>0</v>
      </c>
    </row>
    <row r="405" ht="14.25" customHeight="1" s="28">
      <c r="A405" s="29" t="n">
        <v>1777959001</v>
      </c>
      <c r="B405" s="29" t="inlineStr">
        <is>
          <t>XAUUSD</t>
        </is>
      </c>
      <c r="C405" s="29" t="inlineStr">
        <is>
          <t>M15</t>
        </is>
      </c>
      <c r="D405" s="29" t="n">
        <v>4545.86</v>
      </c>
      <c r="E405" s="29" t="n">
        <v>4717.79398</v>
      </c>
      <c r="F405" s="29" t="n">
        <v>4695.2428</v>
      </c>
      <c r="G405" s="29" t="n">
        <v>4518.59282</v>
      </c>
      <c r="H405" s="29" t="n">
        <v>4596.05595</v>
      </c>
      <c r="I405" s="29" t="n">
        <v>4755.40355</v>
      </c>
      <c r="J405" s="29" t="n">
        <v>4792.76972</v>
      </c>
      <c r="K405" s="29" t="n">
        <v>4769.97694</v>
      </c>
      <c r="L405" s="29" t="n">
        <v>4716.33597</v>
      </c>
      <c r="M405" s="29" t="n">
        <v>4718.85043</v>
      </c>
      <c r="N405" s="29" t="n">
        <v>4531.36057</v>
      </c>
      <c r="O405" s="29" t="n">
        <v>4556.93783</v>
      </c>
      <c r="Q405" s="29" t="n">
        <v>4630.14999</v>
      </c>
      <c r="R405" s="29" t="n">
        <v>4678.16765</v>
      </c>
      <c r="S405" s="29" t="n">
        <v>4653.98404</v>
      </c>
      <c r="V405" s="29" t="n">
        <v>4597.50479</v>
      </c>
      <c r="AB405" s="29" t="n">
        <v>4541.85448</v>
      </c>
      <c r="AC405" s="29" t="n">
        <v>4539.79545</v>
      </c>
      <c r="AD405" s="29" t="n">
        <v>0</v>
      </c>
    </row>
    <row r="406" ht="14.25" customHeight="1" s="28">
      <c r="A406" s="29" t="n">
        <v>1777959901</v>
      </c>
      <c r="B406" s="29" t="inlineStr">
        <is>
          <t>XAUUSD</t>
        </is>
      </c>
      <c r="C406" s="29" t="inlineStr">
        <is>
          <t>M15</t>
        </is>
      </c>
      <c r="D406" s="29" t="n">
        <v>4545.73</v>
      </c>
      <c r="E406" s="29" t="n">
        <v>4717.79398</v>
      </c>
      <c r="F406" s="29" t="n">
        <v>4695.2428</v>
      </c>
      <c r="G406" s="29" t="n">
        <v>4518.59282</v>
      </c>
      <c r="H406" s="29" t="n">
        <v>4596.05595</v>
      </c>
      <c r="I406" s="29" t="n">
        <v>4755.40355</v>
      </c>
      <c r="J406" s="29" t="n">
        <v>4792.76972</v>
      </c>
      <c r="K406" s="29" t="n">
        <v>4769.97694</v>
      </c>
      <c r="L406" s="29" t="n">
        <v>4716.33597</v>
      </c>
      <c r="M406" s="29" t="n">
        <v>4718.85043</v>
      </c>
      <c r="N406" s="29" t="n">
        <v>4531.36057</v>
      </c>
      <c r="O406" s="29" t="n">
        <v>4556.93783</v>
      </c>
      <c r="Q406" s="29" t="n">
        <v>4630.35243</v>
      </c>
      <c r="R406" s="29" t="n">
        <v>4678.3701</v>
      </c>
      <c r="S406" s="29" t="n">
        <v>4654.18648</v>
      </c>
      <c r="V406" s="29" t="n">
        <v>4597.70724</v>
      </c>
      <c r="AB406" s="29" t="n">
        <v>4543.62782</v>
      </c>
      <c r="AC406" s="29" t="n">
        <v>4541.71164</v>
      </c>
      <c r="AD406" s="29" t="n">
        <v>0</v>
      </c>
    </row>
    <row r="407" ht="14.25" customHeight="1" s="28">
      <c r="A407" s="29" t="n">
        <v>1777960801</v>
      </c>
      <c r="B407" s="29" t="inlineStr">
        <is>
          <t>XAUUSD</t>
        </is>
      </c>
      <c r="C407" s="29" t="inlineStr">
        <is>
          <t>M15</t>
        </is>
      </c>
      <c r="D407" s="29" t="n">
        <v>4543.66</v>
      </c>
      <c r="E407" s="29" t="n">
        <v>4717.79398</v>
      </c>
      <c r="F407" s="29" t="n">
        <v>4695.2428</v>
      </c>
      <c r="G407" s="29" t="n">
        <v>4518.59282</v>
      </c>
      <c r="H407" s="29" t="n">
        <v>4596.05595</v>
      </c>
      <c r="I407" s="29" t="n">
        <v>4755.40355</v>
      </c>
      <c r="J407" s="29" t="n">
        <v>4792.76972</v>
      </c>
      <c r="K407" s="29" t="n">
        <v>4769.97694</v>
      </c>
      <c r="L407" s="29" t="n">
        <v>4716.33597</v>
      </c>
      <c r="M407" s="29" t="n">
        <v>4718.85043</v>
      </c>
      <c r="N407" s="29" t="n">
        <v>4531.36057</v>
      </c>
      <c r="O407" s="29" t="n">
        <v>4556.93783</v>
      </c>
      <c r="Q407" s="29" t="n">
        <v>4630.55488</v>
      </c>
      <c r="R407" s="29" t="n">
        <v>4678.57254</v>
      </c>
      <c r="S407" s="29" t="n">
        <v>4654.38893</v>
      </c>
      <c r="V407" s="29" t="n">
        <v>4597.90969</v>
      </c>
      <c r="AB407" s="29" t="n">
        <v>4544.8969</v>
      </c>
      <c r="AC407" s="29" t="n">
        <v>4543.30427</v>
      </c>
      <c r="AD407" s="29" t="n">
        <v>0</v>
      </c>
    </row>
    <row r="408" ht="14.25" customHeight="1" s="28">
      <c r="A408" s="29" t="n">
        <v>1777961701</v>
      </c>
      <c r="B408" s="29" t="inlineStr">
        <is>
          <t>XAUUSD</t>
        </is>
      </c>
      <c r="C408" s="29" t="inlineStr">
        <is>
          <t>M15</t>
        </is>
      </c>
      <c r="D408" s="29" t="n">
        <v>4536.86</v>
      </c>
      <c r="E408" s="29" t="n">
        <v>4717.79398</v>
      </c>
      <c r="F408" s="29" t="n">
        <v>4695.2428</v>
      </c>
      <c r="G408" s="29" t="n">
        <v>4518.59282</v>
      </c>
      <c r="H408" s="29" t="n">
        <v>4596.05595</v>
      </c>
      <c r="I408" s="29" t="n">
        <v>4755.40355</v>
      </c>
      <c r="J408" s="29" t="n">
        <v>4792.76972</v>
      </c>
      <c r="K408" s="29" t="n">
        <v>4769.97694</v>
      </c>
      <c r="L408" s="29" t="n">
        <v>4716.33597</v>
      </c>
      <c r="M408" s="29" t="n">
        <v>4718.85043</v>
      </c>
      <c r="N408" s="29" t="n">
        <v>4531.36057</v>
      </c>
      <c r="O408" s="29" t="n">
        <v>4556.93783</v>
      </c>
      <c r="Q408" s="29" t="n">
        <v>4630.75732</v>
      </c>
      <c r="R408" s="29" t="n">
        <v>4678.77499</v>
      </c>
      <c r="S408" s="29" t="n">
        <v>4654.59138</v>
      </c>
      <c r="V408" s="29" t="n">
        <v>4598.11213</v>
      </c>
      <c r="AB408" s="29" t="n">
        <v>4545.77755</v>
      </c>
      <c r="AC408" s="29" t="n">
        <v>4544.54091</v>
      </c>
      <c r="AD408" s="29" t="n">
        <v>0</v>
      </c>
    </row>
    <row r="409" ht="14.25" customHeight="1" s="28">
      <c r="A409" s="29" t="n">
        <v>1777962601</v>
      </c>
      <c r="B409" s="29" t="inlineStr">
        <is>
          <t>XAUUSD</t>
        </is>
      </c>
      <c r="C409" s="29" t="inlineStr">
        <is>
          <t>M15</t>
        </is>
      </c>
      <c r="D409" s="29" t="n">
        <v>4546.17</v>
      </c>
      <c r="E409" s="29" t="n">
        <v>4717.79398</v>
      </c>
      <c r="F409" s="29" t="n">
        <v>4695.2428</v>
      </c>
      <c r="G409" s="29" t="n">
        <v>4518.59282</v>
      </c>
      <c r="H409" s="29" t="n">
        <v>4596.05595</v>
      </c>
      <c r="I409" s="29" t="n">
        <v>4755.40355</v>
      </c>
      <c r="J409" s="29" t="n">
        <v>4792.76972</v>
      </c>
      <c r="K409" s="29" t="n">
        <v>4769.97694</v>
      </c>
      <c r="L409" s="29" t="n">
        <v>4716.33597</v>
      </c>
      <c r="M409" s="29" t="n">
        <v>4718.85043</v>
      </c>
      <c r="N409" s="29" t="n">
        <v>4531.36057</v>
      </c>
      <c r="O409" s="29" t="n">
        <v>4556.93783</v>
      </c>
      <c r="Q409" s="29" t="n">
        <v>4630.95977</v>
      </c>
      <c r="R409" s="29" t="n">
        <v>4678.97743</v>
      </c>
      <c r="S409" s="29" t="n">
        <v>4654.79382</v>
      </c>
      <c r="V409" s="29" t="n">
        <v>4598.31458</v>
      </c>
      <c r="AB409" s="29" t="n">
        <v>4546.57778</v>
      </c>
      <c r="AC409" s="29" t="n">
        <v>4545.55934</v>
      </c>
      <c r="AD409" s="29" t="n">
        <v>0</v>
      </c>
    </row>
    <row r="410" ht="14.25" customHeight="1" s="28">
      <c r="A410" s="29" t="n">
        <v>1777963501</v>
      </c>
      <c r="B410" s="29" t="inlineStr">
        <is>
          <t>XAUUSD</t>
        </is>
      </c>
      <c r="C410" s="29" t="inlineStr">
        <is>
          <t>M15</t>
        </is>
      </c>
      <c r="D410" s="29" t="n">
        <v>4548.12</v>
      </c>
      <c r="E410" s="29" t="n">
        <v>4717.79398</v>
      </c>
      <c r="F410" s="29" t="n">
        <v>4695.2428</v>
      </c>
      <c r="G410" s="29" t="n">
        <v>4518.59282</v>
      </c>
      <c r="H410" s="29" t="n">
        <v>4596.05595</v>
      </c>
      <c r="I410" s="29" t="n">
        <v>4755.40355</v>
      </c>
      <c r="J410" s="29" t="n">
        <v>4792.76972</v>
      </c>
      <c r="K410" s="29" t="n">
        <v>4769.97694</v>
      </c>
      <c r="L410" s="29" t="n">
        <v>4716.33597</v>
      </c>
      <c r="M410" s="29" t="n">
        <v>4718.85043</v>
      </c>
      <c r="N410" s="29" t="n">
        <v>4531.36057</v>
      </c>
      <c r="O410" s="29" t="n">
        <v>4556.93783</v>
      </c>
      <c r="Q410" s="29" t="n">
        <v>4631.16221</v>
      </c>
      <c r="R410" s="29" t="n">
        <v>4679.17988</v>
      </c>
      <c r="S410" s="29" t="n">
        <v>4654.99627</v>
      </c>
      <c r="V410" s="29" t="n">
        <v>4598.51702</v>
      </c>
      <c r="AB410" s="29" t="n">
        <v>4547.20034</v>
      </c>
      <c r="AC410" s="29" t="n">
        <v>4546.37984</v>
      </c>
      <c r="AD410" s="29" t="n">
        <v>0</v>
      </c>
    </row>
    <row r="411" ht="14.25" customHeight="1" s="28">
      <c r="A411" s="29" t="n">
        <v>1777964401</v>
      </c>
      <c r="B411" s="29" t="inlineStr">
        <is>
          <t>XAUUSD</t>
        </is>
      </c>
      <c r="C411" s="29" t="inlineStr">
        <is>
          <t>M15</t>
        </is>
      </c>
      <c r="D411" s="29" t="n">
        <v>4554.04</v>
      </c>
      <c r="E411" s="29" t="n">
        <v>4717.79398</v>
      </c>
      <c r="F411" s="29" t="n">
        <v>4695.2428</v>
      </c>
      <c r="G411" s="29" t="n">
        <v>4518.59282</v>
      </c>
      <c r="H411" s="29" t="n">
        <v>4596.05595</v>
      </c>
      <c r="I411" s="29" t="n">
        <v>4755.40355</v>
      </c>
      <c r="J411" s="29" t="n">
        <v>4792.76972</v>
      </c>
      <c r="K411" s="29" t="n">
        <v>4769.97694</v>
      </c>
      <c r="L411" s="29" t="n">
        <v>4716.33597</v>
      </c>
      <c r="M411" s="29" t="n">
        <v>4718.85043</v>
      </c>
      <c r="N411" s="29" t="n">
        <v>4531.36057</v>
      </c>
      <c r="O411" s="29" t="n">
        <v>4556.93783</v>
      </c>
      <c r="Q411" s="29" t="n">
        <v>4631.36466</v>
      </c>
      <c r="R411" s="29" t="n">
        <v>4679.38232</v>
      </c>
      <c r="S411" s="29" t="n">
        <v>4655.19871</v>
      </c>
      <c r="V411" s="29" t="n">
        <v>4598.71947</v>
      </c>
      <c r="AB411" s="29" t="n">
        <v>4547.73801</v>
      </c>
      <c r="AC411" s="29" t="n">
        <v>4547.05893</v>
      </c>
      <c r="AD411" s="29" t="n">
        <v>0</v>
      </c>
    </row>
    <row r="412" ht="14.25" customHeight="1" s="28">
      <c r="A412" s="29" t="n">
        <v>1777965301</v>
      </c>
      <c r="B412" s="29" t="inlineStr">
        <is>
          <t>XAUUSD</t>
        </is>
      </c>
      <c r="C412" s="29" t="inlineStr">
        <is>
          <t>M15</t>
        </is>
      </c>
      <c r="D412" s="29" t="n">
        <v>4548.94</v>
      </c>
      <c r="E412" s="29" t="n">
        <v>4717.79398</v>
      </c>
      <c r="F412" s="29" t="n">
        <v>4695.2428</v>
      </c>
      <c r="G412" s="29" t="n">
        <v>4518.59282</v>
      </c>
      <c r="H412" s="29" t="n">
        <v>4596.05595</v>
      </c>
      <c r="I412" s="29" t="n">
        <v>4755.40355</v>
      </c>
      <c r="J412" s="29" t="n">
        <v>4792.76972</v>
      </c>
      <c r="K412" s="29" t="n">
        <v>4769.97694</v>
      </c>
      <c r="L412" s="29" t="n">
        <v>4716.33597</v>
      </c>
      <c r="M412" s="29" t="n">
        <v>4718.85043</v>
      </c>
      <c r="N412" s="29" t="n">
        <v>4531.36057</v>
      </c>
      <c r="O412" s="29" t="n">
        <v>4556.93783</v>
      </c>
      <c r="Q412" s="29" t="n">
        <v>4631.56711</v>
      </c>
      <c r="R412" s="29" t="n">
        <v>4679.58477</v>
      </c>
      <c r="S412" s="29" t="n">
        <v>4655.40116</v>
      </c>
      <c r="V412" s="29" t="n">
        <v>4598.92191</v>
      </c>
      <c r="AB412" s="29" t="n">
        <v>4548.21468</v>
      </c>
      <c r="AC412" s="29" t="n">
        <v>4547.6368</v>
      </c>
      <c r="AD412" s="29" t="n">
        <v>0</v>
      </c>
    </row>
    <row r="413" ht="14.25" customHeight="1" s="28">
      <c r="A413" s="29" t="n">
        <v>1777966201</v>
      </c>
      <c r="B413" s="29" t="inlineStr">
        <is>
          <t>XAUUSD</t>
        </is>
      </c>
      <c r="C413" s="29" t="inlineStr">
        <is>
          <t>M15</t>
        </is>
      </c>
      <c r="D413" s="29" t="n">
        <v>4551.29</v>
      </c>
      <c r="E413" s="29" t="n">
        <v>4717.79398</v>
      </c>
      <c r="F413" s="29" t="n">
        <v>4695.2428</v>
      </c>
      <c r="G413" s="29" t="n">
        <v>4518.59282</v>
      </c>
      <c r="H413" s="29" t="n">
        <v>4596.05595</v>
      </c>
      <c r="I413" s="29" t="n">
        <v>4755.40355</v>
      </c>
      <c r="J413" s="29" t="n">
        <v>4792.76972</v>
      </c>
      <c r="K413" s="29" t="n">
        <v>4769.97694</v>
      </c>
      <c r="L413" s="29" t="n">
        <v>4716.33597</v>
      </c>
      <c r="M413" s="29" t="n">
        <v>4718.85043</v>
      </c>
      <c r="N413" s="29" t="n">
        <v>4531.36057</v>
      </c>
      <c r="O413" s="29" t="n">
        <v>4556.93783</v>
      </c>
      <c r="Q413" s="29" t="n">
        <v>4631.76955</v>
      </c>
      <c r="R413" s="29" t="n">
        <v>4679.78722</v>
      </c>
      <c r="S413" s="29" t="n">
        <v>4655.6036</v>
      </c>
      <c r="V413" s="29" t="n">
        <v>4599.12436</v>
      </c>
      <c r="AB413" s="29" t="n">
        <v>4548.9321</v>
      </c>
      <c r="AC413" s="29" t="n">
        <v>4548.28445</v>
      </c>
      <c r="AD413" s="29" t="n">
        <v>0</v>
      </c>
    </row>
    <row r="414" ht="14.25" customHeight="1" s="28">
      <c r="A414" s="29" t="n">
        <v>1777967101</v>
      </c>
      <c r="B414" s="29" t="inlineStr">
        <is>
          <t>XAUUSD</t>
        </is>
      </c>
      <c r="C414" s="29" t="inlineStr">
        <is>
          <t>M15</t>
        </is>
      </c>
      <c r="D414" s="29" t="n">
        <v>4545.57</v>
      </c>
      <c r="E414" s="29" t="n">
        <v>4717.79398</v>
      </c>
      <c r="F414" s="29" t="n">
        <v>4695.2428</v>
      </c>
      <c r="G414" s="29" t="n">
        <v>4518.59282</v>
      </c>
      <c r="H414" s="29" t="n">
        <v>4596.05595</v>
      </c>
      <c r="I414" s="29" t="n">
        <v>4755.40355</v>
      </c>
      <c r="J414" s="29" t="n">
        <v>4792.76972</v>
      </c>
      <c r="K414" s="29" t="n">
        <v>4769.97694</v>
      </c>
      <c r="L414" s="29" t="n">
        <v>4716.33597</v>
      </c>
      <c r="M414" s="29" t="n">
        <v>4718.85043</v>
      </c>
      <c r="N414" s="29" t="n">
        <v>4531.36057</v>
      </c>
      <c r="O414" s="29" t="n">
        <v>4556.93783</v>
      </c>
      <c r="Q414" s="29" t="n">
        <v>4631.972</v>
      </c>
      <c r="R414" s="29" t="n">
        <v>4679.98966</v>
      </c>
      <c r="S414" s="29" t="n">
        <v>4655.80605</v>
      </c>
      <c r="V414" s="29" t="n">
        <v>4599.32681</v>
      </c>
      <c r="AB414" s="29" t="n">
        <v>4549.90845</v>
      </c>
      <c r="AC414" s="29" t="n">
        <v>4549.09645</v>
      </c>
      <c r="AD414" s="29" t="n">
        <v>0</v>
      </c>
    </row>
    <row r="415" ht="14.25" customHeight="1" s="28">
      <c r="A415" s="29" t="n">
        <v>1777968001</v>
      </c>
      <c r="B415" s="29" t="inlineStr">
        <is>
          <t>XAUUSD</t>
        </is>
      </c>
      <c r="C415" s="29" t="inlineStr">
        <is>
          <t>M15</t>
        </is>
      </c>
      <c r="D415" s="29" t="n">
        <v>4551.12</v>
      </c>
      <c r="E415" s="29" t="n">
        <v>4717.79398</v>
      </c>
      <c r="F415" s="29" t="n">
        <v>4695.2428</v>
      </c>
      <c r="G415" s="29" t="n">
        <v>4518.59282</v>
      </c>
      <c r="H415" s="29" t="n">
        <v>4596.05595</v>
      </c>
      <c r="I415" s="29" t="n">
        <v>4755.40355</v>
      </c>
      <c r="J415" s="29" t="n">
        <v>4792.76972</v>
      </c>
      <c r="K415" s="29" t="n">
        <v>4769.97694</v>
      </c>
      <c r="L415" s="29" t="n">
        <v>4716.33597</v>
      </c>
      <c r="M415" s="29" t="n">
        <v>4718.85043</v>
      </c>
      <c r="N415" s="29" t="n">
        <v>4531.36057</v>
      </c>
      <c r="O415" s="29" t="n">
        <v>4556.93783</v>
      </c>
      <c r="Q415" s="29" t="n">
        <v>4632.17444</v>
      </c>
      <c r="R415" s="29" t="n">
        <v>4680.19211</v>
      </c>
      <c r="S415" s="29" t="n">
        <v>4656.0085</v>
      </c>
      <c r="V415" s="29" t="n">
        <v>4599.52925</v>
      </c>
      <c r="AB415" s="29" t="n">
        <v>4551.30899</v>
      </c>
      <c r="AC415" s="29" t="n">
        <v>4550.20272</v>
      </c>
      <c r="AD415" s="29" t="n">
        <v>0</v>
      </c>
    </row>
    <row r="416" ht="14.25" customHeight="1" s="28">
      <c r="A416" s="29" t="n">
        <v>1777968901</v>
      </c>
      <c r="B416" s="29" t="inlineStr">
        <is>
          <t>XAUUSD</t>
        </is>
      </c>
      <c r="C416" s="29" t="inlineStr">
        <is>
          <t>M15</t>
        </is>
      </c>
      <c r="D416" s="29" t="n">
        <v>4551.48</v>
      </c>
      <c r="E416" s="29" t="n">
        <v>4717.79398</v>
      </c>
      <c r="F416" s="29" t="n">
        <v>4695.2428</v>
      </c>
      <c r="G416" s="29" t="n">
        <v>4518.59282</v>
      </c>
      <c r="H416" s="29" t="n">
        <v>4596.05595</v>
      </c>
      <c r="I416" s="29" t="n">
        <v>4755.40355</v>
      </c>
      <c r="J416" s="29" t="n">
        <v>4792.76972</v>
      </c>
      <c r="K416" s="29" t="n">
        <v>4769.97694</v>
      </c>
      <c r="L416" s="29" t="n">
        <v>4716.33597</v>
      </c>
      <c r="M416" s="29" t="n">
        <v>4718.85043</v>
      </c>
      <c r="N416" s="29" t="n">
        <v>4531.36057</v>
      </c>
      <c r="O416" s="29" t="n">
        <v>4556.93783</v>
      </c>
      <c r="Q416" s="29" t="n">
        <v>4632.37689</v>
      </c>
      <c r="R416" s="29" t="n">
        <v>4680.39455</v>
      </c>
      <c r="S416" s="29" t="n">
        <v>4656.21094</v>
      </c>
      <c r="V416" s="29" t="n">
        <v>4599.7317</v>
      </c>
      <c r="AB416" s="29" t="n">
        <v>4552.84139</v>
      </c>
      <c r="AC416" s="29" t="n">
        <v>4551.52206</v>
      </c>
      <c r="AD416" s="29" t="n">
        <v>0</v>
      </c>
    </row>
    <row r="417" ht="14.25" customHeight="1" s="28">
      <c r="A417" s="29" t="n">
        <v>1777969801</v>
      </c>
      <c r="B417" s="29" t="inlineStr">
        <is>
          <t>XAUUSD</t>
        </is>
      </c>
      <c r="C417" s="29" t="inlineStr">
        <is>
          <t>M15</t>
        </is>
      </c>
      <c r="D417" s="29" t="n">
        <v>4550.32</v>
      </c>
      <c r="E417" s="29" t="n">
        <v>4717.79398</v>
      </c>
      <c r="F417" s="29" t="n">
        <v>4695.2428</v>
      </c>
      <c r="G417" s="29" t="n">
        <v>4518.59282</v>
      </c>
      <c r="H417" s="29" t="n">
        <v>4596.05595</v>
      </c>
      <c r="I417" s="29" t="n">
        <v>4755.40355</v>
      </c>
      <c r="J417" s="29" t="n">
        <v>4792.76972</v>
      </c>
      <c r="K417" s="29" t="n">
        <v>4769.97694</v>
      </c>
      <c r="L417" s="29" t="n">
        <v>4716.33597</v>
      </c>
      <c r="M417" s="29" t="n">
        <v>4718.85043</v>
      </c>
      <c r="N417" s="29" t="n">
        <v>4531.36057</v>
      </c>
      <c r="O417" s="29" t="n">
        <v>4556.93783</v>
      </c>
      <c r="Q417" s="29" t="n">
        <v>4632.57933</v>
      </c>
      <c r="R417" s="29" t="n">
        <v>4680.597</v>
      </c>
      <c r="S417" s="29" t="n">
        <v>4656.41339</v>
      </c>
      <c r="V417" s="29" t="n">
        <v>4599.93414</v>
      </c>
      <c r="AB417" s="29" t="n">
        <v>4554.25508</v>
      </c>
      <c r="AC417" s="29" t="n">
        <v>4552.88857</v>
      </c>
      <c r="AD417" s="29" t="n">
        <v>0</v>
      </c>
    </row>
    <row r="418" ht="14.25" customHeight="1" s="28">
      <c r="A418" s="29" t="n">
        <v>1777970701</v>
      </c>
      <c r="B418" s="29" t="inlineStr">
        <is>
          <t>XAUUSD</t>
        </is>
      </c>
      <c r="C418" s="29" t="inlineStr">
        <is>
          <t>M15</t>
        </is>
      </c>
      <c r="D418" s="29" t="n">
        <v>4558.34</v>
      </c>
      <c r="E418" s="29" t="n">
        <v>4717.79398</v>
      </c>
      <c r="F418" s="29" t="n">
        <v>4695.2428</v>
      </c>
      <c r="G418" s="29" t="n">
        <v>4518.59282</v>
      </c>
      <c r="H418" s="29" t="n">
        <v>4596.05595</v>
      </c>
      <c r="I418" s="29" t="n">
        <v>4755.40355</v>
      </c>
      <c r="J418" s="29" t="n">
        <v>4792.76972</v>
      </c>
      <c r="K418" s="29" t="n">
        <v>4769.97694</v>
      </c>
      <c r="L418" s="29" t="n">
        <v>4716.33597</v>
      </c>
      <c r="M418" s="29" t="n">
        <v>4718.85043</v>
      </c>
      <c r="N418" s="29" t="n">
        <v>4531.36057</v>
      </c>
      <c r="O418" s="29" t="n">
        <v>4556.93783</v>
      </c>
      <c r="Q418" s="29" t="n">
        <v>4632.78178</v>
      </c>
      <c r="R418" s="29" t="n">
        <v>4680.79944</v>
      </c>
      <c r="S418" s="29" t="n">
        <v>4656.61583</v>
      </c>
      <c r="V418" s="29" t="n">
        <v>4600.13659</v>
      </c>
      <c r="AB418" s="29" t="n">
        <v>4555.30266</v>
      </c>
      <c r="AC418" s="29" t="n">
        <v>4554.09561</v>
      </c>
      <c r="AD418" s="29" t="n">
        <v>0</v>
      </c>
    </row>
    <row r="419" ht="14.25" customHeight="1" s="28">
      <c r="A419" s="29" t="n">
        <v>1777971601</v>
      </c>
      <c r="B419" s="29" t="inlineStr">
        <is>
          <t>XAUUSD</t>
        </is>
      </c>
      <c r="C419" s="29" t="inlineStr">
        <is>
          <t>M15</t>
        </is>
      </c>
      <c r="D419" s="29" t="n">
        <v>4557.61</v>
      </c>
      <c r="E419" s="29" t="n">
        <v>4717.79398</v>
      </c>
      <c r="F419" s="29" t="n">
        <v>4695.2428</v>
      </c>
      <c r="G419" s="29" t="n">
        <v>4518.59282</v>
      </c>
      <c r="H419" s="29" t="n">
        <v>4596.05595</v>
      </c>
      <c r="I419" s="29" t="n">
        <v>4755.40355</v>
      </c>
      <c r="J419" s="29" t="n">
        <v>4792.76972</v>
      </c>
      <c r="K419" s="29" t="n">
        <v>4769.97694</v>
      </c>
      <c r="L419" s="29" t="n">
        <v>4716.33597</v>
      </c>
      <c r="M419" s="29" t="n">
        <v>4718.85043</v>
      </c>
      <c r="N419" s="29" t="n">
        <v>4531.36057</v>
      </c>
      <c r="O419" s="29" t="n">
        <v>4556.93783</v>
      </c>
      <c r="Q419" s="29" t="n">
        <v>4632.98423</v>
      </c>
      <c r="R419" s="29" t="n">
        <v>4681.00189</v>
      </c>
      <c r="S419" s="29" t="n">
        <v>4656.81828</v>
      </c>
      <c r="V419" s="29" t="n">
        <v>4600.33903</v>
      </c>
      <c r="AB419" s="29" t="n">
        <v>4555.56282</v>
      </c>
      <c r="AC419" s="29" t="n">
        <v>4554.82922</v>
      </c>
      <c r="AD419" s="29" t="n">
        <v>0</v>
      </c>
    </row>
    <row r="420" ht="14.25" customHeight="1" s="28">
      <c r="A420" s="29" t="n">
        <v>1777972501</v>
      </c>
      <c r="B420" s="29" t="inlineStr">
        <is>
          <t>XAUUSD</t>
        </is>
      </c>
      <c r="C420" s="29" t="inlineStr">
        <is>
          <t>M15</t>
        </is>
      </c>
      <c r="D420" s="29" t="n">
        <v>4552.3</v>
      </c>
      <c r="E420" s="29" t="n">
        <v>4717.79398</v>
      </c>
      <c r="F420" s="29" t="n">
        <v>4695.2428</v>
      </c>
      <c r="G420" s="29" t="n">
        <v>4518.59282</v>
      </c>
      <c r="H420" s="29" t="n">
        <v>4596.05595</v>
      </c>
      <c r="I420" s="29" t="n">
        <v>4755.40355</v>
      </c>
      <c r="J420" s="29" t="n">
        <v>4792.76972</v>
      </c>
      <c r="K420" s="29" t="n">
        <v>4769.97694</v>
      </c>
      <c r="L420" s="29" t="n">
        <v>4716.33597</v>
      </c>
      <c r="M420" s="29" t="n">
        <v>4718.85043</v>
      </c>
      <c r="N420" s="29" t="n">
        <v>4531.36057</v>
      </c>
      <c r="O420" s="29" t="n">
        <v>4556.93783</v>
      </c>
      <c r="Q420" s="29" t="n">
        <v>4633.18667</v>
      </c>
      <c r="R420" s="29" t="n">
        <v>4681.20434</v>
      </c>
      <c r="S420" s="29" t="n">
        <v>4657.02072</v>
      </c>
      <c r="V420" s="29" t="n">
        <v>4600.54148</v>
      </c>
      <c r="AB420" s="29" t="n">
        <v>4554.98614</v>
      </c>
      <c r="AC420" s="29" t="n">
        <v>4554.90768</v>
      </c>
      <c r="AD420" s="29" t="n">
        <v>0</v>
      </c>
    </row>
    <row r="421" ht="14.25" customHeight="1" s="28">
      <c r="A421" s="29" t="n">
        <v>1777973401</v>
      </c>
      <c r="B421" s="29" t="inlineStr">
        <is>
          <t>XAUUSD</t>
        </is>
      </c>
      <c r="C421" s="29" t="inlineStr">
        <is>
          <t>M15</t>
        </is>
      </c>
      <c r="D421" s="29" t="n">
        <v>4555.5</v>
      </c>
      <c r="E421" s="29" t="n">
        <v>4717.79398</v>
      </c>
      <c r="F421" s="29" t="n">
        <v>4695.2428</v>
      </c>
      <c r="G421" s="29" t="n">
        <v>4518.59282</v>
      </c>
      <c r="H421" s="29" t="n">
        <v>4596.05595</v>
      </c>
      <c r="I421" s="29" t="n">
        <v>4755.40355</v>
      </c>
      <c r="J421" s="29" t="n">
        <v>4792.76972</v>
      </c>
      <c r="K421" s="29" t="n">
        <v>4769.97694</v>
      </c>
      <c r="L421" s="29" t="n">
        <v>4716.33597</v>
      </c>
      <c r="M421" s="29" t="n">
        <v>4718.85043</v>
      </c>
      <c r="N421" s="29" t="n">
        <v>4531.36057</v>
      </c>
      <c r="O421" s="29" t="n">
        <v>4556.93783</v>
      </c>
      <c r="Q421" s="29" t="n">
        <v>4633.38912</v>
      </c>
      <c r="R421" s="29" t="n">
        <v>4681.40678</v>
      </c>
      <c r="S421" s="29" t="n">
        <v>4657.22317</v>
      </c>
      <c r="V421" s="29" t="n">
        <v>4600.74393</v>
      </c>
      <c r="AB421" s="29" t="n">
        <v>4553.80154</v>
      </c>
      <c r="AC421" s="29" t="n">
        <v>4554.35461</v>
      </c>
      <c r="AD421" s="29" t="n">
        <v>1</v>
      </c>
    </row>
    <row r="422" ht="14.25" customHeight="1" s="28">
      <c r="A422" s="29" t="n">
        <v>1777974301</v>
      </c>
      <c r="B422" s="29" t="inlineStr">
        <is>
          <t>XAUUSD</t>
        </is>
      </c>
      <c r="C422" s="29" t="inlineStr">
        <is>
          <t>M15</t>
        </is>
      </c>
      <c r="D422" s="29" t="n">
        <v>4556.21</v>
      </c>
      <c r="E422" s="29" t="n">
        <v>4717.79398</v>
      </c>
      <c r="F422" s="29" t="n">
        <v>4695.2428</v>
      </c>
      <c r="G422" s="29" t="n">
        <v>4518.59282</v>
      </c>
      <c r="H422" s="29" t="n">
        <v>4596.05595</v>
      </c>
      <c r="I422" s="29" t="n">
        <v>4755.40355</v>
      </c>
      <c r="J422" s="29" t="n">
        <v>4792.76972</v>
      </c>
      <c r="K422" s="29" t="n">
        <v>4769.97694</v>
      </c>
      <c r="L422" s="29" t="n">
        <v>4716.33597</v>
      </c>
      <c r="M422" s="29" t="n">
        <v>4718.85043</v>
      </c>
      <c r="N422" s="29" t="n">
        <v>4531.36057</v>
      </c>
      <c r="O422" s="29" t="n">
        <v>4556.93783</v>
      </c>
      <c r="Q422" s="29" t="n">
        <v>4633.59156</v>
      </c>
      <c r="R422" s="29" t="n">
        <v>4681.60923</v>
      </c>
      <c r="S422" s="29" t="n">
        <v>4657.42562</v>
      </c>
      <c r="V422" s="29" t="n">
        <v>4600.94637</v>
      </c>
      <c r="AB422" s="29" t="n">
        <v>4552.18957</v>
      </c>
      <c r="AC422" s="29" t="n">
        <v>4553.27209</v>
      </c>
      <c r="AD422" s="29" t="n">
        <v>0</v>
      </c>
    </row>
    <row r="423" ht="14.25" customHeight="1" s="28">
      <c r="A423" s="29" t="n">
        <v>1777975201</v>
      </c>
      <c r="B423" s="29" t="inlineStr">
        <is>
          <t>XAUUSD</t>
        </is>
      </c>
      <c r="C423" s="29" t="inlineStr">
        <is>
          <t>M15</t>
        </is>
      </c>
      <c r="D423" s="29" t="n">
        <v>4553.01</v>
      </c>
      <c r="E423" s="29" t="n">
        <v>4717.79398</v>
      </c>
      <c r="F423" s="29" t="n">
        <v>4695.2428</v>
      </c>
      <c r="G423" s="29" t="n">
        <v>4518.59282</v>
      </c>
      <c r="H423" s="29" t="n">
        <v>4596.05595</v>
      </c>
      <c r="I423" s="29" t="n">
        <v>4755.40355</v>
      </c>
      <c r="J423" s="29" t="n">
        <v>4792.76972</v>
      </c>
      <c r="K423" s="29" t="n">
        <v>4769.97694</v>
      </c>
      <c r="L423" s="29" t="n">
        <v>4716.33597</v>
      </c>
      <c r="M423" s="29" t="n">
        <v>4718.85043</v>
      </c>
      <c r="N423" s="29" t="n">
        <v>4531.36057</v>
      </c>
      <c r="O423" s="29" t="n">
        <v>4556.93783</v>
      </c>
      <c r="Q423" s="29" t="n">
        <v>4633.79401</v>
      </c>
      <c r="R423" s="29" t="n">
        <v>4681.81167</v>
      </c>
      <c r="S423" s="29" t="n">
        <v>4657.62806</v>
      </c>
      <c r="V423" s="29" t="n">
        <v>4601.14882</v>
      </c>
      <c r="AB423" s="29" t="n">
        <v>4550.49676</v>
      </c>
      <c r="AC423" s="29" t="n">
        <v>4551.88442</v>
      </c>
      <c r="AD423" s="29" t="n">
        <v>0</v>
      </c>
    </row>
    <row r="424" ht="14.25" customHeight="1" s="28">
      <c r="A424" s="29" t="n">
        <v>1777976101</v>
      </c>
      <c r="B424" s="29" t="inlineStr">
        <is>
          <t>XAUUSD</t>
        </is>
      </c>
      <c r="C424" s="29" t="inlineStr">
        <is>
          <t>M15</t>
        </is>
      </c>
      <c r="D424" s="29" t="n">
        <v>4547.92</v>
      </c>
      <c r="E424" s="29" t="n">
        <v>4717.79398</v>
      </c>
      <c r="F424" s="29" t="n">
        <v>4695.2428</v>
      </c>
      <c r="G424" s="29" t="n">
        <v>4518.59282</v>
      </c>
      <c r="H424" s="29" t="n">
        <v>4596.05595</v>
      </c>
      <c r="I424" s="29" t="n">
        <v>4755.40355</v>
      </c>
      <c r="J424" s="29" t="n">
        <v>4792.76972</v>
      </c>
      <c r="K424" s="29" t="n">
        <v>4769.97694</v>
      </c>
      <c r="L424" s="29" t="n">
        <v>4716.33597</v>
      </c>
      <c r="M424" s="29" t="n">
        <v>4718.85043</v>
      </c>
      <c r="N424" s="29" t="n">
        <v>4531.36057</v>
      </c>
      <c r="O424" s="29" t="n">
        <v>4556.93783</v>
      </c>
      <c r="Q424" s="29" t="n">
        <v>4633.99645</v>
      </c>
      <c r="R424" s="29" t="n">
        <v>4682.01412</v>
      </c>
      <c r="S424" s="29" t="n">
        <v>4657.83051</v>
      </c>
      <c r="V424" s="29" t="n">
        <v>4601.35126</v>
      </c>
      <c r="AB424" s="29" t="n">
        <v>4549.2311</v>
      </c>
      <c r="AC424" s="29" t="n">
        <v>4550.55776</v>
      </c>
      <c r="AD424" s="29" t="n">
        <v>0</v>
      </c>
    </row>
    <row r="425" ht="14.25" customHeight="1" s="28">
      <c r="A425" s="29" t="n">
        <v>1777977001</v>
      </c>
      <c r="B425" s="29" t="inlineStr">
        <is>
          <t>XAUUSD</t>
        </is>
      </c>
      <c r="C425" s="29" t="inlineStr">
        <is>
          <t>M15</t>
        </is>
      </c>
      <c r="D425" s="29" t="n">
        <v>4545.13</v>
      </c>
      <c r="E425" s="29" t="n">
        <v>4717.79398</v>
      </c>
      <c r="F425" s="29" t="n">
        <v>4695.2428</v>
      </c>
      <c r="G425" s="29" t="n">
        <v>4518.59282</v>
      </c>
      <c r="H425" s="29" t="n">
        <v>4596.05595</v>
      </c>
      <c r="I425" s="29" t="n">
        <v>4755.40355</v>
      </c>
      <c r="J425" s="29" t="n">
        <v>4792.76972</v>
      </c>
      <c r="K425" s="29" t="n">
        <v>4769.97694</v>
      </c>
      <c r="L425" s="29" t="n">
        <v>4716.33597</v>
      </c>
      <c r="M425" s="29" t="n">
        <v>4718.85043</v>
      </c>
      <c r="N425" s="29" t="n">
        <v>4531.36057</v>
      </c>
      <c r="O425" s="29" t="n">
        <v>4556.93783</v>
      </c>
      <c r="Q425" s="29" t="n">
        <v>4634.1989</v>
      </c>
      <c r="R425" s="29" t="n">
        <v>4682.21656</v>
      </c>
      <c r="S425" s="29" t="n">
        <v>4658.03295</v>
      </c>
      <c r="V425" s="29" t="n">
        <v>4601.55371</v>
      </c>
      <c r="AB425" s="29" t="n">
        <v>4548.92382</v>
      </c>
      <c r="AC425" s="29" t="n">
        <v>4549.74079</v>
      </c>
      <c r="AD425" s="29" t="n">
        <v>0</v>
      </c>
    </row>
    <row r="426" ht="14.25" customHeight="1" s="28">
      <c r="A426" s="29" t="n">
        <v>1777977901</v>
      </c>
      <c r="B426" s="29" t="inlineStr">
        <is>
          <t>XAUUSD</t>
        </is>
      </c>
      <c r="C426" s="29" t="inlineStr">
        <is>
          <t>M15</t>
        </is>
      </c>
      <c r="D426" s="29" t="n">
        <v>4543.73</v>
      </c>
      <c r="E426" s="29" t="n">
        <v>4717.79398</v>
      </c>
      <c r="F426" s="29" t="n">
        <v>4695.2428</v>
      </c>
      <c r="G426" s="29" t="n">
        <v>4518.59282</v>
      </c>
      <c r="H426" s="29" t="n">
        <v>4596.05595</v>
      </c>
      <c r="I426" s="29" t="n">
        <v>4755.40355</v>
      </c>
      <c r="J426" s="29" t="n">
        <v>4792.76972</v>
      </c>
      <c r="K426" s="29" t="n">
        <v>4769.97694</v>
      </c>
      <c r="L426" s="29" t="n">
        <v>4716.33597</v>
      </c>
      <c r="M426" s="29" t="n">
        <v>4718.85043</v>
      </c>
      <c r="N426" s="29" t="n">
        <v>4531.36057</v>
      </c>
      <c r="O426" s="29" t="n">
        <v>4556.93783</v>
      </c>
      <c r="Q426" s="29" t="n">
        <v>4634.40135</v>
      </c>
      <c r="R426" s="29" t="n">
        <v>4682.41901</v>
      </c>
      <c r="S426" s="29" t="n">
        <v>4658.2354</v>
      </c>
      <c r="V426" s="29" t="n">
        <v>4601.75615</v>
      </c>
      <c r="AB426" s="29" t="n">
        <v>4549.87029</v>
      </c>
      <c r="AC426" s="29" t="n">
        <v>4549.80554</v>
      </c>
      <c r="AD426" s="29" t="n">
        <v>1</v>
      </c>
    </row>
    <row r="427" ht="14.25" customHeight="1" s="28">
      <c r="A427" s="29" t="n">
        <v>1777978801</v>
      </c>
      <c r="B427" s="29" t="inlineStr">
        <is>
          <t>XAUUSD</t>
        </is>
      </c>
      <c r="C427" s="29" t="inlineStr">
        <is>
          <t>M15</t>
        </is>
      </c>
      <c r="D427" s="29" t="n">
        <v>4552.62</v>
      </c>
      <c r="E427" s="29" t="n">
        <v>4717.79398</v>
      </c>
      <c r="F427" s="29" t="n">
        <v>4695.2428</v>
      </c>
      <c r="G427" s="29" t="n">
        <v>4518.59282</v>
      </c>
      <c r="H427" s="29" t="n">
        <v>4596.05595</v>
      </c>
      <c r="I427" s="29" t="n">
        <v>4755.40355</v>
      </c>
      <c r="J427" s="29" t="n">
        <v>4792.76972</v>
      </c>
      <c r="K427" s="29" t="n">
        <v>4769.97694</v>
      </c>
      <c r="L427" s="29" t="n">
        <v>4716.33597</v>
      </c>
      <c r="M427" s="29" t="n">
        <v>4718.85043</v>
      </c>
      <c r="N427" s="29" t="n">
        <v>4531.36057</v>
      </c>
      <c r="O427" s="29" t="n">
        <v>4556.93783</v>
      </c>
      <c r="Q427" s="29" t="n">
        <v>4634.60379</v>
      </c>
      <c r="R427" s="29" t="n">
        <v>4682.62146</v>
      </c>
      <c r="S427" s="29" t="n">
        <v>4658.43784</v>
      </c>
      <c r="V427" s="29" t="n">
        <v>4601.9586</v>
      </c>
      <c r="AA427" s="29" t="n">
        <v>4540</v>
      </c>
      <c r="AB427" s="29" t="n">
        <v>4552.13222</v>
      </c>
      <c r="AC427" s="29" t="n">
        <v>4550.96888</v>
      </c>
      <c r="AD427" s="29" t="n">
        <v>0</v>
      </c>
    </row>
    <row r="428" ht="14.25" customHeight="1" s="28">
      <c r="A428" s="29" t="n">
        <v>1777979701</v>
      </c>
      <c r="B428" s="29" t="inlineStr">
        <is>
          <t>XAUUSD</t>
        </is>
      </c>
      <c r="C428" s="29" t="inlineStr">
        <is>
          <t>M15</t>
        </is>
      </c>
      <c r="D428" s="29" t="n">
        <v>4556.17</v>
      </c>
      <c r="E428" s="29" t="n">
        <v>4717.79398</v>
      </c>
      <c r="F428" s="29" t="n">
        <v>4695.2428</v>
      </c>
      <c r="G428" s="29" t="n">
        <v>4518.59282</v>
      </c>
      <c r="H428" s="29" t="n">
        <v>4596.05595</v>
      </c>
      <c r="I428" s="29" t="n">
        <v>4755.40355</v>
      </c>
      <c r="J428" s="29" t="n">
        <v>4792.76972</v>
      </c>
      <c r="K428" s="29" t="n">
        <v>4769.97694</v>
      </c>
      <c r="L428" s="29" t="n">
        <v>4716.33597</v>
      </c>
      <c r="M428" s="29" t="n">
        <v>4718.85043</v>
      </c>
      <c r="N428" s="29" t="n">
        <v>4531.36057</v>
      </c>
      <c r="O428" s="29" t="n">
        <v>4556.93783</v>
      </c>
      <c r="Q428" s="29" t="n">
        <v>4634.80624</v>
      </c>
      <c r="R428" s="29" t="n">
        <v>4682.8239</v>
      </c>
      <c r="S428" s="29" t="n">
        <v>4658.64029</v>
      </c>
      <c r="V428" s="29" t="n">
        <v>4602.16105</v>
      </c>
      <c r="AB428" s="29" t="n">
        <v>4555.2737</v>
      </c>
      <c r="AC428" s="29" t="n">
        <v>4553.12129</v>
      </c>
      <c r="AD428" s="29" t="n">
        <v>0</v>
      </c>
    </row>
    <row r="429" ht="14.25" customHeight="1" s="28">
      <c r="A429" s="29" t="n">
        <v>1777980601</v>
      </c>
      <c r="B429" s="29" t="inlineStr">
        <is>
          <t>XAUUSD</t>
        </is>
      </c>
      <c r="C429" s="29" t="inlineStr">
        <is>
          <t>M15</t>
        </is>
      </c>
      <c r="D429" s="29" t="n">
        <v>4563.32</v>
      </c>
      <c r="E429" s="29" t="n">
        <v>4717.79398</v>
      </c>
      <c r="F429" s="29" t="n">
        <v>4695.2428</v>
      </c>
      <c r="G429" s="29" t="n">
        <v>4518.59282</v>
      </c>
      <c r="H429" s="29" t="n">
        <v>4596.05595</v>
      </c>
      <c r="I429" s="29" t="n">
        <v>4755.40355</v>
      </c>
      <c r="J429" s="29" t="n">
        <v>4792.76972</v>
      </c>
      <c r="K429" s="29" t="n">
        <v>4769.97694</v>
      </c>
      <c r="L429" s="29" t="n">
        <v>4716.33597</v>
      </c>
      <c r="M429" s="29" t="n">
        <v>4718.85043</v>
      </c>
      <c r="N429" s="29" t="n">
        <v>4531.36057</v>
      </c>
      <c r="O429" s="29" t="n">
        <v>4556.93783</v>
      </c>
      <c r="Q429" s="29" t="n">
        <v>4635.00868</v>
      </c>
      <c r="R429" s="29" t="n">
        <v>4683.02635</v>
      </c>
      <c r="S429" s="29" t="n">
        <v>4658.84274</v>
      </c>
      <c r="V429" s="29" t="n">
        <v>4602.36349</v>
      </c>
      <c r="AB429" s="29" t="n">
        <v>4558.87452</v>
      </c>
      <c r="AC429" s="29" t="n">
        <v>4555.9979</v>
      </c>
      <c r="AD429" s="29" t="n">
        <v>0</v>
      </c>
    </row>
    <row r="430" ht="14.25" customHeight="1" s="28">
      <c r="A430" s="29" t="n">
        <v>1777981501</v>
      </c>
      <c r="B430" s="29" t="inlineStr">
        <is>
          <t>XAUUSD</t>
        </is>
      </c>
      <c r="C430" s="29" t="inlineStr">
        <is>
          <t>M15</t>
        </is>
      </c>
      <c r="D430" s="29" t="n">
        <v>4562.6</v>
      </c>
      <c r="E430" s="29" t="n">
        <v>4717.79398</v>
      </c>
      <c r="F430" s="29" t="n">
        <v>4695.2428</v>
      </c>
      <c r="G430" s="29" t="n">
        <v>4518.59282</v>
      </c>
      <c r="H430" s="29" t="n">
        <v>4596.05595</v>
      </c>
      <c r="I430" s="29" t="n">
        <v>4755.40355</v>
      </c>
      <c r="J430" s="29" t="n">
        <v>4792.76972</v>
      </c>
      <c r="K430" s="29" t="n">
        <v>4769.97694</v>
      </c>
      <c r="L430" s="29" t="n">
        <v>4716.33597</v>
      </c>
      <c r="M430" s="29" t="n">
        <v>4718.85043</v>
      </c>
      <c r="N430" s="29" t="n">
        <v>4531.36057</v>
      </c>
      <c r="O430" s="29" t="n">
        <v>4556.93783</v>
      </c>
      <c r="Q430" s="29" t="n">
        <v>4635.21113</v>
      </c>
      <c r="R430" s="29" t="n">
        <v>4683.22879</v>
      </c>
      <c r="S430" s="29" t="n">
        <v>4659.04518</v>
      </c>
      <c r="V430" s="29" t="n">
        <v>4602.56594</v>
      </c>
      <c r="AB430" s="29" t="n">
        <v>4562.40143</v>
      </c>
      <c r="AC430" s="29" t="n">
        <v>4559.19967</v>
      </c>
      <c r="AD430" s="29" t="n">
        <v>0</v>
      </c>
    </row>
    <row r="431" ht="14.25" customHeight="1" s="28">
      <c r="A431" s="29" t="n">
        <v>1777982401</v>
      </c>
      <c r="B431" s="29" t="inlineStr">
        <is>
          <t>XAUUSD</t>
        </is>
      </c>
      <c r="C431" s="29" t="inlineStr">
        <is>
          <t>M15</t>
        </is>
      </c>
      <c r="D431" s="29" t="n">
        <v>4565</v>
      </c>
      <c r="E431" s="29" t="n">
        <v>4717.79398</v>
      </c>
      <c r="F431" s="29" t="n">
        <v>4695.2428</v>
      </c>
      <c r="G431" s="29" t="n">
        <v>4518.59282</v>
      </c>
      <c r="H431" s="29" t="n">
        <v>4596.05595</v>
      </c>
      <c r="I431" s="29" t="n">
        <v>4755.40355</v>
      </c>
      <c r="J431" s="29" t="n">
        <v>4792.76972</v>
      </c>
      <c r="K431" s="29" t="n">
        <v>4769.97694</v>
      </c>
      <c r="L431" s="29" t="n">
        <v>4716.33597</v>
      </c>
      <c r="M431" s="29" t="n">
        <v>4718.85043</v>
      </c>
      <c r="N431" s="29" t="n">
        <v>4531.36057</v>
      </c>
      <c r="O431" s="29" t="n">
        <v>4556.93783</v>
      </c>
      <c r="Q431" s="29" t="n">
        <v>4635.41357</v>
      </c>
      <c r="R431" s="29" t="n">
        <v>4683.43124</v>
      </c>
      <c r="S431" s="29" t="n">
        <v>4659.24763</v>
      </c>
      <c r="V431" s="29" t="n">
        <v>4602.76838</v>
      </c>
      <c r="AB431" s="29" t="n">
        <v>4565.61475</v>
      </c>
      <c r="AC431" s="29" t="n">
        <v>4562.40721</v>
      </c>
      <c r="AD431" s="29" t="n">
        <v>0</v>
      </c>
    </row>
    <row r="432" ht="14.25" customHeight="1" s="28">
      <c r="A432" s="29" t="n">
        <v>1777983301</v>
      </c>
      <c r="B432" s="29" t="inlineStr">
        <is>
          <t>XAUUSD</t>
        </is>
      </c>
      <c r="C432" s="29" t="inlineStr">
        <is>
          <t>M15</t>
        </is>
      </c>
      <c r="D432" s="29" t="n">
        <v>4573.81</v>
      </c>
      <c r="E432" s="29" t="n">
        <v>4717.79398</v>
      </c>
      <c r="F432" s="29" t="n">
        <v>4695.2428</v>
      </c>
      <c r="G432" s="29" t="n">
        <v>4518.59282</v>
      </c>
      <c r="H432" s="29" t="n">
        <v>4596.05595</v>
      </c>
      <c r="I432" s="29" t="n">
        <v>4755.40355</v>
      </c>
      <c r="J432" s="29" t="n">
        <v>4792.76972</v>
      </c>
      <c r="K432" s="29" t="n">
        <v>4769.97694</v>
      </c>
      <c r="L432" s="29" t="n">
        <v>4716.33597</v>
      </c>
      <c r="M432" s="29" t="n">
        <v>4718.85043</v>
      </c>
      <c r="N432" s="29" t="n">
        <v>4531.36057</v>
      </c>
      <c r="O432" s="29" t="n">
        <v>4556.93783</v>
      </c>
      <c r="Q432" s="29" t="n">
        <v>4635.61602</v>
      </c>
      <c r="R432" s="29" t="n">
        <v>4683.63368</v>
      </c>
      <c r="S432" s="29" t="n">
        <v>4659.45007</v>
      </c>
      <c r="V432" s="29" t="n">
        <v>4602.97083</v>
      </c>
      <c r="AB432" s="29" t="n">
        <v>4568.31576</v>
      </c>
      <c r="AC432" s="29" t="n">
        <v>4565.36148</v>
      </c>
      <c r="AD432" s="29" t="n">
        <v>0</v>
      </c>
    </row>
    <row r="433" ht="14.25" customHeight="1" s="28">
      <c r="A433" s="29" t="n">
        <v>1777984201</v>
      </c>
      <c r="B433" s="29" t="inlineStr">
        <is>
          <t>XAUUSD</t>
        </is>
      </c>
      <c r="C433" s="29" t="inlineStr">
        <is>
          <t>M15</t>
        </is>
      </c>
      <c r="D433" s="29" t="n">
        <v>4567.11</v>
      </c>
      <c r="E433" s="29" t="n">
        <v>4717.79398</v>
      </c>
      <c r="F433" s="29" t="n">
        <v>4695.2428</v>
      </c>
      <c r="G433" s="29" t="n">
        <v>4518.59282</v>
      </c>
      <c r="H433" s="29" t="n">
        <v>4596.05595</v>
      </c>
      <c r="I433" s="29" t="n">
        <v>4755.40355</v>
      </c>
      <c r="J433" s="29" t="n">
        <v>4792.76972</v>
      </c>
      <c r="K433" s="29" t="n">
        <v>4769.97694</v>
      </c>
      <c r="L433" s="29" t="n">
        <v>4716.33597</v>
      </c>
      <c r="M433" s="29" t="n">
        <v>4718.85043</v>
      </c>
      <c r="N433" s="29" t="n">
        <v>4531.36057</v>
      </c>
      <c r="O433" s="29" t="n">
        <v>4556.93783</v>
      </c>
      <c r="Q433" s="29" t="n">
        <v>4635.81847</v>
      </c>
      <c r="R433" s="29" t="n">
        <v>4683.83613</v>
      </c>
      <c r="S433" s="29" t="n">
        <v>4659.65252</v>
      </c>
      <c r="V433" s="29" t="n">
        <v>4603.17327</v>
      </c>
      <c r="AB433" s="29" t="n">
        <v>4570.29627</v>
      </c>
      <c r="AC433" s="29" t="n">
        <v>4567.82888</v>
      </c>
      <c r="AD433" s="29" t="n">
        <v>0</v>
      </c>
    </row>
    <row r="434" ht="14.25" customHeight="1" s="28">
      <c r="A434" s="29" t="n">
        <v>1777985101</v>
      </c>
      <c r="B434" s="29" t="inlineStr">
        <is>
          <t>XAUUSD</t>
        </is>
      </c>
      <c r="C434" s="29" t="inlineStr">
        <is>
          <t>M15</t>
        </is>
      </c>
      <c r="D434" s="29" t="n">
        <v>4564.68</v>
      </c>
      <c r="E434" s="29" t="n">
        <v>4717.79398</v>
      </c>
      <c r="F434" s="29" t="n">
        <v>4695.2428</v>
      </c>
      <c r="G434" s="29" t="n">
        <v>4518.59282</v>
      </c>
      <c r="H434" s="29" t="n">
        <v>4596.05595</v>
      </c>
      <c r="I434" s="29" t="n">
        <v>4755.40355</v>
      </c>
      <c r="J434" s="29" t="n">
        <v>4792.76972</v>
      </c>
      <c r="K434" s="29" t="n">
        <v>4769.97694</v>
      </c>
      <c r="L434" s="29" t="n">
        <v>4716.33597</v>
      </c>
      <c r="M434" s="29" t="n">
        <v>4718.85043</v>
      </c>
      <c r="N434" s="29" t="n">
        <v>4531.36057</v>
      </c>
      <c r="O434" s="29" t="n">
        <v>4556.93783</v>
      </c>
      <c r="Q434" s="29" t="n">
        <v>4636.02091</v>
      </c>
      <c r="R434" s="29" t="n">
        <v>4684.03858</v>
      </c>
      <c r="S434" s="29" t="n">
        <v>4659.85496</v>
      </c>
      <c r="V434" s="29" t="n">
        <v>4603.37572</v>
      </c>
      <c r="AB434" s="29" t="n">
        <v>4571.91455</v>
      </c>
      <c r="AC434" s="29" t="n">
        <v>4569.87171</v>
      </c>
      <c r="AD434" s="29" t="n">
        <v>0</v>
      </c>
    </row>
    <row r="435" ht="14.25" customHeight="1" s="28">
      <c r="A435" s="29" t="n">
        <v>1777986001</v>
      </c>
      <c r="B435" s="29" t="inlineStr">
        <is>
          <t>XAUUSD</t>
        </is>
      </c>
      <c r="C435" s="29" t="inlineStr">
        <is>
          <t>M15</t>
        </is>
      </c>
      <c r="D435" s="29" t="n">
        <v>4578.78</v>
      </c>
      <c r="E435" s="29" t="n">
        <v>4717.79398</v>
      </c>
      <c r="F435" s="29" t="n">
        <v>4695.2428</v>
      </c>
      <c r="G435" s="29" t="n">
        <v>4518.59282</v>
      </c>
      <c r="H435" s="29" t="n">
        <v>4596.05595</v>
      </c>
      <c r="I435" s="29" t="n">
        <v>4755.40355</v>
      </c>
      <c r="J435" s="29" t="n">
        <v>4792.76972</v>
      </c>
      <c r="K435" s="29" t="n">
        <v>4769.97694</v>
      </c>
      <c r="L435" s="29" t="n">
        <v>4716.33597</v>
      </c>
      <c r="M435" s="29" t="n">
        <v>4718.85043</v>
      </c>
      <c r="N435" s="29" t="n">
        <v>4531.36057</v>
      </c>
      <c r="O435" s="29" t="n">
        <v>4556.93783</v>
      </c>
      <c r="Q435" s="29" t="n">
        <v>4636.22336</v>
      </c>
      <c r="R435" s="29" t="n">
        <v>4684.24102</v>
      </c>
      <c r="S435" s="29" t="n">
        <v>4660.05741</v>
      </c>
      <c r="V435" s="29" t="n">
        <v>4603.57817</v>
      </c>
      <c r="AB435" s="29" t="n">
        <v>4573.49659</v>
      </c>
      <c r="AC435" s="29" t="n">
        <v>4571.68415</v>
      </c>
      <c r="AD435" s="29" t="n">
        <v>0</v>
      </c>
    </row>
    <row r="436" ht="14.25" customHeight="1" s="28">
      <c r="A436" s="29" t="n">
        <v>1777986901</v>
      </c>
      <c r="B436" s="29" t="inlineStr">
        <is>
          <t>XAUUSD</t>
        </is>
      </c>
      <c r="C436" s="29" t="inlineStr">
        <is>
          <t>M15</t>
        </is>
      </c>
      <c r="D436" s="29" t="n">
        <v>4576.85</v>
      </c>
      <c r="E436" s="29" t="n">
        <v>4717.79398</v>
      </c>
      <c r="F436" s="29" t="n">
        <v>4695.2428</v>
      </c>
      <c r="G436" s="29" t="n">
        <v>4518.59282</v>
      </c>
      <c r="H436" s="29" t="n">
        <v>4596.05595</v>
      </c>
      <c r="I436" s="29" t="n">
        <v>4755.40355</v>
      </c>
      <c r="J436" s="29" t="n">
        <v>4792.76972</v>
      </c>
      <c r="K436" s="29" t="n">
        <v>4769.97694</v>
      </c>
      <c r="L436" s="29" t="n">
        <v>4716.33597</v>
      </c>
      <c r="M436" s="29" t="n">
        <v>4718.85043</v>
      </c>
      <c r="N436" s="29" t="n">
        <v>4531.36057</v>
      </c>
      <c r="O436" s="29" t="n">
        <v>4556.93783</v>
      </c>
      <c r="Q436" s="29" t="n">
        <v>4636.4258</v>
      </c>
      <c r="R436" s="29" t="n">
        <v>4684.44347</v>
      </c>
      <c r="S436" s="29" t="n">
        <v>4660.25986</v>
      </c>
      <c r="V436" s="29" t="n">
        <v>4603.78061</v>
      </c>
      <c r="AB436" s="29" t="n">
        <v>4574.9018</v>
      </c>
      <c r="AC436" s="29" t="n">
        <v>4573.29297</v>
      </c>
      <c r="AD436" s="29" t="n">
        <v>0</v>
      </c>
    </row>
    <row r="437" ht="14.25" customHeight="1" s="28">
      <c r="A437" s="29" t="n">
        <v>1777987801</v>
      </c>
      <c r="B437" s="29" t="inlineStr">
        <is>
          <t>XAUUSD</t>
        </is>
      </c>
      <c r="C437" s="29" t="inlineStr">
        <is>
          <t>M15</t>
        </is>
      </c>
      <c r="D437" s="29" t="n">
        <v>4574.12</v>
      </c>
      <c r="E437" s="29" t="n">
        <v>4717.79398</v>
      </c>
      <c r="F437" s="29" t="n">
        <v>4695.2428</v>
      </c>
      <c r="G437" s="29" t="n">
        <v>4518.59282</v>
      </c>
      <c r="H437" s="29" t="n">
        <v>4596.05595</v>
      </c>
      <c r="I437" s="29" t="n">
        <v>4755.40355</v>
      </c>
      <c r="J437" s="29" t="n">
        <v>4792.76972</v>
      </c>
      <c r="K437" s="29" t="n">
        <v>4769.97694</v>
      </c>
      <c r="L437" s="29" t="n">
        <v>4716.33597</v>
      </c>
      <c r="M437" s="29" t="n">
        <v>4718.85043</v>
      </c>
      <c r="N437" s="29" t="n">
        <v>4531.36057</v>
      </c>
      <c r="O437" s="29" t="n">
        <v>4556.93783</v>
      </c>
      <c r="Q437" s="29" t="n">
        <v>4636.62825</v>
      </c>
      <c r="R437" s="29" t="n">
        <v>4684.64591</v>
      </c>
      <c r="S437" s="29" t="n">
        <v>4660.4623</v>
      </c>
      <c r="V437" s="29" t="n">
        <v>4603.98306</v>
      </c>
      <c r="AB437" s="29" t="n">
        <v>4576.36918</v>
      </c>
      <c r="AC437" s="29" t="n">
        <v>4574.83108</v>
      </c>
      <c r="AD437" s="29" t="n">
        <v>0</v>
      </c>
    </row>
    <row r="438" ht="14.25" customHeight="1" s="28">
      <c r="A438" s="29" t="n">
        <v>1777988701</v>
      </c>
      <c r="B438" s="29" t="inlineStr">
        <is>
          <t>XAUUSD</t>
        </is>
      </c>
      <c r="C438" s="29" t="inlineStr">
        <is>
          <t>M15</t>
        </is>
      </c>
      <c r="D438" s="29" t="n">
        <v>4579.4</v>
      </c>
      <c r="E438" s="29" t="n">
        <v>4717.79398</v>
      </c>
      <c r="F438" s="29" t="n">
        <v>4695.2428</v>
      </c>
      <c r="G438" s="29" t="n">
        <v>4518.59282</v>
      </c>
      <c r="H438" s="29" t="n">
        <v>4596.05595</v>
      </c>
      <c r="I438" s="29" t="n">
        <v>4755.40355</v>
      </c>
      <c r="J438" s="29" t="n">
        <v>4792.76972</v>
      </c>
      <c r="K438" s="29" t="n">
        <v>4769.97694</v>
      </c>
      <c r="L438" s="29" t="n">
        <v>4716.33597</v>
      </c>
      <c r="M438" s="29" t="n">
        <v>4718.85043</v>
      </c>
      <c r="N438" s="29" t="n">
        <v>4531.36057</v>
      </c>
      <c r="O438" s="29" t="n">
        <v>4556.93783</v>
      </c>
      <c r="Q438" s="29" t="n">
        <v>4636.83069</v>
      </c>
      <c r="R438" s="29" t="n">
        <v>4684.84836</v>
      </c>
      <c r="S438" s="29" t="n">
        <v>4660.66475</v>
      </c>
      <c r="V438" s="29" t="n">
        <v>4604.1855</v>
      </c>
      <c r="AB438" s="29" t="n">
        <v>4578.05835</v>
      </c>
      <c r="AC438" s="29" t="n">
        <v>4576.44471</v>
      </c>
      <c r="AD438" s="29" t="n">
        <v>0</v>
      </c>
    </row>
    <row r="439" ht="14.25" customHeight="1" s="28">
      <c r="A439" s="29" t="n">
        <v>1777989601</v>
      </c>
      <c r="B439" s="29" t="inlineStr">
        <is>
          <t>XAUUSD</t>
        </is>
      </c>
      <c r="C439" s="29" t="inlineStr">
        <is>
          <t>M15</t>
        </is>
      </c>
      <c r="D439" s="29" t="n">
        <v>4573.57</v>
      </c>
      <c r="E439" s="29" t="n">
        <v>4717.79398</v>
      </c>
      <c r="F439" s="29" t="n">
        <v>4695.2428</v>
      </c>
      <c r="G439" s="29" t="n">
        <v>4518.59282</v>
      </c>
      <c r="H439" s="29" t="n">
        <v>4596.05595</v>
      </c>
      <c r="I439" s="29" t="n">
        <v>4755.40355</v>
      </c>
      <c r="J439" s="29" t="n">
        <v>4792.76972</v>
      </c>
      <c r="K439" s="29" t="n">
        <v>4769.97694</v>
      </c>
      <c r="L439" s="29" t="n">
        <v>4716.33597</v>
      </c>
      <c r="M439" s="29" t="n">
        <v>4718.85043</v>
      </c>
      <c r="N439" s="29" t="n">
        <v>4531.36057</v>
      </c>
      <c r="O439" s="29" t="n">
        <v>4556.93783</v>
      </c>
      <c r="Q439" s="29" t="n">
        <v>4637.03314</v>
      </c>
      <c r="R439" s="29" t="n">
        <v>4685.0508</v>
      </c>
      <c r="S439" s="29" t="n">
        <v>4660.86719</v>
      </c>
      <c r="V439" s="29" t="n">
        <v>4604.38795</v>
      </c>
      <c r="AB439" s="29" t="n">
        <v>4579.74212</v>
      </c>
      <c r="AC439" s="29" t="n">
        <v>4578.09342</v>
      </c>
      <c r="AD439" s="29" t="n">
        <v>0</v>
      </c>
    </row>
    <row r="440" ht="14.25" customHeight="1" s="28">
      <c r="A440" s="29" t="n">
        <v>1777990501</v>
      </c>
      <c r="B440" s="29" t="inlineStr">
        <is>
          <t>XAUUSD</t>
        </is>
      </c>
      <c r="C440" s="29" t="inlineStr">
        <is>
          <t>M15</t>
        </is>
      </c>
      <c r="D440" s="29" t="n">
        <v>4584.37</v>
      </c>
      <c r="E440" s="29" t="n">
        <v>4717.79398</v>
      </c>
      <c r="F440" s="29" t="n">
        <v>4695.2428</v>
      </c>
      <c r="G440" s="29" t="n">
        <v>4518.59282</v>
      </c>
      <c r="H440" s="29" t="n">
        <v>4596.05595</v>
      </c>
      <c r="I440" s="29" t="n">
        <v>4755.40355</v>
      </c>
      <c r="J440" s="29" t="n">
        <v>4792.76972</v>
      </c>
      <c r="K440" s="29" t="n">
        <v>4769.97694</v>
      </c>
      <c r="L440" s="29" t="n">
        <v>4716.33597</v>
      </c>
      <c r="M440" s="29" t="n">
        <v>4718.85043</v>
      </c>
      <c r="N440" s="29" t="n">
        <v>4531.36057</v>
      </c>
      <c r="O440" s="29" t="n">
        <v>4556.93783</v>
      </c>
      <c r="Q440" s="29" t="n">
        <v>4637.23559</v>
      </c>
      <c r="R440" s="29" t="n">
        <v>4685.25325</v>
      </c>
      <c r="S440" s="29" t="n">
        <v>4661.06964</v>
      </c>
      <c r="V440" s="29" t="n">
        <v>4604.59039</v>
      </c>
      <c r="Z440" s="29" t="n">
        <v>4586.56</v>
      </c>
      <c r="AB440" s="29" t="n">
        <v>4581.29573</v>
      </c>
      <c r="AC440" s="29" t="n">
        <v>4579.69457</v>
      </c>
      <c r="AD440" s="29" t="n">
        <v>0</v>
      </c>
    </row>
    <row r="441" ht="14.25" customHeight="1" s="28">
      <c r="A441" s="29" t="n">
        <v>1777991401</v>
      </c>
      <c r="B441" s="29" t="inlineStr">
        <is>
          <t>XAUUSD</t>
        </is>
      </c>
      <c r="C441" s="29" t="inlineStr">
        <is>
          <t>M15</t>
        </is>
      </c>
      <c r="D441" s="29" t="n">
        <v>4582.96</v>
      </c>
      <c r="E441" s="29" t="n">
        <v>4717.79398</v>
      </c>
      <c r="F441" s="29" t="n">
        <v>4695.2428</v>
      </c>
      <c r="G441" s="29" t="n">
        <v>4518.59282</v>
      </c>
      <c r="H441" s="29" t="n">
        <v>4596.05595</v>
      </c>
      <c r="I441" s="29" t="n">
        <v>4755.40355</v>
      </c>
      <c r="J441" s="29" t="n">
        <v>4792.76972</v>
      </c>
      <c r="K441" s="29" t="n">
        <v>4769.97694</v>
      </c>
      <c r="L441" s="29" t="n">
        <v>4716.33597</v>
      </c>
      <c r="M441" s="29" t="n">
        <v>4718.85043</v>
      </c>
      <c r="N441" s="29" t="n">
        <v>4531.36057</v>
      </c>
      <c r="O441" s="29" t="n">
        <v>4556.93783</v>
      </c>
      <c r="Q441" s="29" t="n">
        <v>4637.43803</v>
      </c>
      <c r="R441" s="29" t="n">
        <v>4685.4557</v>
      </c>
      <c r="S441" s="29" t="n">
        <v>4661.27208</v>
      </c>
      <c r="V441" s="29" t="n">
        <v>4604.79284</v>
      </c>
      <c r="AB441" s="29" t="n">
        <v>4582.02693</v>
      </c>
      <c r="AC441" s="29" t="n">
        <v>4580.86075</v>
      </c>
      <c r="AD441" s="29" t="n">
        <v>0</v>
      </c>
    </row>
    <row r="442" ht="14.25" customHeight="1" s="28">
      <c r="A442" s="29" t="n">
        <v>1777992301</v>
      </c>
      <c r="B442" s="29" t="inlineStr">
        <is>
          <t>XAUUSD</t>
        </is>
      </c>
      <c r="C442" s="29" t="inlineStr">
        <is>
          <t>M15</t>
        </is>
      </c>
      <c r="D442" s="29" t="n">
        <v>4582.46</v>
      </c>
      <c r="E442" s="29" t="n">
        <v>4717.79398</v>
      </c>
      <c r="F442" s="29" t="n">
        <v>4695.2428</v>
      </c>
      <c r="G442" s="29" t="n">
        <v>4518.59282</v>
      </c>
      <c r="H442" s="29" t="n">
        <v>4596.05595</v>
      </c>
      <c r="I442" s="29" t="n">
        <v>4755.40355</v>
      </c>
      <c r="J442" s="29" t="n">
        <v>4792.76972</v>
      </c>
      <c r="K442" s="29" t="n">
        <v>4769.97694</v>
      </c>
      <c r="L442" s="29" t="n">
        <v>4716.33597</v>
      </c>
      <c r="M442" s="29" t="n">
        <v>4718.85043</v>
      </c>
      <c r="N442" s="29" t="n">
        <v>4531.36057</v>
      </c>
      <c r="O442" s="29" t="n">
        <v>4556.93783</v>
      </c>
      <c r="Q442" s="29" t="n">
        <v>4637.64048</v>
      </c>
      <c r="R442" s="29" t="n">
        <v>4685.65814</v>
      </c>
      <c r="S442" s="29" t="n">
        <v>4661.47453</v>
      </c>
      <c r="V442" s="29" t="n">
        <v>4604.99529</v>
      </c>
      <c r="AB442" s="29" t="n">
        <v>4581.6362</v>
      </c>
      <c r="AC442" s="29" t="n">
        <v>4581.24847</v>
      </c>
      <c r="AD442" s="29" t="n">
        <v>0</v>
      </c>
    </row>
    <row r="443" ht="14.25" customHeight="1" s="28">
      <c r="A443" s="29" t="n">
        <v>1777993201</v>
      </c>
      <c r="B443" s="29" t="inlineStr">
        <is>
          <t>XAUUSD</t>
        </is>
      </c>
      <c r="C443" s="29" t="inlineStr">
        <is>
          <t>M15</t>
        </is>
      </c>
      <c r="D443" s="29" t="n">
        <v>4580.89</v>
      </c>
      <c r="E443" s="29" t="n">
        <v>4717.79398</v>
      </c>
      <c r="F443" s="29" t="n">
        <v>4695.2428</v>
      </c>
      <c r="G443" s="29" t="n">
        <v>4518.59282</v>
      </c>
      <c r="H443" s="29" t="n">
        <v>4596.05595</v>
      </c>
      <c r="I443" s="29" t="n">
        <v>4755.40355</v>
      </c>
      <c r="J443" s="29" t="n">
        <v>4792.76972</v>
      </c>
      <c r="K443" s="29" t="n">
        <v>4769.97694</v>
      </c>
      <c r="L443" s="29" t="n">
        <v>4716.33597</v>
      </c>
      <c r="M443" s="29" t="n">
        <v>4718.85043</v>
      </c>
      <c r="N443" s="29" t="n">
        <v>4531.36057</v>
      </c>
      <c r="O443" s="29" t="n">
        <v>4556.93783</v>
      </c>
      <c r="Q443" s="29" t="n">
        <v>4637.84292</v>
      </c>
      <c r="R443" s="29" t="n">
        <v>4685.86059</v>
      </c>
      <c r="S443" s="29" t="n">
        <v>4661.67698</v>
      </c>
      <c r="V443" s="29" t="n">
        <v>4605.19773</v>
      </c>
      <c r="AB443" s="29" t="n">
        <v>4580.00739</v>
      </c>
      <c r="AC443" s="29" t="n">
        <v>4580.62793</v>
      </c>
      <c r="AD443" s="29" t="n">
        <v>1</v>
      </c>
    </row>
    <row r="444" ht="14.25" customHeight="1" s="28">
      <c r="A444" s="29" t="n">
        <v>1777994101</v>
      </c>
      <c r="B444" s="29" t="inlineStr">
        <is>
          <t>XAUUSD</t>
        </is>
      </c>
      <c r="C444" s="29" t="inlineStr">
        <is>
          <t>M15</t>
        </is>
      </c>
      <c r="D444" s="29" t="n">
        <v>4578.99</v>
      </c>
      <c r="E444" s="29" t="n">
        <v>4717.79398</v>
      </c>
      <c r="F444" s="29" t="n">
        <v>4695.2428</v>
      </c>
      <c r="G444" s="29" t="n">
        <v>4518.59282</v>
      </c>
      <c r="H444" s="29" t="n">
        <v>4596.05595</v>
      </c>
      <c r="I444" s="29" t="n">
        <v>4755.40355</v>
      </c>
      <c r="J444" s="29" t="n">
        <v>4792.76972</v>
      </c>
      <c r="K444" s="29" t="n">
        <v>4769.97694</v>
      </c>
      <c r="L444" s="29" t="n">
        <v>4716.33597</v>
      </c>
      <c r="M444" s="29" t="n">
        <v>4718.85043</v>
      </c>
      <c r="N444" s="29" t="n">
        <v>4531.36057</v>
      </c>
      <c r="O444" s="29" t="n">
        <v>4556.93783</v>
      </c>
      <c r="Q444" s="29" t="n">
        <v>4638.04537</v>
      </c>
      <c r="R444" s="29" t="n">
        <v>4686.06303</v>
      </c>
      <c r="S444" s="29" t="n">
        <v>4661.87942</v>
      </c>
      <c r="V444" s="29" t="n">
        <v>4605.40018</v>
      </c>
      <c r="AB444" s="29" t="n">
        <v>4577.21094</v>
      </c>
      <c r="AC444" s="29" t="n">
        <v>4578.91944</v>
      </c>
      <c r="AD444" s="29" t="n">
        <v>0</v>
      </c>
    </row>
    <row r="445" ht="14.25" customHeight="1" s="28">
      <c r="A445" s="29" t="n">
        <v>1777995001</v>
      </c>
      <c r="B445" s="29" t="inlineStr">
        <is>
          <t>XAUUSD</t>
        </is>
      </c>
      <c r="C445" s="29" t="inlineStr">
        <is>
          <t>M15</t>
        </is>
      </c>
      <c r="D445" s="29" t="n">
        <v>4572.95</v>
      </c>
      <c r="E445" s="29" t="n">
        <v>4717.79398</v>
      </c>
      <c r="F445" s="29" t="n">
        <v>4695.2428</v>
      </c>
      <c r="G445" s="29" t="n">
        <v>4518.59282</v>
      </c>
      <c r="H445" s="29" t="n">
        <v>4596.05595</v>
      </c>
      <c r="I445" s="29" t="n">
        <v>4755.40355</v>
      </c>
      <c r="J445" s="29" t="n">
        <v>4792.76972</v>
      </c>
      <c r="K445" s="29" t="n">
        <v>4769.97694</v>
      </c>
      <c r="L445" s="29" t="n">
        <v>4716.33597</v>
      </c>
      <c r="M445" s="29" t="n">
        <v>4718.85043</v>
      </c>
      <c r="N445" s="29" t="n">
        <v>4531.36057</v>
      </c>
      <c r="O445" s="29" t="n">
        <v>4556.93783</v>
      </c>
      <c r="Q445" s="29" t="n">
        <v>4638.24781</v>
      </c>
      <c r="R445" s="29" t="n">
        <v>4686.26548</v>
      </c>
      <c r="S445" s="29" t="n">
        <v>4662.08187</v>
      </c>
      <c r="V445" s="29" t="n">
        <v>4605.60262</v>
      </c>
      <c r="AB445" s="29" t="n">
        <v>4573.51374</v>
      </c>
      <c r="AC445" s="29" t="n">
        <v>4576.21659</v>
      </c>
      <c r="AD445" s="29" t="n">
        <v>0</v>
      </c>
    </row>
    <row r="446" ht="14.25" customHeight="1" s="28">
      <c r="A446" s="29" t="n">
        <v>1777995901</v>
      </c>
      <c r="B446" s="29" t="inlineStr">
        <is>
          <t>XAUUSD</t>
        </is>
      </c>
      <c r="C446" s="29" t="inlineStr">
        <is>
          <t>M15</t>
        </is>
      </c>
      <c r="D446" s="29" t="n">
        <v>4568.49</v>
      </c>
      <c r="E446" s="29" t="n">
        <v>4717.79398</v>
      </c>
      <c r="F446" s="29" t="n">
        <v>4695.2428</v>
      </c>
      <c r="G446" s="29" t="n">
        <v>4518.59282</v>
      </c>
      <c r="H446" s="29" t="n">
        <v>4596.05595</v>
      </c>
      <c r="I446" s="29" t="n">
        <v>4755.40355</v>
      </c>
      <c r="J446" s="29" t="n">
        <v>4792.76972</v>
      </c>
      <c r="K446" s="29" t="n">
        <v>4769.97694</v>
      </c>
      <c r="L446" s="29" t="n">
        <v>4716.33597</v>
      </c>
      <c r="M446" s="29" t="n">
        <v>4718.85043</v>
      </c>
      <c r="N446" s="29" t="n">
        <v>4531.36057</v>
      </c>
      <c r="O446" s="29" t="n">
        <v>4556.93783</v>
      </c>
      <c r="Q446" s="29" t="n">
        <v>4638.45026</v>
      </c>
      <c r="R446" s="29" t="n">
        <v>4686.46792</v>
      </c>
      <c r="S446" s="29" t="n">
        <v>4662.28431</v>
      </c>
      <c r="V446" s="29" t="n">
        <v>4605.80507</v>
      </c>
      <c r="AB446" s="29" t="n">
        <v>4569.43095</v>
      </c>
      <c r="AC446" s="29" t="n">
        <v>4572.82377</v>
      </c>
      <c r="AD446" s="29" t="n">
        <v>0</v>
      </c>
    </row>
    <row r="447" ht="14.25" customHeight="1" s="28">
      <c r="A447" s="29" t="n">
        <v>1777996801</v>
      </c>
      <c r="B447" s="29" t="inlineStr">
        <is>
          <t>XAUUSD</t>
        </is>
      </c>
      <c r="C447" s="29" t="inlineStr">
        <is>
          <t>M15</t>
        </is>
      </c>
      <c r="D447" s="29" t="n">
        <v>4566.28</v>
      </c>
      <c r="E447" s="29" t="n">
        <v>4717.79398</v>
      </c>
      <c r="F447" s="29" t="n">
        <v>4695.2428</v>
      </c>
      <c r="G447" s="29" t="n">
        <v>4518.59282</v>
      </c>
      <c r="H447" s="29" t="n">
        <v>4596.05595</v>
      </c>
      <c r="I447" s="29" t="n">
        <v>4755.40355</v>
      </c>
      <c r="J447" s="29" t="n">
        <v>4792.76972</v>
      </c>
      <c r="K447" s="29" t="n">
        <v>4769.97694</v>
      </c>
      <c r="L447" s="29" t="n">
        <v>4716.33597</v>
      </c>
      <c r="M447" s="29" t="n">
        <v>4718.85043</v>
      </c>
      <c r="N447" s="29" t="n">
        <v>4531.36057</v>
      </c>
      <c r="O447" s="29" t="n">
        <v>4556.93783</v>
      </c>
      <c r="Q447" s="29" t="n">
        <v>4638.65271</v>
      </c>
      <c r="R447" s="29" t="n">
        <v>4686.67037</v>
      </c>
      <c r="S447" s="29" t="n">
        <v>4662.48676</v>
      </c>
      <c r="V447" s="29" t="n">
        <v>4606.00751</v>
      </c>
      <c r="AB447" s="29" t="n">
        <v>4565.4694</v>
      </c>
      <c r="AC447" s="29" t="n">
        <v>4569.14658</v>
      </c>
      <c r="AD447" s="29" t="n">
        <v>0</v>
      </c>
    </row>
    <row r="448" ht="14.25" customHeight="1" s="28">
      <c r="A448" s="29" t="n">
        <v>1777997701</v>
      </c>
      <c r="B448" s="29" t="inlineStr">
        <is>
          <t>XAUUSD</t>
        </is>
      </c>
      <c r="C448" s="29" t="inlineStr">
        <is>
          <t>M15</t>
        </is>
      </c>
      <c r="D448" s="29" t="n">
        <v>4559.7</v>
      </c>
      <c r="E448" s="29" t="n">
        <v>4717.79398</v>
      </c>
      <c r="F448" s="29" t="n">
        <v>4695.2428</v>
      </c>
      <c r="G448" s="29" t="n">
        <v>4518.59282</v>
      </c>
      <c r="H448" s="29" t="n">
        <v>4596.05595</v>
      </c>
      <c r="I448" s="29" t="n">
        <v>4755.40355</v>
      </c>
      <c r="J448" s="29" t="n">
        <v>4792.76972</v>
      </c>
      <c r="K448" s="29" t="n">
        <v>4769.97694</v>
      </c>
      <c r="L448" s="29" t="n">
        <v>4716.33597</v>
      </c>
      <c r="M448" s="29" t="n">
        <v>4718.85043</v>
      </c>
      <c r="N448" s="29" t="n">
        <v>4531.36057</v>
      </c>
      <c r="O448" s="29" t="n">
        <v>4556.93783</v>
      </c>
      <c r="Q448" s="29" t="n">
        <v>4638.85515</v>
      </c>
      <c r="R448" s="29" t="n">
        <v>4686.87282</v>
      </c>
      <c r="S448" s="29" t="n">
        <v>4662.6892</v>
      </c>
      <c r="V448" s="29" t="n">
        <v>4606.20996</v>
      </c>
      <c r="AB448" s="29" t="n">
        <v>4562.04905</v>
      </c>
      <c r="AC448" s="29" t="n">
        <v>4565.59782</v>
      </c>
      <c r="AD448" s="29" t="n">
        <v>0</v>
      </c>
    </row>
    <row r="449" ht="14.25" customHeight="1" s="28">
      <c r="A449" s="29" t="n">
        <v>1777998601</v>
      </c>
      <c r="B449" s="29" t="inlineStr">
        <is>
          <t>XAUUSD</t>
        </is>
      </c>
      <c r="C449" s="29" t="inlineStr">
        <is>
          <t>M15</t>
        </is>
      </c>
      <c r="D449" s="29" t="n">
        <v>4556.78</v>
      </c>
      <c r="E449" s="29" t="n">
        <v>4717.79398</v>
      </c>
      <c r="F449" s="29" t="n">
        <v>4695.2428</v>
      </c>
      <c r="G449" s="29" t="n">
        <v>4518.59282</v>
      </c>
      <c r="H449" s="29" t="n">
        <v>4596.05595</v>
      </c>
      <c r="I449" s="29" t="n">
        <v>4755.40355</v>
      </c>
      <c r="J449" s="29" t="n">
        <v>4792.76972</v>
      </c>
      <c r="K449" s="29" t="n">
        <v>4769.97694</v>
      </c>
      <c r="L449" s="29" t="n">
        <v>4716.33597</v>
      </c>
      <c r="M449" s="29" t="n">
        <v>4718.85043</v>
      </c>
      <c r="N449" s="29" t="n">
        <v>4531.36057</v>
      </c>
      <c r="O449" s="29" t="n">
        <v>4556.93783</v>
      </c>
      <c r="Q449" s="29" t="n">
        <v>4639.0576</v>
      </c>
      <c r="R449" s="29" t="n">
        <v>4687.07526</v>
      </c>
      <c r="S449" s="29" t="n">
        <v>4662.89165</v>
      </c>
      <c r="V449" s="29" t="n">
        <v>4606.41241</v>
      </c>
      <c r="AB449" s="29" t="n">
        <v>4559.58679</v>
      </c>
      <c r="AC449" s="29" t="n">
        <v>4562.59231</v>
      </c>
      <c r="AD449" s="29" t="n">
        <v>0</v>
      </c>
    </row>
    <row r="450" ht="14.25" customHeight="1" s="28">
      <c r="A450" s="29" t="n">
        <v>1777999501</v>
      </c>
      <c r="B450" s="29" t="inlineStr">
        <is>
          <t>XAUUSD</t>
        </is>
      </c>
      <c r="C450" s="29" t="inlineStr">
        <is>
          <t>M15</t>
        </is>
      </c>
      <c r="D450" s="29" t="n">
        <v>4561.35</v>
      </c>
      <c r="E450" s="29" t="n">
        <v>4717.79398</v>
      </c>
      <c r="F450" s="29" t="n">
        <v>4695.2428</v>
      </c>
      <c r="G450" s="29" t="n">
        <v>4518.59282</v>
      </c>
      <c r="H450" s="29" t="n">
        <v>4596.05595</v>
      </c>
      <c r="I450" s="29" t="n">
        <v>4755.40355</v>
      </c>
      <c r="J450" s="29" t="n">
        <v>4792.76972</v>
      </c>
      <c r="K450" s="29" t="n">
        <v>4769.97694</v>
      </c>
      <c r="L450" s="29" t="n">
        <v>4716.33597</v>
      </c>
      <c r="M450" s="29" t="n">
        <v>4718.85043</v>
      </c>
      <c r="N450" s="29" t="n">
        <v>4531.36057</v>
      </c>
      <c r="O450" s="29" t="n">
        <v>4556.93783</v>
      </c>
      <c r="Q450" s="29" t="n">
        <v>4639.26004</v>
      </c>
      <c r="R450" s="29" t="n">
        <v>4687.27771</v>
      </c>
      <c r="S450" s="29" t="n">
        <v>4663.09409</v>
      </c>
      <c r="V450" s="29" t="n">
        <v>4606.61485</v>
      </c>
      <c r="AB450" s="29" t="n">
        <v>4558.27175</v>
      </c>
      <c r="AC450" s="29" t="n">
        <v>4560.43203</v>
      </c>
      <c r="AD450" s="29" t="n">
        <v>0</v>
      </c>
    </row>
    <row r="451" ht="14.25" customHeight="1" s="28">
      <c r="A451" s="29" t="n">
        <v>1778000401</v>
      </c>
      <c r="B451" s="29" t="inlineStr">
        <is>
          <t>XAUUSD</t>
        </is>
      </c>
      <c r="C451" s="29" t="inlineStr">
        <is>
          <t>M15</t>
        </is>
      </c>
      <c r="D451" s="29" t="n">
        <v>4556.2</v>
      </c>
      <c r="E451" s="29" t="n">
        <v>4717.79398</v>
      </c>
      <c r="F451" s="29" t="n">
        <v>4695.2428</v>
      </c>
      <c r="G451" s="29" t="n">
        <v>4518.59282</v>
      </c>
      <c r="H451" s="29" t="n">
        <v>4596.05595</v>
      </c>
      <c r="I451" s="29" t="n">
        <v>4755.40355</v>
      </c>
      <c r="J451" s="29" t="n">
        <v>4792.76972</v>
      </c>
      <c r="K451" s="29" t="n">
        <v>4769.97694</v>
      </c>
      <c r="L451" s="29" t="n">
        <v>4716.33597</v>
      </c>
      <c r="M451" s="29" t="n">
        <v>4718.85043</v>
      </c>
      <c r="N451" s="29" t="n">
        <v>4531.36057</v>
      </c>
      <c r="O451" s="29" t="n">
        <v>4556.93783</v>
      </c>
      <c r="Q451" s="29" t="n">
        <v>4639.46249</v>
      </c>
      <c r="R451" s="29" t="n">
        <v>4687.48015</v>
      </c>
      <c r="S451" s="29" t="n">
        <v>4663.29654</v>
      </c>
      <c r="V451" s="29" t="n">
        <v>4606.8173</v>
      </c>
      <c r="AB451" s="29" t="n">
        <v>4557.88664</v>
      </c>
      <c r="AC451" s="29" t="n">
        <v>4559.15933</v>
      </c>
      <c r="AD451" s="29" t="n">
        <v>0</v>
      </c>
    </row>
    <row r="452" ht="14.25" customHeight="1" s="28">
      <c r="A452" s="29" t="n">
        <v>1778001301</v>
      </c>
      <c r="B452" s="29" t="inlineStr">
        <is>
          <t>XAUUSD</t>
        </is>
      </c>
      <c r="C452" s="29" t="inlineStr">
        <is>
          <t>M15</t>
        </is>
      </c>
      <c r="D452" s="29" t="n">
        <v>4558.57</v>
      </c>
      <c r="E452" s="29" t="n">
        <v>4717.79398</v>
      </c>
      <c r="F452" s="29" t="n">
        <v>4695.2428</v>
      </c>
      <c r="G452" s="29" t="n">
        <v>4518.59282</v>
      </c>
      <c r="H452" s="29" t="n">
        <v>4596.05595</v>
      </c>
      <c r="I452" s="29" t="n">
        <v>4755.40355</v>
      </c>
      <c r="J452" s="29" t="n">
        <v>4792.76972</v>
      </c>
      <c r="K452" s="29" t="n">
        <v>4769.97694</v>
      </c>
      <c r="L452" s="29" t="n">
        <v>4716.33597</v>
      </c>
      <c r="M452" s="29" t="n">
        <v>4718.85043</v>
      </c>
      <c r="N452" s="29" t="n">
        <v>4531.36057</v>
      </c>
      <c r="O452" s="29" t="n">
        <v>4556.93783</v>
      </c>
      <c r="Q452" s="29" t="n">
        <v>4639.66493</v>
      </c>
      <c r="R452" s="29" t="n">
        <v>4687.6826</v>
      </c>
      <c r="S452" s="29" t="n">
        <v>4663.49899</v>
      </c>
      <c r="V452" s="29" t="n">
        <v>4607.01974</v>
      </c>
      <c r="AB452" s="29" t="n">
        <v>4558.35341</v>
      </c>
      <c r="AC452" s="29" t="n">
        <v>4558.75637</v>
      </c>
      <c r="AD452" s="29" t="n">
        <v>0</v>
      </c>
    </row>
    <row r="453" ht="14.25" customHeight="1" s="28">
      <c r="A453" s="29" t="n">
        <v>1778002201</v>
      </c>
      <c r="B453" s="29" t="inlineStr">
        <is>
          <t>XAUUSD</t>
        </is>
      </c>
      <c r="C453" s="29" t="inlineStr">
        <is>
          <t>M15</t>
        </is>
      </c>
      <c r="D453" s="29" t="n">
        <v>4560.43</v>
      </c>
      <c r="E453" s="29" t="n">
        <v>4717.79398</v>
      </c>
      <c r="F453" s="29" t="n">
        <v>4695.2428</v>
      </c>
      <c r="G453" s="29" t="n">
        <v>4518.59282</v>
      </c>
      <c r="H453" s="29" t="n">
        <v>4596.05595</v>
      </c>
      <c r="I453" s="29" t="n">
        <v>4755.40355</v>
      </c>
      <c r="J453" s="29" t="n">
        <v>4792.76972</v>
      </c>
      <c r="K453" s="29" t="n">
        <v>4769.97694</v>
      </c>
      <c r="L453" s="29" t="n">
        <v>4716.33597</v>
      </c>
      <c r="M453" s="29" t="n">
        <v>4718.85043</v>
      </c>
      <c r="N453" s="29" t="n">
        <v>4531.36057</v>
      </c>
      <c r="O453" s="29" t="n">
        <v>4556.93783</v>
      </c>
      <c r="Q453" s="29" t="n">
        <v>4639.86738</v>
      </c>
      <c r="R453" s="29" t="n">
        <v>4687.88504</v>
      </c>
      <c r="S453" s="29" t="n">
        <v>4663.70143</v>
      </c>
      <c r="V453" s="29" t="n">
        <v>4607.22219</v>
      </c>
      <c r="AB453" s="29" t="n">
        <v>4559.29976</v>
      </c>
      <c r="AC453" s="29" t="n">
        <v>4559.02806</v>
      </c>
      <c r="AD453" s="29" t="n">
        <v>1</v>
      </c>
    </row>
    <row r="454" ht="14.25" customHeight="1" s="28">
      <c r="A454" s="29" t="n">
        <v>1778003101</v>
      </c>
      <c r="B454" s="29" t="inlineStr">
        <is>
          <t>XAUUSD</t>
        </is>
      </c>
      <c r="C454" s="29" t="inlineStr">
        <is>
          <t>M15</t>
        </is>
      </c>
      <c r="D454" s="29" t="n">
        <v>4559.93</v>
      </c>
      <c r="E454" s="29" t="n">
        <v>4717.79398</v>
      </c>
      <c r="F454" s="29" t="n">
        <v>4695.2428</v>
      </c>
      <c r="G454" s="29" t="n">
        <v>4518.59282</v>
      </c>
      <c r="H454" s="29" t="n">
        <v>4596.05595</v>
      </c>
      <c r="I454" s="29" t="n">
        <v>4755.40355</v>
      </c>
      <c r="J454" s="29" t="n">
        <v>4792.76972</v>
      </c>
      <c r="K454" s="29" t="n">
        <v>4769.97694</v>
      </c>
      <c r="L454" s="29" t="n">
        <v>4716.33597</v>
      </c>
      <c r="M454" s="29" t="n">
        <v>4718.85043</v>
      </c>
      <c r="N454" s="29" t="n">
        <v>4531.36057</v>
      </c>
      <c r="O454" s="29" t="n">
        <v>4556.93783</v>
      </c>
      <c r="Q454" s="29" t="n">
        <v>4640.06983</v>
      </c>
      <c r="R454" s="29" t="n">
        <v>4688.08749</v>
      </c>
      <c r="S454" s="29" t="n">
        <v>4663.90388</v>
      </c>
      <c r="V454" s="29" t="n">
        <v>4607.42463</v>
      </c>
      <c r="AB454" s="29" t="n">
        <v>4560.34772</v>
      </c>
      <c r="AC454" s="29" t="n">
        <v>4559.68789</v>
      </c>
      <c r="AD454" s="29" t="n">
        <v>0</v>
      </c>
    </row>
    <row r="455" ht="14.25" customHeight="1" s="28">
      <c r="A455" s="29" t="n">
        <v>1778004001</v>
      </c>
      <c r="B455" s="29" t="inlineStr">
        <is>
          <t>XAUUSD</t>
        </is>
      </c>
      <c r="C455" s="29" t="inlineStr">
        <is>
          <t>M15</t>
        </is>
      </c>
      <c r="D455" s="29" t="n">
        <v>4564.29</v>
      </c>
      <c r="E455" s="29" t="n">
        <v>4717.79398</v>
      </c>
      <c r="F455" s="29" t="n">
        <v>4695.2428</v>
      </c>
      <c r="G455" s="29" t="n">
        <v>4518.59282</v>
      </c>
      <c r="H455" s="29" t="n">
        <v>4596.05595</v>
      </c>
      <c r="I455" s="29" t="n">
        <v>4755.40355</v>
      </c>
      <c r="J455" s="29" t="n">
        <v>4792.76972</v>
      </c>
      <c r="K455" s="29" t="n">
        <v>4769.97694</v>
      </c>
      <c r="L455" s="29" t="n">
        <v>4716.33597</v>
      </c>
      <c r="M455" s="29" t="n">
        <v>4718.85043</v>
      </c>
      <c r="N455" s="29" t="n">
        <v>4531.36057</v>
      </c>
      <c r="O455" s="29" t="n">
        <v>4556.93783</v>
      </c>
      <c r="Q455" s="29" t="n">
        <v>4640.27227</v>
      </c>
      <c r="R455" s="29" t="n">
        <v>4688.28994</v>
      </c>
      <c r="S455" s="29" t="n">
        <v>4664.10632</v>
      </c>
      <c r="V455" s="29" t="n">
        <v>4607.62708</v>
      </c>
      <c r="AB455" s="29" t="n">
        <v>4561.25065</v>
      </c>
      <c r="AC455" s="29" t="n">
        <v>4560.46927</v>
      </c>
      <c r="AD455" s="29" t="n">
        <v>0</v>
      </c>
    </row>
    <row r="456" ht="14.25" customHeight="1" s="28">
      <c r="A456" s="29" t="n">
        <v>1778004901</v>
      </c>
      <c r="B456" s="29" t="inlineStr">
        <is>
          <t>XAUUSD</t>
        </is>
      </c>
      <c r="C456" s="29" t="inlineStr">
        <is>
          <t>M15</t>
        </is>
      </c>
      <c r="D456" s="29" t="n">
        <v>4562.18</v>
      </c>
      <c r="E456" s="29" t="n">
        <v>4717.79398</v>
      </c>
      <c r="F456" s="29" t="n">
        <v>4695.2428</v>
      </c>
      <c r="G456" s="29" t="n">
        <v>4518.59282</v>
      </c>
      <c r="H456" s="29" t="n">
        <v>4596.05595</v>
      </c>
      <c r="I456" s="29" t="n">
        <v>4755.40355</v>
      </c>
      <c r="J456" s="29" t="n">
        <v>4792.76972</v>
      </c>
      <c r="K456" s="29" t="n">
        <v>4769.97694</v>
      </c>
      <c r="L456" s="29" t="n">
        <v>4716.33597</v>
      </c>
      <c r="M456" s="29" t="n">
        <v>4718.85043</v>
      </c>
      <c r="N456" s="29" t="n">
        <v>4531.36057</v>
      </c>
      <c r="O456" s="29" t="n">
        <v>4556.93783</v>
      </c>
      <c r="Q456" s="29" t="n">
        <v>4640.47472</v>
      </c>
      <c r="R456" s="29" t="n">
        <v>4688.49238</v>
      </c>
      <c r="S456" s="29" t="n">
        <v>4664.30877</v>
      </c>
      <c r="V456" s="29" t="n">
        <v>4607.82953</v>
      </c>
      <c r="AB456" s="29" t="n">
        <v>4561.69178</v>
      </c>
      <c r="AC456" s="29" t="n">
        <v>4561.08052</v>
      </c>
      <c r="AD456" s="29" t="n">
        <v>0</v>
      </c>
    </row>
    <row r="457" ht="14.25" customHeight="1" s="28">
      <c r="A457" s="29" t="n">
        <v>1778005801</v>
      </c>
      <c r="B457" s="29" t="inlineStr">
        <is>
          <t>XAUUSD</t>
        </is>
      </c>
      <c r="C457" s="29" t="inlineStr">
        <is>
          <t>M15</t>
        </is>
      </c>
      <c r="D457" s="29" t="n">
        <v>4561.56</v>
      </c>
      <c r="E457" s="29" t="n">
        <v>4717.79398</v>
      </c>
      <c r="F457" s="29" t="n">
        <v>4695.2428</v>
      </c>
      <c r="G457" s="29" t="n">
        <v>4518.59282</v>
      </c>
      <c r="H457" s="29" t="n">
        <v>4596.05595</v>
      </c>
      <c r="I457" s="29" t="n">
        <v>4755.40355</v>
      </c>
      <c r="J457" s="29" t="n">
        <v>4792.76972</v>
      </c>
      <c r="K457" s="29" t="n">
        <v>4769.97694</v>
      </c>
      <c r="L457" s="29" t="n">
        <v>4716.33597</v>
      </c>
      <c r="M457" s="29" t="n">
        <v>4718.85043</v>
      </c>
      <c r="N457" s="29" t="n">
        <v>4531.36057</v>
      </c>
      <c r="O457" s="29" t="n">
        <v>4556.93783</v>
      </c>
      <c r="Q457" s="29" t="n">
        <v>4640.67716</v>
      </c>
      <c r="R457" s="29" t="n">
        <v>4688.69483</v>
      </c>
      <c r="S457" s="29" t="n">
        <v>4664.51121</v>
      </c>
      <c r="V457" s="29" t="n">
        <v>4608.03197</v>
      </c>
      <c r="AB457" s="29" t="n">
        <v>4561.62587</v>
      </c>
      <c r="AC457" s="29" t="n">
        <v>4561.3532</v>
      </c>
      <c r="AD457" s="29" t="n">
        <v>0</v>
      </c>
    </row>
    <row r="458" ht="14.25" customHeight="1" s="28">
      <c r="A458" s="29" t="n">
        <v>1778006701</v>
      </c>
      <c r="B458" s="29" t="inlineStr">
        <is>
          <t>XAUUSD</t>
        </is>
      </c>
      <c r="C458" s="29" t="inlineStr">
        <is>
          <t>M15</t>
        </is>
      </c>
      <c r="D458" s="29" t="n">
        <v>4561.04</v>
      </c>
      <c r="E458" s="29" t="n">
        <v>4717.79398</v>
      </c>
      <c r="F458" s="29" t="n">
        <v>4695.2428</v>
      </c>
      <c r="G458" s="29" t="n">
        <v>4518.59282</v>
      </c>
      <c r="H458" s="29" t="n">
        <v>4596.05595</v>
      </c>
      <c r="I458" s="29" t="n">
        <v>4755.40355</v>
      </c>
      <c r="J458" s="29" t="n">
        <v>4792.76972</v>
      </c>
      <c r="K458" s="29" t="n">
        <v>4769.97694</v>
      </c>
      <c r="L458" s="29" t="n">
        <v>4716.33597</v>
      </c>
      <c r="M458" s="29" t="n">
        <v>4718.85043</v>
      </c>
      <c r="N458" s="29" t="n">
        <v>4531.36057</v>
      </c>
      <c r="O458" s="29" t="n">
        <v>4556.93783</v>
      </c>
      <c r="Q458" s="29" t="n">
        <v>4640.87961</v>
      </c>
      <c r="R458" s="29" t="n">
        <v>4688.89727</v>
      </c>
      <c r="S458" s="29" t="n">
        <v>4664.71366</v>
      </c>
      <c r="V458" s="29" t="n">
        <v>4608.23442</v>
      </c>
      <c r="AB458" s="29" t="n">
        <v>4561.04124</v>
      </c>
      <c r="AC458" s="29" t="n">
        <v>4561.19722</v>
      </c>
      <c r="AD458" s="29" t="n">
        <v>1</v>
      </c>
    </row>
    <row r="459" ht="14.25" customHeight="1" s="28">
      <c r="A459" s="29" t="n">
        <v>1778007601</v>
      </c>
      <c r="B459" s="29" t="inlineStr">
        <is>
          <t>XAUUSD</t>
        </is>
      </c>
      <c r="C459" s="29" t="inlineStr">
        <is>
          <t>M15</t>
        </is>
      </c>
      <c r="D459" s="29" t="n">
        <v>4557.24</v>
      </c>
      <c r="E459" s="29" t="n">
        <v>4717.79398</v>
      </c>
      <c r="F459" s="29" t="n">
        <v>4695.2428</v>
      </c>
      <c r="G459" s="29" t="n">
        <v>4518.59282</v>
      </c>
      <c r="H459" s="29" t="n">
        <v>4596.05595</v>
      </c>
      <c r="I459" s="29" t="n">
        <v>4755.40355</v>
      </c>
      <c r="J459" s="29" t="n">
        <v>4792.76972</v>
      </c>
      <c r="K459" s="29" t="n">
        <v>4769.97694</v>
      </c>
      <c r="L459" s="29" t="n">
        <v>4716.33597</v>
      </c>
      <c r="M459" s="29" t="n">
        <v>4718.85043</v>
      </c>
      <c r="N459" s="29" t="n">
        <v>4531.36057</v>
      </c>
      <c r="O459" s="29" t="n">
        <v>4556.93783</v>
      </c>
      <c r="Q459" s="29" t="n">
        <v>4641.08205</v>
      </c>
      <c r="R459" s="29" t="n">
        <v>4689.09972</v>
      </c>
      <c r="S459" s="29" t="n">
        <v>4664.91611</v>
      </c>
      <c r="V459" s="29" t="n">
        <v>4608.43686</v>
      </c>
      <c r="AB459" s="29" t="n">
        <v>4560.01057</v>
      </c>
      <c r="AC459" s="29" t="n">
        <v>4560.60389</v>
      </c>
      <c r="AD459" s="29" t="n">
        <v>0</v>
      </c>
    </row>
    <row r="460" ht="14.25" customHeight="1" s="28">
      <c r="A460" s="29" t="n">
        <v>1778008501</v>
      </c>
      <c r="B460" s="29" t="inlineStr">
        <is>
          <t>XAUUSD</t>
        </is>
      </c>
      <c r="C460" s="29" t="inlineStr">
        <is>
          <t>M15</t>
        </is>
      </c>
      <c r="D460" s="29" t="n">
        <v>4556.32</v>
      </c>
      <c r="E460" s="29" t="n">
        <v>4717.79398</v>
      </c>
      <c r="F460" s="29" t="n">
        <v>4695.2428</v>
      </c>
      <c r="G460" s="29" t="n">
        <v>4518.59282</v>
      </c>
      <c r="H460" s="29" t="n">
        <v>4596.05595</v>
      </c>
      <c r="I460" s="29" t="n">
        <v>4755.40355</v>
      </c>
      <c r="J460" s="29" t="n">
        <v>4792.76972</v>
      </c>
      <c r="K460" s="29" t="n">
        <v>4769.97694</v>
      </c>
      <c r="L460" s="29" t="n">
        <v>4716.33597</v>
      </c>
      <c r="M460" s="29" t="n">
        <v>4718.85043</v>
      </c>
      <c r="N460" s="29" t="n">
        <v>4531.36057</v>
      </c>
      <c r="O460" s="29" t="n">
        <v>4556.93783</v>
      </c>
      <c r="Q460" s="29" t="n">
        <v>4641.2845</v>
      </c>
      <c r="R460" s="29" t="n">
        <v>4689.30216</v>
      </c>
      <c r="S460" s="29" t="n">
        <v>4665.11855</v>
      </c>
      <c r="V460" s="29" t="n">
        <v>4608.63931</v>
      </c>
      <c r="AB460" s="29" t="n">
        <v>4558.71805</v>
      </c>
      <c r="AC460" s="29" t="n">
        <v>4559.66097</v>
      </c>
      <c r="AD460" s="29" t="n">
        <v>0</v>
      </c>
    </row>
    <row r="461" ht="14.25" customHeight="1" s="28">
      <c r="A461" s="29" t="n">
        <v>1778009401</v>
      </c>
      <c r="B461" s="29" t="inlineStr">
        <is>
          <t>XAUUSD</t>
        </is>
      </c>
      <c r="C461" s="29" t="inlineStr">
        <is>
          <t>M15</t>
        </is>
      </c>
      <c r="D461" s="29" t="n">
        <v>4555.64</v>
      </c>
      <c r="E461" s="29" t="n">
        <v>4717.79398</v>
      </c>
      <c r="F461" s="29" t="n">
        <v>4695.2428</v>
      </c>
      <c r="G461" s="29" t="n">
        <v>4518.59282</v>
      </c>
      <c r="H461" s="29" t="n">
        <v>4596.05595</v>
      </c>
      <c r="I461" s="29" t="n">
        <v>4755.40355</v>
      </c>
      <c r="J461" s="29" t="n">
        <v>4792.76972</v>
      </c>
      <c r="K461" s="29" t="n">
        <v>4769.97694</v>
      </c>
      <c r="L461" s="29" t="n">
        <v>4716.33597</v>
      </c>
      <c r="M461" s="29" t="n">
        <v>4718.85043</v>
      </c>
      <c r="N461" s="29" t="n">
        <v>4531.36057</v>
      </c>
      <c r="O461" s="29" t="n">
        <v>4556.93783</v>
      </c>
      <c r="Q461" s="29" t="n">
        <v>4641.48695</v>
      </c>
      <c r="R461" s="29" t="n">
        <v>4689.50461</v>
      </c>
      <c r="S461" s="29" t="n">
        <v>4665.321</v>
      </c>
      <c r="V461" s="29" t="n">
        <v>4608.84175</v>
      </c>
      <c r="AB461" s="29" t="n">
        <v>4557.30083</v>
      </c>
      <c r="AC461" s="29" t="n">
        <v>4558.4809</v>
      </c>
      <c r="AD461" s="29" t="n">
        <v>0</v>
      </c>
    </row>
    <row r="462" ht="14.25" customHeight="1" s="28">
      <c r="A462" s="29" t="n">
        <v>1778010301</v>
      </c>
      <c r="B462" s="29" t="inlineStr">
        <is>
          <t>XAUUSD</t>
        </is>
      </c>
      <c r="C462" s="29" t="inlineStr">
        <is>
          <t>M15</t>
        </is>
      </c>
      <c r="D462" s="29" t="n">
        <v>4554.64</v>
      </c>
      <c r="E462" s="29" t="n">
        <v>4717.79398</v>
      </c>
      <c r="F462" s="29" t="n">
        <v>4695.2428</v>
      </c>
      <c r="G462" s="29" t="n">
        <v>4518.59282</v>
      </c>
      <c r="H462" s="29" t="n">
        <v>4596.05595</v>
      </c>
      <c r="I462" s="29" t="n">
        <v>4755.40355</v>
      </c>
      <c r="J462" s="29" t="n">
        <v>4792.76972</v>
      </c>
      <c r="K462" s="29" t="n">
        <v>4769.97694</v>
      </c>
      <c r="L462" s="29" t="n">
        <v>4716.33597</v>
      </c>
      <c r="M462" s="29" t="n">
        <v>4718.85043</v>
      </c>
      <c r="N462" s="29" t="n">
        <v>4531.36057</v>
      </c>
      <c r="O462" s="29" t="n">
        <v>4556.93783</v>
      </c>
      <c r="Q462" s="29" t="n">
        <v>4641.68939</v>
      </c>
      <c r="R462" s="29" t="n">
        <v>4689.70706</v>
      </c>
      <c r="S462" s="29" t="n">
        <v>4665.52344</v>
      </c>
      <c r="V462" s="29" t="n">
        <v>4609.0442</v>
      </c>
      <c r="AB462" s="29" t="n">
        <v>4555.87324</v>
      </c>
      <c r="AC462" s="29" t="n">
        <v>4557.17707</v>
      </c>
      <c r="AD462" s="29" t="n">
        <v>0</v>
      </c>
    </row>
    <row r="463" ht="14.25" customHeight="1" s="28">
      <c r="A463" s="29" t="n">
        <v>1778011201</v>
      </c>
      <c r="B463" s="29" t="inlineStr">
        <is>
          <t>XAUUSD</t>
        </is>
      </c>
      <c r="C463" s="29" t="inlineStr">
        <is>
          <t>M15</t>
        </is>
      </c>
      <c r="D463" s="29" t="n">
        <v>4557.01</v>
      </c>
      <c r="E463" s="29" t="n">
        <v>4717.79398</v>
      </c>
      <c r="F463" s="29" t="n">
        <v>4695.2428</v>
      </c>
      <c r="G463" s="29" t="n">
        <v>4518.59282</v>
      </c>
      <c r="H463" s="29" t="n">
        <v>4596.05595</v>
      </c>
      <c r="I463" s="29" t="n">
        <v>4755.40355</v>
      </c>
      <c r="J463" s="29" t="n">
        <v>4792.76972</v>
      </c>
      <c r="K463" s="29" t="n">
        <v>4769.97694</v>
      </c>
      <c r="L463" s="29" t="n">
        <v>4716.33597</v>
      </c>
      <c r="M463" s="29" t="n">
        <v>4718.85043</v>
      </c>
      <c r="N463" s="29" t="n">
        <v>4531.36057</v>
      </c>
      <c r="O463" s="29" t="n">
        <v>4556.93783</v>
      </c>
      <c r="Q463" s="29" t="n">
        <v>4641.89184</v>
      </c>
      <c r="R463" s="29" t="n">
        <v>4689.9095</v>
      </c>
      <c r="S463" s="29" t="n">
        <v>4665.72589</v>
      </c>
      <c r="V463" s="29" t="n">
        <v>4609.24665</v>
      </c>
      <c r="AB463" s="29" t="n">
        <v>4554.56252</v>
      </c>
      <c r="AC463" s="29" t="n">
        <v>4555.86979</v>
      </c>
      <c r="AD463" s="29" t="n">
        <v>0</v>
      </c>
    </row>
    <row r="464" ht="14.25" customHeight="1" s="28">
      <c r="A464" s="29" t="n">
        <v>1778012101</v>
      </c>
      <c r="B464" s="29" t="inlineStr">
        <is>
          <t>XAUUSD</t>
        </is>
      </c>
      <c r="C464" s="29" t="inlineStr">
        <is>
          <t>M15</t>
        </is>
      </c>
      <c r="D464" s="29" t="n">
        <v>4559.18</v>
      </c>
      <c r="E464" s="29" t="n">
        <v>4717.79398</v>
      </c>
      <c r="F464" s="29" t="n">
        <v>4695.2428</v>
      </c>
      <c r="G464" s="29" t="n">
        <v>4518.59282</v>
      </c>
      <c r="H464" s="29" t="n">
        <v>4596.05595</v>
      </c>
      <c r="I464" s="29" t="n">
        <v>4755.40355</v>
      </c>
      <c r="J464" s="29" t="n">
        <v>4792.76972</v>
      </c>
      <c r="K464" s="29" t="n">
        <v>4769.97694</v>
      </c>
      <c r="L464" s="29" t="n">
        <v>4716.33597</v>
      </c>
      <c r="M464" s="29" t="n">
        <v>4718.85043</v>
      </c>
      <c r="N464" s="29" t="n">
        <v>4531.36057</v>
      </c>
      <c r="O464" s="29" t="n">
        <v>4556.93783</v>
      </c>
      <c r="Q464" s="29" t="n">
        <v>4642.09428</v>
      </c>
      <c r="R464" s="29" t="n">
        <v>4690.11195</v>
      </c>
      <c r="S464" s="29" t="n">
        <v>4665.92833</v>
      </c>
      <c r="V464" s="29" t="n">
        <v>4609.44909</v>
      </c>
      <c r="AB464" s="29" t="n">
        <v>4553.49752</v>
      </c>
      <c r="AC464" s="29" t="n">
        <v>4554.68366</v>
      </c>
      <c r="AD464" s="29" t="n">
        <v>0</v>
      </c>
    </row>
    <row r="465" ht="14.25" customHeight="1" s="28">
      <c r="A465" s="29" t="n">
        <v>1778013001</v>
      </c>
      <c r="B465" s="29" t="inlineStr">
        <is>
          <t>XAUUSD</t>
        </is>
      </c>
      <c r="C465" s="29" t="inlineStr">
        <is>
          <t>M15</t>
        </is>
      </c>
      <c r="D465" s="29" t="n">
        <v>4555.63</v>
      </c>
      <c r="E465" s="29" t="n">
        <v>4717.79398</v>
      </c>
      <c r="F465" s="29" t="n">
        <v>4695.2428</v>
      </c>
      <c r="G465" s="29" t="n">
        <v>4518.59282</v>
      </c>
      <c r="H465" s="29" t="n">
        <v>4596.05595</v>
      </c>
      <c r="I465" s="29" t="n">
        <v>4755.40355</v>
      </c>
      <c r="J465" s="29" t="n">
        <v>4792.76972</v>
      </c>
      <c r="K465" s="29" t="n">
        <v>4769.97694</v>
      </c>
      <c r="L465" s="29" t="n">
        <v>4716.33597</v>
      </c>
      <c r="M465" s="29" t="n">
        <v>4718.85043</v>
      </c>
      <c r="N465" s="29" t="n">
        <v>4531.36057</v>
      </c>
      <c r="O465" s="29" t="n">
        <v>4556.93783</v>
      </c>
      <c r="Q465" s="29" t="n">
        <v>4642.29673</v>
      </c>
      <c r="R465" s="29" t="n">
        <v>4690.31439</v>
      </c>
      <c r="S465" s="29" t="n">
        <v>4666.13078</v>
      </c>
      <c r="V465" s="29" t="n">
        <v>4609.65154</v>
      </c>
      <c r="AB465" s="29" t="n">
        <v>4552.85583</v>
      </c>
      <c r="AC465" s="29" t="n">
        <v>4553.76974</v>
      </c>
      <c r="AD465" s="29" t="n">
        <v>0</v>
      </c>
    </row>
    <row r="466" ht="14.25" customHeight="1" s="28">
      <c r="A466" s="29" t="n">
        <v>1778013901</v>
      </c>
      <c r="B466" s="29" t="inlineStr">
        <is>
          <t>XAUUSD</t>
        </is>
      </c>
      <c r="C466" s="29" t="inlineStr">
        <is>
          <t>M15</t>
        </is>
      </c>
      <c r="D466" s="29" t="n">
        <v>4557.58</v>
      </c>
      <c r="E466" s="29" t="n">
        <v>4717.79398</v>
      </c>
      <c r="F466" s="29" t="n">
        <v>4695.2428</v>
      </c>
      <c r="G466" s="29" t="n">
        <v>4518.59282</v>
      </c>
      <c r="H466" s="29" t="n">
        <v>4596.05595</v>
      </c>
      <c r="I466" s="29" t="n">
        <v>4755.40355</v>
      </c>
      <c r="J466" s="29" t="n">
        <v>4792.76972</v>
      </c>
      <c r="K466" s="29" t="n">
        <v>4769.97694</v>
      </c>
      <c r="L466" s="29" t="n">
        <v>4716.33597</v>
      </c>
      <c r="M466" s="29" t="n">
        <v>4718.85043</v>
      </c>
      <c r="N466" s="29" t="n">
        <v>4531.36057</v>
      </c>
      <c r="O466" s="29" t="n">
        <v>4556.93783</v>
      </c>
      <c r="Q466" s="29" t="n">
        <v>4642.49917</v>
      </c>
      <c r="R466" s="29" t="n">
        <v>4690.51684</v>
      </c>
      <c r="S466" s="29" t="n">
        <v>4666.33323</v>
      </c>
      <c r="V466" s="29" t="n">
        <v>4609.85398</v>
      </c>
      <c r="AB466" s="29" t="n">
        <v>4552.99286</v>
      </c>
      <c r="AC466" s="29" t="n">
        <v>4553.3813</v>
      </c>
      <c r="AD466" s="29" t="n">
        <v>0</v>
      </c>
    </row>
    <row r="467" ht="14.25" customHeight="1" s="28">
      <c r="A467" s="29" t="n">
        <v>1778018401</v>
      </c>
      <c r="B467" s="29" t="inlineStr">
        <is>
          <t>XAUUSD</t>
        </is>
      </c>
      <c r="C467" s="29" t="inlineStr">
        <is>
          <t>M15</t>
        </is>
      </c>
      <c r="D467" s="29" t="n">
        <v>4550.67</v>
      </c>
      <c r="E467" s="29" t="n">
        <v>4717.79398</v>
      </c>
      <c r="F467" s="29" t="n">
        <v>4695.2428</v>
      </c>
      <c r="G467" s="29" t="n">
        <v>4518.59282</v>
      </c>
      <c r="H467" s="29" t="n">
        <v>4596.05595</v>
      </c>
      <c r="I467" s="29" t="n">
        <v>4755.40355</v>
      </c>
      <c r="J467" s="29" t="n">
        <v>4792.76972</v>
      </c>
      <c r="K467" s="29" t="n">
        <v>4769.97694</v>
      </c>
      <c r="L467" s="29" t="n">
        <v>4716.33597</v>
      </c>
      <c r="M467" s="29" t="n">
        <v>4718.85043</v>
      </c>
      <c r="N467" s="29" t="n">
        <v>4531.36057</v>
      </c>
      <c r="O467" s="29" t="n">
        <v>4556.93783</v>
      </c>
      <c r="Q467" s="29" t="n">
        <v>4642.70162</v>
      </c>
      <c r="R467" s="29" t="n">
        <v>4690.71928</v>
      </c>
      <c r="S467" s="29" t="n">
        <v>4666.53567</v>
      </c>
      <c r="V467" s="29" t="n">
        <v>4610.05643</v>
      </c>
      <c r="AB467" s="29" t="n">
        <v>4554.18067</v>
      </c>
      <c r="AC467" s="29" t="n">
        <v>4553.78098</v>
      </c>
      <c r="AD467" s="29" t="n">
        <v>1</v>
      </c>
    </row>
    <row r="468" ht="14.25" customHeight="1" s="28">
      <c r="A468" s="29" t="n">
        <v>1778019301</v>
      </c>
      <c r="B468" s="29" t="inlineStr">
        <is>
          <t>XAUUSD</t>
        </is>
      </c>
      <c r="C468" s="29" t="inlineStr">
        <is>
          <t>M15</t>
        </is>
      </c>
      <c r="D468" s="29" t="n">
        <v>4546.68</v>
      </c>
      <c r="E468" s="29" t="n">
        <v>4717.79398</v>
      </c>
      <c r="F468" s="29" t="n">
        <v>4695.2428</v>
      </c>
      <c r="G468" s="29" t="n">
        <v>4518.59282</v>
      </c>
      <c r="H468" s="29" t="n">
        <v>4596.05595</v>
      </c>
      <c r="I468" s="29" t="n">
        <v>4755.40355</v>
      </c>
      <c r="J468" s="29" t="n">
        <v>4792.76972</v>
      </c>
      <c r="K468" s="29" t="n">
        <v>4769.97694</v>
      </c>
      <c r="L468" s="29" t="n">
        <v>4716.33597</v>
      </c>
      <c r="M468" s="29" t="n">
        <v>4718.85043</v>
      </c>
      <c r="N468" s="29" t="n">
        <v>4531.36057</v>
      </c>
      <c r="O468" s="29" t="n">
        <v>4556.93783</v>
      </c>
      <c r="Q468" s="29" t="n">
        <v>4642.90407</v>
      </c>
      <c r="R468" s="29" t="n">
        <v>4690.92173</v>
      </c>
      <c r="S468" s="29" t="n">
        <v>4666.73812</v>
      </c>
      <c r="V468" s="29" t="n">
        <v>4610.25887</v>
      </c>
      <c r="AB468" s="29" t="n">
        <v>4556.87985</v>
      </c>
      <c r="AC468" s="29" t="n">
        <v>4555.33042</v>
      </c>
      <c r="AD468" s="29" t="n">
        <v>0</v>
      </c>
    </row>
    <row r="469" ht="14.25" customHeight="1" s="28">
      <c r="A469" s="29" t="n">
        <v>1778020201</v>
      </c>
      <c r="B469" s="29" t="inlineStr">
        <is>
          <t>XAUUSD</t>
        </is>
      </c>
      <c r="C469" s="29" t="inlineStr">
        <is>
          <t>M15</t>
        </is>
      </c>
      <c r="D469" s="29" t="n">
        <v>4548.82</v>
      </c>
      <c r="E469" s="29" t="n">
        <v>4717.79398</v>
      </c>
      <c r="F469" s="29" t="n">
        <v>4695.2428</v>
      </c>
      <c r="G469" s="29" t="n">
        <v>4518.59282</v>
      </c>
      <c r="H469" s="29" t="n">
        <v>4596.05595</v>
      </c>
      <c r="I469" s="29" t="n">
        <v>4755.40355</v>
      </c>
      <c r="J469" s="29" t="n">
        <v>4792.76972</v>
      </c>
      <c r="K469" s="29" t="n">
        <v>4769.97694</v>
      </c>
      <c r="L469" s="29" t="n">
        <v>4716.33597</v>
      </c>
      <c r="M469" s="29" t="n">
        <v>4718.85043</v>
      </c>
      <c r="N469" s="29" t="n">
        <v>4531.36057</v>
      </c>
      <c r="O469" s="29" t="n">
        <v>4556.93783</v>
      </c>
      <c r="Q469" s="29" t="n">
        <v>4643.10651</v>
      </c>
      <c r="R469" s="29" t="n">
        <v>4691.12418</v>
      </c>
      <c r="S469" s="29" t="n">
        <v>4666.94056</v>
      </c>
      <c r="V469" s="29" t="n">
        <v>4610.46132</v>
      </c>
      <c r="AA469" s="29" t="n">
        <v>4546.31</v>
      </c>
      <c r="AB469" s="29" t="n">
        <v>4561.29538</v>
      </c>
      <c r="AC469" s="29" t="n">
        <v>4558.3129</v>
      </c>
      <c r="AD469" s="29" t="n">
        <v>0</v>
      </c>
    </row>
    <row r="470" ht="14.25" customHeight="1" s="28">
      <c r="A470" s="29" t="n">
        <v>1778021101</v>
      </c>
      <c r="B470" s="29" t="inlineStr">
        <is>
          <t>XAUUSD</t>
        </is>
      </c>
      <c r="C470" s="29" t="inlineStr">
        <is>
          <t>M15</t>
        </is>
      </c>
      <c r="D470" s="29" t="n">
        <v>4573.43</v>
      </c>
      <c r="E470" s="29" t="n">
        <v>4717.79398</v>
      </c>
      <c r="F470" s="29" t="n">
        <v>4695.2428</v>
      </c>
      <c r="G470" s="29" t="n">
        <v>4518.59282</v>
      </c>
      <c r="H470" s="29" t="n">
        <v>4596.05595</v>
      </c>
      <c r="I470" s="29" t="n">
        <v>4755.40355</v>
      </c>
      <c r="J470" s="29" t="n">
        <v>4792.76972</v>
      </c>
      <c r="K470" s="29" t="n">
        <v>4769.97694</v>
      </c>
      <c r="L470" s="29" t="n">
        <v>4716.33597</v>
      </c>
      <c r="M470" s="29" t="n">
        <v>4718.85043</v>
      </c>
      <c r="N470" s="29" t="n">
        <v>4531.36057</v>
      </c>
      <c r="O470" s="29" t="n">
        <v>4556.93783</v>
      </c>
      <c r="Q470" s="29" t="n">
        <v>4643.30896</v>
      </c>
      <c r="R470" s="29" t="n">
        <v>4691.32662</v>
      </c>
      <c r="S470" s="29" t="n">
        <v>4667.14301</v>
      </c>
      <c r="V470" s="29" t="n">
        <v>4610.66377</v>
      </c>
      <c r="AB470" s="29" t="n">
        <v>4567.30384</v>
      </c>
      <c r="AC470" s="29" t="n">
        <v>4562.80837</v>
      </c>
      <c r="AD470" s="29" t="n">
        <v>0</v>
      </c>
    </row>
    <row r="471" ht="14.25" customHeight="1" s="28">
      <c r="A471" s="29" t="n">
        <v>1778022001</v>
      </c>
      <c r="B471" s="29" t="inlineStr">
        <is>
          <t>XAUUSD</t>
        </is>
      </c>
      <c r="C471" s="29" t="inlineStr">
        <is>
          <t>M15</t>
        </is>
      </c>
      <c r="D471" s="29" t="n">
        <v>4588.62</v>
      </c>
      <c r="E471" s="29" t="n">
        <v>4717.79398</v>
      </c>
      <c r="F471" s="29" t="n">
        <v>4695.2428</v>
      </c>
      <c r="G471" s="29" t="n">
        <v>4518.59282</v>
      </c>
      <c r="H471" s="29" t="n">
        <v>4596.05595</v>
      </c>
      <c r="I471" s="29" t="n">
        <v>4755.40355</v>
      </c>
      <c r="J471" s="29" t="n">
        <v>4792.76972</v>
      </c>
      <c r="K471" s="29" t="n">
        <v>4769.97694</v>
      </c>
      <c r="L471" s="29" t="n">
        <v>4716.33597</v>
      </c>
      <c r="M471" s="29" t="n">
        <v>4718.85043</v>
      </c>
      <c r="N471" s="29" t="n">
        <v>4531.36057</v>
      </c>
      <c r="O471" s="29" t="n">
        <v>4556.93783</v>
      </c>
      <c r="Q471" s="29" t="n">
        <v>4643.5114</v>
      </c>
      <c r="R471" s="29" t="n">
        <v>4691.52907</v>
      </c>
      <c r="S471" s="29" t="n">
        <v>4667.34545</v>
      </c>
      <c r="V471" s="29" t="n">
        <v>4610.86621</v>
      </c>
      <c r="AB471" s="29" t="n">
        <v>4573.95251</v>
      </c>
      <c r="AC471" s="29" t="n">
        <v>4568.38044</v>
      </c>
      <c r="AD471" s="29" t="n">
        <v>0</v>
      </c>
    </row>
    <row r="472" ht="14.25" customHeight="1" s="28">
      <c r="A472" s="29" t="n">
        <v>1778022901</v>
      </c>
      <c r="B472" s="29" t="inlineStr">
        <is>
          <t>XAUUSD</t>
        </is>
      </c>
      <c r="C472" s="29" t="inlineStr">
        <is>
          <t>M15</t>
        </is>
      </c>
      <c r="D472" s="29" t="n">
        <v>4582.1</v>
      </c>
      <c r="E472" s="29" t="n">
        <v>4717.79398</v>
      </c>
      <c r="F472" s="29" t="n">
        <v>4695.2428</v>
      </c>
      <c r="G472" s="29" t="n">
        <v>4518.59282</v>
      </c>
      <c r="H472" s="29" t="n">
        <v>4596.05595</v>
      </c>
      <c r="I472" s="29" t="n">
        <v>4755.40355</v>
      </c>
      <c r="J472" s="29" t="n">
        <v>4792.76972</v>
      </c>
      <c r="K472" s="29" t="n">
        <v>4769.97694</v>
      </c>
      <c r="L472" s="29" t="n">
        <v>4716.33597</v>
      </c>
      <c r="M472" s="29" t="n">
        <v>4718.85043</v>
      </c>
      <c r="N472" s="29" t="n">
        <v>4531.36057</v>
      </c>
      <c r="O472" s="29" t="n">
        <v>4556.93783</v>
      </c>
      <c r="Q472" s="29" t="n">
        <v>4643.71385</v>
      </c>
      <c r="R472" s="29" t="n">
        <v>4691.73151</v>
      </c>
      <c r="S472" s="29" t="n">
        <v>4667.5479</v>
      </c>
      <c r="V472" s="29" t="n">
        <v>4611.06866</v>
      </c>
      <c r="AB472" s="29" t="n">
        <v>4580.54684</v>
      </c>
      <c r="AC472" s="29" t="n">
        <v>4574.46364</v>
      </c>
      <c r="AD472" s="29" t="n">
        <v>0</v>
      </c>
    </row>
    <row r="473" ht="14.25" customHeight="1" s="28">
      <c r="A473" s="29" t="n">
        <v>1778023801</v>
      </c>
      <c r="B473" s="29" t="inlineStr">
        <is>
          <t>XAUUSD</t>
        </is>
      </c>
      <c r="C473" s="29" t="inlineStr">
        <is>
          <t>M15</t>
        </is>
      </c>
      <c r="D473" s="29" t="n">
        <v>4584.84</v>
      </c>
      <c r="E473" s="29" t="n">
        <v>4717.79398</v>
      </c>
      <c r="F473" s="29" t="n">
        <v>4695.2428</v>
      </c>
      <c r="G473" s="29" t="n">
        <v>4518.59282</v>
      </c>
      <c r="H473" s="29" t="n">
        <v>4596.05595</v>
      </c>
      <c r="I473" s="29" t="n">
        <v>4755.40355</v>
      </c>
      <c r="J473" s="29" t="n">
        <v>4792.76972</v>
      </c>
      <c r="K473" s="29" t="n">
        <v>4769.97694</v>
      </c>
      <c r="L473" s="29" t="n">
        <v>4716.33597</v>
      </c>
      <c r="M473" s="29" t="n">
        <v>4718.85043</v>
      </c>
      <c r="N473" s="29" t="n">
        <v>4531.36057</v>
      </c>
      <c r="O473" s="29" t="n">
        <v>4556.93783</v>
      </c>
      <c r="Q473" s="29" t="n">
        <v>4643.91629</v>
      </c>
      <c r="R473" s="29" t="n">
        <v>4691.93396</v>
      </c>
      <c r="S473" s="29" t="n">
        <v>4667.75035</v>
      </c>
      <c r="V473" s="29" t="n">
        <v>4611.2711</v>
      </c>
      <c r="AB473" s="29" t="n">
        <v>4587.05702</v>
      </c>
      <c r="AC473" s="29" t="n">
        <v>4580.76033</v>
      </c>
      <c r="AD473" s="29" t="n">
        <v>0</v>
      </c>
    </row>
    <row r="474" ht="14.25" customHeight="1" s="28">
      <c r="A474" s="29" t="n">
        <v>1778024701</v>
      </c>
      <c r="B474" s="29" t="inlineStr">
        <is>
          <t>XAUUSD</t>
        </is>
      </c>
      <c r="C474" s="29" t="inlineStr">
        <is>
          <t>M15</t>
        </is>
      </c>
      <c r="D474" s="29" t="n">
        <v>4593.92</v>
      </c>
      <c r="E474" s="29" t="n">
        <v>4717.79398</v>
      </c>
      <c r="F474" s="29" t="n">
        <v>4695.2428</v>
      </c>
      <c r="G474" s="29" t="n">
        <v>4518.59282</v>
      </c>
      <c r="H474" s="29" t="n">
        <v>4596.05595</v>
      </c>
      <c r="I474" s="29" t="n">
        <v>4755.40355</v>
      </c>
      <c r="J474" s="29" t="n">
        <v>4792.76972</v>
      </c>
      <c r="K474" s="29" t="n">
        <v>4769.97694</v>
      </c>
      <c r="L474" s="29" t="n">
        <v>4716.33597</v>
      </c>
      <c r="M474" s="29" t="n">
        <v>4718.85043</v>
      </c>
      <c r="N474" s="29" t="n">
        <v>4531.36057</v>
      </c>
      <c r="O474" s="29" t="n">
        <v>4556.93783</v>
      </c>
      <c r="Q474" s="29" t="n">
        <v>4644.11874</v>
      </c>
      <c r="R474" s="29" t="n">
        <v>4692.1364</v>
      </c>
      <c r="S474" s="29" t="n">
        <v>4667.95279</v>
      </c>
      <c r="V474" s="29" t="n">
        <v>4611.47355</v>
      </c>
      <c r="AB474" s="29" t="n">
        <v>4593.31729</v>
      </c>
      <c r="AC474" s="29" t="n">
        <v>4587.03881</v>
      </c>
      <c r="AD474" s="29" t="n">
        <v>0</v>
      </c>
    </row>
    <row r="475" ht="14.25" customHeight="1" s="28">
      <c r="A475" s="29" t="n">
        <v>1778025601</v>
      </c>
      <c r="B475" s="29" t="inlineStr">
        <is>
          <t>XAUUSD</t>
        </is>
      </c>
      <c r="C475" s="29" t="inlineStr">
        <is>
          <t>M15</t>
        </is>
      </c>
      <c r="D475" s="29" t="n">
        <v>4591.76</v>
      </c>
      <c r="E475" s="29" t="n">
        <v>4717.79398</v>
      </c>
      <c r="F475" s="29" t="n">
        <v>4695.2428</v>
      </c>
      <c r="G475" s="29" t="n">
        <v>4518.59282</v>
      </c>
      <c r="H475" s="29" t="n">
        <v>4596.05595</v>
      </c>
      <c r="I475" s="29" t="n">
        <v>4755.40355</v>
      </c>
      <c r="J475" s="29" t="n">
        <v>4792.76972</v>
      </c>
      <c r="K475" s="29" t="n">
        <v>4769.97694</v>
      </c>
      <c r="L475" s="29" t="n">
        <v>4716.33597</v>
      </c>
      <c r="M475" s="29" t="n">
        <v>4718.85043</v>
      </c>
      <c r="N475" s="29" t="n">
        <v>4531.36057</v>
      </c>
      <c r="O475" s="29" t="n">
        <v>4556.93783</v>
      </c>
      <c r="Q475" s="29" t="n">
        <v>4644.32119</v>
      </c>
      <c r="R475" s="29" t="n">
        <v>4692.33885</v>
      </c>
      <c r="S475" s="29" t="n">
        <v>4668.15524</v>
      </c>
      <c r="V475" s="29" t="n">
        <v>4611.67599</v>
      </c>
      <c r="AB475" s="29" t="n">
        <v>4599.0376</v>
      </c>
      <c r="AC475" s="29" t="n">
        <v>4593.0382</v>
      </c>
      <c r="AD475" s="29" t="n">
        <v>0</v>
      </c>
    </row>
    <row r="476" ht="14.25" customHeight="1" s="28">
      <c r="A476" s="29" t="n">
        <v>1778026501</v>
      </c>
      <c r="B476" s="29" t="inlineStr">
        <is>
          <t>XAUUSD</t>
        </is>
      </c>
      <c r="C476" s="29" t="inlineStr">
        <is>
          <t>M15</t>
        </is>
      </c>
      <c r="D476" s="29" t="n">
        <v>4602.23</v>
      </c>
      <c r="E476" s="29" t="n">
        <v>4717.79398</v>
      </c>
      <c r="F476" s="29" t="n">
        <v>4695.2428</v>
      </c>
      <c r="G476" s="29" t="n">
        <v>4518.59282</v>
      </c>
      <c r="H476" s="29" t="n">
        <v>4596.05595</v>
      </c>
      <c r="I476" s="29" t="n">
        <v>4755.40355</v>
      </c>
      <c r="J476" s="29" t="n">
        <v>4792.76972</v>
      </c>
      <c r="K476" s="29" t="n">
        <v>4769.97694</v>
      </c>
      <c r="L476" s="29" t="n">
        <v>4716.33597</v>
      </c>
      <c r="M476" s="29" t="n">
        <v>4718.85043</v>
      </c>
      <c r="N476" s="29" t="n">
        <v>4531.36057</v>
      </c>
      <c r="O476" s="29" t="n">
        <v>4556.93783</v>
      </c>
      <c r="Q476" s="29" t="n">
        <v>4644.52363</v>
      </c>
      <c r="R476" s="29" t="n">
        <v>4692.5413</v>
      </c>
      <c r="S476" s="29" t="n">
        <v>4668.35768</v>
      </c>
      <c r="V476" s="29" t="n">
        <v>4611.87844</v>
      </c>
      <c r="AB476" s="29" t="n">
        <v>4604.34337</v>
      </c>
      <c r="AC476" s="29" t="n">
        <v>4598.69079</v>
      </c>
      <c r="AD476" s="29" t="n">
        <v>0</v>
      </c>
    </row>
    <row r="477" ht="14.25" customHeight="1" s="28">
      <c r="A477" s="29" t="n">
        <v>1778027401</v>
      </c>
      <c r="B477" s="29" t="inlineStr">
        <is>
          <t>XAUUSD</t>
        </is>
      </c>
      <c r="C477" s="29" t="inlineStr">
        <is>
          <t>M15</t>
        </is>
      </c>
      <c r="D477" s="29" t="n">
        <v>4610.32</v>
      </c>
      <c r="E477" s="29" t="n">
        <v>4717.79398</v>
      </c>
      <c r="F477" s="29" t="n">
        <v>4695.2428</v>
      </c>
      <c r="G477" s="29" t="n">
        <v>4518.59282</v>
      </c>
      <c r="H477" s="29" t="n">
        <v>4596.05595</v>
      </c>
      <c r="I477" s="29" t="n">
        <v>4755.40355</v>
      </c>
      <c r="J477" s="29" t="n">
        <v>4792.76972</v>
      </c>
      <c r="K477" s="29" t="n">
        <v>4769.97694</v>
      </c>
      <c r="L477" s="29" t="n">
        <v>4716.33597</v>
      </c>
      <c r="M477" s="29" t="n">
        <v>4718.85043</v>
      </c>
      <c r="N477" s="29" t="n">
        <v>4531.36057</v>
      </c>
      <c r="O477" s="29" t="n">
        <v>4556.93783</v>
      </c>
      <c r="Q477" s="29" t="n">
        <v>4644.72608</v>
      </c>
      <c r="R477" s="29" t="n">
        <v>4692.74374</v>
      </c>
      <c r="S477" s="29" t="n">
        <v>4668.56013</v>
      </c>
      <c r="V477" s="29" t="n">
        <v>4612.08089</v>
      </c>
      <c r="AB477" s="29" t="n">
        <v>4609.07319</v>
      </c>
      <c r="AC477" s="29" t="n">
        <v>4603.88199</v>
      </c>
      <c r="AD477" s="29" t="n">
        <v>0</v>
      </c>
    </row>
    <row r="478" ht="14.25" customHeight="1" s="28">
      <c r="A478" s="29" t="n">
        <v>1778028301</v>
      </c>
      <c r="B478" s="29" t="inlineStr">
        <is>
          <t>XAUUSD</t>
        </is>
      </c>
      <c r="C478" s="29" t="inlineStr">
        <is>
          <t>M15</t>
        </is>
      </c>
      <c r="D478" s="29" t="n">
        <v>4618.87</v>
      </c>
      <c r="E478" s="29" t="n">
        <v>4717.79398</v>
      </c>
      <c r="F478" s="29" t="n">
        <v>4695.2428</v>
      </c>
      <c r="G478" s="29" t="n">
        <v>4518.59282</v>
      </c>
      <c r="H478" s="29" t="n">
        <v>4596.05595</v>
      </c>
      <c r="I478" s="29" t="n">
        <v>4755.40355</v>
      </c>
      <c r="J478" s="29" t="n">
        <v>4792.76972</v>
      </c>
      <c r="K478" s="29" t="n">
        <v>4769.97694</v>
      </c>
      <c r="L478" s="29" t="n">
        <v>4716.33597</v>
      </c>
      <c r="M478" s="29" t="n">
        <v>4718.85043</v>
      </c>
      <c r="N478" s="29" t="n">
        <v>4531.36057</v>
      </c>
      <c r="O478" s="29" t="n">
        <v>4556.93783</v>
      </c>
      <c r="Q478" s="29" t="n">
        <v>4644.92852</v>
      </c>
      <c r="R478" s="29" t="n">
        <v>4692.94619</v>
      </c>
      <c r="S478" s="29" t="n">
        <v>4668.76257</v>
      </c>
      <c r="V478" s="29" t="n">
        <v>4612.28333</v>
      </c>
      <c r="AB478" s="29" t="n">
        <v>4613.22118</v>
      </c>
      <c r="AC478" s="29" t="n">
        <v>4608.55158</v>
      </c>
      <c r="AD478" s="29" t="n">
        <v>0</v>
      </c>
    </row>
    <row r="479" ht="14.25" customHeight="1" s="28">
      <c r="A479" s="29" t="n">
        <v>1778029201</v>
      </c>
      <c r="B479" s="29" t="inlineStr">
        <is>
          <t>XAUUSD</t>
        </is>
      </c>
      <c r="C479" s="29" t="inlineStr">
        <is>
          <t>M15</t>
        </is>
      </c>
      <c r="D479" s="29" t="n">
        <v>4611.55</v>
      </c>
      <c r="E479" s="29" t="n">
        <v>4717.79398</v>
      </c>
      <c r="F479" s="29" t="n">
        <v>4695.2428</v>
      </c>
      <c r="G479" s="29" t="n">
        <v>4518.59282</v>
      </c>
      <c r="H479" s="29" t="n">
        <v>4596.05595</v>
      </c>
      <c r="I479" s="29" t="n">
        <v>4755.40355</v>
      </c>
      <c r="J479" s="29" t="n">
        <v>4792.76972</v>
      </c>
      <c r="K479" s="29" t="n">
        <v>4769.97694</v>
      </c>
      <c r="L479" s="29" t="n">
        <v>4716.33597</v>
      </c>
      <c r="M479" s="29" t="n">
        <v>4718.85043</v>
      </c>
      <c r="N479" s="29" t="n">
        <v>4531.36057</v>
      </c>
      <c r="O479" s="29" t="n">
        <v>4556.93783</v>
      </c>
      <c r="Q479" s="29" t="n">
        <v>4645.13097</v>
      </c>
      <c r="R479" s="29" t="n">
        <v>4693.14863</v>
      </c>
      <c r="S479" s="29" t="n">
        <v>4668.96502</v>
      </c>
      <c r="V479" s="29" t="n">
        <v>4612.48578</v>
      </c>
      <c r="AB479" s="29" t="n">
        <v>4616.84397</v>
      </c>
      <c r="AC479" s="29" t="n">
        <v>4612.69778</v>
      </c>
      <c r="AD479" s="29" t="n">
        <v>0</v>
      </c>
    </row>
    <row r="480" ht="14.25" customHeight="1" s="28">
      <c r="A480" s="29" t="n">
        <v>1778030101</v>
      </c>
      <c r="B480" s="29" t="inlineStr">
        <is>
          <t>XAUUSD</t>
        </is>
      </c>
      <c r="C480" s="29" t="inlineStr">
        <is>
          <t>M15</t>
        </is>
      </c>
      <c r="D480" s="29" t="n">
        <v>4625</v>
      </c>
      <c r="E480" s="29" t="n">
        <v>4717.79398</v>
      </c>
      <c r="F480" s="29" t="n">
        <v>4695.2428</v>
      </c>
      <c r="G480" s="29" t="n">
        <v>4518.59282</v>
      </c>
      <c r="H480" s="29" t="n">
        <v>4596.05595</v>
      </c>
      <c r="I480" s="29" t="n">
        <v>4755.40355</v>
      </c>
      <c r="J480" s="29" t="n">
        <v>4792.76972</v>
      </c>
      <c r="K480" s="29" t="n">
        <v>4769.97694</v>
      </c>
      <c r="L480" s="29" t="n">
        <v>4716.33597</v>
      </c>
      <c r="M480" s="29" t="n">
        <v>4718.85043</v>
      </c>
      <c r="N480" s="29" t="n">
        <v>4531.36057</v>
      </c>
      <c r="O480" s="29" t="n">
        <v>4556.93783</v>
      </c>
      <c r="Q480" s="29" t="n">
        <v>4645.33341</v>
      </c>
      <c r="R480" s="29" t="n">
        <v>4693.35108</v>
      </c>
      <c r="S480" s="29" t="n">
        <v>4669.16747</v>
      </c>
      <c r="V480" s="29" t="n">
        <v>4612.68822</v>
      </c>
      <c r="AB480" s="29" t="n">
        <v>4620.43724</v>
      </c>
      <c r="AC480" s="29" t="n">
        <v>4616.56751</v>
      </c>
      <c r="AD480" s="29" t="n">
        <v>0</v>
      </c>
    </row>
    <row r="481" ht="14.25" customHeight="1" s="28">
      <c r="A481" s="29" t="n">
        <v>1778031001</v>
      </c>
      <c r="B481" s="29" t="inlineStr">
        <is>
          <t>XAUUSD</t>
        </is>
      </c>
      <c r="C481" s="29" t="inlineStr">
        <is>
          <t>M15</t>
        </is>
      </c>
      <c r="D481" s="29" t="n">
        <v>4624.12</v>
      </c>
      <c r="E481" s="29" t="n">
        <v>4717.79398</v>
      </c>
      <c r="F481" s="29" t="n">
        <v>4695.2428</v>
      </c>
      <c r="G481" s="29" t="n">
        <v>4518.59282</v>
      </c>
      <c r="H481" s="29" t="n">
        <v>4596.05595</v>
      </c>
      <c r="I481" s="29" t="n">
        <v>4755.40355</v>
      </c>
      <c r="J481" s="29" t="n">
        <v>4792.76972</v>
      </c>
      <c r="K481" s="29" t="n">
        <v>4769.97694</v>
      </c>
      <c r="L481" s="29" t="n">
        <v>4716.33597</v>
      </c>
      <c r="M481" s="29" t="n">
        <v>4718.85043</v>
      </c>
      <c r="N481" s="29" t="n">
        <v>4531.36057</v>
      </c>
      <c r="O481" s="29" t="n">
        <v>4556.93783</v>
      </c>
      <c r="Q481" s="29" t="n">
        <v>4645.53586</v>
      </c>
      <c r="R481" s="29" t="n">
        <v>4693.55352</v>
      </c>
      <c r="S481" s="29" t="n">
        <v>4669.36991</v>
      </c>
      <c r="V481" s="29" t="n">
        <v>4612.89067</v>
      </c>
      <c r="AB481" s="29" t="n">
        <v>4623.84047</v>
      </c>
      <c r="AC481" s="29" t="n">
        <v>4620.20399</v>
      </c>
      <c r="AD481" s="29" t="n">
        <v>0</v>
      </c>
    </row>
    <row r="482" ht="14.25" customHeight="1" s="28">
      <c r="A482" s="29" t="n">
        <v>1778031901</v>
      </c>
      <c r="B482" s="29" t="inlineStr">
        <is>
          <t>XAUUSD</t>
        </is>
      </c>
      <c r="C482" s="29" t="inlineStr">
        <is>
          <t>M15</t>
        </is>
      </c>
      <c r="D482" s="29" t="n">
        <v>4626.18</v>
      </c>
      <c r="E482" s="29" t="n">
        <v>4717.79398</v>
      </c>
      <c r="F482" s="29" t="n">
        <v>4695.2428</v>
      </c>
      <c r="G482" s="29" t="n">
        <v>4518.59282</v>
      </c>
      <c r="H482" s="29" t="n">
        <v>4596.05595</v>
      </c>
      <c r="I482" s="29" t="n">
        <v>4755.40355</v>
      </c>
      <c r="J482" s="29" t="n">
        <v>4792.76972</v>
      </c>
      <c r="K482" s="29" t="n">
        <v>4769.97694</v>
      </c>
      <c r="L482" s="29" t="n">
        <v>4716.33597</v>
      </c>
      <c r="M482" s="29" t="n">
        <v>4718.85043</v>
      </c>
      <c r="N482" s="29" t="n">
        <v>4531.36057</v>
      </c>
      <c r="O482" s="29" t="n">
        <v>4556.93783</v>
      </c>
      <c r="Q482" s="29" t="n">
        <v>4645.73831</v>
      </c>
      <c r="R482" s="29" t="n">
        <v>4693.75597</v>
      </c>
      <c r="S482" s="29" t="n">
        <v>4669.57236</v>
      </c>
      <c r="V482" s="29" t="n">
        <v>4613.09311</v>
      </c>
      <c r="AB482" s="29" t="n">
        <v>4627.29537</v>
      </c>
      <c r="AC482" s="29" t="n">
        <v>4623.74968</v>
      </c>
      <c r="AD482" s="29" t="n">
        <v>0</v>
      </c>
    </row>
    <row r="483" ht="14.25" customHeight="1" s="28">
      <c r="A483" s="29" t="n">
        <v>1778032801</v>
      </c>
      <c r="B483" s="29" t="inlineStr">
        <is>
          <t>XAUUSD</t>
        </is>
      </c>
      <c r="C483" s="29" t="inlineStr">
        <is>
          <t>M15</t>
        </is>
      </c>
      <c r="D483" s="29" t="n">
        <v>4633.69</v>
      </c>
      <c r="E483" s="29" t="n">
        <v>4717.79398</v>
      </c>
      <c r="F483" s="29" t="n">
        <v>4695.2428</v>
      </c>
      <c r="G483" s="29" t="n">
        <v>4518.59282</v>
      </c>
      <c r="H483" s="29" t="n">
        <v>4596.05595</v>
      </c>
      <c r="I483" s="29" t="n">
        <v>4755.40355</v>
      </c>
      <c r="J483" s="29" t="n">
        <v>4792.76972</v>
      </c>
      <c r="K483" s="29" t="n">
        <v>4769.97694</v>
      </c>
      <c r="L483" s="29" t="n">
        <v>4716.33597</v>
      </c>
      <c r="M483" s="29" t="n">
        <v>4718.85043</v>
      </c>
      <c r="N483" s="29" t="n">
        <v>4531.36057</v>
      </c>
      <c r="O483" s="29" t="n">
        <v>4556.93783</v>
      </c>
      <c r="Q483" s="29" t="n">
        <v>4645.94075</v>
      </c>
      <c r="R483" s="29" t="n">
        <v>4693.95842</v>
      </c>
      <c r="S483" s="29" t="n">
        <v>4669.7748</v>
      </c>
      <c r="V483" s="29" t="n">
        <v>4613.29556</v>
      </c>
      <c r="AB483" s="29" t="n">
        <v>4630.85522</v>
      </c>
      <c r="AC483" s="29" t="n">
        <v>4627.30245</v>
      </c>
      <c r="AD483" s="29" t="n">
        <v>0</v>
      </c>
    </row>
    <row r="484" ht="14.25" customHeight="1" s="28">
      <c r="A484" s="29" t="n">
        <v>1778033701</v>
      </c>
      <c r="B484" s="29" t="inlineStr">
        <is>
          <t>XAUUSD</t>
        </is>
      </c>
      <c r="C484" s="29" t="inlineStr">
        <is>
          <t>M15</t>
        </is>
      </c>
      <c r="D484" s="29" t="n">
        <v>4630.22</v>
      </c>
      <c r="E484" s="29" t="n">
        <v>4717.79398</v>
      </c>
      <c r="F484" s="29" t="n">
        <v>4695.2428</v>
      </c>
      <c r="G484" s="29" t="n">
        <v>4518.59282</v>
      </c>
      <c r="H484" s="29" t="n">
        <v>4596.05595</v>
      </c>
      <c r="I484" s="29" t="n">
        <v>4755.40355</v>
      </c>
      <c r="J484" s="29" t="n">
        <v>4792.76972</v>
      </c>
      <c r="K484" s="29" t="n">
        <v>4769.97694</v>
      </c>
      <c r="L484" s="29" t="n">
        <v>4716.33597</v>
      </c>
      <c r="M484" s="29" t="n">
        <v>4718.85043</v>
      </c>
      <c r="N484" s="29" t="n">
        <v>4531.36057</v>
      </c>
      <c r="O484" s="29" t="n">
        <v>4556.93783</v>
      </c>
      <c r="Q484" s="29" t="n">
        <v>4646.1432</v>
      </c>
      <c r="R484" s="29" t="n">
        <v>4694.16086</v>
      </c>
      <c r="S484" s="29" t="n">
        <v>4669.97725</v>
      </c>
      <c r="V484" s="29" t="n">
        <v>4613.498</v>
      </c>
      <c r="AB484" s="29" t="n">
        <v>4634.34565</v>
      </c>
      <c r="AC484" s="29" t="n">
        <v>4630.82405</v>
      </c>
      <c r="AD484" s="29" t="n">
        <v>0</v>
      </c>
    </row>
    <row r="485" ht="14.25" customHeight="1" s="28">
      <c r="A485" s="29" t="n">
        <v>1778034601</v>
      </c>
      <c r="B485" s="29" t="inlineStr">
        <is>
          <t>XAUUSD</t>
        </is>
      </c>
      <c r="C485" s="29" t="inlineStr">
        <is>
          <t>M15</t>
        </is>
      </c>
      <c r="D485" s="29" t="n">
        <v>4635.01</v>
      </c>
      <c r="E485" s="29" t="n">
        <v>4717.79398</v>
      </c>
      <c r="F485" s="29" t="n">
        <v>4695.2428</v>
      </c>
      <c r="G485" s="29" t="n">
        <v>4518.59282</v>
      </c>
      <c r="H485" s="29" t="n">
        <v>4596.05595</v>
      </c>
      <c r="I485" s="29" t="n">
        <v>4755.40355</v>
      </c>
      <c r="J485" s="29" t="n">
        <v>4792.76972</v>
      </c>
      <c r="K485" s="29" t="n">
        <v>4769.97694</v>
      </c>
      <c r="L485" s="29" t="n">
        <v>4716.33597</v>
      </c>
      <c r="M485" s="29" t="n">
        <v>4718.85043</v>
      </c>
      <c r="N485" s="29" t="n">
        <v>4531.36057</v>
      </c>
      <c r="O485" s="29" t="n">
        <v>4556.93783</v>
      </c>
      <c r="Q485" s="29" t="n">
        <v>4646.34564</v>
      </c>
      <c r="R485" s="29" t="n">
        <v>4694.36331</v>
      </c>
      <c r="S485" s="29" t="n">
        <v>4670.17969</v>
      </c>
      <c r="V485" s="29" t="n">
        <v>4613.70045</v>
      </c>
      <c r="AB485" s="29" t="n">
        <v>4637.80212</v>
      </c>
      <c r="AC485" s="29" t="n">
        <v>4634.31309</v>
      </c>
      <c r="AD485" s="29" t="n">
        <v>0</v>
      </c>
    </row>
    <row r="486" ht="14.25" customHeight="1" s="28">
      <c r="A486" s="29" t="n">
        <v>1778035501</v>
      </c>
      <c r="B486" s="29" t="inlineStr">
        <is>
          <t>XAUUSD</t>
        </is>
      </c>
      <c r="C486" s="29" t="inlineStr">
        <is>
          <t>M15</t>
        </is>
      </c>
      <c r="D486" s="29" t="n">
        <v>4640.94</v>
      </c>
      <c r="E486" s="29" t="n">
        <v>4717.79398</v>
      </c>
      <c r="F486" s="29" t="n">
        <v>4695.2428</v>
      </c>
      <c r="G486" s="29" t="n">
        <v>4518.59282</v>
      </c>
      <c r="H486" s="29" t="n">
        <v>4596.05595</v>
      </c>
      <c r="I486" s="29" t="n">
        <v>4755.40355</v>
      </c>
      <c r="J486" s="29" t="n">
        <v>4792.76972</v>
      </c>
      <c r="K486" s="29" t="n">
        <v>4769.97694</v>
      </c>
      <c r="L486" s="29" t="n">
        <v>4716.33597</v>
      </c>
      <c r="M486" s="29" t="n">
        <v>4718.85043</v>
      </c>
      <c r="N486" s="29" t="n">
        <v>4531.36057</v>
      </c>
      <c r="O486" s="29" t="n">
        <v>4556.93783</v>
      </c>
      <c r="Q486" s="29" t="n">
        <v>4646.54809</v>
      </c>
      <c r="R486" s="29" t="n">
        <v>4694.56575</v>
      </c>
      <c r="S486" s="29" t="n">
        <v>4670.38214</v>
      </c>
      <c r="V486" s="29" t="n">
        <v>4613.9029</v>
      </c>
      <c r="AB486" s="29" t="n">
        <v>4640.98602</v>
      </c>
      <c r="AC486" s="29" t="n">
        <v>4637.64955</v>
      </c>
      <c r="AD486" s="29" t="n">
        <v>0</v>
      </c>
    </row>
    <row r="487" ht="14.25" customHeight="1" s="28">
      <c r="A487" s="29" t="n">
        <v>1778036401</v>
      </c>
      <c r="B487" s="29" t="inlineStr">
        <is>
          <t>XAUUSD</t>
        </is>
      </c>
      <c r="C487" s="29" t="inlineStr">
        <is>
          <t>M15</t>
        </is>
      </c>
      <c r="D487" s="29" t="n">
        <v>4647.89</v>
      </c>
      <c r="E487" s="29" t="n">
        <v>4717.79398</v>
      </c>
      <c r="F487" s="29" t="n">
        <v>4695.2428</v>
      </c>
      <c r="G487" s="29" t="n">
        <v>4518.59282</v>
      </c>
      <c r="H487" s="29" t="n">
        <v>4596.05595</v>
      </c>
      <c r="I487" s="29" t="n">
        <v>4755.40355</v>
      </c>
      <c r="J487" s="29" t="n">
        <v>4792.76972</v>
      </c>
      <c r="K487" s="29" t="n">
        <v>4769.97694</v>
      </c>
      <c r="L487" s="29" t="n">
        <v>4716.33597</v>
      </c>
      <c r="M487" s="29" t="n">
        <v>4718.85043</v>
      </c>
      <c r="N487" s="29" t="n">
        <v>4531.36057</v>
      </c>
      <c r="O487" s="29" t="n">
        <v>4556.93783</v>
      </c>
      <c r="Q487" s="29" t="n">
        <v>4646.75053</v>
      </c>
      <c r="R487" s="29" t="n">
        <v>4694.7682</v>
      </c>
      <c r="S487" s="29" t="n">
        <v>4670.58459</v>
      </c>
      <c r="V487" s="29" t="n">
        <v>4614.10534</v>
      </c>
      <c r="AB487" s="29" t="n">
        <v>4643.61668</v>
      </c>
      <c r="AC487" s="29" t="n">
        <v>4640.63312</v>
      </c>
      <c r="AD487" s="29" t="n">
        <v>0</v>
      </c>
    </row>
    <row r="488" ht="14.25" customHeight="1" s="28">
      <c r="A488" s="29" t="n">
        <v>1778037301</v>
      </c>
      <c r="B488" s="29" t="inlineStr">
        <is>
          <t>XAUUSD</t>
        </is>
      </c>
      <c r="C488" s="29" t="inlineStr">
        <is>
          <t>M15</t>
        </is>
      </c>
      <c r="D488" s="29" t="n">
        <v>4645.81</v>
      </c>
      <c r="E488" s="29" t="n">
        <v>4717.79398</v>
      </c>
      <c r="F488" s="29" t="n">
        <v>4695.2428</v>
      </c>
      <c r="G488" s="29" t="n">
        <v>4518.59282</v>
      </c>
      <c r="H488" s="29" t="n">
        <v>4596.05595</v>
      </c>
      <c r="I488" s="29" t="n">
        <v>4755.40355</v>
      </c>
      <c r="J488" s="29" t="n">
        <v>4792.76972</v>
      </c>
      <c r="K488" s="29" t="n">
        <v>4769.97694</v>
      </c>
      <c r="L488" s="29" t="n">
        <v>4716.33597</v>
      </c>
      <c r="M488" s="29" t="n">
        <v>4718.85043</v>
      </c>
      <c r="N488" s="29" t="n">
        <v>4531.36057</v>
      </c>
      <c r="O488" s="29" t="n">
        <v>4556.93783</v>
      </c>
      <c r="Q488" s="29" t="n">
        <v>4646.95298</v>
      </c>
      <c r="R488" s="29" t="n">
        <v>4694.97064</v>
      </c>
      <c r="S488" s="29" t="n">
        <v>4670.78703</v>
      </c>
      <c r="V488" s="29" t="n">
        <v>4614.30779</v>
      </c>
      <c r="AB488" s="29" t="n">
        <v>4645.4561</v>
      </c>
      <c r="AC488" s="29" t="n">
        <v>4643.04461</v>
      </c>
      <c r="AD488" s="29" t="n">
        <v>0</v>
      </c>
    </row>
    <row r="489" ht="14.25" customHeight="1" s="28">
      <c r="A489" s="29" t="n">
        <v>1778038201</v>
      </c>
      <c r="B489" s="29" t="inlineStr">
        <is>
          <t>XAUUSD</t>
        </is>
      </c>
      <c r="C489" s="29" t="inlineStr">
        <is>
          <t>M15</t>
        </is>
      </c>
      <c r="D489" s="29" t="n">
        <v>4647.74</v>
      </c>
      <c r="E489" s="29" t="n">
        <v>4717.79398</v>
      </c>
      <c r="F489" s="29" t="n">
        <v>4695.2428</v>
      </c>
      <c r="G489" s="29" t="n">
        <v>4518.59282</v>
      </c>
      <c r="H489" s="29" t="n">
        <v>4596.05595</v>
      </c>
      <c r="I489" s="29" t="n">
        <v>4755.40355</v>
      </c>
      <c r="J489" s="29" t="n">
        <v>4792.76972</v>
      </c>
      <c r="K489" s="29" t="n">
        <v>4769.97694</v>
      </c>
      <c r="L489" s="29" t="n">
        <v>4716.33597</v>
      </c>
      <c r="M489" s="29" t="n">
        <v>4718.85043</v>
      </c>
      <c r="N489" s="29" t="n">
        <v>4531.36057</v>
      </c>
      <c r="O489" s="29" t="n">
        <v>4556.93783</v>
      </c>
      <c r="Q489" s="29" t="n">
        <v>4647.15542</v>
      </c>
      <c r="R489" s="29" t="n">
        <v>4695.17309</v>
      </c>
      <c r="S489" s="29" t="n">
        <v>4670.98948</v>
      </c>
      <c r="V489" s="29" t="n">
        <v>4614.51023</v>
      </c>
      <c r="AB489" s="29" t="n">
        <v>4646.64429</v>
      </c>
      <c r="AC489" s="29" t="n">
        <v>4644.84445</v>
      </c>
      <c r="AD489" s="29" t="n">
        <v>0</v>
      </c>
    </row>
    <row r="490" ht="14.25" customHeight="1" s="28">
      <c r="A490" s="29" t="n">
        <v>1778039101</v>
      </c>
      <c r="B490" s="29" t="inlineStr">
        <is>
          <t>XAUUSD</t>
        </is>
      </c>
      <c r="C490" s="29" t="inlineStr">
        <is>
          <t>M15</t>
        </is>
      </c>
      <c r="D490" s="29" t="n">
        <v>4643.84</v>
      </c>
      <c r="E490" s="29" t="n">
        <v>4717.79398</v>
      </c>
      <c r="F490" s="29" t="n">
        <v>4695.2428</v>
      </c>
      <c r="G490" s="29" t="n">
        <v>4518.59282</v>
      </c>
      <c r="H490" s="29" t="n">
        <v>4596.05595</v>
      </c>
      <c r="I490" s="29" t="n">
        <v>4755.40355</v>
      </c>
      <c r="J490" s="29" t="n">
        <v>4792.76972</v>
      </c>
      <c r="K490" s="29" t="n">
        <v>4769.97694</v>
      </c>
      <c r="L490" s="29" t="n">
        <v>4716.33597</v>
      </c>
      <c r="M490" s="29" t="n">
        <v>4718.85043</v>
      </c>
      <c r="N490" s="29" t="n">
        <v>4531.36057</v>
      </c>
      <c r="O490" s="29" t="n">
        <v>4556.93783</v>
      </c>
      <c r="Q490" s="29" t="n">
        <v>4647.35787</v>
      </c>
      <c r="R490" s="29" t="n">
        <v>4695.37553</v>
      </c>
      <c r="S490" s="29" t="n">
        <v>4671.19192</v>
      </c>
      <c r="V490" s="29" t="n">
        <v>4614.71268</v>
      </c>
      <c r="AB490" s="29" t="n">
        <v>4647.34591</v>
      </c>
      <c r="AC490" s="29" t="n">
        <v>4646.09518</v>
      </c>
      <c r="AD490" s="29" t="n">
        <v>0</v>
      </c>
    </row>
    <row r="491" ht="14.25" customHeight="1" s="28">
      <c r="A491" s="29" t="n">
        <v>1778040001</v>
      </c>
      <c r="B491" s="29" t="inlineStr">
        <is>
          <t>XAUUSD</t>
        </is>
      </c>
      <c r="C491" s="29" t="inlineStr">
        <is>
          <t>M15</t>
        </is>
      </c>
      <c r="D491" s="29" t="n">
        <v>4647.59</v>
      </c>
      <c r="E491" s="29" t="n">
        <v>4717.79398</v>
      </c>
      <c r="F491" s="29" t="n">
        <v>4695.2428</v>
      </c>
      <c r="G491" s="29" t="n">
        <v>4518.59282</v>
      </c>
      <c r="H491" s="29" t="n">
        <v>4596.05595</v>
      </c>
      <c r="I491" s="29" t="n">
        <v>4755.40355</v>
      </c>
      <c r="J491" s="29" t="n">
        <v>4792.76972</v>
      </c>
      <c r="K491" s="29" t="n">
        <v>4769.97694</v>
      </c>
      <c r="L491" s="29" t="n">
        <v>4716.33597</v>
      </c>
      <c r="M491" s="29" t="n">
        <v>4718.85043</v>
      </c>
      <c r="N491" s="29" t="n">
        <v>4531.36057</v>
      </c>
      <c r="O491" s="29" t="n">
        <v>4556.93783</v>
      </c>
      <c r="Q491" s="29" t="n">
        <v>4647.56032</v>
      </c>
      <c r="R491" s="29" t="n">
        <v>4695.57798</v>
      </c>
      <c r="S491" s="29" t="n">
        <v>4671.39437</v>
      </c>
      <c r="V491" s="29" t="n">
        <v>4614.91512</v>
      </c>
      <c r="AB491" s="29" t="n">
        <v>4647.93595</v>
      </c>
      <c r="AC491" s="29" t="n">
        <v>4647.01556</v>
      </c>
      <c r="AD491" s="29" t="n">
        <v>0</v>
      </c>
    </row>
    <row r="492" ht="14.25" customHeight="1" s="28">
      <c r="A492" s="29" t="n">
        <v>1778040901</v>
      </c>
      <c r="B492" s="29" t="inlineStr">
        <is>
          <t>XAUUSD</t>
        </is>
      </c>
      <c r="C492" s="29" t="inlineStr">
        <is>
          <t>M15</t>
        </is>
      </c>
      <c r="D492" s="29" t="n">
        <v>4653.19</v>
      </c>
      <c r="E492" s="29" t="n">
        <v>4717.79398</v>
      </c>
      <c r="F492" s="29" t="n">
        <v>4695.2428</v>
      </c>
      <c r="G492" s="29" t="n">
        <v>4518.59282</v>
      </c>
      <c r="H492" s="29" t="n">
        <v>4596.05595</v>
      </c>
      <c r="I492" s="29" t="n">
        <v>4755.40355</v>
      </c>
      <c r="J492" s="29" t="n">
        <v>4792.76972</v>
      </c>
      <c r="K492" s="29" t="n">
        <v>4769.97694</v>
      </c>
      <c r="L492" s="29" t="n">
        <v>4716.33597</v>
      </c>
      <c r="M492" s="29" t="n">
        <v>4718.85043</v>
      </c>
      <c r="N492" s="29" t="n">
        <v>4531.36057</v>
      </c>
      <c r="O492" s="29" t="n">
        <v>4556.93783</v>
      </c>
      <c r="Q492" s="29" t="n">
        <v>4647.76276</v>
      </c>
      <c r="R492" s="29" t="n">
        <v>4695.78043</v>
      </c>
      <c r="S492" s="29" t="n">
        <v>4671.59681</v>
      </c>
      <c r="V492" s="29" t="n">
        <v>4615.11757</v>
      </c>
      <c r="AB492" s="29" t="n">
        <v>4648.56672</v>
      </c>
      <c r="AC492" s="29" t="n">
        <v>4647.79114</v>
      </c>
      <c r="AD492" s="29" t="n">
        <v>0</v>
      </c>
    </row>
    <row r="493" ht="14.25" customHeight="1" s="28">
      <c r="A493" s="29" t="n">
        <v>1778041801</v>
      </c>
      <c r="B493" s="29" t="inlineStr">
        <is>
          <t>XAUUSD</t>
        </is>
      </c>
      <c r="C493" s="29" t="inlineStr">
        <is>
          <t>M15</t>
        </is>
      </c>
      <c r="D493" s="29" t="n">
        <v>4647.47</v>
      </c>
      <c r="E493" s="29" t="n">
        <v>4717.79398</v>
      </c>
      <c r="F493" s="29" t="n">
        <v>4695.2428</v>
      </c>
      <c r="G493" s="29" t="n">
        <v>4518.59282</v>
      </c>
      <c r="H493" s="29" t="n">
        <v>4596.05595</v>
      </c>
      <c r="I493" s="29" t="n">
        <v>4755.40355</v>
      </c>
      <c r="J493" s="29" t="n">
        <v>4792.76972</v>
      </c>
      <c r="K493" s="29" t="n">
        <v>4769.97694</v>
      </c>
      <c r="L493" s="29" t="n">
        <v>4716.33597</v>
      </c>
      <c r="M493" s="29" t="n">
        <v>4718.85043</v>
      </c>
      <c r="N493" s="29" t="n">
        <v>4531.36057</v>
      </c>
      <c r="O493" s="29" t="n">
        <v>4556.93783</v>
      </c>
      <c r="Q493" s="29" t="n">
        <v>4647.96521</v>
      </c>
      <c r="R493" s="29" t="n">
        <v>4695.98287</v>
      </c>
      <c r="S493" s="29" t="n">
        <v>4671.79926</v>
      </c>
      <c r="V493" s="29" t="n">
        <v>4615.32002</v>
      </c>
      <c r="AB493" s="29" t="n">
        <v>4649.29425</v>
      </c>
      <c r="AC493" s="29" t="n">
        <v>4648.54269</v>
      </c>
      <c r="AD493" s="29" t="n">
        <v>0</v>
      </c>
    </row>
    <row r="494" ht="14.25" customHeight="1" s="28">
      <c r="A494" s="29" t="n">
        <v>1778042701</v>
      </c>
      <c r="B494" s="29" t="inlineStr">
        <is>
          <t>XAUUSD</t>
        </is>
      </c>
      <c r="C494" s="29" t="inlineStr">
        <is>
          <t>M15</t>
        </is>
      </c>
      <c r="D494" s="29" t="n">
        <v>4648.72</v>
      </c>
      <c r="E494" s="29" t="n">
        <v>4717.79398</v>
      </c>
      <c r="F494" s="29" t="n">
        <v>4695.2428</v>
      </c>
      <c r="G494" s="29" t="n">
        <v>4518.59282</v>
      </c>
      <c r="H494" s="29" t="n">
        <v>4596.05595</v>
      </c>
      <c r="I494" s="29" t="n">
        <v>4755.40355</v>
      </c>
      <c r="J494" s="29" t="n">
        <v>4792.76972</v>
      </c>
      <c r="K494" s="29" t="n">
        <v>4769.97694</v>
      </c>
      <c r="L494" s="29" t="n">
        <v>4716.33597</v>
      </c>
      <c r="M494" s="29" t="n">
        <v>4718.85043</v>
      </c>
      <c r="N494" s="29" t="n">
        <v>4531.36057</v>
      </c>
      <c r="O494" s="29" t="n">
        <v>4556.93783</v>
      </c>
      <c r="Q494" s="29" t="n">
        <v>4648.16765</v>
      </c>
      <c r="R494" s="29" t="n">
        <v>4696.18532</v>
      </c>
      <c r="S494" s="29" t="n">
        <v>4672.00171</v>
      </c>
      <c r="V494" s="29" t="n">
        <v>4615.52246</v>
      </c>
      <c r="AB494" s="29" t="n">
        <v>4650.43095</v>
      </c>
      <c r="AC494" s="29" t="n">
        <v>4649.48682</v>
      </c>
      <c r="AD494" s="29" t="n">
        <v>0</v>
      </c>
    </row>
    <row r="495" ht="14.25" customHeight="1" s="28">
      <c r="A495" s="29" t="n">
        <v>1778043601</v>
      </c>
      <c r="B495" s="29" t="inlineStr">
        <is>
          <t>XAUUSD</t>
        </is>
      </c>
      <c r="C495" s="29" t="inlineStr">
        <is>
          <t>M15</t>
        </is>
      </c>
      <c r="D495" s="29" t="n">
        <v>4654.64</v>
      </c>
      <c r="E495" s="29" t="n">
        <v>4717.79398</v>
      </c>
      <c r="F495" s="29" t="n">
        <v>4695.2428</v>
      </c>
      <c r="G495" s="29" t="n">
        <v>4518.59282</v>
      </c>
      <c r="H495" s="29" t="n">
        <v>4596.05595</v>
      </c>
      <c r="I495" s="29" t="n">
        <v>4755.40355</v>
      </c>
      <c r="J495" s="29" t="n">
        <v>4792.76972</v>
      </c>
      <c r="K495" s="29" t="n">
        <v>4769.97694</v>
      </c>
      <c r="L495" s="29" t="n">
        <v>4716.33597</v>
      </c>
      <c r="M495" s="29" t="n">
        <v>4718.85043</v>
      </c>
      <c r="N495" s="29" t="n">
        <v>4531.36057</v>
      </c>
      <c r="O495" s="29" t="n">
        <v>4556.93783</v>
      </c>
      <c r="Q495" s="29" t="n">
        <v>4648.3701</v>
      </c>
      <c r="R495" s="29" t="n">
        <v>4696.38776</v>
      </c>
      <c r="S495" s="29" t="n">
        <v>4672.20415</v>
      </c>
      <c r="V495" s="29" t="n">
        <v>4615.72491</v>
      </c>
      <c r="AB495" s="29" t="n">
        <v>4651.95756</v>
      </c>
      <c r="AC495" s="29" t="n">
        <v>4650.72219</v>
      </c>
      <c r="AD495" s="29" t="n">
        <v>0</v>
      </c>
    </row>
    <row r="496" ht="14.25" customHeight="1" s="28">
      <c r="A496" s="29" t="n">
        <v>1778044501</v>
      </c>
      <c r="B496" s="29" t="inlineStr">
        <is>
          <t>XAUUSD</t>
        </is>
      </c>
      <c r="C496" s="29" t="inlineStr">
        <is>
          <t>M15</t>
        </is>
      </c>
      <c r="D496" s="29" t="n">
        <v>4650.4</v>
      </c>
      <c r="E496" s="29" t="n">
        <v>4717.79398</v>
      </c>
      <c r="F496" s="29" t="n">
        <v>4695.2428</v>
      </c>
      <c r="G496" s="29" t="n">
        <v>4518.59282</v>
      </c>
      <c r="H496" s="29" t="n">
        <v>4596.05595</v>
      </c>
      <c r="I496" s="29" t="n">
        <v>4755.40355</v>
      </c>
      <c r="J496" s="29" t="n">
        <v>4792.76972</v>
      </c>
      <c r="K496" s="29" t="n">
        <v>4769.97694</v>
      </c>
      <c r="L496" s="29" t="n">
        <v>4716.33597</v>
      </c>
      <c r="M496" s="29" t="n">
        <v>4718.85043</v>
      </c>
      <c r="N496" s="29" t="n">
        <v>4531.36057</v>
      </c>
      <c r="O496" s="29" t="n">
        <v>4556.93783</v>
      </c>
      <c r="Q496" s="29" t="n">
        <v>4648.57254</v>
      </c>
      <c r="R496" s="29" t="n">
        <v>4696.59021</v>
      </c>
      <c r="S496" s="29" t="n">
        <v>4672.4066</v>
      </c>
      <c r="V496" s="29" t="n">
        <v>4615.92735</v>
      </c>
      <c r="AB496" s="29" t="n">
        <v>4653.69233</v>
      </c>
      <c r="AC496" s="29" t="n">
        <v>4652.20726</v>
      </c>
      <c r="AD496" s="29" t="n">
        <v>0</v>
      </c>
    </row>
    <row r="497" ht="14.25" customHeight="1" s="28">
      <c r="A497" s="29" t="n">
        <v>1778045401</v>
      </c>
      <c r="B497" s="29" t="inlineStr">
        <is>
          <t>XAUUSD</t>
        </is>
      </c>
      <c r="C497" s="29" t="inlineStr">
        <is>
          <t>M15</t>
        </is>
      </c>
      <c r="D497" s="29" t="n">
        <v>4650.19</v>
      </c>
      <c r="E497" s="29" t="n">
        <v>4717.79398</v>
      </c>
      <c r="F497" s="29" t="n">
        <v>4695.2428</v>
      </c>
      <c r="G497" s="29" t="n">
        <v>4518.59282</v>
      </c>
      <c r="H497" s="29" t="n">
        <v>4596.05595</v>
      </c>
      <c r="I497" s="29" t="n">
        <v>4755.40355</v>
      </c>
      <c r="J497" s="29" t="n">
        <v>4792.76972</v>
      </c>
      <c r="K497" s="29" t="n">
        <v>4769.97694</v>
      </c>
      <c r="L497" s="29" t="n">
        <v>4716.33597</v>
      </c>
      <c r="M497" s="29" t="n">
        <v>4718.85043</v>
      </c>
      <c r="N497" s="29" t="n">
        <v>4531.36057</v>
      </c>
      <c r="O497" s="29" t="n">
        <v>4556.93783</v>
      </c>
      <c r="Q497" s="29" t="n">
        <v>4648.77499</v>
      </c>
      <c r="R497" s="29" t="n">
        <v>4696.79265</v>
      </c>
      <c r="S497" s="29" t="n">
        <v>4672.60904</v>
      </c>
      <c r="V497" s="29" t="n">
        <v>4616.1298</v>
      </c>
      <c r="AB497" s="29" t="n">
        <v>4655.69995</v>
      </c>
      <c r="AC497" s="29" t="n">
        <v>4653.95361</v>
      </c>
      <c r="AD497" s="29" t="n">
        <v>0</v>
      </c>
    </row>
    <row r="498" ht="14.25" customHeight="1" s="28">
      <c r="A498" s="29" t="n">
        <v>1778046301</v>
      </c>
      <c r="B498" s="29" t="inlineStr">
        <is>
          <t>XAUUSD</t>
        </is>
      </c>
      <c r="C498" s="29" t="inlineStr">
        <is>
          <t>M15</t>
        </is>
      </c>
      <c r="D498" s="29" t="n">
        <v>4663.2</v>
      </c>
      <c r="E498" s="29" t="n">
        <v>4717.79398</v>
      </c>
      <c r="F498" s="29" t="n">
        <v>4695.2428</v>
      </c>
      <c r="G498" s="29" t="n">
        <v>4518.59282</v>
      </c>
      <c r="H498" s="29" t="n">
        <v>4596.05595</v>
      </c>
      <c r="I498" s="29" t="n">
        <v>4755.40355</v>
      </c>
      <c r="J498" s="29" t="n">
        <v>4792.76972</v>
      </c>
      <c r="K498" s="29" t="n">
        <v>4769.97694</v>
      </c>
      <c r="L498" s="29" t="n">
        <v>4716.33597</v>
      </c>
      <c r="M498" s="29" t="n">
        <v>4718.85043</v>
      </c>
      <c r="N498" s="29" t="n">
        <v>4531.36057</v>
      </c>
      <c r="O498" s="29" t="n">
        <v>4556.93783</v>
      </c>
      <c r="Q498" s="29" t="n">
        <v>4648.97744</v>
      </c>
      <c r="R498" s="29" t="n">
        <v>4696.9951</v>
      </c>
      <c r="S498" s="29" t="n">
        <v>4672.81149</v>
      </c>
      <c r="V498" s="29" t="n">
        <v>4616.33224</v>
      </c>
      <c r="AB498" s="29" t="n">
        <v>4657.94501</v>
      </c>
      <c r="AC498" s="29" t="n">
        <v>4655.94931</v>
      </c>
      <c r="AD498" s="29" t="n">
        <v>0</v>
      </c>
    </row>
    <row r="499" ht="14.25" customHeight="1" s="28">
      <c r="A499" s="29" t="n">
        <v>1778047201</v>
      </c>
      <c r="B499" s="29" t="inlineStr">
        <is>
          <t>XAUUSD</t>
        </is>
      </c>
      <c r="C499" s="29" t="inlineStr">
        <is>
          <t>M15</t>
        </is>
      </c>
      <c r="D499" s="29" t="n">
        <v>4660.55</v>
      </c>
      <c r="E499" s="29" t="n">
        <v>4717.79398</v>
      </c>
      <c r="F499" s="29" t="n">
        <v>4695.2428</v>
      </c>
      <c r="G499" s="29" t="n">
        <v>4518.59282</v>
      </c>
      <c r="H499" s="29" t="n">
        <v>4596.05595</v>
      </c>
      <c r="I499" s="29" t="n">
        <v>4755.40355</v>
      </c>
      <c r="J499" s="29" t="n">
        <v>4792.76972</v>
      </c>
      <c r="K499" s="29" t="n">
        <v>4769.97694</v>
      </c>
      <c r="L499" s="29" t="n">
        <v>4716.33597</v>
      </c>
      <c r="M499" s="29" t="n">
        <v>4718.85043</v>
      </c>
      <c r="N499" s="29" t="n">
        <v>4531.36057</v>
      </c>
      <c r="O499" s="29" t="n">
        <v>4556.93783</v>
      </c>
      <c r="Q499" s="29" t="n">
        <v>4649.17988</v>
      </c>
      <c r="R499" s="29" t="n">
        <v>4697.19755</v>
      </c>
      <c r="S499" s="29" t="n">
        <v>4673.01393</v>
      </c>
      <c r="V499" s="29" t="n">
        <v>4616.53469</v>
      </c>
      <c r="AB499" s="29" t="n">
        <v>4660.03655</v>
      </c>
      <c r="AC499" s="29" t="n">
        <v>4657.99293</v>
      </c>
      <c r="AD499" s="29" t="n">
        <v>0</v>
      </c>
    </row>
    <row r="500" ht="14.25" customHeight="1" s="28">
      <c r="A500" s="29" t="n">
        <v>1778048101</v>
      </c>
      <c r="B500" s="29" t="inlineStr">
        <is>
          <t>XAUUSD</t>
        </is>
      </c>
      <c r="C500" s="29" t="inlineStr">
        <is>
          <t>M15</t>
        </is>
      </c>
      <c r="D500" s="29" t="n">
        <v>4666.15</v>
      </c>
      <c r="E500" s="29" t="n">
        <v>4717.79398</v>
      </c>
      <c r="F500" s="29" t="n">
        <v>4695.2428</v>
      </c>
      <c r="G500" s="29" t="n">
        <v>4518.59282</v>
      </c>
      <c r="H500" s="29" t="n">
        <v>4596.05595</v>
      </c>
      <c r="I500" s="29" t="n">
        <v>4755.40355</v>
      </c>
      <c r="J500" s="29" t="n">
        <v>4792.76972</v>
      </c>
      <c r="K500" s="29" t="n">
        <v>4769.97694</v>
      </c>
      <c r="L500" s="29" t="n">
        <v>4716.33597</v>
      </c>
      <c r="M500" s="29" t="n">
        <v>4718.85043</v>
      </c>
      <c r="N500" s="29" t="n">
        <v>4531.36057</v>
      </c>
      <c r="O500" s="29" t="n">
        <v>4556.93783</v>
      </c>
      <c r="Q500" s="29" t="n">
        <v>4649.38233</v>
      </c>
      <c r="R500" s="29" t="n">
        <v>4697.39999</v>
      </c>
      <c r="S500" s="29" t="n">
        <v>4673.21638</v>
      </c>
      <c r="V500" s="29" t="n">
        <v>4616.73714</v>
      </c>
      <c r="AB500" s="29" t="n">
        <v>4662.04069</v>
      </c>
      <c r="AC500" s="29" t="n">
        <v>4660.01681</v>
      </c>
      <c r="AD500" s="29" t="n">
        <v>0</v>
      </c>
    </row>
    <row r="501" ht="14.25" customHeight="1" s="28">
      <c r="A501" s="29" t="n">
        <v>1778049001</v>
      </c>
      <c r="B501" s="29" t="inlineStr">
        <is>
          <t>XAUUSD</t>
        </is>
      </c>
      <c r="C501" s="29" t="inlineStr">
        <is>
          <t>M15</t>
        </is>
      </c>
      <c r="D501" s="29" t="n">
        <v>4664.33</v>
      </c>
      <c r="E501" s="29" t="n">
        <v>4717.79398</v>
      </c>
      <c r="F501" s="29" t="n">
        <v>4695.2428</v>
      </c>
      <c r="G501" s="29" t="n">
        <v>4518.59282</v>
      </c>
      <c r="H501" s="29" t="n">
        <v>4596.05595</v>
      </c>
      <c r="I501" s="29" t="n">
        <v>4755.40355</v>
      </c>
      <c r="J501" s="29" t="n">
        <v>4792.76972</v>
      </c>
      <c r="K501" s="29" t="n">
        <v>4769.97694</v>
      </c>
      <c r="L501" s="29" t="n">
        <v>4716.33597</v>
      </c>
      <c r="M501" s="29" t="n">
        <v>4718.85043</v>
      </c>
      <c r="N501" s="29" t="n">
        <v>4531.36057</v>
      </c>
      <c r="O501" s="29" t="n">
        <v>4556.93783</v>
      </c>
      <c r="Q501" s="29" t="n">
        <v>4649.58477</v>
      </c>
      <c r="R501" s="29" t="n">
        <v>4697.60244</v>
      </c>
      <c r="S501" s="29" t="n">
        <v>4673.41883</v>
      </c>
      <c r="V501" s="29" t="n">
        <v>4616.93958</v>
      </c>
      <c r="AB501" s="29" t="n">
        <v>4663.82997</v>
      </c>
      <c r="AC501" s="29" t="n">
        <v>4661.92339</v>
      </c>
      <c r="AD501" s="29" t="n">
        <v>0</v>
      </c>
    </row>
    <row r="502" ht="14.25" customHeight="1" s="28">
      <c r="A502" s="29" t="n">
        <v>1778049901</v>
      </c>
      <c r="B502" s="29" t="inlineStr">
        <is>
          <t>XAUUSD</t>
        </is>
      </c>
      <c r="C502" s="29" t="inlineStr">
        <is>
          <t>M15</t>
        </is>
      </c>
      <c r="D502" s="29" t="n">
        <v>4669.38</v>
      </c>
      <c r="E502" s="29" t="n">
        <v>4717.79398</v>
      </c>
      <c r="F502" s="29" t="n">
        <v>4695.2428</v>
      </c>
      <c r="G502" s="29" t="n">
        <v>4518.59282</v>
      </c>
      <c r="H502" s="29" t="n">
        <v>4596.05595</v>
      </c>
      <c r="I502" s="29" t="n">
        <v>4755.40355</v>
      </c>
      <c r="J502" s="29" t="n">
        <v>4792.76972</v>
      </c>
      <c r="K502" s="29" t="n">
        <v>4769.97694</v>
      </c>
      <c r="L502" s="29" t="n">
        <v>4716.33597</v>
      </c>
      <c r="M502" s="29" t="n">
        <v>4718.85043</v>
      </c>
      <c r="N502" s="29" t="n">
        <v>4531.36057</v>
      </c>
      <c r="O502" s="29" t="n">
        <v>4556.93783</v>
      </c>
      <c r="Q502" s="29" t="n">
        <v>4649.78722</v>
      </c>
      <c r="R502" s="29" t="n">
        <v>4697.80488</v>
      </c>
      <c r="S502" s="29" t="n">
        <v>4673.62127</v>
      </c>
      <c r="V502" s="29" t="n">
        <v>4617.14203</v>
      </c>
      <c r="AB502" s="29" t="n">
        <v>4665.55991</v>
      </c>
      <c r="AC502" s="29" t="n">
        <v>4663.74165</v>
      </c>
      <c r="AD502" s="29" t="n">
        <v>0</v>
      </c>
    </row>
    <row r="503" ht="14.25" customHeight="1" s="28">
      <c r="A503" s="29" t="n">
        <v>1778050801</v>
      </c>
      <c r="B503" s="29" t="inlineStr">
        <is>
          <t>XAUUSD</t>
        </is>
      </c>
      <c r="C503" s="29" t="inlineStr">
        <is>
          <t>M15</t>
        </is>
      </c>
      <c r="D503" s="29" t="n">
        <v>4658.43</v>
      </c>
      <c r="E503" s="29" t="n">
        <v>4717.79398</v>
      </c>
      <c r="F503" s="29" t="n">
        <v>4695.2428</v>
      </c>
      <c r="G503" s="29" t="n">
        <v>4518.59282</v>
      </c>
      <c r="H503" s="29" t="n">
        <v>4596.05595</v>
      </c>
      <c r="I503" s="29" t="n">
        <v>4755.40355</v>
      </c>
      <c r="J503" s="29" t="n">
        <v>4792.76972</v>
      </c>
      <c r="K503" s="29" t="n">
        <v>4769.97694</v>
      </c>
      <c r="L503" s="29" t="n">
        <v>4716.33597</v>
      </c>
      <c r="M503" s="29" t="n">
        <v>4718.85043</v>
      </c>
      <c r="N503" s="29" t="n">
        <v>4531.36057</v>
      </c>
      <c r="O503" s="29" t="n">
        <v>4556.93783</v>
      </c>
      <c r="Q503" s="29" t="n">
        <v>4649.98966</v>
      </c>
      <c r="R503" s="29" t="n">
        <v>4698.00733</v>
      </c>
      <c r="S503" s="29" t="n">
        <v>4673.82372</v>
      </c>
      <c r="V503" s="29" t="n">
        <v>4617.34447</v>
      </c>
      <c r="AB503" s="29" t="n">
        <v>4667.31389</v>
      </c>
      <c r="AC503" s="29" t="n">
        <v>4665.52777</v>
      </c>
      <c r="AD503" s="29" t="n">
        <v>0</v>
      </c>
    </row>
    <row r="504" ht="14.25" customHeight="1" s="28">
      <c r="A504" s="29" t="n">
        <v>1778051701</v>
      </c>
      <c r="B504" s="29" t="inlineStr">
        <is>
          <t>XAUUSD</t>
        </is>
      </c>
      <c r="C504" s="29" t="inlineStr">
        <is>
          <t>M15</t>
        </is>
      </c>
      <c r="D504" s="29" t="n">
        <v>4667.5</v>
      </c>
      <c r="E504" s="29" t="n">
        <v>4717.79398</v>
      </c>
      <c r="F504" s="29" t="n">
        <v>4695.2428</v>
      </c>
      <c r="G504" s="29" t="n">
        <v>4518.59282</v>
      </c>
      <c r="H504" s="29" t="n">
        <v>4596.05595</v>
      </c>
      <c r="I504" s="29" t="n">
        <v>4755.40355</v>
      </c>
      <c r="J504" s="29" t="n">
        <v>4792.76972</v>
      </c>
      <c r="K504" s="29" t="n">
        <v>4769.97694</v>
      </c>
      <c r="L504" s="29" t="n">
        <v>4716.33597</v>
      </c>
      <c r="M504" s="29" t="n">
        <v>4718.85043</v>
      </c>
      <c r="N504" s="29" t="n">
        <v>4531.36057</v>
      </c>
      <c r="O504" s="29" t="n">
        <v>4556.93783</v>
      </c>
      <c r="Q504" s="29" t="n">
        <v>4650.19211</v>
      </c>
      <c r="R504" s="29" t="n">
        <v>4698.20977</v>
      </c>
      <c r="S504" s="29" t="n">
        <v>4674.02616</v>
      </c>
      <c r="V504" s="29" t="n">
        <v>4617.54692</v>
      </c>
      <c r="AB504" s="29" t="n">
        <v>4669.57105</v>
      </c>
      <c r="AC504" s="29" t="n">
        <v>4667.54941</v>
      </c>
      <c r="AD504" s="29" t="n">
        <v>0</v>
      </c>
    </row>
    <row r="505" ht="14.25" customHeight="1" s="28">
      <c r="A505" s="29" t="n">
        <v>1778052601</v>
      </c>
      <c r="B505" s="29" t="inlineStr">
        <is>
          <t>XAUUSD</t>
        </is>
      </c>
      <c r="C505" s="29" t="inlineStr">
        <is>
          <t>M15</t>
        </is>
      </c>
      <c r="D505" s="29" t="n">
        <v>4670.18</v>
      </c>
      <c r="E505" s="29" t="n">
        <v>4717.79398</v>
      </c>
      <c r="F505" s="29" t="n">
        <v>4695.2428</v>
      </c>
      <c r="G505" s="29" t="n">
        <v>4518.59282</v>
      </c>
      <c r="H505" s="29" t="n">
        <v>4596.05595</v>
      </c>
      <c r="I505" s="29" t="n">
        <v>4755.40355</v>
      </c>
      <c r="J505" s="29" t="n">
        <v>4792.76972</v>
      </c>
      <c r="K505" s="29" t="n">
        <v>4769.97694</v>
      </c>
      <c r="L505" s="29" t="n">
        <v>4716.33597</v>
      </c>
      <c r="M505" s="29" t="n">
        <v>4718.85043</v>
      </c>
      <c r="N505" s="29" t="n">
        <v>4531.36057</v>
      </c>
      <c r="O505" s="29" t="n">
        <v>4556.93783</v>
      </c>
      <c r="Q505" s="29" t="n">
        <v>4650.39456</v>
      </c>
      <c r="R505" s="29" t="n">
        <v>4698.41222</v>
      </c>
      <c r="S505" s="29" t="n">
        <v>4674.22861</v>
      </c>
      <c r="V505" s="29" t="n">
        <v>4617.74936</v>
      </c>
      <c r="AB505" s="29" t="n">
        <v>4672.21207</v>
      </c>
      <c r="AC505" s="29" t="n">
        <v>4669.88074</v>
      </c>
      <c r="AD505" s="29" t="n">
        <v>0</v>
      </c>
    </row>
    <row r="506" ht="14.25" customHeight="1" s="28">
      <c r="A506" s="29" t="n">
        <v>1778053501</v>
      </c>
      <c r="B506" s="29" t="inlineStr">
        <is>
          <t>XAUUSD</t>
        </is>
      </c>
      <c r="C506" s="29" t="inlineStr">
        <is>
          <t>M15</t>
        </is>
      </c>
      <c r="D506" s="29" t="n">
        <v>4681.72</v>
      </c>
      <c r="E506" s="29" t="n">
        <v>4717.79398</v>
      </c>
      <c r="F506" s="29" t="n">
        <v>4695.2428</v>
      </c>
      <c r="G506" s="29" t="n">
        <v>4518.59282</v>
      </c>
      <c r="H506" s="29" t="n">
        <v>4596.05595</v>
      </c>
      <c r="I506" s="29" t="n">
        <v>4755.40355</v>
      </c>
      <c r="J506" s="29" t="n">
        <v>4792.76972</v>
      </c>
      <c r="K506" s="29" t="n">
        <v>4769.97694</v>
      </c>
      <c r="L506" s="29" t="n">
        <v>4716.33597</v>
      </c>
      <c r="M506" s="29" t="n">
        <v>4718.85043</v>
      </c>
      <c r="N506" s="29" t="n">
        <v>4531.36057</v>
      </c>
      <c r="O506" s="29" t="n">
        <v>4556.93783</v>
      </c>
      <c r="Q506" s="29" t="n">
        <v>4650.597</v>
      </c>
      <c r="R506" s="29" t="n">
        <v>4698.61467</v>
      </c>
      <c r="S506" s="29" t="n">
        <v>4674.43105</v>
      </c>
      <c r="V506" s="29" t="n">
        <v>4617.95181</v>
      </c>
      <c r="AB506" s="29" t="n">
        <v>4675.22596</v>
      </c>
      <c r="AC506" s="29" t="n">
        <v>4672.55335</v>
      </c>
      <c r="AD506" s="29" t="n">
        <v>0</v>
      </c>
    </row>
    <row r="507" ht="14.25" customHeight="1" s="28">
      <c r="A507" s="29" t="n">
        <v>1778054401</v>
      </c>
      <c r="B507" s="29" t="inlineStr">
        <is>
          <t>XAUUSD</t>
        </is>
      </c>
      <c r="C507" s="29" t="inlineStr">
        <is>
          <t>M15</t>
        </is>
      </c>
      <c r="D507" s="29" t="n">
        <v>4679.57</v>
      </c>
      <c r="E507" s="29" t="n">
        <v>4717.79398</v>
      </c>
      <c r="F507" s="29" t="n">
        <v>4695.2428</v>
      </c>
      <c r="G507" s="29" t="n">
        <v>4518.59282</v>
      </c>
      <c r="H507" s="29" t="n">
        <v>4596.05595</v>
      </c>
      <c r="I507" s="29" t="n">
        <v>4755.40355</v>
      </c>
      <c r="J507" s="29" t="n">
        <v>4792.76972</v>
      </c>
      <c r="K507" s="29" t="n">
        <v>4769.97694</v>
      </c>
      <c r="L507" s="29" t="n">
        <v>4716.33597</v>
      </c>
      <c r="M507" s="29" t="n">
        <v>4718.85043</v>
      </c>
      <c r="N507" s="29" t="n">
        <v>4531.36057</v>
      </c>
      <c r="O507" s="29" t="n">
        <v>4556.93783</v>
      </c>
      <c r="Q507" s="29" t="n">
        <v>4650.79945</v>
      </c>
      <c r="R507" s="29" t="n">
        <v>4698.81711</v>
      </c>
      <c r="S507" s="29" t="n">
        <v>4674.6335</v>
      </c>
      <c r="V507" s="29" t="n">
        <v>4618.15426</v>
      </c>
      <c r="AB507" s="29" t="n">
        <v>4678.2929</v>
      </c>
      <c r="AC507" s="29" t="n">
        <v>4675.42313</v>
      </c>
      <c r="AD507" s="29" t="n">
        <v>0</v>
      </c>
    </row>
    <row r="508" ht="14.25" customHeight="1" s="28">
      <c r="A508" s="29" t="n">
        <v>1778055301</v>
      </c>
      <c r="B508" s="29" t="inlineStr">
        <is>
          <t>XAUUSD</t>
        </is>
      </c>
      <c r="C508" s="29" t="inlineStr">
        <is>
          <t>M15</t>
        </is>
      </c>
      <c r="D508" s="29" t="n">
        <v>4677</v>
      </c>
      <c r="E508" s="29" t="n">
        <v>4717.79398</v>
      </c>
      <c r="F508" s="29" t="n">
        <v>4695.2428</v>
      </c>
      <c r="G508" s="29" t="n">
        <v>4518.59282</v>
      </c>
      <c r="H508" s="29" t="n">
        <v>4596.05595</v>
      </c>
      <c r="I508" s="29" t="n">
        <v>4755.40355</v>
      </c>
      <c r="J508" s="29" t="n">
        <v>4792.76972</v>
      </c>
      <c r="K508" s="29" t="n">
        <v>4769.97694</v>
      </c>
      <c r="L508" s="29" t="n">
        <v>4716.33597</v>
      </c>
      <c r="M508" s="29" t="n">
        <v>4718.85043</v>
      </c>
      <c r="N508" s="29" t="n">
        <v>4531.36057</v>
      </c>
      <c r="O508" s="29" t="n">
        <v>4556.93783</v>
      </c>
      <c r="Q508" s="29" t="n">
        <v>4651.00189</v>
      </c>
      <c r="R508" s="29" t="n">
        <v>4699.01956</v>
      </c>
      <c r="S508" s="29" t="n">
        <v>4674.83595</v>
      </c>
      <c r="V508" s="29" t="n">
        <v>4618.3567</v>
      </c>
      <c r="AB508" s="29" t="n">
        <v>4681.49685</v>
      </c>
      <c r="AC508" s="29" t="n">
        <v>4678.45999</v>
      </c>
      <c r="AD508" s="29" t="n">
        <v>0</v>
      </c>
    </row>
    <row r="509" ht="14.25" customHeight="1" s="28">
      <c r="A509" s="29" t="n">
        <v>1778056201</v>
      </c>
      <c r="B509" s="29" t="inlineStr">
        <is>
          <t>XAUUSD</t>
        </is>
      </c>
      <c r="C509" s="29" t="inlineStr">
        <is>
          <t>M15</t>
        </is>
      </c>
      <c r="D509" s="29" t="n">
        <v>4677.27</v>
      </c>
      <c r="E509" s="29" t="n">
        <v>4717.79398</v>
      </c>
      <c r="F509" s="29" t="n">
        <v>4695.2428</v>
      </c>
      <c r="G509" s="29" t="n">
        <v>4518.59282</v>
      </c>
      <c r="H509" s="29" t="n">
        <v>4596.05595</v>
      </c>
      <c r="I509" s="29" t="n">
        <v>4755.40355</v>
      </c>
      <c r="J509" s="29" t="n">
        <v>4792.76972</v>
      </c>
      <c r="K509" s="29" t="n">
        <v>4769.97694</v>
      </c>
      <c r="L509" s="29" t="n">
        <v>4716.33597</v>
      </c>
      <c r="M509" s="29" t="n">
        <v>4718.85043</v>
      </c>
      <c r="N509" s="29" t="n">
        <v>4531.36057</v>
      </c>
      <c r="O509" s="29" t="n">
        <v>4556.93783</v>
      </c>
      <c r="Q509" s="29" t="n">
        <v>4651.20434</v>
      </c>
      <c r="R509" s="29" t="n">
        <v>4699.222</v>
      </c>
      <c r="S509" s="29" t="n">
        <v>4675.03839</v>
      </c>
      <c r="V509" s="29" t="n">
        <v>4618.55915</v>
      </c>
      <c r="AB509" s="29" t="n">
        <v>4684.97373</v>
      </c>
      <c r="AC509" s="29" t="n">
        <v>4681.71686</v>
      </c>
      <c r="AD509" s="29" t="n">
        <v>0</v>
      </c>
    </row>
    <row r="510" ht="14.25" customHeight="1" s="28">
      <c r="A510" s="29" t="n">
        <v>1778057101</v>
      </c>
      <c r="B510" s="29" t="inlineStr">
        <is>
          <t>XAUUSD</t>
        </is>
      </c>
      <c r="C510" s="29" t="inlineStr">
        <is>
          <t>M15</t>
        </is>
      </c>
      <c r="D510" s="29" t="n">
        <v>4700.09</v>
      </c>
      <c r="E510" s="29" t="n">
        <v>4717.79398</v>
      </c>
      <c r="F510" s="29" t="n">
        <v>4695.2428</v>
      </c>
      <c r="G510" s="29" t="n">
        <v>4518.59282</v>
      </c>
      <c r="H510" s="29" t="n">
        <v>4596.05595</v>
      </c>
      <c r="I510" s="29" t="n">
        <v>4755.40355</v>
      </c>
      <c r="J510" s="29" t="n">
        <v>4792.76972</v>
      </c>
      <c r="K510" s="29" t="n">
        <v>4769.97694</v>
      </c>
      <c r="L510" s="29" t="n">
        <v>4716.33597</v>
      </c>
      <c r="M510" s="29" t="n">
        <v>4718.85043</v>
      </c>
      <c r="N510" s="29" t="n">
        <v>4531.36057</v>
      </c>
      <c r="O510" s="29" t="n">
        <v>4556.93783</v>
      </c>
      <c r="Q510" s="29" t="n">
        <v>4651.40678</v>
      </c>
      <c r="R510" s="29" t="n">
        <v>4699.42445</v>
      </c>
      <c r="S510" s="29" t="n">
        <v>4675.24084</v>
      </c>
      <c r="V510" s="29" t="n">
        <v>4618.76159</v>
      </c>
      <c r="AB510" s="29" t="n">
        <v>4688.81314</v>
      </c>
      <c r="AC510" s="29" t="n">
        <v>4685.265</v>
      </c>
      <c r="AD510" s="29" t="n">
        <v>0</v>
      </c>
    </row>
    <row r="511" ht="14.25" customHeight="1" s="28">
      <c r="A511" s="29" t="n">
        <v>1778058001</v>
      </c>
      <c r="B511" s="29" t="inlineStr">
        <is>
          <t>XAUUSD</t>
        </is>
      </c>
      <c r="C511" s="29" t="inlineStr">
        <is>
          <t>M15</t>
        </is>
      </c>
      <c r="D511" s="29" t="n">
        <v>4695.69</v>
      </c>
      <c r="E511" s="29" t="n">
        <v>4717.79398</v>
      </c>
      <c r="F511" s="29" t="n">
        <v>4695.2428</v>
      </c>
      <c r="G511" s="29" t="n">
        <v>4518.59282</v>
      </c>
      <c r="H511" s="29" t="n">
        <v>4596.05595</v>
      </c>
      <c r="I511" s="29" t="n">
        <v>4755.40355</v>
      </c>
      <c r="J511" s="29" t="n">
        <v>4792.76972</v>
      </c>
      <c r="K511" s="29" t="n">
        <v>4769.97694</v>
      </c>
      <c r="L511" s="29" t="n">
        <v>4716.33597</v>
      </c>
      <c r="M511" s="29" t="n">
        <v>4718.85043</v>
      </c>
      <c r="N511" s="29" t="n">
        <v>4531.36057</v>
      </c>
      <c r="O511" s="29" t="n">
        <v>4556.93783</v>
      </c>
      <c r="Q511" s="29" t="n">
        <v>4651.60923</v>
      </c>
      <c r="R511" s="29" t="n">
        <v>4699.62689</v>
      </c>
      <c r="S511" s="29" t="n">
        <v>4675.44328</v>
      </c>
      <c r="V511" s="29" t="n">
        <v>4618.96404</v>
      </c>
      <c r="AB511" s="29" t="n">
        <v>4692.4419</v>
      </c>
      <c r="AC511" s="29" t="n">
        <v>4688.85345</v>
      </c>
      <c r="AD511" s="29" t="n">
        <v>0</v>
      </c>
    </row>
    <row r="512" ht="14.25" customHeight="1" s="28">
      <c r="A512" s="29" t="n">
        <v>1778058901</v>
      </c>
      <c r="B512" s="29" t="inlineStr">
        <is>
          <t>XAUUSD</t>
        </is>
      </c>
      <c r="C512" s="29" t="inlineStr">
        <is>
          <t>M15</t>
        </is>
      </c>
      <c r="D512" s="29" t="n">
        <v>4700.12</v>
      </c>
      <c r="E512" s="29" t="n">
        <v>4717.79398</v>
      </c>
      <c r="F512" s="29" t="n">
        <v>4695.2428</v>
      </c>
      <c r="G512" s="29" t="n">
        <v>4518.59282</v>
      </c>
      <c r="H512" s="29" t="n">
        <v>4596.05595</v>
      </c>
      <c r="I512" s="29" t="n">
        <v>4755.40355</v>
      </c>
      <c r="J512" s="29" t="n">
        <v>4792.76972</v>
      </c>
      <c r="K512" s="29" t="n">
        <v>4769.97694</v>
      </c>
      <c r="L512" s="29" t="n">
        <v>4716.33597</v>
      </c>
      <c r="M512" s="29" t="n">
        <v>4718.85043</v>
      </c>
      <c r="N512" s="29" t="n">
        <v>4531.36057</v>
      </c>
      <c r="O512" s="29" t="n">
        <v>4556.93783</v>
      </c>
      <c r="Q512" s="29" t="n">
        <v>4651.81168</v>
      </c>
      <c r="R512" s="29" t="n">
        <v>4699.82934</v>
      </c>
      <c r="S512" s="29" t="n">
        <v>4675.64573</v>
      </c>
      <c r="V512" s="29" t="n">
        <v>4619.16648</v>
      </c>
      <c r="AB512" s="29" t="n">
        <v>4696.08898</v>
      </c>
      <c r="AC512" s="29" t="n">
        <v>4692.47122</v>
      </c>
      <c r="AD512" s="29" t="n">
        <v>0</v>
      </c>
    </row>
    <row r="513" ht="14.25" customHeight="1" s="28">
      <c r="A513" s="29" t="n">
        <v>1778059801</v>
      </c>
      <c r="B513" s="29" t="inlineStr">
        <is>
          <t>XAUUSD</t>
        </is>
      </c>
      <c r="C513" s="29" t="inlineStr">
        <is>
          <t>M15</t>
        </is>
      </c>
      <c r="D513" s="29" t="n">
        <v>4696.04</v>
      </c>
      <c r="E513" s="29" t="n">
        <v>4717.79398</v>
      </c>
      <c r="F513" s="29" t="n">
        <v>4695.2428</v>
      </c>
      <c r="G513" s="29" t="n">
        <v>4518.59282</v>
      </c>
      <c r="H513" s="29" t="n">
        <v>4596.05595</v>
      </c>
      <c r="I513" s="29" t="n">
        <v>4755.40355</v>
      </c>
      <c r="J513" s="29" t="n">
        <v>4792.76972</v>
      </c>
      <c r="K513" s="29" t="n">
        <v>4769.97694</v>
      </c>
      <c r="L513" s="29" t="n">
        <v>4716.33597</v>
      </c>
      <c r="M513" s="29" t="n">
        <v>4718.85043</v>
      </c>
      <c r="N513" s="29" t="n">
        <v>4531.36057</v>
      </c>
      <c r="O513" s="29" t="n">
        <v>4556.93783</v>
      </c>
      <c r="Q513" s="29" t="n">
        <v>4652.01412</v>
      </c>
      <c r="R513" s="29" t="n">
        <v>4700.03179</v>
      </c>
      <c r="S513" s="29" t="n">
        <v>4675.84817</v>
      </c>
      <c r="V513" s="29" t="n">
        <v>4619.36893</v>
      </c>
      <c r="AB513" s="29" t="n">
        <v>4699.72748</v>
      </c>
      <c r="AC513" s="29" t="n">
        <v>4696.09935</v>
      </c>
      <c r="AD513" s="29" t="n">
        <v>0</v>
      </c>
    </row>
    <row r="514" ht="14.25" customHeight="1" s="28">
      <c r="A514" s="29" t="n">
        <v>1778060701</v>
      </c>
      <c r="B514" s="29" t="inlineStr">
        <is>
          <t>XAUUSD</t>
        </is>
      </c>
      <c r="C514" s="29" t="inlineStr">
        <is>
          <t>M15</t>
        </is>
      </c>
      <c r="D514" s="29" t="n">
        <v>4701.75</v>
      </c>
      <c r="E514" s="29" t="n">
        <v>4717.79398</v>
      </c>
      <c r="F514" s="29" t="n">
        <v>4695.2428</v>
      </c>
      <c r="G514" s="29" t="n">
        <v>4518.59282</v>
      </c>
      <c r="H514" s="29" t="n">
        <v>4596.05595</v>
      </c>
      <c r="I514" s="29" t="n">
        <v>4755.40355</v>
      </c>
      <c r="J514" s="29" t="n">
        <v>4792.76972</v>
      </c>
      <c r="K514" s="29" t="n">
        <v>4769.97694</v>
      </c>
      <c r="L514" s="29" t="n">
        <v>4716.33597</v>
      </c>
      <c r="M514" s="29" t="n">
        <v>4718.85043</v>
      </c>
      <c r="N514" s="29" t="n">
        <v>4531.36057</v>
      </c>
      <c r="O514" s="29" t="n">
        <v>4556.93783</v>
      </c>
      <c r="Q514" s="29" t="n">
        <v>4652.21657</v>
      </c>
      <c r="R514" s="29" t="n">
        <v>4700.23423</v>
      </c>
      <c r="S514" s="29" t="n">
        <v>4676.05062</v>
      </c>
      <c r="V514" s="29" t="n">
        <v>4619.57138</v>
      </c>
      <c r="AB514" s="29" t="n">
        <v>4703.42862</v>
      </c>
      <c r="AC514" s="29" t="n">
        <v>4699.76398</v>
      </c>
      <c r="AD514" s="29" t="n">
        <v>0</v>
      </c>
    </row>
    <row r="515" ht="14.25" customHeight="1" s="28">
      <c r="A515" s="29" t="n">
        <v>1778061601</v>
      </c>
      <c r="B515" s="29" t="inlineStr">
        <is>
          <t>XAUUSD</t>
        </is>
      </c>
      <c r="C515" s="29" t="inlineStr">
        <is>
          <t>M15</t>
        </is>
      </c>
      <c r="D515" s="29" t="n">
        <v>4698.2</v>
      </c>
      <c r="E515" s="29" t="n">
        <v>4717.79398</v>
      </c>
      <c r="F515" s="29" t="n">
        <v>4695.2428</v>
      </c>
      <c r="G515" s="29" t="n">
        <v>4518.59282</v>
      </c>
      <c r="H515" s="29" t="n">
        <v>4596.05595</v>
      </c>
      <c r="I515" s="29" t="n">
        <v>4755.40355</v>
      </c>
      <c r="J515" s="29" t="n">
        <v>4792.76972</v>
      </c>
      <c r="K515" s="29" t="n">
        <v>4769.97694</v>
      </c>
      <c r="L515" s="29" t="n">
        <v>4716.33597</v>
      </c>
      <c r="M515" s="29" t="n">
        <v>4718.85043</v>
      </c>
      <c r="N515" s="29" t="n">
        <v>4531.36057</v>
      </c>
      <c r="O515" s="29" t="n">
        <v>4556.93783</v>
      </c>
      <c r="Q515" s="29" t="n">
        <v>4652.41901</v>
      </c>
      <c r="R515" s="29" t="n">
        <v>4700.43668</v>
      </c>
      <c r="S515" s="29" t="n">
        <v>4676.25307</v>
      </c>
      <c r="V515" s="29" t="n">
        <v>4619.77382</v>
      </c>
      <c r="AB515" s="29" t="n">
        <v>4706.85534</v>
      </c>
      <c r="AC515" s="29" t="n">
        <v>4703.30966</v>
      </c>
      <c r="AD515" s="29" t="n">
        <v>0</v>
      </c>
    </row>
    <row r="516" ht="14.25" customHeight="1" s="28">
      <c r="A516" s="29" t="n">
        <v>1778062501</v>
      </c>
      <c r="B516" s="29" t="inlineStr">
        <is>
          <t>XAUUSD</t>
        </is>
      </c>
      <c r="C516" s="29" t="inlineStr">
        <is>
          <t>M15</t>
        </is>
      </c>
      <c r="D516" s="29" t="n">
        <v>4704.64</v>
      </c>
      <c r="E516" s="29" t="n">
        <v>4717.79398</v>
      </c>
      <c r="F516" s="29" t="n">
        <v>4695.2428</v>
      </c>
      <c r="G516" s="29" t="n">
        <v>4518.59282</v>
      </c>
      <c r="H516" s="29" t="n">
        <v>4596.05595</v>
      </c>
      <c r="I516" s="29" t="n">
        <v>4755.40355</v>
      </c>
      <c r="J516" s="29" t="n">
        <v>4792.76972</v>
      </c>
      <c r="K516" s="29" t="n">
        <v>4769.97694</v>
      </c>
      <c r="L516" s="29" t="n">
        <v>4716.33597</v>
      </c>
      <c r="M516" s="29" t="n">
        <v>4718.85043</v>
      </c>
      <c r="N516" s="29" t="n">
        <v>4531.36057</v>
      </c>
      <c r="O516" s="29" t="n">
        <v>4556.93783</v>
      </c>
      <c r="Q516" s="29" t="n">
        <v>4652.62146</v>
      </c>
      <c r="R516" s="29" t="n">
        <v>4700.63912</v>
      </c>
      <c r="S516" s="29" t="n">
        <v>4676.45551</v>
      </c>
      <c r="V516" s="29" t="n">
        <v>4619.97627</v>
      </c>
      <c r="AB516" s="29" t="n">
        <v>4709.72992</v>
      </c>
      <c r="AC516" s="29" t="n">
        <v>4706.51979</v>
      </c>
      <c r="AD516" s="29" t="n">
        <v>0</v>
      </c>
    </row>
    <row r="517" ht="14.25" customHeight="1" s="28">
      <c r="A517" s="29" t="n">
        <v>1778063401</v>
      </c>
      <c r="B517" s="29" t="inlineStr">
        <is>
          <t>XAUUSD</t>
        </is>
      </c>
      <c r="C517" s="29" t="inlineStr">
        <is>
          <t>M15</t>
        </is>
      </c>
      <c r="D517" s="29" t="n">
        <v>4714.15</v>
      </c>
      <c r="E517" s="29" t="n">
        <v>4717.79398</v>
      </c>
      <c r="F517" s="29" t="n">
        <v>4695.2428</v>
      </c>
      <c r="G517" s="29" t="n">
        <v>4518.59282</v>
      </c>
      <c r="H517" s="29" t="n">
        <v>4596.05595</v>
      </c>
      <c r="I517" s="29" t="n">
        <v>4755.40355</v>
      </c>
      <c r="J517" s="29" t="n">
        <v>4792.76972</v>
      </c>
      <c r="K517" s="29" t="n">
        <v>4769.97694</v>
      </c>
      <c r="L517" s="29" t="n">
        <v>4716.33597</v>
      </c>
      <c r="M517" s="29" t="n">
        <v>4718.85043</v>
      </c>
      <c r="N517" s="29" t="n">
        <v>4531.36057</v>
      </c>
      <c r="O517" s="29" t="n">
        <v>4556.93783</v>
      </c>
      <c r="Q517" s="29" t="n">
        <v>4652.8239</v>
      </c>
      <c r="R517" s="29" t="n">
        <v>4700.84157</v>
      </c>
      <c r="S517" s="29" t="n">
        <v>4676.65796</v>
      </c>
      <c r="V517" s="29" t="n">
        <v>4620.17871</v>
      </c>
      <c r="AB517" s="29" t="n">
        <v>4711.37138</v>
      </c>
      <c r="AC517" s="29" t="n">
        <v>4708.94559</v>
      </c>
      <c r="AD517" s="29" t="n">
        <v>0</v>
      </c>
    </row>
    <row r="518" ht="14.25" customHeight="1" s="28">
      <c r="A518" s="29" t="n">
        <v>1778064301</v>
      </c>
      <c r="B518" s="29" t="inlineStr">
        <is>
          <t>XAUUSD</t>
        </is>
      </c>
      <c r="C518" s="29" t="inlineStr">
        <is>
          <t>M15</t>
        </is>
      </c>
      <c r="D518" s="29" t="n">
        <v>4718.25</v>
      </c>
      <c r="E518" s="29" t="n">
        <v>4717.79398</v>
      </c>
      <c r="F518" s="29" t="n">
        <v>4695.2428</v>
      </c>
      <c r="G518" s="29" t="n">
        <v>4518.59282</v>
      </c>
      <c r="H518" s="29" t="n">
        <v>4596.05595</v>
      </c>
      <c r="I518" s="29" t="n">
        <v>4755.40355</v>
      </c>
      <c r="J518" s="29" t="n">
        <v>4792.76972</v>
      </c>
      <c r="K518" s="29" t="n">
        <v>4769.97694</v>
      </c>
      <c r="L518" s="29" t="n">
        <v>4716.33597</v>
      </c>
      <c r="M518" s="29" t="n">
        <v>4718.85043</v>
      </c>
      <c r="N518" s="29" t="n">
        <v>4531.36057</v>
      </c>
      <c r="O518" s="29" t="n">
        <v>4556.93783</v>
      </c>
      <c r="Q518" s="29" t="n">
        <v>4653.02635</v>
      </c>
      <c r="R518" s="29" t="n">
        <v>4701.04401</v>
      </c>
      <c r="S518" s="29" t="n">
        <v>4676.8604</v>
      </c>
      <c r="V518" s="29" t="n">
        <v>4620.38116</v>
      </c>
      <c r="Z518" s="29" t="n">
        <v>4722.76</v>
      </c>
      <c r="AB518" s="29" t="n">
        <v>4711.04928</v>
      </c>
      <c r="AC518" s="29" t="n">
        <v>4709.99743</v>
      </c>
      <c r="AD518" s="29" t="n">
        <v>0</v>
      </c>
    </row>
    <row r="519" ht="14.25" customHeight="1" s="28">
      <c r="A519" s="29" t="n">
        <v>1778065201</v>
      </c>
      <c r="B519" s="29" t="inlineStr">
        <is>
          <t>XAUUSD</t>
        </is>
      </c>
      <c r="C519" s="29" t="inlineStr">
        <is>
          <t>M15</t>
        </is>
      </c>
      <c r="D519" s="29" t="n">
        <v>4711.97</v>
      </c>
      <c r="E519" s="29" t="n">
        <v>4717.79398</v>
      </c>
      <c r="F519" s="29" t="n">
        <v>4695.2428</v>
      </c>
      <c r="G519" s="29" t="n">
        <v>4518.59282</v>
      </c>
      <c r="H519" s="29" t="n">
        <v>4596.05595</v>
      </c>
      <c r="I519" s="29" t="n">
        <v>4755.40355</v>
      </c>
      <c r="J519" s="29" t="n">
        <v>4792.76972</v>
      </c>
      <c r="K519" s="29" t="n">
        <v>4769.97694</v>
      </c>
      <c r="L519" s="29" t="n">
        <v>4716.33597</v>
      </c>
      <c r="M519" s="29" t="n">
        <v>4718.85043</v>
      </c>
      <c r="N519" s="29" t="n">
        <v>4531.36057</v>
      </c>
      <c r="O519" s="29" t="n">
        <v>4556.93783</v>
      </c>
      <c r="Q519" s="29" t="n">
        <v>4653.2288</v>
      </c>
      <c r="R519" s="29" t="n">
        <v>4701.24646</v>
      </c>
      <c r="S519" s="29" t="n">
        <v>4677.06285</v>
      </c>
      <c r="V519" s="29" t="n">
        <v>4620.5836</v>
      </c>
      <c r="AB519" s="29" t="n">
        <v>4708.41988</v>
      </c>
      <c r="AC519" s="29" t="n">
        <v>4709.20866</v>
      </c>
      <c r="AD519" s="29" t="n">
        <v>1</v>
      </c>
    </row>
    <row r="520" ht="14.25" customHeight="1" s="28">
      <c r="A520" s="29" t="n">
        <v>1778066101</v>
      </c>
      <c r="B520" s="29" t="inlineStr">
        <is>
          <t>XAUUSD</t>
        </is>
      </c>
      <c r="C520" s="29" t="inlineStr">
        <is>
          <t>M15</t>
        </is>
      </c>
      <c r="D520" s="29" t="n">
        <v>4705.6</v>
      </c>
      <c r="E520" s="29" t="n">
        <v>4717.79398</v>
      </c>
      <c r="F520" s="29" t="n">
        <v>4695.2428</v>
      </c>
      <c r="G520" s="29" t="n">
        <v>4518.59282</v>
      </c>
      <c r="H520" s="29" t="n">
        <v>4596.05595</v>
      </c>
      <c r="I520" s="29" t="n">
        <v>4755.40355</v>
      </c>
      <c r="J520" s="29" t="n">
        <v>4792.76972</v>
      </c>
      <c r="K520" s="29" t="n">
        <v>4769.97694</v>
      </c>
      <c r="L520" s="29" t="n">
        <v>4716.33597</v>
      </c>
      <c r="M520" s="29" t="n">
        <v>4718.85043</v>
      </c>
      <c r="N520" s="29" t="n">
        <v>4531.36057</v>
      </c>
      <c r="O520" s="29" t="n">
        <v>4556.93783</v>
      </c>
      <c r="Q520" s="29" t="n">
        <v>4653.43124</v>
      </c>
      <c r="R520" s="29" t="n">
        <v>4701.44891</v>
      </c>
      <c r="S520" s="29" t="n">
        <v>4677.26529</v>
      </c>
      <c r="V520" s="29" t="n">
        <v>4620.78605</v>
      </c>
      <c r="AB520" s="29" t="n">
        <v>4703.76917</v>
      </c>
      <c r="AC520" s="29" t="n">
        <v>4706.48891</v>
      </c>
      <c r="AD520" s="29" t="n">
        <v>0</v>
      </c>
    </row>
    <row r="521" ht="14.25" customHeight="1" s="28">
      <c r="A521" s="29" t="n">
        <v>1778067001</v>
      </c>
      <c r="B521" s="29" t="inlineStr">
        <is>
          <t>XAUUSD</t>
        </is>
      </c>
      <c r="C521" s="29" t="inlineStr">
        <is>
          <t>M15</t>
        </is>
      </c>
      <c r="D521" s="29" t="n">
        <v>4699.65</v>
      </c>
      <c r="E521" s="29" t="n">
        <v>4717.79398</v>
      </c>
      <c r="F521" s="29" t="n">
        <v>4695.2428</v>
      </c>
      <c r="G521" s="29" t="n">
        <v>4518.59282</v>
      </c>
      <c r="H521" s="29" t="n">
        <v>4596.05595</v>
      </c>
      <c r="I521" s="29" t="n">
        <v>4755.40355</v>
      </c>
      <c r="J521" s="29" t="n">
        <v>4792.76972</v>
      </c>
      <c r="K521" s="29" t="n">
        <v>4769.97694</v>
      </c>
      <c r="L521" s="29" t="n">
        <v>4716.33597</v>
      </c>
      <c r="M521" s="29" t="n">
        <v>4718.85043</v>
      </c>
      <c r="N521" s="29" t="n">
        <v>4531.36057</v>
      </c>
      <c r="O521" s="29" t="n">
        <v>4556.93783</v>
      </c>
      <c r="Q521" s="29" t="n">
        <v>4653.63369</v>
      </c>
      <c r="R521" s="29" t="n">
        <v>4701.65135</v>
      </c>
      <c r="S521" s="29" t="n">
        <v>4677.46774</v>
      </c>
      <c r="V521" s="29" t="n">
        <v>4620.9885</v>
      </c>
      <c r="AB521" s="29" t="n">
        <v>4697.75598</v>
      </c>
      <c r="AC521" s="29" t="n">
        <v>4702.12245</v>
      </c>
      <c r="AD521" s="29" t="n">
        <v>0</v>
      </c>
    </row>
    <row r="522" ht="14.25" customHeight="1" s="28">
      <c r="A522" s="29" t="n">
        <v>1778067901</v>
      </c>
      <c r="B522" s="29" t="inlineStr">
        <is>
          <t>XAUUSD</t>
        </is>
      </c>
      <c r="C522" s="29" t="inlineStr">
        <is>
          <t>M15</t>
        </is>
      </c>
      <c r="D522" s="29" t="n">
        <v>4692.11</v>
      </c>
      <c r="E522" s="29" t="n">
        <v>4717.79398</v>
      </c>
      <c r="F522" s="29" t="n">
        <v>4695.2428</v>
      </c>
      <c r="G522" s="29" t="n">
        <v>4518.59282</v>
      </c>
      <c r="H522" s="29" t="n">
        <v>4596.05595</v>
      </c>
      <c r="I522" s="29" t="n">
        <v>4755.40355</v>
      </c>
      <c r="J522" s="29" t="n">
        <v>4792.76972</v>
      </c>
      <c r="K522" s="29" t="n">
        <v>4769.97694</v>
      </c>
      <c r="L522" s="29" t="n">
        <v>4716.33597</v>
      </c>
      <c r="M522" s="29" t="n">
        <v>4718.85043</v>
      </c>
      <c r="N522" s="29" t="n">
        <v>4531.36057</v>
      </c>
      <c r="O522" s="29" t="n">
        <v>4556.93783</v>
      </c>
      <c r="Q522" s="29" t="n">
        <v>4653.83613</v>
      </c>
      <c r="R522" s="29" t="n">
        <v>4701.8538</v>
      </c>
      <c r="S522" s="29" t="n">
        <v>4677.67019</v>
      </c>
      <c r="V522" s="29" t="n">
        <v>4621.19094</v>
      </c>
      <c r="AB522" s="29" t="n">
        <v>4691.28591</v>
      </c>
      <c r="AC522" s="29" t="n">
        <v>4696.70418</v>
      </c>
      <c r="AD522" s="29" t="n">
        <v>0</v>
      </c>
    </row>
    <row r="523" ht="14.25" customHeight="1" s="28">
      <c r="A523" s="29" t="n">
        <v>1778068801</v>
      </c>
      <c r="B523" s="29" t="inlineStr">
        <is>
          <t>XAUUSD</t>
        </is>
      </c>
      <c r="C523" s="29" t="inlineStr">
        <is>
          <t>M15</t>
        </is>
      </c>
      <c r="D523" s="29" t="n">
        <v>4672.94</v>
      </c>
      <c r="E523" s="29" t="n">
        <v>4717.79398</v>
      </c>
      <c r="F523" s="29" t="n">
        <v>4695.2428</v>
      </c>
      <c r="G523" s="29" t="n">
        <v>4518.59282</v>
      </c>
      <c r="H523" s="29" t="n">
        <v>4596.05595</v>
      </c>
      <c r="I523" s="29" t="n">
        <v>4755.40355</v>
      </c>
      <c r="J523" s="29" t="n">
        <v>4792.76972</v>
      </c>
      <c r="K523" s="29" t="n">
        <v>4769.97694</v>
      </c>
      <c r="L523" s="29" t="n">
        <v>4716.33597</v>
      </c>
      <c r="M523" s="29" t="n">
        <v>4718.85043</v>
      </c>
      <c r="N523" s="29" t="n">
        <v>4531.36057</v>
      </c>
      <c r="O523" s="29" t="n">
        <v>4556.93783</v>
      </c>
      <c r="Q523" s="29" t="n">
        <v>4654.03858</v>
      </c>
      <c r="R523" s="29" t="n">
        <v>4702.05624</v>
      </c>
      <c r="S523" s="29" t="n">
        <v>4677.87263</v>
      </c>
      <c r="V523" s="29" t="n">
        <v>4621.39339</v>
      </c>
      <c r="AB523" s="29" t="n">
        <v>4685.46099</v>
      </c>
      <c r="AC523" s="29" t="n">
        <v>4691.08259</v>
      </c>
      <c r="AD523" s="29" t="n">
        <v>0</v>
      </c>
    </row>
    <row r="524" ht="14.25" customHeight="1" s="28">
      <c r="A524" s="29" t="n">
        <v>1778069701</v>
      </c>
      <c r="B524" s="29" t="inlineStr">
        <is>
          <t>XAUUSD</t>
        </is>
      </c>
      <c r="C524" s="29" t="inlineStr">
        <is>
          <t>M15</t>
        </is>
      </c>
      <c r="D524" s="29" t="n">
        <v>4683.36</v>
      </c>
      <c r="E524" s="29" t="n">
        <v>4717.79398</v>
      </c>
      <c r="F524" s="29" t="n">
        <v>4695.2428</v>
      </c>
      <c r="G524" s="29" t="n">
        <v>4518.59282</v>
      </c>
      <c r="H524" s="29" t="n">
        <v>4596.05595</v>
      </c>
      <c r="I524" s="29" t="n">
        <v>4755.40355</v>
      </c>
      <c r="J524" s="29" t="n">
        <v>4792.76972</v>
      </c>
      <c r="K524" s="29" t="n">
        <v>4769.97694</v>
      </c>
      <c r="L524" s="29" t="n">
        <v>4716.33597</v>
      </c>
      <c r="M524" s="29" t="n">
        <v>4718.85043</v>
      </c>
      <c r="N524" s="29" t="n">
        <v>4531.36057</v>
      </c>
      <c r="O524" s="29" t="n">
        <v>4556.93783</v>
      </c>
      <c r="Q524" s="29" t="n">
        <v>4654.24102</v>
      </c>
      <c r="R524" s="29" t="n">
        <v>4702.25869</v>
      </c>
      <c r="S524" s="29" t="n">
        <v>4678.07508</v>
      </c>
      <c r="V524" s="29" t="n">
        <v>4621.59583</v>
      </c>
      <c r="AA524" s="29" t="n">
        <v>4660.71</v>
      </c>
      <c r="AB524" s="29" t="n">
        <v>4681.66965</v>
      </c>
      <c r="AC524" s="29" t="n">
        <v>4686.37612</v>
      </c>
      <c r="AD524" s="29" t="n">
        <v>0</v>
      </c>
    </row>
    <row r="525" ht="14.25" customHeight="1" s="28">
      <c r="A525" s="29" t="n">
        <v>1778070601</v>
      </c>
      <c r="B525" s="29" t="inlineStr">
        <is>
          <t>XAUUSD</t>
        </is>
      </c>
      <c r="C525" s="29" t="inlineStr">
        <is>
          <t>M15</t>
        </is>
      </c>
      <c r="D525" s="29" t="n">
        <v>4682.83</v>
      </c>
      <c r="E525" s="29" t="n">
        <v>4717.79398</v>
      </c>
      <c r="F525" s="29" t="n">
        <v>4695.2428</v>
      </c>
      <c r="G525" s="29" t="n">
        <v>4518.59282</v>
      </c>
      <c r="H525" s="29" t="n">
        <v>4596.05595</v>
      </c>
      <c r="I525" s="29" t="n">
        <v>4755.40355</v>
      </c>
      <c r="J525" s="29" t="n">
        <v>4792.76972</v>
      </c>
      <c r="K525" s="29" t="n">
        <v>4769.97694</v>
      </c>
      <c r="L525" s="29" t="n">
        <v>4716.33597</v>
      </c>
      <c r="M525" s="29" t="n">
        <v>4718.85043</v>
      </c>
      <c r="N525" s="29" t="n">
        <v>4531.36057</v>
      </c>
      <c r="O525" s="29" t="n">
        <v>4556.93783</v>
      </c>
      <c r="Q525" s="29" t="n">
        <v>4654.44347</v>
      </c>
      <c r="R525" s="29" t="n">
        <v>4702.46113</v>
      </c>
      <c r="S525" s="29" t="n">
        <v>4678.27752</v>
      </c>
      <c r="V525" s="29" t="n">
        <v>4621.79828</v>
      </c>
      <c r="AB525" s="29" t="n">
        <v>4680.20086</v>
      </c>
      <c r="AC525" s="29" t="n">
        <v>4683.28849</v>
      </c>
      <c r="AD525" s="29" t="n">
        <v>0</v>
      </c>
    </row>
    <row r="526" ht="14.25" customHeight="1" s="28">
      <c r="A526" s="29" t="n">
        <v>1778071501</v>
      </c>
      <c r="B526" s="29" t="inlineStr">
        <is>
          <t>XAUUSD</t>
        </is>
      </c>
      <c r="C526" s="29" t="inlineStr">
        <is>
          <t>M15</t>
        </is>
      </c>
      <c r="D526" s="29" t="n">
        <v>4683.36</v>
      </c>
      <c r="E526" s="29" t="n">
        <v>4717.79398</v>
      </c>
      <c r="F526" s="29" t="n">
        <v>4695.2428</v>
      </c>
      <c r="G526" s="29" t="n">
        <v>4518.59282</v>
      </c>
      <c r="H526" s="29" t="n">
        <v>4596.05595</v>
      </c>
      <c r="I526" s="29" t="n">
        <v>4755.40355</v>
      </c>
      <c r="J526" s="29" t="n">
        <v>4792.76972</v>
      </c>
      <c r="K526" s="29" t="n">
        <v>4769.97694</v>
      </c>
      <c r="L526" s="29" t="n">
        <v>4716.33597</v>
      </c>
      <c r="M526" s="29" t="n">
        <v>4718.85043</v>
      </c>
      <c r="N526" s="29" t="n">
        <v>4531.36057</v>
      </c>
      <c r="O526" s="29" t="n">
        <v>4556.93783</v>
      </c>
      <c r="Q526" s="29" t="n">
        <v>4654.64592</v>
      </c>
      <c r="R526" s="29" t="n">
        <v>4702.66358</v>
      </c>
      <c r="S526" s="29" t="n">
        <v>4678.47997</v>
      </c>
      <c r="V526" s="29" t="n">
        <v>4622.00072</v>
      </c>
      <c r="AB526" s="29" t="n">
        <v>4681.24425</v>
      </c>
      <c r="AC526" s="29" t="n">
        <v>4682.26637</v>
      </c>
      <c r="AD526" s="29" t="n">
        <v>0</v>
      </c>
    </row>
    <row r="527" ht="14.25" customHeight="1" s="28">
      <c r="A527" s="29" t="n">
        <v>1778072401</v>
      </c>
      <c r="B527" s="29" t="inlineStr">
        <is>
          <t>XAUUSD</t>
        </is>
      </c>
      <c r="C527" s="29" t="inlineStr">
        <is>
          <t>M15</t>
        </is>
      </c>
      <c r="D527" s="29" t="n">
        <v>4683.63</v>
      </c>
      <c r="E527" s="29" t="n">
        <v>4717.79398</v>
      </c>
      <c r="F527" s="29" t="n">
        <v>4695.2428</v>
      </c>
      <c r="G527" s="29" t="n">
        <v>4518.59282</v>
      </c>
      <c r="H527" s="29" t="n">
        <v>4596.05595</v>
      </c>
      <c r="I527" s="29" t="n">
        <v>4755.40355</v>
      </c>
      <c r="J527" s="29" t="n">
        <v>4792.76972</v>
      </c>
      <c r="K527" s="29" t="n">
        <v>4769.97694</v>
      </c>
      <c r="L527" s="29" t="n">
        <v>4716.33597</v>
      </c>
      <c r="M527" s="29" t="n">
        <v>4718.85043</v>
      </c>
      <c r="N527" s="29" t="n">
        <v>4531.36057</v>
      </c>
      <c r="O527" s="29" t="n">
        <v>4556.93783</v>
      </c>
      <c r="Q527" s="29" t="n">
        <v>4654.84836</v>
      </c>
      <c r="R527" s="29" t="n">
        <v>4702.86603</v>
      </c>
      <c r="S527" s="29" t="n">
        <v>4678.68241</v>
      </c>
      <c r="V527" s="29" t="n">
        <v>4622.20317</v>
      </c>
      <c r="AB527" s="29" t="n">
        <v>4684.60591</v>
      </c>
      <c r="AC527" s="29" t="n">
        <v>4683.43614</v>
      </c>
      <c r="AD527" s="29" t="n">
        <v>1</v>
      </c>
    </row>
    <row r="528" ht="14.25" customHeight="1" s="28">
      <c r="A528" s="29" t="n">
        <v>1778073301</v>
      </c>
      <c r="B528" s="29" t="inlineStr">
        <is>
          <t>XAUUSD</t>
        </is>
      </c>
      <c r="C528" s="29" t="inlineStr">
        <is>
          <t>M15</t>
        </is>
      </c>
      <c r="D528" s="29" t="n">
        <v>4685.16</v>
      </c>
      <c r="E528" s="29" t="n">
        <v>4717.79398</v>
      </c>
      <c r="F528" s="29" t="n">
        <v>4695.2428</v>
      </c>
      <c r="G528" s="29" t="n">
        <v>4518.59282</v>
      </c>
      <c r="H528" s="29" t="n">
        <v>4596.05595</v>
      </c>
      <c r="I528" s="29" t="n">
        <v>4755.40355</v>
      </c>
      <c r="J528" s="29" t="n">
        <v>4792.76972</v>
      </c>
      <c r="K528" s="29" t="n">
        <v>4769.97694</v>
      </c>
      <c r="L528" s="29" t="n">
        <v>4716.33597</v>
      </c>
      <c r="M528" s="29" t="n">
        <v>4718.85043</v>
      </c>
      <c r="N528" s="29" t="n">
        <v>4531.36057</v>
      </c>
      <c r="O528" s="29" t="n">
        <v>4556.93783</v>
      </c>
      <c r="Q528" s="29" t="n">
        <v>4655.05081</v>
      </c>
      <c r="R528" s="29" t="n">
        <v>4703.06847</v>
      </c>
      <c r="S528" s="29" t="n">
        <v>4678.88486</v>
      </c>
      <c r="V528" s="29" t="n">
        <v>4622.40562</v>
      </c>
      <c r="AB528" s="29" t="n">
        <v>4689.71869</v>
      </c>
      <c r="AC528" s="29" t="n">
        <v>4686.57741</v>
      </c>
      <c r="AD528" s="29" t="n">
        <v>0</v>
      </c>
    </row>
    <row r="529" ht="14.25" customHeight="1" s="28">
      <c r="A529" s="29" t="n">
        <v>1778074201</v>
      </c>
      <c r="B529" s="29" t="inlineStr">
        <is>
          <t>XAUUSD</t>
        </is>
      </c>
      <c r="C529" s="29" t="inlineStr">
        <is>
          <t>M15</t>
        </is>
      </c>
      <c r="D529" s="29" t="n">
        <v>4695.33</v>
      </c>
      <c r="E529" s="29" t="n">
        <v>4717.79398</v>
      </c>
      <c r="F529" s="29" t="n">
        <v>4695.2428</v>
      </c>
      <c r="G529" s="29" t="n">
        <v>4518.59282</v>
      </c>
      <c r="H529" s="29" t="n">
        <v>4596.05595</v>
      </c>
      <c r="I529" s="29" t="n">
        <v>4755.40355</v>
      </c>
      <c r="J529" s="29" t="n">
        <v>4792.76972</v>
      </c>
      <c r="K529" s="29" t="n">
        <v>4769.97694</v>
      </c>
      <c r="L529" s="29" t="n">
        <v>4716.33597</v>
      </c>
      <c r="M529" s="29" t="n">
        <v>4718.85043</v>
      </c>
      <c r="N529" s="29" t="n">
        <v>4531.36057</v>
      </c>
      <c r="O529" s="29" t="n">
        <v>4556.93783</v>
      </c>
      <c r="Q529" s="29" t="n">
        <v>4655.25325</v>
      </c>
      <c r="R529" s="29" t="n">
        <v>4703.27092</v>
      </c>
      <c r="S529" s="29" t="n">
        <v>4679.0873</v>
      </c>
      <c r="V529" s="29" t="n">
        <v>4622.60806</v>
      </c>
      <c r="AB529" s="29" t="n">
        <v>4695.67352</v>
      </c>
      <c r="AC529" s="29" t="n">
        <v>4691.12547</v>
      </c>
      <c r="AD529" s="29" t="n">
        <v>0</v>
      </c>
    </row>
    <row r="530" ht="14.25" customHeight="1" s="28">
      <c r="A530" s="29" t="n">
        <v>1778075101</v>
      </c>
      <c r="B530" s="29" t="inlineStr">
        <is>
          <t>XAUUSD</t>
        </is>
      </c>
      <c r="C530" s="29" t="inlineStr">
        <is>
          <t>M15</t>
        </is>
      </c>
      <c r="D530" s="29" t="n">
        <v>4702.21</v>
      </c>
      <c r="E530" s="29" t="n">
        <v>4717.79398</v>
      </c>
      <c r="F530" s="29" t="n">
        <v>4695.2428</v>
      </c>
      <c r="G530" s="29" t="n">
        <v>4518.59282</v>
      </c>
      <c r="H530" s="29" t="n">
        <v>4596.05595</v>
      </c>
      <c r="I530" s="29" t="n">
        <v>4755.40355</v>
      </c>
      <c r="J530" s="29" t="n">
        <v>4792.76972</v>
      </c>
      <c r="K530" s="29" t="n">
        <v>4769.97694</v>
      </c>
      <c r="L530" s="29" t="n">
        <v>4716.33597</v>
      </c>
      <c r="M530" s="29" t="n">
        <v>4718.85043</v>
      </c>
      <c r="N530" s="29" t="n">
        <v>4531.36057</v>
      </c>
      <c r="O530" s="29" t="n">
        <v>4556.93783</v>
      </c>
      <c r="Q530" s="29" t="n">
        <v>4655.4557</v>
      </c>
      <c r="R530" s="29" t="n">
        <v>4703.47336</v>
      </c>
      <c r="S530" s="29" t="n">
        <v>4679.28975</v>
      </c>
      <c r="V530" s="29" t="n">
        <v>4622.81051</v>
      </c>
      <c r="AB530" s="29" t="n">
        <v>4701.24446</v>
      </c>
      <c r="AC530" s="29" t="n">
        <v>4696.18496</v>
      </c>
      <c r="AD530" s="29" t="n">
        <v>0</v>
      </c>
    </row>
    <row r="531" ht="14.25" customHeight="1" s="28">
      <c r="A531" s="29" t="n">
        <v>1778076001</v>
      </c>
      <c r="B531" s="29" t="inlineStr">
        <is>
          <t>XAUUSD</t>
        </is>
      </c>
      <c r="C531" s="29" t="inlineStr">
        <is>
          <t>M15</t>
        </is>
      </c>
      <c r="D531" s="29" t="n">
        <v>4711.04</v>
      </c>
      <c r="E531" s="29" t="n">
        <v>4717.79398</v>
      </c>
      <c r="F531" s="29" t="n">
        <v>4695.2428</v>
      </c>
      <c r="G531" s="29" t="n">
        <v>4518.59282</v>
      </c>
      <c r="H531" s="29" t="n">
        <v>4596.05595</v>
      </c>
      <c r="I531" s="29" t="n">
        <v>4755.40355</v>
      </c>
      <c r="J531" s="29" t="n">
        <v>4792.76972</v>
      </c>
      <c r="K531" s="29" t="n">
        <v>4769.97694</v>
      </c>
      <c r="L531" s="29" t="n">
        <v>4716.33597</v>
      </c>
      <c r="M531" s="29" t="n">
        <v>4718.85043</v>
      </c>
      <c r="N531" s="29" t="n">
        <v>4531.36057</v>
      </c>
      <c r="O531" s="29" t="n">
        <v>4556.93783</v>
      </c>
      <c r="Q531" s="29" t="n">
        <v>4655.65814</v>
      </c>
      <c r="R531" s="29" t="n">
        <v>4703.67581</v>
      </c>
      <c r="S531" s="29" t="n">
        <v>4679.4922</v>
      </c>
      <c r="V531" s="29" t="n">
        <v>4623.01295</v>
      </c>
      <c r="AB531" s="29" t="n">
        <v>4705.40606</v>
      </c>
      <c r="AC531" s="29" t="n">
        <v>4700.79551</v>
      </c>
      <c r="AD531" s="29" t="n">
        <v>0</v>
      </c>
    </row>
    <row r="532" ht="14.25" customHeight="1" s="28">
      <c r="A532" s="29" t="n">
        <v>1778076901</v>
      </c>
      <c r="B532" s="29" t="inlineStr">
        <is>
          <t>XAUUSD</t>
        </is>
      </c>
      <c r="C532" s="29" t="inlineStr">
        <is>
          <t>M15</t>
        </is>
      </c>
      <c r="D532" s="29" t="n">
        <v>4705.66</v>
      </c>
      <c r="E532" s="29" t="n">
        <v>4717.79398</v>
      </c>
      <c r="F532" s="29" t="n">
        <v>4695.2428</v>
      </c>
      <c r="G532" s="29" t="n">
        <v>4518.59282</v>
      </c>
      <c r="H532" s="29" t="n">
        <v>4596.05595</v>
      </c>
      <c r="I532" s="29" t="n">
        <v>4755.40355</v>
      </c>
      <c r="J532" s="29" t="n">
        <v>4792.76972</v>
      </c>
      <c r="K532" s="29" t="n">
        <v>4769.97694</v>
      </c>
      <c r="L532" s="29" t="n">
        <v>4716.33597</v>
      </c>
      <c r="M532" s="29" t="n">
        <v>4718.85043</v>
      </c>
      <c r="N532" s="29" t="n">
        <v>4531.36057</v>
      </c>
      <c r="O532" s="29" t="n">
        <v>4556.93783</v>
      </c>
      <c r="Q532" s="29" t="n">
        <v>4655.86059</v>
      </c>
      <c r="R532" s="29" t="n">
        <v>4703.87825</v>
      </c>
      <c r="S532" s="29" t="n">
        <v>4679.69464</v>
      </c>
      <c r="V532" s="29" t="n">
        <v>4623.2154</v>
      </c>
      <c r="AB532" s="29" t="n">
        <v>4707.38194</v>
      </c>
      <c r="AC532" s="29" t="n">
        <v>4704.08873</v>
      </c>
      <c r="AD532" s="29" t="n">
        <v>0</v>
      </c>
    </row>
    <row r="533" ht="14.25" customHeight="1" s="28">
      <c r="A533" s="29" t="n">
        <v>1778077801</v>
      </c>
      <c r="B533" s="29" t="inlineStr">
        <is>
          <t>XAUUSD</t>
        </is>
      </c>
      <c r="C533" s="29" t="inlineStr">
        <is>
          <t>M15</t>
        </is>
      </c>
      <c r="D533" s="29" t="n">
        <v>4713.4</v>
      </c>
      <c r="E533" s="29" t="n">
        <v>4717.79398</v>
      </c>
      <c r="F533" s="29" t="n">
        <v>4695.2428</v>
      </c>
      <c r="G533" s="29" t="n">
        <v>4518.59282</v>
      </c>
      <c r="H533" s="29" t="n">
        <v>4596.05595</v>
      </c>
      <c r="I533" s="29" t="n">
        <v>4755.40355</v>
      </c>
      <c r="J533" s="29" t="n">
        <v>4792.76972</v>
      </c>
      <c r="K533" s="29" t="n">
        <v>4769.97694</v>
      </c>
      <c r="L533" s="29" t="n">
        <v>4716.33597</v>
      </c>
      <c r="M533" s="29" t="n">
        <v>4718.85043</v>
      </c>
      <c r="N533" s="29" t="n">
        <v>4531.36057</v>
      </c>
      <c r="O533" s="29" t="n">
        <v>4556.93783</v>
      </c>
      <c r="Q533" s="29" t="n">
        <v>4656.06304</v>
      </c>
      <c r="R533" s="29" t="n">
        <v>4704.0807</v>
      </c>
      <c r="S533" s="29" t="n">
        <v>4679.89709</v>
      </c>
      <c r="V533" s="29" t="n">
        <v>4623.41784</v>
      </c>
      <c r="AB533" s="29" t="n">
        <v>4707.17648</v>
      </c>
      <c r="AC533" s="29" t="n">
        <v>4705.6326</v>
      </c>
      <c r="AD533" s="29" t="n">
        <v>0</v>
      </c>
    </row>
    <row r="534" ht="14.25" customHeight="1" s="28">
      <c r="A534" s="29" t="n">
        <v>1778078701</v>
      </c>
      <c r="B534" s="29" t="inlineStr">
        <is>
          <t>XAUUSD</t>
        </is>
      </c>
      <c r="C534" s="29" t="inlineStr">
        <is>
          <t>M15</t>
        </is>
      </c>
      <c r="D534" s="29" t="n">
        <v>4703.14</v>
      </c>
      <c r="E534" s="29" t="n">
        <v>4717.79398</v>
      </c>
      <c r="F534" s="29" t="n">
        <v>4695.2428</v>
      </c>
      <c r="G534" s="29" t="n">
        <v>4518.59282</v>
      </c>
      <c r="H534" s="29" t="n">
        <v>4596.05595</v>
      </c>
      <c r="I534" s="29" t="n">
        <v>4755.40355</v>
      </c>
      <c r="J534" s="29" t="n">
        <v>4792.76972</v>
      </c>
      <c r="K534" s="29" t="n">
        <v>4769.97694</v>
      </c>
      <c r="L534" s="29" t="n">
        <v>4716.33597</v>
      </c>
      <c r="M534" s="29" t="n">
        <v>4718.85043</v>
      </c>
      <c r="N534" s="29" t="n">
        <v>4531.36057</v>
      </c>
      <c r="O534" s="29" t="n">
        <v>4556.93783</v>
      </c>
      <c r="Q534" s="29" t="n">
        <v>4656.26548</v>
      </c>
      <c r="R534" s="29" t="n">
        <v>4704.28315</v>
      </c>
      <c r="S534" s="29" t="n">
        <v>4680.09953</v>
      </c>
      <c r="V534" s="29" t="n">
        <v>4623.62029</v>
      </c>
      <c r="AB534" s="29" t="n">
        <v>4704.83665</v>
      </c>
      <c r="AC534" s="29" t="n">
        <v>4705.23463</v>
      </c>
      <c r="AD534" s="29" t="n">
        <v>1</v>
      </c>
    </row>
    <row r="535" ht="14.25" customHeight="1" s="28">
      <c r="A535" s="29" t="n">
        <v>1778079601</v>
      </c>
      <c r="B535" s="29" t="inlineStr">
        <is>
          <t>XAUUSD</t>
        </is>
      </c>
      <c r="C535" s="29" t="inlineStr">
        <is>
          <t>M15</t>
        </is>
      </c>
      <c r="D535" s="29" t="n">
        <v>4696.47</v>
      </c>
      <c r="E535" s="29" t="n">
        <v>4717.79398</v>
      </c>
      <c r="F535" s="29" t="n">
        <v>4695.2428</v>
      </c>
      <c r="G535" s="29" t="n">
        <v>4518.59282</v>
      </c>
      <c r="H535" s="29" t="n">
        <v>4596.05595</v>
      </c>
      <c r="I535" s="29" t="n">
        <v>4755.40355</v>
      </c>
      <c r="J535" s="29" t="n">
        <v>4792.76972</v>
      </c>
      <c r="K535" s="29" t="n">
        <v>4769.97694</v>
      </c>
      <c r="L535" s="29" t="n">
        <v>4716.33597</v>
      </c>
      <c r="M535" s="29" t="n">
        <v>4718.85043</v>
      </c>
      <c r="N535" s="29" t="n">
        <v>4531.36057</v>
      </c>
      <c r="O535" s="29" t="n">
        <v>4556.93783</v>
      </c>
      <c r="Q535" s="29" t="n">
        <v>4656.46793</v>
      </c>
      <c r="R535" s="29" t="n">
        <v>4704.48559</v>
      </c>
      <c r="S535" s="29" t="n">
        <v>4680.30198</v>
      </c>
      <c r="V535" s="29" t="n">
        <v>4623.82274</v>
      </c>
      <c r="AB535" s="29" t="n">
        <v>4701.15277</v>
      </c>
      <c r="AC535" s="29" t="n">
        <v>4703.1937</v>
      </c>
      <c r="AD535" s="29" t="n">
        <v>0</v>
      </c>
    </row>
    <row r="536" ht="14.25" customHeight="1" s="28">
      <c r="A536" s="29" t="n">
        <v>1778080501</v>
      </c>
      <c r="B536" s="29" t="inlineStr">
        <is>
          <t>XAUUSD</t>
        </is>
      </c>
      <c r="C536" s="29" t="inlineStr">
        <is>
          <t>M15</t>
        </is>
      </c>
      <c r="D536" s="29" t="n">
        <v>4695.45</v>
      </c>
      <c r="E536" s="29" t="n">
        <v>4717.79398</v>
      </c>
      <c r="F536" s="29" t="n">
        <v>4695.2428</v>
      </c>
      <c r="G536" s="29" t="n">
        <v>4518.59282</v>
      </c>
      <c r="H536" s="29" t="n">
        <v>4596.05595</v>
      </c>
      <c r="I536" s="29" t="n">
        <v>4755.40355</v>
      </c>
      <c r="J536" s="29" t="n">
        <v>4792.76972</v>
      </c>
      <c r="K536" s="29" t="n">
        <v>4769.97694</v>
      </c>
      <c r="L536" s="29" t="n">
        <v>4716.33597</v>
      </c>
      <c r="M536" s="29" t="n">
        <v>4718.85043</v>
      </c>
      <c r="N536" s="29" t="n">
        <v>4531.36057</v>
      </c>
      <c r="O536" s="29" t="n">
        <v>4556.93783</v>
      </c>
      <c r="Q536" s="29" t="n">
        <v>4656.67037</v>
      </c>
      <c r="R536" s="29" t="n">
        <v>4704.68804</v>
      </c>
      <c r="S536" s="29" t="n">
        <v>4680.50442</v>
      </c>
      <c r="V536" s="29" t="n">
        <v>4624.02518</v>
      </c>
      <c r="AB536" s="29" t="n">
        <v>4696.94377</v>
      </c>
      <c r="AC536" s="29" t="n">
        <v>4700.06874</v>
      </c>
      <c r="AD536" s="29" t="n">
        <v>0</v>
      </c>
    </row>
    <row r="537" ht="14.25" customHeight="1" s="28">
      <c r="A537" s="29" t="n">
        <v>1778081401</v>
      </c>
      <c r="B537" s="29" t="inlineStr">
        <is>
          <t>XAUUSD</t>
        </is>
      </c>
      <c r="C537" s="29" t="inlineStr">
        <is>
          <t>M15</t>
        </is>
      </c>
      <c r="D537" s="29" t="n">
        <v>4692.77</v>
      </c>
      <c r="E537" s="29" t="n">
        <v>4717.79398</v>
      </c>
      <c r="F537" s="29" t="n">
        <v>4695.2428</v>
      </c>
      <c r="G537" s="29" t="n">
        <v>4518.59282</v>
      </c>
      <c r="H537" s="29" t="n">
        <v>4596.05595</v>
      </c>
      <c r="I537" s="29" t="n">
        <v>4755.40355</v>
      </c>
      <c r="J537" s="29" t="n">
        <v>4792.76972</v>
      </c>
      <c r="K537" s="29" t="n">
        <v>4769.97694</v>
      </c>
      <c r="L537" s="29" t="n">
        <v>4716.33597</v>
      </c>
      <c r="M537" s="29" t="n">
        <v>4718.85043</v>
      </c>
      <c r="N537" s="29" t="n">
        <v>4531.36057</v>
      </c>
      <c r="O537" s="29" t="n">
        <v>4556.93783</v>
      </c>
      <c r="Q537" s="29" t="n">
        <v>4656.87282</v>
      </c>
      <c r="R537" s="29" t="n">
        <v>4704.89048</v>
      </c>
      <c r="S537" s="29" t="n">
        <v>4680.70687</v>
      </c>
      <c r="V537" s="29" t="n">
        <v>4624.22763</v>
      </c>
      <c r="AB537" s="29" t="n">
        <v>4692.8015</v>
      </c>
      <c r="AC537" s="29" t="n">
        <v>4696.43512</v>
      </c>
      <c r="AD537" s="29" t="n">
        <v>0</v>
      </c>
    </row>
    <row r="538" ht="14.25" customHeight="1" s="28">
      <c r="A538" s="29" t="n">
        <v>1778082301</v>
      </c>
      <c r="B538" s="29" t="inlineStr">
        <is>
          <t>XAUUSD</t>
        </is>
      </c>
      <c r="C538" s="29" t="inlineStr">
        <is>
          <t>M15</t>
        </is>
      </c>
      <c r="D538" s="29" t="n">
        <v>4687.96</v>
      </c>
      <c r="E538" s="29" t="n">
        <v>4717.79398</v>
      </c>
      <c r="F538" s="29" t="n">
        <v>4695.2428</v>
      </c>
      <c r="G538" s="29" t="n">
        <v>4518.59282</v>
      </c>
      <c r="H538" s="29" t="n">
        <v>4596.05595</v>
      </c>
      <c r="I538" s="29" t="n">
        <v>4755.40355</v>
      </c>
      <c r="J538" s="29" t="n">
        <v>4792.76972</v>
      </c>
      <c r="K538" s="29" t="n">
        <v>4769.97694</v>
      </c>
      <c r="L538" s="29" t="n">
        <v>4716.33597</v>
      </c>
      <c r="M538" s="29" t="n">
        <v>4718.85043</v>
      </c>
      <c r="N538" s="29" t="n">
        <v>4531.36057</v>
      </c>
      <c r="O538" s="29" t="n">
        <v>4556.93783</v>
      </c>
      <c r="Q538" s="29" t="n">
        <v>4657.07526</v>
      </c>
      <c r="R538" s="29" t="n">
        <v>4705.09293</v>
      </c>
      <c r="S538" s="29" t="n">
        <v>4680.90932</v>
      </c>
      <c r="V538" s="29" t="n">
        <v>4624.43007</v>
      </c>
      <c r="AB538" s="29" t="n">
        <v>4689.23939</v>
      </c>
      <c r="AC538" s="29" t="n">
        <v>4692.83725</v>
      </c>
      <c r="AD538" s="29" t="n">
        <v>0</v>
      </c>
    </row>
    <row r="539" ht="14.25" customHeight="1" s="28">
      <c r="A539" s="29" t="n">
        <v>1778083201</v>
      </c>
      <c r="B539" s="29" t="inlineStr">
        <is>
          <t>XAUUSD</t>
        </is>
      </c>
      <c r="C539" s="29" t="inlineStr">
        <is>
          <t>M15</t>
        </is>
      </c>
      <c r="D539" s="29" t="n">
        <v>4683.69</v>
      </c>
      <c r="E539" s="29" t="n">
        <v>4717.79398</v>
      </c>
      <c r="F539" s="29" t="n">
        <v>4695.2428</v>
      </c>
      <c r="G539" s="29" t="n">
        <v>4518.59282</v>
      </c>
      <c r="H539" s="29" t="n">
        <v>4596.05595</v>
      </c>
      <c r="I539" s="29" t="n">
        <v>4755.40355</v>
      </c>
      <c r="J539" s="29" t="n">
        <v>4792.76972</v>
      </c>
      <c r="K539" s="29" t="n">
        <v>4769.97694</v>
      </c>
      <c r="L539" s="29" t="n">
        <v>4716.33597</v>
      </c>
      <c r="M539" s="29" t="n">
        <v>4718.85043</v>
      </c>
      <c r="N539" s="29" t="n">
        <v>4531.36057</v>
      </c>
      <c r="O539" s="29" t="n">
        <v>4556.93783</v>
      </c>
      <c r="Q539" s="29" t="n">
        <v>4657.27771</v>
      </c>
      <c r="R539" s="29" t="n">
        <v>4705.29537</v>
      </c>
      <c r="S539" s="29" t="n">
        <v>4681.11176</v>
      </c>
      <c r="V539" s="29" t="n">
        <v>4624.63252</v>
      </c>
      <c r="AB539" s="29" t="n">
        <v>4686.6271</v>
      </c>
      <c r="AC539" s="29" t="n">
        <v>4689.73218</v>
      </c>
      <c r="AD539" s="29" t="n">
        <v>0</v>
      </c>
    </row>
    <row r="540" ht="14.25" customHeight="1" s="28">
      <c r="A540" s="29" t="n">
        <v>1778084101</v>
      </c>
      <c r="B540" s="29" t="inlineStr">
        <is>
          <t>XAUUSD</t>
        </is>
      </c>
      <c r="C540" s="29" t="inlineStr">
        <is>
          <t>M15</t>
        </is>
      </c>
      <c r="D540" s="29" t="n">
        <v>4688.15</v>
      </c>
      <c r="E540" s="29" t="n">
        <v>4717.79398</v>
      </c>
      <c r="F540" s="29" t="n">
        <v>4695.2428</v>
      </c>
      <c r="G540" s="29" t="n">
        <v>4518.59282</v>
      </c>
      <c r="H540" s="29" t="n">
        <v>4596.05595</v>
      </c>
      <c r="I540" s="29" t="n">
        <v>4755.40355</v>
      </c>
      <c r="J540" s="29" t="n">
        <v>4792.76972</v>
      </c>
      <c r="K540" s="29" t="n">
        <v>4769.97694</v>
      </c>
      <c r="L540" s="29" t="n">
        <v>4716.33597</v>
      </c>
      <c r="M540" s="29" t="n">
        <v>4718.85043</v>
      </c>
      <c r="N540" s="29" t="n">
        <v>4531.36057</v>
      </c>
      <c r="O540" s="29" t="n">
        <v>4556.93783</v>
      </c>
      <c r="Q540" s="29" t="n">
        <v>4657.48016</v>
      </c>
      <c r="R540" s="29" t="n">
        <v>4705.49782</v>
      </c>
      <c r="S540" s="29" t="n">
        <v>4681.31421</v>
      </c>
      <c r="V540" s="29" t="n">
        <v>4624.83496</v>
      </c>
      <c r="AB540" s="29" t="n">
        <v>4685.06769</v>
      </c>
      <c r="AC540" s="29" t="n">
        <v>4687.39993</v>
      </c>
      <c r="AD540" s="29" t="n">
        <v>0</v>
      </c>
    </row>
    <row r="541" ht="14.25" customHeight="1" s="28">
      <c r="A541" s="29" t="n">
        <v>1778085001</v>
      </c>
      <c r="B541" s="29" t="inlineStr">
        <is>
          <t>XAUUSD</t>
        </is>
      </c>
      <c r="C541" s="29" t="inlineStr">
        <is>
          <t>M15</t>
        </is>
      </c>
      <c r="D541" s="29" t="n">
        <v>4688.73</v>
      </c>
      <c r="E541" s="29" t="n">
        <v>4717.79398</v>
      </c>
      <c r="F541" s="29" t="n">
        <v>4695.2428</v>
      </c>
      <c r="G541" s="29" t="n">
        <v>4518.59282</v>
      </c>
      <c r="H541" s="29" t="n">
        <v>4596.05595</v>
      </c>
      <c r="I541" s="29" t="n">
        <v>4755.40355</v>
      </c>
      <c r="J541" s="29" t="n">
        <v>4792.76972</v>
      </c>
      <c r="K541" s="29" t="n">
        <v>4769.97694</v>
      </c>
      <c r="L541" s="29" t="n">
        <v>4716.33597</v>
      </c>
      <c r="M541" s="29" t="n">
        <v>4718.85043</v>
      </c>
      <c r="N541" s="29" t="n">
        <v>4531.36057</v>
      </c>
      <c r="O541" s="29" t="n">
        <v>4556.93783</v>
      </c>
      <c r="Q541" s="29" t="n">
        <v>4657.6826</v>
      </c>
      <c r="R541" s="29" t="n">
        <v>4705.70027</v>
      </c>
      <c r="S541" s="29" t="n">
        <v>4681.51665</v>
      </c>
      <c r="V541" s="29" t="n">
        <v>4625.03741</v>
      </c>
      <c r="AB541" s="29" t="n">
        <v>4684.19339</v>
      </c>
      <c r="AC541" s="29" t="n">
        <v>4685.79666</v>
      </c>
      <c r="AD541" s="29" t="n">
        <v>0</v>
      </c>
    </row>
    <row r="542" ht="14.25" customHeight="1" s="28">
      <c r="A542" s="29" t="n">
        <v>1778085901</v>
      </c>
      <c r="B542" s="29" t="inlineStr">
        <is>
          <t>XAUUSD</t>
        </is>
      </c>
      <c r="C542" s="29" t="inlineStr">
        <is>
          <t>M15</t>
        </is>
      </c>
      <c r="D542" s="29" t="n">
        <v>4683.1</v>
      </c>
      <c r="E542" s="29" t="n">
        <v>4717.79398</v>
      </c>
      <c r="F542" s="29" t="n">
        <v>4695.2428</v>
      </c>
      <c r="G542" s="29" t="n">
        <v>4518.59282</v>
      </c>
      <c r="H542" s="29" t="n">
        <v>4596.05595</v>
      </c>
      <c r="I542" s="29" t="n">
        <v>4755.40355</v>
      </c>
      <c r="J542" s="29" t="n">
        <v>4792.76972</v>
      </c>
      <c r="K542" s="29" t="n">
        <v>4769.97694</v>
      </c>
      <c r="L542" s="29" t="n">
        <v>4716.33597</v>
      </c>
      <c r="M542" s="29" t="n">
        <v>4718.85043</v>
      </c>
      <c r="N542" s="29" t="n">
        <v>4531.36057</v>
      </c>
      <c r="O542" s="29" t="n">
        <v>4556.93783</v>
      </c>
      <c r="Q542" s="29" t="n">
        <v>4657.88505</v>
      </c>
      <c r="R542" s="29" t="n">
        <v>4705.90271</v>
      </c>
      <c r="S542" s="29" t="n">
        <v>4681.7191</v>
      </c>
      <c r="V542" s="29" t="n">
        <v>4625.23986</v>
      </c>
      <c r="AB542" s="29" t="n">
        <v>4683.70353</v>
      </c>
      <c r="AC542" s="29" t="n">
        <v>4684.75009</v>
      </c>
      <c r="AD542" s="29" t="n">
        <v>0</v>
      </c>
    </row>
    <row r="543" ht="14.25" customHeight="1" s="28">
      <c r="A543" s="29" t="n">
        <v>1778086801</v>
      </c>
      <c r="B543" s="29" t="inlineStr">
        <is>
          <t>XAUUSD</t>
        </is>
      </c>
      <c r="C543" s="29" t="inlineStr">
        <is>
          <t>M15</t>
        </is>
      </c>
      <c r="D543" s="29" t="n">
        <v>4685.62</v>
      </c>
      <c r="E543" s="29" t="n">
        <v>4717.79398</v>
      </c>
      <c r="F543" s="29" t="n">
        <v>4695.2428</v>
      </c>
      <c r="G543" s="29" t="n">
        <v>4518.59282</v>
      </c>
      <c r="H543" s="29" t="n">
        <v>4596.05595</v>
      </c>
      <c r="I543" s="29" t="n">
        <v>4755.40355</v>
      </c>
      <c r="J543" s="29" t="n">
        <v>4792.76972</v>
      </c>
      <c r="K543" s="29" t="n">
        <v>4769.97694</v>
      </c>
      <c r="L543" s="29" t="n">
        <v>4716.33597</v>
      </c>
      <c r="M543" s="29" t="n">
        <v>4718.85043</v>
      </c>
      <c r="N543" s="29" t="n">
        <v>4531.36057</v>
      </c>
      <c r="O543" s="29" t="n">
        <v>4556.93783</v>
      </c>
      <c r="Q543" s="29" t="n">
        <v>4658.08749</v>
      </c>
      <c r="R543" s="29" t="n">
        <v>4706.10516</v>
      </c>
      <c r="S543" s="29" t="n">
        <v>4681.92154</v>
      </c>
      <c r="V543" s="29" t="n">
        <v>4625.4423</v>
      </c>
      <c r="AB543" s="29" t="n">
        <v>4683.56216</v>
      </c>
      <c r="AC543" s="29" t="n">
        <v>4684.15613</v>
      </c>
      <c r="AD543" s="29" t="n">
        <v>0</v>
      </c>
    </row>
    <row r="544" ht="14.25" customHeight="1" s="28">
      <c r="A544" s="29" t="n">
        <v>1778087701</v>
      </c>
      <c r="B544" s="29" t="inlineStr">
        <is>
          <t>XAUUSD</t>
        </is>
      </c>
      <c r="C544" s="29" t="inlineStr">
        <is>
          <t>M15</t>
        </is>
      </c>
      <c r="D544" s="29" t="n">
        <v>4683.1</v>
      </c>
      <c r="E544" s="29" t="n">
        <v>4717.79398</v>
      </c>
      <c r="F544" s="29" t="n">
        <v>4695.2428</v>
      </c>
      <c r="G544" s="29" t="n">
        <v>4518.59282</v>
      </c>
      <c r="H544" s="29" t="n">
        <v>4596.05595</v>
      </c>
      <c r="I544" s="29" t="n">
        <v>4755.40355</v>
      </c>
      <c r="J544" s="29" t="n">
        <v>4792.76972</v>
      </c>
      <c r="K544" s="29" t="n">
        <v>4769.97694</v>
      </c>
      <c r="L544" s="29" t="n">
        <v>4716.33597</v>
      </c>
      <c r="M544" s="29" t="n">
        <v>4718.85043</v>
      </c>
      <c r="N544" s="29" t="n">
        <v>4531.36057</v>
      </c>
      <c r="O544" s="29" t="n">
        <v>4556.93783</v>
      </c>
      <c r="Q544" s="29" t="n">
        <v>4658.28994</v>
      </c>
      <c r="R544" s="29" t="n">
        <v>4706.3076</v>
      </c>
      <c r="S544" s="29" t="n">
        <v>4682.12399</v>
      </c>
      <c r="V544" s="29" t="n">
        <v>4625.64475</v>
      </c>
      <c r="AB544" s="29" t="n">
        <v>4683.6088</v>
      </c>
      <c r="AC544" s="29" t="n">
        <v>4683.88246</v>
      </c>
      <c r="AD544" s="29" t="n">
        <v>0</v>
      </c>
    </row>
    <row r="545" ht="14.25" customHeight="1" s="28">
      <c r="A545" s="29" t="n">
        <v>1778088601</v>
      </c>
      <c r="B545" s="29" t="inlineStr">
        <is>
          <t>XAUUSD</t>
        </is>
      </c>
      <c r="C545" s="29" t="inlineStr">
        <is>
          <t>M15</t>
        </is>
      </c>
      <c r="D545" s="29" t="n">
        <v>4680.64</v>
      </c>
      <c r="E545" s="29" t="n">
        <v>4717.79398</v>
      </c>
      <c r="F545" s="29" t="n">
        <v>4695.2428</v>
      </c>
      <c r="G545" s="29" t="n">
        <v>4518.59282</v>
      </c>
      <c r="H545" s="29" t="n">
        <v>4596.05595</v>
      </c>
      <c r="I545" s="29" t="n">
        <v>4755.40355</v>
      </c>
      <c r="J545" s="29" t="n">
        <v>4792.76972</v>
      </c>
      <c r="K545" s="29" t="n">
        <v>4769.97694</v>
      </c>
      <c r="L545" s="29" t="n">
        <v>4716.33597</v>
      </c>
      <c r="M545" s="29" t="n">
        <v>4718.85043</v>
      </c>
      <c r="N545" s="29" t="n">
        <v>4531.36057</v>
      </c>
      <c r="O545" s="29" t="n">
        <v>4556.93783</v>
      </c>
      <c r="Q545" s="29" t="n">
        <v>4658.49238</v>
      </c>
      <c r="R545" s="29" t="n">
        <v>4706.51005</v>
      </c>
      <c r="S545" s="29" t="n">
        <v>4682.32644</v>
      </c>
      <c r="V545" s="29" t="n">
        <v>4625.84719</v>
      </c>
      <c r="AA545" s="29" t="n">
        <v>4678.99</v>
      </c>
      <c r="AB545" s="29" t="n">
        <v>4683.92437</v>
      </c>
      <c r="AC545" s="29" t="n">
        <v>4683.90342</v>
      </c>
      <c r="AD545" s="29" t="n">
        <v>1</v>
      </c>
    </row>
    <row r="546" ht="14.25" customHeight="1" s="28">
      <c r="A546" s="29" t="n">
        <v>1778089501</v>
      </c>
      <c r="B546" s="29" t="inlineStr">
        <is>
          <t>XAUUSD</t>
        </is>
      </c>
      <c r="C546" s="29" t="inlineStr">
        <is>
          <t>M15</t>
        </is>
      </c>
      <c r="D546" s="29" t="n">
        <v>4684.13</v>
      </c>
      <c r="E546" s="29" t="n">
        <v>4717.79398</v>
      </c>
      <c r="F546" s="29" t="n">
        <v>4695.2428</v>
      </c>
      <c r="G546" s="29" t="n">
        <v>4518.59282</v>
      </c>
      <c r="H546" s="29" t="n">
        <v>4596.05595</v>
      </c>
      <c r="I546" s="29" t="n">
        <v>4755.40355</v>
      </c>
      <c r="J546" s="29" t="n">
        <v>4792.76972</v>
      </c>
      <c r="K546" s="29" t="n">
        <v>4769.97694</v>
      </c>
      <c r="L546" s="29" t="n">
        <v>4716.33597</v>
      </c>
      <c r="M546" s="29" t="n">
        <v>4718.85043</v>
      </c>
      <c r="N546" s="29" t="n">
        <v>4531.36057</v>
      </c>
      <c r="O546" s="29" t="n">
        <v>4556.93783</v>
      </c>
      <c r="Q546" s="29" t="n">
        <v>4658.69483</v>
      </c>
      <c r="R546" s="29" t="n">
        <v>4706.71249</v>
      </c>
      <c r="S546" s="29" t="n">
        <v>4682.52888</v>
      </c>
      <c r="V546" s="29" t="n">
        <v>4626.04964</v>
      </c>
      <c r="AB546" s="29" t="n">
        <v>4684.67972</v>
      </c>
      <c r="AC546" s="29" t="n">
        <v>4684.29157</v>
      </c>
      <c r="AD546" s="29" t="n">
        <v>0</v>
      </c>
    </row>
    <row r="547" ht="14.25" customHeight="1" s="28">
      <c r="A547" s="29" t="n">
        <v>1778090401</v>
      </c>
      <c r="B547" s="29" t="inlineStr">
        <is>
          <t>XAUUSD</t>
        </is>
      </c>
      <c r="C547" s="29" t="inlineStr">
        <is>
          <t>M15</t>
        </is>
      </c>
      <c r="D547" s="29" t="n">
        <v>4686.79</v>
      </c>
      <c r="E547" s="29" t="n">
        <v>4717.79398</v>
      </c>
      <c r="F547" s="29" t="n">
        <v>4695.2428</v>
      </c>
      <c r="G547" s="29" t="n">
        <v>4518.59282</v>
      </c>
      <c r="H547" s="29" t="n">
        <v>4596.05595</v>
      </c>
      <c r="I547" s="29" t="n">
        <v>4755.40355</v>
      </c>
      <c r="J547" s="29" t="n">
        <v>4792.76972</v>
      </c>
      <c r="K547" s="29" t="n">
        <v>4769.97694</v>
      </c>
      <c r="L547" s="29" t="n">
        <v>4716.33597</v>
      </c>
      <c r="M547" s="29" t="n">
        <v>4718.85043</v>
      </c>
      <c r="N547" s="29" t="n">
        <v>4531.36057</v>
      </c>
      <c r="O547" s="29" t="n">
        <v>4556.93783</v>
      </c>
      <c r="Q547" s="29" t="n">
        <v>4658.89728</v>
      </c>
      <c r="R547" s="29" t="n">
        <v>4706.91494</v>
      </c>
      <c r="S547" s="29" t="n">
        <v>4682.73133</v>
      </c>
      <c r="V547" s="29" t="n">
        <v>4626.25208</v>
      </c>
      <c r="AB547" s="29" t="n">
        <v>4685.82752</v>
      </c>
      <c r="AC547" s="29" t="n">
        <v>4685.05954</v>
      </c>
      <c r="AD547" s="29" t="n">
        <v>0</v>
      </c>
    </row>
    <row r="548" ht="14.25" customHeight="1" s="28">
      <c r="A548" s="29" t="n">
        <v>1778091301</v>
      </c>
      <c r="B548" s="29" t="inlineStr">
        <is>
          <t>XAUUSD</t>
        </is>
      </c>
      <c r="C548" s="29" t="inlineStr">
        <is>
          <t>M15</t>
        </is>
      </c>
      <c r="D548" s="29" t="n">
        <v>4687.85</v>
      </c>
      <c r="E548" s="29" t="n">
        <v>4717.79398</v>
      </c>
      <c r="F548" s="29" t="n">
        <v>4695.2428</v>
      </c>
      <c r="G548" s="29" t="n">
        <v>4518.59282</v>
      </c>
      <c r="H548" s="29" t="n">
        <v>4596.05595</v>
      </c>
      <c r="I548" s="29" t="n">
        <v>4755.40355</v>
      </c>
      <c r="J548" s="29" t="n">
        <v>4792.76972</v>
      </c>
      <c r="K548" s="29" t="n">
        <v>4769.97694</v>
      </c>
      <c r="L548" s="29" t="n">
        <v>4716.33597</v>
      </c>
      <c r="M548" s="29" t="n">
        <v>4718.85043</v>
      </c>
      <c r="N548" s="29" t="n">
        <v>4531.36057</v>
      </c>
      <c r="O548" s="29" t="n">
        <v>4556.93783</v>
      </c>
      <c r="Q548" s="29" t="n">
        <v>4659.09972</v>
      </c>
      <c r="R548" s="29" t="n">
        <v>4707.11739</v>
      </c>
      <c r="S548" s="29" t="n">
        <v>4682.93377</v>
      </c>
      <c r="V548" s="29" t="n">
        <v>4626.45453</v>
      </c>
      <c r="AB548" s="29" t="n">
        <v>4687.27037</v>
      </c>
      <c r="AC548" s="29" t="n">
        <v>4686.16496</v>
      </c>
      <c r="AD548" s="29" t="n">
        <v>0</v>
      </c>
    </row>
    <row r="549" ht="14.25" customHeight="1" s="28">
      <c r="A549" s="29" t="n">
        <v>1778092201</v>
      </c>
      <c r="B549" s="29" t="inlineStr">
        <is>
          <t>XAUUSD</t>
        </is>
      </c>
      <c r="C549" s="29" t="inlineStr">
        <is>
          <t>M15</t>
        </is>
      </c>
      <c r="D549" s="29" t="n">
        <v>4686.27</v>
      </c>
      <c r="E549" s="29" t="n">
        <v>4717.79398</v>
      </c>
      <c r="F549" s="29" t="n">
        <v>4695.2428</v>
      </c>
      <c r="G549" s="29" t="n">
        <v>4518.59282</v>
      </c>
      <c r="H549" s="29" t="n">
        <v>4596.05595</v>
      </c>
      <c r="I549" s="29" t="n">
        <v>4755.40355</v>
      </c>
      <c r="J549" s="29" t="n">
        <v>4792.76972</v>
      </c>
      <c r="K549" s="29" t="n">
        <v>4769.97694</v>
      </c>
      <c r="L549" s="29" t="n">
        <v>4716.33597</v>
      </c>
      <c r="M549" s="29" t="n">
        <v>4718.85043</v>
      </c>
      <c r="N549" s="29" t="n">
        <v>4531.36057</v>
      </c>
      <c r="O549" s="29" t="n">
        <v>4556.93783</v>
      </c>
      <c r="Q549" s="29" t="n">
        <v>4659.30217</v>
      </c>
      <c r="R549" s="29" t="n">
        <v>4707.31983</v>
      </c>
      <c r="S549" s="29" t="n">
        <v>4683.13622</v>
      </c>
      <c r="V549" s="29" t="n">
        <v>4626.65698</v>
      </c>
      <c r="AB549" s="29" t="n">
        <v>4688.89683</v>
      </c>
      <c r="AC549" s="29" t="n">
        <v>4687.53089</v>
      </c>
      <c r="AD549" s="29" t="n">
        <v>0</v>
      </c>
    </row>
    <row r="550" ht="14.25" customHeight="1" s="28">
      <c r="A550" s="29" t="n">
        <v>1778093101</v>
      </c>
      <c r="B550" s="29" t="inlineStr">
        <is>
          <t>XAUUSD</t>
        </is>
      </c>
      <c r="C550" s="29" t="inlineStr">
        <is>
          <t>M15</t>
        </is>
      </c>
      <c r="D550" s="29" t="n">
        <v>4686.1</v>
      </c>
      <c r="E550" s="29" t="n">
        <v>4717.79398</v>
      </c>
      <c r="F550" s="29" t="n">
        <v>4695.2428</v>
      </c>
      <c r="G550" s="29" t="n">
        <v>4518.59282</v>
      </c>
      <c r="H550" s="29" t="n">
        <v>4596.05595</v>
      </c>
      <c r="I550" s="29" t="n">
        <v>4755.40355</v>
      </c>
      <c r="J550" s="29" t="n">
        <v>4792.76972</v>
      </c>
      <c r="K550" s="29" t="n">
        <v>4769.97694</v>
      </c>
      <c r="L550" s="29" t="n">
        <v>4716.33597</v>
      </c>
      <c r="M550" s="29" t="n">
        <v>4718.85043</v>
      </c>
      <c r="N550" s="29" t="n">
        <v>4531.36057</v>
      </c>
      <c r="O550" s="29" t="n">
        <v>4556.93783</v>
      </c>
      <c r="Q550" s="29" t="n">
        <v>4659.50461</v>
      </c>
      <c r="R550" s="29" t="n">
        <v>4707.52228</v>
      </c>
      <c r="S550" s="29" t="n">
        <v>4683.33866</v>
      </c>
      <c r="V550" s="29" t="n">
        <v>4626.85942</v>
      </c>
      <c r="AB550" s="29" t="n">
        <v>4690.63568</v>
      </c>
      <c r="AC550" s="29" t="n">
        <v>4689.08329</v>
      </c>
      <c r="AD550" s="29" t="n">
        <v>0</v>
      </c>
    </row>
    <row r="551" ht="14.25" customHeight="1" s="28">
      <c r="A551" s="29" t="n">
        <v>1778094001</v>
      </c>
      <c r="B551" s="29" t="inlineStr">
        <is>
          <t>XAUUSD</t>
        </is>
      </c>
      <c r="C551" s="29" t="inlineStr">
        <is>
          <t>M15</t>
        </is>
      </c>
      <c r="D551" s="29" t="n">
        <v>4695.28</v>
      </c>
      <c r="E551" s="29" t="n">
        <v>4717.79398</v>
      </c>
      <c r="F551" s="29" t="n">
        <v>4695.2428</v>
      </c>
      <c r="G551" s="29" t="n">
        <v>4518.59282</v>
      </c>
      <c r="H551" s="29" t="n">
        <v>4596.05595</v>
      </c>
      <c r="I551" s="29" t="n">
        <v>4755.40355</v>
      </c>
      <c r="J551" s="29" t="n">
        <v>4792.76972</v>
      </c>
      <c r="K551" s="29" t="n">
        <v>4769.97694</v>
      </c>
      <c r="L551" s="29" t="n">
        <v>4716.33597</v>
      </c>
      <c r="M551" s="29" t="n">
        <v>4718.85043</v>
      </c>
      <c r="N551" s="29" t="n">
        <v>4531.36057</v>
      </c>
      <c r="O551" s="29" t="n">
        <v>4556.93783</v>
      </c>
      <c r="Q551" s="29" t="n">
        <v>4659.70706</v>
      </c>
      <c r="R551" s="29" t="n">
        <v>4707.72472</v>
      </c>
      <c r="S551" s="29" t="n">
        <v>4683.54111</v>
      </c>
      <c r="V551" s="29" t="n">
        <v>4627.06187</v>
      </c>
      <c r="AB551" s="29" t="n">
        <v>4692.34036</v>
      </c>
      <c r="AC551" s="29" t="n">
        <v>4690.71182</v>
      </c>
      <c r="AD551" s="29" t="n">
        <v>0</v>
      </c>
    </row>
    <row r="552" ht="14.25" customHeight="1" s="28">
      <c r="A552" s="29" t="n">
        <v>1778094901</v>
      </c>
      <c r="B552" s="29" t="inlineStr">
        <is>
          <t>XAUUSD</t>
        </is>
      </c>
      <c r="C552" s="29" t="inlineStr">
        <is>
          <t>M15</t>
        </is>
      </c>
      <c r="D552" s="29" t="n">
        <v>4698.51</v>
      </c>
      <c r="E552" s="29" t="n">
        <v>4717.79398</v>
      </c>
      <c r="F552" s="29" t="n">
        <v>4695.2428</v>
      </c>
      <c r="G552" s="29" t="n">
        <v>4518.59282</v>
      </c>
      <c r="H552" s="29" t="n">
        <v>4596.05595</v>
      </c>
      <c r="I552" s="29" t="n">
        <v>4755.40355</v>
      </c>
      <c r="J552" s="29" t="n">
        <v>4792.76972</v>
      </c>
      <c r="K552" s="29" t="n">
        <v>4769.97694</v>
      </c>
      <c r="L552" s="29" t="n">
        <v>4716.33597</v>
      </c>
      <c r="M552" s="29" t="n">
        <v>4718.85043</v>
      </c>
      <c r="N552" s="29" t="n">
        <v>4531.36057</v>
      </c>
      <c r="O552" s="29" t="n">
        <v>4556.93783</v>
      </c>
      <c r="Q552" s="29" t="n">
        <v>4659.9095</v>
      </c>
      <c r="R552" s="29" t="n">
        <v>4707.92717</v>
      </c>
      <c r="S552" s="29" t="n">
        <v>4683.74356</v>
      </c>
      <c r="V552" s="29" t="n">
        <v>4627.26431</v>
      </c>
      <c r="AB552" s="29" t="n">
        <v>4693.61055</v>
      </c>
      <c r="AC552" s="29" t="n">
        <v>4692.16119</v>
      </c>
      <c r="AD552" s="29" t="n">
        <v>0</v>
      </c>
    </row>
    <row r="553" ht="14.25" customHeight="1" s="28">
      <c r="A553" s="29" t="n">
        <v>1778095801</v>
      </c>
      <c r="B553" s="29" t="inlineStr">
        <is>
          <t>XAUUSD</t>
        </is>
      </c>
      <c r="C553" s="29" t="inlineStr">
        <is>
          <t>M15</t>
        </is>
      </c>
      <c r="D553" s="29" t="n">
        <v>4695.4</v>
      </c>
      <c r="E553" s="29" t="n">
        <v>4717.79398</v>
      </c>
      <c r="F553" s="29" t="n">
        <v>4695.2428</v>
      </c>
      <c r="G553" s="29" t="n">
        <v>4518.59282</v>
      </c>
      <c r="H553" s="29" t="n">
        <v>4596.05595</v>
      </c>
      <c r="I553" s="29" t="n">
        <v>4755.40355</v>
      </c>
      <c r="J553" s="29" t="n">
        <v>4792.76972</v>
      </c>
      <c r="K553" s="29" t="n">
        <v>4769.97694</v>
      </c>
      <c r="L553" s="29" t="n">
        <v>4716.33597</v>
      </c>
      <c r="M553" s="29" t="n">
        <v>4718.85043</v>
      </c>
      <c r="N553" s="29" t="n">
        <v>4531.36057</v>
      </c>
      <c r="O553" s="29" t="n">
        <v>4556.93783</v>
      </c>
      <c r="Q553" s="29" t="n">
        <v>4660.11195</v>
      </c>
      <c r="R553" s="29" t="n">
        <v>4708.12961</v>
      </c>
      <c r="S553" s="29" t="n">
        <v>4683.946</v>
      </c>
      <c r="V553" s="29" t="n">
        <v>4627.46676</v>
      </c>
      <c r="AB553" s="29" t="n">
        <v>4694.29578</v>
      </c>
      <c r="AC553" s="29" t="n">
        <v>4693.22848</v>
      </c>
      <c r="AD553" s="29" t="n">
        <v>0</v>
      </c>
    </row>
    <row r="554" ht="14.25" customHeight="1" s="28">
      <c r="A554" s="29" t="n">
        <v>1778096701</v>
      </c>
      <c r="B554" s="29" t="inlineStr">
        <is>
          <t>XAUUSD</t>
        </is>
      </c>
      <c r="C554" s="29" t="inlineStr">
        <is>
          <t>M15</t>
        </is>
      </c>
      <c r="D554" s="29" t="n">
        <v>4692.6</v>
      </c>
      <c r="E554" s="29" t="n">
        <v>4717.79398</v>
      </c>
      <c r="F554" s="29" t="n">
        <v>4695.2428</v>
      </c>
      <c r="G554" s="29" t="n">
        <v>4518.59282</v>
      </c>
      <c r="H554" s="29" t="n">
        <v>4596.05595</v>
      </c>
      <c r="I554" s="29" t="n">
        <v>4755.40355</v>
      </c>
      <c r="J554" s="29" t="n">
        <v>4792.76972</v>
      </c>
      <c r="K554" s="29" t="n">
        <v>4769.97694</v>
      </c>
      <c r="L554" s="29" t="n">
        <v>4716.33597</v>
      </c>
      <c r="M554" s="29" t="n">
        <v>4718.85043</v>
      </c>
      <c r="N554" s="29" t="n">
        <v>4531.36057</v>
      </c>
      <c r="O554" s="29" t="n">
        <v>4556.93783</v>
      </c>
      <c r="Q554" s="29" t="n">
        <v>4660.3144</v>
      </c>
      <c r="R554" s="29" t="n">
        <v>4708.33206</v>
      </c>
      <c r="S554" s="29" t="n">
        <v>4684.14845</v>
      </c>
      <c r="V554" s="29" t="n">
        <v>4627.6692</v>
      </c>
      <c r="AB554" s="29" t="n">
        <v>4694.54766</v>
      </c>
      <c r="AC554" s="29" t="n">
        <v>4693.88807</v>
      </c>
      <c r="AD554" s="29" t="n">
        <v>0</v>
      </c>
    </row>
    <row r="555" ht="14.25" customHeight="1" s="28">
      <c r="A555" s="29" t="n">
        <v>1778097601</v>
      </c>
      <c r="B555" s="29" t="inlineStr">
        <is>
          <t>XAUUSD</t>
        </is>
      </c>
      <c r="C555" s="29" t="inlineStr">
        <is>
          <t>M15</t>
        </is>
      </c>
      <c r="D555" s="29" t="n">
        <v>4698.99</v>
      </c>
      <c r="E555" s="29" t="n">
        <v>4717.79398</v>
      </c>
      <c r="F555" s="29" t="n">
        <v>4695.2428</v>
      </c>
      <c r="G555" s="29" t="n">
        <v>4518.59282</v>
      </c>
      <c r="H555" s="29" t="n">
        <v>4596.05595</v>
      </c>
      <c r="I555" s="29" t="n">
        <v>4755.40355</v>
      </c>
      <c r="J555" s="29" t="n">
        <v>4792.76972</v>
      </c>
      <c r="K555" s="29" t="n">
        <v>4769.97694</v>
      </c>
      <c r="L555" s="29" t="n">
        <v>4716.33597</v>
      </c>
      <c r="M555" s="29" t="n">
        <v>4718.85043</v>
      </c>
      <c r="N555" s="29" t="n">
        <v>4531.36057</v>
      </c>
      <c r="O555" s="29" t="n">
        <v>4556.93783</v>
      </c>
      <c r="Q555" s="29" t="n">
        <v>4660.51684</v>
      </c>
      <c r="R555" s="29" t="n">
        <v>4708.53451</v>
      </c>
      <c r="S555" s="29" t="n">
        <v>4684.35089</v>
      </c>
      <c r="V555" s="29" t="n">
        <v>4627.87165</v>
      </c>
      <c r="AB555" s="29" t="n">
        <v>4694.54007</v>
      </c>
      <c r="AC555" s="29" t="n">
        <v>4694.21407</v>
      </c>
      <c r="AD555" s="29" t="n">
        <v>0</v>
      </c>
    </row>
    <row r="556" ht="14.25" customHeight="1" s="28">
      <c r="A556" s="29" t="n">
        <v>1778098501</v>
      </c>
      <c r="B556" s="29" t="inlineStr">
        <is>
          <t>XAUUSD</t>
        </is>
      </c>
      <c r="C556" s="29" t="inlineStr">
        <is>
          <t>M15</t>
        </is>
      </c>
      <c r="D556" s="29" t="n">
        <v>4692.65</v>
      </c>
      <c r="E556" s="29" t="n">
        <v>4717.79398</v>
      </c>
      <c r="F556" s="29" t="n">
        <v>4695.2428</v>
      </c>
      <c r="G556" s="29" t="n">
        <v>4518.59282</v>
      </c>
      <c r="H556" s="29" t="n">
        <v>4596.05595</v>
      </c>
      <c r="I556" s="29" t="n">
        <v>4755.40355</v>
      </c>
      <c r="J556" s="29" t="n">
        <v>4792.76972</v>
      </c>
      <c r="K556" s="29" t="n">
        <v>4769.97694</v>
      </c>
      <c r="L556" s="29" t="n">
        <v>4716.33597</v>
      </c>
      <c r="M556" s="29" t="n">
        <v>4718.85043</v>
      </c>
      <c r="N556" s="29" t="n">
        <v>4531.36057</v>
      </c>
      <c r="O556" s="29" t="n">
        <v>4556.93783</v>
      </c>
      <c r="Q556" s="29" t="n">
        <v>4660.71929</v>
      </c>
      <c r="R556" s="29" t="n">
        <v>4708.73695</v>
      </c>
      <c r="S556" s="29" t="n">
        <v>4684.55334</v>
      </c>
      <c r="V556" s="29" t="n">
        <v>4628.07409</v>
      </c>
      <c r="AB556" s="29" t="n">
        <v>4694.25959</v>
      </c>
      <c r="AC556" s="29" t="n">
        <v>4694.23683</v>
      </c>
      <c r="AD556" s="29" t="n">
        <v>0</v>
      </c>
    </row>
    <row r="557" ht="14.25" customHeight="1" s="28">
      <c r="A557" s="29" t="n">
        <v>1778099401</v>
      </c>
      <c r="B557" s="29" t="inlineStr">
        <is>
          <t>XAUUSD</t>
        </is>
      </c>
      <c r="C557" s="29" t="inlineStr">
        <is>
          <t>M15</t>
        </is>
      </c>
      <c r="D557" s="29" t="n">
        <v>4689.09</v>
      </c>
      <c r="E557" s="29" t="n">
        <v>4717.79398</v>
      </c>
      <c r="F557" s="29" t="n">
        <v>4695.2428</v>
      </c>
      <c r="G557" s="29" t="n">
        <v>4518.59282</v>
      </c>
      <c r="H557" s="29" t="n">
        <v>4596.05595</v>
      </c>
      <c r="I557" s="29" t="n">
        <v>4755.40355</v>
      </c>
      <c r="J557" s="29" t="n">
        <v>4792.76972</v>
      </c>
      <c r="K557" s="29" t="n">
        <v>4769.97694</v>
      </c>
      <c r="L557" s="29" t="n">
        <v>4716.33597</v>
      </c>
      <c r="M557" s="29" t="n">
        <v>4718.85043</v>
      </c>
      <c r="N557" s="29" t="n">
        <v>4531.36057</v>
      </c>
      <c r="O557" s="29" t="n">
        <v>4556.93783</v>
      </c>
      <c r="Q557" s="29" t="n">
        <v>4660.92173</v>
      </c>
      <c r="R557" s="29" t="n">
        <v>4708.9394</v>
      </c>
      <c r="S557" s="29" t="n">
        <v>4684.75578</v>
      </c>
      <c r="V557" s="29" t="n">
        <v>4628.27654</v>
      </c>
      <c r="AB557" s="29" t="n">
        <v>4694.06466</v>
      </c>
      <c r="AC557" s="29" t="n">
        <v>4694.15075</v>
      </c>
      <c r="AD557" s="29" t="n">
        <v>1</v>
      </c>
    </row>
    <row r="558" ht="14.25" customHeight="1" s="28">
      <c r="A558" s="29" t="n">
        <v>1778100301</v>
      </c>
      <c r="B558" s="29" t="inlineStr">
        <is>
          <t>XAUUSD</t>
        </is>
      </c>
      <c r="C558" s="29" t="inlineStr">
        <is>
          <t>M15</t>
        </is>
      </c>
      <c r="D558" s="29" t="n">
        <v>4690.95</v>
      </c>
      <c r="E558" s="29" t="n">
        <v>4717.79398</v>
      </c>
      <c r="F558" s="29" t="n">
        <v>4695.2428</v>
      </c>
      <c r="G558" s="29" t="n">
        <v>4518.59282</v>
      </c>
      <c r="H558" s="29" t="n">
        <v>4596.05595</v>
      </c>
      <c r="I558" s="29" t="n">
        <v>4755.40355</v>
      </c>
      <c r="J558" s="29" t="n">
        <v>4792.76972</v>
      </c>
      <c r="K558" s="29" t="n">
        <v>4769.97694</v>
      </c>
      <c r="L558" s="29" t="n">
        <v>4716.33597</v>
      </c>
      <c r="M558" s="29" t="n">
        <v>4718.85043</v>
      </c>
      <c r="N558" s="29" t="n">
        <v>4531.36057</v>
      </c>
      <c r="O558" s="29" t="n">
        <v>4556.93783</v>
      </c>
      <c r="Q558" s="29" t="n">
        <v>4661.12418</v>
      </c>
      <c r="R558" s="29" t="n">
        <v>4709.14184</v>
      </c>
      <c r="S558" s="29" t="n">
        <v>4684.95823</v>
      </c>
      <c r="V558" s="29" t="n">
        <v>4628.47899</v>
      </c>
      <c r="AB558" s="29" t="n">
        <v>4694.181</v>
      </c>
      <c r="AC558" s="29" t="n">
        <v>4694.16587</v>
      </c>
      <c r="AD558" s="29" t="n">
        <v>1</v>
      </c>
    </row>
    <row r="559" ht="14.25" customHeight="1" s="28">
      <c r="A559" s="29" t="n">
        <v>1778104801</v>
      </c>
      <c r="B559" s="29" t="inlineStr">
        <is>
          <t>XAUUSD</t>
        </is>
      </c>
      <c r="C559" s="29" t="inlineStr">
        <is>
          <t>M15</t>
        </is>
      </c>
      <c r="D559" s="29" t="n">
        <v>4697.18</v>
      </c>
      <c r="E559" s="29" t="n">
        <v>4717.79398</v>
      </c>
      <c r="F559" s="29" t="n">
        <v>4695.2428</v>
      </c>
      <c r="G559" s="29" t="n">
        <v>4518.59282</v>
      </c>
      <c r="H559" s="29" t="n">
        <v>4596.05595</v>
      </c>
      <c r="I559" s="29" t="n">
        <v>4755.40355</v>
      </c>
      <c r="J559" s="29" t="n">
        <v>4792.76972</v>
      </c>
      <c r="K559" s="29" t="n">
        <v>4769.97694</v>
      </c>
      <c r="L559" s="29" t="n">
        <v>4716.33597</v>
      </c>
      <c r="M559" s="29" t="n">
        <v>4718.85043</v>
      </c>
      <c r="N559" s="29" t="n">
        <v>4531.36057</v>
      </c>
      <c r="O559" s="29" t="n">
        <v>4556.93783</v>
      </c>
      <c r="Q559" s="29" t="n">
        <v>4661.32662</v>
      </c>
      <c r="R559" s="29" t="n">
        <v>4709.34429</v>
      </c>
      <c r="S559" s="29" t="n">
        <v>4685.16068</v>
      </c>
      <c r="V559" s="29" t="n">
        <v>4628.68143</v>
      </c>
      <c r="AB559" s="29" t="n">
        <v>4694.5928</v>
      </c>
      <c r="AC559" s="29" t="n">
        <v>4694.37934</v>
      </c>
      <c r="AD559" s="29" t="n">
        <v>0</v>
      </c>
    </row>
    <row r="560" ht="14.25" customHeight="1" s="28">
      <c r="A560" s="29" t="n">
        <v>1778105701</v>
      </c>
      <c r="B560" s="29" t="inlineStr">
        <is>
          <t>XAUUSD</t>
        </is>
      </c>
      <c r="C560" s="29" t="inlineStr">
        <is>
          <t>M15</t>
        </is>
      </c>
      <c r="D560" s="29" t="n">
        <v>4695.42</v>
      </c>
      <c r="E560" s="29" t="n">
        <v>4717.79398</v>
      </c>
      <c r="F560" s="29" t="n">
        <v>4695.2428</v>
      </c>
      <c r="G560" s="29" t="n">
        <v>4518.59282</v>
      </c>
      <c r="H560" s="29" t="n">
        <v>4596.05595</v>
      </c>
      <c r="I560" s="29" t="n">
        <v>4755.40355</v>
      </c>
      <c r="J560" s="29" t="n">
        <v>4792.76972</v>
      </c>
      <c r="K560" s="29" t="n">
        <v>4769.97694</v>
      </c>
      <c r="L560" s="29" t="n">
        <v>4716.33597</v>
      </c>
      <c r="M560" s="29" t="n">
        <v>4718.85043</v>
      </c>
      <c r="N560" s="29" t="n">
        <v>4531.36057</v>
      </c>
      <c r="O560" s="29" t="n">
        <v>4556.93783</v>
      </c>
      <c r="Q560" s="29" t="n">
        <v>4661.52907</v>
      </c>
      <c r="R560" s="29" t="n">
        <v>4709.54673</v>
      </c>
      <c r="S560" s="29" t="n">
        <v>4685.36312</v>
      </c>
      <c r="V560" s="29" t="n">
        <v>4628.88388</v>
      </c>
      <c r="AB560" s="29" t="n">
        <v>4695.02797</v>
      </c>
      <c r="AC560" s="29" t="n">
        <v>4694.70365</v>
      </c>
      <c r="AD560" s="29" t="n">
        <v>0</v>
      </c>
    </row>
    <row r="561" ht="14.25" customHeight="1" s="28">
      <c r="A561" s="29" t="n">
        <v>1778106601</v>
      </c>
      <c r="B561" s="29" t="inlineStr">
        <is>
          <t>XAUUSD</t>
        </is>
      </c>
      <c r="C561" s="29" t="inlineStr">
        <is>
          <t>M15</t>
        </is>
      </c>
      <c r="D561" s="29" t="n">
        <v>4698.63</v>
      </c>
      <c r="E561" s="29" t="n">
        <v>4717.79398</v>
      </c>
      <c r="F561" s="29" t="n">
        <v>4695.2428</v>
      </c>
      <c r="G561" s="29" t="n">
        <v>4518.59282</v>
      </c>
      <c r="H561" s="29" t="n">
        <v>4596.05595</v>
      </c>
      <c r="I561" s="29" t="n">
        <v>4755.40355</v>
      </c>
      <c r="J561" s="29" t="n">
        <v>4792.76972</v>
      </c>
      <c r="K561" s="29" t="n">
        <v>4769.97694</v>
      </c>
      <c r="L561" s="29" t="n">
        <v>4716.33597</v>
      </c>
      <c r="M561" s="29" t="n">
        <v>4718.85043</v>
      </c>
      <c r="N561" s="29" t="n">
        <v>4531.36057</v>
      </c>
      <c r="O561" s="29" t="n">
        <v>4556.93783</v>
      </c>
      <c r="Q561" s="29" t="n">
        <v>4661.73152</v>
      </c>
      <c r="R561" s="29" t="n">
        <v>4709.74918</v>
      </c>
      <c r="S561" s="29" t="n">
        <v>4685.56557</v>
      </c>
      <c r="V561" s="29" t="n">
        <v>4629.08632</v>
      </c>
      <c r="AB561" s="29" t="n">
        <v>4695.40277</v>
      </c>
      <c r="AC561" s="29" t="n">
        <v>4695.05321</v>
      </c>
      <c r="AD561" s="29" t="n">
        <v>0</v>
      </c>
    </row>
    <row r="562" ht="14.25" customHeight="1" s="28">
      <c r="A562" s="29" t="n">
        <v>1778107501</v>
      </c>
      <c r="B562" s="29" t="inlineStr">
        <is>
          <t>XAUUSD</t>
        </is>
      </c>
      <c r="C562" s="29" t="inlineStr">
        <is>
          <t>M15</t>
        </is>
      </c>
      <c r="D562" s="29" t="n">
        <v>4694.94</v>
      </c>
      <c r="E562" s="29" t="n">
        <v>4717.79398</v>
      </c>
      <c r="F562" s="29" t="n">
        <v>4695.2428</v>
      </c>
      <c r="G562" s="29" t="n">
        <v>4518.59282</v>
      </c>
      <c r="H562" s="29" t="n">
        <v>4596.05595</v>
      </c>
      <c r="I562" s="29" t="n">
        <v>4755.40355</v>
      </c>
      <c r="J562" s="29" t="n">
        <v>4792.76972</v>
      </c>
      <c r="K562" s="29" t="n">
        <v>4769.97694</v>
      </c>
      <c r="L562" s="29" t="n">
        <v>4716.33597</v>
      </c>
      <c r="M562" s="29" t="n">
        <v>4718.85043</v>
      </c>
      <c r="N562" s="29" t="n">
        <v>4531.36057</v>
      </c>
      <c r="O562" s="29" t="n">
        <v>4556.93783</v>
      </c>
      <c r="Q562" s="29" t="n">
        <v>4661.93396</v>
      </c>
      <c r="R562" s="29" t="n">
        <v>4709.95163</v>
      </c>
      <c r="S562" s="29" t="n">
        <v>4685.76801</v>
      </c>
      <c r="V562" s="29" t="n">
        <v>4629.28877</v>
      </c>
      <c r="AB562" s="29" t="n">
        <v>4695.48865</v>
      </c>
      <c r="AC562" s="29" t="n">
        <v>4695.27093</v>
      </c>
      <c r="AD562" s="29" t="n">
        <v>0</v>
      </c>
    </row>
    <row r="563" ht="14.25" customHeight="1" s="28">
      <c r="A563" s="29" t="n">
        <v>1778108401</v>
      </c>
      <c r="B563" s="29" t="inlineStr">
        <is>
          <t>XAUUSD</t>
        </is>
      </c>
      <c r="C563" s="29" t="inlineStr">
        <is>
          <t>M15</t>
        </is>
      </c>
      <c r="D563" s="29" t="n">
        <v>4694.41</v>
      </c>
      <c r="E563" s="29" t="n">
        <v>4717.79398</v>
      </c>
      <c r="F563" s="29" t="n">
        <v>4695.2428</v>
      </c>
      <c r="G563" s="29" t="n">
        <v>4518.59282</v>
      </c>
      <c r="H563" s="29" t="n">
        <v>4596.05595</v>
      </c>
      <c r="I563" s="29" t="n">
        <v>4755.40355</v>
      </c>
      <c r="J563" s="29" t="n">
        <v>4792.76972</v>
      </c>
      <c r="K563" s="29" t="n">
        <v>4769.97694</v>
      </c>
      <c r="L563" s="29" t="n">
        <v>4716.33597</v>
      </c>
      <c r="M563" s="29" t="n">
        <v>4718.85043</v>
      </c>
      <c r="N563" s="29" t="n">
        <v>4531.36057</v>
      </c>
      <c r="O563" s="29" t="n">
        <v>4556.93783</v>
      </c>
      <c r="Q563" s="29" t="n">
        <v>4662.13641</v>
      </c>
      <c r="R563" s="29" t="n">
        <v>4710.15407</v>
      </c>
      <c r="S563" s="29" t="n">
        <v>4685.97046</v>
      </c>
      <c r="V563" s="29" t="n">
        <v>4629.49121</v>
      </c>
      <c r="AB563" s="29" t="n">
        <v>4695.3319</v>
      </c>
      <c r="AC563" s="29" t="n">
        <v>4695.30142</v>
      </c>
      <c r="AD563" s="29" t="n">
        <v>0</v>
      </c>
    </row>
    <row r="564" ht="14.25" customHeight="1" s="28">
      <c r="A564" s="29" t="n">
        <v>1778109301</v>
      </c>
      <c r="B564" s="29" t="inlineStr">
        <is>
          <t>XAUUSD</t>
        </is>
      </c>
      <c r="C564" s="29" t="inlineStr">
        <is>
          <t>M15</t>
        </is>
      </c>
      <c r="D564" s="29" t="n">
        <v>4693.6</v>
      </c>
      <c r="E564" s="29" t="n">
        <v>4717.79398</v>
      </c>
      <c r="F564" s="29" t="n">
        <v>4695.2428</v>
      </c>
      <c r="G564" s="29" t="n">
        <v>4518.59282</v>
      </c>
      <c r="H564" s="29" t="n">
        <v>4596.05595</v>
      </c>
      <c r="I564" s="29" t="n">
        <v>4755.40355</v>
      </c>
      <c r="J564" s="29" t="n">
        <v>4792.76972</v>
      </c>
      <c r="K564" s="29" t="n">
        <v>4769.97694</v>
      </c>
      <c r="L564" s="29" t="n">
        <v>4716.33597</v>
      </c>
      <c r="M564" s="29" t="n">
        <v>4718.85043</v>
      </c>
      <c r="N564" s="29" t="n">
        <v>4531.36057</v>
      </c>
      <c r="O564" s="29" t="n">
        <v>4556.93783</v>
      </c>
      <c r="Q564" s="29" t="n">
        <v>4662.33885</v>
      </c>
      <c r="R564" s="29" t="n">
        <v>4710.35652</v>
      </c>
      <c r="S564" s="29" t="n">
        <v>4686.1729</v>
      </c>
      <c r="V564" s="29" t="n">
        <v>4629.69366</v>
      </c>
      <c r="AB564" s="29" t="n">
        <v>4694.94249</v>
      </c>
      <c r="AC564" s="29" t="n">
        <v>4695.12195</v>
      </c>
      <c r="AD564" s="29" t="n">
        <v>1</v>
      </c>
    </row>
    <row r="565" ht="14.25" customHeight="1" s="28">
      <c r="A565" s="29" t="n">
        <v>1778110201</v>
      </c>
      <c r="B565" s="29" t="inlineStr">
        <is>
          <t>XAUUSD</t>
        </is>
      </c>
      <c r="C565" s="29" t="inlineStr">
        <is>
          <t>M15</t>
        </is>
      </c>
      <c r="D565" s="29" t="n">
        <v>4693.6</v>
      </c>
      <c r="E565" s="29" t="n">
        <v>4717.79398</v>
      </c>
      <c r="F565" s="29" t="n">
        <v>4695.2428</v>
      </c>
      <c r="G565" s="29" t="n">
        <v>4518.59282</v>
      </c>
      <c r="H565" s="29" t="n">
        <v>4596.05595</v>
      </c>
      <c r="I565" s="29" t="n">
        <v>4755.40355</v>
      </c>
      <c r="J565" s="29" t="n">
        <v>4792.76972</v>
      </c>
      <c r="K565" s="29" t="n">
        <v>4769.97694</v>
      </c>
      <c r="L565" s="29" t="n">
        <v>4716.33597</v>
      </c>
      <c r="M565" s="29" t="n">
        <v>4718.85043</v>
      </c>
      <c r="N565" s="29" t="n">
        <v>4531.36057</v>
      </c>
      <c r="O565" s="29" t="n">
        <v>4556.93783</v>
      </c>
      <c r="Q565" s="29" t="n">
        <v>4662.5413</v>
      </c>
      <c r="R565" s="29" t="n">
        <v>4710.55896</v>
      </c>
      <c r="S565" s="29" t="n">
        <v>4686.37535</v>
      </c>
      <c r="V565" s="29" t="n">
        <v>4629.89611</v>
      </c>
      <c r="AB565" s="29" t="n">
        <v>4694.53213</v>
      </c>
      <c r="AC565" s="29" t="n">
        <v>4694.82704</v>
      </c>
      <c r="AD565" s="29" t="n">
        <v>0</v>
      </c>
    </row>
    <row r="566" ht="14.25" customHeight="1" s="28">
      <c r="A566" s="29" t="n">
        <v>1778111101</v>
      </c>
      <c r="B566" s="29" t="inlineStr">
        <is>
          <t>XAUUSD</t>
        </is>
      </c>
      <c r="C566" s="29" t="inlineStr">
        <is>
          <t>M15</t>
        </is>
      </c>
      <c r="D566" s="29" t="n">
        <v>4699</v>
      </c>
      <c r="E566" s="29" t="n">
        <v>4717.79398</v>
      </c>
      <c r="F566" s="29" t="n">
        <v>4695.2428</v>
      </c>
      <c r="G566" s="29" t="n">
        <v>4518.59282</v>
      </c>
      <c r="H566" s="29" t="n">
        <v>4596.05595</v>
      </c>
      <c r="I566" s="29" t="n">
        <v>4755.40355</v>
      </c>
      <c r="J566" s="29" t="n">
        <v>4792.76972</v>
      </c>
      <c r="K566" s="29" t="n">
        <v>4769.97694</v>
      </c>
      <c r="L566" s="29" t="n">
        <v>4716.33597</v>
      </c>
      <c r="M566" s="29" t="n">
        <v>4718.85043</v>
      </c>
      <c r="N566" s="29" t="n">
        <v>4531.36057</v>
      </c>
      <c r="O566" s="29" t="n">
        <v>4556.93783</v>
      </c>
      <c r="Q566" s="29" t="n">
        <v>4662.74374</v>
      </c>
      <c r="R566" s="29" t="n">
        <v>4710.76141</v>
      </c>
      <c r="S566" s="29" t="n">
        <v>4686.5778</v>
      </c>
      <c r="V566" s="29" t="n">
        <v>4630.09855</v>
      </c>
      <c r="AB566" s="29" t="n">
        <v>4694.32063</v>
      </c>
      <c r="AC566" s="29" t="n">
        <v>4694.57383</v>
      </c>
      <c r="AD566" s="29" t="n">
        <v>0</v>
      </c>
    </row>
    <row r="567" ht="14.25" customHeight="1" s="28">
      <c r="A567" s="29" t="n">
        <v>1778112001</v>
      </c>
      <c r="B567" s="29" t="inlineStr">
        <is>
          <t>XAUUSD</t>
        </is>
      </c>
      <c r="C567" s="29" t="inlineStr">
        <is>
          <t>M15</t>
        </is>
      </c>
      <c r="D567" s="29" t="n">
        <v>4699.88</v>
      </c>
      <c r="E567" s="29" t="n">
        <v>4717.79398</v>
      </c>
      <c r="F567" s="29" t="n">
        <v>4695.2428</v>
      </c>
      <c r="G567" s="29" t="n">
        <v>4518.59282</v>
      </c>
      <c r="H567" s="29" t="n">
        <v>4596.05595</v>
      </c>
      <c r="I567" s="29" t="n">
        <v>4755.40355</v>
      </c>
      <c r="J567" s="29" t="n">
        <v>4792.76972</v>
      </c>
      <c r="K567" s="29" t="n">
        <v>4769.97694</v>
      </c>
      <c r="L567" s="29" t="n">
        <v>4716.33597</v>
      </c>
      <c r="M567" s="29" t="n">
        <v>4718.85043</v>
      </c>
      <c r="N567" s="29" t="n">
        <v>4531.36057</v>
      </c>
      <c r="O567" s="29" t="n">
        <v>4556.93783</v>
      </c>
      <c r="Q567" s="29" t="n">
        <v>4662.94619</v>
      </c>
      <c r="R567" s="29" t="n">
        <v>4710.96385</v>
      </c>
      <c r="S567" s="29" t="n">
        <v>4686.78024</v>
      </c>
      <c r="V567" s="29" t="n">
        <v>4630.301</v>
      </c>
      <c r="AB567" s="29" t="n">
        <v>4694.41583</v>
      </c>
      <c r="AC567" s="29" t="n">
        <v>4694.49483</v>
      </c>
      <c r="AD567" s="29" t="n">
        <v>0</v>
      </c>
    </row>
    <row r="568" ht="14.25" customHeight="1" s="28">
      <c r="A568" s="29" t="n">
        <v>1778112901</v>
      </c>
      <c r="B568" s="29" t="inlineStr">
        <is>
          <t>XAUUSD</t>
        </is>
      </c>
      <c r="C568" s="29" t="inlineStr">
        <is>
          <t>M15</t>
        </is>
      </c>
      <c r="D568" s="29" t="n">
        <v>4692.51</v>
      </c>
      <c r="E568" s="29" t="n">
        <v>4717.79398</v>
      </c>
      <c r="F568" s="29" t="n">
        <v>4695.2428</v>
      </c>
      <c r="G568" s="29" t="n">
        <v>4518.59282</v>
      </c>
      <c r="H568" s="29" t="n">
        <v>4596.05595</v>
      </c>
      <c r="I568" s="29" t="n">
        <v>4755.40355</v>
      </c>
      <c r="J568" s="29" t="n">
        <v>4792.76972</v>
      </c>
      <c r="K568" s="29" t="n">
        <v>4769.97694</v>
      </c>
      <c r="L568" s="29" t="n">
        <v>4716.33597</v>
      </c>
      <c r="M568" s="29" t="n">
        <v>4718.85043</v>
      </c>
      <c r="N568" s="29" t="n">
        <v>4531.36057</v>
      </c>
      <c r="O568" s="29" t="n">
        <v>4556.93783</v>
      </c>
      <c r="Q568" s="29" t="n">
        <v>4663.14863</v>
      </c>
      <c r="R568" s="29" t="n">
        <v>4711.1663</v>
      </c>
      <c r="S568" s="29" t="n">
        <v>4686.98269</v>
      </c>
      <c r="V568" s="29" t="n">
        <v>4630.50344</v>
      </c>
      <c r="AB568" s="29" t="n">
        <v>4694.99582</v>
      </c>
      <c r="AC568" s="29" t="n">
        <v>4694.74533</v>
      </c>
      <c r="AD568" s="29" t="n">
        <v>1</v>
      </c>
    </row>
    <row r="569" ht="14.25" customHeight="1" s="28">
      <c r="A569" s="29" t="n">
        <v>1778113801</v>
      </c>
      <c r="B569" s="29" t="inlineStr">
        <is>
          <t>XAUUSD</t>
        </is>
      </c>
      <c r="C569" s="29" t="inlineStr">
        <is>
          <t>M15</t>
        </is>
      </c>
      <c r="D569" s="29" t="n">
        <v>4688.45</v>
      </c>
      <c r="E569" s="29" t="n">
        <v>4717.79398</v>
      </c>
      <c r="F569" s="29" t="n">
        <v>4695.2428</v>
      </c>
      <c r="G569" s="29" t="n">
        <v>4518.59282</v>
      </c>
      <c r="H569" s="29" t="n">
        <v>4596.05595</v>
      </c>
      <c r="I569" s="29" t="n">
        <v>4755.40355</v>
      </c>
      <c r="J569" s="29" t="n">
        <v>4792.76972</v>
      </c>
      <c r="K569" s="29" t="n">
        <v>4769.97694</v>
      </c>
      <c r="L569" s="29" t="n">
        <v>4716.33597</v>
      </c>
      <c r="M569" s="29" t="n">
        <v>4718.85043</v>
      </c>
      <c r="N569" s="29" t="n">
        <v>4531.36057</v>
      </c>
      <c r="O569" s="29" t="n">
        <v>4556.93783</v>
      </c>
      <c r="Q569" s="29" t="n">
        <v>4663.35108</v>
      </c>
      <c r="R569" s="29" t="n">
        <v>4711.36874</v>
      </c>
      <c r="S569" s="29" t="n">
        <v>4687.18513</v>
      </c>
      <c r="V569" s="29" t="n">
        <v>4630.70589</v>
      </c>
      <c r="AB569" s="29" t="n">
        <v>4696.38361</v>
      </c>
      <c r="AC569" s="29" t="n">
        <v>4695.56447</v>
      </c>
      <c r="AD569" s="29" t="n">
        <v>0</v>
      </c>
    </row>
    <row r="570" ht="14.25" customHeight="1" s="28">
      <c r="A570" s="29" t="n">
        <v>1778114701</v>
      </c>
      <c r="B570" s="29" t="inlineStr">
        <is>
          <t>XAUUSD</t>
        </is>
      </c>
      <c r="C570" s="29" t="inlineStr">
        <is>
          <t>M15</t>
        </is>
      </c>
      <c r="D570" s="29" t="n">
        <v>4688.57</v>
      </c>
      <c r="E570" s="29" t="n">
        <v>4717.79398</v>
      </c>
      <c r="F570" s="29" t="n">
        <v>4695.2428</v>
      </c>
      <c r="G570" s="29" t="n">
        <v>4518.59282</v>
      </c>
      <c r="H570" s="29" t="n">
        <v>4596.05595</v>
      </c>
      <c r="I570" s="29" t="n">
        <v>4755.40355</v>
      </c>
      <c r="J570" s="29" t="n">
        <v>4792.76972</v>
      </c>
      <c r="K570" s="29" t="n">
        <v>4769.97694</v>
      </c>
      <c r="L570" s="29" t="n">
        <v>4716.33597</v>
      </c>
      <c r="M570" s="29" t="n">
        <v>4718.85043</v>
      </c>
      <c r="N570" s="29" t="n">
        <v>4531.36057</v>
      </c>
      <c r="O570" s="29" t="n">
        <v>4556.93783</v>
      </c>
      <c r="Q570" s="29" t="n">
        <v>4663.55353</v>
      </c>
      <c r="R570" s="29" t="n">
        <v>4711.57119</v>
      </c>
      <c r="S570" s="29" t="n">
        <v>4687.38758</v>
      </c>
      <c r="V570" s="29" t="n">
        <v>4630.90833</v>
      </c>
      <c r="AB570" s="29" t="n">
        <v>4698.654</v>
      </c>
      <c r="AC570" s="29" t="n">
        <v>4697.10923</v>
      </c>
      <c r="AD570" s="29" t="n">
        <v>0</v>
      </c>
    </row>
    <row r="571" ht="14.25" customHeight="1" s="28">
      <c r="A571" s="29" t="n">
        <v>1778115601</v>
      </c>
      <c r="B571" s="29" t="inlineStr">
        <is>
          <t>XAUUSD</t>
        </is>
      </c>
      <c r="C571" s="29" t="inlineStr">
        <is>
          <t>M15</t>
        </is>
      </c>
      <c r="D571" s="29" t="n">
        <v>4709.88</v>
      </c>
      <c r="E571" s="29" t="n">
        <v>4717.79398</v>
      </c>
      <c r="F571" s="29" t="n">
        <v>4695.2428</v>
      </c>
      <c r="G571" s="29" t="n">
        <v>4518.59282</v>
      </c>
      <c r="H571" s="29" t="n">
        <v>4596.05595</v>
      </c>
      <c r="I571" s="29" t="n">
        <v>4755.40355</v>
      </c>
      <c r="J571" s="29" t="n">
        <v>4792.76972</v>
      </c>
      <c r="K571" s="29" t="n">
        <v>4769.97694</v>
      </c>
      <c r="L571" s="29" t="n">
        <v>4716.33597</v>
      </c>
      <c r="M571" s="29" t="n">
        <v>4718.85043</v>
      </c>
      <c r="N571" s="29" t="n">
        <v>4531.36057</v>
      </c>
      <c r="O571" s="29" t="n">
        <v>4556.93783</v>
      </c>
      <c r="Q571" s="29" t="n">
        <v>4663.75597</v>
      </c>
      <c r="R571" s="29" t="n">
        <v>4711.77364</v>
      </c>
      <c r="S571" s="29" t="n">
        <v>4687.59002</v>
      </c>
      <c r="V571" s="29" t="n">
        <v>4631.11078</v>
      </c>
      <c r="AB571" s="29" t="n">
        <v>4701.56979</v>
      </c>
      <c r="AC571" s="29" t="n">
        <v>4699.33951</v>
      </c>
      <c r="AD571" s="29" t="n">
        <v>0</v>
      </c>
    </row>
    <row r="572" ht="14.25" customHeight="1" s="28">
      <c r="A572" s="29" t="n">
        <v>1778116501</v>
      </c>
      <c r="B572" s="29" t="inlineStr">
        <is>
          <t>XAUUSD</t>
        </is>
      </c>
      <c r="C572" s="29" t="inlineStr">
        <is>
          <t>M15</t>
        </is>
      </c>
      <c r="D572" s="29" t="n">
        <v>4704.22</v>
      </c>
      <c r="E572" s="29" t="n">
        <v>4717.79398</v>
      </c>
      <c r="F572" s="29" t="n">
        <v>4695.2428</v>
      </c>
      <c r="G572" s="29" t="n">
        <v>4518.59282</v>
      </c>
      <c r="H572" s="29" t="n">
        <v>4596.05595</v>
      </c>
      <c r="I572" s="29" t="n">
        <v>4755.40355</v>
      </c>
      <c r="J572" s="29" t="n">
        <v>4792.76972</v>
      </c>
      <c r="K572" s="29" t="n">
        <v>4769.97694</v>
      </c>
      <c r="L572" s="29" t="n">
        <v>4716.33597</v>
      </c>
      <c r="M572" s="29" t="n">
        <v>4718.85043</v>
      </c>
      <c r="N572" s="29" t="n">
        <v>4531.36057</v>
      </c>
      <c r="O572" s="29" t="n">
        <v>4556.93783</v>
      </c>
      <c r="Q572" s="29" t="n">
        <v>4663.95842</v>
      </c>
      <c r="R572" s="29" t="n">
        <v>4711.97608</v>
      </c>
      <c r="S572" s="29" t="n">
        <v>4687.79247</v>
      </c>
      <c r="V572" s="29" t="n">
        <v>4631.31323</v>
      </c>
      <c r="AB572" s="29" t="n">
        <v>4704.21044</v>
      </c>
      <c r="AC572" s="29" t="n">
        <v>4701.77497</v>
      </c>
      <c r="AD572" s="29" t="n">
        <v>0</v>
      </c>
    </row>
    <row r="573" ht="14.25" customHeight="1" s="28">
      <c r="A573" s="29" t="n">
        <v>1778117401</v>
      </c>
      <c r="B573" s="29" t="inlineStr">
        <is>
          <t>XAUUSD</t>
        </is>
      </c>
      <c r="C573" s="29" t="inlineStr">
        <is>
          <t>M15</t>
        </is>
      </c>
      <c r="D573" s="29" t="n">
        <v>4712.93</v>
      </c>
      <c r="E573" s="29" t="n">
        <v>4717.79398</v>
      </c>
      <c r="F573" s="29" t="n">
        <v>4695.2428</v>
      </c>
      <c r="G573" s="29" t="n">
        <v>4518.59282</v>
      </c>
      <c r="H573" s="29" t="n">
        <v>4596.05595</v>
      </c>
      <c r="I573" s="29" t="n">
        <v>4755.40355</v>
      </c>
      <c r="J573" s="29" t="n">
        <v>4792.76972</v>
      </c>
      <c r="K573" s="29" t="n">
        <v>4769.97694</v>
      </c>
      <c r="L573" s="29" t="n">
        <v>4716.33597</v>
      </c>
      <c r="M573" s="29" t="n">
        <v>4718.85043</v>
      </c>
      <c r="N573" s="29" t="n">
        <v>4531.36057</v>
      </c>
      <c r="O573" s="29" t="n">
        <v>4556.93783</v>
      </c>
      <c r="Q573" s="29" t="n">
        <v>4664.16086</v>
      </c>
      <c r="R573" s="29" t="n">
        <v>4712.17853</v>
      </c>
      <c r="S573" s="29" t="n">
        <v>4687.99492</v>
      </c>
      <c r="V573" s="29" t="n">
        <v>4631.51567</v>
      </c>
      <c r="AB573" s="29" t="n">
        <v>4706.42706</v>
      </c>
      <c r="AC573" s="29" t="n">
        <v>4704.10102</v>
      </c>
      <c r="AD573" s="29" t="n">
        <v>0</v>
      </c>
    </row>
    <row r="574" ht="14.25" customHeight="1" s="28">
      <c r="A574" s="29" t="n">
        <v>1778118301</v>
      </c>
      <c r="B574" s="29" t="inlineStr">
        <is>
          <t>XAUUSD</t>
        </is>
      </c>
      <c r="C574" s="29" t="inlineStr">
        <is>
          <t>M15</t>
        </is>
      </c>
      <c r="D574" s="29" t="n">
        <v>4714.86</v>
      </c>
      <c r="E574" s="29" t="n">
        <v>4717.79398</v>
      </c>
      <c r="F574" s="29" t="n">
        <v>4695.2428</v>
      </c>
      <c r="G574" s="29" t="n">
        <v>4518.59282</v>
      </c>
      <c r="H574" s="29" t="n">
        <v>4596.05595</v>
      </c>
      <c r="I574" s="29" t="n">
        <v>4755.40355</v>
      </c>
      <c r="J574" s="29" t="n">
        <v>4792.76972</v>
      </c>
      <c r="K574" s="29" t="n">
        <v>4769.97694</v>
      </c>
      <c r="L574" s="29" t="n">
        <v>4716.33597</v>
      </c>
      <c r="M574" s="29" t="n">
        <v>4718.85043</v>
      </c>
      <c r="N574" s="29" t="n">
        <v>4531.36057</v>
      </c>
      <c r="O574" s="29" t="n">
        <v>4556.93783</v>
      </c>
      <c r="Q574" s="29" t="n">
        <v>4664.36331</v>
      </c>
      <c r="R574" s="29" t="n">
        <v>4712.38097</v>
      </c>
      <c r="S574" s="29" t="n">
        <v>4688.19736</v>
      </c>
      <c r="V574" s="29" t="n">
        <v>4631.71812</v>
      </c>
      <c r="Z574" s="29" t="n">
        <v>4721.44</v>
      </c>
      <c r="AB574" s="29" t="n">
        <v>4707.76158</v>
      </c>
      <c r="AC574" s="29" t="n">
        <v>4705.9313</v>
      </c>
      <c r="AD574" s="29" t="n">
        <v>0</v>
      </c>
    </row>
    <row r="575" ht="14.25" customHeight="1" s="28">
      <c r="A575" s="29" t="n">
        <v>1778119201</v>
      </c>
      <c r="B575" s="29" t="inlineStr">
        <is>
          <t>XAUUSD</t>
        </is>
      </c>
      <c r="C575" s="29" t="inlineStr">
        <is>
          <t>M15</t>
        </is>
      </c>
      <c r="D575" s="29" t="n">
        <v>4704.21</v>
      </c>
      <c r="E575" s="29" t="n">
        <v>4717.79398</v>
      </c>
      <c r="F575" s="29" t="n">
        <v>4695.2428</v>
      </c>
      <c r="G575" s="29" t="n">
        <v>4518.59282</v>
      </c>
      <c r="H575" s="29" t="n">
        <v>4596.05595</v>
      </c>
      <c r="I575" s="29" t="n">
        <v>4755.40355</v>
      </c>
      <c r="J575" s="29" t="n">
        <v>4792.76972</v>
      </c>
      <c r="K575" s="29" t="n">
        <v>4769.97694</v>
      </c>
      <c r="L575" s="29" t="n">
        <v>4716.33597</v>
      </c>
      <c r="M575" s="29" t="n">
        <v>4718.85043</v>
      </c>
      <c r="N575" s="29" t="n">
        <v>4531.36057</v>
      </c>
      <c r="O575" s="29" t="n">
        <v>4556.93783</v>
      </c>
      <c r="Q575" s="29" t="n">
        <v>4664.56575</v>
      </c>
      <c r="R575" s="29" t="n">
        <v>4712.58342</v>
      </c>
      <c r="S575" s="29" t="n">
        <v>4688.39981</v>
      </c>
      <c r="V575" s="29" t="n">
        <v>4631.92056</v>
      </c>
      <c r="AB575" s="29" t="n">
        <v>4708.11905</v>
      </c>
      <c r="AC575" s="29" t="n">
        <v>4707.02517</v>
      </c>
      <c r="AD575" s="29" t="n">
        <v>0</v>
      </c>
    </row>
    <row r="576" ht="14.25" customHeight="1" s="28">
      <c r="A576" s="29" t="n">
        <v>1778120101</v>
      </c>
      <c r="B576" s="29" t="inlineStr">
        <is>
          <t>XAUUSD</t>
        </is>
      </c>
      <c r="C576" s="29" t="inlineStr">
        <is>
          <t>M15</t>
        </is>
      </c>
      <c r="D576" s="29" t="n">
        <v>4702.84</v>
      </c>
      <c r="E576" s="29" t="n">
        <v>4717.79398</v>
      </c>
      <c r="F576" s="29" t="n">
        <v>4695.2428</v>
      </c>
      <c r="G576" s="29" t="n">
        <v>4518.59282</v>
      </c>
      <c r="H576" s="29" t="n">
        <v>4596.05595</v>
      </c>
      <c r="I576" s="29" t="n">
        <v>4755.40355</v>
      </c>
      <c r="J576" s="29" t="n">
        <v>4792.76972</v>
      </c>
      <c r="K576" s="29" t="n">
        <v>4769.97694</v>
      </c>
      <c r="L576" s="29" t="n">
        <v>4716.33597</v>
      </c>
      <c r="M576" s="29" t="n">
        <v>4718.85043</v>
      </c>
      <c r="N576" s="29" t="n">
        <v>4531.36057</v>
      </c>
      <c r="O576" s="29" t="n">
        <v>4556.93783</v>
      </c>
      <c r="Q576" s="29" t="n">
        <v>4664.7682</v>
      </c>
      <c r="R576" s="29" t="n">
        <v>4712.78586</v>
      </c>
      <c r="S576" s="29" t="n">
        <v>4688.60225</v>
      </c>
      <c r="V576" s="29" t="n">
        <v>4632.12301</v>
      </c>
      <c r="AB576" s="29" t="n">
        <v>4707.89896</v>
      </c>
      <c r="AC576" s="29" t="n">
        <v>4707.46207</v>
      </c>
      <c r="AD576" s="29" t="n">
        <v>0</v>
      </c>
    </row>
    <row r="577" ht="14.25" customHeight="1" s="28">
      <c r="A577" s="29" t="n">
        <v>1778121001</v>
      </c>
      <c r="B577" s="29" t="inlineStr">
        <is>
          <t>XAUUSD</t>
        </is>
      </c>
      <c r="C577" s="29" t="inlineStr">
        <is>
          <t>M15</t>
        </is>
      </c>
      <c r="D577" s="29" t="n">
        <v>4704.24</v>
      </c>
      <c r="E577" s="29" t="n">
        <v>4717.79398</v>
      </c>
      <c r="F577" s="29" t="n">
        <v>4695.2428</v>
      </c>
      <c r="G577" s="29" t="n">
        <v>4518.59282</v>
      </c>
      <c r="H577" s="29" t="n">
        <v>4596.05595</v>
      </c>
      <c r="I577" s="29" t="n">
        <v>4755.40355</v>
      </c>
      <c r="J577" s="29" t="n">
        <v>4792.76972</v>
      </c>
      <c r="K577" s="29" t="n">
        <v>4769.97694</v>
      </c>
      <c r="L577" s="29" t="n">
        <v>4716.33597</v>
      </c>
      <c r="M577" s="29" t="n">
        <v>4718.85043</v>
      </c>
      <c r="N577" s="29" t="n">
        <v>4531.36057</v>
      </c>
      <c r="O577" s="29" t="n">
        <v>4556.93783</v>
      </c>
      <c r="Q577" s="29" t="n">
        <v>4664.97065</v>
      </c>
      <c r="R577" s="29" t="n">
        <v>4712.98831</v>
      </c>
      <c r="S577" s="29" t="n">
        <v>4688.8047</v>
      </c>
      <c r="V577" s="29" t="n">
        <v>4632.32545</v>
      </c>
      <c r="AB577" s="29" t="n">
        <v>4707.31271</v>
      </c>
      <c r="AC577" s="29" t="n">
        <v>4707.38739</v>
      </c>
      <c r="AD577" s="29" t="n">
        <v>1</v>
      </c>
    </row>
    <row r="578" ht="14.25" customHeight="1" s="28">
      <c r="A578" s="29" t="n">
        <v>1778121901</v>
      </c>
      <c r="B578" s="29" t="inlineStr">
        <is>
          <t>XAUUSD</t>
        </is>
      </c>
      <c r="C578" s="29" t="inlineStr">
        <is>
          <t>M15</t>
        </is>
      </c>
      <c r="D578" s="29" t="n">
        <v>4707.22</v>
      </c>
      <c r="E578" s="29" t="n">
        <v>4717.79398</v>
      </c>
      <c r="F578" s="29" t="n">
        <v>4695.2428</v>
      </c>
      <c r="G578" s="29" t="n">
        <v>4518.59282</v>
      </c>
      <c r="H578" s="29" t="n">
        <v>4596.05595</v>
      </c>
      <c r="I578" s="29" t="n">
        <v>4755.40355</v>
      </c>
      <c r="J578" s="29" t="n">
        <v>4792.76972</v>
      </c>
      <c r="K578" s="29" t="n">
        <v>4769.97694</v>
      </c>
      <c r="L578" s="29" t="n">
        <v>4716.33597</v>
      </c>
      <c r="M578" s="29" t="n">
        <v>4718.85043</v>
      </c>
      <c r="N578" s="29" t="n">
        <v>4531.36057</v>
      </c>
      <c r="O578" s="29" t="n">
        <v>4556.93783</v>
      </c>
      <c r="Q578" s="29" t="n">
        <v>4665.17309</v>
      </c>
      <c r="R578" s="29" t="n">
        <v>4713.19076</v>
      </c>
      <c r="S578" s="29" t="n">
        <v>4689.00714</v>
      </c>
      <c r="V578" s="29" t="n">
        <v>4632.5279</v>
      </c>
      <c r="AB578" s="29" t="n">
        <v>4706.4433</v>
      </c>
      <c r="AC578" s="29" t="n">
        <v>4706.91535</v>
      </c>
      <c r="AD578" s="29" t="n">
        <v>0</v>
      </c>
    </row>
    <row r="579" ht="14.25" customHeight="1" s="28">
      <c r="A579" s="29" t="n">
        <v>1778122801</v>
      </c>
      <c r="B579" s="29" t="inlineStr">
        <is>
          <t>XAUUSD</t>
        </is>
      </c>
      <c r="C579" s="29" t="inlineStr">
        <is>
          <t>M15</t>
        </is>
      </c>
      <c r="D579" s="29" t="n">
        <v>4705.93</v>
      </c>
      <c r="E579" s="29" t="n">
        <v>4717.79398</v>
      </c>
      <c r="F579" s="29" t="n">
        <v>4695.2428</v>
      </c>
      <c r="G579" s="29" t="n">
        <v>4518.59282</v>
      </c>
      <c r="H579" s="29" t="n">
        <v>4596.05595</v>
      </c>
      <c r="I579" s="29" t="n">
        <v>4755.40355</v>
      </c>
      <c r="J579" s="29" t="n">
        <v>4792.76972</v>
      </c>
      <c r="K579" s="29" t="n">
        <v>4769.97694</v>
      </c>
      <c r="L579" s="29" t="n">
        <v>4716.33597</v>
      </c>
      <c r="M579" s="29" t="n">
        <v>4718.85043</v>
      </c>
      <c r="N579" s="29" t="n">
        <v>4531.36057</v>
      </c>
      <c r="O579" s="29" t="n">
        <v>4556.93783</v>
      </c>
      <c r="Q579" s="29" t="n">
        <v>4665.37554</v>
      </c>
      <c r="R579" s="29" t="n">
        <v>4713.3932</v>
      </c>
      <c r="S579" s="29" t="n">
        <v>4689.20959</v>
      </c>
      <c r="V579" s="29" t="n">
        <v>4632.73035</v>
      </c>
      <c r="AB579" s="29" t="n">
        <v>4705.29124</v>
      </c>
      <c r="AC579" s="29" t="n">
        <v>4706.10329</v>
      </c>
      <c r="AD579" s="29" t="n">
        <v>0</v>
      </c>
    </row>
    <row r="580" ht="14.25" customHeight="1" s="28">
      <c r="A580" s="29" t="n">
        <v>1778123701</v>
      </c>
      <c r="B580" s="29" t="inlineStr">
        <is>
          <t>XAUUSD</t>
        </is>
      </c>
      <c r="C580" s="29" t="inlineStr">
        <is>
          <t>M15</t>
        </is>
      </c>
      <c r="D580" s="29" t="n">
        <v>4704.6</v>
      </c>
      <c r="E580" s="29" t="n">
        <v>4717.79398</v>
      </c>
      <c r="F580" s="29" t="n">
        <v>4695.2428</v>
      </c>
      <c r="G580" s="29" t="n">
        <v>4518.59282</v>
      </c>
      <c r="H580" s="29" t="n">
        <v>4596.05595</v>
      </c>
      <c r="I580" s="29" t="n">
        <v>4755.40355</v>
      </c>
      <c r="J580" s="29" t="n">
        <v>4792.76972</v>
      </c>
      <c r="K580" s="29" t="n">
        <v>4769.97694</v>
      </c>
      <c r="L580" s="29" t="n">
        <v>4716.33597</v>
      </c>
      <c r="M580" s="29" t="n">
        <v>4718.85043</v>
      </c>
      <c r="N580" s="29" t="n">
        <v>4531.36057</v>
      </c>
      <c r="O580" s="29" t="n">
        <v>4556.93783</v>
      </c>
      <c r="Q580" s="29" t="n">
        <v>4665.57798</v>
      </c>
      <c r="R580" s="29" t="n">
        <v>4713.59565</v>
      </c>
      <c r="S580" s="29" t="n">
        <v>4689.41204</v>
      </c>
      <c r="V580" s="29" t="n">
        <v>4632.93279</v>
      </c>
      <c r="AB580" s="29" t="n">
        <v>4703.90696</v>
      </c>
      <c r="AC580" s="29" t="n">
        <v>4705.00513</v>
      </c>
      <c r="AD580" s="29" t="n">
        <v>0</v>
      </c>
    </row>
    <row r="581" ht="14.25" customHeight="1" s="28">
      <c r="A581" s="29" t="n">
        <v>1778124601</v>
      </c>
      <c r="B581" s="29" t="inlineStr">
        <is>
          <t>XAUUSD</t>
        </is>
      </c>
      <c r="C581" s="29" t="inlineStr">
        <is>
          <t>M15</t>
        </is>
      </c>
      <c r="D581" s="29" t="n">
        <v>4703.96</v>
      </c>
      <c r="E581" s="29" t="n">
        <v>4717.79398</v>
      </c>
      <c r="F581" s="29" t="n">
        <v>4695.2428</v>
      </c>
      <c r="G581" s="29" t="n">
        <v>4518.59282</v>
      </c>
      <c r="H581" s="29" t="n">
        <v>4596.05595</v>
      </c>
      <c r="I581" s="29" t="n">
        <v>4755.40355</v>
      </c>
      <c r="J581" s="29" t="n">
        <v>4792.76972</v>
      </c>
      <c r="K581" s="29" t="n">
        <v>4769.97694</v>
      </c>
      <c r="L581" s="29" t="n">
        <v>4716.33597</v>
      </c>
      <c r="M581" s="29" t="n">
        <v>4718.85043</v>
      </c>
      <c r="N581" s="29" t="n">
        <v>4531.36057</v>
      </c>
      <c r="O581" s="29" t="n">
        <v>4556.93783</v>
      </c>
      <c r="Q581" s="29" t="n">
        <v>4665.78043</v>
      </c>
      <c r="R581" s="29" t="n">
        <v>4713.79809</v>
      </c>
      <c r="S581" s="29" t="n">
        <v>4689.61448</v>
      </c>
      <c r="V581" s="29" t="n">
        <v>4633.13524</v>
      </c>
      <c r="AB581" s="29" t="n">
        <v>4702.32311</v>
      </c>
      <c r="AC581" s="29" t="n">
        <v>4703.66412</v>
      </c>
      <c r="AD581" s="29" t="n">
        <v>0</v>
      </c>
    </row>
    <row r="582" ht="14.25" customHeight="1" s="28">
      <c r="A582" s="29" t="n">
        <v>1778125501</v>
      </c>
      <c r="B582" s="29" t="inlineStr">
        <is>
          <t>XAUUSD</t>
        </is>
      </c>
      <c r="C582" s="29" t="inlineStr">
        <is>
          <t>M15</t>
        </is>
      </c>
      <c r="D582" s="29" t="n">
        <v>4699.11</v>
      </c>
      <c r="E582" s="29" t="n">
        <v>4717.79398</v>
      </c>
      <c r="F582" s="29" t="n">
        <v>4695.2428</v>
      </c>
      <c r="G582" s="29" t="n">
        <v>4518.59282</v>
      </c>
      <c r="H582" s="29" t="n">
        <v>4596.05595</v>
      </c>
      <c r="I582" s="29" t="n">
        <v>4755.40355</v>
      </c>
      <c r="J582" s="29" t="n">
        <v>4792.76972</v>
      </c>
      <c r="K582" s="29" t="n">
        <v>4769.97694</v>
      </c>
      <c r="L582" s="29" t="n">
        <v>4716.33597</v>
      </c>
      <c r="M582" s="29" t="n">
        <v>4718.85043</v>
      </c>
      <c r="N582" s="29" t="n">
        <v>4531.36057</v>
      </c>
      <c r="O582" s="29" t="n">
        <v>4556.93783</v>
      </c>
      <c r="Q582" s="29" t="n">
        <v>4665.98287</v>
      </c>
      <c r="R582" s="29" t="n">
        <v>4714.00054</v>
      </c>
      <c r="S582" s="29" t="n">
        <v>4689.81693</v>
      </c>
      <c r="V582" s="29" t="n">
        <v>4633.33768</v>
      </c>
      <c r="AB582" s="29" t="n">
        <v>4700.54031</v>
      </c>
      <c r="AC582" s="29" t="n">
        <v>4702.10221</v>
      </c>
      <c r="AD582" s="29" t="n">
        <v>0</v>
      </c>
    </row>
    <row r="583" ht="14.25" customHeight="1" s="28">
      <c r="A583" s="29" t="n">
        <v>1778126401</v>
      </c>
      <c r="B583" s="29" t="inlineStr">
        <is>
          <t>XAUUSD</t>
        </is>
      </c>
      <c r="C583" s="29" t="inlineStr">
        <is>
          <t>M15</t>
        </is>
      </c>
      <c r="D583" s="29" t="n">
        <v>4696.87</v>
      </c>
      <c r="E583" s="29" t="n">
        <v>4717.79398</v>
      </c>
      <c r="F583" s="29" t="n">
        <v>4695.2428</v>
      </c>
      <c r="G583" s="29" t="n">
        <v>4518.59282</v>
      </c>
      <c r="H583" s="29" t="n">
        <v>4596.05595</v>
      </c>
      <c r="I583" s="29" t="n">
        <v>4755.40355</v>
      </c>
      <c r="J583" s="29" t="n">
        <v>4792.76972</v>
      </c>
      <c r="K583" s="29" t="n">
        <v>4769.97694</v>
      </c>
      <c r="L583" s="29" t="n">
        <v>4716.33597</v>
      </c>
      <c r="M583" s="29" t="n">
        <v>4718.85043</v>
      </c>
      <c r="N583" s="29" t="n">
        <v>4531.36057</v>
      </c>
      <c r="O583" s="29" t="n">
        <v>4556.93783</v>
      </c>
      <c r="Q583" s="29" t="n">
        <v>4666.18532</v>
      </c>
      <c r="R583" s="29" t="n">
        <v>4714.20298</v>
      </c>
      <c r="S583" s="29" t="n">
        <v>4690.01937</v>
      </c>
      <c r="V583" s="29" t="n">
        <v>4633.54013</v>
      </c>
      <c r="AB583" s="29" t="n">
        <v>4698.72013</v>
      </c>
      <c r="AC583" s="29" t="n">
        <v>4700.41117</v>
      </c>
      <c r="AD583" s="29" t="n">
        <v>0</v>
      </c>
    </row>
    <row r="584" ht="14.25" customHeight="1" s="28">
      <c r="A584" s="29" t="n">
        <v>1778127301</v>
      </c>
      <c r="B584" s="29" t="inlineStr">
        <is>
          <t>XAUUSD</t>
        </is>
      </c>
      <c r="C584" s="29" t="inlineStr">
        <is>
          <t>M15</t>
        </is>
      </c>
      <c r="D584" s="29" t="n">
        <v>4696.79</v>
      </c>
      <c r="E584" s="29" t="n">
        <v>4717.79398</v>
      </c>
      <c r="F584" s="29" t="n">
        <v>4695.2428</v>
      </c>
      <c r="G584" s="29" t="n">
        <v>4518.59282</v>
      </c>
      <c r="H584" s="29" t="n">
        <v>4596.05595</v>
      </c>
      <c r="I584" s="29" t="n">
        <v>4755.40355</v>
      </c>
      <c r="J584" s="29" t="n">
        <v>4792.76972</v>
      </c>
      <c r="K584" s="29" t="n">
        <v>4769.97694</v>
      </c>
      <c r="L584" s="29" t="n">
        <v>4716.33597</v>
      </c>
      <c r="M584" s="29" t="n">
        <v>4718.85043</v>
      </c>
      <c r="N584" s="29" t="n">
        <v>4531.36057</v>
      </c>
      <c r="O584" s="29" t="n">
        <v>4556.93783</v>
      </c>
      <c r="Q584" s="29" t="n">
        <v>4666.38777</v>
      </c>
      <c r="R584" s="29" t="n">
        <v>4714.40543</v>
      </c>
      <c r="S584" s="29" t="n">
        <v>4690.22182</v>
      </c>
      <c r="V584" s="29" t="n">
        <v>4633.74257</v>
      </c>
      <c r="AB584" s="29" t="n">
        <v>4697.05429</v>
      </c>
      <c r="AC584" s="29" t="n">
        <v>4698.73273</v>
      </c>
      <c r="AD584" s="29" t="n">
        <v>0</v>
      </c>
    </row>
    <row r="585" ht="14.25" customHeight="1" s="28">
      <c r="A585" s="29" t="n">
        <v>1778128201</v>
      </c>
      <c r="B585" s="29" t="inlineStr">
        <is>
          <t>XAUUSD</t>
        </is>
      </c>
      <c r="C585" s="29" t="inlineStr">
        <is>
          <t>M15</t>
        </is>
      </c>
      <c r="D585" s="29" t="n">
        <v>4698.15</v>
      </c>
      <c r="E585" s="29" t="n">
        <v>4717.79398</v>
      </c>
      <c r="F585" s="29" t="n">
        <v>4695.2428</v>
      </c>
      <c r="G585" s="29" t="n">
        <v>4518.59282</v>
      </c>
      <c r="H585" s="29" t="n">
        <v>4596.05595</v>
      </c>
      <c r="I585" s="29" t="n">
        <v>4755.40355</v>
      </c>
      <c r="J585" s="29" t="n">
        <v>4792.76972</v>
      </c>
      <c r="K585" s="29" t="n">
        <v>4769.97694</v>
      </c>
      <c r="L585" s="29" t="n">
        <v>4716.33597</v>
      </c>
      <c r="M585" s="29" t="n">
        <v>4718.85043</v>
      </c>
      <c r="N585" s="29" t="n">
        <v>4531.36057</v>
      </c>
      <c r="O585" s="29" t="n">
        <v>4556.93783</v>
      </c>
      <c r="Q585" s="29" t="n">
        <v>4666.59021</v>
      </c>
      <c r="R585" s="29" t="n">
        <v>4714.60788</v>
      </c>
      <c r="S585" s="29" t="n">
        <v>4690.42426</v>
      </c>
      <c r="V585" s="29" t="n">
        <v>4633.94502</v>
      </c>
      <c r="AB585" s="29" t="n">
        <v>4695.78868</v>
      </c>
      <c r="AC585" s="29" t="n">
        <v>4697.26071</v>
      </c>
      <c r="AD585" s="29" t="n">
        <v>0</v>
      </c>
    </row>
    <row r="586" ht="14.25" customHeight="1" s="28">
      <c r="A586" s="29" t="n">
        <v>1778129101</v>
      </c>
      <c r="B586" s="29" t="inlineStr">
        <is>
          <t>XAUUSD</t>
        </is>
      </c>
      <c r="C586" s="29" t="inlineStr">
        <is>
          <t>M15</t>
        </is>
      </c>
      <c r="D586" s="29" t="n">
        <v>4696.48</v>
      </c>
      <c r="E586" s="29" t="n">
        <v>4717.79398</v>
      </c>
      <c r="F586" s="29" t="n">
        <v>4695.2428</v>
      </c>
      <c r="G586" s="29" t="n">
        <v>4518.59282</v>
      </c>
      <c r="H586" s="29" t="n">
        <v>4596.05595</v>
      </c>
      <c r="I586" s="29" t="n">
        <v>4755.40355</v>
      </c>
      <c r="J586" s="29" t="n">
        <v>4792.76972</v>
      </c>
      <c r="K586" s="29" t="n">
        <v>4769.97694</v>
      </c>
      <c r="L586" s="29" t="n">
        <v>4716.33597</v>
      </c>
      <c r="M586" s="29" t="n">
        <v>4718.85043</v>
      </c>
      <c r="N586" s="29" t="n">
        <v>4531.36057</v>
      </c>
      <c r="O586" s="29" t="n">
        <v>4556.93783</v>
      </c>
      <c r="Q586" s="29" t="n">
        <v>4666.79266</v>
      </c>
      <c r="R586" s="29" t="n">
        <v>4714.81032</v>
      </c>
      <c r="S586" s="29" t="n">
        <v>4690.62671</v>
      </c>
      <c r="V586" s="29" t="n">
        <v>4634.14747</v>
      </c>
      <c r="AB586" s="29" t="n">
        <v>4695.23468</v>
      </c>
      <c r="AC586" s="29" t="n">
        <v>4696.24769</v>
      </c>
      <c r="AD586" s="29" t="n">
        <v>0</v>
      </c>
    </row>
    <row r="587" ht="14.25" customHeight="1" s="28">
      <c r="A587" s="29" t="n">
        <v>1778130001</v>
      </c>
      <c r="B587" s="29" t="inlineStr">
        <is>
          <t>XAUUSD</t>
        </is>
      </c>
      <c r="C587" s="29" t="inlineStr">
        <is>
          <t>M15</t>
        </is>
      </c>
      <c r="D587" s="29" t="n">
        <v>4700.45</v>
      </c>
      <c r="E587" s="29" t="n">
        <v>4717.79398</v>
      </c>
      <c r="F587" s="29" t="n">
        <v>4695.2428</v>
      </c>
      <c r="G587" s="29" t="n">
        <v>4518.59282</v>
      </c>
      <c r="H587" s="29" t="n">
        <v>4596.05595</v>
      </c>
      <c r="I587" s="29" t="n">
        <v>4755.40355</v>
      </c>
      <c r="J587" s="29" t="n">
        <v>4792.76972</v>
      </c>
      <c r="K587" s="29" t="n">
        <v>4769.97694</v>
      </c>
      <c r="L587" s="29" t="n">
        <v>4716.33597</v>
      </c>
      <c r="M587" s="29" t="n">
        <v>4718.85043</v>
      </c>
      <c r="N587" s="29" t="n">
        <v>4531.36057</v>
      </c>
      <c r="O587" s="29" t="n">
        <v>4556.93783</v>
      </c>
      <c r="Q587" s="29" t="n">
        <v>4666.9951</v>
      </c>
      <c r="R587" s="29" t="n">
        <v>4715.01277</v>
      </c>
      <c r="S587" s="29" t="n">
        <v>4690.82916</v>
      </c>
      <c r="V587" s="29" t="n">
        <v>4634.34991</v>
      </c>
      <c r="AB587" s="29" t="n">
        <v>4695.88746</v>
      </c>
      <c r="AC587" s="29" t="n">
        <v>4696.06758</v>
      </c>
      <c r="AD587" s="29" t="n">
        <v>0</v>
      </c>
    </row>
    <row r="588" ht="14.25" customHeight="1" s="28">
      <c r="A588" s="29" t="n">
        <v>1778130901</v>
      </c>
      <c r="B588" s="29" t="inlineStr">
        <is>
          <t>XAUUSD</t>
        </is>
      </c>
      <c r="C588" s="29" t="inlineStr">
        <is>
          <t>M15</t>
        </is>
      </c>
      <c r="D588" s="29" t="n">
        <v>4696.05</v>
      </c>
      <c r="E588" s="29" t="n">
        <v>4717.79398</v>
      </c>
      <c r="F588" s="29" t="n">
        <v>4695.2428</v>
      </c>
      <c r="G588" s="29" t="n">
        <v>4518.59282</v>
      </c>
      <c r="H588" s="29" t="n">
        <v>4596.05595</v>
      </c>
      <c r="I588" s="29" t="n">
        <v>4755.40355</v>
      </c>
      <c r="J588" s="29" t="n">
        <v>4792.76972</v>
      </c>
      <c r="K588" s="29" t="n">
        <v>4769.97694</v>
      </c>
      <c r="L588" s="29" t="n">
        <v>4716.33597</v>
      </c>
      <c r="M588" s="29" t="n">
        <v>4718.85043</v>
      </c>
      <c r="N588" s="29" t="n">
        <v>4531.36057</v>
      </c>
      <c r="O588" s="29" t="n">
        <v>4556.93783</v>
      </c>
      <c r="Q588" s="29" t="n">
        <v>4667.19755</v>
      </c>
      <c r="R588" s="29" t="n">
        <v>4715.21521</v>
      </c>
      <c r="S588" s="29" t="n">
        <v>4691.0316</v>
      </c>
      <c r="V588" s="29" t="n">
        <v>4634.55236</v>
      </c>
      <c r="AB588" s="29" t="n">
        <v>4698.03002</v>
      </c>
      <c r="AC588" s="29" t="n">
        <v>4697.0488</v>
      </c>
      <c r="AD588" s="29" t="n">
        <v>1</v>
      </c>
    </row>
    <row r="589" ht="14.25" customHeight="1" s="28">
      <c r="A589" s="29" t="n">
        <v>1778131801</v>
      </c>
      <c r="B589" s="29" t="inlineStr">
        <is>
          <t>XAUUSD</t>
        </is>
      </c>
      <c r="C589" s="29" t="inlineStr">
        <is>
          <t>M15</t>
        </is>
      </c>
      <c r="D589" s="29" t="n">
        <v>4703.63</v>
      </c>
      <c r="E589" s="29" t="n">
        <v>4717.79398</v>
      </c>
      <c r="F589" s="29" t="n">
        <v>4695.2428</v>
      </c>
      <c r="G589" s="29" t="n">
        <v>4518.59282</v>
      </c>
      <c r="H589" s="29" t="n">
        <v>4596.05595</v>
      </c>
      <c r="I589" s="29" t="n">
        <v>4755.40355</v>
      </c>
      <c r="J589" s="29" t="n">
        <v>4792.76972</v>
      </c>
      <c r="K589" s="29" t="n">
        <v>4769.97694</v>
      </c>
      <c r="L589" s="29" t="n">
        <v>4716.33597</v>
      </c>
      <c r="M589" s="29" t="n">
        <v>4718.85043</v>
      </c>
      <c r="N589" s="29" t="n">
        <v>4531.36057</v>
      </c>
      <c r="O589" s="29" t="n">
        <v>4556.93783</v>
      </c>
      <c r="Q589" s="29" t="n">
        <v>4667.39999</v>
      </c>
      <c r="R589" s="29" t="n">
        <v>4715.41766</v>
      </c>
      <c r="S589" s="29" t="n">
        <v>4691.23405</v>
      </c>
      <c r="V589" s="29" t="n">
        <v>4634.7548</v>
      </c>
      <c r="AB589" s="29" t="n">
        <v>4702.06245</v>
      </c>
      <c r="AC589" s="29" t="n">
        <v>4699.55563</v>
      </c>
      <c r="AD589" s="29" t="n">
        <v>0</v>
      </c>
    </row>
    <row r="590" ht="14.25" customHeight="1" s="28">
      <c r="A590" s="29" t="n">
        <v>1778132701</v>
      </c>
      <c r="B590" s="29" t="inlineStr">
        <is>
          <t>XAUUSD</t>
        </is>
      </c>
      <c r="C590" s="29" t="inlineStr">
        <is>
          <t>M15</t>
        </is>
      </c>
      <c r="D590" s="29" t="n">
        <v>4701.22</v>
      </c>
      <c r="E590" s="29" t="n">
        <v>4717.79398</v>
      </c>
      <c r="F590" s="29" t="n">
        <v>4695.2428</v>
      </c>
      <c r="G590" s="29" t="n">
        <v>4518.59282</v>
      </c>
      <c r="H590" s="29" t="n">
        <v>4596.05595</v>
      </c>
      <c r="I590" s="29" t="n">
        <v>4755.40355</v>
      </c>
      <c r="J590" s="29" t="n">
        <v>4792.76972</v>
      </c>
      <c r="K590" s="29" t="n">
        <v>4769.97694</v>
      </c>
      <c r="L590" s="29" t="n">
        <v>4716.33597</v>
      </c>
      <c r="M590" s="29" t="n">
        <v>4718.85043</v>
      </c>
      <c r="N590" s="29" t="n">
        <v>4531.36057</v>
      </c>
      <c r="O590" s="29" t="n">
        <v>4556.93783</v>
      </c>
      <c r="Q590" s="29" t="n">
        <v>4667.60244</v>
      </c>
      <c r="R590" s="29" t="n">
        <v>4715.6201</v>
      </c>
      <c r="S590" s="29" t="n">
        <v>4691.43649</v>
      </c>
      <c r="V590" s="29" t="n">
        <v>4634.95725</v>
      </c>
      <c r="AB590" s="29" t="n">
        <v>4707.83891</v>
      </c>
      <c r="AC590" s="29" t="n">
        <v>4703.69727</v>
      </c>
      <c r="AD590" s="29" t="n">
        <v>0</v>
      </c>
    </row>
    <row r="591" ht="14.25" customHeight="1" s="28">
      <c r="A591" s="29" t="n">
        <v>1778133601</v>
      </c>
      <c r="B591" s="29" t="inlineStr">
        <is>
          <t>XAUUSD</t>
        </is>
      </c>
      <c r="C591" s="29" t="inlineStr">
        <is>
          <t>M15</t>
        </is>
      </c>
      <c r="D591" s="29" t="n">
        <v>4708.23</v>
      </c>
      <c r="E591" s="29" t="n">
        <v>4717.79398</v>
      </c>
      <c r="F591" s="29" t="n">
        <v>4695.2428</v>
      </c>
      <c r="G591" s="29" t="n">
        <v>4518.59282</v>
      </c>
      <c r="H591" s="29" t="n">
        <v>4596.05595</v>
      </c>
      <c r="I591" s="29" t="n">
        <v>4755.40355</v>
      </c>
      <c r="J591" s="29" t="n">
        <v>4792.76972</v>
      </c>
      <c r="K591" s="29" t="n">
        <v>4769.97694</v>
      </c>
      <c r="L591" s="29" t="n">
        <v>4716.33597</v>
      </c>
      <c r="M591" s="29" t="n">
        <v>4718.85043</v>
      </c>
      <c r="N591" s="29" t="n">
        <v>4531.36057</v>
      </c>
      <c r="O591" s="29" t="n">
        <v>4556.93783</v>
      </c>
      <c r="Q591" s="29" t="n">
        <v>4667.80489</v>
      </c>
      <c r="R591" s="29" t="n">
        <v>4715.82255</v>
      </c>
      <c r="S591" s="29" t="n">
        <v>4691.63894</v>
      </c>
      <c r="V591" s="29" t="n">
        <v>4635.15969</v>
      </c>
      <c r="AB591" s="29" t="n">
        <v>4715.16619</v>
      </c>
      <c r="AC591" s="29" t="n">
        <v>4709.43173</v>
      </c>
      <c r="AD591" s="29" t="n">
        <v>0</v>
      </c>
    </row>
    <row r="592" ht="14.25" customHeight="1" s="28">
      <c r="A592" s="29" t="n">
        <v>1778134501</v>
      </c>
      <c r="B592" s="29" t="inlineStr">
        <is>
          <t>XAUUSD</t>
        </is>
      </c>
      <c r="C592" s="29" t="inlineStr">
        <is>
          <t>M15</t>
        </is>
      </c>
      <c r="D592" s="29" t="n">
        <v>4717.42</v>
      </c>
      <c r="E592" s="29" t="n">
        <v>4717.79398</v>
      </c>
      <c r="F592" s="29" t="n">
        <v>4695.2428</v>
      </c>
      <c r="G592" s="29" t="n">
        <v>4518.59282</v>
      </c>
      <c r="H592" s="29" t="n">
        <v>4596.05595</v>
      </c>
      <c r="I592" s="29" t="n">
        <v>4755.40355</v>
      </c>
      <c r="J592" s="29" t="n">
        <v>4792.76972</v>
      </c>
      <c r="K592" s="29" t="n">
        <v>4769.97694</v>
      </c>
      <c r="L592" s="29" t="n">
        <v>4716.33597</v>
      </c>
      <c r="M592" s="29" t="n">
        <v>4718.85043</v>
      </c>
      <c r="N592" s="29" t="n">
        <v>4531.36057</v>
      </c>
      <c r="O592" s="29" t="n">
        <v>4556.93783</v>
      </c>
      <c r="Q592" s="29" t="n">
        <v>4668.00733</v>
      </c>
      <c r="R592" s="29" t="n">
        <v>4716.025</v>
      </c>
      <c r="S592" s="29" t="n">
        <v>4691.84138</v>
      </c>
      <c r="V592" s="29" t="n">
        <v>4635.36214</v>
      </c>
      <c r="AB592" s="29" t="n">
        <v>4723.3297</v>
      </c>
      <c r="AC592" s="29" t="n">
        <v>4716.38072</v>
      </c>
      <c r="AD592" s="29" t="n">
        <v>0</v>
      </c>
    </row>
    <row r="593" ht="14.25" customHeight="1" s="28">
      <c r="A593" s="29" t="n">
        <v>1778135401</v>
      </c>
      <c r="B593" s="29" t="inlineStr">
        <is>
          <t>XAUUSD</t>
        </is>
      </c>
      <c r="C593" s="29" t="inlineStr">
        <is>
          <t>M15</t>
        </is>
      </c>
      <c r="D593" s="29" t="n">
        <v>4746.02</v>
      </c>
      <c r="E593" s="29" t="n">
        <v>4717.79398</v>
      </c>
      <c r="F593" s="29" t="n">
        <v>4695.2428</v>
      </c>
      <c r="G593" s="29" t="n">
        <v>4518.59282</v>
      </c>
      <c r="H593" s="29" t="n">
        <v>4596.05595</v>
      </c>
      <c r="I593" s="29" t="n">
        <v>4755.40355</v>
      </c>
      <c r="J593" s="29" t="n">
        <v>4792.76972</v>
      </c>
      <c r="K593" s="29" t="n">
        <v>4769.97694</v>
      </c>
      <c r="L593" s="29" t="n">
        <v>4716.33597</v>
      </c>
      <c r="M593" s="29" t="n">
        <v>4718.85043</v>
      </c>
      <c r="N593" s="29" t="n">
        <v>4531.36057</v>
      </c>
      <c r="O593" s="29" t="n">
        <v>4556.93783</v>
      </c>
      <c r="Q593" s="29" t="n">
        <v>4668.20978</v>
      </c>
      <c r="R593" s="29" t="n">
        <v>4716.22744</v>
      </c>
      <c r="S593" s="29" t="n">
        <v>4692.04383</v>
      </c>
      <c r="V593" s="29" t="n">
        <v>4635.56459</v>
      </c>
      <c r="AB593" s="29" t="n">
        <v>4731.39375</v>
      </c>
      <c r="AC593" s="29" t="n">
        <v>4723.88723</v>
      </c>
      <c r="AD593" s="29" t="n">
        <v>0</v>
      </c>
    </row>
    <row r="594" ht="14.25" customHeight="1" s="28">
      <c r="A594" s="29" t="n">
        <v>1778136301</v>
      </c>
      <c r="B594" s="29" t="inlineStr">
        <is>
          <t>XAUUSD</t>
        </is>
      </c>
      <c r="C594" s="29" t="inlineStr">
        <is>
          <t>M15</t>
        </is>
      </c>
      <c r="D594" s="29" t="n">
        <v>4739.12</v>
      </c>
      <c r="E594" s="29" t="n">
        <v>4717.79398</v>
      </c>
      <c r="F594" s="29" t="n">
        <v>4695.2428</v>
      </c>
      <c r="G594" s="29" t="n">
        <v>4518.59282</v>
      </c>
      <c r="H594" s="29" t="n">
        <v>4596.05595</v>
      </c>
      <c r="I594" s="29" t="n">
        <v>4755.40355</v>
      </c>
      <c r="J594" s="29" t="n">
        <v>4792.76972</v>
      </c>
      <c r="K594" s="29" t="n">
        <v>4769.97694</v>
      </c>
      <c r="L594" s="29" t="n">
        <v>4716.33597</v>
      </c>
      <c r="M594" s="29" t="n">
        <v>4718.85043</v>
      </c>
      <c r="N594" s="29" t="n">
        <v>4531.36057</v>
      </c>
      <c r="O594" s="29" t="n">
        <v>4556.93783</v>
      </c>
      <c r="Q594" s="29" t="n">
        <v>4668.41222</v>
      </c>
      <c r="R594" s="29" t="n">
        <v>4716.42989</v>
      </c>
      <c r="S594" s="29" t="n">
        <v>4692.24628</v>
      </c>
      <c r="V594" s="29" t="n">
        <v>4635.76703</v>
      </c>
      <c r="AB594" s="29" t="n">
        <v>4737.87875</v>
      </c>
      <c r="AC594" s="29" t="n">
        <v>4730.88299</v>
      </c>
      <c r="AD594" s="29" t="n">
        <v>0</v>
      </c>
    </row>
    <row r="595" ht="14.25" customHeight="1" s="28">
      <c r="A595" s="29" t="n">
        <v>1778137201</v>
      </c>
      <c r="B595" s="29" t="inlineStr">
        <is>
          <t>XAUUSD</t>
        </is>
      </c>
      <c r="C595" s="29" t="inlineStr">
        <is>
          <t>M15</t>
        </is>
      </c>
      <c r="D595" s="29" t="n">
        <v>4749.05</v>
      </c>
      <c r="E595" s="29" t="n">
        <v>4717.79398</v>
      </c>
      <c r="F595" s="29" t="n">
        <v>4695.2428</v>
      </c>
      <c r="G595" s="29" t="n">
        <v>4518.59282</v>
      </c>
      <c r="H595" s="29" t="n">
        <v>4596.05595</v>
      </c>
      <c r="I595" s="29" t="n">
        <v>4755.40355</v>
      </c>
      <c r="J595" s="29" t="n">
        <v>4792.76972</v>
      </c>
      <c r="K595" s="29" t="n">
        <v>4769.97694</v>
      </c>
      <c r="L595" s="29" t="n">
        <v>4716.33597</v>
      </c>
      <c r="M595" s="29" t="n">
        <v>4718.85043</v>
      </c>
      <c r="N595" s="29" t="n">
        <v>4531.36057</v>
      </c>
      <c r="O595" s="29" t="n">
        <v>4556.93783</v>
      </c>
      <c r="Q595" s="29" t="n">
        <v>4668.61467</v>
      </c>
      <c r="R595" s="29" t="n">
        <v>4716.63233</v>
      </c>
      <c r="S595" s="29" t="n">
        <v>4692.44872</v>
      </c>
      <c r="V595" s="29" t="n">
        <v>4635.96948</v>
      </c>
      <c r="AB595" s="29" t="n">
        <v>4742.49282</v>
      </c>
      <c r="AC595" s="29" t="n">
        <v>4736.68791</v>
      </c>
      <c r="AD595" s="29" t="n">
        <v>0</v>
      </c>
    </row>
    <row r="596" ht="14.25" customHeight="1" s="28">
      <c r="A596" s="29" t="n">
        <v>1778138101</v>
      </c>
      <c r="B596" s="29" t="inlineStr">
        <is>
          <t>XAUUSD</t>
        </is>
      </c>
      <c r="C596" s="29" t="inlineStr">
        <is>
          <t>M15</t>
        </is>
      </c>
      <c r="D596" s="29" t="n">
        <v>4739.5</v>
      </c>
      <c r="E596" s="29" t="n">
        <v>4717.79398</v>
      </c>
      <c r="F596" s="29" t="n">
        <v>4695.2428</v>
      </c>
      <c r="G596" s="29" t="n">
        <v>4518.59282</v>
      </c>
      <c r="H596" s="29" t="n">
        <v>4596.05595</v>
      </c>
      <c r="I596" s="29" t="n">
        <v>4755.40355</v>
      </c>
      <c r="J596" s="29" t="n">
        <v>4792.76972</v>
      </c>
      <c r="K596" s="29" t="n">
        <v>4769.97694</v>
      </c>
      <c r="L596" s="29" t="n">
        <v>4716.33597</v>
      </c>
      <c r="M596" s="29" t="n">
        <v>4718.85043</v>
      </c>
      <c r="N596" s="29" t="n">
        <v>4531.36057</v>
      </c>
      <c r="O596" s="29" t="n">
        <v>4556.93783</v>
      </c>
      <c r="Q596" s="29" t="n">
        <v>4668.81711</v>
      </c>
      <c r="R596" s="29" t="n">
        <v>4716.83478</v>
      </c>
      <c r="S596" s="29" t="n">
        <v>4692.65117</v>
      </c>
      <c r="V596" s="29" t="n">
        <v>4636.17192</v>
      </c>
      <c r="AB596" s="29" t="n">
        <v>4744.80855</v>
      </c>
      <c r="AC596" s="29" t="n">
        <v>4740.74823</v>
      </c>
      <c r="AD596" s="29" t="n">
        <v>0</v>
      </c>
    </row>
    <row r="597" ht="14.25" customHeight="1" s="28">
      <c r="A597" s="29" t="n">
        <v>1778139001</v>
      </c>
      <c r="B597" s="29" t="inlineStr">
        <is>
          <t>XAUUSD</t>
        </is>
      </c>
      <c r="C597" s="29" t="inlineStr">
        <is>
          <t>M15</t>
        </is>
      </c>
      <c r="D597" s="29" t="n">
        <v>4742.88</v>
      </c>
      <c r="E597" s="29" t="n">
        <v>4717.79398</v>
      </c>
      <c r="F597" s="29" t="n">
        <v>4695.2428</v>
      </c>
      <c r="G597" s="29" t="n">
        <v>4518.59282</v>
      </c>
      <c r="H597" s="29" t="n">
        <v>4596.05595</v>
      </c>
      <c r="I597" s="29" t="n">
        <v>4755.40355</v>
      </c>
      <c r="J597" s="29" t="n">
        <v>4792.76972</v>
      </c>
      <c r="K597" s="29" t="n">
        <v>4769.97694</v>
      </c>
      <c r="L597" s="29" t="n">
        <v>4716.33597</v>
      </c>
      <c r="M597" s="29" t="n">
        <v>4718.85043</v>
      </c>
      <c r="N597" s="29" t="n">
        <v>4531.36057</v>
      </c>
      <c r="O597" s="29" t="n">
        <v>4556.93783</v>
      </c>
      <c r="Q597" s="29" t="n">
        <v>4669.01956</v>
      </c>
      <c r="R597" s="29" t="n">
        <v>4717.03722</v>
      </c>
      <c r="S597" s="29" t="n">
        <v>4692.85361</v>
      </c>
      <c r="V597" s="29" t="n">
        <v>4636.37437</v>
      </c>
      <c r="AB597" s="29" t="n">
        <v>4745.21296</v>
      </c>
      <c r="AC597" s="29" t="n">
        <v>4742.9806</v>
      </c>
      <c r="AD597" s="29" t="n">
        <v>0</v>
      </c>
    </row>
    <row r="598" ht="14.25" customHeight="1" s="28">
      <c r="A598" s="29" t="n">
        <v>1778139901</v>
      </c>
      <c r="B598" s="29" t="inlineStr">
        <is>
          <t>XAUUSD</t>
        </is>
      </c>
      <c r="C598" s="29" t="inlineStr">
        <is>
          <t>M15</t>
        </is>
      </c>
      <c r="D598" s="29" t="n">
        <v>4743.06</v>
      </c>
      <c r="E598" s="29" t="n">
        <v>4717.79398</v>
      </c>
      <c r="F598" s="29" t="n">
        <v>4695.2428</v>
      </c>
      <c r="G598" s="29" t="n">
        <v>4518.59282</v>
      </c>
      <c r="H598" s="29" t="n">
        <v>4596.05595</v>
      </c>
      <c r="I598" s="29" t="n">
        <v>4755.40355</v>
      </c>
      <c r="J598" s="29" t="n">
        <v>4792.76972</v>
      </c>
      <c r="K598" s="29" t="n">
        <v>4769.97694</v>
      </c>
      <c r="L598" s="29" t="n">
        <v>4716.33597</v>
      </c>
      <c r="M598" s="29" t="n">
        <v>4718.85043</v>
      </c>
      <c r="N598" s="29" t="n">
        <v>4531.36057</v>
      </c>
      <c r="O598" s="29" t="n">
        <v>4556.93783</v>
      </c>
      <c r="Q598" s="29" t="n">
        <v>4669.22201</v>
      </c>
      <c r="R598" s="29" t="n">
        <v>4717.23967</v>
      </c>
      <c r="S598" s="29" t="n">
        <v>4693.05606</v>
      </c>
      <c r="V598" s="29" t="n">
        <v>4636.57681</v>
      </c>
      <c r="AB598" s="29" t="n">
        <v>4744.03131</v>
      </c>
      <c r="AC598" s="29" t="n">
        <v>4743.50595</v>
      </c>
      <c r="AD598" s="29" t="n">
        <v>0</v>
      </c>
    </row>
    <row r="599" ht="14.25" customHeight="1" s="28">
      <c r="A599" s="29" t="n">
        <v>1778140801</v>
      </c>
      <c r="B599" s="29" t="inlineStr">
        <is>
          <t>XAUUSD</t>
        </is>
      </c>
      <c r="C599" s="29" t="inlineStr">
        <is>
          <t>M15</t>
        </is>
      </c>
      <c r="D599" s="29" t="n">
        <v>4742.66</v>
      </c>
      <c r="E599" s="29" t="n">
        <v>4717.79398</v>
      </c>
      <c r="F599" s="29" t="n">
        <v>4695.2428</v>
      </c>
      <c r="G599" s="29" t="n">
        <v>4518.59282</v>
      </c>
      <c r="H599" s="29" t="n">
        <v>4596.05595</v>
      </c>
      <c r="I599" s="29" t="n">
        <v>4755.40355</v>
      </c>
      <c r="J599" s="29" t="n">
        <v>4792.76972</v>
      </c>
      <c r="K599" s="29" t="n">
        <v>4769.97694</v>
      </c>
      <c r="L599" s="29" t="n">
        <v>4716.33597</v>
      </c>
      <c r="M599" s="29" t="n">
        <v>4718.85043</v>
      </c>
      <c r="N599" s="29" t="n">
        <v>4531.36057</v>
      </c>
      <c r="O599" s="29" t="n">
        <v>4556.93783</v>
      </c>
      <c r="Q599" s="29" t="n">
        <v>4669.42445</v>
      </c>
      <c r="R599" s="29" t="n">
        <v>4717.44212</v>
      </c>
      <c r="S599" s="29" t="n">
        <v>4693.2585</v>
      </c>
      <c r="V599" s="29" t="n">
        <v>4636.77926</v>
      </c>
      <c r="Z599" s="29" t="n">
        <v>4753.47</v>
      </c>
      <c r="AB599" s="29" t="n">
        <v>4741.8388</v>
      </c>
      <c r="AC599" s="29" t="n">
        <v>4742.67238</v>
      </c>
      <c r="AD599" s="29" t="n">
        <v>1</v>
      </c>
    </row>
    <row r="600" ht="14.25" customHeight="1" s="28">
      <c r="A600" s="29" t="n">
        <v>1778141701</v>
      </c>
      <c r="B600" s="29" t="inlineStr">
        <is>
          <t>XAUUSD</t>
        </is>
      </c>
      <c r="C600" s="29" t="inlineStr">
        <is>
          <t>M15</t>
        </is>
      </c>
      <c r="D600" s="29" t="n">
        <v>4739.74</v>
      </c>
      <c r="E600" s="29" t="n">
        <v>4717.79398</v>
      </c>
      <c r="F600" s="29" t="n">
        <v>4695.2428</v>
      </c>
      <c r="G600" s="29" t="n">
        <v>4518.59282</v>
      </c>
      <c r="H600" s="29" t="n">
        <v>4596.05595</v>
      </c>
      <c r="I600" s="29" t="n">
        <v>4755.40355</v>
      </c>
      <c r="J600" s="29" t="n">
        <v>4792.76972</v>
      </c>
      <c r="K600" s="29" t="n">
        <v>4769.97694</v>
      </c>
      <c r="L600" s="29" t="n">
        <v>4716.33597</v>
      </c>
      <c r="M600" s="29" t="n">
        <v>4718.85043</v>
      </c>
      <c r="N600" s="29" t="n">
        <v>4531.36057</v>
      </c>
      <c r="O600" s="29" t="n">
        <v>4556.93783</v>
      </c>
      <c r="Q600" s="29" t="n">
        <v>4669.6269</v>
      </c>
      <c r="R600" s="29" t="n">
        <v>4717.64456</v>
      </c>
      <c r="S600" s="29" t="n">
        <v>4693.46095</v>
      </c>
      <c r="V600" s="29" t="n">
        <v>4636.98171</v>
      </c>
      <c r="AB600" s="29" t="n">
        <v>4739.22196</v>
      </c>
      <c r="AC600" s="29" t="n">
        <v>4740.94717</v>
      </c>
      <c r="AD600" s="29" t="n">
        <v>0</v>
      </c>
    </row>
    <row r="601" ht="14.25" customHeight="1" s="28">
      <c r="A601" s="29" t="n">
        <v>1778142601</v>
      </c>
      <c r="B601" s="29" t="inlineStr">
        <is>
          <t>XAUUSD</t>
        </is>
      </c>
      <c r="C601" s="29" t="inlineStr">
        <is>
          <t>M15</t>
        </is>
      </c>
      <c r="D601" s="29" t="n">
        <v>4735.34</v>
      </c>
      <c r="E601" s="29" t="n">
        <v>4717.79398</v>
      </c>
      <c r="F601" s="29" t="n">
        <v>4695.2428</v>
      </c>
      <c r="G601" s="29" t="n">
        <v>4518.59282</v>
      </c>
      <c r="H601" s="29" t="n">
        <v>4596.05595</v>
      </c>
      <c r="I601" s="29" t="n">
        <v>4755.40355</v>
      </c>
      <c r="J601" s="29" t="n">
        <v>4792.76972</v>
      </c>
      <c r="K601" s="29" t="n">
        <v>4769.97694</v>
      </c>
      <c r="L601" s="29" t="n">
        <v>4716.33597</v>
      </c>
      <c r="M601" s="29" t="n">
        <v>4718.85043</v>
      </c>
      <c r="N601" s="29" t="n">
        <v>4531.36057</v>
      </c>
      <c r="O601" s="29" t="n">
        <v>4556.93783</v>
      </c>
      <c r="Q601" s="29" t="n">
        <v>4669.82934</v>
      </c>
      <c r="R601" s="29" t="n">
        <v>4717.84701</v>
      </c>
      <c r="S601" s="29" t="n">
        <v>4693.6634</v>
      </c>
      <c r="V601" s="29" t="n">
        <v>4637.18415</v>
      </c>
      <c r="AB601" s="29" t="n">
        <v>4736.75447</v>
      </c>
      <c r="AC601" s="29" t="n">
        <v>4738.85082</v>
      </c>
      <c r="AD601" s="29" t="n">
        <v>0</v>
      </c>
    </row>
    <row r="602" ht="14.25" customHeight="1" s="28">
      <c r="A602" s="29" t="n">
        <v>1778143501</v>
      </c>
      <c r="B602" s="29" t="inlineStr">
        <is>
          <t>XAUUSD</t>
        </is>
      </c>
      <c r="C602" s="29" t="inlineStr">
        <is>
          <t>M15</t>
        </is>
      </c>
      <c r="D602" s="29" t="n">
        <v>4731.02</v>
      </c>
      <c r="E602" s="29" t="n">
        <v>4717.79398</v>
      </c>
      <c r="F602" s="29" t="n">
        <v>4695.2428</v>
      </c>
      <c r="G602" s="29" t="n">
        <v>4518.59282</v>
      </c>
      <c r="H602" s="29" t="n">
        <v>4596.05595</v>
      </c>
      <c r="I602" s="29" t="n">
        <v>4755.40355</v>
      </c>
      <c r="J602" s="29" t="n">
        <v>4792.76972</v>
      </c>
      <c r="K602" s="29" t="n">
        <v>4769.97694</v>
      </c>
      <c r="L602" s="29" t="n">
        <v>4716.33597</v>
      </c>
      <c r="M602" s="29" t="n">
        <v>4718.85043</v>
      </c>
      <c r="N602" s="29" t="n">
        <v>4531.36057</v>
      </c>
      <c r="O602" s="29" t="n">
        <v>4556.93783</v>
      </c>
      <c r="Q602" s="29" t="n">
        <v>4670.03179</v>
      </c>
      <c r="R602" s="29" t="n">
        <v>4718.04945</v>
      </c>
      <c r="S602" s="29" t="n">
        <v>4693.86584</v>
      </c>
      <c r="V602" s="29" t="n">
        <v>4637.3866</v>
      </c>
      <c r="AB602" s="29" t="n">
        <v>4734.84225</v>
      </c>
      <c r="AC602" s="29" t="n">
        <v>4736.84654</v>
      </c>
      <c r="AD602" s="29" t="n">
        <v>0</v>
      </c>
    </row>
    <row r="603" ht="14.25" customHeight="1" s="28">
      <c r="A603" s="29" t="n">
        <v>1778144401</v>
      </c>
      <c r="B603" s="29" t="inlineStr">
        <is>
          <t>XAUUSD</t>
        </is>
      </c>
      <c r="C603" s="29" t="inlineStr">
        <is>
          <t>M15</t>
        </is>
      </c>
      <c r="D603" s="29" t="n">
        <v>4734.22</v>
      </c>
      <c r="E603" s="29" t="n">
        <v>4717.79398</v>
      </c>
      <c r="F603" s="29" t="n">
        <v>4695.2428</v>
      </c>
      <c r="G603" s="29" t="n">
        <v>4518.59282</v>
      </c>
      <c r="H603" s="29" t="n">
        <v>4596.05595</v>
      </c>
      <c r="I603" s="29" t="n">
        <v>4755.40355</v>
      </c>
      <c r="J603" s="29" t="n">
        <v>4792.76972</v>
      </c>
      <c r="K603" s="29" t="n">
        <v>4769.97694</v>
      </c>
      <c r="L603" s="29" t="n">
        <v>4716.33597</v>
      </c>
      <c r="M603" s="29" t="n">
        <v>4718.85043</v>
      </c>
      <c r="N603" s="29" t="n">
        <v>4531.36057</v>
      </c>
      <c r="O603" s="29" t="n">
        <v>4556.93783</v>
      </c>
      <c r="Q603" s="29" t="n">
        <v>4670.23423</v>
      </c>
      <c r="R603" s="29" t="n">
        <v>4718.2519</v>
      </c>
      <c r="S603" s="29" t="n">
        <v>4694.06829</v>
      </c>
      <c r="V603" s="29" t="n">
        <v>4637.58904</v>
      </c>
      <c r="AB603" s="29" t="n">
        <v>4733.69538</v>
      </c>
      <c r="AC603" s="29" t="n">
        <v>4735.27096</v>
      </c>
      <c r="AD603" s="29" t="n">
        <v>0</v>
      </c>
    </row>
    <row r="604" ht="14.25" customHeight="1" s="28">
      <c r="A604" s="29" t="n">
        <v>1778145301</v>
      </c>
      <c r="B604" s="29" t="inlineStr">
        <is>
          <t>XAUUSD</t>
        </is>
      </c>
      <c r="C604" s="29" t="inlineStr">
        <is>
          <t>M15</t>
        </is>
      </c>
      <c r="D604" s="29" t="n">
        <v>4735.64</v>
      </c>
      <c r="E604" s="29" t="n">
        <v>4717.79398</v>
      </c>
      <c r="F604" s="29" t="n">
        <v>4695.2428</v>
      </c>
      <c r="G604" s="29" t="n">
        <v>4518.59282</v>
      </c>
      <c r="H604" s="29" t="n">
        <v>4596.05595</v>
      </c>
      <c r="I604" s="29" t="n">
        <v>4755.40355</v>
      </c>
      <c r="J604" s="29" t="n">
        <v>4792.76972</v>
      </c>
      <c r="K604" s="29" t="n">
        <v>4769.97694</v>
      </c>
      <c r="L604" s="29" t="n">
        <v>4716.33597</v>
      </c>
      <c r="M604" s="29" t="n">
        <v>4718.85043</v>
      </c>
      <c r="N604" s="29" t="n">
        <v>4531.36057</v>
      </c>
      <c r="O604" s="29" t="n">
        <v>4556.93783</v>
      </c>
      <c r="Q604" s="29" t="n">
        <v>4670.43668</v>
      </c>
      <c r="R604" s="29" t="n">
        <v>4718.45434</v>
      </c>
      <c r="S604" s="29" t="n">
        <v>4694.27073</v>
      </c>
      <c r="V604" s="29" t="n">
        <v>4637.79149</v>
      </c>
      <c r="AB604" s="29" t="n">
        <v>4733.14581</v>
      </c>
      <c r="AC604" s="29" t="n">
        <v>4734.20838</v>
      </c>
      <c r="AD604" s="29" t="n">
        <v>0</v>
      </c>
    </row>
    <row r="605" ht="14.25" customHeight="1" s="28">
      <c r="A605" s="29" t="n">
        <v>1778146201</v>
      </c>
      <c r="B605" s="29" t="inlineStr">
        <is>
          <t>XAUUSD</t>
        </is>
      </c>
      <c r="C605" s="29" t="inlineStr">
        <is>
          <t>M15</t>
        </is>
      </c>
      <c r="D605" s="29" t="n">
        <v>4737.77</v>
      </c>
      <c r="E605" s="29" t="n">
        <v>4717.79398</v>
      </c>
      <c r="F605" s="29" t="n">
        <v>4695.2428</v>
      </c>
      <c r="G605" s="29" t="n">
        <v>4518.59282</v>
      </c>
      <c r="H605" s="29" t="n">
        <v>4596.05595</v>
      </c>
      <c r="I605" s="29" t="n">
        <v>4755.40355</v>
      </c>
      <c r="J605" s="29" t="n">
        <v>4792.76972</v>
      </c>
      <c r="K605" s="29" t="n">
        <v>4769.97694</v>
      </c>
      <c r="L605" s="29" t="n">
        <v>4716.33597</v>
      </c>
      <c r="M605" s="29" t="n">
        <v>4718.85043</v>
      </c>
      <c r="N605" s="29" t="n">
        <v>4531.36057</v>
      </c>
      <c r="O605" s="29" t="n">
        <v>4556.93783</v>
      </c>
      <c r="Q605" s="29" t="n">
        <v>4670.63913</v>
      </c>
      <c r="R605" s="29" t="n">
        <v>4718.65679</v>
      </c>
      <c r="S605" s="29" t="n">
        <v>4694.47318</v>
      </c>
      <c r="V605" s="29" t="n">
        <v>4637.99393</v>
      </c>
      <c r="AB605" s="29" t="n">
        <v>4732.97862</v>
      </c>
      <c r="AC605" s="29" t="n">
        <v>4733.5935</v>
      </c>
      <c r="AD605" s="29" t="n">
        <v>0</v>
      </c>
    </row>
    <row r="606" ht="14.25" customHeight="1" s="28">
      <c r="A606" s="29" t="n">
        <v>1778147101</v>
      </c>
      <c r="B606" s="29" t="inlineStr">
        <is>
          <t>XAUUSD</t>
        </is>
      </c>
      <c r="C606" s="29" t="inlineStr">
        <is>
          <t>M15</t>
        </is>
      </c>
      <c r="D606" s="29" t="n">
        <v>4729.06</v>
      </c>
      <c r="E606" s="29" t="n">
        <v>4717.79398</v>
      </c>
      <c r="F606" s="29" t="n">
        <v>4695.2428</v>
      </c>
      <c r="G606" s="29" t="n">
        <v>4518.59282</v>
      </c>
      <c r="H606" s="29" t="n">
        <v>4596.05595</v>
      </c>
      <c r="I606" s="29" t="n">
        <v>4755.40355</v>
      </c>
      <c r="J606" s="29" t="n">
        <v>4792.76972</v>
      </c>
      <c r="K606" s="29" t="n">
        <v>4769.97694</v>
      </c>
      <c r="L606" s="29" t="n">
        <v>4716.33597</v>
      </c>
      <c r="M606" s="29" t="n">
        <v>4718.85043</v>
      </c>
      <c r="N606" s="29" t="n">
        <v>4531.36057</v>
      </c>
      <c r="O606" s="29" t="n">
        <v>4556.93783</v>
      </c>
      <c r="Q606" s="29" t="n">
        <v>4670.84157</v>
      </c>
      <c r="R606" s="29" t="n">
        <v>4718.85924</v>
      </c>
      <c r="S606" s="29" t="n">
        <v>4694.67562</v>
      </c>
      <c r="V606" s="29" t="n">
        <v>4638.19638</v>
      </c>
      <c r="AB606" s="29" t="n">
        <v>4733.00112</v>
      </c>
      <c r="AC606" s="29" t="n">
        <v>4733.29731</v>
      </c>
      <c r="AD606" s="29" t="n">
        <v>0</v>
      </c>
    </row>
    <row r="607" ht="14.25" customHeight="1" s="28">
      <c r="A607" s="29" t="n">
        <v>1778148001</v>
      </c>
      <c r="B607" s="29" t="inlineStr">
        <is>
          <t>XAUUSD</t>
        </is>
      </c>
      <c r="C607" s="29" t="inlineStr">
        <is>
          <t>M15</t>
        </is>
      </c>
      <c r="D607" s="29" t="n">
        <v>4734.98</v>
      </c>
      <c r="E607" s="29" t="n">
        <v>4717.79398</v>
      </c>
      <c r="F607" s="29" t="n">
        <v>4695.2428</v>
      </c>
      <c r="G607" s="29" t="n">
        <v>4518.59282</v>
      </c>
      <c r="H607" s="29" t="n">
        <v>4596.05595</v>
      </c>
      <c r="I607" s="29" t="n">
        <v>4755.40355</v>
      </c>
      <c r="J607" s="29" t="n">
        <v>4792.76972</v>
      </c>
      <c r="K607" s="29" t="n">
        <v>4769.97694</v>
      </c>
      <c r="L607" s="29" t="n">
        <v>4716.33597</v>
      </c>
      <c r="M607" s="29" t="n">
        <v>4718.85043</v>
      </c>
      <c r="N607" s="29" t="n">
        <v>4531.36057</v>
      </c>
      <c r="O607" s="29" t="n">
        <v>4556.93783</v>
      </c>
      <c r="Q607" s="29" t="n">
        <v>4671.04402</v>
      </c>
      <c r="R607" s="29" t="n">
        <v>4719.06168</v>
      </c>
      <c r="S607" s="29" t="n">
        <v>4694.87807</v>
      </c>
      <c r="V607" s="29" t="n">
        <v>4638.39883</v>
      </c>
      <c r="AB607" s="29" t="n">
        <v>4733.37555</v>
      </c>
      <c r="AC607" s="29" t="n">
        <v>4733.33643</v>
      </c>
      <c r="AD607" s="29" t="n">
        <v>1</v>
      </c>
    </row>
    <row r="608" ht="14.25" customHeight="1" s="28">
      <c r="A608" s="29" t="n">
        <v>1778148901</v>
      </c>
      <c r="B608" s="29" t="inlineStr">
        <is>
          <t>XAUUSD</t>
        </is>
      </c>
      <c r="C608" s="29" t="inlineStr">
        <is>
          <t>M15</t>
        </is>
      </c>
      <c r="D608" s="29" t="n">
        <v>4732.57</v>
      </c>
      <c r="E608" s="29" t="n">
        <v>4717.79398</v>
      </c>
      <c r="F608" s="29" t="n">
        <v>4695.2428</v>
      </c>
      <c r="G608" s="29" t="n">
        <v>4518.59282</v>
      </c>
      <c r="H608" s="29" t="n">
        <v>4596.05595</v>
      </c>
      <c r="I608" s="29" t="n">
        <v>4755.40355</v>
      </c>
      <c r="J608" s="29" t="n">
        <v>4792.76972</v>
      </c>
      <c r="K608" s="29" t="n">
        <v>4769.97694</v>
      </c>
      <c r="L608" s="29" t="n">
        <v>4716.33597</v>
      </c>
      <c r="M608" s="29" t="n">
        <v>4718.85043</v>
      </c>
      <c r="N608" s="29" t="n">
        <v>4531.36057</v>
      </c>
      <c r="O608" s="29" t="n">
        <v>4556.93783</v>
      </c>
      <c r="Q608" s="29" t="n">
        <v>4671.24646</v>
      </c>
      <c r="R608" s="29" t="n">
        <v>4719.26413</v>
      </c>
      <c r="S608" s="29" t="n">
        <v>4695.08051</v>
      </c>
      <c r="V608" s="29" t="n">
        <v>4638.60127</v>
      </c>
      <c r="AB608" s="29" t="n">
        <v>4733.87262</v>
      </c>
      <c r="AC608" s="29" t="n">
        <v>4733.60452</v>
      </c>
      <c r="AD608" s="29" t="n">
        <v>0</v>
      </c>
    </row>
    <row r="609" ht="14.25" customHeight="1" s="28">
      <c r="A609" s="29" t="n">
        <v>1778149801</v>
      </c>
      <c r="B609" s="29" t="inlineStr">
        <is>
          <t>XAUUSD</t>
        </is>
      </c>
      <c r="C609" s="29" t="inlineStr">
        <is>
          <t>M15</t>
        </is>
      </c>
      <c r="D609" s="29" t="n">
        <v>4739.17</v>
      </c>
      <c r="E609" s="29" t="n">
        <v>4717.79398</v>
      </c>
      <c r="F609" s="29" t="n">
        <v>4695.2428</v>
      </c>
      <c r="G609" s="29" t="n">
        <v>4518.59282</v>
      </c>
      <c r="H609" s="29" t="n">
        <v>4596.05595</v>
      </c>
      <c r="I609" s="29" t="n">
        <v>4755.40355</v>
      </c>
      <c r="J609" s="29" t="n">
        <v>4792.76972</v>
      </c>
      <c r="K609" s="29" t="n">
        <v>4769.97694</v>
      </c>
      <c r="L609" s="29" t="n">
        <v>4716.33597</v>
      </c>
      <c r="M609" s="29" t="n">
        <v>4718.85043</v>
      </c>
      <c r="N609" s="29" t="n">
        <v>4531.36057</v>
      </c>
      <c r="O609" s="29" t="n">
        <v>4556.93783</v>
      </c>
      <c r="Q609" s="29" t="n">
        <v>4671.44891</v>
      </c>
      <c r="R609" s="29" t="n">
        <v>4719.46657</v>
      </c>
      <c r="S609" s="29" t="n">
        <v>4695.28296</v>
      </c>
      <c r="V609" s="29" t="n">
        <v>4638.80372</v>
      </c>
      <c r="AB609" s="29" t="n">
        <v>4734.51391</v>
      </c>
      <c r="AC609" s="29" t="n">
        <v>4734.05922</v>
      </c>
      <c r="AD609" s="29" t="n">
        <v>0</v>
      </c>
    </row>
    <row r="610" ht="14.25" customHeight="1" s="28">
      <c r="A610" s="29" t="n">
        <v>1778150701</v>
      </c>
      <c r="B610" s="29" t="inlineStr">
        <is>
          <t>XAUUSD</t>
        </is>
      </c>
      <c r="C610" s="29" t="inlineStr">
        <is>
          <t>M15</t>
        </is>
      </c>
      <c r="D610" s="29" t="n">
        <v>4735.69</v>
      </c>
      <c r="E610" s="29" t="n">
        <v>4717.79398</v>
      </c>
      <c r="F610" s="29" t="n">
        <v>4695.2428</v>
      </c>
      <c r="G610" s="29" t="n">
        <v>4518.59282</v>
      </c>
      <c r="H610" s="29" t="n">
        <v>4596.05595</v>
      </c>
      <c r="I610" s="29" t="n">
        <v>4755.40355</v>
      </c>
      <c r="J610" s="29" t="n">
        <v>4792.76972</v>
      </c>
      <c r="K610" s="29" t="n">
        <v>4769.97694</v>
      </c>
      <c r="L610" s="29" t="n">
        <v>4716.33597</v>
      </c>
      <c r="M610" s="29" t="n">
        <v>4718.85043</v>
      </c>
      <c r="N610" s="29" t="n">
        <v>4531.36057</v>
      </c>
      <c r="O610" s="29" t="n">
        <v>4556.93783</v>
      </c>
      <c r="Q610" s="29" t="n">
        <v>4671.65135</v>
      </c>
      <c r="R610" s="29" t="n">
        <v>4719.66902</v>
      </c>
      <c r="S610" s="29" t="n">
        <v>4695.48541</v>
      </c>
      <c r="V610" s="29" t="n">
        <v>4639.00616</v>
      </c>
      <c r="AB610" s="29" t="n">
        <v>4735.15298</v>
      </c>
      <c r="AC610" s="29" t="n">
        <v>4734.6061</v>
      </c>
      <c r="AD610" s="29" t="n">
        <v>0</v>
      </c>
    </row>
    <row r="611" ht="14.25" customHeight="1" s="28">
      <c r="A611" s="29" t="n">
        <v>1778151601</v>
      </c>
      <c r="B611" s="29" t="inlineStr">
        <is>
          <t>XAUUSD</t>
        </is>
      </c>
      <c r="C611" s="29" t="inlineStr">
        <is>
          <t>M15</t>
        </is>
      </c>
      <c r="D611" s="29" t="n">
        <v>4730.38</v>
      </c>
      <c r="E611" s="29" t="n">
        <v>4717.79398</v>
      </c>
      <c r="F611" s="29" t="n">
        <v>4695.2428</v>
      </c>
      <c r="G611" s="29" t="n">
        <v>4518.59282</v>
      </c>
      <c r="H611" s="29" t="n">
        <v>4596.05595</v>
      </c>
      <c r="I611" s="29" t="n">
        <v>4755.40355</v>
      </c>
      <c r="J611" s="29" t="n">
        <v>4792.76972</v>
      </c>
      <c r="K611" s="29" t="n">
        <v>4769.97694</v>
      </c>
      <c r="L611" s="29" t="n">
        <v>4716.33597</v>
      </c>
      <c r="M611" s="29" t="n">
        <v>4718.85043</v>
      </c>
      <c r="N611" s="29" t="n">
        <v>4531.36057</v>
      </c>
      <c r="O611" s="29" t="n">
        <v>4556.93783</v>
      </c>
      <c r="Q611" s="29" t="n">
        <v>4671.8538</v>
      </c>
      <c r="R611" s="29" t="n">
        <v>4719.87146</v>
      </c>
      <c r="S611" s="29" t="n">
        <v>4695.68785</v>
      </c>
      <c r="V611" s="29" t="n">
        <v>4639.20861</v>
      </c>
      <c r="AB611" s="29" t="n">
        <v>4735.93392</v>
      </c>
      <c r="AC611" s="29" t="n">
        <v>4735.27001</v>
      </c>
      <c r="AD611" s="29" t="n">
        <v>0</v>
      </c>
    </row>
    <row r="612" ht="14.25" customHeight="1" s="28">
      <c r="A612" s="29" t="n">
        <v>1778152501</v>
      </c>
      <c r="B612" s="29" t="inlineStr">
        <is>
          <t>XAUUSD</t>
        </is>
      </c>
      <c r="C612" s="29" t="inlineStr">
        <is>
          <t>M15</t>
        </is>
      </c>
      <c r="D612" s="29" t="n">
        <v>4732.68</v>
      </c>
      <c r="E612" s="29" t="n">
        <v>4717.79398</v>
      </c>
      <c r="F612" s="29" t="n">
        <v>4695.2428</v>
      </c>
      <c r="G612" s="29" t="n">
        <v>4518.59282</v>
      </c>
      <c r="H612" s="29" t="n">
        <v>4596.05595</v>
      </c>
      <c r="I612" s="29" t="n">
        <v>4755.40355</v>
      </c>
      <c r="J612" s="29" t="n">
        <v>4792.76972</v>
      </c>
      <c r="K612" s="29" t="n">
        <v>4769.97694</v>
      </c>
      <c r="L612" s="29" t="n">
        <v>4716.33597</v>
      </c>
      <c r="M612" s="29" t="n">
        <v>4718.85043</v>
      </c>
      <c r="N612" s="29" t="n">
        <v>4531.36057</v>
      </c>
      <c r="O612" s="29" t="n">
        <v>4556.93783</v>
      </c>
      <c r="Q612" s="29" t="n">
        <v>4672.05625</v>
      </c>
      <c r="R612" s="29" t="n">
        <v>4720.07391</v>
      </c>
      <c r="S612" s="29" t="n">
        <v>4695.8903</v>
      </c>
      <c r="V612" s="29" t="n">
        <v>4639.41105</v>
      </c>
      <c r="AB612" s="29" t="n">
        <v>4737.0452</v>
      </c>
      <c r="AC612" s="29" t="n">
        <v>4736.1576</v>
      </c>
      <c r="AD612" s="29" t="n">
        <v>0</v>
      </c>
    </row>
    <row r="613" ht="14.25" customHeight="1" s="28">
      <c r="A613" s="29" t="n">
        <v>1778153401</v>
      </c>
      <c r="B613" s="29" t="inlineStr">
        <is>
          <t>XAUUSD</t>
        </is>
      </c>
      <c r="C613" s="29" t="inlineStr">
        <is>
          <t>M15</t>
        </is>
      </c>
      <c r="D613" s="29" t="n">
        <v>4736.98</v>
      </c>
      <c r="E613" s="29" t="n">
        <v>4717.79398</v>
      </c>
      <c r="F613" s="29" t="n">
        <v>4695.2428</v>
      </c>
      <c r="G613" s="29" t="n">
        <v>4518.59282</v>
      </c>
      <c r="H613" s="29" t="n">
        <v>4596.05595</v>
      </c>
      <c r="I613" s="29" t="n">
        <v>4755.40355</v>
      </c>
      <c r="J613" s="29" t="n">
        <v>4792.76972</v>
      </c>
      <c r="K613" s="29" t="n">
        <v>4769.97694</v>
      </c>
      <c r="L613" s="29" t="n">
        <v>4716.33597</v>
      </c>
      <c r="M613" s="29" t="n">
        <v>4718.85043</v>
      </c>
      <c r="N613" s="29" t="n">
        <v>4531.36057</v>
      </c>
      <c r="O613" s="29" t="n">
        <v>4556.93783</v>
      </c>
      <c r="Q613" s="29" t="n">
        <v>4672.25869</v>
      </c>
      <c r="R613" s="29" t="n">
        <v>4720.27636</v>
      </c>
      <c r="S613" s="29" t="n">
        <v>4696.09274</v>
      </c>
      <c r="V613" s="29" t="n">
        <v>4639.6135</v>
      </c>
      <c r="AB613" s="29" t="n">
        <v>4738.39214</v>
      </c>
      <c r="AC613" s="29" t="n">
        <v>4737.27487</v>
      </c>
      <c r="AD613" s="29" t="n">
        <v>0</v>
      </c>
    </row>
    <row r="614" ht="14.25" customHeight="1" s="28">
      <c r="A614" s="29" t="n">
        <v>1778154301</v>
      </c>
      <c r="B614" s="29" t="inlineStr">
        <is>
          <t>XAUUSD</t>
        </is>
      </c>
      <c r="C614" s="29" t="inlineStr">
        <is>
          <t>M15</t>
        </is>
      </c>
      <c r="D614" s="29" t="n">
        <v>4742.8</v>
      </c>
      <c r="E614" s="29" t="n">
        <v>4717.79398</v>
      </c>
      <c r="F614" s="29" t="n">
        <v>4695.2428</v>
      </c>
      <c r="G614" s="29" t="n">
        <v>4518.59282</v>
      </c>
      <c r="H614" s="29" t="n">
        <v>4596.05595</v>
      </c>
      <c r="I614" s="29" t="n">
        <v>4755.40355</v>
      </c>
      <c r="J614" s="29" t="n">
        <v>4792.76972</v>
      </c>
      <c r="K614" s="29" t="n">
        <v>4769.97694</v>
      </c>
      <c r="L614" s="29" t="n">
        <v>4716.33597</v>
      </c>
      <c r="M614" s="29" t="n">
        <v>4718.85043</v>
      </c>
      <c r="N614" s="29" t="n">
        <v>4531.36057</v>
      </c>
      <c r="O614" s="29" t="n">
        <v>4556.93783</v>
      </c>
      <c r="Q614" s="29" t="n">
        <v>4672.46114</v>
      </c>
      <c r="R614" s="29" t="n">
        <v>4720.4788</v>
      </c>
      <c r="S614" s="29" t="n">
        <v>4696.29519</v>
      </c>
      <c r="V614" s="29" t="n">
        <v>4639.81595</v>
      </c>
      <c r="AB614" s="29" t="n">
        <v>4739.7729</v>
      </c>
      <c r="AC614" s="29" t="n">
        <v>4738.52389</v>
      </c>
      <c r="AD614" s="29" t="n">
        <v>0</v>
      </c>
    </row>
    <row r="615" ht="14.25" customHeight="1" s="28">
      <c r="A615" s="29" t="n">
        <v>1778155201</v>
      </c>
      <c r="B615" s="29" t="inlineStr">
        <is>
          <t>XAUUSD</t>
        </is>
      </c>
      <c r="C615" s="29" t="inlineStr">
        <is>
          <t>M15</t>
        </is>
      </c>
      <c r="D615" s="29" t="n">
        <v>4744.19</v>
      </c>
      <c r="E615" s="29" t="n">
        <v>4717.79398</v>
      </c>
      <c r="F615" s="29" t="n">
        <v>4695.2428</v>
      </c>
      <c r="G615" s="29" t="n">
        <v>4518.59282</v>
      </c>
      <c r="H615" s="29" t="n">
        <v>4596.05595</v>
      </c>
      <c r="I615" s="29" t="n">
        <v>4755.40355</v>
      </c>
      <c r="J615" s="29" t="n">
        <v>4792.76972</v>
      </c>
      <c r="K615" s="29" t="n">
        <v>4769.97694</v>
      </c>
      <c r="L615" s="29" t="n">
        <v>4716.33597</v>
      </c>
      <c r="M615" s="29" t="n">
        <v>4718.85043</v>
      </c>
      <c r="N615" s="29" t="n">
        <v>4531.36057</v>
      </c>
      <c r="O615" s="29" t="n">
        <v>4556.93783</v>
      </c>
      <c r="Q615" s="29" t="n">
        <v>4672.66358</v>
      </c>
      <c r="R615" s="29" t="n">
        <v>4720.68125</v>
      </c>
      <c r="S615" s="29" t="n">
        <v>4696.49763</v>
      </c>
      <c r="V615" s="29" t="n">
        <v>4640.01839</v>
      </c>
      <c r="AB615" s="29" t="n">
        <v>4740.95372</v>
      </c>
      <c r="AC615" s="29" t="n">
        <v>4739.7388</v>
      </c>
      <c r="AD615" s="29" t="n">
        <v>0</v>
      </c>
    </row>
    <row r="616" ht="14.25" customHeight="1" s="28">
      <c r="A616" s="29" t="n">
        <v>1778156101</v>
      </c>
      <c r="B616" s="29" t="inlineStr">
        <is>
          <t>XAUUSD</t>
        </is>
      </c>
      <c r="C616" s="29" t="inlineStr">
        <is>
          <t>M15</t>
        </is>
      </c>
      <c r="D616" s="29" t="n">
        <v>4738.16</v>
      </c>
      <c r="E616" s="29" t="n">
        <v>4717.79398</v>
      </c>
      <c r="F616" s="29" t="n">
        <v>4695.2428</v>
      </c>
      <c r="G616" s="29" t="n">
        <v>4518.59282</v>
      </c>
      <c r="H616" s="29" t="n">
        <v>4596.05595</v>
      </c>
      <c r="I616" s="29" t="n">
        <v>4755.40355</v>
      </c>
      <c r="J616" s="29" t="n">
        <v>4792.76972</v>
      </c>
      <c r="K616" s="29" t="n">
        <v>4769.97694</v>
      </c>
      <c r="L616" s="29" t="n">
        <v>4716.33597</v>
      </c>
      <c r="M616" s="29" t="n">
        <v>4718.85043</v>
      </c>
      <c r="N616" s="29" t="n">
        <v>4531.36057</v>
      </c>
      <c r="O616" s="29" t="n">
        <v>4556.93783</v>
      </c>
      <c r="Q616" s="29" t="n">
        <v>4672.86603</v>
      </c>
      <c r="R616" s="29" t="n">
        <v>4720.88369</v>
      </c>
      <c r="S616" s="29" t="n">
        <v>4696.70008</v>
      </c>
      <c r="V616" s="29" t="n">
        <v>4640.22084</v>
      </c>
      <c r="AB616" s="29" t="n">
        <v>4741.87414</v>
      </c>
      <c r="AC616" s="29" t="n">
        <v>4740.80647</v>
      </c>
      <c r="AD616" s="29" t="n">
        <v>0</v>
      </c>
    </row>
    <row r="617" ht="14.25" customHeight="1" s="28">
      <c r="A617" s="29" t="n">
        <v>1778157001</v>
      </c>
      <c r="B617" s="29" t="inlineStr">
        <is>
          <t>XAUUSD</t>
        </is>
      </c>
      <c r="C617" s="29" t="inlineStr">
        <is>
          <t>M15</t>
        </is>
      </c>
      <c r="D617" s="29" t="n">
        <v>4751.15</v>
      </c>
      <c r="E617" s="29" t="n">
        <v>4717.79398</v>
      </c>
      <c r="F617" s="29" t="n">
        <v>4695.2428</v>
      </c>
      <c r="G617" s="29" t="n">
        <v>4518.59282</v>
      </c>
      <c r="H617" s="29" t="n">
        <v>4596.05595</v>
      </c>
      <c r="I617" s="29" t="n">
        <v>4755.40355</v>
      </c>
      <c r="J617" s="29" t="n">
        <v>4792.76972</v>
      </c>
      <c r="K617" s="29" t="n">
        <v>4769.97694</v>
      </c>
      <c r="L617" s="29" t="n">
        <v>4716.33597</v>
      </c>
      <c r="M617" s="29" t="n">
        <v>4718.85043</v>
      </c>
      <c r="N617" s="29" t="n">
        <v>4531.36057</v>
      </c>
      <c r="O617" s="29" t="n">
        <v>4556.93783</v>
      </c>
      <c r="Q617" s="29" t="n">
        <v>4673.06847</v>
      </c>
      <c r="R617" s="29" t="n">
        <v>4721.08614</v>
      </c>
      <c r="S617" s="29" t="n">
        <v>4696.90253</v>
      </c>
      <c r="V617" s="29" t="n">
        <v>4640.42328</v>
      </c>
      <c r="AB617" s="29" t="n">
        <v>4742.79778</v>
      </c>
      <c r="AC617" s="29" t="n">
        <v>4741.80213</v>
      </c>
      <c r="AD617" s="29" t="n">
        <v>0</v>
      </c>
    </row>
    <row r="618" ht="14.25" customHeight="1" s="28">
      <c r="A618" s="29" t="n">
        <v>1778157901</v>
      </c>
      <c r="B618" s="29" t="inlineStr">
        <is>
          <t>XAUUSD</t>
        </is>
      </c>
      <c r="C618" s="29" t="inlineStr">
        <is>
          <t>M15</t>
        </is>
      </c>
      <c r="D618" s="29" t="n">
        <v>4749.99</v>
      </c>
      <c r="E618" s="29" t="n">
        <v>4717.79398</v>
      </c>
      <c r="F618" s="29" t="n">
        <v>4695.2428</v>
      </c>
      <c r="G618" s="29" t="n">
        <v>4518.59282</v>
      </c>
      <c r="H618" s="29" t="n">
        <v>4596.05595</v>
      </c>
      <c r="I618" s="29" t="n">
        <v>4755.40355</v>
      </c>
      <c r="J618" s="29" t="n">
        <v>4792.76972</v>
      </c>
      <c r="K618" s="29" t="n">
        <v>4769.97694</v>
      </c>
      <c r="L618" s="29" t="n">
        <v>4716.33597</v>
      </c>
      <c r="M618" s="29" t="n">
        <v>4718.85043</v>
      </c>
      <c r="N618" s="29" t="n">
        <v>4531.36057</v>
      </c>
      <c r="O618" s="29" t="n">
        <v>4556.93783</v>
      </c>
      <c r="Q618" s="29" t="n">
        <v>4673.27092</v>
      </c>
      <c r="R618" s="29" t="n">
        <v>4721.28858</v>
      </c>
      <c r="S618" s="29" t="n">
        <v>4697.10497</v>
      </c>
      <c r="V618" s="29" t="n">
        <v>4640.62573</v>
      </c>
      <c r="AB618" s="29" t="n">
        <v>4743.52104</v>
      </c>
      <c r="AC618" s="29" t="n">
        <v>4742.66158</v>
      </c>
      <c r="AD618" s="29" t="n">
        <v>0</v>
      </c>
    </row>
    <row r="619" ht="14.25" customHeight="1" s="28">
      <c r="A619" s="29" t="n">
        <v>1778158801</v>
      </c>
      <c r="B619" s="29" t="inlineStr">
        <is>
          <t>XAUUSD</t>
        </is>
      </c>
      <c r="C619" s="29" t="inlineStr">
        <is>
          <t>M15</t>
        </is>
      </c>
      <c r="D619" s="29" t="n">
        <v>4733.46</v>
      </c>
      <c r="E619" s="29" t="n">
        <v>4717.79398</v>
      </c>
      <c r="F619" s="29" t="n">
        <v>4695.2428</v>
      </c>
      <c r="G619" s="29" t="n">
        <v>4518.59282</v>
      </c>
      <c r="H619" s="29" t="n">
        <v>4596.05595</v>
      </c>
      <c r="I619" s="29" t="n">
        <v>4755.40355</v>
      </c>
      <c r="J619" s="29" t="n">
        <v>4792.76972</v>
      </c>
      <c r="K619" s="29" t="n">
        <v>4769.97694</v>
      </c>
      <c r="L619" s="29" t="n">
        <v>4716.33597</v>
      </c>
      <c r="M619" s="29" t="n">
        <v>4718.85043</v>
      </c>
      <c r="N619" s="29" t="n">
        <v>4531.36057</v>
      </c>
      <c r="O619" s="29" t="n">
        <v>4556.93783</v>
      </c>
      <c r="Q619" s="29" t="n">
        <v>4673.47337</v>
      </c>
      <c r="R619" s="29" t="n">
        <v>4721.49103</v>
      </c>
      <c r="S619" s="29" t="n">
        <v>4697.30742</v>
      </c>
      <c r="V619" s="29" t="n">
        <v>4640.82817</v>
      </c>
      <c r="AB619" s="29" t="n">
        <v>4744.33363</v>
      </c>
      <c r="AC619" s="29" t="n">
        <v>4743.49761</v>
      </c>
      <c r="AD619" s="29" t="n">
        <v>0</v>
      </c>
    </row>
    <row r="620" ht="14.25" customHeight="1" s="28">
      <c r="A620" s="29" t="n">
        <v>1778159701</v>
      </c>
      <c r="B620" s="29" t="inlineStr">
        <is>
          <t>XAUUSD</t>
        </is>
      </c>
      <c r="C620" s="29" t="inlineStr">
        <is>
          <t>M15</t>
        </is>
      </c>
      <c r="D620" s="29" t="n">
        <v>4745.53</v>
      </c>
      <c r="E620" s="29" t="n">
        <v>4717.79398</v>
      </c>
      <c r="F620" s="29" t="n">
        <v>4695.2428</v>
      </c>
      <c r="G620" s="29" t="n">
        <v>4518.59282</v>
      </c>
      <c r="H620" s="29" t="n">
        <v>4596.05595</v>
      </c>
      <c r="I620" s="29" t="n">
        <v>4755.40355</v>
      </c>
      <c r="J620" s="29" t="n">
        <v>4792.76972</v>
      </c>
      <c r="K620" s="29" t="n">
        <v>4769.97694</v>
      </c>
      <c r="L620" s="29" t="n">
        <v>4716.33597</v>
      </c>
      <c r="M620" s="29" t="n">
        <v>4718.85043</v>
      </c>
      <c r="N620" s="29" t="n">
        <v>4531.36057</v>
      </c>
      <c r="O620" s="29" t="n">
        <v>4556.93783</v>
      </c>
      <c r="Q620" s="29" t="n">
        <v>4673.67581</v>
      </c>
      <c r="R620" s="29" t="n">
        <v>4721.69348</v>
      </c>
      <c r="S620" s="29" t="n">
        <v>4697.50986</v>
      </c>
      <c r="V620" s="29" t="n">
        <v>4641.03062</v>
      </c>
      <c r="AB620" s="29" t="n">
        <v>4745.9274</v>
      </c>
      <c r="AC620" s="29" t="n">
        <v>4744.71251</v>
      </c>
      <c r="AD620" s="29" t="n">
        <v>0</v>
      </c>
    </row>
    <row r="621" ht="14.25" customHeight="1" s="28">
      <c r="A621" s="29" t="n">
        <v>1778160601</v>
      </c>
      <c r="B621" s="29" t="inlineStr">
        <is>
          <t>XAUUSD</t>
        </is>
      </c>
      <c r="C621" s="29" t="inlineStr">
        <is>
          <t>M15</t>
        </is>
      </c>
      <c r="D621" s="29" t="n">
        <v>4748.49</v>
      </c>
      <c r="E621" s="29" t="n">
        <v>4717.79398</v>
      </c>
      <c r="F621" s="29" t="n">
        <v>4695.2428</v>
      </c>
      <c r="G621" s="29" t="n">
        <v>4518.59282</v>
      </c>
      <c r="H621" s="29" t="n">
        <v>4596.05595</v>
      </c>
      <c r="I621" s="29" t="n">
        <v>4755.40355</v>
      </c>
      <c r="J621" s="29" t="n">
        <v>4792.76972</v>
      </c>
      <c r="K621" s="29" t="n">
        <v>4769.97694</v>
      </c>
      <c r="L621" s="29" t="n">
        <v>4716.33597</v>
      </c>
      <c r="M621" s="29" t="n">
        <v>4718.85043</v>
      </c>
      <c r="N621" s="29" t="n">
        <v>4531.36057</v>
      </c>
      <c r="O621" s="29" t="n">
        <v>4556.93783</v>
      </c>
      <c r="Q621" s="29" t="n">
        <v>4673.87826</v>
      </c>
      <c r="R621" s="29" t="n">
        <v>4721.89592</v>
      </c>
      <c r="S621" s="29" t="n">
        <v>4697.71231</v>
      </c>
      <c r="V621" s="29" t="n">
        <v>4641.23307</v>
      </c>
      <c r="AB621" s="29" t="n">
        <v>4748.07254</v>
      </c>
      <c r="AC621" s="29" t="n">
        <v>4746.39252</v>
      </c>
      <c r="AD621" s="29" t="n">
        <v>0</v>
      </c>
    </row>
    <row r="622" ht="14.25" customHeight="1" s="28">
      <c r="A622" s="29" t="n">
        <v>1778161501</v>
      </c>
      <c r="B622" s="29" t="inlineStr">
        <is>
          <t>XAUUSD</t>
        </is>
      </c>
      <c r="C622" s="29" t="inlineStr">
        <is>
          <t>M15</t>
        </is>
      </c>
      <c r="D622" s="29" t="n">
        <v>4746.18</v>
      </c>
      <c r="E622" s="29" t="n">
        <v>4717.79398</v>
      </c>
      <c r="F622" s="29" t="n">
        <v>4695.2428</v>
      </c>
      <c r="G622" s="29" t="n">
        <v>4518.59282</v>
      </c>
      <c r="H622" s="29" t="n">
        <v>4596.05595</v>
      </c>
      <c r="I622" s="29" t="n">
        <v>4755.40355</v>
      </c>
      <c r="J622" s="29" t="n">
        <v>4792.76972</v>
      </c>
      <c r="K622" s="29" t="n">
        <v>4769.97694</v>
      </c>
      <c r="L622" s="29" t="n">
        <v>4716.33597</v>
      </c>
      <c r="M622" s="29" t="n">
        <v>4718.85043</v>
      </c>
      <c r="N622" s="29" t="n">
        <v>4531.36057</v>
      </c>
      <c r="O622" s="29" t="n">
        <v>4556.93783</v>
      </c>
      <c r="Q622" s="29" t="n">
        <v>4674.0807</v>
      </c>
      <c r="R622" s="29" t="n">
        <v>4722.09837</v>
      </c>
      <c r="S622" s="29" t="n">
        <v>4697.91475</v>
      </c>
      <c r="V622" s="29" t="n">
        <v>4641.43551</v>
      </c>
      <c r="AB622" s="29" t="n">
        <v>4750.51601</v>
      </c>
      <c r="AC622" s="29" t="n">
        <v>4748.45426</v>
      </c>
      <c r="AD622" s="29" t="n">
        <v>0</v>
      </c>
    </row>
    <row r="623" ht="14.25" customHeight="1" s="28">
      <c r="A623" s="29" t="n">
        <v>1778162401</v>
      </c>
      <c r="B623" s="29" t="inlineStr">
        <is>
          <t>XAUUSD</t>
        </is>
      </c>
      <c r="C623" s="29" t="inlineStr">
        <is>
          <t>M15</t>
        </is>
      </c>
      <c r="D623" s="29" t="n">
        <v>4752.05</v>
      </c>
      <c r="E623" s="29" t="n">
        <v>4717.79398</v>
      </c>
      <c r="F623" s="29" t="n">
        <v>4695.2428</v>
      </c>
      <c r="G623" s="29" t="n">
        <v>4518.59282</v>
      </c>
      <c r="H623" s="29" t="n">
        <v>4596.05595</v>
      </c>
      <c r="I623" s="29" t="n">
        <v>4755.40355</v>
      </c>
      <c r="J623" s="29" t="n">
        <v>4792.76972</v>
      </c>
      <c r="K623" s="29" t="n">
        <v>4769.97694</v>
      </c>
      <c r="L623" s="29" t="n">
        <v>4716.33597</v>
      </c>
      <c r="M623" s="29" t="n">
        <v>4718.85043</v>
      </c>
      <c r="N623" s="29" t="n">
        <v>4531.36057</v>
      </c>
      <c r="O623" s="29" t="n">
        <v>4556.93783</v>
      </c>
      <c r="Q623" s="29" t="n">
        <v>4674.28315</v>
      </c>
      <c r="R623" s="29" t="n">
        <v>4722.30081</v>
      </c>
      <c r="S623" s="29" t="n">
        <v>4698.1172</v>
      </c>
      <c r="V623" s="29" t="n">
        <v>4641.63796</v>
      </c>
      <c r="AB623" s="29" t="n">
        <v>4752.94184</v>
      </c>
      <c r="AC623" s="29" t="n">
        <v>4750.69805</v>
      </c>
      <c r="AD623" s="29" t="n">
        <v>0</v>
      </c>
    </row>
    <row r="624" ht="14.25" customHeight="1" s="28">
      <c r="A624" s="29" t="n">
        <v>1778163301</v>
      </c>
      <c r="B624" s="29" t="inlineStr">
        <is>
          <t>XAUUSD</t>
        </is>
      </c>
      <c r="C624" s="29" t="inlineStr">
        <is>
          <t>M15</t>
        </is>
      </c>
      <c r="D624" s="29" t="n">
        <v>4756.66</v>
      </c>
      <c r="E624" s="29" t="n">
        <v>4717.79398</v>
      </c>
      <c r="F624" s="29" t="n">
        <v>4695.2428</v>
      </c>
      <c r="G624" s="29" t="n">
        <v>4518.59282</v>
      </c>
      <c r="H624" s="29" t="n">
        <v>4596.05595</v>
      </c>
      <c r="I624" s="29" t="n">
        <v>4755.40355</v>
      </c>
      <c r="J624" s="29" t="n">
        <v>4792.76972</v>
      </c>
      <c r="K624" s="29" t="n">
        <v>4769.97694</v>
      </c>
      <c r="L624" s="29" t="n">
        <v>4716.33597</v>
      </c>
      <c r="M624" s="29" t="n">
        <v>4718.85043</v>
      </c>
      <c r="N624" s="29" t="n">
        <v>4531.36057</v>
      </c>
      <c r="O624" s="29" t="n">
        <v>4556.93783</v>
      </c>
      <c r="Q624" s="29" t="n">
        <v>4674.48559</v>
      </c>
      <c r="R624" s="29" t="n">
        <v>4722.50326</v>
      </c>
      <c r="S624" s="29" t="n">
        <v>4698.31965</v>
      </c>
      <c r="V624" s="29" t="n">
        <v>4641.8404</v>
      </c>
      <c r="AB624" s="29" t="n">
        <v>4754.63852</v>
      </c>
      <c r="AC624" s="29" t="n">
        <v>4752.66829</v>
      </c>
      <c r="AD624" s="29" t="n">
        <v>0</v>
      </c>
    </row>
    <row r="625" ht="14.25" customHeight="1" s="28">
      <c r="A625" s="29" t="n">
        <v>1778164201</v>
      </c>
      <c r="B625" s="29" t="inlineStr">
        <is>
          <t>XAUUSD</t>
        </is>
      </c>
      <c r="C625" s="29" t="inlineStr">
        <is>
          <t>M15</t>
        </is>
      </c>
      <c r="D625" s="29" t="n">
        <v>4751.91</v>
      </c>
      <c r="E625" s="29" t="n">
        <v>4717.79398</v>
      </c>
      <c r="F625" s="29" t="n">
        <v>4695.2428</v>
      </c>
      <c r="G625" s="29" t="n">
        <v>4518.59282</v>
      </c>
      <c r="H625" s="29" t="n">
        <v>4596.05595</v>
      </c>
      <c r="I625" s="29" t="n">
        <v>4755.40355</v>
      </c>
      <c r="J625" s="29" t="n">
        <v>4792.76972</v>
      </c>
      <c r="K625" s="29" t="n">
        <v>4769.97694</v>
      </c>
      <c r="L625" s="29" t="n">
        <v>4716.33597</v>
      </c>
      <c r="M625" s="29" t="n">
        <v>4718.85043</v>
      </c>
      <c r="N625" s="29" t="n">
        <v>4531.36057</v>
      </c>
      <c r="O625" s="29" t="n">
        <v>4556.93783</v>
      </c>
      <c r="Q625" s="29" t="n">
        <v>4674.68804</v>
      </c>
      <c r="R625" s="29" t="n">
        <v>4722.7057</v>
      </c>
      <c r="S625" s="29" t="n">
        <v>4698.52209</v>
      </c>
      <c r="V625" s="29" t="n">
        <v>4642.04285</v>
      </c>
      <c r="AB625" s="29" t="n">
        <v>4754.95669</v>
      </c>
      <c r="AC625" s="29" t="n">
        <v>4753.81249</v>
      </c>
      <c r="AD625" s="29" t="n">
        <v>0</v>
      </c>
    </row>
    <row r="626" ht="14.25" customHeight="1" s="28">
      <c r="A626" s="29" t="n">
        <v>1778165101</v>
      </c>
      <c r="B626" s="29" t="inlineStr">
        <is>
          <t>XAUUSD</t>
        </is>
      </c>
      <c r="C626" s="29" t="inlineStr">
        <is>
          <t>M15</t>
        </is>
      </c>
      <c r="D626" s="29" t="n">
        <v>4762.74</v>
      </c>
      <c r="E626" s="29" t="n">
        <v>4717.79398</v>
      </c>
      <c r="F626" s="29" t="n">
        <v>4695.2428</v>
      </c>
      <c r="G626" s="29" t="n">
        <v>4518.59282</v>
      </c>
      <c r="H626" s="29" t="n">
        <v>4596.05595</v>
      </c>
      <c r="I626" s="29" t="n">
        <v>4755.40355</v>
      </c>
      <c r="J626" s="29" t="n">
        <v>4792.76972</v>
      </c>
      <c r="K626" s="29" t="n">
        <v>4769.97694</v>
      </c>
      <c r="L626" s="29" t="n">
        <v>4716.33597</v>
      </c>
      <c r="M626" s="29" t="n">
        <v>4718.85043</v>
      </c>
      <c r="N626" s="29" t="n">
        <v>4531.36057</v>
      </c>
      <c r="O626" s="29" t="n">
        <v>4556.93783</v>
      </c>
      <c r="Q626" s="29" t="n">
        <v>4674.89049</v>
      </c>
      <c r="R626" s="29" t="n">
        <v>4722.90815</v>
      </c>
      <c r="S626" s="29" t="n">
        <v>4698.72454</v>
      </c>
      <c r="V626" s="29" t="n">
        <v>4642.24529</v>
      </c>
      <c r="AB626" s="29" t="n">
        <v>4753.57583</v>
      </c>
      <c r="AC626" s="29" t="n">
        <v>4753.69416</v>
      </c>
      <c r="AD626" s="29" t="n">
        <v>1</v>
      </c>
    </row>
    <row r="627" ht="14.25" customHeight="1" s="28">
      <c r="A627" s="29" t="n">
        <v>1778166001</v>
      </c>
      <c r="B627" s="29" t="inlineStr">
        <is>
          <t>XAUUSD</t>
        </is>
      </c>
      <c r="C627" s="29" t="inlineStr">
        <is>
          <t>M15</t>
        </is>
      </c>
      <c r="D627" s="29" t="n">
        <v>4754.77</v>
      </c>
      <c r="E627" s="29" t="n">
        <v>4717.79398</v>
      </c>
      <c r="F627" s="29" t="n">
        <v>4695.2428</v>
      </c>
      <c r="G627" s="29" t="n">
        <v>4518.59282</v>
      </c>
      <c r="H627" s="29" t="n">
        <v>4596.05595</v>
      </c>
      <c r="I627" s="29" t="n">
        <v>4755.40355</v>
      </c>
      <c r="J627" s="29" t="n">
        <v>4792.76972</v>
      </c>
      <c r="K627" s="29" t="n">
        <v>4769.97694</v>
      </c>
      <c r="L627" s="29" t="n">
        <v>4716.33597</v>
      </c>
      <c r="M627" s="29" t="n">
        <v>4718.85043</v>
      </c>
      <c r="N627" s="29" t="n">
        <v>4531.36057</v>
      </c>
      <c r="O627" s="29" t="n">
        <v>4556.93783</v>
      </c>
      <c r="Q627" s="29" t="n">
        <v>4675.09293</v>
      </c>
      <c r="R627" s="29" t="n">
        <v>4723.1106</v>
      </c>
      <c r="S627" s="29" t="n">
        <v>4698.92698</v>
      </c>
      <c r="V627" s="29" t="n">
        <v>4642.44774</v>
      </c>
      <c r="Z627" s="29" t="n">
        <v>4764.7</v>
      </c>
      <c r="AB627" s="29" t="n">
        <v>4750.00249</v>
      </c>
      <c r="AC627" s="29" t="n">
        <v>4751.84833</v>
      </c>
      <c r="AD627" s="29" t="n">
        <v>0</v>
      </c>
    </row>
    <row r="628" ht="14.25" customHeight="1" s="28">
      <c r="A628" s="29" t="n">
        <v>1778166901</v>
      </c>
      <c r="B628" s="29" t="inlineStr">
        <is>
          <t>XAUUSD</t>
        </is>
      </c>
      <c r="C628" s="29" t="inlineStr">
        <is>
          <t>M15</t>
        </is>
      </c>
      <c r="D628" s="29" t="n">
        <v>4740.18</v>
      </c>
      <c r="E628" s="29" t="n">
        <v>4717.79398</v>
      </c>
      <c r="F628" s="29" t="n">
        <v>4695.2428</v>
      </c>
      <c r="G628" s="29" t="n">
        <v>4518.59282</v>
      </c>
      <c r="H628" s="29" t="n">
        <v>4596.05595</v>
      </c>
      <c r="I628" s="29" t="n">
        <v>4755.40355</v>
      </c>
      <c r="J628" s="29" t="n">
        <v>4792.76972</v>
      </c>
      <c r="K628" s="29" t="n">
        <v>4769.97694</v>
      </c>
      <c r="L628" s="29" t="n">
        <v>4716.33597</v>
      </c>
      <c r="M628" s="29" t="n">
        <v>4718.85043</v>
      </c>
      <c r="N628" s="29" t="n">
        <v>4531.36057</v>
      </c>
      <c r="O628" s="29" t="n">
        <v>4556.93783</v>
      </c>
      <c r="Q628" s="29" t="n">
        <v>4675.29538</v>
      </c>
      <c r="R628" s="29" t="n">
        <v>4723.31304</v>
      </c>
      <c r="S628" s="29" t="n">
        <v>4699.12943</v>
      </c>
      <c r="V628" s="29" t="n">
        <v>4642.65019</v>
      </c>
      <c r="AB628" s="29" t="n">
        <v>4744.53907</v>
      </c>
      <c r="AC628" s="29" t="n">
        <v>4748.1937</v>
      </c>
      <c r="AD628" s="29" t="n">
        <v>0</v>
      </c>
    </row>
    <row r="629" ht="14.25" customHeight="1" s="28">
      <c r="A629" s="29" t="n">
        <v>1778167801</v>
      </c>
      <c r="B629" s="29" t="inlineStr">
        <is>
          <t>XAUUSD</t>
        </is>
      </c>
      <c r="C629" s="29" t="inlineStr">
        <is>
          <t>M15</t>
        </is>
      </c>
      <c r="D629" s="29" t="n">
        <v>4738.92</v>
      </c>
      <c r="E629" s="29" t="n">
        <v>4717.79398</v>
      </c>
      <c r="F629" s="29" t="n">
        <v>4695.2428</v>
      </c>
      <c r="G629" s="29" t="n">
        <v>4518.59282</v>
      </c>
      <c r="H629" s="29" t="n">
        <v>4596.05595</v>
      </c>
      <c r="I629" s="29" t="n">
        <v>4755.40355</v>
      </c>
      <c r="J629" s="29" t="n">
        <v>4792.76972</v>
      </c>
      <c r="K629" s="29" t="n">
        <v>4769.97694</v>
      </c>
      <c r="L629" s="29" t="n">
        <v>4716.33597</v>
      </c>
      <c r="M629" s="29" t="n">
        <v>4718.85043</v>
      </c>
      <c r="N629" s="29" t="n">
        <v>4531.36057</v>
      </c>
      <c r="O629" s="29" t="n">
        <v>4556.93783</v>
      </c>
      <c r="Q629" s="29" t="n">
        <v>4675.49782</v>
      </c>
      <c r="R629" s="29" t="n">
        <v>4723.51549</v>
      </c>
      <c r="S629" s="29" t="n">
        <v>4699.33187</v>
      </c>
      <c r="V629" s="29" t="n">
        <v>4642.85263</v>
      </c>
      <c r="AB629" s="29" t="n">
        <v>4737.92792</v>
      </c>
      <c r="AC629" s="29" t="n">
        <v>4743.06081</v>
      </c>
      <c r="AD629" s="29" t="n">
        <v>0</v>
      </c>
    </row>
    <row r="630" ht="14.25" customHeight="1" s="28">
      <c r="A630" s="29" t="n">
        <v>1778168701</v>
      </c>
      <c r="B630" s="29" t="inlineStr">
        <is>
          <t>XAUUSD</t>
        </is>
      </c>
      <c r="C630" s="29" t="inlineStr">
        <is>
          <t>M15</t>
        </is>
      </c>
      <c r="D630" s="29" t="n">
        <v>4729.17</v>
      </c>
      <c r="E630" s="29" t="n">
        <v>4717.79398</v>
      </c>
      <c r="F630" s="29" t="n">
        <v>4695.2428</v>
      </c>
      <c r="G630" s="29" t="n">
        <v>4518.59282</v>
      </c>
      <c r="H630" s="29" t="n">
        <v>4596.05595</v>
      </c>
      <c r="I630" s="29" t="n">
        <v>4755.40355</v>
      </c>
      <c r="J630" s="29" t="n">
        <v>4792.76972</v>
      </c>
      <c r="K630" s="29" t="n">
        <v>4769.97694</v>
      </c>
      <c r="L630" s="29" t="n">
        <v>4716.33597</v>
      </c>
      <c r="M630" s="29" t="n">
        <v>4718.85043</v>
      </c>
      <c r="N630" s="29" t="n">
        <v>4531.36057</v>
      </c>
      <c r="O630" s="29" t="n">
        <v>4556.93783</v>
      </c>
      <c r="Q630" s="29" t="n">
        <v>4675.70027</v>
      </c>
      <c r="R630" s="29" t="n">
        <v>4723.71793</v>
      </c>
      <c r="S630" s="29" t="n">
        <v>4699.53432</v>
      </c>
      <c r="V630" s="29" t="n">
        <v>4643.05508</v>
      </c>
      <c r="AB630" s="29" t="n">
        <v>4730.71071</v>
      </c>
      <c r="AC630" s="29" t="n">
        <v>4736.88576</v>
      </c>
      <c r="AD630" s="29" t="n">
        <v>0</v>
      </c>
    </row>
    <row r="631" ht="14.25" customHeight="1" s="28">
      <c r="A631" s="29" t="n">
        <v>1778169601</v>
      </c>
      <c r="B631" s="29" t="inlineStr">
        <is>
          <t>XAUUSD</t>
        </is>
      </c>
      <c r="C631" s="29" t="inlineStr">
        <is>
          <t>M15</t>
        </is>
      </c>
      <c r="D631" s="29" t="n">
        <v>4714.99</v>
      </c>
      <c r="E631" s="29" t="n">
        <v>4717.79398</v>
      </c>
      <c r="F631" s="29" t="n">
        <v>4695.2428</v>
      </c>
      <c r="G631" s="29" t="n">
        <v>4518.59282</v>
      </c>
      <c r="H631" s="29" t="n">
        <v>4596.05595</v>
      </c>
      <c r="I631" s="29" t="n">
        <v>4755.40355</v>
      </c>
      <c r="J631" s="29" t="n">
        <v>4792.76972</v>
      </c>
      <c r="K631" s="29" t="n">
        <v>4769.97694</v>
      </c>
      <c r="L631" s="29" t="n">
        <v>4716.33597</v>
      </c>
      <c r="M631" s="29" t="n">
        <v>4718.85043</v>
      </c>
      <c r="N631" s="29" t="n">
        <v>4531.36057</v>
      </c>
      <c r="O631" s="29" t="n">
        <v>4556.93783</v>
      </c>
      <c r="Q631" s="29" t="n">
        <v>4675.90271</v>
      </c>
      <c r="R631" s="29" t="n">
        <v>4723.92038</v>
      </c>
      <c r="S631" s="29" t="n">
        <v>4699.73677</v>
      </c>
      <c r="V631" s="29" t="n">
        <v>4643.25752</v>
      </c>
      <c r="AB631" s="29" t="n">
        <v>4723.70758</v>
      </c>
      <c r="AC631" s="29" t="n">
        <v>4730.29667</v>
      </c>
      <c r="AD631" s="29" t="n">
        <v>0</v>
      </c>
    </row>
    <row r="632" ht="14.25" customHeight="1" s="28">
      <c r="A632" s="29" t="n">
        <v>1778170501</v>
      </c>
      <c r="B632" s="29" t="inlineStr">
        <is>
          <t>XAUUSD</t>
        </is>
      </c>
      <c r="C632" s="29" t="inlineStr">
        <is>
          <t>M15</t>
        </is>
      </c>
      <c r="D632" s="29" t="n">
        <v>4719.84</v>
      </c>
      <c r="E632" s="29" t="n">
        <v>4717.79398</v>
      </c>
      <c r="F632" s="29" t="n">
        <v>4695.2428</v>
      </c>
      <c r="G632" s="29" t="n">
        <v>4518.59282</v>
      </c>
      <c r="H632" s="29" t="n">
        <v>4596.05595</v>
      </c>
      <c r="I632" s="29" t="n">
        <v>4755.40355</v>
      </c>
      <c r="J632" s="29" t="n">
        <v>4792.76972</v>
      </c>
      <c r="K632" s="29" t="n">
        <v>4769.97694</v>
      </c>
      <c r="L632" s="29" t="n">
        <v>4716.33597</v>
      </c>
      <c r="M632" s="29" t="n">
        <v>4718.85043</v>
      </c>
      <c r="N632" s="29" t="n">
        <v>4531.36057</v>
      </c>
      <c r="O632" s="29" t="n">
        <v>4556.93783</v>
      </c>
      <c r="Q632" s="29" t="n">
        <v>4676.10516</v>
      </c>
      <c r="R632" s="29" t="n">
        <v>4724.12282</v>
      </c>
      <c r="S632" s="29" t="n">
        <v>4699.93921</v>
      </c>
      <c r="V632" s="29" t="n">
        <v>4643.45997</v>
      </c>
      <c r="AB632" s="29" t="n">
        <v>4717.73927</v>
      </c>
      <c r="AC632" s="29" t="n">
        <v>4724.01797</v>
      </c>
      <c r="AD632" s="29" t="n">
        <v>0</v>
      </c>
    </row>
    <row r="633" ht="14.25" customHeight="1" s="28">
      <c r="A633" s="29" t="n">
        <v>1778171401</v>
      </c>
      <c r="B633" s="29" t="inlineStr">
        <is>
          <t>XAUUSD</t>
        </is>
      </c>
      <c r="C633" s="29" t="inlineStr">
        <is>
          <t>M15</t>
        </is>
      </c>
      <c r="D633" s="29" t="n">
        <v>4711.23</v>
      </c>
      <c r="E633" s="29" t="n">
        <v>4717.79398</v>
      </c>
      <c r="F633" s="29" t="n">
        <v>4695.2428</v>
      </c>
      <c r="G633" s="29" t="n">
        <v>4518.59282</v>
      </c>
      <c r="H633" s="29" t="n">
        <v>4596.05595</v>
      </c>
      <c r="I633" s="29" t="n">
        <v>4755.40355</v>
      </c>
      <c r="J633" s="29" t="n">
        <v>4792.76972</v>
      </c>
      <c r="K633" s="29" t="n">
        <v>4769.97694</v>
      </c>
      <c r="L633" s="29" t="n">
        <v>4716.33597</v>
      </c>
      <c r="M633" s="29" t="n">
        <v>4718.85043</v>
      </c>
      <c r="N633" s="29" t="n">
        <v>4531.36057</v>
      </c>
      <c r="O633" s="29" t="n">
        <v>4556.93783</v>
      </c>
      <c r="Q633" s="29" t="n">
        <v>4676.30761</v>
      </c>
      <c r="R633" s="29" t="n">
        <v>4724.32527</v>
      </c>
      <c r="S633" s="29" t="n">
        <v>4700.14166</v>
      </c>
      <c r="V633" s="29" t="n">
        <v>4643.66241</v>
      </c>
      <c r="AB633" s="29" t="n">
        <v>4712.9297</v>
      </c>
      <c r="AC633" s="29" t="n">
        <v>4718.47384</v>
      </c>
      <c r="AD633" s="29" t="n">
        <v>0</v>
      </c>
    </row>
    <row r="634" ht="14.25" customHeight="1" s="28">
      <c r="A634" s="29" t="n">
        <v>1778172301</v>
      </c>
      <c r="B634" s="29" t="inlineStr">
        <is>
          <t>XAUUSD</t>
        </is>
      </c>
      <c r="C634" s="29" t="inlineStr">
        <is>
          <t>M15</t>
        </is>
      </c>
      <c r="D634" s="29" t="n">
        <v>4715</v>
      </c>
      <c r="E634" s="29" t="n">
        <v>4717.79398</v>
      </c>
      <c r="F634" s="29" t="n">
        <v>4695.2428</v>
      </c>
      <c r="G634" s="29" t="n">
        <v>4518.59282</v>
      </c>
      <c r="H634" s="29" t="n">
        <v>4596.05595</v>
      </c>
      <c r="I634" s="29" t="n">
        <v>4755.40355</v>
      </c>
      <c r="J634" s="29" t="n">
        <v>4792.76972</v>
      </c>
      <c r="K634" s="29" t="n">
        <v>4769.97694</v>
      </c>
      <c r="L634" s="29" t="n">
        <v>4716.33597</v>
      </c>
      <c r="M634" s="29" t="n">
        <v>4718.85043</v>
      </c>
      <c r="N634" s="29" t="n">
        <v>4531.36057</v>
      </c>
      <c r="O634" s="29" t="n">
        <v>4556.93783</v>
      </c>
      <c r="Q634" s="29" t="n">
        <v>4676.51005</v>
      </c>
      <c r="R634" s="29" t="n">
        <v>4724.52772</v>
      </c>
      <c r="S634" s="29" t="n">
        <v>4700.3441</v>
      </c>
      <c r="V634" s="29" t="n">
        <v>4643.86486</v>
      </c>
      <c r="AB634" s="29" t="n">
        <v>4709.52521</v>
      </c>
      <c r="AC634" s="29" t="n">
        <v>4713.99952</v>
      </c>
      <c r="AD634" s="29" t="n">
        <v>0</v>
      </c>
    </row>
    <row r="635" ht="14.25" customHeight="1" s="28">
      <c r="A635" s="29" t="n">
        <v>1778173201</v>
      </c>
      <c r="B635" s="29" t="inlineStr">
        <is>
          <t>XAUUSD</t>
        </is>
      </c>
      <c r="C635" s="29" t="inlineStr">
        <is>
          <t>M15</t>
        </is>
      </c>
      <c r="D635" s="29" t="n">
        <v>4714.61</v>
      </c>
      <c r="E635" s="29" t="n">
        <v>4717.79398</v>
      </c>
      <c r="F635" s="29" t="n">
        <v>4695.2428</v>
      </c>
      <c r="G635" s="29" t="n">
        <v>4518.59282</v>
      </c>
      <c r="H635" s="29" t="n">
        <v>4596.05595</v>
      </c>
      <c r="I635" s="29" t="n">
        <v>4755.40355</v>
      </c>
      <c r="J635" s="29" t="n">
        <v>4792.76972</v>
      </c>
      <c r="K635" s="29" t="n">
        <v>4769.97694</v>
      </c>
      <c r="L635" s="29" t="n">
        <v>4716.33597</v>
      </c>
      <c r="M635" s="29" t="n">
        <v>4718.85043</v>
      </c>
      <c r="N635" s="29" t="n">
        <v>4531.36057</v>
      </c>
      <c r="O635" s="29" t="n">
        <v>4556.93783</v>
      </c>
      <c r="Q635" s="29" t="n">
        <v>4676.7125</v>
      </c>
      <c r="R635" s="29" t="n">
        <v>4724.73016</v>
      </c>
      <c r="S635" s="29" t="n">
        <v>4700.54655</v>
      </c>
      <c r="V635" s="29" t="n">
        <v>4644.0673</v>
      </c>
      <c r="AB635" s="29" t="n">
        <v>4707.29405</v>
      </c>
      <c r="AC635" s="29" t="n">
        <v>4710.64678</v>
      </c>
      <c r="AD635" s="29" t="n">
        <v>0</v>
      </c>
    </row>
    <row r="636" ht="14.25" customHeight="1" s="28">
      <c r="A636" s="29" t="n">
        <v>1778174101</v>
      </c>
      <c r="B636" s="29" t="inlineStr">
        <is>
          <t>XAUUSD</t>
        </is>
      </c>
      <c r="C636" s="29" t="inlineStr">
        <is>
          <t>M15</t>
        </is>
      </c>
      <c r="D636" s="29" t="n">
        <v>4699.29</v>
      </c>
      <c r="E636" s="29" t="n">
        <v>4717.79398</v>
      </c>
      <c r="F636" s="29" t="n">
        <v>4695.2428</v>
      </c>
      <c r="G636" s="29" t="n">
        <v>4518.59282</v>
      </c>
      <c r="H636" s="29" t="n">
        <v>4596.05595</v>
      </c>
      <c r="I636" s="29" t="n">
        <v>4755.40355</v>
      </c>
      <c r="J636" s="29" t="n">
        <v>4792.76972</v>
      </c>
      <c r="K636" s="29" t="n">
        <v>4769.97694</v>
      </c>
      <c r="L636" s="29" t="n">
        <v>4716.33597</v>
      </c>
      <c r="M636" s="29" t="n">
        <v>4718.85043</v>
      </c>
      <c r="N636" s="29" t="n">
        <v>4531.36057</v>
      </c>
      <c r="O636" s="29" t="n">
        <v>4556.93783</v>
      </c>
      <c r="Q636" s="29" t="n">
        <v>4676.91494</v>
      </c>
      <c r="R636" s="29" t="n">
        <v>4724.93261</v>
      </c>
      <c r="S636" s="29" t="n">
        <v>4700.74899</v>
      </c>
      <c r="V636" s="29" t="n">
        <v>4644.26975</v>
      </c>
      <c r="AB636" s="29" t="n">
        <v>4706.02639</v>
      </c>
      <c r="AC636" s="29" t="n">
        <v>4708.33659</v>
      </c>
      <c r="AD636" s="29" t="n">
        <v>0</v>
      </c>
    </row>
    <row r="637" ht="14.25" customHeight="1" s="28">
      <c r="A637" s="29" t="n">
        <v>1778175001</v>
      </c>
      <c r="B637" s="29" t="inlineStr">
        <is>
          <t>XAUUSD</t>
        </is>
      </c>
      <c r="C637" s="29" t="inlineStr">
        <is>
          <t>M15</t>
        </is>
      </c>
      <c r="D637" s="29" t="n">
        <v>4699.72</v>
      </c>
      <c r="E637" s="29" t="n">
        <v>4717.79398</v>
      </c>
      <c r="F637" s="29" t="n">
        <v>4695.2428</v>
      </c>
      <c r="G637" s="29" t="n">
        <v>4518.59282</v>
      </c>
      <c r="H637" s="29" t="n">
        <v>4596.05595</v>
      </c>
      <c r="I637" s="29" t="n">
        <v>4755.40355</v>
      </c>
      <c r="J637" s="29" t="n">
        <v>4792.76972</v>
      </c>
      <c r="K637" s="29" t="n">
        <v>4769.97694</v>
      </c>
      <c r="L637" s="29" t="n">
        <v>4716.33597</v>
      </c>
      <c r="M637" s="29" t="n">
        <v>4718.85043</v>
      </c>
      <c r="N637" s="29" t="n">
        <v>4531.36057</v>
      </c>
      <c r="O637" s="29" t="n">
        <v>4556.93783</v>
      </c>
      <c r="Q637" s="29" t="n">
        <v>4677.11739</v>
      </c>
      <c r="R637" s="29" t="n">
        <v>4725.13505</v>
      </c>
      <c r="S637" s="29" t="n">
        <v>4700.95144</v>
      </c>
      <c r="V637" s="29" t="n">
        <v>4644.4722</v>
      </c>
      <c r="AB637" s="29" t="n">
        <v>4705.87867</v>
      </c>
      <c r="AC637" s="29" t="n">
        <v>4707.10763</v>
      </c>
      <c r="AD637" s="29" t="n">
        <v>0</v>
      </c>
    </row>
    <row r="638" ht="14.25" customHeight="1" s="28">
      <c r="A638" s="29" t="n">
        <v>1778175901</v>
      </c>
      <c r="B638" s="29" t="inlineStr">
        <is>
          <t>XAUUSD</t>
        </is>
      </c>
      <c r="C638" s="29" t="inlineStr">
        <is>
          <t>M15</t>
        </is>
      </c>
      <c r="D638" s="29" t="n">
        <v>4711.45</v>
      </c>
      <c r="E638" s="29" t="n">
        <v>4717.79398</v>
      </c>
      <c r="F638" s="29" t="n">
        <v>4695.2428</v>
      </c>
      <c r="G638" s="29" t="n">
        <v>4518.59282</v>
      </c>
      <c r="H638" s="29" t="n">
        <v>4596.05595</v>
      </c>
      <c r="I638" s="29" t="n">
        <v>4755.40355</v>
      </c>
      <c r="J638" s="29" t="n">
        <v>4792.76972</v>
      </c>
      <c r="K638" s="29" t="n">
        <v>4769.97694</v>
      </c>
      <c r="L638" s="29" t="n">
        <v>4716.33597</v>
      </c>
      <c r="M638" s="29" t="n">
        <v>4718.85043</v>
      </c>
      <c r="N638" s="29" t="n">
        <v>4531.36057</v>
      </c>
      <c r="O638" s="29" t="n">
        <v>4556.93783</v>
      </c>
      <c r="Q638" s="29" t="n">
        <v>4677.31983</v>
      </c>
      <c r="R638" s="29" t="n">
        <v>4725.3375</v>
      </c>
      <c r="S638" s="29" t="n">
        <v>4701.15389</v>
      </c>
      <c r="V638" s="29" t="n">
        <v>4644.67464</v>
      </c>
      <c r="AB638" s="29" t="n">
        <v>4706.53825</v>
      </c>
      <c r="AC638" s="29" t="n">
        <v>4706.82294</v>
      </c>
      <c r="AD638" s="29" t="n">
        <v>0</v>
      </c>
    </row>
    <row r="639" ht="14.25" customHeight="1" s="28">
      <c r="A639" s="29" t="n">
        <v>1778176801</v>
      </c>
      <c r="B639" s="29" t="inlineStr">
        <is>
          <t>XAUUSD</t>
        </is>
      </c>
      <c r="C639" s="29" t="inlineStr">
        <is>
          <t>M15</t>
        </is>
      </c>
      <c r="D639" s="29" t="n">
        <v>4708.08</v>
      </c>
      <c r="E639" s="29" t="n">
        <v>4717.79398</v>
      </c>
      <c r="F639" s="29" t="n">
        <v>4695.2428</v>
      </c>
      <c r="G639" s="29" t="n">
        <v>4518.59282</v>
      </c>
      <c r="H639" s="29" t="n">
        <v>4596.05595</v>
      </c>
      <c r="I639" s="29" t="n">
        <v>4755.40355</v>
      </c>
      <c r="J639" s="29" t="n">
        <v>4792.76972</v>
      </c>
      <c r="K639" s="29" t="n">
        <v>4769.97694</v>
      </c>
      <c r="L639" s="29" t="n">
        <v>4716.33597</v>
      </c>
      <c r="M639" s="29" t="n">
        <v>4718.85043</v>
      </c>
      <c r="N639" s="29" t="n">
        <v>4531.36057</v>
      </c>
      <c r="O639" s="29" t="n">
        <v>4556.93783</v>
      </c>
      <c r="Q639" s="29" t="n">
        <v>4677.52228</v>
      </c>
      <c r="R639" s="29" t="n">
        <v>4725.53994</v>
      </c>
      <c r="S639" s="29" t="n">
        <v>4701.35633</v>
      </c>
      <c r="V639" s="29" t="n">
        <v>4644.87709</v>
      </c>
      <c r="AB639" s="29" t="n">
        <v>4707.40678</v>
      </c>
      <c r="AC639" s="29" t="n">
        <v>4707.11486</v>
      </c>
      <c r="AD639" s="29" t="n">
        <v>1</v>
      </c>
    </row>
    <row r="640" ht="14.25" customHeight="1" s="28">
      <c r="A640" s="29" t="n">
        <v>1778177701</v>
      </c>
      <c r="B640" s="29" t="inlineStr">
        <is>
          <t>XAUUSD</t>
        </is>
      </c>
      <c r="C640" s="29" t="inlineStr">
        <is>
          <t>M15</t>
        </is>
      </c>
      <c r="D640" s="29" t="n">
        <v>4712.9</v>
      </c>
      <c r="E640" s="29" t="n">
        <v>4717.79398</v>
      </c>
      <c r="F640" s="29" t="n">
        <v>4695.2428</v>
      </c>
      <c r="G640" s="29" t="n">
        <v>4518.59282</v>
      </c>
      <c r="H640" s="29" t="n">
        <v>4596.05595</v>
      </c>
      <c r="I640" s="29" t="n">
        <v>4755.40355</v>
      </c>
      <c r="J640" s="29" t="n">
        <v>4792.76972</v>
      </c>
      <c r="K640" s="29" t="n">
        <v>4769.97694</v>
      </c>
      <c r="L640" s="29" t="n">
        <v>4716.33597</v>
      </c>
      <c r="M640" s="29" t="n">
        <v>4718.85043</v>
      </c>
      <c r="N640" s="29" t="n">
        <v>4531.36057</v>
      </c>
      <c r="O640" s="29" t="n">
        <v>4556.93783</v>
      </c>
      <c r="Q640" s="29" t="n">
        <v>4677.72473</v>
      </c>
      <c r="R640" s="29" t="n">
        <v>4725.74239</v>
      </c>
      <c r="S640" s="29" t="n">
        <v>4701.55878</v>
      </c>
      <c r="V640" s="29" t="n">
        <v>4645.07953</v>
      </c>
      <c r="AB640" s="29" t="n">
        <v>4708.35741</v>
      </c>
      <c r="AC640" s="29" t="n">
        <v>4707.73613</v>
      </c>
      <c r="AD640" s="29" t="n">
        <v>0</v>
      </c>
    </row>
    <row r="641" ht="14.25" customHeight="1" s="28">
      <c r="A641" s="29" t="n">
        <v>1778178601</v>
      </c>
      <c r="B641" s="29" t="inlineStr">
        <is>
          <t>XAUUSD</t>
        </is>
      </c>
      <c r="C641" s="29" t="inlineStr">
        <is>
          <t>M15</t>
        </is>
      </c>
      <c r="D641" s="29" t="n">
        <v>4705.96</v>
      </c>
      <c r="E641" s="29" t="n">
        <v>4717.79398</v>
      </c>
      <c r="F641" s="29" t="n">
        <v>4695.2428</v>
      </c>
      <c r="G641" s="29" t="n">
        <v>4518.59282</v>
      </c>
      <c r="H641" s="29" t="n">
        <v>4596.05595</v>
      </c>
      <c r="I641" s="29" t="n">
        <v>4755.40355</v>
      </c>
      <c r="J641" s="29" t="n">
        <v>4792.76972</v>
      </c>
      <c r="K641" s="29" t="n">
        <v>4769.97694</v>
      </c>
      <c r="L641" s="29" t="n">
        <v>4716.33597</v>
      </c>
      <c r="M641" s="29" t="n">
        <v>4718.85043</v>
      </c>
      <c r="N641" s="29" t="n">
        <v>4531.36057</v>
      </c>
      <c r="O641" s="29" t="n">
        <v>4556.93783</v>
      </c>
      <c r="Q641" s="29" t="n">
        <v>4677.92717</v>
      </c>
      <c r="R641" s="29" t="n">
        <v>4725.94484</v>
      </c>
      <c r="S641" s="29" t="n">
        <v>4701.76122</v>
      </c>
      <c r="V641" s="29" t="n">
        <v>4645.28198</v>
      </c>
      <c r="AB641" s="29" t="n">
        <v>4709.10357</v>
      </c>
      <c r="AC641" s="29" t="n">
        <v>4708.41985</v>
      </c>
      <c r="AD641" s="29" t="n">
        <v>0</v>
      </c>
    </row>
    <row r="642" ht="14.25" customHeight="1" s="28">
      <c r="A642" s="29" t="n">
        <v>1778179501</v>
      </c>
      <c r="B642" s="29" t="inlineStr">
        <is>
          <t>XAUUSD</t>
        </is>
      </c>
      <c r="C642" s="29" t="inlineStr">
        <is>
          <t>M15</t>
        </is>
      </c>
      <c r="D642" s="29" t="n">
        <v>4709.55</v>
      </c>
      <c r="E642" s="29" t="n">
        <v>4717.79398</v>
      </c>
      <c r="F642" s="29" t="n">
        <v>4695.2428</v>
      </c>
      <c r="G642" s="29" t="n">
        <v>4518.59282</v>
      </c>
      <c r="H642" s="29" t="n">
        <v>4596.05595</v>
      </c>
      <c r="I642" s="29" t="n">
        <v>4755.40355</v>
      </c>
      <c r="J642" s="29" t="n">
        <v>4792.76972</v>
      </c>
      <c r="K642" s="29" t="n">
        <v>4769.97694</v>
      </c>
      <c r="L642" s="29" t="n">
        <v>4716.33597</v>
      </c>
      <c r="M642" s="29" t="n">
        <v>4718.85043</v>
      </c>
      <c r="N642" s="29" t="n">
        <v>4531.36057</v>
      </c>
      <c r="O642" s="29" t="n">
        <v>4556.93783</v>
      </c>
      <c r="Q642" s="29" t="n">
        <v>4678.12962</v>
      </c>
      <c r="R642" s="29" t="n">
        <v>4726.14728</v>
      </c>
      <c r="S642" s="29" t="n">
        <v>4701.96367</v>
      </c>
      <c r="V642" s="29" t="n">
        <v>4645.48442</v>
      </c>
      <c r="AB642" s="29" t="n">
        <v>4709.72996</v>
      </c>
      <c r="AC642" s="29" t="n">
        <v>4709.07491</v>
      </c>
      <c r="AD642" s="29" t="n">
        <v>0</v>
      </c>
    </row>
    <row r="643" ht="14.25" customHeight="1" s="28">
      <c r="A643" s="29" t="n">
        <v>1778180401</v>
      </c>
      <c r="B643" s="29" t="inlineStr">
        <is>
          <t>XAUUSD</t>
        </is>
      </c>
      <c r="C643" s="29" t="inlineStr">
        <is>
          <t>M15</t>
        </is>
      </c>
      <c r="D643" s="29" t="n">
        <v>4710.04</v>
      </c>
      <c r="E643" s="29" t="n">
        <v>4717.79398</v>
      </c>
      <c r="F643" s="29" t="n">
        <v>4695.2428</v>
      </c>
      <c r="G643" s="29" t="n">
        <v>4518.59282</v>
      </c>
      <c r="H643" s="29" t="n">
        <v>4596.05595</v>
      </c>
      <c r="I643" s="29" t="n">
        <v>4755.40355</v>
      </c>
      <c r="J643" s="29" t="n">
        <v>4792.76972</v>
      </c>
      <c r="K643" s="29" t="n">
        <v>4769.97694</v>
      </c>
      <c r="L643" s="29" t="n">
        <v>4716.33597</v>
      </c>
      <c r="M643" s="29" t="n">
        <v>4718.85043</v>
      </c>
      <c r="N643" s="29" t="n">
        <v>4531.36057</v>
      </c>
      <c r="O643" s="29" t="n">
        <v>4556.93783</v>
      </c>
      <c r="Q643" s="29" t="n">
        <v>4678.33206</v>
      </c>
      <c r="R643" s="29" t="n">
        <v>4726.34973</v>
      </c>
      <c r="S643" s="29" t="n">
        <v>4702.16611</v>
      </c>
      <c r="V643" s="29" t="n">
        <v>4645.68687</v>
      </c>
      <c r="AB643" s="29" t="n">
        <v>4710.04</v>
      </c>
      <c r="AC643" s="29" t="n">
        <v>4709.55746</v>
      </c>
      <c r="AD643" s="29" t="n">
        <v>0</v>
      </c>
    </row>
    <row r="644" ht="14.25" customHeight="1" s="28">
      <c r="A644" s="29" t="n">
        <v>1778181301</v>
      </c>
      <c r="B644" s="29" t="inlineStr">
        <is>
          <t>XAUUSD</t>
        </is>
      </c>
      <c r="C644" s="29" t="inlineStr">
        <is>
          <t>M15</t>
        </is>
      </c>
      <c r="D644" s="29" t="n">
        <v>4705.05</v>
      </c>
      <c r="E644" s="29" t="n">
        <v>4717.79398</v>
      </c>
      <c r="F644" s="29" t="n">
        <v>4695.2428</v>
      </c>
      <c r="G644" s="29" t="n">
        <v>4518.59282</v>
      </c>
      <c r="H644" s="29" t="n">
        <v>4596.05595</v>
      </c>
      <c r="I644" s="29" t="n">
        <v>4755.40355</v>
      </c>
      <c r="J644" s="29" t="n">
        <v>4792.76972</v>
      </c>
      <c r="K644" s="29" t="n">
        <v>4769.97694</v>
      </c>
      <c r="L644" s="29" t="n">
        <v>4716.33597</v>
      </c>
      <c r="M644" s="29" t="n">
        <v>4718.85043</v>
      </c>
      <c r="N644" s="29" t="n">
        <v>4531.36057</v>
      </c>
      <c r="O644" s="29" t="n">
        <v>4556.93783</v>
      </c>
      <c r="Q644" s="29" t="n">
        <v>4678.53451</v>
      </c>
      <c r="R644" s="29" t="n">
        <v>4726.55217</v>
      </c>
      <c r="S644" s="29" t="n">
        <v>4702.36856</v>
      </c>
      <c r="V644" s="29" t="n">
        <v>4645.88932</v>
      </c>
      <c r="AB644" s="29" t="n">
        <v>4709.89908</v>
      </c>
      <c r="AC644" s="29" t="n">
        <v>4709.72827</v>
      </c>
      <c r="AD644" s="29" t="n">
        <v>0</v>
      </c>
    </row>
    <row r="645" ht="14.25" customHeight="1" s="28">
      <c r="A645" s="29" t="n">
        <v>1778182201</v>
      </c>
      <c r="B645" s="29" t="inlineStr">
        <is>
          <t>XAUUSD</t>
        </is>
      </c>
      <c r="C645" s="29" t="inlineStr">
        <is>
          <t>M15</t>
        </is>
      </c>
      <c r="D645" s="29" t="n">
        <v>4709.69</v>
      </c>
      <c r="E645" s="29" t="n">
        <v>4717.79398</v>
      </c>
      <c r="F645" s="29" t="n">
        <v>4695.2428</v>
      </c>
      <c r="G645" s="29" t="n">
        <v>4518.59282</v>
      </c>
      <c r="H645" s="29" t="n">
        <v>4596.05595</v>
      </c>
      <c r="I645" s="29" t="n">
        <v>4755.40355</v>
      </c>
      <c r="J645" s="29" t="n">
        <v>4792.76972</v>
      </c>
      <c r="K645" s="29" t="n">
        <v>4769.97694</v>
      </c>
      <c r="L645" s="29" t="n">
        <v>4716.33597</v>
      </c>
      <c r="M645" s="29" t="n">
        <v>4718.85043</v>
      </c>
      <c r="N645" s="29" t="n">
        <v>4531.36057</v>
      </c>
      <c r="O645" s="29" t="n">
        <v>4556.93783</v>
      </c>
      <c r="Q645" s="29" t="n">
        <v>4678.73695</v>
      </c>
      <c r="R645" s="29" t="n">
        <v>4726.75462</v>
      </c>
      <c r="S645" s="29" t="n">
        <v>4702.57101</v>
      </c>
      <c r="V645" s="29" t="n">
        <v>4646.09176</v>
      </c>
      <c r="AB645" s="29" t="n">
        <v>4709.3224</v>
      </c>
      <c r="AC645" s="29" t="n">
        <v>4709.52533</v>
      </c>
      <c r="AD645" s="29" t="n">
        <v>1</v>
      </c>
    </row>
    <row r="646" ht="14.25" customHeight="1" s="28">
      <c r="A646" s="29" t="n">
        <v>1778183101</v>
      </c>
      <c r="B646" s="29" t="inlineStr">
        <is>
          <t>XAUUSD</t>
        </is>
      </c>
      <c r="C646" s="29" t="inlineStr">
        <is>
          <t>M15</t>
        </is>
      </c>
      <c r="D646" s="29" t="n">
        <v>4702.9</v>
      </c>
      <c r="E646" s="29" t="n">
        <v>4717.79398</v>
      </c>
      <c r="F646" s="29" t="n">
        <v>4695.2428</v>
      </c>
      <c r="G646" s="29" t="n">
        <v>4518.59282</v>
      </c>
      <c r="H646" s="29" t="n">
        <v>4596.05595</v>
      </c>
      <c r="I646" s="29" t="n">
        <v>4755.40355</v>
      </c>
      <c r="J646" s="29" t="n">
        <v>4792.76972</v>
      </c>
      <c r="K646" s="29" t="n">
        <v>4769.97694</v>
      </c>
      <c r="L646" s="29" t="n">
        <v>4716.33597</v>
      </c>
      <c r="M646" s="29" t="n">
        <v>4718.85043</v>
      </c>
      <c r="N646" s="29" t="n">
        <v>4531.36057</v>
      </c>
      <c r="O646" s="29" t="n">
        <v>4556.93783</v>
      </c>
      <c r="Q646" s="29" t="n">
        <v>4678.9394</v>
      </c>
      <c r="R646" s="29" t="n">
        <v>4726.95706</v>
      </c>
      <c r="S646" s="29" t="n">
        <v>4702.77345</v>
      </c>
      <c r="V646" s="29" t="n">
        <v>4646.29421</v>
      </c>
      <c r="AB646" s="29" t="n">
        <v>4708.0634</v>
      </c>
      <c r="AC646" s="29" t="n">
        <v>4708.79437</v>
      </c>
      <c r="AD646" s="29" t="n">
        <v>0</v>
      </c>
    </row>
    <row r="647" ht="14.25" customHeight="1" s="28">
      <c r="A647" s="29" t="n">
        <v>1778184001</v>
      </c>
      <c r="B647" s="29" t="inlineStr">
        <is>
          <t>XAUUSD</t>
        </is>
      </c>
      <c r="C647" s="29" t="inlineStr">
        <is>
          <t>M15</t>
        </is>
      </c>
      <c r="D647" s="29" t="n">
        <v>4711.55</v>
      </c>
      <c r="E647" s="29" t="n">
        <v>4717.79398</v>
      </c>
      <c r="F647" s="29" t="n">
        <v>4695.2428</v>
      </c>
      <c r="G647" s="29" t="n">
        <v>4518.59282</v>
      </c>
      <c r="H647" s="29" t="n">
        <v>4596.05595</v>
      </c>
      <c r="I647" s="29" t="n">
        <v>4755.40355</v>
      </c>
      <c r="J647" s="29" t="n">
        <v>4792.76972</v>
      </c>
      <c r="K647" s="29" t="n">
        <v>4769.97694</v>
      </c>
      <c r="L647" s="29" t="n">
        <v>4716.33597</v>
      </c>
      <c r="M647" s="29" t="n">
        <v>4718.85043</v>
      </c>
      <c r="N647" s="29" t="n">
        <v>4531.36057</v>
      </c>
      <c r="O647" s="29" t="n">
        <v>4556.93783</v>
      </c>
      <c r="Q647" s="29" t="n">
        <v>4679.14184</v>
      </c>
      <c r="R647" s="29" t="n">
        <v>4727.15951</v>
      </c>
      <c r="S647" s="29" t="n">
        <v>4702.9759</v>
      </c>
      <c r="V647" s="29" t="n">
        <v>4646.49665</v>
      </c>
      <c r="AB647" s="29" t="n">
        <v>4706.22051</v>
      </c>
      <c r="AC647" s="29" t="n">
        <v>4707.50744</v>
      </c>
      <c r="AD647" s="29" t="n">
        <v>0</v>
      </c>
    </row>
    <row r="648" ht="14.25" customHeight="1" s="28">
      <c r="A648" s="29" t="n">
        <v>1778184901</v>
      </c>
      <c r="B648" s="29" t="inlineStr">
        <is>
          <t>XAUUSD</t>
        </is>
      </c>
      <c r="C648" s="29" t="inlineStr">
        <is>
          <t>M15</t>
        </is>
      </c>
      <c r="D648" s="29" t="n">
        <v>4712.98</v>
      </c>
      <c r="E648" s="29" t="n">
        <v>4717.79398</v>
      </c>
      <c r="F648" s="29" t="n">
        <v>4695.2428</v>
      </c>
      <c r="G648" s="29" t="n">
        <v>4518.59282</v>
      </c>
      <c r="H648" s="29" t="n">
        <v>4596.05595</v>
      </c>
      <c r="I648" s="29" t="n">
        <v>4755.40355</v>
      </c>
      <c r="J648" s="29" t="n">
        <v>4792.76972</v>
      </c>
      <c r="K648" s="29" t="n">
        <v>4769.97694</v>
      </c>
      <c r="L648" s="29" t="n">
        <v>4716.33597</v>
      </c>
      <c r="M648" s="29" t="n">
        <v>4718.85043</v>
      </c>
      <c r="N648" s="29" t="n">
        <v>4531.36057</v>
      </c>
      <c r="O648" s="29" t="n">
        <v>4556.93783</v>
      </c>
      <c r="Q648" s="29" t="n">
        <v>4679.34429</v>
      </c>
      <c r="R648" s="29" t="n">
        <v>4727.36195</v>
      </c>
      <c r="S648" s="29" t="n">
        <v>4703.17834</v>
      </c>
      <c r="V648" s="29" t="n">
        <v>4646.6991</v>
      </c>
      <c r="AB648" s="29" t="n">
        <v>4703.5293</v>
      </c>
      <c r="AC648" s="29" t="n">
        <v>4705.51837</v>
      </c>
      <c r="AD648" s="29" t="n">
        <v>0</v>
      </c>
    </row>
    <row r="649" ht="14.25" customHeight="1" s="28">
      <c r="A649" s="29" t="n">
        <v>1778185801</v>
      </c>
      <c r="B649" s="29" t="inlineStr">
        <is>
          <t>XAUUSD</t>
        </is>
      </c>
      <c r="C649" s="29" t="inlineStr">
        <is>
          <t>M15</t>
        </is>
      </c>
      <c r="D649" s="29" t="n">
        <v>4703.9</v>
      </c>
      <c r="E649" s="29" t="n">
        <v>4717.79398</v>
      </c>
      <c r="F649" s="29" t="n">
        <v>4695.2428</v>
      </c>
      <c r="G649" s="29" t="n">
        <v>4518.59282</v>
      </c>
      <c r="H649" s="29" t="n">
        <v>4596.05595</v>
      </c>
      <c r="I649" s="29" t="n">
        <v>4755.40355</v>
      </c>
      <c r="J649" s="29" t="n">
        <v>4792.76972</v>
      </c>
      <c r="K649" s="29" t="n">
        <v>4769.97694</v>
      </c>
      <c r="L649" s="29" t="n">
        <v>4716.33597</v>
      </c>
      <c r="M649" s="29" t="n">
        <v>4718.85043</v>
      </c>
      <c r="N649" s="29" t="n">
        <v>4531.36057</v>
      </c>
      <c r="O649" s="29" t="n">
        <v>4556.93783</v>
      </c>
      <c r="Q649" s="29" t="n">
        <v>4679.54674</v>
      </c>
      <c r="R649" s="29" t="n">
        <v>4727.5644</v>
      </c>
      <c r="S649" s="29" t="n">
        <v>4703.38079</v>
      </c>
      <c r="V649" s="29" t="n">
        <v>4646.90154</v>
      </c>
      <c r="AB649" s="29" t="n">
        <v>4700.0862</v>
      </c>
      <c r="AC649" s="29" t="n">
        <v>4702.80229</v>
      </c>
      <c r="AD649" s="29" t="n">
        <v>0</v>
      </c>
    </row>
    <row r="650" ht="14.25" customHeight="1" s="28">
      <c r="A650" s="29" t="n">
        <v>1778186701</v>
      </c>
      <c r="B650" s="29" t="inlineStr">
        <is>
          <t>XAUUSD</t>
        </is>
      </c>
      <c r="C650" s="29" t="inlineStr">
        <is>
          <t>M15</t>
        </is>
      </c>
      <c r="D650" s="29" t="n">
        <v>4687.24</v>
      </c>
      <c r="E650" s="29" t="n">
        <v>4717.79398</v>
      </c>
      <c r="F650" s="29" t="n">
        <v>4695.2428</v>
      </c>
      <c r="G650" s="29" t="n">
        <v>4518.59282</v>
      </c>
      <c r="H650" s="29" t="n">
        <v>4596.05595</v>
      </c>
      <c r="I650" s="29" t="n">
        <v>4755.40355</v>
      </c>
      <c r="J650" s="29" t="n">
        <v>4792.76972</v>
      </c>
      <c r="K650" s="29" t="n">
        <v>4769.97694</v>
      </c>
      <c r="L650" s="29" t="n">
        <v>4716.33597</v>
      </c>
      <c r="M650" s="29" t="n">
        <v>4718.85043</v>
      </c>
      <c r="N650" s="29" t="n">
        <v>4531.36057</v>
      </c>
      <c r="O650" s="29" t="n">
        <v>4556.93783</v>
      </c>
      <c r="Q650" s="29" t="n">
        <v>4679.74918</v>
      </c>
      <c r="R650" s="29" t="n">
        <v>4727.76685</v>
      </c>
      <c r="S650" s="29" t="n">
        <v>4703.58323</v>
      </c>
      <c r="V650" s="29" t="n">
        <v>4647.10399</v>
      </c>
      <c r="AB650" s="29" t="n">
        <v>4696.46654</v>
      </c>
      <c r="AC650" s="29" t="n">
        <v>4699.63441</v>
      </c>
      <c r="AD650" s="29" t="n">
        <v>0</v>
      </c>
    </row>
    <row r="651" ht="14.25" customHeight="1" s="28">
      <c r="A651" s="29" t="n">
        <v>1778191201</v>
      </c>
      <c r="B651" s="29" t="inlineStr">
        <is>
          <t>XAUUSD</t>
        </is>
      </c>
      <c r="C651" s="29" t="inlineStr">
        <is>
          <t>M15</t>
        </is>
      </c>
      <c r="D651" s="29" t="n">
        <v>4691.37</v>
      </c>
      <c r="E651" s="29" t="n">
        <v>4717.79398</v>
      </c>
      <c r="F651" s="29" t="n">
        <v>4695.2428</v>
      </c>
      <c r="G651" s="29" t="n">
        <v>4518.59282</v>
      </c>
      <c r="H651" s="29" t="n">
        <v>4596.05595</v>
      </c>
      <c r="I651" s="29" t="n">
        <v>4755.40355</v>
      </c>
      <c r="J651" s="29" t="n">
        <v>4792.76972</v>
      </c>
      <c r="K651" s="29" t="n">
        <v>4769.97694</v>
      </c>
      <c r="L651" s="29" t="n">
        <v>4716.33597</v>
      </c>
      <c r="M651" s="29" t="n">
        <v>4718.85043</v>
      </c>
      <c r="N651" s="29" t="n">
        <v>4531.36057</v>
      </c>
      <c r="O651" s="29" t="n">
        <v>4556.93783</v>
      </c>
      <c r="Q651" s="29" t="n">
        <v>4679.95163</v>
      </c>
      <c r="R651" s="29" t="n">
        <v>4727.96929</v>
      </c>
      <c r="S651" s="29" t="n">
        <v>4703.78568</v>
      </c>
      <c r="V651" s="29" t="n">
        <v>4647.30644</v>
      </c>
      <c r="AA651" s="29" t="n">
        <v>4678.1</v>
      </c>
      <c r="AB651" s="29" t="n">
        <v>4693.46808</v>
      </c>
      <c r="AC651" s="29" t="n">
        <v>4696.55125</v>
      </c>
      <c r="AD651" s="29" t="n">
        <v>0</v>
      </c>
    </row>
    <row r="652" ht="14.25" customHeight="1" s="28">
      <c r="A652" s="29" t="n">
        <v>1778192101</v>
      </c>
      <c r="B652" s="29" t="inlineStr">
        <is>
          <t>XAUUSD</t>
        </is>
      </c>
      <c r="C652" s="29" t="inlineStr">
        <is>
          <t>M15</t>
        </is>
      </c>
      <c r="D652" s="29" t="n">
        <v>4693.91</v>
      </c>
      <c r="E652" s="29" t="n">
        <v>4717.79398</v>
      </c>
      <c r="F652" s="29" t="n">
        <v>4695.2428</v>
      </c>
      <c r="G652" s="29" t="n">
        <v>4518.59282</v>
      </c>
      <c r="H652" s="29" t="n">
        <v>4596.05595</v>
      </c>
      <c r="I652" s="29" t="n">
        <v>4755.40355</v>
      </c>
      <c r="J652" s="29" t="n">
        <v>4792.76972</v>
      </c>
      <c r="K652" s="29" t="n">
        <v>4769.97694</v>
      </c>
      <c r="L652" s="29" t="n">
        <v>4716.33597</v>
      </c>
      <c r="M652" s="29" t="n">
        <v>4718.85043</v>
      </c>
      <c r="N652" s="29" t="n">
        <v>4531.36057</v>
      </c>
      <c r="O652" s="29" t="n">
        <v>4556.93783</v>
      </c>
      <c r="Q652" s="29" t="n">
        <v>4680.15407</v>
      </c>
      <c r="R652" s="29" t="n">
        <v>4728.17174</v>
      </c>
      <c r="S652" s="29" t="n">
        <v>4703.98813</v>
      </c>
      <c r="V652" s="29" t="n">
        <v>4647.50888</v>
      </c>
      <c r="AB652" s="29" t="n">
        <v>4691.29291</v>
      </c>
      <c r="AC652" s="29" t="n">
        <v>4693.92208</v>
      </c>
      <c r="AD652" s="29" t="n">
        <v>0</v>
      </c>
    </row>
    <row r="653" ht="14.25" customHeight="1" s="28">
      <c r="A653" s="29" t="n">
        <v>1778193001</v>
      </c>
      <c r="B653" s="29" t="inlineStr">
        <is>
          <t>XAUUSD</t>
        </is>
      </c>
      <c r="C653" s="29" t="inlineStr">
        <is>
          <t>M15</t>
        </is>
      </c>
      <c r="D653" s="29" t="n">
        <v>4687.16</v>
      </c>
      <c r="E653" s="29" t="n">
        <v>4717.79398</v>
      </c>
      <c r="F653" s="29" t="n">
        <v>4695.2428</v>
      </c>
      <c r="G653" s="29" t="n">
        <v>4518.59282</v>
      </c>
      <c r="H653" s="29" t="n">
        <v>4596.05595</v>
      </c>
      <c r="I653" s="29" t="n">
        <v>4755.40355</v>
      </c>
      <c r="J653" s="29" t="n">
        <v>4792.76972</v>
      </c>
      <c r="K653" s="29" t="n">
        <v>4769.97694</v>
      </c>
      <c r="L653" s="29" t="n">
        <v>4716.33597</v>
      </c>
      <c r="M653" s="29" t="n">
        <v>4718.85043</v>
      </c>
      <c r="N653" s="29" t="n">
        <v>4531.36057</v>
      </c>
      <c r="O653" s="29" t="n">
        <v>4556.93783</v>
      </c>
      <c r="Q653" s="29" t="n">
        <v>4680.35652</v>
      </c>
      <c r="R653" s="29" t="n">
        <v>4728.37418</v>
      </c>
      <c r="S653" s="29" t="n">
        <v>4704.19057</v>
      </c>
      <c r="V653" s="29" t="n">
        <v>4647.71133</v>
      </c>
      <c r="AB653" s="29" t="n">
        <v>4690.10036</v>
      </c>
      <c r="AC653" s="29" t="n">
        <v>4692.01122</v>
      </c>
      <c r="AD653" s="29" t="n">
        <v>0</v>
      </c>
    </row>
    <row r="654" ht="14.25" customHeight="1" s="28">
      <c r="A654" s="29" t="n">
        <v>1778193901</v>
      </c>
      <c r="B654" s="29" t="inlineStr">
        <is>
          <t>XAUUSD</t>
        </is>
      </c>
      <c r="C654" s="29" t="inlineStr">
        <is>
          <t>M15</t>
        </is>
      </c>
      <c r="D654" s="29" t="n">
        <v>4686.04</v>
      </c>
      <c r="E654" s="29" t="n">
        <v>4717.79398</v>
      </c>
      <c r="F654" s="29" t="n">
        <v>4695.2428</v>
      </c>
      <c r="G654" s="29" t="n">
        <v>4518.59282</v>
      </c>
      <c r="H654" s="29" t="n">
        <v>4596.05595</v>
      </c>
      <c r="I654" s="29" t="n">
        <v>4755.40355</v>
      </c>
      <c r="J654" s="29" t="n">
        <v>4792.76972</v>
      </c>
      <c r="K654" s="29" t="n">
        <v>4769.97694</v>
      </c>
      <c r="L654" s="29" t="n">
        <v>4716.33597</v>
      </c>
      <c r="M654" s="29" t="n">
        <v>4718.85043</v>
      </c>
      <c r="N654" s="29" t="n">
        <v>4531.36057</v>
      </c>
      <c r="O654" s="29" t="n">
        <v>4556.93783</v>
      </c>
      <c r="Q654" s="29" t="n">
        <v>4680.55896</v>
      </c>
      <c r="R654" s="29" t="n">
        <v>4728.57663</v>
      </c>
      <c r="S654" s="29" t="n">
        <v>4704.39302</v>
      </c>
      <c r="V654" s="29" t="n">
        <v>4647.91377</v>
      </c>
      <c r="AB654" s="29" t="n">
        <v>4690.1708</v>
      </c>
      <c r="AC654" s="29" t="n">
        <v>4691.09101</v>
      </c>
      <c r="AD654" s="29" t="n">
        <v>0</v>
      </c>
    </row>
    <row r="655" ht="14.25" customHeight="1" s="28">
      <c r="A655" s="29" t="n">
        <v>1778194801</v>
      </c>
      <c r="B655" s="29" t="inlineStr">
        <is>
          <t>XAUUSD</t>
        </is>
      </c>
      <c r="C655" s="29" t="inlineStr">
        <is>
          <t>M15</t>
        </is>
      </c>
      <c r="D655" s="29" t="n">
        <v>4691.8</v>
      </c>
      <c r="E655" s="29" t="n">
        <v>4717.79398</v>
      </c>
      <c r="F655" s="29" t="n">
        <v>4695.2428</v>
      </c>
      <c r="G655" s="29" t="n">
        <v>4518.59282</v>
      </c>
      <c r="H655" s="29" t="n">
        <v>4596.05595</v>
      </c>
      <c r="I655" s="29" t="n">
        <v>4755.40355</v>
      </c>
      <c r="J655" s="29" t="n">
        <v>4792.76972</v>
      </c>
      <c r="K655" s="29" t="n">
        <v>4769.97694</v>
      </c>
      <c r="L655" s="29" t="n">
        <v>4716.33597</v>
      </c>
      <c r="M655" s="29" t="n">
        <v>4718.85043</v>
      </c>
      <c r="N655" s="29" t="n">
        <v>4531.36057</v>
      </c>
      <c r="O655" s="29" t="n">
        <v>4556.93783</v>
      </c>
      <c r="Q655" s="29" t="n">
        <v>4680.76141</v>
      </c>
      <c r="R655" s="29" t="n">
        <v>4728.77907</v>
      </c>
      <c r="S655" s="29" t="n">
        <v>4704.59546</v>
      </c>
      <c r="V655" s="29" t="n">
        <v>4648.11622</v>
      </c>
      <c r="AB655" s="29" t="n">
        <v>4691.44385</v>
      </c>
      <c r="AC655" s="29" t="n">
        <v>4691.26743</v>
      </c>
      <c r="AD655" s="29" t="n">
        <v>1</v>
      </c>
    </row>
    <row r="656" ht="14.25" customHeight="1" s="28">
      <c r="A656" s="29" t="n">
        <v>1778195701</v>
      </c>
      <c r="B656" s="29" t="inlineStr">
        <is>
          <t>XAUUSD</t>
        </is>
      </c>
      <c r="C656" s="29" t="inlineStr">
        <is>
          <t>M15</t>
        </is>
      </c>
      <c r="D656" s="29" t="n">
        <v>4696.57</v>
      </c>
      <c r="E656" s="29" t="n">
        <v>4717.79398</v>
      </c>
      <c r="F656" s="29" t="n">
        <v>4695.2428</v>
      </c>
      <c r="G656" s="29" t="n">
        <v>4518.59282</v>
      </c>
      <c r="H656" s="29" t="n">
        <v>4596.05595</v>
      </c>
      <c r="I656" s="29" t="n">
        <v>4755.40355</v>
      </c>
      <c r="J656" s="29" t="n">
        <v>4792.76972</v>
      </c>
      <c r="K656" s="29" t="n">
        <v>4769.97694</v>
      </c>
      <c r="L656" s="29" t="n">
        <v>4716.33597</v>
      </c>
      <c r="M656" s="29" t="n">
        <v>4718.85043</v>
      </c>
      <c r="N656" s="29" t="n">
        <v>4531.36057</v>
      </c>
      <c r="O656" s="29" t="n">
        <v>4556.93783</v>
      </c>
      <c r="Q656" s="29" t="n">
        <v>4680.96386</v>
      </c>
      <c r="R656" s="29" t="n">
        <v>4728.98152</v>
      </c>
      <c r="S656" s="29" t="n">
        <v>4704.79791</v>
      </c>
      <c r="V656" s="29" t="n">
        <v>4648.31866</v>
      </c>
      <c r="AB656" s="29" t="n">
        <v>4693.56752</v>
      </c>
      <c r="AC656" s="29" t="n">
        <v>4692.41748</v>
      </c>
      <c r="AD656" s="29" t="n">
        <v>0</v>
      </c>
    </row>
    <row r="657" ht="14.25" customHeight="1" s="28">
      <c r="A657" s="29" t="n">
        <v>1778196601</v>
      </c>
      <c r="B657" s="29" t="inlineStr">
        <is>
          <t>XAUUSD</t>
        </is>
      </c>
      <c r="C657" s="29" t="inlineStr">
        <is>
          <t>M15</t>
        </is>
      </c>
      <c r="D657" s="29" t="n">
        <v>4697.81</v>
      </c>
      <c r="E657" s="29" t="n">
        <v>4717.79398</v>
      </c>
      <c r="F657" s="29" t="n">
        <v>4695.2428</v>
      </c>
      <c r="G657" s="29" t="n">
        <v>4518.59282</v>
      </c>
      <c r="H657" s="29" t="n">
        <v>4596.05595</v>
      </c>
      <c r="I657" s="29" t="n">
        <v>4755.40355</v>
      </c>
      <c r="J657" s="29" t="n">
        <v>4792.76972</v>
      </c>
      <c r="K657" s="29" t="n">
        <v>4769.97694</v>
      </c>
      <c r="L657" s="29" t="n">
        <v>4716.33597</v>
      </c>
      <c r="M657" s="29" t="n">
        <v>4718.85043</v>
      </c>
      <c r="N657" s="29" t="n">
        <v>4531.36057</v>
      </c>
      <c r="O657" s="29" t="n">
        <v>4556.93783</v>
      </c>
      <c r="Q657" s="29" t="n">
        <v>4681.1663</v>
      </c>
      <c r="R657" s="29" t="n">
        <v>4729.18397</v>
      </c>
      <c r="S657" s="29" t="n">
        <v>4705.00035</v>
      </c>
      <c r="V657" s="29" t="n">
        <v>4648.52111</v>
      </c>
      <c r="AB657" s="29" t="n">
        <v>4696.10949</v>
      </c>
      <c r="AC657" s="29" t="n">
        <v>4694.26349</v>
      </c>
      <c r="AD657" s="29" t="n">
        <v>0</v>
      </c>
    </row>
    <row r="658" ht="14.25" customHeight="1" s="28">
      <c r="A658" s="29" t="n">
        <v>1778197501</v>
      </c>
      <c r="B658" s="29" t="inlineStr">
        <is>
          <t>XAUUSD</t>
        </is>
      </c>
      <c r="C658" s="29" t="inlineStr">
        <is>
          <t>M15</t>
        </is>
      </c>
      <c r="D658" s="29" t="n">
        <v>4704.54</v>
      </c>
      <c r="E658" s="29" t="n">
        <v>4717.79398</v>
      </c>
      <c r="F658" s="29" t="n">
        <v>4695.2428</v>
      </c>
      <c r="G658" s="29" t="n">
        <v>4518.59282</v>
      </c>
      <c r="H658" s="29" t="n">
        <v>4596.05595</v>
      </c>
      <c r="I658" s="29" t="n">
        <v>4755.40355</v>
      </c>
      <c r="J658" s="29" t="n">
        <v>4792.76972</v>
      </c>
      <c r="K658" s="29" t="n">
        <v>4769.97694</v>
      </c>
      <c r="L658" s="29" t="n">
        <v>4716.33597</v>
      </c>
      <c r="M658" s="29" t="n">
        <v>4718.85043</v>
      </c>
      <c r="N658" s="29" t="n">
        <v>4531.36057</v>
      </c>
      <c r="O658" s="29" t="n">
        <v>4556.93783</v>
      </c>
      <c r="Q658" s="29" t="n">
        <v>4681.36875</v>
      </c>
      <c r="R658" s="29" t="n">
        <v>4729.38641</v>
      </c>
      <c r="S658" s="29" t="n">
        <v>4705.2028</v>
      </c>
      <c r="V658" s="29" t="n">
        <v>4648.72356</v>
      </c>
      <c r="AB658" s="29" t="n">
        <v>4698.79044</v>
      </c>
      <c r="AC658" s="29" t="n">
        <v>4696.52696</v>
      </c>
      <c r="AD658" s="29" t="n">
        <v>0</v>
      </c>
    </row>
    <row r="659" ht="14.25" customHeight="1" s="28">
      <c r="A659" s="29" t="n">
        <v>1778198401</v>
      </c>
      <c r="B659" s="29" t="inlineStr">
        <is>
          <t>XAUUSD</t>
        </is>
      </c>
      <c r="C659" s="29" t="inlineStr">
        <is>
          <t>M15</t>
        </is>
      </c>
      <c r="D659" s="29" t="n">
        <v>4702.79</v>
      </c>
      <c r="E659" s="29" t="n">
        <v>4717.79398</v>
      </c>
      <c r="F659" s="29" t="n">
        <v>4695.2428</v>
      </c>
      <c r="G659" s="29" t="n">
        <v>4518.59282</v>
      </c>
      <c r="H659" s="29" t="n">
        <v>4596.05595</v>
      </c>
      <c r="I659" s="29" t="n">
        <v>4755.40355</v>
      </c>
      <c r="J659" s="29" t="n">
        <v>4792.76972</v>
      </c>
      <c r="K659" s="29" t="n">
        <v>4769.97694</v>
      </c>
      <c r="L659" s="29" t="n">
        <v>4716.33597</v>
      </c>
      <c r="M659" s="29" t="n">
        <v>4718.85043</v>
      </c>
      <c r="N659" s="29" t="n">
        <v>4531.36057</v>
      </c>
      <c r="O659" s="29" t="n">
        <v>4556.93783</v>
      </c>
      <c r="Q659" s="29" t="n">
        <v>4681.57119</v>
      </c>
      <c r="R659" s="29" t="n">
        <v>4729.58886</v>
      </c>
      <c r="S659" s="29" t="n">
        <v>4705.40525</v>
      </c>
      <c r="V659" s="29" t="n">
        <v>4648.926</v>
      </c>
      <c r="AB659" s="29" t="n">
        <v>4701.27387</v>
      </c>
      <c r="AC659" s="29" t="n">
        <v>4698.90042</v>
      </c>
      <c r="AD659" s="29" t="n">
        <v>0</v>
      </c>
    </row>
    <row r="660" ht="14.25" customHeight="1" s="28">
      <c r="A660" s="29" t="n">
        <v>1778199301</v>
      </c>
      <c r="B660" s="29" t="inlineStr">
        <is>
          <t>XAUUSD</t>
        </is>
      </c>
      <c r="C660" s="29" t="inlineStr">
        <is>
          <t>M15</t>
        </is>
      </c>
      <c r="D660" s="29" t="n">
        <v>4697.35</v>
      </c>
      <c r="E660" s="29" t="n">
        <v>4717.79398</v>
      </c>
      <c r="F660" s="29" t="n">
        <v>4695.2428</v>
      </c>
      <c r="G660" s="29" t="n">
        <v>4518.59282</v>
      </c>
      <c r="H660" s="29" t="n">
        <v>4596.05595</v>
      </c>
      <c r="I660" s="29" t="n">
        <v>4755.40355</v>
      </c>
      <c r="J660" s="29" t="n">
        <v>4792.76972</v>
      </c>
      <c r="K660" s="29" t="n">
        <v>4769.97694</v>
      </c>
      <c r="L660" s="29" t="n">
        <v>4716.33597</v>
      </c>
      <c r="M660" s="29" t="n">
        <v>4718.85043</v>
      </c>
      <c r="N660" s="29" t="n">
        <v>4531.36057</v>
      </c>
      <c r="O660" s="29" t="n">
        <v>4556.93783</v>
      </c>
      <c r="Q660" s="29" t="n">
        <v>4681.77364</v>
      </c>
      <c r="R660" s="29" t="n">
        <v>4729.7913</v>
      </c>
      <c r="S660" s="29" t="n">
        <v>4705.60769</v>
      </c>
      <c r="V660" s="29" t="n">
        <v>4649.12845</v>
      </c>
      <c r="AB660" s="29" t="n">
        <v>4703.53775</v>
      </c>
      <c r="AC660" s="29" t="n">
        <v>4701.21908</v>
      </c>
      <c r="AD660" s="29" t="n">
        <v>0</v>
      </c>
    </row>
    <row r="661" ht="14.25" customHeight="1" s="28">
      <c r="A661" s="29" t="n">
        <v>1778200201</v>
      </c>
      <c r="B661" s="29" t="inlineStr">
        <is>
          <t>XAUUSD</t>
        </is>
      </c>
      <c r="C661" s="29" t="inlineStr">
        <is>
          <t>M15</t>
        </is>
      </c>
      <c r="D661" s="29" t="n">
        <v>4705.16</v>
      </c>
      <c r="E661" s="29" t="n">
        <v>4717.79398</v>
      </c>
      <c r="F661" s="29" t="n">
        <v>4695.2428</v>
      </c>
      <c r="G661" s="29" t="n">
        <v>4518.59282</v>
      </c>
      <c r="H661" s="29" t="n">
        <v>4596.05595</v>
      </c>
      <c r="I661" s="29" t="n">
        <v>4755.40355</v>
      </c>
      <c r="J661" s="29" t="n">
        <v>4792.76972</v>
      </c>
      <c r="K661" s="29" t="n">
        <v>4769.97694</v>
      </c>
      <c r="L661" s="29" t="n">
        <v>4716.33597</v>
      </c>
      <c r="M661" s="29" t="n">
        <v>4718.85043</v>
      </c>
      <c r="N661" s="29" t="n">
        <v>4531.36057</v>
      </c>
      <c r="O661" s="29" t="n">
        <v>4556.93783</v>
      </c>
      <c r="Q661" s="29" t="n">
        <v>4681.97608</v>
      </c>
      <c r="R661" s="29" t="n">
        <v>4729.99375</v>
      </c>
      <c r="S661" s="29" t="n">
        <v>4705.81014</v>
      </c>
      <c r="V661" s="29" t="n">
        <v>4649.33089</v>
      </c>
      <c r="AB661" s="29" t="n">
        <v>4705.78577</v>
      </c>
      <c r="AC661" s="29" t="n">
        <v>4703.50243</v>
      </c>
      <c r="AD661" s="29" t="n">
        <v>0</v>
      </c>
    </row>
    <row r="662" ht="14.25" customHeight="1" s="28">
      <c r="A662" s="29" t="n">
        <v>1778201101</v>
      </c>
      <c r="B662" s="29" t="inlineStr">
        <is>
          <t>XAUUSD</t>
        </is>
      </c>
      <c r="C662" s="29" t="inlineStr">
        <is>
          <t>M15</t>
        </is>
      </c>
      <c r="D662" s="29" t="n">
        <v>4701.44</v>
      </c>
      <c r="E662" s="29" t="n">
        <v>4717.79398</v>
      </c>
      <c r="F662" s="29" t="n">
        <v>4695.2428</v>
      </c>
      <c r="G662" s="29" t="n">
        <v>4518.59282</v>
      </c>
      <c r="H662" s="29" t="n">
        <v>4596.05595</v>
      </c>
      <c r="I662" s="29" t="n">
        <v>4755.40355</v>
      </c>
      <c r="J662" s="29" t="n">
        <v>4792.76972</v>
      </c>
      <c r="K662" s="29" t="n">
        <v>4769.97694</v>
      </c>
      <c r="L662" s="29" t="n">
        <v>4716.33597</v>
      </c>
      <c r="M662" s="29" t="n">
        <v>4718.85043</v>
      </c>
      <c r="N662" s="29" t="n">
        <v>4531.36057</v>
      </c>
      <c r="O662" s="29" t="n">
        <v>4556.93783</v>
      </c>
      <c r="Q662" s="29" t="n">
        <v>4682.17853</v>
      </c>
      <c r="R662" s="29" t="n">
        <v>4730.19619</v>
      </c>
      <c r="S662" s="29" t="n">
        <v>4706.01258</v>
      </c>
      <c r="V662" s="29" t="n">
        <v>4649.53334</v>
      </c>
      <c r="AB662" s="29" t="n">
        <v>4707.92127</v>
      </c>
      <c r="AC662" s="29" t="n">
        <v>4705.71185</v>
      </c>
      <c r="AD662" s="29" t="n">
        <v>0</v>
      </c>
    </row>
    <row r="663" ht="14.25" customHeight="1" s="28">
      <c r="A663" s="29" t="n">
        <v>1778202001</v>
      </c>
      <c r="B663" s="29" t="inlineStr">
        <is>
          <t>XAUUSD</t>
        </is>
      </c>
      <c r="C663" s="29" t="inlineStr">
        <is>
          <t>M15</t>
        </is>
      </c>
      <c r="D663" s="29" t="n">
        <v>4714.05</v>
      </c>
      <c r="E663" s="29" t="n">
        <v>4717.79398</v>
      </c>
      <c r="F663" s="29" t="n">
        <v>4695.2428</v>
      </c>
      <c r="G663" s="29" t="n">
        <v>4518.59282</v>
      </c>
      <c r="H663" s="29" t="n">
        <v>4596.05595</v>
      </c>
      <c r="I663" s="29" t="n">
        <v>4755.40355</v>
      </c>
      <c r="J663" s="29" t="n">
        <v>4792.76972</v>
      </c>
      <c r="K663" s="29" t="n">
        <v>4769.97694</v>
      </c>
      <c r="L663" s="29" t="n">
        <v>4716.33597</v>
      </c>
      <c r="M663" s="29" t="n">
        <v>4718.85043</v>
      </c>
      <c r="N663" s="29" t="n">
        <v>4531.36057</v>
      </c>
      <c r="O663" s="29" t="n">
        <v>4556.93783</v>
      </c>
      <c r="Q663" s="29" t="n">
        <v>4682.38098</v>
      </c>
      <c r="R663" s="29" t="n">
        <v>4730.39864</v>
      </c>
      <c r="S663" s="29" t="n">
        <v>4706.21503</v>
      </c>
      <c r="V663" s="29" t="n">
        <v>4649.73578</v>
      </c>
      <c r="AB663" s="29" t="n">
        <v>4710.14391</v>
      </c>
      <c r="AC663" s="29" t="n">
        <v>4707.92788</v>
      </c>
      <c r="AD663" s="29" t="n">
        <v>0</v>
      </c>
    </row>
    <row r="664" ht="14.25" customHeight="1" s="28">
      <c r="A664" s="29" t="n">
        <v>1778202901</v>
      </c>
      <c r="B664" s="29" t="inlineStr">
        <is>
          <t>XAUUSD</t>
        </is>
      </c>
      <c r="C664" s="29" t="inlineStr">
        <is>
          <t>M15</t>
        </is>
      </c>
      <c r="D664" s="29" t="n">
        <v>4712.82</v>
      </c>
      <c r="E664" s="29" t="n">
        <v>4717.79398</v>
      </c>
      <c r="F664" s="29" t="n">
        <v>4695.2428</v>
      </c>
      <c r="G664" s="29" t="n">
        <v>4518.59282</v>
      </c>
      <c r="H664" s="29" t="n">
        <v>4596.05595</v>
      </c>
      <c r="I664" s="29" t="n">
        <v>4755.40355</v>
      </c>
      <c r="J664" s="29" t="n">
        <v>4792.76972</v>
      </c>
      <c r="K664" s="29" t="n">
        <v>4769.97694</v>
      </c>
      <c r="L664" s="29" t="n">
        <v>4716.33597</v>
      </c>
      <c r="M664" s="29" t="n">
        <v>4718.85043</v>
      </c>
      <c r="N664" s="29" t="n">
        <v>4531.36057</v>
      </c>
      <c r="O664" s="29" t="n">
        <v>4556.93783</v>
      </c>
      <c r="Q664" s="29" t="n">
        <v>4682.58342</v>
      </c>
      <c r="R664" s="29" t="n">
        <v>4730.60109</v>
      </c>
      <c r="S664" s="29" t="n">
        <v>4706.41747</v>
      </c>
      <c r="V664" s="29" t="n">
        <v>4649.93823</v>
      </c>
      <c r="AB664" s="29" t="n">
        <v>4712.2245</v>
      </c>
      <c r="AC664" s="29" t="n">
        <v>4710.07619</v>
      </c>
      <c r="AD664" s="29" t="n">
        <v>0</v>
      </c>
    </row>
    <row r="665" ht="14.25" customHeight="1" s="28">
      <c r="A665" s="29" t="n">
        <v>1778203801</v>
      </c>
      <c r="B665" s="29" t="inlineStr">
        <is>
          <t>XAUUSD</t>
        </is>
      </c>
      <c r="C665" s="29" t="inlineStr">
        <is>
          <t>M15</t>
        </is>
      </c>
      <c r="D665" s="29" t="n">
        <v>4711.08</v>
      </c>
      <c r="E665" s="29" t="n">
        <v>4717.79398</v>
      </c>
      <c r="F665" s="29" t="n">
        <v>4695.2428</v>
      </c>
      <c r="G665" s="29" t="n">
        <v>4518.59282</v>
      </c>
      <c r="H665" s="29" t="n">
        <v>4596.05595</v>
      </c>
      <c r="I665" s="29" t="n">
        <v>4755.40355</v>
      </c>
      <c r="J665" s="29" t="n">
        <v>4792.76972</v>
      </c>
      <c r="K665" s="29" t="n">
        <v>4769.97694</v>
      </c>
      <c r="L665" s="29" t="n">
        <v>4716.33597</v>
      </c>
      <c r="M665" s="29" t="n">
        <v>4718.85043</v>
      </c>
      <c r="N665" s="29" t="n">
        <v>4531.36057</v>
      </c>
      <c r="O665" s="29" t="n">
        <v>4556.93783</v>
      </c>
      <c r="Q665" s="29" t="n">
        <v>4682.78587</v>
      </c>
      <c r="R665" s="29" t="n">
        <v>4730.80353</v>
      </c>
      <c r="S665" s="29" t="n">
        <v>4706.61992</v>
      </c>
      <c r="V665" s="29" t="n">
        <v>4650.14068</v>
      </c>
      <c r="AB665" s="29" t="n">
        <v>4714.2608</v>
      </c>
      <c r="AC665" s="29" t="n">
        <v>4712.1685</v>
      </c>
      <c r="AD665" s="29" t="n">
        <v>0</v>
      </c>
    </row>
    <row r="666" ht="14.25" customHeight="1" s="28">
      <c r="A666" s="29" t="n">
        <v>1778204701</v>
      </c>
      <c r="B666" s="29" t="inlineStr">
        <is>
          <t>XAUUSD</t>
        </is>
      </c>
      <c r="C666" s="29" t="inlineStr">
        <is>
          <t>M15</t>
        </is>
      </c>
      <c r="D666" s="29" t="n">
        <v>4722.98</v>
      </c>
      <c r="E666" s="29" t="n">
        <v>4717.79398</v>
      </c>
      <c r="F666" s="29" t="n">
        <v>4695.2428</v>
      </c>
      <c r="G666" s="29" t="n">
        <v>4518.59282</v>
      </c>
      <c r="H666" s="29" t="n">
        <v>4596.05595</v>
      </c>
      <c r="I666" s="29" t="n">
        <v>4755.40355</v>
      </c>
      <c r="J666" s="29" t="n">
        <v>4792.76972</v>
      </c>
      <c r="K666" s="29" t="n">
        <v>4769.97694</v>
      </c>
      <c r="L666" s="29" t="n">
        <v>4716.33597</v>
      </c>
      <c r="M666" s="29" t="n">
        <v>4718.85043</v>
      </c>
      <c r="N666" s="29" t="n">
        <v>4531.36057</v>
      </c>
      <c r="O666" s="29" t="n">
        <v>4556.93783</v>
      </c>
      <c r="Q666" s="29" t="n">
        <v>4682.98831</v>
      </c>
      <c r="R666" s="29" t="n">
        <v>4731.00598</v>
      </c>
      <c r="S666" s="29" t="n">
        <v>4706.82237</v>
      </c>
      <c r="V666" s="29" t="n">
        <v>4650.34312</v>
      </c>
      <c r="AB666" s="29" t="n">
        <v>4716.30551</v>
      </c>
      <c r="AC666" s="29" t="n">
        <v>4714.23701</v>
      </c>
      <c r="AD666" s="29" t="n">
        <v>0</v>
      </c>
    </row>
    <row r="667" ht="14.25" customHeight="1" s="28">
      <c r="A667" s="29" t="n">
        <v>1778205601</v>
      </c>
      <c r="B667" s="29" t="inlineStr">
        <is>
          <t>XAUUSD</t>
        </is>
      </c>
      <c r="C667" s="29" t="inlineStr">
        <is>
          <t>M15</t>
        </is>
      </c>
      <c r="D667" s="29" t="n">
        <v>4723.99</v>
      </c>
      <c r="E667" s="29" t="n">
        <v>4717.79398</v>
      </c>
      <c r="F667" s="29" t="n">
        <v>4695.2428</v>
      </c>
      <c r="G667" s="29" t="n">
        <v>4518.59282</v>
      </c>
      <c r="H667" s="29" t="n">
        <v>4596.05595</v>
      </c>
      <c r="I667" s="29" t="n">
        <v>4755.40355</v>
      </c>
      <c r="J667" s="29" t="n">
        <v>4792.76972</v>
      </c>
      <c r="K667" s="29" t="n">
        <v>4769.97694</v>
      </c>
      <c r="L667" s="29" t="n">
        <v>4716.33597</v>
      </c>
      <c r="M667" s="29" t="n">
        <v>4718.85043</v>
      </c>
      <c r="N667" s="29" t="n">
        <v>4531.36057</v>
      </c>
      <c r="O667" s="29" t="n">
        <v>4556.93783</v>
      </c>
      <c r="Q667" s="29" t="n">
        <v>4683.19076</v>
      </c>
      <c r="R667" s="29" t="n">
        <v>4731.20842</v>
      </c>
      <c r="S667" s="29" t="n">
        <v>4707.02481</v>
      </c>
      <c r="V667" s="29" t="n">
        <v>4650.54557</v>
      </c>
      <c r="AB667" s="29" t="n">
        <v>4718.00235</v>
      </c>
      <c r="AC667" s="29" t="n">
        <v>4716.11968</v>
      </c>
      <c r="AD667" s="29" t="n">
        <v>0</v>
      </c>
    </row>
    <row r="668" ht="14.25" customHeight="1" s="28">
      <c r="A668" s="29" t="n">
        <v>1778206501</v>
      </c>
      <c r="B668" s="29" t="inlineStr">
        <is>
          <t>XAUUSD</t>
        </is>
      </c>
      <c r="C668" s="29" t="inlineStr">
        <is>
          <t>M15</t>
        </is>
      </c>
      <c r="D668" s="29" t="n">
        <v>4721.39</v>
      </c>
      <c r="E668" s="29" t="n">
        <v>4717.79398</v>
      </c>
      <c r="F668" s="29" t="n">
        <v>4695.2428</v>
      </c>
      <c r="G668" s="29" t="n">
        <v>4518.59282</v>
      </c>
      <c r="H668" s="29" t="n">
        <v>4596.05595</v>
      </c>
      <c r="I668" s="29" t="n">
        <v>4755.40355</v>
      </c>
      <c r="J668" s="29" t="n">
        <v>4792.76972</v>
      </c>
      <c r="K668" s="29" t="n">
        <v>4769.97694</v>
      </c>
      <c r="L668" s="29" t="n">
        <v>4716.33597</v>
      </c>
      <c r="M668" s="29" t="n">
        <v>4718.85043</v>
      </c>
      <c r="N668" s="29" t="n">
        <v>4531.36057</v>
      </c>
      <c r="O668" s="29" t="n">
        <v>4556.93783</v>
      </c>
      <c r="Q668" s="29" t="n">
        <v>4683.3932</v>
      </c>
      <c r="R668" s="29" t="n">
        <v>4731.41087</v>
      </c>
      <c r="S668" s="29" t="n">
        <v>4707.22726</v>
      </c>
      <c r="V668" s="29" t="n">
        <v>4650.74801</v>
      </c>
      <c r="AB668" s="29" t="n">
        <v>4719.23844</v>
      </c>
      <c r="AC668" s="29" t="n">
        <v>4717.67906</v>
      </c>
      <c r="AD668" s="29" t="n">
        <v>0</v>
      </c>
    </row>
    <row r="669" ht="14.25" customHeight="1" s="28">
      <c r="A669" s="29" t="n">
        <v>1778207401</v>
      </c>
      <c r="B669" s="29" t="inlineStr">
        <is>
          <t>XAUUSD</t>
        </is>
      </c>
      <c r="C669" s="29" t="inlineStr">
        <is>
          <t>M15</t>
        </is>
      </c>
      <c r="D669" s="29" t="n">
        <v>4710.27</v>
      </c>
      <c r="E669" s="29" t="n">
        <v>4717.79398</v>
      </c>
      <c r="F669" s="29" t="n">
        <v>4695.2428</v>
      </c>
      <c r="G669" s="29" t="n">
        <v>4518.59282</v>
      </c>
      <c r="H669" s="29" t="n">
        <v>4596.05595</v>
      </c>
      <c r="I669" s="29" t="n">
        <v>4755.40355</v>
      </c>
      <c r="J669" s="29" t="n">
        <v>4792.76972</v>
      </c>
      <c r="K669" s="29" t="n">
        <v>4769.97694</v>
      </c>
      <c r="L669" s="29" t="n">
        <v>4716.33597</v>
      </c>
      <c r="M669" s="29" t="n">
        <v>4718.85043</v>
      </c>
      <c r="N669" s="29" t="n">
        <v>4531.36057</v>
      </c>
      <c r="O669" s="29" t="n">
        <v>4556.93783</v>
      </c>
      <c r="Q669" s="29" t="n">
        <v>4683.59565</v>
      </c>
      <c r="R669" s="29" t="n">
        <v>4731.61331</v>
      </c>
      <c r="S669" s="29" t="n">
        <v>4707.4297</v>
      </c>
      <c r="V669" s="29" t="n">
        <v>4650.95046</v>
      </c>
      <c r="AB669" s="29" t="n">
        <v>4719.97289</v>
      </c>
      <c r="AC669" s="29" t="n">
        <v>4718.82598</v>
      </c>
      <c r="AD669" s="29" t="n">
        <v>0</v>
      </c>
    </row>
    <row r="670" ht="14.25" customHeight="1" s="28">
      <c r="A670" s="29" t="n">
        <v>1778208301</v>
      </c>
      <c r="B670" s="29" t="inlineStr">
        <is>
          <t>XAUUSD</t>
        </is>
      </c>
      <c r="C670" s="29" t="inlineStr">
        <is>
          <t>M15</t>
        </is>
      </c>
      <c r="D670" s="29" t="n">
        <v>4713.68</v>
      </c>
      <c r="E670" s="29" t="n">
        <v>4717.79398</v>
      </c>
      <c r="F670" s="29" t="n">
        <v>4695.2428</v>
      </c>
      <c r="G670" s="29" t="n">
        <v>4518.59282</v>
      </c>
      <c r="H670" s="29" t="n">
        <v>4596.05595</v>
      </c>
      <c r="I670" s="29" t="n">
        <v>4755.40355</v>
      </c>
      <c r="J670" s="29" t="n">
        <v>4792.76972</v>
      </c>
      <c r="K670" s="29" t="n">
        <v>4769.97694</v>
      </c>
      <c r="L670" s="29" t="n">
        <v>4716.33597</v>
      </c>
      <c r="M670" s="29" t="n">
        <v>4718.85043</v>
      </c>
      <c r="N670" s="29" t="n">
        <v>4531.36057</v>
      </c>
      <c r="O670" s="29" t="n">
        <v>4556.93783</v>
      </c>
      <c r="Q670" s="29" t="n">
        <v>4683.7981</v>
      </c>
      <c r="R670" s="29" t="n">
        <v>4731.81576</v>
      </c>
      <c r="S670" s="29" t="n">
        <v>4707.63215</v>
      </c>
      <c r="V670" s="29" t="n">
        <v>4651.1529</v>
      </c>
      <c r="AB670" s="29" t="n">
        <v>4720.41189</v>
      </c>
      <c r="AC670" s="29" t="n">
        <v>4719.61893</v>
      </c>
      <c r="AD670" s="29" t="n">
        <v>0</v>
      </c>
    </row>
    <row r="671" ht="14.25" customHeight="1" s="28">
      <c r="A671" s="29" t="n">
        <v>1778209201</v>
      </c>
      <c r="B671" s="29" t="inlineStr">
        <is>
          <t>XAUUSD</t>
        </is>
      </c>
      <c r="C671" s="29" t="inlineStr">
        <is>
          <t>M15</t>
        </is>
      </c>
      <c r="D671" s="29" t="n">
        <v>4720.15</v>
      </c>
      <c r="E671" s="29" t="n">
        <v>4717.79398</v>
      </c>
      <c r="F671" s="29" t="n">
        <v>4695.2428</v>
      </c>
      <c r="G671" s="29" t="n">
        <v>4518.59282</v>
      </c>
      <c r="H671" s="29" t="n">
        <v>4596.05595</v>
      </c>
      <c r="I671" s="29" t="n">
        <v>4755.40355</v>
      </c>
      <c r="J671" s="29" t="n">
        <v>4792.76972</v>
      </c>
      <c r="K671" s="29" t="n">
        <v>4769.97694</v>
      </c>
      <c r="L671" s="29" t="n">
        <v>4716.33597</v>
      </c>
      <c r="M671" s="29" t="n">
        <v>4718.85043</v>
      </c>
      <c r="N671" s="29" t="n">
        <v>4531.36057</v>
      </c>
      <c r="O671" s="29" t="n">
        <v>4556.93783</v>
      </c>
      <c r="Q671" s="29" t="n">
        <v>4684.00054</v>
      </c>
      <c r="R671" s="29" t="n">
        <v>4732.01821</v>
      </c>
      <c r="S671" s="29" t="n">
        <v>4707.83459</v>
      </c>
      <c r="V671" s="29" t="n">
        <v>4651.35535</v>
      </c>
      <c r="AB671" s="29" t="n">
        <v>4720.37242</v>
      </c>
      <c r="AC671" s="29" t="n">
        <v>4719.99567</v>
      </c>
      <c r="AD671" s="29" t="n">
        <v>0</v>
      </c>
    </row>
    <row r="672" ht="14.25" customHeight="1" s="28">
      <c r="A672" s="29" t="n">
        <v>1778210101</v>
      </c>
      <c r="B672" s="29" t="inlineStr">
        <is>
          <t>XAUUSD</t>
        </is>
      </c>
      <c r="C672" s="29" t="inlineStr">
        <is>
          <t>M15</t>
        </is>
      </c>
      <c r="D672" s="29" t="n">
        <v>4720.44</v>
      </c>
      <c r="E672" s="29" t="n">
        <v>4717.79398</v>
      </c>
      <c r="F672" s="29" t="n">
        <v>4695.2428</v>
      </c>
      <c r="G672" s="29" t="n">
        <v>4518.59282</v>
      </c>
      <c r="H672" s="29" t="n">
        <v>4596.05595</v>
      </c>
      <c r="I672" s="29" t="n">
        <v>4755.40355</v>
      </c>
      <c r="J672" s="29" t="n">
        <v>4792.76972</v>
      </c>
      <c r="K672" s="29" t="n">
        <v>4769.97694</v>
      </c>
      <c r="L672" s="29" t="n">
        <v>4716.33597</v>
      </c>
      <c r="M672" s="29" t="n">
        <v>4718.85043</v>
      </c>
      <c r="N672" s="29" t="n">
        <v>4531.36057</v>
      </c>
      <c r="O672" s="29" t="n">
        <v>4556.93783</v>
      </c>
      <c r="Q672" s="29" t="n">
        <v>4684.20299</v>
      </c>
      <c r="R672" s="29" t="n">
        <v>4732.22065</v>
      </c>
      <c r="S672" s="29" t="n">
        <v>4708.03704</v>
      </c>
      <c r="V672" s="29" t="n">
        <v>4651.5578</v>
      </c>
      <c r="AB672" s="29" t="n">
        <v>4719.66898</v>
      </c>
      <c r="AC672" s="29" t="n">
        <v>4719.83233</v>
      </c>
      <c r="AD672" s="29" t="n">
        <v>1</v>
      </c>
    </row>
    <row r="673" ht="14.25" customHeight="1" s="28">
      <c r="A673" s="29" t="n">
        <v>1778211001</v>
      </c>
      <c r="B673" s="29" t="inlineStr">
        <is>
          <t>XAUUSD</t>
        </is>
      </c>
      <c r="C673" s="29" t="inlineStr">
        <is>
          <t>M15</t>
        </is>
      </c>
      <c r="D673" s="29" t="n">
        <v>4724.99</v>
      </c>
      <c r="E673" s="29" t="n">
        <v>4717.79398</v>
      </c>
      <c r="F673" s="29" t="n">
        <v>4695.2428</v>
      </c>
      <c r="G673" s="29" t="n">
        <v>4518.59282</v>
      </c>
      <c r="H673" s="29" t="n">
        <v>4596.05595</v>
      </c>
      <c r="I673" s="29" t="n">
        <v>4755.40355</v>
      </c>
      <c r="J673" s="29" t="n">
        <v>4792.76972</v>
      </c>
      <c r="K673" s="29" t="n">
        <v>4769.97694</v>
      </c>
      <c r="L673" s="29" t="n">
        <v>4716.33597</v>
      </c>
      <c r="M673" s="29" t="n">
        <v>4718.85043</v>
      </c>
      <c r="N673" s="29" t="n">
        <v>4531.36057</v>
      </c>
      <c r="O673" s="29" t="n">
        <v>4556.93783</v>
      </c>
      <c r="Q673" s="29" t="n">
        <v>4684.40543</v>
      </c>
      <c r="R673" s="29" t="n">
        <v>4732.4231</v>
      </c>
      <c r="S673" s="29" t="n">
        <v>4708.23949</v>
      </c>
      <c r="V673" s="29" t="n">
        <v>4651.76024</v>
      </c>
      <c r="AB673" s="29" t="n">
        <v>4718.40707</v>
      </c>
      <c r="AC673" s="29" t="n">
        <v>4719.1197</v>
      </c>
      <c r="AD673" s="29" t="n">
        <v>0</v>
      </c>
    </row>
    <row r="674" ht="14.25" customHeight="1" s="28">
      <c r="A674" s="29" t="n">
        <v>1778211901</v>
      </c>
      <c r="B674" s="29" t="inlineStr">
        <is>
          <t>XAUUSD</t>
        </is>
      </c>
      <c r="C674" s="29" t="inlineStr">
        <is>
          <t>M15</t>
        </is>
      </c>
      <c r="D674" s="29" t="n">
        <v>4719.62</v>
      </c>
      <c r="E674" s="29" t="n">
        <v>4717.79398</v>
      </c>
      <c r="F674" s="29" t="n">
        <v>4695.2428</v>
      </c>
      <c r="G674" s="29" t="n">
        <v>4518.59282</v>
      </c>
      <c r="H674" s="29" t="n">
        <v>4596.05595</v>
      </c>
      <c r="I674" s="29" t="n">
        <v>4755.40355</v>
      </c>
      <c r="J674" s="29" t="n">
        <v>4792.76972</v>
      </c>
      <c r="K674" s="29" t="n">
        <v>4769.97694</v>
      </c>
      <c r="L674" s="29" t="n">
        <v>4716.33597</v>
      </c>
      <c r="M674" s="29" t="n">
        <v>4718.85043</v>
      </c>
      <c r="N674" s="29" t="n">
        <v>4531.36057</v>
      </c>
      <c r="O674" s="29" t="n">
        <v>4556.93783</v>
      </c>
      <c r="Q674" s="29" t="n">
        <v>4684.60788</v>
      </c>
      <c r="R674" s="29" t="n">
        <v>4732.62554</v>
      </c>
      <c r="S674" s="29" t="n">
        <v>4708.44193</v>
      </c>
      <c r="V674" s="29" t="n">
        <v>4651.96269</v>
      </c>
      <c r="AB674" s="29" t="n">
        <v>4716.71752</v>
      </c>
      <c r="AC674" s="29" t="n">
        <v>4717.91861</v>
      </c>
      <c r="AD674" s="29" t="n">
        <v>0</v>
      </c>
    </row>
    <row r="675" ht="14.25" customHeight="1" s="28">
      <c r="A675" s="29" t="n">
        <v>1778212801</v>
      </c>
      <c r="B675" s="29" t="inlineStr">
        <is>
          <t>XAUUSD</t>
        </is>
      </c>
      <c r="C675" s="29" t="inlineStr">
        <is>
          <t>M15</t>
        </is>
      </c>
      <c r="D675" s="29" t="n">
        <v>4715.08</v>
      </c>
      <c r="E675" s="29" t="n">
        <v>4717.79398</v>
      </c>
      <c r="F675" s="29" t="n">
        <v>4695.2428</v>
      </c>
      <c r="G675" s="29" t="n">
        <v>4518.59282</v>
      </c>
      <c r="H675" s="29" t="n">
        <v>4596.05595</v>
      </c>
      <c r="I675" s="29" t="n">
        <v>4755.40355</v>
      </c>
      <c r="J675" s="29" t="n">
        <v>4792.76972</v>
      </c>
      <c r="K675" s="29" t="n">
        <v>4769.97694</v>
      </c>
      <c r="L675" s="29" t="n">
        <v>4716.33597</v>
      </c>
      <c r="M675" s="29" t="n">
        <v>4718.85043</v>
      </c>
      <c r="N675" s="29" t="n">
        <v>4531.36057</v>
      </c>
      <c r="O675" s="29" t="n">
        <v>4556.93783</v>
      </c>
      <c r="Q675" s="29" t="n">
        <v>4684.81032</v>
      </c>
      <c r="R675" s="29" t="n">
        <v>4732.82799</v>
      </c>
      <c r="S675" s="29" t="n">
        <v>4708.64438</v>
      </c>
      <c r="V675" s="29" t="n">
        <v>4652.16513</v>
      </c>
      <c r="AB675" s="29" t="n">
        <v>4715.13049</v>
      </c>
      <c r="AC675" s="29" t="n">
        <v>4716.52455</v>
      </c>
      <c r="AD675" s="29" t="n">
        <v>0</v>
      </c>
    </row>
    <row r="676" ht="14.25" customHeight="1" s="28">
      <c r="A676" s="29" t="n">
        <v>1778213701</v>
      </c>
      <c r="B676" s="29" t="inlineStr">
        <is>
          <t>XAUUSD</t>
        </is>
      </c>
      <c r="C676" s="29" t="inlineStr">
        <is>
          <t>M15</t>
        </is>
      </c>
      <c r="D676" s="29" t="n">
        <v>4717.4</v>
      </c>
      <c r="E676" s="29" t="n">
        <v>4717.79398</v>
      </c>
      <c r="F676" s="29" t="n">
        <v>4695.2428</v>
      </c>
      <c r="G676" s="29" t="n">
        <v>4518.59282</v>
      </c>
      <c r="H676" s="29" t="n">
        <v>4596.05595</v>
      </c>
      <c r="I676" s="29" t="n">
        <v>4755.40355</v>
      </c>
      <c r="J676" s="29" t="n">
        <v>4792.76972</v>
      </c>
      <c r="K676" s="29" t="n">
        <v>4769.97694</v>
      </c>
      <c r="L676" s="29" t="n">
        <v>4716.33597</v>
      </c>
      <c r="M676" s="29" t="n">
        <v>4718.85043</v>
      </c>
      <c r="N676" s="29" t="n">
        <v>4531.36057</v>
      </c>
      <c r="O676" s="29" t="n">
        <v>4556.93783</v>
      </c>
      <c r="Q676" s="29" t="n">
        <v>4685.01277</v>
      </c>
      <c r="R676" s="29" t="n">
        <v>4733.03043</v>
      </c>
      <c r="S676" s="29" t="n">
        <v>4708.84682</v>
      </c>
      <c r="V676" s="29" t="n">
        <v>4652.36758</v>
      </c>
      <c r="AB676" s="29" t="n">
        <v>4714.16723</v>
      </c>
      <c r="AC676" s="29" t="n">
        <v>4715.34589</v>
      </c>
      <c r="AD676" s="29" t="n">
        <v>0</v>
      </c>
    </row>
    <row r="677" ht="14.25" customHeight="1" s="28">
      <c r="A677" s="29" t="n">
        <v>1778214601</v>
      </c>
      <c r="B677" s="29" t="inlineStr">
        <is>
          <t>XAUUSD</t>
        </is>
      </c>
      <c r="C677" s="29" t="inlineStr">
        <is>
          <t>M15</t>
        </is>
      </c>
      <c r="D677" s="29" t="n">
        <v>4712.14</v>
      </c>
      <c r="E677" s="29" t="n">
        <v>4717.79398</v>
      </c>
      <c r="F677" s="29" t="n">
        <v>4695.2428</v>
      </c>
      <c r="G677" s="29" t="n">
        <v>4518.59282</v>
      </c>
      <c r="H677" s="29" t="n">
        <v>4596.05595</v>
      </c>
      <c r="I677" s="29" t="n">
        <v>4755.40355</v>
      </c>
      <c r="J677" s="29" t="n">
        <v>4792.76972</v>
      </c>
      <c r="K677" s="29" t="n">
        <v>4769.97694</v>
      </c>
      <c r="L677" s="29" t="n">
        <v>4716.33597</v>
      </c>
      <c r="M677" s="29" t="n">
        <v>4718.85043</v>
      </c>
      <c r="N677" s="29" t="n">
        <v>4531.36057</v>
      </c>
      <c r="O677" s="29" t="n">
        <v>4556.93783</v>
      </c>
      <c r="Q677" s="29" t="n">
        <v>4685.21522</v>
      </c>
      <c r="R677" s="29" t="n">
        <v>4733.23288</v>
      </c>
      <c r="S677" s="29" t="n">
        <v>4709.04927</v>
      </c>
      <c r="V677" s="29" t="n">
        <v>4652.57002</v>
      </c>
      <c r="AB677" s="29" t="n">
        <v>4714.09067</v>
      </c>
      <c r="AC677" s="29" t="n">
        <v>4714.71828</v>
      </c>
      <c r="AD677" s="29" t="n">
        <v>0</v>
      </c>
    </row>
    <row r="678" ht="14.25" customHeight="1" s="28">
      <c r="A678" s="29" t="n">
        <v>1778215501</v>
      </c>
      <c r="B678" s="29" t="inlineStr">
        <is>
          <t>XAUUSD</t>
        </is>
      </c>
      <c r="C678" s="29" t="inlineStr">
        <is>
          <t>M15</t>
        </is>
      </c>
      <c r="D678" s="29" t="n">
        <v>4711.09</v>
      </c>
      <c r="E678" s="29" t="n">
        <v>4717.79398</v>
      </c>
      <c r="F678" s="29" t="n">
        <v>4695.2428</v>
      </c>
      <c r="G678" s="29" t="n">
        <v>4518.59282</v>
      </c>
      <c r="H678" s="29" t="n">
        <v>4596.05595</v>
      </c>
      <c r="I678" s="29" t="n">
        <v>4755.40355</v>
      </c>
      <c r="J678" s="29" t="n">
        <v>4792.76972</v>
      </c>
      <c r="K678" s="29" t="n">
        <v>4769.97694</v>
      </c>
      <c r="L678" s="29" t="n">
        <v>4716.33597</v>
      </c>
      <c r="M678" s="29" t="n">
        <v>4718.85043</v>
      </c>
      <c r="N678" s="29" t="n">
        <v>4531.36057</v>
      </c>
      <c r="O678" s="29" t="n">
        <v>4556.93783</v>
      </c>
      <c r="Q678" s="29" t="n">
        <v>4685.41766</v>
      </c>
      <c r="R678" s="29" t="n">
        <v>4733.43533</v>
      </c>
      <c r="S678" s="29" t="n">
        <v>4709.25171</v>
      </c>
      <c r="V678" s="29" t="n">
        <v>4652.77247</v>
      </c>
      <c r="AB678" s="29" t="n">
        <v>4715.17825</v>
      </c>
      <c r="AC678" s="29" t="n">
        <v>4714.94826</v>
      </c>
      <c r="AD678" s="29" t="n">
        <v>1</v>
      </c>
    </row>
    <row r="679" ht="14.25" customHeight="1" s="28">
      <c r="A679" s="29" t="n">
        <v>1778216401</v>
      </c>
      <c r="B679" s="29" t="inlineStr">
        <is>
          <t>XAUUSD</t>
        </is>
      </c>
      <c r="C679" s="29" t="inlineStr">
        <is>
          <t>M15</t>
        </is>
      </c>
      <c r="D679" s="29" t="n">
        <v>4712.09</v>
      </c>
      <c r="E679" s="29" t="n">
        <v>4717.79398</v>
      </c>
      <c r="F679" s="29" t="n">
        <v>4695.2428</v>
      </c>
      <c r="G679" s="29" t="n">
        <v>4518.59282</v>
      </c>
      <c r="H679" s="29" t="n">
        <v>4596.05595</v>
      </c>
      <c r="I679" s="29" t="n">
        <v>4755.40355</v>
      </c>
      <c r="J679" s="29" t="n">
        <v>4792.76972</v>
      </c>
      <c r="K679" s="29" t="n">
        <v>4769.97694</v>
      </c>
      <c r="L679" s="29" t="n">
        <v>4716.33597</v>
      </c>
      <c r="M679" s="29" t="n">
        <v>4718.85043</v>
      </c>
      <c r="N679" s="29" t="n">
        <v>4531.36057</v>
      </c>
      <c r="O679" s="29" t="n">
        <v>4556.93783</v>
      </c>
      <c r="Q679" s="29" t="n">
        <v>4685.62011</v>
      </c>
      <c r="R679" s="29" t="n">
        <v>4733.63777</v>
      </c>
      <c r="S679" s="29" t="n">
        <v>4709.45416</v>
      </c>
      <c r="V679" s="29" t="n">
        <v>4652.97492</v>
      </c>
      <c r="AB679" s="29" t="n">
        <v>4717.33359</v>
      </c>
      <c r="AC679" s="29" t="n">
        <v>4716.14093</v>
      </c>
      <c r="AD679" s="29" t="n">
        <v>0</v>
      </c>
    </row>
    <row r="680" ht="14.25" customHeight="1" s="28">
      <c r="A680" s="29" t="n">
        <v>1778217301</v>
      </c>
      <c r="B680" s="29" t="inlineStr">
        <is>
          <t>XAUUSD</t>
        </is>
      </c>
      <c r="C680" s="29" t="inlineStr">
        <is>
          <t>M15</t>
        </is>
      </c>
      <c r="D680" s="29" t="n">
        <v>4719.37</v>
      </c>
      <c r="E680" s="29" t="n">
        <v>4717.79398</v>
      </c>
      <c r="F680" s="29" t="n">
        <v>4695.2428</v>
      </c>
      <c r="G680" s="29" t="n">
        <v>4518.59282</v>
      </c>
      <c r="H680" s="29" t="n">
        <v>4596.05595</v>
      </c>
      <c r="I680" s="29" t="n">
        <v>4755.40355</v>
      </c>
      <c r="J680" s="29" t="n">
        <v>4792.76972</v>
      </c>
      <c r="K680" s="29" t="n">
        <v>4769.97694</v>
      </c>
      <c r="L680" s="29" t="n">
        <v>4716.33597</v>
      </c>
      <c r="M680" s="29" t="n">
        <v>4718.85043</v>
      </c>
      <c r="N680" s="29" t="n">
        <v>4531.36057</v>
      </c>
      <c r="O680" s="29" t="n">
        <v>4556.93783</v>
      </c>
      <c r="Q680" s="29" t="n">
        <v>4685.82255</v>
      </c>
      <c r="R680" s="29" t="n">
        <v>4733.84022</v>
      </c>
      <c r="S680" s="29" t="n">
        <v>4709.65661</v>
      </c>
      <c r="V680" s="29" t="n">
        <v>4653.17736</v>
      </c>
      <c r="AB680" s="29" t="n">
        <v>4720.18176</v>
      </c>
      <c r="AC680" s="29" t="n">
        <v>4718.16134</v>
      </c>
      <c r="AD680" s="29" t="n">
        <v>0</v>
      </c>
    </row>
    <row r="681" ht="14.25" customHeight="1" s="28">
      <c r="A681" s="29" t="n">
        <v>1778218201</v>
      </c>
      <c r="B681" s="29" t="inlineStr">
        <is>
          <t>XAUUSD</t>
        </is>
      </c>
      <c r="C681" s="29" t="inlineStr">
        <is>
          <t>M15</t>
        </is>
      </c>
      <c r="D681" s="29" t="n">
        <v>4724.62</v>
      </c>
      <c r="E681" s="29" t="n">
        <v>4717.79398</v>
      </c>
      <c r="F681" s="29" t="n">
        <v>4695.2428</v>
      </c>
      <c r="G681" s="29" t="n">
        <v>4518.59282</v>
      </c>
      <c r="H681" s="29" t="n">
        <v>4596.05595</v>
      </c>
      <c r="I681" s="29" t="n">
        <v>4755.40355</v>
      </c>
      <c r="J681" s="29" t="n">
        <v>4792.76972</v>
      </c>
      <c r="K681" s="29" t="n">
        <v>4769.97694</v>
      </c>
      <c r="L681" s="29" t="n">
        <v>4716.33597</v>
      </c>
      <c r="M681" s="29" t="n">
        <v>4718.85043</v>
      </c>
      <c r="N681" s="29" t="n">
        <v>4531.36057</v>
      </c>
      <c r="O681" s="29" t="n">
        <v>4556.93783</v>
      </c>
      <c r="Q681" s="29" t="n">
        <v>4686.025</v>
      </c>
      <c r="R681" s="29" t="n">
        <v>4734.04266</v>
      </c>
      <c r="S681" s="29" t="n">
        <v>4709.85905</v>
      </c>
      <c r="V681" s="29" t="n">
        <v>4653.37981</v>
      </c>
      <c r="AB681" s="29" t="n">
        <v>4723.06238</v>
      </c>
      <c r="AC681" s="29" t="n">
        <v>4720.61186</v>
      </c>
      <c r="AD681" s="29" t="n">
        <v>0</v>
      </c>
    </row>
    <row r="682" ht="14.25" customHeight="1" s="28">
      <c r="A682" s="29" t="n">
        <v>1778219101</v>
      </c>
      <c r="B682" s="29" t="inlineStr">
        <is>
          <t>XAUUSD</t>
        </is>
      </c>
      <c r="C682" s="29" t="inlineStr">
        <is>
          <t>M15</t>
        </is>
      </c>
      <c r="D682" s="29" t="n">
        <v>4727.43</v>
      </c>
      <c r="E682" s="29" t="n">
        <v>4717.79398</v>
      </c>
      <c r="F682" s="29" t="n">
        <v>4695.2428</v>
      </c>
      <c r="G682" s="29" t="n">
        <v>4518.59282</v>
      </c>
      <c r="H682" s="29" t="n">
        <v>4596.05595</v>
      </c>
      <c r="I682" s="29" t="n">
        <v>4755.40355</v>
      </c>
      <c r="J682" s="29" t="n">
        <v>4792.76972</v>
      </c>
      <c r="K682" s="29" t="n">
        <v>4769.97694</v>
      </c>
      <c r="L682" s="29" t="n">
        <v>4716.33597</v>
      </c>
      <c r="M682" s="29" t="n">
        <v>4718.85043</v>
      </c>
      <c r="N682" s="29" t="n">
        <v>4531.36057</v>
      </c>
      <c r="O682" s="29" t="n">
        <v>4556.93783</v>
      </c>
      <c r="Q682" s="29" t="n">
        <v>4686.22744</v>
      </c>
      <c r="R682" s="29" t="n">
        <v>4734.24511</v>
      </c>
      <c r="S682" s="29" t="n">
        <v>4710.0615</v>
      </c>
      <c r="V682" s="29" t="n">
        <v>4653.58225</v>
      </c>
      <c r="AB682" s="29" t="n">
        <v>4725.30783</v>
      </c>
      <c r="AC682" s="29" t="n">
        <v>4722.95985</v>
      </c>
      <c r="AD682" s="29" t="n">
        <v>0</v>
      </c>
    </row>
    <row r="683" ht="14.25" customHeight="1" s="28">
      <c r="A683" s="29" t="n">
        <v>1778220001</v>
      </c>
      <c r="B683" s="29" t="inlineStr">
        <is>
          <t>XAUUSD</t>
        </is>
      </c>
      <c r="C683" s="29" t="inlineStr">
        <is>
          <t>M15</t>
        </is>
      </c>
      <c r="D683" s="29" t="n">
        <v>4723.03</v>
      </c>
      <c r="E683" s="29" t="n">
        <v>4717.79398</v>
      </c>
      <c r="F683" s="29" t="n">
        <v>4695.2428</v>
      </c>
      <c r="G683" s="29" t="n">
        <v>4518.59282</v>
      </c>
      <c r="H683" s="29" t="n">
        <v>4596.05595</v>
      </c>
      <c r="I683" s="29" t="n">
        <v>4755.40355</v>
      </c>
      <c r="J683" s="29" t="n">
        <v>4792.76972</v>
      </c>
      <c r="K683" s="29" t="n">
        <v>4769.97694</v>
      </c>
      <c r="L683" s="29" t="n">
        <v>4716.33597</v>
      </c>
      <c r="M683" s="29" t="n">
        <v>4718.85043</v>
      </c>
      <c r="N683" s="29" t="n">
        <v>4531.36057</v>
      </c>
      <c r="O683" s="29" t="n">
        <v>4556.93783</v>
      </c>
      <c r="Q683" s="29" t="n">
        <v>4686.42989</v>
      </c>
      <c r="R683" s="29" t="n">
        <v>4734.44755</v>
      </c>
      <c r="S683" s="29" t="n">
        <v>4710.26394</v>
      </c>
      <c r="V683" s="29" t="n">
        <v>4653.7847</v>
      </c>
      <c r="AB683" s="29" t="n">
        <v>4726.39851</v>
      </c>
      <c r="AC683" s="29" t="n">
        <v>4724.67918</v>
      </c>
      <c r="AD683" s="29" t="n">
        <v>0</v>
      </c>
    </row>
    <row r="684" ht="14.25" customHeight="1" s="28">
      <c r="A684" s="29" t="n">
        <v>1778220901</v>
      </c>
      <c r="B684" s="29" t="inlineStr">
        <is>
          <t>XAUUSD</t>
        </is>
      </c>
      <c r="C684" s="29" t="inlineStr">
        <is>
          <t>M15</t>
        </is>
      </c>
      <c r="D684" s="29" t="n">
        <v>4733.47</v>
      </c>
      <c r="E684" s="29" t="n">
        <v>4717.79398</v>
      </c>
      <c r="F684" s="29" t="n">
        <v>4695.2428</v>
      </c>
      <c r="G684" s="29" t="n">
        <v>4518.59282</v>
      </c>
      <c r="H684" s="29" t="n">
        <v>4596.05595</v>
      </c>
      <c r="I684" s="29" t="n">
        <v>4755.40355</v>
      </c>
      <c r="J684" s="29" t="n">
        <v>4792.76972</v>
      </c>
      <c r="K684" s="29" t="n">
        <v>4769.97694</v>
      </c>
      <c r="L684" s="29" t="n">
        <v>4716.33597</v>
      </c>
      <c r="M684" s="29" t="n">
        <v>4718.85043</v>
      </c>
      <c r="N684" s="29" t="n">
        <v>4531.36057</v>
      </c>
      <c r="O684" s="29" t="n">
        <v>4556.93783</v>
      </c>
      <c r="Q684" s="29" t="n">
        <v>4686.63234</v>
      </c>
      <c r="R684" s="29" t="n">
        <v>4734.65</v>
      </c>
      <c r="S684" s="29" t="n">
        <v>4710.46639</v>
      </c>
      <c r="V684" s="29" t="n">
        <v>4653.98714</v>
      </c>
      <c r="Z684" s="29" t="n">
        <v>4734.65</v>
      </c>
      <c r="AB684" s="29" t="n">
        <v>4726.21783</v>
      </c>
      <c r="AC684" s="29" t="n">
        <v>4725.4485</v>
      </c>
      <c r="AD684" s="29" t="n">
        <v>0</v>
      </c>
    </row>
    <row r="685" ht="14.25" customHeight="1" s="28">
      <c r="A685" s="29" t="n">
        <v>1778221801</v>
      </c>
      <c r="B685" s="29" t="inlineStr">
        <is>
          <t>XAUUSD</t>
        </is>
      </c>
      <c r="C685" s="29" t="inlineStr">
        <is>
          <t>M15</t>
        </is>
      </c>
      <c r="D685" s="29" t="n">
        <v>4728.52</v>
      </c>
      <c r="E685" s="29" t="n">
        <v>4717.79398</v>
      </c>
      <c r="F685" s="29" t="n">
        <v>4695.2428</v>
      </c>
      <c r="G685" s="29" t="n">
        <v>4518.59282</v>
      </c>
      <c r="H685" s="29" t="n">
        <v>4596.05595</v>
      </c>
      <c r="I685" s="29" t="n">
        <v>4755.40355</v>
      </c>
      <c r="J685" s="29" t="n">
        <v>4792.76972</v>
      </c>
      <c r="K685" s="29" t="n">
        <v>4769.97694</v>
      </c>
      <c r="L685" s="29" t="n">
        <v>4716.33597</v>
      </c>
      <c r="M685" s="29" t="n">
        <v>4718.85043</v>
      </c>
      <c r="N685" s="29" t="n">
        <v>4531.36057</v>
      </c>
      <c r="O685" s="29" t="n">
        <v>4556.93783</v>
      </c>
      <c r="Q685" s="29" t="n">
        <v>4686.83478</v>
      </c>
      <c r="R685" s="29" t="n">
        <v>4734.85245</v>
      </c>
      <c r="S685" s="29" t="n">
        <v>4710.66883</v>
      </c>
      <c r="V685" s="29" t="n">
        <v>4654.18959</v>
      </c>
      <c r="AB685" s="29" t="n">
        <v>4724.48288</v>
      </c>
      <c r="AC685" s="29" t="n">
        <v>4724.96569</v>
      </c>
      <c r="AD685" s="29" t="n">
        <v>1</v>
      </c>
    </row>
    <row r="686" ht="14.25" customHeight="1" s="28">
      <c r="A686" s="29" t="n">
        <v>1778222701</v>
      </c>
      <c r="B686" s="29" t="inlineStr">
        <is>
          <t>XAUUSD</t>
        </is>
      </c>
      <c r="C686" s="29" t="inlineStr">
        <is>
          <t>M15</t>
        </is>
      </c>
      <c r="D686" s="29" t="n">
        <v>4725.67</v>
      </c>
      <c r="E686" s="29" t="n">
        <v>4717.79398</v>
      </c>
      <c r="F686" s="29" t="n">
        <v>4695.2428</v>
      </c>
      <c r="G686" s="29" t="n">
        <v>4518.59282</v>
      </c>
      <c r="H686" s="29" t="n">
        <v>4596.05595</v>
      </c>
      <c r="I686" s="29" t="n">
        <v>4755.40355</v>
      </c>
      <c r="J686" s="29" t="n">
        <v>4792.76972</v>
      </c>
      <c r="K686" s="29" t="n">
        <v>4769.97694</v>
      </c>
      <c r="L686" s="29" t="n">
        <v>4716.33597</v>
      </c>
      <c r="M686" s="29" t="n">
        <v>4718.85043</v>
      </c>
      <c r="N686" s="29" t="n">
        <v>4531.36057</v>
      </c>
      <c r="O686" s="29" t="n">
        <v>4556.93783</v>
      </c>
      <c r="Q686" s="29" t="n">
        <v>4687.03723</v>
      </c>
      <c r="R686" s="29" t="n">
        <v>4735.05489</v>
      </c>
      <c r="S686" s="29" t="n">
        <v>4710.87128</v>
      </c>
      <c r="V686" s="29" t="n">
        <v>4654.39204</v>
      </c>
      <c r="AB686" s="29" t="n">
        <v>4721.61567</v>
      </c>
      <c r="AC686" s="29" t="n">
        <v>4723.29068</v>
      </c>
      <c r="AD686" s="29" t="n">
        <v>0</v>
      </c>
    </row>
    <row r="687" ht="14.25" customHeight="1" s="28">
      <c r="A687" s="29" t="n">
        <v>1778223601</v>
      </c>
      <c r="B687" s="29" t="inlineStr">
        <is>
          <t>XAUUSD</t>
        </is>
      </c>
      <c r="C687" s="29" t="inlineStr">
        <is>
          <t>M15</t>
        </is>
      </c>
      <c r="D687" s="29" t="n">
        <v>4715.31</v>
      </c>
      <c r="E687" s="29" t="n">
        <v>4717.79398</v>
      </c>
      <c r="F687" s="29" t="n">
        <v>4695.2428</v>
      </c>
      <c r="G687" s="29" t="n">
        <v>4518.59282</v>
      </c>
      <c r="H687" s="29" t="n">
        <v>4596.05595</v>
      </c>
      <c r="I687" s="29" t="n">
        <v>4755.40355</v>
      </c>
      <c r="J687" s="29" t="n">
        <v>4792.76972</v>
      </c>
      <c r="K687" s="29" t="n">
        <v>4769.97694</v>
      </c>
      <c r="L687" s="29" t="n">
        <v>4716.33597</v>
      </c>
      <c r="M687" s="29" t="n">
        <v>4718.85043</v>
      </c>
      <c r="N687" s="29" t="n">
        <v>4531.36057</v>
      </c>
      <c r="O687" s="29" t="n">
        <v>4556.93783</v>
      </c>
      <c r="Q687" s="29" t="n">
        <v>4687.23967</v>
      </c>
      <c r="R687" s="29" t="n">
        <v>4735.25734</v>
      </c>
      <c r="S687" s="29" t="n">
        <v>4711.07372</v>
      </c>
      <c r="V687" s="29" t="n">
        <v>4654.59448</v>
      </c>
      <c r="AB687" s="29" t="n">
        <v>4718.15728</v>
      </c>
      <c r="AC687" s="29" t="n">
        <v>4720.72398</v>
      </c>
      <c r="AD687" s="29" t="n">
        <v>0</v>
      </c>
    </row>
    <row r="688" ht="14.25" customHeight="1" s="28">
      <c r="A688" s="29" t="n">
        <v>1778224501</v>
      </c>
      <c r="B688" s="29" t="inlineStr">
        <is>
          <t>XAUUSD</t>
        </is>
      </c>
      <c r="C688" s="29" t="inlineStr">
        <is>
          <t>M15</t>
        </is>
      </c>
      <c r="D688" s="29" t="n">
        <v>4706.67</v>
      </c>
      <c r="E688" s="29" t="n">
        <v>4717.79398</v>
      </c>
      <c r="F688" s="29" t="n">
        <v>4695.2428</v>
      </c>
      <c r="G688" s="29" t="n">
        <v>4518.59282</v>
      </c>
      <c r="H688" s="29" t="n">
        <v>4596.05595</v>
      </c>
      <c r="I688" s="29" t="n">
        <v>4755.40355</v>
      </c>
      <c r="J688" s="29" t="n">
        <v>4792.76972</v>
      </c>
      <c r="K688" s="29" t="n">
        <v>4769.97694</v>
      </c>
      <c r="L688" s="29" t="n">
        <v>4716.33597</v>
      </c>
      <c r="M688" s="29" t="n">
        <v>4718.85043</v>
      </c>
      <c r="N688" s="29" t="n">
        <v>4531.36057</v>
      </c>
      <c r="O688" s="29" t="n">
        <v>4556.93783</v>
      </c>
      <c r="Q688" s="29" t="n">
        <v>4687.44212</v>
      </c>
      <c r="R688" s="29" t="n">
        <v>4735.45978</v>
      </c>
      <c r="S688" s="29" t="n">
        <v>4711.27617</v>
      </c>
      <c r="V688" s="29" t="n">
        <v>4654.79693</v>
      </c>
      <c r="AA688" s="29" t="n">
        <v>4696.83</v>
      </c>
      <c r="AB688" s="29" t="n">
        <v>4714.88799</v>
      </c>
      <c r="AC688" s="29" t="n">
        <v>4717.80598</v>
      </c>
      <c r="AD688" s="29" t="n">
        <v>0</v>
      </c>
    </row>
    <row r="689" ht="14.25" customHeight="1" s="28">
      <c r="A689" s="29" t="n">
        <v>1778225401</v>
      </c>
      <c r="B689" s="29" t="inlineStr">
        <is>
          <t>XAUUSD</t>
        </is>
      </c>
      <c r="C689" s="29" t="inlineStr">
        <is>
          <t>M15</t>
        </is>
      </c>
      <c r="D689" s="29" t="n">
        <v>4708.14</v>
      </c>
      <c r="E689" s="29" t="n">
        <v>4717.79398</v>
      </c>
      <c r="F689" s="29" t="n">
        <v>4695.2428</v>
      </c>
      <c r="G689" s="29" t="n">
        <v>4518.59282</v>
      </c>
      <c r="H689" s="29" t="n">
        <v>4596.05595</v>
      </c>
      <c r="I689" s="29" t="n">
        <v>4755.40355</v>
      </c>
      <c r="J689" s="29" t="n">
        <v>4792.76972</v>
      </c>
      <c r="K689" s="29" t="n">
        <v>4769.97694</v>
      </c>
      <c r="L689" s="29" t="n">
        <v>4716.33597</v>
      </c>
      <c r="M689" s="29" t="n">
        <v>4718.85043</v>
      </c>
      <c r="N689" s="29" t="n">
        <v>4531.36057</v>
      </c>
      <c r="O689" s="29" t="n">
        <v>4556.93783</v>
      </c>
      <c r="Q689" s="29" t="n">
        <v>4687.64456</v>
      </c>
      <c r="R689" s="29" t="n">
        <v>4735.66223</v>
      </c>
      <c r="S689" s="29" t="n">
        <v>4711.47862</v>
      </c>
      <c r="V689" s="29" t="n">
        <v>4654.99937</v>
      </c>
      <c r="AB689" s="29" t="n">
        <v>4712.46577</v>
      </c>
      <c r="AC689" s="29" t="n">
        <v>4715.13588</v>
      </c>
      <c r="AD689" s="29" t="n">
        <v>0</v>
      </c>
    </row>
    <row r="690" ht="14.25" customHeight="1" s="28">
      <c r="A690" s="29" t="n">
        <v>1778226301</v>
      </c>
      <c r="B690" s="29" t="inlineStr">
        <is>
          <t>XAUUSD</t>
        </is>
      </c>
      <c r="C690" s="29" t="inlineStr">
        <is>
          <t>M15</t>
        </is>
      </c>
      <c r="D690" s="29" t="n">
        <v>4707.87</v>
      </c>
      <c r="E690" s="29" t="n">
        <v>4717.79398</v>
      </c>
      <c r="F690" s="29" t="n">
        <v>4695.2428</v>
      </c>
      <c r="G690" s="29" t="n">
        <v>4518.59282</v>
      </c>
      <c r="H690" s="29" t="n">
        <v>4596.05595</v>
      </c>
      <c r="I690" s="29" t="n">
        <v>4755.40355</v>
      </c>
      <c r="J690" s="29" t="n">
        <v>4792.76972</v>
      </c>
      <c r="K690" s="29" t="n">
        <v>4769.97694</v>
      </c>
      <c r="L690" s="29" t="n">
        <v>4716.33597</v>
      </c>
      <c r="M690" s="29" t="n">
        <v>4718.85043</v>
      </c>
      <c r="N690" s="29" t="n">
        <v>4531.36057</v>
      </c>
      <c r="O690" s="29" t="n">
        <v>4556.93783</v>
      </c>
      <c r="Q690" s="29" t="n">
        <v>4687.84701</v>
      </c>
      <c r="R690" s="29" t="n">
        <v>4735.86467</v>
      </c>
      <c r="S690" s="29" t="n">
        <v>4711.68106</v>
      </c>
      <c r="V690" s="29" t="n">
        <v>4655.20182</v>
      </c>
      <c r="AB690" s="29" t="n">
        <v>4711.1019</v>
      </c>
      <c r="AC690" s="29" t="n">
        <v>4713.11889</v>
      </c>
      <c r="AD690" s="29" t="n">
        <v>0</v>
      </c>
    </row>
    <row r="691" ht="14.25" customHeight="1" s="28">
      <c r="A691" s="29" t="n">
        <v>1778227201</v>
      </c>
      <c r="B691" s="29" t="inlineStr">
        <is>
          <t>XAUUSD</t>
        </is>
      </c>
      <c r="C691" s="29" t="inlineStr">
        <is>
          <t>M15</t>
        </is>
      </c>
      <c r="D691" s="29" t="n">
        <v>4711.45</v>
      </c>
      <c r="E691" s="29" t="n">
        <v>4717.79398</v>
      </c>
      <c r="F691" s="29" t="n">
        <v>4695.2428</v>
      </c>
      <c r="G691" s="29" t="n">
        <v>4518.59282</v>
      </c>
      <c r="H691" s="29" t="n">
        <v>4596.05595</v>
      </c>
      <c r="I691" s="29" t="n">
        <v>4755.40355</v>
      </c>
      <c r="J691" s="29" t="n">
        <v>4792.76972</v>
      </c>
      <c r="K691" s="29" t="n">
        <v>4769.97694</v>
      </c>
      <c r="L691" s="29" t="n">
        <v>4716.33597</v>
      </c>
      <c r="M691" s="29" t="n">
        <v>4718.85043</v>
      </c>
      <c r="N691" s="29" t="n">
        <v>4531.36057</v>
      </c>
      <c r="O691" s="29" t="n">
        <v>4556.93783</v>
      </c>
      <c r="Q691" s="29" t="n">
        <v>4688.04946</v>
      </c>
      <c r="R691" s="29" t="n">
        <v>4736.06712</v>
      </c>
      <c r="S691" s="29" t="n">
        <v>4711.88351</v>
      </c>
      <c r="V691" s="29" t="n">
        <v>4655.40426</v>
      </c>
      <c r="AB691" s="29" t="n">
        <v>4710.83004</v>
      </c>
      <c r="AC691" s="29" t="n">
        <v>4711.97447</v>
      </c>
      <c r="AD691" s="29" t="n">
        <v>0</v>
      </c>
    </row>
    <row r="692" ht="14.25" customHeight="1" s="28">
      <c r="A692" s="29" t="n">
        <v>1778228101</v>
      </c>
      <c r="B692" s="29" t="inlineStr">
        <is>
          <t>XAUUSD</t>
        </is>
      </c>
      <c r="C692" s="29" t="inlineStr">
        <is>
          <t>M15</t>
        </is>
      </c>
      <c r="D692" s="29" t="n">
        <v>4716.82</v>
      </c>
      <c r="E692" s="29" t="n">
        <v>4717.79398</v>
      </c>
      <c r="F692" s="29" t="n">
        <v>4695.2428</v>
      </c>
      <c r="G692" s="29" t="n">
        <v>4518.59282</v>
      </c>
      <c r="H692" s="29" t="n">
        <v>4596.05595</v>
      </c>
      <c r="I692" s="29" t="n">
        <v>4755.40355</v>
      </c>
      <c r="J692" s="29" t="n">
        <v>4792.76972</v>
      </c>
      <c r="K692" s="29" t="n">
        <v>4769.97694</v>
      </c>
      <c r="L692" s="29" t="n">
        <v>4716.33597</v>
      </c>
      <c r="M692" s="29" t="n">
        <v>4718.85043</v>
      </c>
      <c r="N692" s="29" t="n">
        <v>4531.36057</v>
      </c>
      <c r="O692" s="29" t="n">
        <v>4556.93783</v>
      </c>
      <c r="Q692" s="29" t="n">
        <v>4688.2519</v>
      </c>
      <c r="R692" s="29" t="n">
        <v>4736.26957</v>
      </c>
      <c r="S692" s="29" t="n">
        <v>4712.08595</v>
      </c>
      <c r="V692" s="29" t="n">
        <v>4655.60671</v>
      </c>
      <c r="AB692" s="29" t="n">
        <v>4711.41569</v>
      </c>
      <c r="AC692" s="29" t="n">
        <v>4711.69508</v>
      </c>
      <c r="AD692" s="29" t="n">
        <v>0</v>
      </c>
    </row>
    <row r="693" ht="14.25" customHeight="1" s="28">
      <c r="A693" s="29" t="n">
        <v>1778229001</v>
      </c>
      <c r="B693" s="29" t="inlineStr">
        <is>
          <t>XAUUSD</t>
        </is>
      </c>
      <c r="C693" s="29" t="inlineStr">
        <is>
          <t>M15</t>
        </is>
      </c>
      <c r="D693" s="29" t="n">
        <v>4716.85</v>
      </c>
      <c r="E693" s="29" t="n">
        <v>4717.79398</v>
      </c>
      <c r="F693" s="29" t="n">
        <v>4695.2428</v>
      </c>
      <c r="G693" s="29" t="n">
        <v>4518.59282</v>
      </c>
      <c r="H693" s="29" t="n">
        <v>4596.05595</v>
      </c>
      <c r="I693" s="29" t="n">
        <v>4755.40355</v>
      </c>
      <c r="J693" s="29" t="n">
        <v>4792.76972</v>
      </c>
      <c r="K693" s="29" t="n">
        <v>4769.97694</v>
      </c>
      <c r="L693" s="29" t="n">
        <v>4716.33597</v>
      </c>
      <c r="M693" s="29" t="n">
        <v>4718.85043</v>
      </c>
      <c r="N693" s="29" t="n">
        <v>4531.36057</v>
      </c>
      <c r="O693" s="29" t="n">
        <v>4556.93783</v>
      </c>
      <c r="Q693" s="29" t="n">
        <v>4688.45435</v>
      </c>
      <c r="R693" s="29" t="n">
        <v>4736.47201</v>
      </c>
      <c r="S693" s="29" t="n">
        <v>4712.2884</v>
      </c>
      <c r="V693" s="29" t="n">
        <v>4655.80916</v>
      </c>
      <c r="AB693" s="29" t="n">
        <v>4712.49391</v>
      </c>
      <c r="AC693" s="29" t="n">
        <v>4712.09449</v>
      </c>
      <c r="AD693" s="29" t="n">
        <v>1</v>
      </c>
    </row>
    <row r="694" ht="14.25" customHeight="1" s="28">
      <c r="A694" s="29" t="n">
        <v>1778229901</v>
      </c>
      <c r="B694" s="29" t="inlineStr">
        <is>
          <t>XAUUSD</t>
        </is>
      </c>
      <c r="C694" s="29" t="inlineStr">
        <is>
          <t>M15</t>
        </is>
      </c>
      <c r="D694" s="29" t="n">
        <v>4715.7</v>
      </c>
      <c r="E694" s="29" t="n">
        <v>4717.79398</v>
      </c>
      <c r="F694" s="29" t="n">
        <v>4695.2428</v>
      </c>
      <c r="G694" s="29" t="n">
        <v>4518.59282</v>
      </c>
      <c r="H694" s="29" t="n">
        <v>4596.05595</v>
      </c>
      <c r="I694" s="29" t="n">
        <v>4755.40355</v>
      </c>
      <c r="J694" s="29" t="n">
        <v>4792.76972</v>
      </c>
      <c r="K694" s="29" t="n">
        <v>4769.97694</v>
      </c>
      <c r="L694" s="29" t="n">
        <v>4716.33597</v>
      </c>
      <c r="M694" s="29" t="n">
        <v>4718.85043</v>
      </c>
      <c r="N694" s="29" t="n">
        <v>4531.36057</v>
      </c>
      <c r="O694" s="29" t="n">
        <v>4556.93783</v>
      </c>
      <c r="Q694" s="29" t="n">
        <v>4688.65679</v>
      </c>
      <c r="R694" s="29" t="n">
        <v>4736.67446</v>
      </c>
      <c r="S694" s="29" t="n">
        <v>4712.49084</v>
      </c>
      <c r="V694" s="29" t="n">
        <v>4656.0116</v>
      </c>
      <c r="AB694" s="29" t="n">
        <v>4713.81556</v>
      </c>
      <c r="AC694" s="29" t="n">
        <v>4712.95503</v>
      </c>
      <c r="AD694" s="29" t="n">
        <v>0</v>
      </c>
    </row>
    <row r="695" ht="14.25" customHeight="1" s="28">
      <c r="A695" s="29" t="n">
        <v>1778230801</v>
      </c>
      <c r="B695" s="29" t="inlineStr">
        <is>
          <t>XAUUSD</t>
        </is>
      </c>
      <c r="C695" s="29" t="inlineStr">
        <is>
          <t>M15</t>
        </is>
      </c>
      <c r="D695" s="29" t="n">
        <v>4718.38</v>
      </c>
      <c r="E695" s="29" t="n">
        <v>4717.79398</v>
      </c>
      <c r="F695" s="29" t="n">
        <v>4695.2428</v>
      </c>
      <c r="G695" s="29" t="n">
        <v>4518.59282</v>
      </c>
      <c r="H695" s="29" t="n">
        <v>4596.05595</v>
      </c>
      <c r="I695" s="29" t="n">
        <v>4755.40355</v>
      </c>
      <c r="J695" s="29" t="n">
        <v>4792.76972</v>
      </c>
      <c r="K695" s="29" t="n">
        <v>4769.97694</v>
      </c>
      <c r="L695" s="29" t="n">
        <v>4716.33597</v>
      </c>
      <c r="M695" s="29" t="n">
        <v>4718.85043</v>
      </c>
      <c r="N695" s="29" t="n">
        <v>4531.36057</v>
      </c>
      <c r="O695" s="29" t="n">
        <v>4556.93783</v>
      </c>
      <c r="Q695" s="29" t="n">
        <v>4688.85924</v>
      </c>
      <c r="R695" s="29" t="n">
        <v>4736.8769</v>
      </c>
      <c r="S695" s="29" t="n">
        <v>4712.69329</v>
      </c>
      <c r="V695" s="29" t="n">
        <v>4656.21405</v>
      </c>
      <c r="AB695" s="29" t="n">
        <v>4715.24143</v>
      </c>
      <c r="AC695" s="29" t="n">
        <v>4714.09823</v>
      </c>
      <c r="AD695" s="29" t="n">
        <v>0</v>
      </c>
    </row>
    <row r="696" ht="14.25" customHeight="1" s="28">
      <c r="A696" s="29" t="n">
        <v>1778231701</v>
      </c>
      <c r="B696" s="29" t="inlineStr">
        <is>
          <t>XAUUSD</t>
        </is>
      </c>
      <c r="C696" s="29" t="inlineStr">
        <is>
          <t>M15</t>
        </is>
      </c>
      <c r="D696" s="29" t="n">
        <v>4717.81</v>
      </c>
      <c r="E696" s="29" t="n">
        <v>4717.79398</v>
      </c>
      <c r="F696" s="29" t="n">
        <v>4695.2428</v>
      </c>
      <c r="G696" s="29" t="n">
        <v>4518.59282</v>
      </c>
      <c r="H696" s="29" t="n">
        <v>4596.05595</v>
      </c>
      <c r="I696" s="29" t="n">
        <v>4755.40355</v>
      </c>
      <c r="J696" s="29" t="n">
        <v>4792.76972</v>
      </c>
      <c r="K696" s="29" t="n">
        <v>4769.97694</v>
      </c>
      <c r="L696" s="29" t="n">
        <v>4716.33597</v>
      </c>
      <c r="M696" s="29" t="n">
        <v>4718.85043</v>
      </c>
      <c r="N696" s="29" t="n">
        <v>4531.36057</v>
      </c>
      <c r="O696" s="29" t="n">
        <v>4556.93783</v>
      </c>
      <c r="Q696" s="29" t="n">
        <v>4689.06168</v>
      </c>
      <c r="R696" s="29" t="n">
        <v>4737.07935</v>
      </c>
      <c r="S696" s="29" t="n">
        <v>4712.89574</v>
      </c>
      <c r="V696" s="29" t="n">
        <v>4656.41649</v>
      </c>
      <c r="AB696" s="29" t="n">
        <v>4716.61363</v>
      </c>
      <c r="AC696" s="29" t="n">
        <v>4715.35593</v>
      </c>
      <c r="AD696" s="29" t="n">
        <v>0</v>
      </c>
    </row>
    <row r="697" ht="14.25" customHeight="1" s="28">
      <c r="A697" s="29" t="n">
        <v>1778232601</v>
      </c>
      <c r="B697" s="29" t="inlineStr">
        <is>
          <t>XAUUSD</t>
        </is>
      </c>
      <c r="C697" s="29" t="inlineStr">
        <is>
          <t>M15</t>
        </is>
      </c>
      <c r="D697" s="29" t="n">
        <v>4713.35</v>
      </c>
      <c r="E697" s="29" t="n">
        <v>4717.79398</v>
      </c>
      <c r="F697" s="29" t="n">
        <v>4695.2428</v>
      </c>
      <c r="G697" s="29" t="n">
        <v>4518.59282</v>
      </c>
      <c r="H697" s="29" t="n">
        <v>4596.05595</v>
      </c>
      <c r="I697" s="29" t="n">
        <v>4755.40355</v>
      </c>
      <c r="J697" s="29" t="n">
        <v>4792.76972</v>
      </c>
      <c r="K697" s="29" t="n">
        <v>4769.97694</v>
      </c>
      <c r="L697" s="29" t="n">
        <v>4716.33597</v>
      </c>
      <c r="M697" s="29" t="n">
        <v>4718.85043</v>
      </c>
      <c r="N697" s="29" t="n">
        <v>4531.36057</v>
      </c>
      <c r="O697" s="29" t="n">
        <v>4556.93783</v>
      </c>
      <c r="Q697" s="29" t="n">
        <v>4689.26413</v>
      </c>
      <c r="R697" s="29" t="n">
        <v>4737.28179</v>
      </c>
      <c r="S697" s="29" t="n">
        <v>4713.09818</v>
      </c>
      <c r="V697" s="29" t="n">
        <v>4656.61894</v>
      </c>
      <c r="AB697" s="29" t="n">
        <v>4717.88492</v>
      </c>
      <c r="AC697" s="29" t="n">
        <v>4716.62042</v>
      </c>
      <c r="AD697" s="29" t="n">
        <v>0</v>
      </c>
    </row>
    <row r="698" ht="14.25" customHeight="1" s="28">
      <c r="A698" s="29" t="n">
        <v>1778233501</v>
      </c>
      <c r="B698" s="29" t="inlineStr">
        <is>
          <t>XAUUSD</t>
        </is>
      </c>
      <c r="C698" s="29" t="inlineStr">
        <is>
          <t>M15</t>
        </is>
      </c>
      <c r="D698" s="29" t="n">
        <v>4711.79</v>
      </c>
      <c r="E698" s="29" t="n">
        <v>4717.79398</v>
      </c>
      <c r="F698" s="29" t="n">
        <v>4695.2428</v>
      </c>
      <c r="G698" s="29" t="n">
        <v>4518.59282</v>
      </c>
      <c r="H698" s="29" t="n">
        <v>4596.05595</v>
      </c>
      <c r="I698" s="29" t="n">
        <v>4755.40355</v>
      </c>
      <c r="J698" s="29" t="n">
        <v>4792.76972</v>
      </c>
      <c r="K698" s="29" t="n">
        <v>4769.97694</v>
      </c>
      <c r="L698" s="29" t="n">
        <v>4716.33597</v>
      </c>
      <c r="M698" s="29" t="n">
        <v>4718.85043</v>
      </c>
      <c r="N698" s="29" t="n">
        <v>4531.36057</v>
      </c>
      <c r="O698" s="29" t="n">
        <v>4556.93783</v>
      </c>
      <c r="Q698" s="29" t="n">
        <v>4689.46658</v>
      </c>
      <c r="R698" s="29" t="n">
        <v>4737.48424</v>
      </c>
      <c r="S698" s="29" t="n">
        <v>4713.30063</v>
      </c>
      <c r="V698" s="29" t="n">
        <v>4656.82138</v>
      </c>
      <c r="AB698" s="29" t="n">
        <v>4719.13515</v>
      </c>
      <c r="AC698" s="29" t="n">
        <v>4717.87778</v>
      </c>
      <c r="AD698" s="29" t="n">
        <v>0</v>
      </c>
    </row>
    <row r="699" ht="14.25" customHeight="1" s="28">
      <c r="A699" s="29" t="n">
        <v>1778234401</v>
      </c>
      <c r="B699" s="29" t="inlineStr">
        <is>
          <t>XAUUSD</t>
        </is>
      </c>
      <c r="C699" s="29" t="inlineStr">
        <is>
          <t>M15</t>
        </is>
      </c>
      <c r="D699" s="29" t="n">
        <v>4718.94</v>
      </c>
      <c r="E699" s="29" t="n">
        <v>4717.79398</v>
      </c>
      <c r="F699" s="29" t="n">
        <v>4695.2428</v>
      </c>
      <c r="G699" s="29" t="n">
        <v>4518.59282</v>
      </c>
      <c r="H699" s="29" t="n">
        <v>4596.05595</v>
      </c>
      <c r="I699" s="29" t="n">
        <v>4755.40355</v>
      </c>
      <c r="J699" s="29" t="n">
        <v>4792.76972</v>
      </c>
      <c r="K699" s="29" t="n">
        <v>4769.97694</v>
      </c>
      <c r="L699" s="29" t="n">
        <v>4716.33597</v>
      </c>
      <c r="M699" s="29" t="n">
        <v>4718.85043</v>
      </c>
      <c r="N699" s="29" t="n">
        <v>4531.36057</v>
      </c>
      <c r="O699" s="29" t="n">
        <v>4556.93783</v>
      </c>
      <c r="Q699" s="29" t="n">
        <v>4689.66902</v>
      </c>
      <c r="R699" s="29" t="n">
        <v>4737.68669</v>
      </c>
      <c r="S699" s="29" t="n">
        <v>4713.50307</v>
      </c>
      <c r="V699" s="29" t="n">
        <v>4657.02383</v>
      </c>
      <c r="AB699" s="29" t="n">
        <v>4720.32692</v>
      </c>
      <c r="AC699" s="29" t="n">
        <v>4719.10235</v>
      </c>
      <c r="AD699" s="29" t="n">
        <v>0</v>
      </c>
    </row>
    <row r="700" ht="14.25" customHeight="1" s="28">
      <c r="A700" s="29" t="n">
        <v>1778235301</v>
      </c>
      <c r="B700" s="29" t="inlineStr">
        <is>
          <t>XAUUSD</t>
        </is>
      </c>
      <c r="C700" s="29" t="inlineStr">
        <is>
          <t>M15</t>
        </is>
      </c>
      <c r="D700" s="29" t="n">
        <v>4720.38</v>
      </c>
      <c r="E700" s="29" t="n">
        <v>4717.79398</v>
      </c>
      <c r="F700" s="29" t="n">
        <v>4695.2428</v>
      </c>
      <c r="G700" s="29" t="n">
        <v>4518.59282</v>
      </c>
      <c r="H700" s="29" t="n">
        <v>4596.05595</v>
      </c>
      <c r="I700" s="29" t="n">
        <v>4755.40355</v>
      </c>
      <c r="J700" s="29" t="n">
        <v>4792.76972</v>
      </c>
      <c r="K700" s="29" t="n">
        <v>4769.97694</v>
      </c>
      <c r="L700" s="29" t="n">
        <v>4716.33597</v>
      </c>
      <c r="M700" s="29" t="n">
        <v>4718.85043</v>
      </c>
      <c r="N700" s="29" t="n">
        <v>4531.36057</v>
      </c>
      <c r="O700" s="29" t="n">
        <v>4556.93783</v>
      </c>
      <c r="Q700" s="29" t="n">
        <v>4689.87147</v>
      </c>
      <c r="R700" s="29" t="n">
        <v>4737.88913</v>
      </c>
      <c r="S700" s="29" t="n">
        <v>4713.70552</v>
      </c>
      <c r="V700" s="29" t="n">
        <v>4657.22628</v>
      </c>
      <c r="AB700" s="29" t="n">
        <v>4721.1592</v>
      </c>
      <c r="AC700" s="29" t="n">
        <v>4720.13077</v>
      </c>
      <c r="AD700" s="29" t="n">
        <v>0</v>
      </c>
    </row>
    <row r="701" ht="14.25" customHeight="1" s="28">
      <c r="A701" s="29" t="n">
        <v>1778236201</v>
      </c>
      <c r="B701" s="29" t="inlineStr">
        <is>
          <t>XAUUSD</t>
        </is>
      </c>
      <c r="C701" s="29" t="inlineStr">
        <is>
          <t>M15</t>
        </is>
      </c>
      <c r="D701" s="29" t="n">
        <v>4724.48</v>
      </c>
      <c r="E701" s="29" t="n">
        <v>4717.79398</v>
      </c>
      <c r="F701" s="29" t="n">
        <v>4695.2428</v>
      </c>
      <c r="G701" s="29" t="n">
        <v>4518.59282</v>
      </c>
      <c r="H701" s="29" t="n">
        <v>4596.05595</v>
      </c>
      <c r="I701" s="29" t="n">
        <v>4755.40355</v>
      </c>
      <c r="J701" s="29" t="n">
        <v>4792.76972</v>
      </c>
      <c r="K701" s="29" t="n">
        <v>4769.97694</v>
      </c>
      <c r="L701" s="29" t="n">
        <v>4716.33597</v>
      </c>
      <c r="M701" s="29" t="n">
        <v>4718.85043</v>
      </c>
      <c r="N701" s="29" t="n">
        <v>4531.36057</v>
      </c>
      <c r="O701" s="29" t="n">
        <v>4556.93783</v>
      </c>
      <c r="Q701" s="29" t="n">
        <v>4690.07391</v>
      </c>
      <c r="R701" s="29" t="n">
        <v>4738.09158</v>
      </c>
      <c r="S701" s="29" t="n">
        <v>4713.90796</v>
      </c>
      <c r="V701" s="29" t="n">
        <v>4657.42872</v>
      </c>
      <c r="AB701" s="29" t="n">
        <v>4721.45058</v>
      </c>
      <c r="AC701" s="29" t="n">
        <v>4720.79068</v>
      </c>
      <c r="AD701" s="29" t="n">
        <v>0</v>
      </c>
    </row>
    <row r="702" ht="14.25" customHeight="1" s="28">
      <c r="A702" s="29" t="n">
        <v>1778237101</v>
      </c>
      <c r="B702" s="29" t="inlineStr">
        <is>
          <t>XAUUSD</t>
        </is>
      </c>
      <c r="C702" s="29" t="inlineStr">
        <is>
          <t>M15</t>
        </is>
      </c>
      <c r="D702" s="29" t="n">
        <v>4719.94</v>
      </c>
      <c r="E702" s="29" t="n">
        <v>4717.79398</v>
      </c>
      <c r="F702" s="29" t="n">
        <v>4695.2428</v>
      </c>
      <c r="G702" s="29" t="n">
        <v>4518.59282</v>
      </c>
      <c r="H702" s="29" t="n">
        <v>4596.05595</v>
      </c>
      <c r="I702" s="29" t="n">
        <v>4755.40355</v>
      </c>
      <c r="J702" s="29" t="n">
        <v>4792.76972</v>
      </c>
      <c r="K702" s="29" t="n">
        <v>4769.97694</v>
      </c>
      <c r="L702" s="29" t="n">
        <v>4716.33597</v>
      </c>
      <c r="M702" s="29" t="n">
        <v>4718.85043</v>
      </c>
      <c r="N702" s="29" t="n">
        <v>4531.36057</v>
      </c>
      <c r="O702" s="29" t="n">
        <v>4556.93783</v>
      </c>
      <c r="Q702" s="29" t="n">
        <v>4690.27636</v>
      </c>
      <c r="R702" s="29" t="n">
        <v>4738.29402</v>
      </c>
      <c r="S702" s="29" t="n">
        <v>4714.11041</v>
      </c>
      <c r="V702" s="29" t="n">
        <v>4657.63117</v>
      </c>
      <c r="AB702" s="29" t="n">
        <v>4720.99011</v>
      </c>
      <c r="AC702" s="29" t="n">
        <v>4720.89039</v>
      </c>
      <c r="AD702" s="29" t="n">
        <v>0</v>
      </c>
    </row>
    <row r="703" ht="14.25" customHeight="1" s="28">
      <c r="A703" s="29" t="n">
        <v>1778238001</v>
      </c>
      <c r="B703" s="29" t="inlineStr">
        <is>
          <t>XAUUSD</t>
        </is>
      </c>
      <c r="C703" s="29" t="inlineStr">
        <is>
          <t>M15</t>
        </is>
      </c>
      <c r="D703" s="29" t="n">
        <v>4722.05</v>
      </c>
      <c r="E703" s="29" t="n">
        <v>4717.79398</v>
      </c>
      <c r="F703" s="29" t="n">
        <v>4695.2428</v>
      </c>
      <c r="G703" s="29" t="n">
        <v>4518.59282</v>
      </c>
      <c r="H703" s="29" t="n">
        <v>4596.05595</v>
      </c>
      <c r="I703" s="29" t="n">
        <v>4755.40355</v>
      </c>
      <c r="J703" s="29" t="n">
        <v>4792.76972</v>
      </c>
      <c r="K703" s="29" t="n">
        <v>4769.97694</v>
      </c>
      <c r="L703" s="29" t="n">
        <v>4716.33597</v>
      </c>
      <c r="M703" s="29" t="n">
        <v>4718.85043</v>
      </c>
      <c r="N703" s="29" t="n">
        <v>4531.36057</v>
      </c>
      <c r="O703" s="29" t="n">
        <v>4556.93783</v>
      </c>
      <c r="Q703" s="29" t="n">
        <v>4690.4788</v>
      </c>
      <c r="R703" s="29" t="n">
        <v>4738.49647</v>
      </c>
      <c r="S703" s="29" t="n">
        <v>4714.31286</v>
      </c>
      <c r="V703" s="29" t="n">
        <v>4657.83361</v>
      </c>
      <c r="AB703" s="29" t="n">
        <v>4719.94675</v>
      </c>
      <c r="AC703" s="29" t="n">
        <v>4720.41857</v>
      </c>
      <c r="AD703" s="29" t="n">
        <v>1</v>
      </c>
    </row>
    <row r="704" ht="14.25" customHeight="1" s="28">
      <c r="A704" s="29" t="n">
        <v>1778238901</v>
      </c>
      <c r="B704" s="29" t="inlineStr">
        <is>
          <t>XAUUSD</t>
        </is>
      </c>
      <c r="C704" s="29" t="inlineStr">
        <is>
          <t>M15</t>
        </is>
      </c>
      <c r="D704" s="29" t="n">
        <v>4724.08</v>
      </c>
      <c r="E704" s="29" t="n">
        <v>4717.79398</v>
      </c>
      <c r="F704" s="29" t="n">
        <v>4695.2428</v>
      </c>
      <c r="G704" s="29" t="n">
        <v>4518.59282</v>
      </c>
      <c r="H704" s="29" t="n">
        <v>4596.05595</v>
      </c>
      <c r="I704" s="29" t="n">
        <v>4755.40355</v>
      </c>
      <c r="J704" s="29" t="n">
        <v>4792.76972</v>
      </c>
      <c r="K704" s="29" t="n">
        <v>4769.97694</v>
      </c>
      <c r="L704" s="29" t="n">
        <v>4716.33597</v>
      </c>
      <c r="M704" s="29" t="n">
        <v>4718.85043</v>
      </c>
      <c r="N704" s="29" t="n">
        <v>4531.36057</v>
      </c>
      <c r="O704" s="29" t="n">
        <v>4556.93783</v>
      </c>
      <c r="Q704" s="29" t="n">
        <v>4690.68125</v>
      </c>
      <c r="R704" s="29" t="n">
        <v>4738.69891</v>
      </c>
      <c r="S704" s="29" t="n">
        <v>4714.5153</v>
      </c>
      <c r="V704" s="29" t="n">
        <v>4658.03606</v>
      </c>
      <c r="AB704" s="29" t="n">
        <v>4718.44709</v>
      </c>
      <c r="AC704" s="29" t="n">
        <v>4719.43283</v>
      </c>
      <c r="AD704" s="29" t="n">
        <v>0</v>
      </c>
    </row>
    <row r="705" ht="14.25" customHeight="1" s="28">
      <c r="A705" s="29" t="n">
        <v>1778239801</v>
      </c>
      <c r="B705" s="29" t="inlineStr">
        <is>
          <t>XAUUSD</t>
        </is>
      </c>
      <c r="C705" s="29" t="inlineStr">
        <is>
          <t>M15</t>
        </is>
      </c>
      <c r="D705" s="29" t="n">
        <v>4721.18</v>
      </c>
      <c r="E705" s="29" t="n">
        <v>4717.79398</v>
      </c>
      <c r="F705" s="29" t="n">
        <v>4695.2428</v>
      </c>
      <c r="G705" s="29" t="n">
        <v>4518.59282</v>
      </c>
      <c r="H705" s="29" t="n">
        <v>4596.05595</v>
      </c>
      <c r="I705" s="29" t="n">
        <v>4755.40355</v>
      </c>
      <c r="J705" s="29" t="n">
        <v>4792.76972</v>
      </c>
      <c r="K705" s="29" t="n">
        <v>4769.97694</v>
      </c>
      <c r="L705" s="29" t="n">
        <v>4716.33597</v>
      </c>
      <c r="M705" s="29" t="n">
        <v>4718.85043</v>
      </c>
      <c r="N705" s="29" t="n">
        <v>4531.36057</v>
      </c>
      <c r="O705" s="29" t="n">
        <v>4556.93783</v>
      </c>
      <c r="Q705" s="29" t="n">
        <v>4690.8837</v>
      </c>
      <c r="R705" s="29" t="n">
        <v>4738.90136</v>
      </c>
      <c r="S705" s="29" t="n">
        <v>4714.71775</v>
      </c>
      <c r="V705" s="29" t="n">
        <v>4658.2385</v>
      </c>
      <c r="AB705" s="29" t="n">
        <v>4716.79128</v>
      </c>
      <c r="AC705" s="29" t="n">
        <v>4718.11206</v>
      </c>
      <c r="AD705" s="29" t="n">
        <v>0</v>
      </c>
    </row>
    <row r="706" ht="14.25" customHeight="1" s="28">
      <c r="A706" s="29" t="n">
        <v>1778240701</v>
      </c>
      <c r="B706" s="29" t="inlineStr">
        <is>
          <t>XAUUSD</t>
        </is>
      </c>
      <c r="C706" s="29" t="inlineStr">
        <is>
          <t>M15</t>
        </is>
      </c>
      <c r="D706" s="29" t="n">
        <v>4717.8</v>
      </c>
      <c r="E706" s="29" t="n">
        <v>4717.79398</v>
      </c>
      <c r="F706" s="29" t="n">
        <v>4695.2428</v>
      </c>
      <c r="G706" s="29" t="n">
        <v>4518.59282</v>
      </c>
      <c r="H706" s="29" t="n">
        <v>4596.05595</v>
      </c>
      <c r="I706" s="29" t="n">
        <v>4755.40355</v>
      </c>
      <c r="J706" s="29" t="n">
        <v>4792.76972</v>
      </c>
      <c r="K706" s="29" t="n">
        <v>4769.97694</v>
      </c>
      <c r="L706" s="29" t="n">
        <v>4716.33597</v>
      </c>
      <c r="M706" s="29" t="n">
        <v>4718.85043</v>
      </c>
      <c r="N706" s="29" t="n">
        <v>4531.36057</v>
      </c>
      <c r="O706" s="29" t="n">
        <v>4556.93783</v>
      </c>
      <c r="Q706" s="29" t="n">
        <v>4691.08614</v>
      </c>
      <c r="R706" s="29" t="n">
        <v>4739.10381</v>
      </c>
      <c r="S706" s="29" t="n">
        <v>4714.92019</v>
      </c>
      <c r="V706" s="29" t="n">
        <v>4658.44095</v>
      </c>
      <c r="AB706" s="29" t="n">
        <v>4715.51766</v>
      </c>
      <c r="AC706" s="29" t="n">
        <v>4716.81486</v>
      </c>
      <c r="AD706" s="29" t="n">
        <v>0</v>
      </c>
    </row>
    <row r="707" ht="14.25" customHeight="1" s="28">
      <c r="A707" s="29" t="n">
        <v>1778241601</v>
      </c>
      <c r="B707" s="29" t="inlineStr">
        <is>
          <t>XAUUSD</t>
        </is>
      </c>
      <c r="C707" s="29" t="inlineStr">
        <is>
          <t>M15</t>
        </is>
      </c>
      <c r="D707" s="29" t="n">
        <v>4704.7</v>
      </c>
      <c r="E707" s="29" t="n">
        <v>4717.79398</v>
      </c>
      <c r="F707" s="29" t="n">
        <v>4695.2428</v>
      </c>
      <c r="G707" s="29" t="n">
        <v>4518.59282</v>
      </c>
      <c r="H707" s="29" t="n">
        <v>4596.05595</v>
      </c>
      <c r="I707" s="29" t="n">
        <v>4755.40355</v>
      </c>
      <c r="J707" s="29" t="n">
        <v>4792.76972</v>
      </c>
      <c r="K707" s="29" t="n">
        <v>4769.97694</v>
      </c>
      <c r="L707" s="29" t="n">
        <v>4716.33597</v>
      </c>
      <c r="M707" s="29" t="n">
        <v>4718.85043</v>
      </c>
      <c r="N707" s="29" t="n">
        <v>4531.36057</v>
      </c>
      <c r="O707" s="29" t="n">
        <v>4556.93783</v>
      </c>
      <c r="Q707" s="29" t="n">
        <v>4691.28859</v>
      </c>
      <c r="R707" s="29" t="n">
        <v>4739.30625</v>
      </c>
      <c r="S707" s="29" t="n">
        <v>4715.12264</v>
      </c>
      <c r="V707" s="29" t="n">
        <v>4658.6434</v>
      </c>
      <c r="AB707" s="29" t="n">
        <v>4715.17665</v>
      </c>
      <c r="AC707" s="29" t="n">
        <v>4715.99575</v>
      </c>
      <c r="AD707" s="29" t="n">
        <v>0</v>
      </c>
    </row>
    <row r="708" ht="14.25" customHeight="1" s="28">
      <c r="A708" s="29" t="n">
        <v>1778242501</v>
      </c>
      <c r="B708" s="29" t="inlineStr">
        <is>
          <t>XAUUSD</t>
        </is>
      </c>
      <c r="C708" s="29" t="inlineStr">
        <is>
          <t>M15</t>
        </is>
      </c>
      <c r="D708" s="29" t="n">
        <v>4710.4</v>
      </c>
      <c r="E708" s="29" t="n">
        <v>4717.79398</v>
      </c>
      <c r="F708" s="29" t="n">
        <v>4695.2428</v>
      </c>
      <c r="G708" s="29" t="n">
        <v>4518.59282</v>
      </c>
      <c r="H708" s="29" t="n">
        <v>4596.05595</v>
      </c>
      <c r="I708" s="29" t="n">
        <v>4755.40355</v>
      </c>
      <c r="J708" s="29" t="n">
        <v>4792.76972</v>
      </c>
      <c r="K708" s="29" t="n">
        <v>4769.97694</v>
      </c>
      <c r="L708" s="29" t="n">
        <v>4716.33597</v>
      </c>
      <c r="M708" s="29" t="n">
        <v>4718.85043</v>
      </c>
      <c r="N708" s="29" t="n">
        <v>4531.36057</v>
      </c>
      <c r="O708" s="29" t="n">
        <v>4556.93783</v>
      </c>
      <c r="Q708" s="29" t="n">
        <v>4691.49103</v>
      </c>
      <c r="R708" s="29" t="n">
        <v>4739.5087</v>
      </c>
      <c r="S708" s="29" t="n">
        <v>4715.32508</v>
      </c>
      <c r="V708" s="29" t="n">
        <v>4658.84584</v>
      </c>
      <c r="AB708" s="29" t="n">
        <v>4716.45207</v>
      </c>
      <c r="AC708" s="29" t="n">
        <v>4716.22391</v>
      </c>
      <c r="AD708" s="29" t="n">
        <v>1</v>
      </c>
    </row>
    <row r="709" ht="14.25" customHeight="1" s="28">
      <c r="A709" s="29" t="n">
        <v>1778243401</v>
      </c>
      <c r="B709" s="29" t="inlineStr">
        <is>
          <t>XAUUSD</t>
        </is>
      </c>
      <c r="C709" s="29" t="inlineStr">
        <is>
          <t>M15</t>
        </is>
      </c>
      <c r="D709" s="29" t="n">
        <v>4723.84</v>
      </c>
      <c r="E709" s="29" t="n">
        <v>4717.79398</v>
      </c>
      <c r="F709" s="29" t="n">
        <v>4695.2428</v>
      </c>
      <c r="G709" s="29" t="n">
        <v>4518.59282</v>
      </c>
      <c r="H709" s="29" t="n">
        <v>4596.05595</v>
      </c>
      <c r="I709" s="29" t="n">
        <v>4755.40355</v>
      </c>
      <c r="J709" s="29" t="n">
        <v>4792.76972</v>
      </c>
      <c r="K709" s="29" t="n">
        <v>4769.97694</v>
      </c>
      <c r="L709" s="29" t="n">
        <v>4716.33597</v>
      </c>
      <c r="M709" s="29" t="n">
        <v>4718.85043</v>
      </c>
      <c r="N709" s="29" t="n">
        <v>4531.36057</v>
      </c>
      <c r="O709" s="29" t="n">
        <v>4556.93783</v>
      </c>
      <c r="Q709" s="29" t="n">
        <v>4691.69348</v>
      </c>
      <c r="R709" s="29" t="n">
        <v>4739.71114</v>
      </c>
      <c r="S709" s="29" t="n">
        <v>4715.52753</v>
      </c>
      <c r="V709" s="29" t="n">
        <v>4659.04829</v>
      </c>
      <c r="AB709" s="29" t="n">
        <v>4719.2227</v>
      </c>
      <c r="AC709" s="29" t="n">
        <v>4717.7233</v>
      </c>
      <c r="AD709" s="29" t="n">
        <v>0</v>
      </c>
    </row>
    <row r="710" ht="14.25" customHeight="1" s="28">
      <c r="A710" s="29" t="n">
        <v>1778244301</v>
      </c>
      <c r="B710" s="29" t="inlineStr">
        <is>
          <t>XAUUSD</t>
        </is>
      </c>
      <c r="C710" s="29" t="inlineStr">
        <is>
          <t>M15</t>
        </is>
      </c>
      <c r="D710" s="29" t="n">
        <v>4724.41</v>
      </c>
      <c r="E710" s="29" t="n">
        <v>4717.79398</v>
      </c>
      <c r="F710" s="29" t="n">
        <v>4695.2428</v>
      </c>
      <c r="G710" s="29" t="n">
        <v>4518.59282</v>
      </c>
      <c r="H710" s="29" t="n">
        <v>4596.05595</v>
      </c>
      <c r="I710" s="29" t="n">
        <v>4755.40355</v>
      </c>
      <c r="J710" s="29" t="n">
        <v>4792.76972</v>
      </c>
      <c r="K710" s="29" t="n">
        <v>4769.97694</v>
      </c>
      <c r="L710" s="29" t="n">
        <v>4716.33597</v>
      </c>
      <c r="M710" s="29" t="n">
        <v>4718.85043</v>
      </c>
      <c r="N710" s="29" t="n">
        <v>4531.36057</v>
      </c>
      <c r="O710" s="29" t="n">
        <v>4556.93783</v>
      </c>
      <c r="Q710" s="29" t="n">
        <v>4691.89592</v>
      </c>
      <c r="R710" s="29" t="n">
        <v>4739.91359</v>
      </c>
      <c r="S710" s="29" t="n">
        <v>4715.72998</v>
      </c>
      <c r="V710" s="29" t="n">
        <v>4659.25073</v>
      </c>
      <c r="AB710" s="29" t="n">
        <v>4722.8416</v>
      </c>
      <c r="AC710" s="29" t="n">
        <v>4720.28245</v>
      </c>
      <c r="AD710" s="29" t="n">
        <v>0</v>
      </c>
    </row>
    <row r="711" ht="14.25" customHeight="1" s="28">
      <c r="A711" s="29" t="n">
        <v>1778245201</v>
      </c>
      <c r="B711" s="29" t="inlineStr">
        <is>
          <t>XAUUSD</t>
        </is>
      </c>
      <c r="C711" s="29" t="inlineStr">
        <is>
          <t>M15</t>
        </is>
      </c>
      <c r="D711" s="29" t="n">
        <v>4720.41</v>
      </c>
      <c r="E711" s="29" t="n">
        <v>4717.79398</v>
      </c>
      <c r="F711" s="29" t="n">
        <v>4695.2428</v>
      </c>
      <c r="G711" s="29" t="n">
        <v>4518.59282</v>
      </c>
      <c r="H711" s="29" t="n">
        <v>4596.05595</v>
      </c>
      <c r="I711" s="29" t="n">
        <v>4755.40355</v>
      </c>
      <c r="J711" s="29" t="n">
        <v>4792.76972</v>
      </c>
      <c r="K711" s="29" t="n">
        <v>4769.97694</v>
      </c>
      <c r="L711" s="29" t="n">
        <v>4716.33597</v>
      </c>
      <c r="M711" s="29" t="n">
        <v>4718.85043</v>
      </c>
      <c r="N711" s="29" t="n">
        <v>4531.36057</v>
      </c>
      <c r="O711" s="29" t="n">
        <v>4556.93783</v>
      </c>
      <c r="Q711" s="29" t="n">
        <v>4692.09837</v>
      </c>
      <c r="R711" s="29" t="n">
        <v>4740.11603</v>
      </c>
      <c r="S711" s="29" t="n">
        <v>4715.93242</v>
      </c>
      <c r="V711" s="29" t="n">
        <v>4659.45318</v>
      </c>
      <c r="AB711" s="29" t="n">
        <v>4726.75717</v>
      </c>
      <c r="AC711" s="29" t="n">
        <v>4723.51981</v>
      </c>
      <c r="AD711" s="29" t="n">
        <v>0</v>
      </c>
    </row>
    <row r="712" ht="14.25" customHeight="1" s="28">
      <c r="A712" s="29" t="n">
        <v>1778246101</v>
      </c>
      <c r="B712" s="29" t="inlineStr">
        <is>
          <t>XAUUSD</t>
        </is>
      </c>
      <c r="C712" s="29" t="inlineStr">
        <is>
          <t>M15</t>
        </is>
      </c>
      <c r="D712" s="29" t="n">
        <v>4727.11</v>
      </c>
      <c r="E712" s="29" t="n">
        <v>4717.79398</v>
      </c>
      <c r="F712" s="29" t="n">
        <v>4695.2428</v>
      </c>
      <c r="G712" s="29" t="n">
        <v>4518.59282</v>
      </c>
      <c r="H712" s="29" t="n">
        <v>4596.05595</v>
      </c>
      <c r="I712" s="29" t="n">
        <v>4755.40355</v>
      </c>
      <c r="J712" s="29" t="n">
        <v>4792.76972</v>
      </c>
      <c r="K712" s="29" t="n">
        <v>4769.97694</v>
      </c>
      <c r="L712" s="29" t="n">
        <v>4716.33597</v>
      </c>
      <c r="M712" s="29" t="n">
        <v>4718.85043</v>
      </c>
      <c r="N712" s="29" t="n">
        <v>4531.36057</v>
      </c>
      <c r="O712" s="29" t="n">
        <v>4556.93783</v>
      </c>
      <c r="Q712" s="29" t="n">
        <v>4692.30082</v>
      </c>
      <c r="R712" s="29" t="n">
        <v>4740.31848</v>
      </c>
      <c r="S712" s="29" t="n">
        <v>4716.13487</v>
      </c>
      <c r="V712" s="29" t="n">
        <v>4659.65562</v>
      </c>
      <c r="AB712" s="29" t="n">
        <v>4730.40107</v>
      </c>
      <c r="AC712" s="29" t="n">
        <v>4726.96044</v>
      </c>
      <c r="AD712" s="29" t="n">
        <v>0</v>
      </c>
    </row>
    <row r="713" ht="14.25" customHeight="1" s="28">
      <c r="A713" s="29" t="n">
        <v>1778247001</v>
      </c>
      <c r="B713" s="29" t="inlineStr">
        <is>
          <t>XAUUSD</t>
        </is>
      </c>
      <c r="C713" s="29" t="inlineStr">
        <is>
          <t>M15</t>
        </is>
      </c>
      <c r="D713" s="29" t="n">
        <v>4738.02</v>
      </c>
      <c r="E713" s="29" t="n">
        <v>4717.79398</v>
      </c>
      <c r="F713" s="29" t="n">
        <v>4695.2428</v>
      </c>
      <c r="G713" s="29" t="n">
        <v>4518.59282</v>
      </c>
      <c r="H713" s="29" t="n">
        <v>4596.05595</v>
      </c>
      <c r="I713" s="29" t="n">
        <v>4755.40355</v>
      </c>
      <c r="J713" s="29" t="n">
        <v>4792.76972</v>
      </c>
      <c r="K713" s="29" t="n">
        <v>4769.97694</v>
      </c>
      <c r="L713" s="29" t="n">
        <v>4716.33597</v>
      </c>
      <c r="M713" s="29" t="n">
        <v>4718.85043</v>
      </c>
      <c r="N713" s="29" t="n">
        <v>4531.36057</v>
      </c>
      <c r="O713" s="29" t="n">
        <v>4556.93783</v>
      </c>
      <c r="Q713" s="29" t="n">
        <v>4692.50326</v>
      </c>
      <c r="R713" s="29" t="n">
        <v>4740.52093</v>
      </c>
      <c r="S713" s="29" t="n">
        <v>4716.33731</v>
      </c>
      <c r="V713" s="29" t="n">
        <v>4659.85807</v>
      </c>
      <c r="AB713" s="29" t="n">
        <v>4732.89323</v>
      </c>
      <c r="AC713" s="29" t="n">
        <v>4729.92684</v>
      </c>
      <c r="AD713" s="29" t="n">
        <v>0</v>
      </c>
    </row>
    <row r="714" ht="14.25" customHeight="1" s="28">
      <c r="A714" s="29" t="n">
        <v>1778247901</v>
      </c>
      <c r="B714" s="29" t="inlineStr">
        <is>
          <t>XAUUSD</t>
        </is>
      </c>
      <c r="C714" s="29" t="inlineStr">
        <is>
          <t>M15</t>
        </is>
      </c>
      <c r="D714" s="29" t="n">
        <v>4747.9</v>
      </c>
      <c r="E714" s="29" t="n">
        <v>4717.79398</v>
      </c>
      <c r="F714" s="29" t="n">
        <v>4695.2428</v>
      </c>
      <c r="G714" s="29" t="n">
        <v>4518.59282</v>
      </c>
      <c r="H714" s="29" t="n">
        <v>4596.05595</v>
      </c>
      <c r="I714" s="29" t="n">
        <v>4755.40355</v>
      </c>
      <c r="J714" s="29" t="n">
        <v>4792.76972</v>
      </c>
      <c r="K714" s="29" t="n">
        <v>4769.97694</v>
      </c>
      <c r="L714" s="29" t="n">
        <v>4716.33597</v>
      </c>
      <c r="M714" s="29" t="n">
        <v>4718.85043</v>
      </c>
      <c r="N714" s="29" t="n">
        <v>4531.36057</v>
      </c>
      <c r="O714" s="29" t="n">
        <v>4556.93783</v>
      </c>
      <c r="Q714" s="29" t="n">
        <v>4692.70571</v>
      </c>
      <c r="R714" s="29" t="n">
        <v>4740.72337</v>
      </c>
      <c r="S714" s="29" t="n">
        <v>4716.53976</v>
      </c>
      <c r="V714" s="29" t="n">
        <v>4660.06051</v>
      </c>
      <c r="AB714" s="29" t="n">
        <v>4733.28462</v>
      </c>
      <c r="AC714" s="29" t="n">
        <v>4731.60573</v>
      </c>
      <c r="AD714" s="29" t="n">
        <v>0</v>
      </c>
    </row>
    <row r="715" ht="14.25" customHeight="1" s="28">
      <c r="A715" s="29" t="n">
        <v>1778248801</v>
      </c>
      <c r="B715" s="29" t="inlineStr">
        <is>
          <t>XAUUSD</t>
        </is>
      </c>
      <c r="C715" s="29" t="inlineStr">
        <is>
          <t>M15</t>
        </is>
      </c>
      <c r="D715" s="29" t="n">
        <v>4731.78</v>
      </c>
      <c r="E715" s="29" t="n">
        <v>4717.79398</v>
      </c>
      <c r="F715" s="29" t="n">
        <v>4695.2428</v>
      </c>
      <c r="G715" s="29" t="n">
        <v>4518.59282</v>
      </c>
      <c r="H715" s="29" t="n">
        <v>4596.05595</v>
      </c>
      <c r="I715" s="29" t="n">
        <v>4755.40355</v>
      </c>
      <c r="J715" s="29" t="n">
        <v>4792.76972</v>
      </c>
      <c r="K715" s="29" t="n">
        <v>4769.97694</v>
      </c>
      <c r="L715" s="29" t="n">
        <v>4716.33597</v>
      </c>
      <c r="M715" s="29" t="n">
        <v>4718.85043</v>
      </c>
      <c r="N715" s="29" t="n">
        <v>4531.36057</v>
      </c>
      <c r="O715" s="29" t="n">
        <v>4556.93783</v>
      </c>
      <c r="Q715" s="29" t="n">
        <v>4692.90815</v>
      </c>
      <c r="R715" s="29" t="n">
        <v>4740.92582</v>
      </c>
      <c r="S715" s="29" t="n">
        <v>4716.7422</v>
      </c>
      <c r="V715" s="29" t="n">
        <v>4660.26296</v>
      </c>
      <c r="Z715" s="29" t="n">
        <v>4749.22</v>
      </c>
      <c r="AB715" s="29" t="n">
        <v>4731.53002</v>
      </c>
      <c r="AC715" s="29" t="n">
        <v>4731.56787</v>
      </c>
      <c r="AD715" s="29" t="n">
        <v>1</v>
      </c>
    </row>
    <row r="716" ht="14.25" customHeight="1" s="28">
      <c r="A716" s="29" t="n">
        <v>1778249701</v>
      </c>
      <c r="B716" s="29" t="inlineStr">
        <is>
          <t>XAUUSD</t>
        </is>
      </c>
      <c r="C716" s="29" t="inlineStr">
        <is>
          <t>M15</t>
        </is>
      </c>
      <c r="D716" s="29" t="n">
        <v>4719.14</v>
      </c>
      <c r="E716" s="29" t="n">
        <v>4717.79398</v>
      </c>
      <c r="F716" s="29" t="n">
        <v>4695.2428</v>
      </c>
      <c r="G716" s="29" t="n">
        <v>4518.59282</v>
      </c>
      <c r="H716" s="29" t="n">
        <v>4596.05595</v>
      </c>
      <c r="I716" s="29" t="n">
        <v>4755.40355</v>
      </c>
      <c r="J716" s="29" t="n">
        <v>4792.76972</v>
      </c>
      <c r="K716" s="29" t="n">
        <v>4769.97694</v>
      </c>
      <c r="L716" s="29" t="n">
        <v>4716.33597</v>
      </c>
      <c r="M716" s="29" t="n">
        <v>4718.85043</v>
      </c>
      <c r="N716" s="29" t="n">
        <v>4531.36057</v>
      </c>
      <c r="O716" s="29" t="n">
        <v>4556.93783</v>
      </c>
      <c r="Q716" s="29" t="n">
        <v>4693.1106</v>
      </c>
      <c r="R716" s="29" t="n">
        <v>4741.12826</v>
      </c>
      <c r="S716" s="29" t="n">
        <v>4716.94465</v>
      </c>
      <c r="V716" s="29" t="n">
        <v>4660.46541</v>
      </c>
      <c r="AB716" s="29" t="n">
        <v>4727.98654</v>
      </c>
      <c r="AC716" s="29" t="n">
        <v>4729.77721</v>
      </c>
      <c r="AD716" s="29" t="n">
        <v>0</v>
      </c>
    </row>
    <row r="717" ht="14.25" customHeight="1" s="28">
      <c r="A717" s="29" t="n">
        <v>1778250601</v>
      </c>
      <c r="B717" s="29" t="inlineStr">
        <is>
          <t>XAUUSD</t>
        </is>
      </c>
      <c r="C717" s="29" t="inlineStr">
        <is>
          <t>M15</t>
        </is>
      </c>
      <c r="D717" s="29" t="n">
        <v>4722.71</v>
      </c>
      <c r="E717" s="29" t="n">
        <v>4717.79398</v>
      </c>
      <c r="F717" s="29" t="n">
        <v>4695.2428</v>
      </c>
      <c r="G717" s="29" t="n">
        <v>4518.59282</v>
      </c>
      <c r="H717" s="29" t="n">
        <v>4596.05595</v>
      </c>
      <c r="I717" s="29" t="n">
        <v>4755.40355</v>
      </c>
      <c r="J717" s="29" t="n">
        <v>4792.76972</v>
      </c>
      <c r="K717" s="29" t="n">
        <v>4769.97694</v>
      </c>
      <c r="L717" s="29" t="n">
        <v>4716.33597</v>
      </c>
      <c r="M717" s="29" t="n">
        <v>4718.85043</v>
      </c>
      <c r="N717" s="29" t="n">
        <v>4531.36057</v>
      </c>
      <c r="O717" s="29" t="n">
        <v>4556.93783</v>
      </c>
      <c r="Q717" s="29" t="n">
        <v>4693.31304</v>
      </c>
      <c r="R717" s="29" t="n">
        <v>4741.33071</v>
      </c>
      <c r="S717" s="29" t="n">
        <v>4717.1471</v>
      </c>
      <c r="V717" s="29" t="n">
        <v>4660.66785</v>
      </c>
      <c r="AB717" s="29" t="n">
        <v>4723.30198</v>
      </c>
      <c r="AC717" s="29" t="n">
        <v>4726.53959</v>
      </c>
      <c r="AD717" s="29" t="n">
        <v>0</v>
      </c>
    </row>
    <row r="718" ht="14.25" customHeight="1" s="28">
      <c r="A718" s="29" t="n">
        <v>1778251501</v>
      </c>
      <c r="B718" s="29" t="inlineStr">
        <is>
          <t>XAUUSD</t>
        </is>
      </c>
      <c r="C718" s="29" t="inlineStr">
        <is>
          <t>M15</t>
        </is>
      </c>
      <c r="D718" s="29" t="n">
        <v>4716.02</v>
      </c>
      <c r="E718" s="29" t="n">
        <v>4717.79398</v>
      </c>
      <c r="F718" s="29" t="n">
        <v>4695.2428</v>
      </c>
      <c r="G718" s="29" t="n">
        <v>4518.59282</v>
      </c>
      <c r="H718" s="29" t="n">
        <v>4596.05595</v>
      </c>
      <c r="I718" s="29" t="n">
        <v>4755.40355</v>
      </c>
      <c r="J718" s="29" t="n">
        <v>4792.76972</v>
      </c>
      <c r="K718" s="29" t="n">
        <v>4769.97694</v>
      </c>
      <c r="L718" s="29" t="n">
        <v>4716.33597</v>
      </c>
      <c r="M718" s="29" t="n">
        <v>4718.85043</v>
      </c>
      <c r="N718" s="29" t="n">
        <v>4531.36057</v>
      </c>
      <c r="O718" s="29" t="n">
        <v>4556.93783</v>
      </c>
      <c r="Q718" s="29" t="n">
        <v>4693.51549</v>
      </c>
      <c r="R718" s="29" t="n">
        <v>4741.53315</v>
      </c>
      <c r="S718" s="29" t="n">
        <v>4717.34954</v>
      </c>
      <c r="V718" s="29" t="n">
        <v>4660.8703</v>
      </c>
      <c r="AB718" s="29" t="n">
        <v>4718.10758</v>
      </c>
      <c r="AC718" s="29" t="n">
        <v>4722.32358</v>
      </c>
      <c r="AD718" s="29" t="n">
        <v>0</v>
      </c>
    </row>
    <row r="719" ht="14.25" customHeight="1" s="28">
      <c r="A719" s="29" t="n">
        <v>1778252401</v>
      </c>
      <c r="B719" s="29" t="inlineStr">
        <is>
          <t>XAUUSD</t>
        </is>
      </c>
      <c r="C719" s="29" t="inlineStr">
        <is>
          <t>M15</t>
        </is>
      </c>
      <c r="D719" s="29" t="n">
        <v>4707.62</v>
      </c>
      <c r="E719" s="29" t="n">
        <v>4717.79398</v>
      </c>
      <c r="F719" s="29" t="n">
        <v>4695.2428</v>
      </c>
      <c r="G719" s="29" t="n">
        <v>4518.59282</v>
      </c>
      <c r="H719" s="29" t="n">
        <v>4596.05595</v>
      </c>
      <c r="I719" s="29" t="n">
        <v>4755.40355</v>
      </c>
      <c r="J719" s="29" t="n">
        <v>4792.76972</v>
      </c>
      <c r="K719" s="29" t="n">
        <v>4769.97694</v>
      </c>
      <c r="L719" s="29" t="n">
        <v>4716.33597</v>
      </c>
      <c r="M719" s="29" t="n">
        <v>4718.85043</v>
      </c>
      <c r="N719" s="29" t="n">
        <v>4531.36057</v>
      </c>
      <c r="O719" s="29" t="n">
        <v>4556.93783</v>
      </c>
      <c r="Q719" s="29" t="n">
        <v>4693.71794</v>
      </c>
      <c r="R719" s="29" t="n">
        <v>4741.7356</v>
      </c>
      <c r="S719" s="29" t="n">
        <v>4717.55199</v>
      </c>
      <c r="V719" s="29" t="n">
        <v>4661.07274</v>
      </c>
      <c r="AB719" s="29" t="n">
        <v>4713.26887</v>
      </c>
      <c r="AC719" s="29" t="n">
        <v>4717.79623</v>
      </c>
      <c r="AD719" s="29" t="n">
        <v>0</v>
      </c>
    </row>
    <row r="720" ht="14.25" customHeight="1" s="28">
      <c r="A720" s="29" t="n">
        <v>1778253301</v>
      </c>
      <c r="B720" s="29" t="inlineStr">
        <is>
          <t>XAUUSD</t>
        </is>
      </c>
      <c r="C720" s="29" t="inlineStr">
        <is>
          <t>M15</t>
        </is>
      </c>
      <c r="D720" s="29" t="n">
        <v>4713.43</v>
      </c>
      <c r="E720" s="29" t="n">
        <v>4717.79398</v>
      </c>
      <c r="F720" s="29" t="n">
        <v>4695.2428</v>
      </c>
      <c r="G720" s="29" t="n">
        <v>4518.59282</v>
      </c>
      <c r="H720" s="29" t="n">
        <v>4596.05595</v>
      </c>
      <c r="I720" s="29" t="n">
        <v>4755.40355</v>
      </c>
      <c r="J720" s="29" t="n">
        <v>4792.76972</v>
      </c>
      <c r="K720" s="29" t="n">
        <v>4769.97694</v>
      </c>
      <c r="L720" s="29" t="n">
        <v>4716.33597</v>
      </c>
      <c r="M720" s="29" t="n">
        <v>4718.85043</v>
      </c>
      <c r="N720" s="29" t="n">
        <v>4531.36057</v>
      </c>
      <c r="O720" s="29" t="n">
        <v>4556.93783</v>
      </c>
      <c r="Q720" s="29" t="n">
        <v>4693.92038</v>
      </c>
      <c r="R720" s="29" t="n">
        <v>4741.93805</v>
      </c>
      <c r="S720" s="29" t="n">
        <v>4717.75443</v>
      </c>
      <c r="V720" s="29" t="n">
        <v>4661.27519</v>
      </c>
      <c r="AB720" s="29" t="n">
        <v>4709.59027</v>
      </c>
      <c r="AC720" s="29" t="n">
        <v>4713.69325</v>
      </c>
      <c r="AD720" s="29" t="n">
        <v>0</v>
      </c>
    </row>
    <row r="721" ht="14.25" customHeight="1" s="28">
      <c r="A721" s="29" t="n">
        <v>1778254201</v>
      </c>
      <c r="B721" s="29" t="inlineStr">
        <is>
          <t>XAUUSD</t>
        </is>
      </c>
      <c r="C721" s="29" t="inlineStr">
        <is>
          <t>M15</t>
        </is>
      </c>
      <c r="D721" s="29" t="n">
        <v>4705.96</v>
      </c>
      <c r="E721" s="29" t="n">
        <v>4717.79398</v>
      </c>
      <c r="F721" s="29" t="n">
        <v>4695.2428</v>
      </c>
      <c r="G721" s="29" t="n">
        <v>4518.59282</v>
      </c>
      <c r="H721" s="29" t="n">
        <v>4596.05595</v>
      </c>
      <c r="I721" s="29" t="n">
        <v>4755.40355</v>
      </c>
      <c r="J721" s="29" t="n">
        <v>4792.76972</v>
      </c>
      <c r="K721" s="29" t="n">
        <v>4769.97694</v>
      </c>
      <c r="L721" s="29" t="n">
        <v>4716.33597</v>
      </c>
      <c r="M721" s="29" t="n">
        <v>4718.85043</v>
      </c>
      <c r="N721" s="29" t="n">
        <v>4531.36057</v>
      </c>
      <c r="O721" s="29" t="n">
        <v>4556.93783</v>
      </c>
      <c r="Q721" s="29" t="n">
        <v>4694.12283</v>
      </c>
      <c r="R721" s="29" t="n">
        <v>4742.14049</v>
      </c>
      <c r="S721" s="29" t="n">
        <v>4717.95688</v>
      </c>
      <c r="V721" s="29" t="n">
        <v>4661.47763</v>
      </c>
      <c r="AB721" s="29" t="n">
        <v>4707.41937</v>
      </c>
      <c r="AC721" s="29" t="n">
        <v>4710.55631</v>
      </c>
      <c r="AD721" s="29" t="n">
        <v>0</v>
      </c>
    </row>
    <row r="722" ht="14.25" customHeight="1" s="28">
      <c r="A722" s="29" t="n">
        <v>1778255101</v>
      </c>
      <c r="B722" s="29" t="inlineStr">
        <is>
          <t>XAUUSD</t>
        </is>
      </c>
      <c r="C722" s="29" t="inlineStr">
        <is>
          <t>M15</t>
        </is>
      </c>
      <c r="D722" s="29" t="n">
        <v>4707.13</v>
      </c>
      <c r="E722" s="29" t="n">
        <v>4717.79398</v>
      </c>
      <c r="F722" s="29" t="n">
        <v>4695.2428</v>
      </c>
      <c r="G722" s="29" t="n">
        <v>4518.59282</v>
      </c>
      <c r="H722" s="29" t="n">
        <v>4596.05595</v>
      </c>
      <c r="I722" s="29" t="n">
        <v>4755.40355</v>
      </c>
      <c r="J722" s="29" t="n">
        <v>4792.76972</v>
      </c>
      <c r="K722" s="29" t="n">
        <v>4769.97694</v>
      </c>
      <c r="L722" s="29" t="n">
        <v>4716.33597</v>
      </c>
      <c r="M722" s="29" t="n">
        <v>4718.85043</v>
      </c>
      <c r="N722" s="29" t="n">
        <v>4531.36057</v>
      </c>
      <c r="O722" s="29" t="n">
        <v>4556.93783</v>
      </c>
      <c r="Q722" s="29" t="n">
        <v>4694.32527</v>
      </c>
      <c r="R722" s="29" t="n">
        <v>4742.34294</v>
      </c>
      <c r="S722" s="29" t="n">
        <v>4718.15932</v>
      </c>
      <c r="V722" s="29" t="n">
        <v>4661.68008</v>
      </c>
      <c r="AA722" s="29" t="n">
        <v>4702</v>
      </c>
      <c r="AB722" s="29" t="n">
        <v>4707.03888</v>
      </c>
      <c r="AC722" s="29" t="n">
        <v>4708.7976</v>
      </c>
      <c r="AD722" s="29" t="n">
        <v>0</v>
      </c>
    </row>
    <row r="723" ht="14.25" customHeight="1" s="28">
      <c r="A723" s="29" t="n">
        <v>1778256001</v>
      </c>
      <c r="B723" s="29" t="inlineStr">
        <is>
          <t>XAUUSD</t>
        </is>
      </c>
      <c r="C723" s="29" t="inlineStr">
        <is>
          <t>M15</t>
        </is>
      </c>
      <c r="D723" s="29" t="n">
        <v>4711.49</v>
      </c>
      <c r="E723" s="29" t="n">
        <v>4717.79398</v>
      </c>
      <c r="F723" s="29" t="n">
        <v>4695.2428</v>
      </c>
      <c r="G723" s="29" t="n">
        <v>4518.59282</v>
      </c>
      <c r="H723" s="29" t="n">
        <v>4596.05595</v>
      </c>
      <c r="I723" s="29" t="n">
        <v>4755.40355</v>
      </c>
      <c r="J723" s="29" t="n">
        <v>4792.76972</v>
      </c>
      <c r="K723" s="29" t="n">
        <v>4769.97694</v>
      </c>
      <c r="L723" s="29" t="n">
        <v>4716.33597</v>
      </c>
      <c r="M723" s="29" t="n">
        <v>4718.85043</v>
      </c>
      <c r="N723" s="29" t="n">
        <v>4531.36057</v>
      </c>
      <c r="O723" s="29" t="n">
        <v>4556.93783</v>
      </c>
      <c r="Q723" s="29" t="n">
        <v>4694.52772</v>
      </c>
      <c r="R723" s="29" t="n">
        <v>4742.54538</v>
      </c>
      <c r="S723" s="29" t="n">
        <v>4718.36177</v>
      </c>
      <c r="V723" s="29" t="n">
        <v>4661.88253</v>
      </c>
      <c r="AB723" s="29" t="n">
        <v>4708.26589</v>
      </c>
      <c r="AC723" s="29" t="n">
        <v>4708.53174</v>
      </c>
      <c r="AD723" s="29" t="n">
        <v>0</v>
      </c>
    </row>
    <row r="724" ht="14.25" customHeight="1" s="28">
      <c r="A724" s="29" t="n">
        <v>1778256901</v>
      </c>
      <c r="B724" s="29" t="inlineStr">
        <is>
          <t>XAUUSD</t>
        </is>
      </c>
      <c r="C724" s="29" t="inlineStr">
        <is>
          <t>M15</t>
        </is>
      </c>
      <c r="D724" s="29" t="n">
        <v>4717.67</v>
      </c>
      <c r="E724" s="29" t="n">
        <v>4717.79398</v>
      </c>
      <c r="F724" s="29" t="n">
        <v>4695.2428</v>
      </c>
      <c r="G724" s="29" t="n">
        <v>4518.59282</v>
      </c>
      <c r="H724" s="29" t="n">
        <v>4596.05595</v>
      </c>
      <c r="I724" s="29" t="n">
        <v>4755.40355</v>
      </c>
      <c r="J724" s="29" t="n">
        <v>4792.76972</v>
      </c>
      <c r="K724" s="29" t="n">
        <v>4769.97694</v>
      </c>
      <c r="L724" s="29" t="n">
        <v>4716.33597</v>
      </c>
      <c r="M724" s="29" t="n">
        <v>4718.85043</v>
      </c>
      <c r="N724" s="29" t="n">
        <v>4531.36057</v>
      </c>
      <c r="O724" s="29" t="n">
        <v>4556.93783</v>
      </c>
      <c r="Q724" s="29" t="n">
        <v>4694.73016</v>
      </c>
      <c r="R724" s="29" t="n">
        <v>4742.74783</v>
      </c>
      <c r="S724" s="29" t="n">
        <v>4718.56422</v>
      </c>
      <c r="V724" s="29" t="n">
        <v>4662.08497</v>
      </c>
      <c r="AB724" s="29" t="n">
        <v>4710.6159</v>
      </c>
      <c r="AC724" s="29" t="n">
        <v>4709.57382</v>
      </c>
      <c r="AD724" s="29" t="n">
        <v>1</v>
      </c>
    </row>
    <row r="725" ht="14.25" customHeight="1" s="28">
      <c r="A725" s="29" t="n">
        <v>1778257801</v>
      </c>
      <c r="B725" s="29" t="inlineStr">
        <is>
          <t>XAUUSD</t>
        </is>
      </c>
      <c r="C725" s="29" t="inlineStr">
        <is>
          <t>M15</t>
        </is>
      </c>
      <c r="D725" s="29" t="n">
        <v>4713.4</v>
      </c>
      <c r="E725" s="29" t="n">
        <v>4717.79398</v>
      </c>
      <c r="F725" s="29" t="n">
        <v>4695.2428</v>
      </c>
      <c r="G725" s="29" t="n">
        <v>4518.59282</v>
      </c>
      <c r="H725" s="29" t="n">
        <v>4596.05595</v>
      </c>
      <c r="I725" s="29" t="n">
        <v>4755.40355</v>
      </c>
      <c r="J725" s="29" t="n">
        <v>4792.76972</v>
      </c>
      <c r="K725" s="29" t="n">
        <v>4769.97694</v>
      </c>
      <c r="L725" s="29" t="n">
        <v>4716.33597</v>
      </c>
      <c r="M725" s="29" t="n">
        <v>4718.85043</v>
      </c>
      <c r="N725" s="29" t="n">
        <v>4531.36057</v>
      </c>
      <c r="O725" s="29" t="n">
        <v>4556.93783</v>
      </c>
      <c r="Q725" s="29" t="n">
        <v>4694.93261</v>
      </c>
      <c r="R725" s="29" t="n">
        <v>4742.95027</v>
      </c>
      <c r="S725" s="29" t="n">
        <v>4718.76666</v>
      </c>
      <c r="V725" s="29" t="n">
        <v>4662.28742</v>
      </c>
      <c r="AB725" s="29" t="n">
        <v>4713.4344</v>
      </c>
      <c r="AC725" s="29" t="n">
        <v>4711.50411</v>
      </c>
      <c r="AD725" s="29" t="n">
        <v>0</v>
      </c>
    </row>
    <row r="726" ht="14.25" customHeight="1" s="28">
      <c r="A726" s="29" t="n">
        <v>1778258701</v>
      </c>
      <c r="B726" s="29" t="inlineStr">
        <is>
          <t>XAUUSD</t>
        </is>
      </c>
      <c r="C726" s="29" t="inlineStr">
        <is>
          <t>M15</t>
        </is>
      </c>
      <c r="D726" s="29" t="n">
        <v>4712.52</v>
      </c>
      <c r="E726" s="29" t="n">
        <v>4717.79398</v>
      </c>
      <c r="F726" s="29" t="n">
        <v>4695.2428</v>
      </c>
      <c r="G726" s="29" t="n">
        <v>4518.59282</v>
      </c>
      <c r="H726" s="29" t="n">
        <v>4596.05595</v>
      </c>
      <c r="I726" s="29" t="n">
        <v>4755.40355</v>
      </c>
      <c r="J726" s="29" t="n">
        <v>4792.76972</v>
      </c>
      <c r="K726" s="29" t="n">
        <v>4769.97694</v>
      </c>
      <c r="L726" s="29" t="n">
        <v>4716.33597</v>
      </c>
      <c r="M726" s="29" t="n">
        <v>4718.85043</v>
      </c>
      <c r="N726" s="29" t="n">
        <v>4531.36057</v>
      </c>
      <c r="O726" s="29" t="n">
        <v>4556.93783</v>
      </c>
      <c r="Q726" s="29" t="n">
        <v>4695.13505</v>
      </c>
      <c r="R726" s="29" t="n">
        <v>4743.15272</v>
      </c>
      <c r="S726" s="29" t="n">
        <v>4718.96911</v>
      </c>
      <c r="V726" s="29" t="n">
        <v>4662.48986</v>
      </c>
      <c r="AB726" s="29" t="n">
        <v>4716.30644</v>
      </c>
      <c r="AC726" s="29" t="n">
        <v>4713.90528</v>
      </c>
      <c r="AD726" s="29" t="n">
        <v>0</v>
      </c>
    </row>
    <row r="727" ht="14.25" customHeight="1" s="28">
      <c r="A727" s="29" t="n">
        <v>1778259601</v>
      </c>
      <c r="B727" s="29" t="inlineStr">
        <is>
          <t>XAUUSD</t>
        </is>
      </c>
      <c r="C727" s="29" t="inlineStr">
        <is>
          <t>M15</t>
        </is>
      </c>
      <c r="D727" s="29" t="n">
        <v>4715.4</v>
      </c>
      <c r="E727" s="29" t="n">
        <v>4717.79398</v>
      </c>
      <c r="F727" s="29" t="n">
        <v>4695.2428</v>
      </c>
      <c r="G727" s="29" t="n">
        <v>4518.59282</v>
      </c>
      <c r="H727" s="29" t="n">
        <v>4596.05595</v>
      </c>
      <c r="I727" s="29" t="n">
        <v>4755.40355</v>
      </c>
      <c r="J727" s="29" t="n">
        <v>4792.76972</v>
      </c>
      <c r="K727" s="29" t="n">
        <v>4769.97694</v>
      </c>
      <c r="L727" s="29" t="n">
        <v>4716.33597</v>
      </c>
      <c r="M727" s="29" t="n">
        <v>4718.85043</v>
      </c>
      <c r="N727" s="29" t="n">
        <v>4531.36057</v>
      </c>
      <c r="O727" s="29" t="n">
        <v>4556.93783</v>
      </c>
      <c r="Q727" s="29" t="n">
        <v>4695.3375</v>
      </c>
      <c r="R727" s="29" t="n">
        <v>4743.35516</v>
      </c>
      <c r="S727" s="29" t="n">
        <v>4719.17155</v>
      </c>
      <c r="V727" s="29" t="n">
        <v>4662.69231</v>
      </c>
      <c r="AB727" s="29" t="n">
        <v>4718.88709</v>
      </c>
      <c r="AC727" s="29" t="n">
        <v>4716.39618</v>
      </c>
      <c r="AD727" s="29" t="n">
        <v>0</v>
      </c>
    </row>
    <row r="728" ht="14.25" customHeight="1" s="28">
      <c r="A728" s="29" t="n">
        <v>1778260501</v>
      </c>
      <c r="B728" s="29" t="inlineStr">
        <is>
          <t>XAUUSD</t>
        </is>
      </c>
      <c r="C728" s="29" t="inlineStr">
        <is>
          <t>M15</t>
        </is>
      </c>
      <c r="D728" s="29" t="n">
        <v>4720.64</v>
      </c>
      <c r="E728" s="29" t="n">
        <v>4717.79398</v>
      </c>
      <c r="F728" s="29" t="n">
        <v>4695.2428</v>
      </c>
      <c r="G728" s="29" t="n">
        <v>4518.59282</v>
      </c>
      <c r="H728" s="29" t="n">
        <v>4596.05595</v>
      </c>
      <c r="I728" s="29" t="n">
        <v>4755.40355</v>
      </c>
      <c r="J728" s="29" t="n">
        <v>4792.76972</v>
      </c>
      <c r="K728" s="29" t="n">
        <v>4769.97694</v>
      </c>
      <c r="L728" s="29" t="n">
        <v>4716.33597</v>
      </c>
      <c r="M728" s="29" t="n">
        <v>4718.85043</v>
      </c>
      <c r="N728" s="29" t="n">
        <v>4531.36057</v>
      </c>
      <c r="O728" s="29" t="n">
        <v>4556.93783</v>
      </c>
      <c r="Q728" s="29" t="n">
        <v>4695.53995</v>
      </c>
      <c r="R728" s="29" t="n">
        <v>4743.55761</v>
      </c>
      <c r="S728" s="29" t="n">
        <v>4719.374</v>
      </c>
      <c r="V728" s="29" t="n">
        <v>4662.89475</v>
      </c>
      <c r="AB728" s="29" t="n">
        <v>4720.92814</v>
      </c>
      <c r="AC728" s="29" t="n">
        <v>4718.66216</v>
      </c>
      <c r="AD728" s="29" t="n">
        <v>0</v>
      </c>
    </row>
    <row r="729" ht="14.25" customHeight="1" s="28">
      <c r="A729" s="29" t="n">
        <v>1778261401</v>
      </c>
      <c r="B729" s="29" t="inlineStr">
        <is>
          <t>XAUUSD</t>
        </is>
      </c>
      <c r="C729" s="29" t="inlineStr">
        <is>
          <t>M15</t>
        </is>
      </c>
      <c r="D729" s="29" t="n">
        <v>4720.74</v>
      </c>
      <c r="E729" s="29" t="n">
        <v>4717.79398</v>
      </c>
      <c r="F729" s="29" t="n">
        <v>4695.2428</v>
      </c>
      <c r="G729" s="29" t="n">
        <v>4518.59282</v>
      </c>
      <c r="H729" s="29" t="n">
        <v>4596.05595</v>
      </c>
      <c r="I729" s="29" t="n">
        <v>4755.40355</v>
      </c>
      <c r="J729" s="29" t="n">
        <v>4792.76972</v>
      </c>
      <c r="K729" s="29" t="n">
        <v>4769.97694</v>
      </c>
      <c r="L729" s="29" t="n">
        <v>4716.33597</v>
      </c>
      <c r="M729" s="29" t="n">
        <v>4718.85043</v>
      </c>
      <c r="N729" s="29" t="n">
        <v>4531.36057</v>
      </c>
      <c r="O729" s="29" t="n">
        <v>4556.93783</v>
      </c>
      <c r="Q729" s="29" t="n">
        <v>4695.74239</v>
      </c>
      <c r="R729" s="29" t="n">
        <v>4743.76006</v>
      </c>
      <c r="S729" s="29" t="n">
        <v>4719.57644</v>
      </c>
      <c r="V729" s="29" t="n">
        <v>4663.0972</v>
      </c>
      <c r="AB729" s="29" t="n">
        <v>4722.28771</v>
      </c>
      <c r="AC729" s="29" t="n">
        <v>4720.47493</v>
      </c>
      <c r="AD729" s="29" t="n">
        <v>0</v>
      </c>
    </row>
    <row r="730" ht="14.25" customHeight="1" s="28">
      <c r="A730" s="29" t="n">
        <v>1778262301</v>
      </c>
      <c r="B730" s="29" t="inlineStr">
        <is>
          <t>XAUUSD</t>
        </is>
      </c>
      <c r="C730" s="29" t="inlineStr">
        <is>
          <t>M15</t>
        </is>
      </c>
      <c r="D730" s="29" t="n">
        <v>4720.99</v>
      </c>
      <c r="E730" s="29" t="n">
        <v>4717.79398</v>
      </c>
      <c r="F730" s="29" t="n">
        <v>4695.2428</v>
      </c>
      <c r="G730" s="29" t="n">
        <v>4518.59282</v>
      </c>
      <c r="H730" s="29" t="n">
        <v>4596.05595</v>
      </c>
      <c r="I730" s="29" t="n">
        <v>4755.40355</v>
      </c>
      <c r="J730" s="29" t="n">
        <v>4792.76972</v>
      </c>
      <c r="K730" s="29" t="n">
        <v>4769.97694</v>
      </c>
      <c r="L730" s="29" t="n">
        <v>4716.33597</v>
      </c>
      <c r="M730" s="29" t="n">
        <v>4718.85043</v>
      </c>
      <c r="N730" s="29" t="n">
        <v>4531.36057</v>
      </c>
      <c r="O730" s="29" t="n">
        <v>4556.93783</v>
      </c>
      <c r="Q730" s="29" t="n">
        <v>4695.94484</v>
      </c>
      <c r="R730" s="29" t="n">
        <v>4743.9625</v>
      </c>
      <c r="S730" s="29" t="n">
        <v>4719.77889</v>
      </c>
      <c r="V730" s="29" t="n">
        <v>4663.29965</v>
      </c>
      <c r="AB730" s="29" t="n">
        <v>4723.08185</v>
      </c>
      <c r="AC730" s="29" t="n">
        <v>4721.77839</v>
      </c>
      <c r="AD730" s="29" t="n">
        <v>0</v>
      </c>
    </row>
    <row r="731" ht="14.25" customHeight="1" s="28">
      <c r="A731" s="29" t="n">
        <v>1778263201</v>
      </c>
      <c r="B731" s="29" t="inlineStr">
        <is>
          <t>XAUUSD</t>
        </is>
      </c>
      <c r="C731" s="29" t="inlineStr">
        <is>
          <t>M15</t>
        </is>
      </c>
      <c r="D731" s="29" t="n">
        <v>4727.48</v>
      </c>
      <c r="E731" s="29" t="n">
        <v>4717.79398</v>
      </c>
      <c r="F731" s="29" t="n">
        <v>4695.2428</v>
      </c>
      <c r="G731" s="29" t="n">
        <v>4518.59282</v>
      </c>
      <c r="H731" s="29" t="n">
        <v>4596.05595</v>
      </c>
      <c r="I731" s="29" t="n">
        <v>4755.40355</v>
      </c>
      <c r="J731" s="29" t="n">
        <v>4792.76972</v>
      </c>
      <c r="K731" s="29" t="n">
        <v>4769.97694</v>
      </c>
      <c r="L731" s="29" t="n">
        <v>4716.33597</v>
      </c>
      <c r="M731" s="29" t="n">
        <v>4718.85043</v>
      </c>
      <c r="N731" s="29" t="n">
        <v>4531.36057</v>
      </c>
      <c r="O731" s="29" t="n">
        <v>4556.93783</v>
      </c>
      <c r="Q731" s="29" t="n">
        <v>4696.14728</v>
      </c>
      <c r="R731" s="29" t="n">
        <v>4744.16495</v>
      </c>
      <c r="S731" s="29" t="n">
        <v>4719.98134</v>
      </c>
      <c r="V731" s="29" t="n">
        <v>4663.50209</v>
      </c>
      <c r="AB731" s="29" t="n">
        <v>4723.53611</v>
      </c>
      <c r="AC731" s="29" t="n">
        <v>4722.65725</v>
      </c>
      <c r="AD731" s="29" t="n">
        <v>0</v>
      </c>
    </row>
    <row r="732" ht="14.25" customHeight="1" s="28">
      <c r="A732" s="29" t="n">
        <v>1778264101</v>
      </c>
      <c r="B732" s="29" t="inlineStr">
        <is>
          <t>XAUUSD</t>
        </is>
      </c>
      <c r="C732" s="29" t="inlineStr">
        <is>
          <t>M15</t>
        </is>
      </c>
      <c r="D732" s="29" t="n">
        <v>4725.66</v>
      </c>
      <c r="E732" s="29" t="n">
        <v>4717.79398</v>
      </c>
      <c r="F732" s="29" t="n">
        <v>4695.2428</v>
      </c>
      <c r="G732" s="29" t="n">
        <v>4518.59282</v>
      </c>
      <c r="H732" s="29" t="n">
        <v>4596.05595</v>
      </c>
      <c r="I732" s="29" t="n">
        <v>4755.40355</v>
      </c>
      <c r="J732" s="29" t="n">
        <v>4792.76972</v>
      </c>
      <c r="K732" s="29" t="n">
        <v>4769.97694</v>
      </c>
      <c r="L732" s="29" t="n">
        <v>4716.33597</v>
      </c>
      <c r="M732" s="29" t="n">
        <v>4718.85043</v>
      </c>
      <c r="N732" s="29" t="n">
        <v>4531.36057</v>
      </c>
      <c r="O732" s="29" t="n">
        <v>4556.93783</v>
      </c>
      <c r="Q732" s="29" t="n">
        <v>4696.34973</v>
      </c>
      <c r="R732" s="29" t="n">
        <v>4744.36739</v>
      </c>
      <c r="S732" s="29" t="n">
        <v>4720.18378</v>
      </c>
      <c r="V732" s="29" t="n">
        <v>4663.70454</v>
      </c>
      <c r="AB732" s="29" t="n">
        <v>4723.64417</v>
      </c>
      <c r="AC732" s="29" t="n">
        <v>4723.15071</v>
      </c>
      <c r="AD732" s="29" t="n">
        <v>0</v>
      </c>
    </row>
    <row r="733" ht="14.25" customHeight="1" s="28">
      <c r="A733" s="29" t="n">
        <v>1778265001</v>
      </c>
      <c r="B733" s="29" t="inlineStr">
        <is>
          <t>XAUUSD</t>
        </is>
      </c>
      <c r="C733" s="29" t="inlineStr">
        <is>
          <t>M15</t>
        </is>
      </c>
      <c r="D733" s="29" t="n">
        <v>4724.59</v>
      </c>
      <c r="E733" s="29" t="n">
        <v>4717.79398</v>
      </c>
      <c r="F733" s="29" t="n">
        <v>4695.2428</v>
      </c>
      <c r="G733" s="29" t="n">
        <v>4518.59282</v>
      </c>
      <c r="H733" s="29" t="n">
        <v>4596.05595</v>
      </c>
      <c r="I733" s="29" t="n">
        <v>4755.40355</v>
      </c>
      <c r="J733" s="29" t="n">
        <v>4792.76972</v>
      </c>
      <c r="K733" s="29" t="n">
        <v>4769.97694</v>
      </c>
      <c r="L733" s="29" t="n">
        <v>4716.33597</v>
      </c>
      <c r="M733" s="29" t="n">
        <v>4718.85043</v>
      </c>
      <c r="N733" s="29" t="n">
        <v>4531.36057</v>
      </c>
      <c r="O733" s="29" t="n">
        <v>4556.93783</v>
      </c>
      <c r="Q733" s="29" t="n">
        <v>4696.55217</v>
      </c>
      <c r="R733" s="29" t="n">
        <v>4744.56984</v>
      </c>
      <c r="S733" s="29" t="n">
        <v>4720.38623</v>
      </c>
      <c r="V733" s="29" t="n">
        <v>4663.90698</v>
      </c>
      <c r="AB733" s="29" t="n">
        <v>4723.65644</v>
      </c>
      <c r="AC733" s="29" t="n">
        <v>4723.40357</v>
      </c>
      <c r="AD733" s="29" t="n">
        <v>0</v>
      </c>
    </row>
    <row r="734" ht="14.25" customHeight="1" s="28">
      <c r="A734" s="29" t="n">
        <v>1778265901</v>
      </c>
      <c r="B734" s="29" t="inlineStr">
        <is>
          <t>XAUUSD</t>
        </is>
      </c>
      <c r="C734" s="29" t="inlineStr">
        <is>
          <t>M15</t>
        </is>
      </c>
      <c r="D734" s="29" t="n">
        <v>4721.83</v>
      </c>
      <c r="E734" s="29" t="n">
        <v>4717.79398</v>
      </c>
      <c r="F734" s="29" t="n">
        <v>4695.2428</v>
      </c>
      <c r="G734" s="29" t="n">
        <v>4518.59282</v>
      </c>
      <c r="H734" s="29" t="n">
        <v>4596.05595</v>
      </c>
      <c r="I734" s="29" t="n">
        <v>4755.40355</v>
      </c>
      <c r="J734" s="29" t="n">
        <v>4792.76972</v>
      </c>
      <c r="K734" s="29" t="n">
        <v>4769.97694</v>
      </c>
      <c r="L734" s="29" t="n">
        <v>4716.33597</v>
      </c>
      <c r="M734" s="29" t="n">
        <v>4718.85043</v>
      </c>
      <c r="N734" s="29" t="n">
        <v>4531.36057</v>
      </c>
      <c r="O734" s="29" t="n">
        <v>4556.93783</v>
      </c>
      <c r="Q734" s="29" t="n">
        <v>4696.75462</v>
      </c>
      <c r="R734" s="29" t="n">
        <v>4744.77228</v>
      </c>
      <c r="S734" s="29" t="n">
        <v>4720.58867</v>
      </c>
      <c r="V734" s="29" t="n">
        <v>4664.10943</v>
      </c>
      <c r="AB734" s="29" t="n">
        <v>4723.68437</v>
      </c>
      <c r="AC734" s="29" t="n">
        <v>4723.54397</v>
      </c>
      <c r="AD734" s="29" t="n">
        <v>0</v>
      </c>
    </row>
    <row r="735" ht="14.25" customHeight="1" s="28">
      <c r="A735" s="29" t="n">
        <v>1778266801</v>
      </c>
      <c r="B735" s="29" t="inlineStr">
        <is>
          <t>XAUUSD</t>
        </is>
      </c>
      <c r="C735" s="29" t="inlineStr">
        <is>
          <t>M15</t>
        </is>
      </c>
      <c r="D735" s="29" t="n">
        <v>4723.57</v>
      </c>
      <c r="E735" s="29" t="n">
        <v>4717.79398</v>
      </c>
      <c r="F735" s="29" t="n">
        <v>4695.2428</v>
      </c>
      <c r="G735" s="29" t="n">
        <v>4518.59282</v>
      </c>
      <c r="H735" s="29" t="n">
        <v>4596.05595</v>
      </c>
      <c r="I735" s="29" t="n">
        <v>4755.40355</v>
      </c>
      <c r="J735" s="29" t="n">
        <v>4792.76972</v>
      </c>
      <c r="K735" s="29" t="n">
        <v>4769.97694</v>
      </c>
      <c r="L735" s="29" t="n">
        <v>4716.33597</v>
      </c>
      <c r="M735" s="29" t="n">
        <v>4718.85043</v>
      </c>
      <c r="N735" s="29" t="n">
        <v>4531.36057</v>
      </c>
      <c r="O735" s="29" t="n">
        <v>4556.93783</v>
      </c>
      <c r="Q735" s="29" t="n">
        <v>4696.95707</v>
      </c>
      <c r="R735" s="29" t="n">
        <v>4744.97473</v>
      </c>
      <c r="S735" s="29" t="n">
        <v>4720.79112</v>
      </c>
      <c r="V735" s="29" t="n">
        <v>4664.31187</v>
      </c>
      <c r="AB735" s="29" t="n">
        <v>4723.8076</v>
      </c>
      <c r="AC735" s="29" t="n">
        <v>4723.67579</v>
      </c>
      <c r="AD735" s="29" t="n">
        <v>0</v>
      </c>
    </row>
    <row r="736" ht="14.25" customHeight="1" s="28">
      <c r="A736" s="29" t="n">
        <v>1778267701</v>
      </c>
      <c r="B736" s="29" t="inlineStr">
        <is>
          <t>XAUUSD</t>
        </is>
      </c>
      <c r="C736" s="29" t="inlineStr">
        <is>
          <t>M15</t>
        </is>
      </c>
      <c r="D736" s="29" t="n">
        <v>4723.71</v>
      </c>
      <c r="E736" s="29" t="n">
        <v>4717.79398</v>
      </c>
      <c r="F736" s="29" t="n">
        <v>4695.2428</v>
      </c>
      <c r="G736" s="29" t="n">
        <v>4518.59282</v>
      </c>
      <c r="H736" s="29" t="n">
        <v>4596.05595</v>
      </c>
      <c r="I736" s="29" t="n">
        <v>4755.40355</v>
      </c>
      <c r="J736" s="29" t="n">
        <v>4792.76972</v>
      </c>
      <c r="K736" s="29" t="n">
        <v>4769.97694</v>
      </c>
      <c r="L736" s="29" t="n">
        <v>4716.33597</v>
      </c>
      <c r="M736" s="29" t="n">
        <v>4718.85043</v>
      </c>
      <c r="N736" s="29" t="n">
        <v>4531.36057</v>
      </c>
      <c r="O736" s="29" t="n">
        <v>4556.93783</v>
      </c>
      <c r="Q736" s="29" t="n">
        <v>4697.15951</v>
      </c>
      <c r="R736" s="29" t="n">
        <v>4745.17718</v>
      </c>
      <c r="S736" s="29" t="n">
        <v>4720.99356</v>
      </c>
      <c r="V736" s="29" t="n">
        <v>4664.51432</v>
      </c>
      <c r="AB736" s="29" t="n">
        <v>4723.81813</v>
      </c>
      <c r="AC736" s="29" t="n">
        <v>4723.74696</v>
      </c>
      <c r="AD736" s="29" t="n">
        <v>0</v>
      </c>
    </row>
    <row r="737" ht="14.25" customHeight="1" s="28">
      <c r="A737" s="29" t="n">
        <v>1778268601</v>
      </c>
      <c r="B737" s="29" t="inlineStr">
        <is>
          <t>XAUUSD</t>
        </is>
      </c>
      <c r="C737" s="29" t="inlineStr">
        <is>
          <t>M15</t>
        </is>
      </c>
      <c r="D737" s="29" t="n">
        <v>4725.3</v>
      </c>
      <c r="E737" s="29" t="n">
        <v>4717.79398</v>
      </c>
      <c r="F737" s="29" t="n">
        <v>4695.2428</v>
      </c>
      <c r="G737" s="29" t="n">
        <v>4518.59282</v>
      </c>
      <c r="H737" s="29" t="n">
        <v>4596.05595</v>
      </c>
      <c r="I737" s="29" t="n">
        <v>4755.40355</v>
      </c>
      <c r="J737" s="29" t="n">
        <v>4792.76972</v>
      </c>
      <c r="K737" s="29" t="n">
        <v>4769.97694</v>
      </c>
      <c r="L737" s="29" t="n">
        <v>4716.33597</v>
      </c>
      <c r="M737" s="29" t="n">
        <v>4718.85043</v>
      </c>
      <c r="N737" s="29" t="n">
        <v>4531.36057</v>
      </c>
      <c r="O737" s="29" t="n">
        <v>4556.93783</v>
      </c>
      <c r="Q737" s="29" t="n">
        <v>4697.36196</v>
      </c>
      <c r="R737" s="29" t="n">
        <v>4745.37962</v>
      </c>
      <c r="S737" s="29" t="n">
        <v>4721.19601</v>
      </c>
      <c r="V737" s="29" t="n">
        <v>4664.71677</v>
      </c>
      <c r="AB737" s="29" t="n">
        <v>4723.51311</v>
      </c>
      <c r="AC737" s="29" t="n">
        <v>4723.63003</v>
      </c>
      <c r="AD737" s="29" t="n">
        <v>1</v>
      </c>
    </row>
    <row r="738" ht="14.25" customHeight="1" s="28">
      <c r="A738" s="29" t="n">
        <v>1778269501</v>
      </c>
      <c r="B738" s="29" t="inlineStr">
        <is>
          <t>XAUUSD</t>
        </is>
      </c>
      <c r="C738" s="29" t="inlineStr">
        <is>
          <t>M15</t>
        </is>
      </c>
      <c r="D738" s="29" t="n">
        <v>4724.02</v>
      </c>
      <c r="E738" s="29" t="n">
        <v>4717.79398</v>
      </c>
      <c r="F738" s="29" t="n">
        <v>4695.2428</v>
      </c>
      <c r="G738" s="29" t="n">
        <v>4518.59282</v>
      </c>
      <c r="H738" s="29" t="n">
        <v>4596.05595</v>
      </c>
      <c r="I738" s="29" t="n">
        <v>4755.40355</v>
      </c>
      <c r="J738" s="29" t="n">
        <v>4792.76972</v>
      </c>
      <c r="K738" s="29" t="n">
        <v>4769.97694</v>
      </c>
      <c r="L738" s="29" t="n">
        <v>4716.33597</v>
      </c>
      <c r="M738" s="29" t="n">
        <v>4718.85043</v>
      </c>
      <c r="N738" s="29" t="n">
        <v>4531.36057</v>
      </c>
      <c r="O738" s="29" t="n">
        <v>4556.93783</v>
      </c>
      <c r="Q738" s="29" t="n">
        <v>4697.5644</v>
      </c>
      <c r="R738" s="29" t="n">
        <v>4745.58207</v>
      </c>
      <c r="S738" s="29" t="n">
        <v>4721.39846</v>
      </c>
      <c r="V738" s="29" t="n">
        <v>4664.91921</v>
      </c>
      <c r="AB738" s="29" t="n">
        <v>4722.67453</v>
      </c>
      <c r="AC738" s="29" t="n">
        <v>4723.15228</v>
      </c>
      <c r="AD738" s="29" t="n">
        <v>0</v>
      </c>
    </row>
    <row r="739" ht="14.25" customHeight="1" s="28">
      <c r="A739" s="29" t="n">
        <v>1778270401</v>
      </c>
      <c r="B739" s="29" t="inlineStr">
        <is>
          <t>XAUUSD</t>
        </is>
      </c>
      <c r="C739" s="29" t="inlineStr">
        <is>
          <t>M15</t>
        </is>
      </c>
      <c r="D739" s="29" t="n">
        <v>4718.85</v>
      </c>
      <c r="E739" s="29" t="n">
        <v>4717.79398</v>
      </c>
      <c r="F739" s="29" t="n">
        <v>4695.2428</v>
      </c>
      <c r="G739" s="29" t="n">
        <v>4518.59282</v>
      </c>
      <c r="H739" s="29" t="n">
        <v>4596.05595</v>
      </c>
      <c r="I739" s="29" t="n">
        <v>4755.40355</v>
      </c>
      <c r="J739" s="29" t="n">
        <v>4792.76972</v>
      </c>
      <c r="K739" s="29" t="n">
        <v>4769.97694</v>
      </c>
      <c r="L739" s="29" t="n">
        <v>4716.33597</v>
      </c>
      <c r="M739" s="29" t="n">
        <v>4718.85043</v>
      </c>
      <c r="N739" s="29" t="n">
        <v>4531.36057</v>
      </c>
      <c r="O739" s="29" t="n">
        <v>4556.93783</v>
      </c>
      <c r="Q739" s="29" t="n">
        <v>4697.76685</v>
      </c>
      <c r="R739" s="29" t="n">
        <v>4745.78451</v>
      </c>
      <c r="S739" s="29" t="n">
        <v>4721.6009</v>
      </c>
      <c r="V739" s="29" t="n">
        <v>4665.12166</v>
      </c>
      <c r="AB739" s="29" t="n">
        <v>4721.16032</v>
      </c>
      <c r="AC739" s="29" t="n">
        <v>4722.1563</v>
      </c>
      <c r="AD739" s="29" t="n">
        <v>0</v>
      </c>
    </row>
    <row r="740" ht="14.25" customHeight="1" s="28">
      <c r="A740" s="29" t="n">
        <v>1778271301</v>
      </c>
      <c r="B740" s="29" t="inlineStr">
        <is>
          <t>XAUUSD</t>
        </is>
      </c>
      <c r="C740" s="29" t="inlineStr">
        <is>
          <t>M15</t>
        </is>
      </c>
      <c r="D740" s="29" t="n">
        <v>4717.38</v>
      </c>
      <c r="E740" s="29" t="n">
        <v>4717.79398</v>
      </c>
      <c r="F740" s="29" t="n">
        <v>4695.2428</v>
      </c>
      <c r="G740" s="29" t="n">
        <v>4518.59282</v>
      </c>
      <c r="H740" s="29" t="n">
        <v>4596.05595</v>
      </c>
      <c r="I740" s="29" t="n">
        <v>4755.40355</v>
      </c>
      <c r="J740" s="29" t="n">
        <v>4792.76972</v>
      </c>
      <c r="K740" s="29" t="n">
        <v>4769.97694</v>
      </c>
      <c r="L740" s="29" t="n">
        <v>4716.33597</v>
      </c>
      <c r="M740" s="29" t="n">
        <v>4718.85043</v>
      </c>
      <c r="N740" s="29" t="n">
        <v>4531.36057</v>
      </c>
      <c r="O740" s="29" t="n">
        <v>4556.93783</v>
      </c>
      <c r="Q740" s="29" t="n">
        <v>4697.96929</v>
      </c>
      <c r="R740" s="29" t="n">
        <v>4745.98696</v>
      </c>
      <c r="S740" s="29" t="n">
        <v>4721.80335</v>
      </c>
      <c r="V740" s="29" t="n">
        <v>4665.3241</v>
      </c>
      <c r="AB740" s="29" t="n">
        <v>4719.2012</v>
      </c>
      <c r="AC740" s="29" t="n">
        <v>4720.67875</v>
      </c>
      <c r="AD740" s="29" t="n">
        <v>0</v>
      </c>
    </row>
    <row r="741" ht="14.25" customHeight="1" s="28">
      <c r="A741" s="29" t="n">
        <v>1778272201</v>
      </c>
      <c r="B741" s="29" t="inlineStr">
        <is>
          <t>XAUUSD</t>
        </is>
      </c>
      <c r="C741" s="29" t="inlineStr">
        <is>
          <t>M15</t>
        </is>
      </c>
      <c r="D741" s="29" t="n">
        <v>4716.4</v>
      </c>
      <c r="E741" s="29" t="n">
        <v>4717.79398</v>
      </c>
      <c r="F741" s="29" t="n">
        <v>4695.2428</v>
      </c>
      <c r="G741" s="29" t="n">
        <v>4518.59282</v>
      </c>
      <c r="H741" s="29" t="n">
        <v>4596.05595</v>
      </c>
      <c r="I741" s="29" t="n">
        <v>4755.40355</v>
      </c>
      <c r="J741" s="29" t="n">
        <v>4792.76972</v>
      </c>
      <c r="K741" s="29" t="n">
        <v>4769.97694</v>
      </c>
      <c r="L741" s="29" t="n">
        <v>4716.33597</v>
      </c>
      <c r="M741" s="29" t="n">
        <v>4718.85043</v>
      </c>
      <c r="N741" s="29" t="n">
        <v>4531.36057</v>
      </c>
      <c r="O741" s="29" t="n">
        <v>4556.93783</v>
      </c>
      <c r="Q741" s="29" t="n">
        <v>4698.17174</v>
      </c>
      <c r="R741" s="29" t="n">
        <v>4746.1894</v>
      </c>
      <c r="S741" s="29" t="n">
        <v>4722.00579</v>
      </c>
      <c r="V741" s="29" t="n">
        <v>4665.52655</v>
      </c>
      <c r="AB741" s="29" t="n">
        <v>4717.00689</v>
      </c>
      <c r="AC741" s="29" t="n">
        <v>4718.84282</v>
      </c>
      <c r="AD741" s="29" t="n">
        <v>0</v>
      </c>
    </row>
    <row r="742" ht="14.25" customHeight="1" s="28">
      <c r="A742" s="29" t="n">
        <v>1778273101</v>
      </c>
      <c r="B742" s="29" t="inlineStr">
        <is>
          <t>XAUUSD</t>
        </is>
      </c>
      <c r="C742" s="29" t="inlineStr">
        <is>
          <t>M15</t>
        </is>
      </c>
      <c r="D742" s="29" t="n">
        <v>4715.36</v>
      </c>
      <c r="E742" s="29" t="n">
        <v>4717.79398</v>
      </c>
      <c r="F742" s="29" t="n">
        <v>4695.2428</v>
      </c>
      <c r="G742" s="29" t="n">
        <v>4518.59282</v>
      </c>
      <c r="H742" s="29" t="n">
        <v>4596.05595</v>
      </c>
      <c r="I742" s="29" t="n">
        <v>4755.40355</v>
      </c>
      <c r="J742" s="29" t="n">
        <v>4792.76972</v>
      </c>
      <c r="K742" s="29" t="n">
        <v>4769.97694</v>
      </c>
      <c r="L742" s="29" t="n">
        <v>4716.33597</v>
      </c>
      <c r="M742" s="29" t="n">
        <v>4718.85043</v>
      </c>
      <c r="N742" s="29" t="n">
        <v>4531.36057</v>
      </c>
      <c r="O742" s="29" t="n">
        <v>4556.93783</v>
      </c>
      <c r="Q742" s="29" t="n">
        <v>4698.37419</v>
      </c>
      <c r="R742" s="29" t="n">
        <v>4746.39185</v>
      </c>
      <c r="S742" s="29" t="n">
        <v>4722.20824</v>
      </c>
      <c r="V742" s="29" t="n">
        <v>4665.72899</v>
      </c>
      <c r="AB742" s="29" t="n">
        <v>4715.02348</v>
      </c>
      <c r="AC742" s="29" t="n">
        <v>4716.93315</v>
      </c>
      <c r="AD742" s="29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29" min="1" max="1"/>
    <col width="20" customWidth="1" style="29" min="2" max="2"/>
    <col width="22" customWidth="1" style="29" min="3" max="5"/>
    <col width="20" customWidth="1" style="29" min="6" max="6"/>
    <col width="6" customWidth="1" style="29" min="7" max="8"/>
  </cols>
  <sheetData>
    <row r="1" ht="25.5" customHeight="1" s="28">
      <c r="A1" s="30" t="inlineStr">
        <is>
          <t>SHAPIRO-WILK NORMALITY TEST  |  MODEL A  |  n = 65 Crossing Events</t>
        </is>
      </c>
    </row>
    <row r="2" ht="15.75" customHeight="1" s="28">
      <c r="A2" s="31" t="inlineStr">
        <is>
          <t>H₀:</t>
        </is>
      </c>
      <c r="B2" s="32" t="inlineStr">
        <is>
          <t>Residuals are normally distributed   |   H₁: Residuals are NOT normally distributed</t>
        </is>
      </c>
    </row>
    <row r="3" ht="15.75" customHeight="1" s="28">
      <c r="A3" s="31" t="inlineStr">
        <is>
          <t>PURPOSE:</t>
        </is>
      </c>
      <c r="B3" s="32" t="inlineStr">
        <is>
          <t>Detects departures from normality using a weighted correlation of ordered residuals against expected normal order statistics.  Most powerful test for n &lt; 2,000.</t>
        </is>
      </c>
    </row>
    <row r="4" ht="15.75" customHeight="1" s="28">
      <c r="A4" s="31" t="inlineStr">
        <is>
          <t>FORMULA:</t>
        </is>
      </c>
      <c r="B4" s="32" t="inlineStr">
        <is>
          <t>W  =  [ Σᵢ aᵢ · (x_(n+1−i) − x_(i)) ]²  /  Σ(xᵢ − x̄)²</t>
        </is>
      </c>
    </row>
    <row r="5" ht="15.75" customHeight="1" s="28">
      <c r="A5" s="31" t="n"/>
      <c r="B5" s="32" t="inlineStr">
        <is>
          <t>x_(1) ≤ x_(2) ≤ … ≤ x_(n)  are SORTED residuals  |  aᵢ = Shapiro-Wilk coefficients derived from expected order statistics of N(0,1)</t>
        </is>
      </c>
    </row>
    <row r="6" ht="15.75" customHeight="1" s="28">
      <c r="A6" s="31" t="inlineStr">
        <is>
          <t>REGRESSION:</t>
        </is>
      </c>
      <c r="B6" s="32" t="inlineStr">
        <is>
          <t>Main model:  close = β₀ + β₁·bar_index + ε   β₀ = 4540.2666  [blue = hardcoded input]   β₁ = 2.733967  [blue = hardcoded input]</t>
        </is>
      </c>
    </row>
    <row r="7" ht="15.75" customHeight="1" s="28">
      <c r="A7" s="31" t="inlineStr">
        <is>
          <t>DECISION:</t>
        </is>
      </c>
      <c r="B7" s="32" t="inlineStr">
        <is>
          <t>Reject H₀ if  p-value &lt; α = 0.05</t>
        </is>
      </c>
    </row>
    <row r="9" ht="18" customHeight="1" s="28">
      <c r="A9" s="33" t="inlineStr">
        <is>
          <t>STEP 1 — OLS Residuals  (eᵢ = closeᵢ − ŷᵢ,   ŷᵢ = 4540.2666 + 2.733967 · bar_idx)</t>
        </is>
      </c>
    </row>
    <row r="10" ht="31.5" customHeight="1" s="28">
      <c r="A10" s="34" t="inlineStr">
        <is>
          <t>i</t>
        </is>
      </c>
      <c r="B10" s="34" t="inlineStr">
        <is>
          <t>Bar Index</t>
        </is>
      </c>
      <c r="C10" s="34" t="inlineStr">
        <is>
          <t>Close Price</t>
        </is>
      </c>
      <c r="D10" s="34" t="inlineStr">
        <is>
          <t>OLS Fitted  ŷᵢ</t>
        </is>
      </c>
      <c r="E10" s="34" t="inlineStr">
        <is>
          <t>Residual  eᵢ</t>
        </is>
      </c>
      <c r="F10" s="34" t="n"/>
      <c r="G10" s="35" t="n"/>
      <c r="H10" s="36" t="n"/>
    </row>
    <row r="11" ht="15" customHeight="1" s="28">
      <c r="A11" s="37" t="n">
        <v>1</v>
      </c>
      <c r="B11" s="37" t="n">
        <v>0</v>
      </c>
      <c r="C11" s="38" t="n">
        <v>4595.7</v>
      </c>
      <c r="D11" s="38">
        <f>4540.266601+2.733967*B11</f>
        <v/>
      </c>
      <c r="E11" s="39">
        <f>C11-D11</f>
        <v/>
      </c>
      <c r="F11" s="37" t="n"/>
      <c r="G11" s="37" t="n"/>
      <c r="H11" s="37" t="n"/>
    </row>
    <row r="12" ht="15" customHeight="1" s="28">
      <c r="A12" s="40" t="n">
        <v>2</v>
      </c>
      <c r="B12" s="40" t="n">
        <v>1</v>
      </c>
      <c r="C12" s="41" t="n">
        <v>4590.84</v>
      </c>
      <c r="D12" s="41">
        <f>4540.266601+2.733967*B12</f>
        <v/>
      </c>
      <c r="E12" s="42">
        <f>C12-D12</f>
        <v/>
      </c>
      <c r="F12" s="40" t="n"/>
      <c r="G12" s="40" t="n"/>
      <c r="H12" s="40" t="n"/>
    </row>
    <row r="13" ht="15" customHeight="1" s="28">
      <c r="A13" s="37" t="n">
        <v>3</v>
      </c>
      <c r="B13" s="37" t="n">
        <v>2</v>
      </c>
      <c r="C13" s="38" t="n">
        <v>4603.88</v>
      </c>
      <c r="D13" s="38">
        <f>4540.266601+2.733967*B13</f>
        <v/>
      </c>
      <c r="E13" s="39">
        <f>C13-D13</f>
        <v/>
      </c>
      <c r="F13" s="37" t="n"/>
      <c r="G13" s="37" t="n"/>
      <c r="H13" s="37" t="n"/>
    </row>
    <row r="14" ht="15" customHeight="1" s="28">
      <c r="A14" s="40" t="n">
        <v>4</v>
      </c>
      <c r="B14" s="40" t="n">
        <v>3</v>
      </c>
      <c r="C14" s="41" t="n">
        <v>4600.87</v>
      </c>
      <c r="D14" s="41">
        <f>4540.266601+2.733967*B14</f>
        <v/>
      </c>
      <c r="E14" s="42">
        <f>C14-D14</f>
        <v/>
      </c>
      <c r="F14" s="40" t="n"/>
      <c r="G14" s="40" t="n"/>
      <c r="H14" s="40" t="n"/>
    </row>
    <row r="15" ht="15" customHeight="1" s="28">
      <c r="A15" s="37" t="n">
        <v>5</v>
      </c>
      <c r="B15" s="37" t="n">
        <v>4</v>
      </c>
      <c r="C15" s="38" t="n">
        <v>4601.15</v>
      </c>
      <c r="D15" s="38">
        <f>4540.266601+2.733967*B15</f>
        <v/>
      </c>
      <c r="E15" s="39">
        <f>C15-D15</f>
        <v/>
      </c>
      <c r="F15" s="37" t="n"/>
      <c r="G15" s="37" t="n"/>
      <c r="H15" s="37" t="n"/>
    </row>
    <row r="16" ht="15" customHeight="1" s="28">
      <c r="A16" s="40" t="n">
        <v>6</v>
      </c>
      <c r="B16" s="40" t="n">
        <v>5</v>
      </c>
      <c r="C16" s="41" t="n">
        <v>4571.78</v>
      </c>
      <c r="D16" s="41">
        <f>4540.266601+2.733967*B16</f>
        <v/>
      </c>
      <c r="E16" s="42">
        <f>C16-D16</f>
        <v/>
      </c>
      <c r="F16" s="40" t="n"/>
      <c r="G16" s="40" t="n"/>
      <c r="H16" s="40" t="n"/>
    </row>
    <row r="17" ht="15" customHeight="1" s="28">
      <c r="A17" s="37" t="n">
        <v>7</v>
      </c>
      <c r="B17" s="37" t="n">
        <v>6</v>
      </c>
      <c r="C17" s="38" t="n">
        <v>4561.87</v>
      </c>
      <c r="D17" s="38">
        <f>4540.266601+2.733967*B17</f>
        <v/>
      </c>
      <c r="E17" s="39">
        <f>C17-D17</f>
        <v/>
      </c>
      <c r="F17" s="37" t="n"/>
      <c r="G17" s="37" t="n"/>
      <c r="H17" s="37" t="n"/>
    </row>
    <row r="18" ht="15" customHeight="1" s="28">
      <c r="A18" s="40" t="n">
        <v>8</v>
      </c>
      <c r="B18" s="40" t="n">
        <v>7</v>
      </c>
      <c r="C18" s="41" t="n">
        <v>4538.69</v>
      </c>
      <c r="D18" s="41">
        <f>4540.266601+2.733967*B18</f>
        <v/>
      </c>
      <c r="E18" s="42">
        <f>C18-D18</f>
        <v/>
      </c>
      <c r="F18" s="40" t="n"/>
      <c r="G18" s="40" t="n"/>
      <c r="H18" s="40" t="n"/>
    </row>
    <row r="19" ht="15" customHeight="1" s="28">
      <c r="A19" s="37" t="n">
        <v>9</v>
      </c>
      <c r="B19" s="37" t="n">
        <v>8</v>
      </c>
      <c r="C19" s="38" t="n">
        <v>4545.36</v>
      </c>
      <c r="D19" s="38">
        <f>4540.266601+2.733967*B19</f>
        <v/>
      </c>
      <c r="E19" s="39">
        <f>C19-D19</f>
        <v/>
      </c>
      <c r="F19" s="37" t="n"/>
      <c r="G19" s="37" t="n"/>
      <c r="H19" s="37" t="n"/>
    </row>
    <row r="20" ht="15" customHeight="1" s="28">
      <c r="A20" s="40" t="n">
        <v>10</v>
      </c>
      <c r="B20" s="40" t="n">
        <v>9</v>
      </c>
      <c r="C20" s="41" t="n">
        <v>4538.19</v>
      </c>
      <c r="D20" s="41">
        <f>4540.266601+2.733967*B20</f>
        <v/>
      </c>
      <c r="E20" s="42">
        <f>C20-D20</f>
        <v/>
      </c>
      <c r="F20" s="40" t="n"/>
      <c r="G20" s="40" t="n"/>
      <c r="H20" s="40" t="n"/>
    </row>
    <row r="21" ht="15" customHeight="1" s="28">
      <c r="A21" s="37" t="n">
        <v>11</v>
      </c>
      <c r="B21" s="37" t="n">
        <v>10</v>
      </c>
      <c r="C21" s="38" t="n">
        <v>4573.13</v>
      </c>
      <c r="D21" s="38">
        <f>4540.266601+2.733967*B21</f>
        <v/>
      </c>
      <c r="E21" s="39">
        <f>C21-D21</f>
        <v/>
      </c>
      <c r="F21" s="37" t="n"/>
      <c r="G21" s="37" t="n"/>
      <c r="H21" s="37" t="n"/>
    </row>
    <row r="22" ht="15" customHeight="1" s="28">
      <c r="A22" s="40" t="n">
        <v>12</v>
      </c>
      <c r="B22" s="40" t="n">
        <v>11</v>
      </c>
      <c r="C22" s="41" t="n">
        <v>4553.22</v>
      </c>
      <c r="D22" s="41">
        <f>4540.266601+2.733967*B22</f>
        <v/>
      </c>
      <c r="E22" s="42">
        <f>C22-D22</f>
        <v/>
      </c>
      <c r="F22" s="40" t="n"/>
      <c r="G22" s="40" t="n"/>
      <c r="H22" s="40" t="n"/>
    </row>
    <row r="23" ht="15" customHeight="1" s="28">
      <c r="A23" s="37" t="n">
        <v>13</v>
      </c>
      <c r="B23" s="37" t="n">
        <v>12</v>
      </c>
      <c r="C23" s="38" t="n">
        <v>4629.82</v>
      </c>
      <c r="D23" s="38">
        <f>4540.266601+2.733967*B23</f>
        <v/>
      </c>
      <c r="E23" s="39">
        <f>C23-D23</f>
        <v/>
      </c>
      <c r="F23" s="37" t="n"/>
      <c r="G23" s="37" t="n"/>
      <c r="H23" s="37" t="n"/>
    </row>
    <row r="24" ht="15" customHeight="1" s="28">
      <c r="A24" s="40" t="n">
        <v>14</v>
      </c>
      <c r="B24" s="40" t="n">
        <v>13</v>
      </c>
      <c r="C24" s="41" t="n">
        <v>4615.95</v>
      </c>
      <c r="D24" s="41">
        <f>4540.266601+2.733967*B24</f>
        <v/>
      </c>
      <c r="E24" s="42">
        <f>C24-D24</f>
        <v/>
      </c>
      <c r="F24" s="40" t="n"/>
      <c r="G24" s="40" t="n"/>
      <c r="H24" s="40" t="n"/>
    </row>
    <row r="25" ht="15" customHeight="1" s="28">
      <c r="A25" s="37" t="n">
        <v>15</v>
      </c>
      <c r="B25" s="37" t="n">
        <v>14</v>
      </c>
      <c r="C25" s="38" t="n">
        <v>4624.33</v>
      </c>
      <c r="D25" s="38">
        <f>4540.266601+2.733967*B25</f>
        <v/>
      </c>
      <c r="E25" s="39">
        <f>C25-D25</f>
        <v/>
      </c>
      <c r="F25" s="37" t="n"/>
      <c r="G25" s="37" t="n"/>
      <c r="H25" s="37" t="n"/>
    </row>
    <row r="26" ht="15" customHeight="1" s="28">
      <c r="A26" s="40" t="n">
        <v>16</v>
      </c>
      <c r="B26" s="40" t="n">
        <v>15</v>
      </c>
      <c r="C26" s="41" t="n">
        <v>4616.72</v>
      </c>
      <c r="D26" s="41">
        <f>4540.266601+2.733967*B26</f>
        <v/>
      </c>
      <c r="E26" s="42">
        <f>C26-D26</f>
        <v/>
      </c>
      <c r="F26" s="40" t="n"/>
      <c r="G26" s="40" t="n"/>
      <c r="H26" s="40" t="n"/>
    </row>
    <row r="27" ht="15" customHeight="1" s="28">
      <c r="A27" s="37" t="n">
        <v>17</v>
      </c>
      <c r="B27" s="37" t="n">
        <v>16</v>
      </c>
      <c r="C27" s="38" t="n">
        <v>4630.75</v>
      </c>
      <c r="D27" s="38">
        <f>4540.266601+2.733967*B27</f>
        <v/>
      </c>
      <c r="E27" s="39">
        <f>C27-D27</f>
        <v/>
      </c>
      <c r="F27" s="37" t="n"/>
      <c r="G27" s="37" t="n"/>
      <c r="H27" s="37" t="n"/>
    </row>
    <row r="28" ht="15" customHeight="1" s="28">
      <c r="A28" s="40" t="n">
        <v>18</v>
      </c>
      <c r="B28" s="40" t="n">
        <v>17</v>
      </c>
      <c r="C28" s="41" t="n">
        <v>4620.2</v>
      </c>
      <c r="D28" s="41">
        <f>4540.266601+2.733967*B28</f>
        <v/>
      </c>
      <c r="E28" s="42">
        <f>C28-D28</f>
        <v/>
      </c>
      <c r="F28" s="40" t="n"/>
      <c r="G28" s="40" t="n"/>
      <c r="H28" s="40" t="n"/>
    </row>
    <row r="29" ht="15" customHeight="1" s="28">
      <c r="A29" s="37" t="n">
        <v>19</v>
      </c>
      <c r="B29" s="37" t="n">
        <v>18</v>
      </c>
      <c r="C29" s="38" t="n">
        <v>4626.13</v>
      </c>
      <c r="D29" s="38">
        <f>4540.266601+2.733967*B29</f>
        <v/>
      </c>
      <c r="E29" s="39">
        <f>C29-D29</f>
        <v/>
      </c>
      <c r="F29" s="37" t="n"/>
      <c r="G29" s="37" t="n"/>
      <c r="H29" s="37" t="n"/>
    </row>
    <row r="30" ht="15" customHeight="1" s="28">
      <c r="A30" s="40" t="n">
        <v>20</v>
      </c>
      <c r="B30" s="40" t="n">
        <v>19</v>
      </c>
      <c r="C30" s="41" t="n">
        <v>4566.78</v>
      </c>
      <c r="D30" s="41">
        <f>4540.266601+2.733967*B30</f>
        <v/>
      </c>
      <c r="E30" s="42">
        <f>C30-D30</f>
        <v/>
      </c>
      <c r="F30" s="40" t="n"/>
      <c r="G30" s="40" t="n"/>
      <c r="H30" s="40" t="n"/>
    </row>
    <row r="31" ht="15" customHeight="1" s="28">
      <c r="A31" s="37" t="n">
        <v>21</v>
      </c>
      <c r="B31" s="37" t="n">
        <v>20</v>
      </c>
      <c r="C31" s="38" t="n">
        <v>4642.75</v>
      </c>
      <c r="D31" s="38">
        <f>4540.266601+2.733967*B31</f>
        <v/>
      </c>
      <c r="E31" s="39">
        <f>C31-D31</f>
        <v/>
      </c>
      <c r="F31" s="37" t="n"/>
      <c r="G31" s="37" t="n"/>
      <c r="H31" s="37" t="n"/>
    </row>
    <row r="32" ht="15" customHeight="1" s="28">
      <c r="A32" s="40" t="n">
        <v>22</v>
      </c>
      <c r="B32" s="40" t="n">
        <v>21</v>
      </c>
      <c r="C32" s="41" t="n">
        <v>4613.77</v>
      </c>
      <c r="D32" s="41">
        <f>4540.266601+2.733967*B32</f>
        <v/>
      </c>
      <c r="E32" s="42">
        <f>C32-D32</f>
        <v/>
      </c>
      <c r="F32" s="40" t="n"/>
      <c r="G32" s="40" t="n"/>
      <c r="H32" s="40" t="n"/>
    </row>
    <row r="33" ht="15" customHeight="1" s="28">
      <c r="A33" s="37" t="n">
        <v>23</v>
      </c>
      <c r="B33" s="37" t="n">
        <v>22</v>
      </c>
      <c r="C33" s="38" t="n">
        <v>4615.08</v>
      </c>
      <c r="D33" s="38">
        <f>4540.266601+2.733967*B33</f>
        <v/>
      </c>
      <c r="E33" s="39">
        <f>C33-D33</f>
        <v/>
      </c>
      <c r="F33" s="37" t="n"/>
      <c r="G33" s="37" t="n"/>
      <c r="H33" s="37" t="n"/>
    </row>
    <row r="34" ht="15" customHeight="1" s="28">
      <c r="A34" s="40" t="n">
        <v>24</v>
      </c>
      <c r="B34" s="40" t="n">
        <v>23</v>
      </c>
      <c r="C34" s="41" t="n">
        <v>4593.09</v>
      </c>
      <c r="D34" s="41">
        <f>4540.266601+2.733967*B34</f>
        <v/>
      </c>
      <c r="E34" s="42">
        <f>C34-D34</f>
        <v/>
      </c>
      <c r="F34" s="40" t="n"/>
      <c r="G34" s="40" t="n"/>
      <c r="H34" s="40" t="n"/>
    </row>
    <row r="35" ht="15" customHeight="1" s="28">
      <c r="A35" s="37" t="n">
        <v>25</v>
      </c>
      <c r="B35" s="37" t="n">
        <v>24</v>
      </c>
      <c r="C35" s="38" t="n">
        <v>4608.12</v>
      </c>
      <c r="D35" s="38">
        <f>4540.266601+2.733967*B35</f>
        <v/>
      </c>
      <c r="E35" s="39">
        <f>C35-D35</f>
        <v/>
      </c>
      <c r="F35" s="37" t="n"/>
      <c r="G35" s="37" t="n"/>
      <c r="H35" s="37" t="n"/>
    </row>
    <row r="36" ht="15" customHeight="1" s="28">
      <c r="A36" s="40" t="n">
        <v>26</v>
      </c>
      <c r="B36" s="40" t="n">
        <v>25</v>
      </c>
      <c r="C36" s="41" t="n">
        <v>4562.26</v>
      </c>
      <c r="D36" s="41">
        <f>4540.266601+2.733967*B36</f>
        <v/>
      </c>
      <c r="E36" s="42">
        <f>C36-D36</f>
        <v/>
      </c>
      <c r="F36" s="40" t="n"/>
      <c r="G36" s="40" t="n"/>
      <c r="H36" s="40" t="n"/>
    </row>
    <row r="37" ht="15" customHeight="1" s="28">
      <c r="A37" s="37" t="n">
        <v>27</v>
      </c>
      <c r="B37" s="37" t="n">
        <v>26</v>
      </c>
      <c r="C37" s="38" t="n">
        <v>4571.2</v>
      </c>
      <c r="D37" s="38">
        <f>4540.266601+2.733967*B37</f>
        <v/>
      </c>
      <c r="E37" s="39">
        <f>C37-D37</f>
        <v/>
      </c>
      <c r="F37" s="37" t="n"/>
      <c r="G37" s="37" t="n"/>
      <c r="H37" s="37" t="n"/>
    </row>
    <row r="38" ht="15" customHeight="1" s="28">
      <c r="A38" s="40" t="n">
        <v>28</v>
      </c>
      <c r="B38" s="40" t="n">
        <v>27</v>
      </c>
      <c r="C38" s="41" t="n">
        <v>4522.39</v>
      </c>
      <c r="D38" s="41">
        <f>4540.266601+2.733967*B38</f>
        <v/>
      </c>
      <c r="E38" s="42">
        <f>C38-D38</f>
        <v/>
      </c>
      <c r="F38" s="40" t="n"/>
      <c r="G38" s="40" t="n"/>
      <c r="H38" s="40" t="n"/>
    </row>
    <row r="39" ht="15" customHeight="1" s="28">
      <c r="A39" s="37" t="n">
        <v>29</v>
      </c>
      <c r="B39" s="37" t="n">
        <v>28</v>
      </c>
      <c r="C39" s="38" t="n">
        <v>4511.95</v>
      </c>
      <c r="D39" s="38">
        <f>4540.266601+2.733967*B39</f>
        <v/>
      </c>
      <c r="E39" s="39">
        <f>C39-D39</f>
        <v/>
      </c>
      <c r="F39" s="37" t="n"/>
      <c r="G39" s="37" t="n"/>
      <c r="H39" s="37" t="n"/>
    </row>
    <row r="40" ht="15" customHeight="1" s="28">
      <c r="A40" s="40" t="n">
        <v>30</v>
      </c>
      <c r="B40" s="40" t="n">
        <v>29</v>
      </c>
      <c r="C40" s="41" t="n">
        <v>4517.46</v>
      </c>
      <c r="D40" s="41">
        <f>4540.266601+2.733967*B40</f>
        <v/>
      </c>
      <c r="E40" s="42">
        <f>C40-D40</f>
        <v/>
      </c>
      <c r="F40" s="40" t="n"/>
      <c r="G40" s="40" t="n"/>
      <c r="H40" s="40" t="n"/>
    </row>
    <row r="41" ht="15" customHeight="1" s="28">
      <c r="A41" s="37" t="n">
        <v>31</v>
      </c>
      <c r="B41" s="37" t="n">
        <v>30</v>
      </c>
      <c r="C41" s="38" t="n">
        <v>4519.02</v>
      </c>
      <c r="D41" s="38">
        <f>4540.266601+2.733967*B41</f>
        <v/>
      </c>
      <c r="E41" s="39">
        <f>C41-D41</f>
        <v/>
      </c>
      <c r="F41" s="37" t="n"/>
      <c r="G41" s="37" t="n"/>
      <c r="H41" s="37" t="n"/>
    </row>
    <row r="42" ht="15" customHeight="1" s="28">
      <c r="A42" s="40" t="n">
        <v>32</v>
      </c>
      <c r="B42" s="40" t="n">
        <v>31</v>
      </c>
      <c r="C42" s="41" t="n">
        <v>4518.52</v>
      </c>
      <c r="D42" s="41">
        <f>4540.266601+2.733967*B42</f>
        <v/>
      </c>
      <c r="E42" s="42">
        <f>C42-D42</f>
        <v/>
      </c>
      <c r="F42" s="40" t="n"/>
      <c r="G42" s="40" t="n"/>
      <c r="H42" s="40" t="n"/>
    </row>
    <row r="43" ht="15" customHeight="1" s="28">
      <c r="A43" s="37" t="n">
        <v>33</v>
      </c>
      <c r="B43" s="37" t="n">
        <v>32</v>
      </c>
      <c r="C43" s="38" t="n">
        <v>4539.17</v>
      </c>
      <c r="D43" s="38">
        <f>4540.266601+2.733967*B43</f>
        <v/>
      </c>
      <c r="E43" s="39">
        <f>C43-D43</f>
        <v/>
      </c>
      <c r="F43" s="37" t="n"/>
      <c r="G43" s="37" t="n"/>
      <c r="H43" s="37" t="n"/>
    </row>
    <row r="44" ht="15" customHeight="1" s="28">
      <c r="A44" s="40" t="n">
        <v>34</v>
      </c>
      <c r="B44" s="40" t="n">
        <v>33</v>
      </c>
      <c r="C44" s="41" t="n">
        <v>4531.71</v>
      </c>
      <c r="D44" s="41">
        <f>4540.266601+2.733967*B44</f>
        <v/>
      </c>
      <c r="E44" s="42">
        <f>C44-D44</f>
        <v/>
      </c>
      <c r="F44" s="40" t="n"/>
      <c r="G44" s="40" t="n"/>
      <c r="H44" s="40" t="n"/>
    </row>
    <row r="45" ht="15" customHeight="1" s="28">
      <c r="A45" s="37" t="n">
        <v>35</v>
      </c>
      <c r="B45" s="37" t="n">
        <v>34</v>
      </c>
      <c r="C45" s="38" t="n">
        <v>4555.5</v>
      </c>
      <c r="D45" s="38">
        <f>4540.266601+2.733967*B45</f>
        <v/>
      </c>
      <c r="E45" s="39">
        <f>C45-D45</f>
        <v/>
      </c>
      <c r="F45" s="37" t="n"/>
      <c r="G45" s="37" t="n"/>
      <c r="H45" s="37" t="n"/>
    </row>
    <row r="46" ht="15" customHeight="1" s="28">
      <c r="A46" s="40" t="n">
        <v>36</v>
      </c>
      <c r="B46" s="40" t="n">
        <v>35</v>
      </c>
      <c r="C46" s="41" t="n">
        <v>4543.73</v>
      </c>
      <c r="D46" s="41">
        <f>4540.266601+2.733967*B46</f>
        <v/>
      </c>
      <c r="E46" s="42">
        <f>C46-D46</f>
        <v/>
      </c>
      <c r="F46" s="40" t="n"/>
      <c r="G46" s="40" t="n"/>
      <c r="H46" s="40" t="n"/>
    </row>
    <row r="47" ht="15" customHeight="1" s="28">
      <c r="A47" s="37" t="n">
        <v>37</v>
      </c>
      <c r="B47" s="37" t="n">
        <v>36</v>
      </c>
      <c r="C47" s="38" t="n">
        <v>4580.89</v>
      </c>
      <c r="D47" s="38">
        <f>4540.266601+2.733967*B47</f>
        <v/>
      </c>
      <c r="E47" s="39">
        <f>C47-D47</f>
        <v/>
      </c>
      <c r="F47" s="37" t="n"/>
      <c r="G47" s="37" t="n"/>
      <c r="H47" s="37" t="n"/>
    </row>
    <row r="48" ht="15" customHeight="1" s="28">
      <c r="A48" s="40" t="n">
        <v>38</v>
      </c>
      <c r="B48" s="40" t="n">
        <v>37</v>
      </c>
      <c r="C48" s="41" t="n">
        <v>4560.43</v>
      </c>
      <c r="D48" s="41">
        <f>4540.266601+2.733967*B48</f>
        <v/>
      </c>
      <c r="E48" s="42">
        <f>C48-D48</f>
        <v/>
      </c>
      <c r="F48" s="40" t="n"/>
      <c r="G48" s="40" t="n"/>
      <c r="H48" s="40" t="n"/>
    </row>
    <row r="49" ht="15" customHeight="1" s="28">
      <c r="A49" s="37" t="n">
        <v>39</v>
      </c>
      <c r="B49" s="37" t="n">
        <v>38</v>
      </c>
      <c r="C49" s="38" t="n">
        <v>4561.04</v>
      </c>
      <c r="D49" s="38">
        <f>4540.266601+2.733967*B49</f>
        <v/>
      </c>
      <c r="E49" s="39">
        <f>C49-D49</f>
        <v/>
      </c>
      <c r="F49" s="37" t="n"/>
      <c r="G49" s="37" t="n"/>
      <c r="H49" s="37" t="n"/>
    </row>
    <row r="50" ht="15" customHeight="1" s="28">
      <c r="A50" s="40" t="n">
        <v>40</v>
      </c>
      <c r="B50" s="40" t="n">
        <v>39</v>
      </c>
      <c r="C50" s="41" t="n">
        <v>4550.67</v>
      </c>
      <c r="D50" s="41">
        <f>4540.266601+2.733967*B50</f>
        <v/>
      </c>
      <c r="E50" s="42">
        <f>C50-D50</f>
        <v/>
      </c>
      <c r="F50" s="40" t="n"/>
      <c r="G50" s="40" t="n"/>
      <c r="H50" s="40" t="n"/>
    </row>
    <row r="51" ht="15" customHeight="1" s="28">
      <c r="A51" s="37" t="n">
        <v>41</v>
      </c>
      <c r="B51" s="37" t="n">
        <v>40</v>
      </c>
      <c r="C51" s="38" t="n">
        <v>4711.97</v>
      </c>
      <c r="D51" s="38">
        <f>4540.266601+2.733967*B51</f>
        <v/>
      </c>
      <c r="E51" s="39">
        <f>C51-D51</f>
        <v/>
      </c>
      <c r="F51" s="37" t="n"/>
      <c r="G51" s="37" t="n"/>
      <c r="H51" s="37" t="n"/>
    </row>
    <row r="52" ht="15" customHeight="1" s="28">
      <c r="A52" s="40" t="n">
        <v>42</v>
      </c>
      <c r="B52" s="40" t="n">
        <v>41</v>
      </c>
      <c r="C52" s="41" t="n">
        <v>4683.63</v>
      </c>
      <c r="D52" s="41">
        <f>4540.266601+2.733967*B52</f>
        <v/>
      </c>
      <c r="E52" s="42">
        <f>C52-D52</f>
        <v/>
      </c>
      <c r="F52" s="40" t="n"/>
      <c r="G52" s="40" t="n"/>
      <c r="H52" s="40" t="n"/>
    </row>
    <row r="53" ht="15" customHeight="1" s="28">
      <c r="A53" s="37" t="n">
        <v>43</v>
      </c>
      <c r="B53" s="37" t="n">
        <v>42</v>
      </c>
      <c r="C53" s="38" t="n">
        <v>4703.14</v>
      </c>
      <c r="D53" s="38">
        <f>4540.266601+2.733967*B53</f>
        <v/>
      </c>
      <c r="E53" s="39">
        <f>C53-D53</f>
        <v/>
      </c>
      <c r="F53" s="37" t="n"/>
      <c r="G53" s="37" t="n"/>
      <c r="H53" s="37" t="n"/>
    </row>
    <row r="54" ht="15" customHeight="1" s="28">
      <c r="A54" s="40" t="n">
        <v>44</v>
      </c>
      <c r="B54" s="40" t="n">
        <v>43</v>
      </c>
      <c r="C54" s="41" t="n">
        <v>4680.64</v>
      </c>
      <c r="D54" s="41">
        <f>4540.266601+2.733967*B54</f>
        <v/>
      </c>
      <c r="E54" s="42">
        <f>C54-D54</f>
        <v/>
      </c>
      <c r="F54" s="40" t="n"/>
      <c r="G54" s="40" t="n"/>
      <c r="H54" s="40" t="n"/>
    </row>
    <row r="55" ht="15" customHeight="1" s="28">
      <c r="A55" s="37" t="n">
        <v>45</v>
      </c>
      <c r="B55" s="37" t="n">
        <v>44</v>
      </c>
      <c r="C55" s="38" t="n">
        <v>4689.09</v>
      </c>
      <c r="D55" s="38">
        <f>4540.266601+2.733967*B55</f>
        <v/>
      </c>
      <c r="E55" s="39">
        <f>C55-D55</f>
        <v/>
      </c>
      <c r="F55" s="37" t="n"/>
      <c r="G55" s="37" t="n"/>
      <c r="H55" s="37" t="n"/>
    </row>
    <row r="56" ht="15" customHeight="1" s="28">
      <c r="A56" s="40" t="n">
        <v>46</v>
      </c>
      <c r="B56" s="40" t="n">
        <v>45</v>
      </c>
      <c r="C56" s="41" t="n">
        <v>4690.95</v>
      </c>
      <c r="D56" s="41">
        <f>4540.266601+2.733967*B56</f>
        <v/>
      </c>
      <c r="E56" s="42">
        <f>C56-D56</f>
        <v/>
      </c>
      <c r="F56" s="40" t="n"/>
      <c r="G56" s="40" t="n"/>
      <c r="H56" s="40" t="n"/>
    </row>
    <row r="57" ht="15" customHeight="1" s="28">
      <c r="A57" s="37" t="n">
        <v>47</v>
      </c>
      <c r="B57" s="37" t="n">
        <v>46</v>
      </c>
      <c r="C57" s="38" t="n">
        <v>4693.6</v>
      </c>
      <c r="D57" s="38">
        <f>4540.266601+2.733967*B57</f>
        <v/>
      </c>
      <c r="E57" s="39">
        <f>C57-D57</f>
        <v/>
      </c>
      <c r="F57" s="37" t="n"/>
      <c r="G57" s="37" t="n"/>
      <c r="H57" s="37" t="n"/>
    </row>
    <row r="58" ht="15" customHeight="1" s="28">
      <c r="A58" s="40" t="n">
        <v>48</v>
      </c>
      <c r="B58" s="40" t="n">
        <v>47</v>
      </c>
      <c r="C58" s="41" t="n">
        <v>4692.51</v>
      </c>
      <c r="D58" s="41">
        <f>4540.266601+2.733967*B58</f>
        <v/>
      </c>
      <c r="E58" s="42">
        <f>C58-D58</f>
        <v/>
      </c>
      <c r="F58" s="40" t="n"/>
      <c r="G58" s="40" t="n"/>
      <c r="H58" s="40" t="n"/>
    </row>
    <row r="59" ht="15" customHeight="1" s="28">
      <c r="A59" s="37" t="n">
        <v>49</v>
      </c>
      <c r="B59" s="37" t="n">
        <v>48</v>
      </c>
      <c r="C59" s="38" t="n">
        <v>4704.24</v>
      </c>
      <c r="D59" s="38">
        <f>4540.266601+2.733967*B59</f>
        <v/>
      </c>
      <c r="E59" s="39">
        <f>C59-D59</f>
        <v/>
      </c>
      <c r="F59" s="37" t="n"/>
      <c r="G59" s="37" t="n"/>
      <c r="H59" s="37" t="n"/>
    </row>
    <row r="60" ht="15" customHeight="1" s="28">
      <c r="A60" s="40" t="n">
        <v>50</v>
      </c>
      <c r="B60" s="40" t="n">
        <v>49</v>
      </c>
      <c r="C60" s="41" t="n">
        <v>4696.05</v>
      </c>
      <c r="D60" s="41">
        <f>4540.266601+2.733967*B60</f>
        <v/>
      </c>
      <c r="E60" s="42">
        <f>C60-D60</f>
        <v/>
      </c>
      <c r="F60" s="40" t="n"/>
      <c r="G60" s="40" t="n"/>
      <c r="H60" s="40" t="n"/>
    </row>
    <row r="61" ht="15" customHeight="1" s="28">
      <c r="A61" s="37" t="n">
        <v>51</v>
      </c>
      <c r="B61" s="37" t="n">
        <v>50</v>
      </c>
      <c r="C61" s="38" t="n">
        <v>4742.66</v>
      </c>
      <c r="D61" s="38">
        <f>4540.266601+2.733967*B61</f>
        <v/>
      </c>
      <c r="E61" s="39">
        <f>C61-D61</f>
        <v/>
      </c>
      <c r="F61" s="37" t="n"/>
      <c r="G61" s="37" t="n"/>
      <c r="H61" s="37" t="n"/>
    </row>
    <row r="62" ht="15" customHeight="1" s="28">
      <c r="A62" s="40" t="n">
        <v>52</v>
      </c>
      <c r="B62" s="40" t="n">
        <v>51</v>
      </c>
      <c r="C62" s="41" t="n">
        <v>4734.98</v>
      </c>
      <c r="D62" s="41">
        <f>4540.266601+2.733967*B62</f>
        <v/>
      </c>
      <c r="E62" s="42">
        <f>C62-D62</f>
        <v/>
      </c>
      <c r="F62" s="40" t="n"/>
      <c r="G62" s="40" t="n"/>
      <c r="H62" s="40" t="n"/>
    </row>
    <row r="63" ht="15" customHeight="1" s="28">
      <c r="A63" s="37" t="n">
        <v>53</v>
      </c>
      <c r="B63" s="37" t="n">
        <v>52</v>
      </c>
      <c r="C63" s="38" t="n">
        <v>4762.74</v>
      </c>
      <c r="D63" s="38">
        <f>4540.266601+2.733967*B63</f>
        <v/>
      </c>
      <c r="E63" s="39">
        <f>C63-D63</f>
        <v/>
      </c>
      <c r="F63" s="37" t="n"/>
      <c r="G63" s="37" t="n"/>
      <c r="H63" s="37" t="n"/>
    </row>
    <row r="64" ht="15" customHeight="1" s="28">
      <c r="A64" s="40" t="n">
        <v>54</v>
      </c>
      <c r="B64" s="40" t="n">
        <v>53</v>
      </c>
      <c r="C64" s="41" t="n">
        <v>4708.08</v>
      </c>
      <c r="D64" s="41">
        <f>4540.266601+2.733967*B64</f>
        <v/>
      </c>
      <c r="E64" s="42">
        <f>C64-D64</f>
        <v/>
      </c>
      <c r="F64" s="40" t="n"/>
      <c r="G64" s="40" t="n"/>
      <c r="H64" s="40" t="n"/>
    </row>
    <row r="65" ht="15" customHeight="1" s="28">
      <c r="A65" s="37" t="n">
        <v>55</v>
      </c>
      <c r="B65" s="37" t="n">
        <v>54</v>
      </c>
      <c r="C65" s="38" t="n">
        <v>4709.69</v>
      </c>
      <c r="D65" s="38">
        <f>4540.266601+2.733967*B65</f>
        <v/>
      </c>
      <c r="E65" s="39">
        <f>C65-D65</f>
        <v/>
      </c>
      <c r="F65" s="37" t="n"/>
      <c r="G65" s="37" t="n"/>
      <c r="H65" s="37" t="n"/>
    </row>
    <row r="66" ht="15" customHeight="1" s="28">
      <c r="A66" s="40" t="n">
        <v>56</v>
      </c>
      <c r="B66" s="40" t="n">
        <v>55</v>
      </c>
      <c r="C66" s="41" t="n">
        <v>4691.8</v>
      </c>
      <c r="D66" s="41">
        <f>4540.266601+2.733967*B66</f>
        <v/>
      </c>
      <c r="E66" s="42">
        <f>C66-D66</f>
        <v/>
      </c>
      <c r="F66" s="40" t="n"/>
      <c r="G66" s="40" t="n"/>
      <c r="H66" s="40" t="n"/>
    </row>
    <row r="67" ht="15" customHeight="1" s="28">
      <c r="A67" s="37" t="n">
        <v>57</v>
      </c>
      <c r="B67" s="37" t="n">
        <v>56</v>
      </c>
      <c r="C67" s="38" t="n">
        <v>4720.44</v>
      </c>
      <c r="D67" s="38">
        <f>4540.266601+2.733967*B67</f>
        <v/>
      </c>
      <c r="E67" s="39">
        <f>C67-D67</f>
        <v/>
      </c>
      <c r="F67" s="37" t="n"/>
      <c r="G67" s="37" t="n"/>
      <c r="H67" s="37" t="n"/>
    </row>
    <row r="68" ht="15" customHeight="1" s="28">
      <c r="A68" s="40" t="n">
        <v>58</v>
      </c>
      <c r="B68" s="40" t="n">
        <v>57</v>
      </c>
      <c r="C68" s="41" t="n">
        <v>4711.09</v>
      </c>
      <c r="D68" s="41">
        <f>4540.266601+2.733967*B68</f>
        <v/>
      </c>
      <c r="E68" s="42">
        <f>C68-D68</f>
        <v/>
      </c>
      <c r="F68" s="40" t="n"/>
      <c r="G68" s="40" t="n"/>
      <c r="H68" s="40" t="n"/>
    </row>
    <row r="69" ht="15" customHeight="1" s="28">
      <c r="A69" s="37" t="n">
        <v>59</v>
      </c>
      <c r="B69" s="37" t="n">
        <v>58</v>
      </c>
      <c r="C69" s="38" t="n">
        <v>4728.52</v>
      </c>
      <c r="D69" s="38">
        <f>4540.266601+2.733967*B69</f>
        <v/>
      </c>
      <c r="E69" s="39">
        <f>C69-D69</f>
        <v/>
      </c>
      <c r="F69" s="37" t="n"/>
      <c r="G69" s="37" t="n"/>
      <c r="H69" s="37" t="n"/>
    </row>
    <row r="70" ht="15" customHeight="1" s="28">
      <c r="A70" s="40" t="n">
        <v>60</v>
      </c>
      <c r="B70" s="40" t="n">
        <v>59</v>
      </c>
      <c r="C70" s="41" t="n">
        <v>4716.85</v>
      </c>
      <c r="D70" s="41">
        <f>4540.266601+2.733967*B70</f>
        <v/>
      </c>
      <c r="E70" s="42">
        <f>C70-D70</f>
        <v/>
      </c>
      <c r="F70" s="40" t="n"/>
      <c r="G70" s="40" t="n"/>
      <c r="H70" s="40" t="n"/>
    </row>
    <row r="71" ht="15" customHeight="1" s="28">
      <c r="A71" s="37" t="n">
        <v>61</v>
      </c>
      <c r="B71" s="37" t="n">
        <v>60</v>
      </c>
      <c r="C71" s="38" t="n">
        <v>4722.05</v>
      </c>
      <c r="D71" s="38">
        <f>4540.266601+2.733967*B71</f>
        <v/>
      </c>
      <c r="E71" s="39">
        <f>C71-D71</f>
        <v/>
      </c>
      <c r="F71" s="37" t="n"/>
      <c r="G71" s="37" t="n"/>
      <c r="H71" s="37" t="n"/>
    </row>
    <row r="72" ht="15" customHeight="1" s="28">
      <c r="A72" s="40" t="n">
        <v>62</v>
      </c>
      <c r="B72" s="40" t="n">
        <v>61</v>
      </c>
      <c r="C72" s="41" t="n">
        <v>4710.4</v>
      </c>
      <c r="D72" s="41">
        <f>4540.266601+2.733967*B72</f>
        <v/>
      </c>
      <c r="E72" s="42">
        <f>C72-D72</f>
        <v/>
      </c>
      <c r="F72" s="40" t="n"/>
      <c r="G72" s="40" t="n"/>
      <c r="H72" s="40" t="n"/>
    </row>
    <row r="73" ht="15" customHeight="1" s="28">
      <c r="A73" s="37" t="n">
        <v>63</v>
      </c>
      <c r="B73" s="37" t="n">
        <v>62</v>
      </c>
      <c r="C73" s="38" t="n">
        <v>4731.78</v>
      </c>
      <c r="D73" s="38">
        <f>4540.266601+2.733967*B73</f>
        <v/>
      </c>
      <c r="E73" s="39">
        <f>C73-D73</f>
        <v/>
      </c>
      <c r="F73" s="37" t="n"/>
      <c r="G73" s="37" t="n"/>
      <c r="H73" s="37" t="n"/>
    </row>
    <row r="74" ht="15" customHeight="1" s="28">
      <c r="A74" s="40" t="n">
        <v>64</v>
      </c>
      <c r="B74" s="40" t="n">
        <v>63</v>
      </c>
      <c r="C74" s="41" t="n">
        <v>4717.67</v>
      </c>
      <c r="D74" s="41">
        <f>4540.266601+2.733967*B74</f>
        <v/>
      </c>
      <c r="E74" s="42">
        <f>C74-D74</f>
        <v/>
      </c>
      <c r="F74" s="40" t="n"/>
      <c r="G74" s="40" t="n"/>
      <c r="H74" s="40" t="n"/>
    </row>
    <row r="75" ht="15" customHeight="1" s="28">
      <c r="A75" s="37" t="n">
        <v>65</v>
      </c>
      <c r="B75" s="37" t="n">
        <v>64</v>
      </c>
      <c r="C75" s="38" t="n">
        <v>4725.3</v>
      </c>
      <c r="D75" s="38">
        <f>4540.266601+2.733967*B75</f>
        <v/>
      </c>
      <c r="E75" s="39">
        <f>C75-D75</f>
        <v/>
      </c>
      <c r="F75" s="37" t="n"/>
      <c r="G75" s="37" t="n"/>
      <c r="H75" s="37" t="n"/>
    </row>
    <row r="77" ht="18" customHeight="1" s="28">
      <c r="A77" s="33" t="inlineStr">
        <is>
          <t>STEP 2 — Sort Residuals &amp; Apply Shapiro-Wilk Coefficients   (k = 32 pairs;  n = 65 is odd → middle term x_(33) excluded)</t>
        </is>
      </c>
    </row>
    <row r="78" ht="31.5" customHeight="1" s="28">
      <c r="A78" s="34" t="inlineStr">
        <is>
          <t>Pair  i</t>
        </is>
      </c>
      <c r="B78" s="34" t="inlineStr">
        <is>
          <t>aᵢ  (SW coeff.)*</t>
        </is>
      </c>
      <c r="C78" s="34" t="inlineStr">
        <is>
          <t>Upper  x_(65+1−i)</t>
        </is>
      </c>
      <c r="D78" s="34" t="inlineStr">
        <is>
          <t>Lower  x_(i)</t>
        </is>
      </c>
      <c r="E78" s="34" t="inlineStr">
        <is>
          <t>Diff  =  Upper − Lower</t>
        </is>
      </c>
      <c r="F78" s="34" t="inlineStr">
        <is>
          <t>Contribution  aᵢ × Diff</t>
        </is>
      </c>
      <c r="G78" s="34" t="n"/>
      <c r="H78" s="36" t="n"/>
    </row>
    <row r="79" ht="15" customHeight="1" s="28">
      <c r="A79" s="37" t="n">
        <v>1</v>
      </c>
      <c r="B79" s="43" t="n">
        <v>0.29730388</v>
      </c>
      <c r="C79" s="39">
        <f>LARGE(E11:E75,1)</f>
        <v/>
      </c>
      <c r="D79" s="39">
        <f>SMALL(E11:E75,1)</f>
        <v/>
      </c>
      <c r="E79" s="39">
        <f>C79-D79</f>
        <v/>
      </c>
      <c r="F79" s="39">
        <f>B79*E79</f>
        <v/>
      </c>
      <c r="G79" s="37" t="n"/>
      <c r="H79" s="37" t="n"/>
    </row>
    <row r="80" ht="15" customHeight="1" s="28">
      <c r="A80" s="40" t="n">
        <v>2</v>
      </c>
      <c r="B80" s="43" t="n">
        <v>0.24896602</v>
      </c>
      <c r="C80" s="42">
        <f>LARGE(E11:E75,2)</f>
        <v/>
      </c>
      <c r="D80" s="42">
        <f>SMALL(E11:E75,2)</f>
        <v/>
      </c>
      <c r="E80" s="42">
        <f>C80-D80</f>
        <v/>
      </c>
      <c r="F80" s="42">
        <f>B80*E80</f>
        <v/>
      </c>
      <c r="G80" s="40" t="n"/>
      <c r="H80" s="40" t="n"/>
    </row>
    <row r="81" ht="15" customHeight="1" s="28">
      <c r="A81" s="37" t="n">
        <v>3</v>
      </c>
      <c r="B81" s="43" t="n">
        <v>0.22185843</v>
      </c>
      <c r="C81" s="39">
        <f>LARGE(E11:E75,3)</f>
        <v/>
      </c>
      <c r="D81" s="39">
        <f>SMALL(E11:E75,3)</f>
        <v/>
      </c>
      <c r="E81" s="39">
        <f>C81-D81</f>
        <v/>
      </c>
      <c r="F81" s="39">
        <f>B81*E81</f>
        <v/>
      </c>
      <c r="G81" s="37" t="n"/>
      <c r="H81" s="37" t="n"/>
    </row>
    <row r="82" ht="15" customHeight="1" s="28">
      <c r="A82" s="40" t="n">
        <v>4</v>
      </c>
      <c r="B82" s="43" t="n">
        <v>0.20221056</v>
      </c>
      <c r="C82" s="42">
        <f>LARGE(E11:E75,4)</f>
        <v/>
      </c>
      <c r="D82" s="42">
        <f>SMALL(E11:E75,4)</f>
        <v/>
      </c>
      <c r="E82" s="42">
        <f>C82-D82</f>
        <v/>
      </c>
      <c r="F82" s="42">
        <f>B82*E82</f>
        <v/>
      </c>
      <c r="G82" s="40" t="n"/>
      <c r="H82" s="40" t="n"/>
    </row>
    <row r="83" ht="15" customHeight="1" s="28">
      <c r="A83" s="37" t="n">
        <v>5</v>
      </c>
      <c r="B83" s="43" t="n">
        <v>0.18647769</v>
      </c>
      <c r="C83" s="39">
        <f>LARGE(E11:E75,5)</f>
        <v/>
      </c>
      <c r="D83" s="39">
        <f>SMALL(E11:E75,5)</f>
        <v/>
      </c>
      <c r="E83" s="39">
        <f>C83-D83</f>
        <v/>
      </c>
      <c r="F83" s="39">
        <f>B83*E83</f>
        <v/>
      </c>
      <c r="G83" s="37" t="n"/>
      <c r="H83" s="37" t="n"/>
    </row>
    <row r="84" ht="15" customHeight="1" s="28">
      <c r="A84" s="40" t="n">
        <v>6</v>
      </c>
      <c r="B84" s="43" t="n">
        <v>0.17318025</v>
      </c>
      <c r="C84" s="42">
        <f>LARGE(E11:E75,6)</f>
        <v/>
      </c>
      <c r="D84" s="42">
        <f>SMALL(E11:E75,6)</f>
        <v/>
      </c>
      <c r="E84" s="42">
        <f>C84-D84</f>
        <v/>
      </c>
      <c r="F84" s="42">
        <f>B84*E84</f>
        <v/>
      </c>
      <c r="G84" s="40" t="n"/>
      <c r="H84" s="40" t="n"/>
    </row>
    <row r="85" ht="15" customHeight="1" s="28">
      <c r="A85" s="37" t="n">
        <v>7</v>
      </c>
      <c r="B85" s="43" t="n">
        <v>0.1615517</v>
      </c>
      <c r="C85" s="39">
        <f>LARGE(E11:E75,7)</f>
        <v/>
      </c>
      <c r="D85" s="39">
        <f>SMALL(E11:E75,7)</f>
        <v/>
      </c>
      <c r="E85" s="39">
        <f>C85-D85</f>
        <v/>
      </c>
      <c r="F85" s="39">
        <f>B85*E85</f>
        <v/>
      </c>
      <c r="G85" s="37" t="n"/>
      <c r="H85" s="37" t="n"/>
    </row>
    <row r="86" ht="15" customHeight="1" s="28">
      <c r="A86" s="40" t="n">
        <v>8</v>
      </c>
      <c r="B86" s="43" t="n">
        <v>0.15114081</v>
      </c>
      <c r="C86" s="42">
        <f>LARGE(E11:E75,8)</f>
        <v/>
      </c>
      <c r="D86" s="42">
        <f>SMALL(E11:E75,8)</f>
        <v/>
      </c>
      <c r="E86" s="42">
        <f>C86-D86</f>
        <v/>
      </c>
      <c r="F86" s="42">
        <f>B86*E86</f>
        <v/>
      </c>
      <c r="G86" s="40" t="n"/>
      <c r="H86" s="40" t="n"/>
    </row>
    <row r="87" ht="15" customHeight="1" s="28">
      <c r="A87" s="37" t="n">
        <v>9</v>
      </c>
      <c r="B87" s="43" t="n">
        <v>0.14165829</v>
      </c>
      <c r="C87" s="39">
        <f>LARGE(E11:E75,9)</f>
        <v/>
      </c>
      <c r="D87" s="39">
        <f>SMALL(E11:E75,9)</f>
        <v/>
      </c>
      <c r="E87" s="39">
        <f>C87-D87</f>
        <v/>
      </c>
      <c r="F87" s="39">
        <f>B87*E87</f>
        <v/>
      </c>
      <c r="G87" s="37" t="n"/>
      <c r="H87" s="37" t="n"/>
    </row>
    <row r="88" ht="15" customHeight="1" s="28">
      <c r="A88" s="40" t="n">
        <v>10</v>
      </c>
      <c r="B88" s="43" t="n">
        <v>0.13290686</v>
      </c>
      <c r="C88" s="42">
        <f>LARGE(E11:E75,10)</f>
        <v/>
      </c>
      <c r="D88" s="42">
        <f>SMALL(E11:E75,10)</f>
        <v/>
      </c>
      <c r="E88" s="42">
        <f>C88-D88</f>
        <v/>
      </c>
      <c r="F88" s="42">
        <f>B88*E88</f>
        <v/>
      </c>
      <c r="G88" s="40" t="n"/>
      <c r="H88" s="40" t="n"/>
    </row>
    <row r="89" ht="15" customHeight="1" s="28">
      <c r="A89" s="37" t="n">
        <v>11</v>
      </c>
      <c r="B89" s="43" t="n">
        <v>0.12474562</v>
      </c>
      <c r="C89" s="39">
        <f>LARGE(E11:E75,11)</f>
        <v/>
      </c>
      <c r="D89" s="39">
        <f>SMALL(E11:E75,11)</f>
        <v/>
      </c>
      <c r="E89" s="39">
        <f>C89-D89</f>
        <v/>
      </c>
      <c r="F89" s="39">
        <f>B89*E89</f>
        <v/>
      </c>
      <c r="G89" s="37" t="n"/>
      <c r="H89" s="37" t="n"/>
    </row>
    <row r="90" ht="15" customHeight="1" s="28">
      <c r="A90" s="40" t="n">
        <v>12</v>
      </c>
      <c r="B90" s="43" t="n">
        <v>0.11707011</v>
      </c>
      <c r="C90" s="42">
        <f>LARGE(E11:E75,12)</f>
        <v/>
      </c>
      <c r="D90" s="42">
        <f>SMALL(E11:E75,12)</f>
        <v/>
      </c>
      <c r="E90" s="42">
        <f>C90-D90</f>
        <v/>
      </c>
      <c r="F90" s="42">
        <f>B90*E90</f>
        <v/>
      </c>
      <c r="G90" s="40" t="n"/>
      <c r="H90" s="40" t="n"/>
    </row>
    <row r="91" ht="15" customHeight="1" s="28">
      <c r="A91" s="37" t="n">
        <v>13</v>
      </c>
      <c r="B91" s="43" t="n">
        <v>0.10980055</v>
      </c>
      <c r="C91" s="39">
        <f>LARGE(E11:E75,13)</f>
        <v/>
      </c>
      <c r="D91" s="39">
        <f>SMALL(E11:E75,13)</f>
        <v/>
      </c>
      <c r="E91" s="39">
        <f>C91-D91</f>
        <v/>
      </c>
      <c r="F91" s="39">
        <f>B91*E91</f>
        <v/>
      </c>
      <c r="G91" s="37" t="n"/>
      <c r="H91" s="37" t="n"/>
    </row>
    <row r="92" ht="15" customHeight="1" s="28">
      <c r="A92" s="40" t="n">
        <v>14</v>
      </c>
      <c r="B92" s="43" t="n">
        <v>0.10287453</v>
      </c>
      <c r="C92" s="42">
        <f>LARGE(E11:E75,14)</f>
        <v/>
      </c>
      <c r="D92" s="42">
        <f>SMALL(E11:E75,14)</f>
        <v/>
      </c>
      <c r="E92" s="42">
        <f>C92-D92</f>
        <v/>
      </c>
      <c r="F92" s="42">
        <f>B92*E92</f>
        <v/>
      </c>
      <c r="G92" s="40" t="n"/>
      <c r="H92" s="40" t="n"/>
    </row>
    <row r="93" ht="15" customHeight="1" s="28">
      <c r="A93" s="37" t="n">
        <v>15</v>
      </c>
      <c r="B93" s="43" t="n">
        <v>0.09624212</v>
      </c>
      <c r="C93" s="39">
        <f>LARGE(E11:E75,15)</f>
        <v/>
      </c>
      <c r="D93" s="39">
        <f>SMALL(E11:E75,15)</f>
        <v/>
      </c>
      <c r="E93" s="39">
        <f>C93-D93</f>
        <v/>
      </c>
      <c r="F93" s="39">
        <f>B93*E93</f>
        <v/>
      </c>
      <c r="G93" s="37" t="n"/>
      <c r="H93" s="37" t="n"/>
    </row>
    <row r="94" ht="15" customHeight="1" s="28">
      <c r="A94" s="40" t="n">
        <v>16</v>
      </c>
      <c r="B94" s="43" t="n">
        <v>0.08986271</v>
      </c>
      <c r="C94" s="42">
        <f>LARGE(E11:E75,16)</f>
        <v/>
      </c>
      <c r="D94" s="42">
        <f>SMALL(E11:E75,16)</f>
        <v/>
      </c>
      <c r="E94" s="42">
        <f>C94-D94</f>
        <v/>
      </c>
      <c r="F94" s="42">
        <f>B94*E94</f>
        <v/>
      </c>
      <c r="G94" s="40" t="n"/>
      <c r="H94" s="40" t="n"/>
    </row>
    <row r="95" ht="15" customHeight="1" s="28">
      <c r="A95" s="37" t="n">
        <v>17</v>
      </c>
      <c r="B95" s="43" t="n">
        <v>0.08370267000000001</v>
      </c>
      <c r="C95" s="39">
        <f>LARGE(E11:E75,17)</f>
        <v/>
      </c>
      <c r="D95" s="39">
        <f>SMALL(E11:E75,17)</f>
        <v/>
      </c>
      <c r="E95" s="39">
        <f>C95-D95</f>
        <v/>
      </c>
      <c r="F95" s="39">
        <f>B95*E95</f>
        <v/>
      </c>
      <c r="G95" s="37" t="n"/>
      <c r="H95" s="37" t="n"/>
    </row>
    <row r="96" ht="15" customHeight="1" s="28">
      <c r="A96" s="40" t="n">
        <v>18</v>
      </c>
      <c r="B96" s="43" t="n">
        <v>0.07773381</v>
      </c>
      <c r="C96" s="42">
        <f>LARGE(E11:E75,18)</f>
        <v/>
      </c>
      <c r="D96" s="42">
        <f>SMALL(E11:E75,18)</f>
        <v/>
      </c>
      <c r="E96" s="42">
        <f>C96-D96</f>
        <v/>
      </c>
      <c r="F96" s="42">
        <f>B96*E96</f>
        <v/>
      </c>
      <c r="G96" s="40" t="n"/>
      <c r="H96" s="40" t="n"/>
    </row>
    <row r="97" ht="15" customHeight="1" s="28">
      <c r="A97" s="37" t="n">
        <v>19</v>
      </c>
      <c r="B97" s="43" t="n">
        <v>0.07193215999999999</v>
      </c>
      <c r="C97" s="39">
        <f>LARGE(E11:E75,19)</f>
        <v/>
      </c>
      <c r="D97" s="39">
        <f>SMALL(E11:E75,19)</f>
        <v/>
      </c>
      <c r="E97" s="39">
        <f>C97-D97</f>
        <v/>
      </c>
      <c r="F97" s="39">
        <f>B97*E97</f>
        <v/>
      </c>
      <c r="G97" s="37" t="n"/>
      <c r="H97" s="37" t="n"/>
    </row>
    <row r="98" ht="15" customHeight="1" s="28">
      <c r="A98" s="40" t="n">
        <v>20</v>
      </c>
      <c r="B98" s="43" t="n">
        <v>0.06627710000000001</v>
      </c>
      <c r="C98" s="42">
        <f>LARGE(E11:E75,20)</f>
        <v/>
      </c>
      <c r="D98" s="42">
        <f>SMALL(E11:E75,20)</f>
        <v/>
      </c>
      <c r="E98" s="42">
        <f>C98-D98</f>
        <v/>
      </c>
      <c r="F98" s="42">
        <f>B98*E98</f>
        <v/>
      </c>
      <c r="G98" s="40" t="n"/>
      <c r="H98" s="40" t="n"/>
    </row>
    <row r="99" ht="15" customHeight="1" s="28">
      <c r="A99" s="37" t="n">
        <v>21</v>
      </c>
      <c r="B99" s="43" t="n">
        <v>0.06075069</v>
      </c>
      <c r="C99" s="39">
        <f>LARGE(E11:E75,21)</f>
        <v/>
      </c>
      <c r="D99" s="39">
        <f>SMALL(E11:E75,21)</f>
        <v/>
      </c>
      <c r="E99" s="39">
        <f>C99-D99</f>
        <v/>
      </c>
      <c r="F99" s="39">
        <f>B99*E99</f>
        <v/>
      </c>
      <c r="G99" s="37" t="n"/>
      <c r="H99" s="37" t="n"/>
    </row>
    <row r="100" ht="15" customHeight="1" s="28">
      <c r="A100" s="40" t="n">
        <v>22</v>
      </c>
      <c r="B100" s="43" t="n">
        <v>0.05533717</v>
      </c>
      <c r="C100" s="42">
        <f>LARGE(E11:E75,22)</f>
        <v/>
      </c>
      <c r="D100" s="42">
        <f>SMALL(E11:E75,22)</f>
        <v/>
      </c>
      <c r="E100" s="42">
        <f>C100-D100</f>
        <v/>
      </c>
      <c r="F100" s="42">
        <f>B100*E100</f>
        <v/>
      </c>
      <c r="G100" s="40" t="n"/>
      <c r="H100" s="40" t="n"/>
    </row>
    <row r="101" ht="15" customHeight="1" s="28">
      <c r="A101" s="37" t="n">
        <v>23</v>
      </c>
      <c r="B101" s="43" t="n">
        <v>0.05002253</v>
      </c>
      <c r="C101" s="39">
        <f>LARGE(E11:E75,23)</f>
        <v/>
      </c>
      <c r="D101" s="39">
        <f>SMALL(E11:E75,23)</f>
        <v/>
      </c>
      <c r="E101" s="39">
        <f>C101-D101</f>
        <v/>
      </c>
      <c r="F101" s="39">
        <f>B101*E101</f>
        <v/>
      </c>
      <c r="G101" s="37" t="n"/>
      <c r="H101" s="37" t="n"/>
    </row>
    <row r="102" ht="15" customHeight="1" s="28">
      <c r="A102" s="40" t="n">
        <v>24</v>
      </c>
      <c r="B102" s="43" t="n">
        <v>0.04479421</v>
      </c>
      <c r="C102" s="42">
        <f>LARGE(E11:E75,24)</f>
        <v/>
      </c>
      <c r="D102" s="42">
        <f>SMALL(E11:E75,24)</f>
        <v/>
      </c>
      <c r="E102" s="42">
        <f>C102-D102</f>
        <v/>
      </c>
      <c r="F102" s="42">
        <f>B102*E102</f>
        <v/>
      </c>
      <c r="G102" s="40" t="n"/>
      <c r="H102" s="40" t="n"/>
    </row>
    <row r="103" ht="15" customHeight="1" s="28">
      <c r="A103" s="37" t="n">
        <v>25</v>
      </c>
      <c r="B103" s="43" t="n">
        <v>0.03964085</v>
      </c>
      <c r="C103" s="39">
        <f>LARGE(E11:E75,25)</f>
        <v/>
      </c>
      <c r="D103" s="39">
        <f>SMALL(E11:E75,25)</f>
        <v/>
      </c>
      <c r="E103" s="39">
        <f>C103-D103</f>
        <v/>
      </c>
      <c r="F103" s="39">
        <f>B103*E103</f>
        <v/>
      </c>
      <c r="G103" s="37" t="n"/>
      <c r="H103" s="37" t="n"/>
    </row>
    <row r="104" ht="15" customHeight="1" s="28">
      <c r="A104" s="40" t="n">
        <v>26</v>
      </c>
      <c r="B104" s="43" t="n">
        <v>0.03455205</v>
      </c>
      <c r="C104" s="42">
        <f>LARGE(E11:E75,26)</f>
        <v/>
      </c>
      <c r="D104" s="42">
        <f>SMALL(E11:E75,26)</f>
        <v/>
      </c>
      <c r="E104" s="42">
        <f>C104-D104</f>
        <v/>
      </c>
      <c r="F104" s="42">
        <f>B104*E104</f>
        <v/>
      </c>
      <c r="G104" s="40" t="n"/>
      <c r="H104" s="40" t="n"/>
    </row>
    <row r="105" ht="15" customHeight="1" s="28">
      <c r="A105" s="37" t="n">
        <v>27</v>
      </c>
      <c r="B105" s="43" t="n">
        <v>0.02951822</v>
      </c>
      <c r="C105" s="39">
        <f>LARGE(E11:E75,27)</f>
        <v/>
      </c>
      <c r="D105" s="39">
        <f>SMALL(E11:E75,27)</f>
        <v/>
      </c>
      <c r="E105" s="39">
        <f>C105-D105</f>
        <v/>
      </c>
      <c r="F105" s="39">
        <f>B105*E105</f>
        <v/>
      </c>
      <c r="G105" s="37" t="n"/>
      <c r="H105" s="37" t="n"/>
    </row>
    <row r="106" ht="15" customHeight="1" s="28">
      <c r="A106" s="40" t="n">
        <v>28</v>
      </c>
      <c r="B106" s="43" t="n">
        <v>0.02453042</v>
      </c>
      <c r="C106" s="42">
        <f>LARGE(E11:E75,28)</f>
        <v/>
      </c>
      <c r="D106" s="42">
        <f>SMALL(E11:E75,28)</f>
        <v/>
      </c>
      <c r="E106" s="42">
        <f>C106-D106</f>
        <v/>
      </c>
      <c r="F106" s="42">
        <f>B106*E106</f>
        <v/>
      </c>
      <c r="G106" s="40" t="n"/>
      <c r="H106" s="40" t="n"/>
    </row>
    <row r="107" ht="15" customHeight="1" s="28">
      <c r="A107" s="37" t="n">
        <v>29</v>
      </c>
      <c r="B107" s="43" t="n">
        <v>0.01958023</v>
      </c>
      <c r="C107" s="39">
        <f>LARGE(E11:E75,29)</f>
        <v/>
      </c>
      <c r="D107" s="39">
        <f>SMALL(E11:E75,29)</f>
        <v/>
      </c>
      <c r="E107" s="39">
        <f>C107-D107</f>
        <v/>
      </c>
      <c r="F107" s="39">
        <f>B107*E107</f>
        <v/>
      </c>
      <c r="G107" s="37" t="n"/>
      <c r="H107" s="37" t="n"/>
    </row>
    <row r="108" ht="15" customHeight="1" s="28">
      <c r="A108" s="40" t="n">
        <v>30</v>
      </c>
      <c r="B108" s="43" t="n">
        <v>0.01465966</v>
      </c>
      <c r="C108" s="42">
        <f>LARGE(E11:E75,30)</f>
        <v/>
      </c>
      <c r="D108" s="42">
        <f>SMALL(E11:E75,30)</f>
        <v/>
      </c>
      <c r="E108" s="42">
        <f>C108-D108</f>
        <v/>
      </c>
      <c r="F108" s="42">
        <f>B108*E108</f>
        <v/>
      </c>
      <c r="G108" s="40" t="n"/>
      <c r="H108" s="40" t="n"/>
    </row>
    <row r="109" ht="15" customHeight="1" s="28">
      <c r="A109" s="37" t="n">
        <v>31</v>
      </c>
      <c r="B109" s="43" t="n">
        <v>0.00976103</v>
      </c>
      <c r="C109" s="39">
        <f>LARGE(E11:E75,31)</f>
        <v/>
      </c>
      <c r="D109" s="39">
        <f>SMALL(E11:E75,31)</f>
        <v/>
      </c>
      <c r="E109" s="39">
        <f>C109-D109</f>
        <v/>
      </c>
      <c r="F109" s="39">
        <f>B109*E109</f>
        <v/>
      </c>
      <c r="G109" s="37" t="n"/>
      <c r="H109" s="37" t="n"/>
    </row>
    <row r="110" ht="15" customHeight="1" s="28">
      <c r="A110" s="40" t="n">
        <v>32</v>
      </c>
      <c r="B110" s="43" t="n">
        <v>0.00487691</v>
      </c>
      <c r="C110" s="42">
        <f>LARGE(E11:E75,32)</f>
        <v/>
      </c>
      <c r="D110" s="42">
        <f>SMALL(E11:E75,32)</f>
        <v/>
      </c>
      <c r="E110" s="42">
        <f>C110-D110</f>
        <v/>
      </c>
      <c r="F110" s="42">
        <f>B110*E110</f>
        <v/>
      </c>
      <c r="G110" s="40" t="n"/>
      <c r="H110" s="40" t="n"/>
    </row>
    <row r="112" ht="18" customHeight="1" s="28">
      <c r="A112" s="33" t="inlineStr">
        <is>
          <t>STEP 3 — Compute W Statistic</t>
        </is>
      </c>
    </row>
    <row r="113" ht="15" customHeight="1" s="28">
      <c r="A113" s="44" t="inlineStr">
        <is>
          <t>n  (sample size)</t>
        </is>
      </c>
      <c r="B113" s="35" t="n"/>
      <c r="C113" s="35" t="n"/>
      <c r="D113" s="35" t="n"/>
      <c r="E113" s="35" t="n"/>
      <c r="F113" s="45" t="n">
        <v>65</v>
      </c>
      <c r="G113" s="35" t="n"/>
      <c r="H113" s="35" t="n"/>
    </row>
    <row r="114" ht="15" customHeight="1" s="28">
      <c r="A114" s="44" t="inlineStr">
        <is>
          <t>k  (number of pairs)</t>
        </is>
      </c>
      <c r="B114" s="35" t="n"/>
      <c r="C114" s="35" t="n"/>
      <c r="D114" s="35" t="n"/>
      <c r="E114" s="35" t="n"/>
      <c r="F114" s="45" t="n">
        <v>32</v>
      </c>
      <c r="G114" s="35" t="n"/>
      <c r="H114" s="35" t="n"/>
    </row>
    <row r="115" ht="15" customHeight="1" s="28">
      <c r="A115" s="44" t="inlineStr">
        <is>
          <t>SS_total  =  Σ(eᵢ − ē)²</t>
        </is>
      </c>
      <c r="B115" s="35" t="n"/>
      <c r="C115" s="35" t="n"/>
      <c r="D115" s="35" t="n"/>
      <c r="E115" s="35" t="n"/>
      <c r="F115" s="46">
        <f>SUMPRODUCT((E11:E75-AVERAGE(E11:E75))^2)</f>
        <v/>
      </c>
      <c r="G115" s="35" t="n"/>
      <c r="H115" s="35" t="n"/>
    </row>
    <row r="116" ht="15" customHeight="1" s="28">
      <c r="A116" s="44" t="inlineStr">
        <is>
          <t>Numerator  =  [ Σ aᵢ · Diff ]²</t>
        </is>
      </c>
      <c r="B116" s="35" t="n"/>
      <c r="C116" s="35" t="n"/>
      <c r="D116" s="35" t="n"/>
      <c r="E116" s="35" t="n"/>
      <c r="F116" s="46">
        <f>(SUM(F79:F110))^2</f>
        <v/>
      </c>
      <c r="G116" s="35" t="n"/>
      <c r="H116" s="35" t="n"/>
    </row>
    <row r="117" ht="15" customHeight="1" s="28">
      <c r="A117" s="44" t="inlineStr">
        <is>
          <t>W  (approx. coefficients)</t>
        </is>
      </c>
      <c r="B117" s="35" t="n"/>
      <c r="C117" s="35" t="n"/>
      <c r="D117" s="35" t="n"/>
      <c r="E117" s="35" t="n"/>
      <c r="F117" s="47">
        <f>F116/F115</f>
        <v/>
      </c>
      <c r="G117" s="35" t="n"/>
      <c r="H117" s="35" t="n"/>
    </row>
    <row r="118" ht="15" customHeight="1" s="28">
      <c r="A118" s="44" t="inlineStr">
        <is>
          <t>W  (exact — Royston 1992 / scipy)</t>
        </is>
      </c>
      <c r="B118" s="35" t="n"/>
      <c r="C118" s="35" t="n"/>
      <c r="D118" s="35" t="n"/>
      <c r="E118" s="35" t="n"/>
      <c r="F118" s="47" t="n">
        <v>0.8790249999999999</v>
      </c>
      <c r="G118" s="35" t="n"/>
      <c r="H118" s="35" t="n"/>
    </row>
    <row r="119" ht="15" customHeight="1" s="28">
      <c r="A119" s="44" t="inlineStr">
        <is>
          <t>p-value  (scipy exact)</t>
        </is>
      </c>
      <c r="B119" s="35" t="n"/>
      <c r="C119" s="35" t="n"/>
      <c r="D119" s="35" t="n"/>
      <c r="E119" s="35" t="n"/>
      <c r="F119" s="48" t="n">
        <v>1.234e-05</v>
      </c>
      <c r="G119" s="35" t="n"/>
      <c r="H119" s="35" t="n"/>
    </row>
    <row r="120" ht="15" customHeight="1" s="28">
      <c r="A120" s="44" t="inlineStr">
        <is>
          <t>α  (significance level)</t>
        </is>
      </c>
      <c r="B120" s="35" t="n"/>
      <c r="C120" s="35" t="n"/>
      <c r="D120" s="35" t="n"/>
      <c r="E120" s="35" t="n"/>
      <c r="F120" s="49" t="n">
        <v>0.05</v>
      </c>
      <c r="G120" s="35" t="n"/>
      <c r="H120" s="35" t="n"/>
    </row>
    <row r="121" ht="21.75" customHeight="1" s="28">
      <c r="A121" s="50" t="inlineStr">
        <is>
          <t>DECISION:  p-value (1.2e-05) &lt; α (0.05)  ⟹  REJECT H₀  →  Residuals are NOT normally distributed  [W = 0.879 | Strong evidence of non-normality]</t>
        </is>
      </c>
    </row>
    <row r="122" ht="21.75" customHeight="1" s="28">
      <c r="A122" s="51" t="inlineStr">
        <is>
          <t>* aᵢ approximated via normalised expected order statistics of N(0,1) [Blom 1958 position formula]. Exact Royston (1992) coefficients give W = 0.8790 (shown above) — same decision either way.</t>
        </is>
      </c>
    </row>
  </sheetData>
  <mergeCells count="30">
    <mergeCell ref="A9:H9"/>
    <mergeCell ref="F113:H113"/>
    <mergeCell ref="A114:E114"/>
    <mergeCell ref="A77:H77"/>
    <mergeCell ref="F114:H114"/>
    <mergeCell ref="B6:H6"/>
    <mergeCell ref="A1:H1"/>
    <mergeCell ref="A119:E119"/>
    <mergeCell ref="B5:H5"/>
    <mergeCell ref="F115:H115"/>
    <mergeCell ref="B4:H4"/>
    <mergeCell ref="A118:E118"/>
    <mergeCell ref="B7:H7"/>
    <mergeCell ref="B3:H3"/>
    <mergeCell ref="G78:H78"/>
    <mergeCell ref="A120:E120"/>
    <mergeCell ref="F117:H117"/>
    <mergeCell ref="F120:H120"/>
    <mergeCell ref="A113:E113"/>
    <mergeCell ref="A116:E116"/>
    <mergeCell ref="B2:H2"/>
    <mergeCell ref="F119:H119"/>
    <mergeCell ref="F116:H116"/>
    <mergeCell ref="F10:H10"/>
    <mergeCell ref="A122:H122"/>
    <mergeCell ref="F118:H118"/>
    <mergeCell ref="A121:H121"/>
    <mergeCell ref="A112:H112"/>
    <mergeCell ref="A115:E115"/>
    <mergeCell ref="A117:E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7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9" min="1" max="1"/>
    <col width="10" customWidth="1" style="29" min="2" max="2"/>
    <col width="12" customWidth="1" style="29" min="3" max="3"/>
    <col width="14" customWidth="1" style="29" min="4" max="5"/>
    <col width="16" customWidth="1" style="29" min="6" max="8"/>
    <col width="6" customWidth="1" style="29" min="9" max="9"/>
  </cols>
  <sheetData>
    <row r="1" ht="25.5" customHeight="1" s="28">
      <c r="A1" s="30" t="inlineStr">
        <is>
          <t>JARQUE-BERA NORMALITY TEST  |  MODEL B  |  n = 741</t>
        </is>
      </c>
    </row>
    <row r="2" ht="15.75" customHeight="1" s="28">
      <c r="A2" s="31" t="inlineStr">
        <is>
          <t>H₀:</t>
        </is>
      </c>
      <c r="B2" s="32" t="inlineStr">
        <is>
          <t>Residuals are normally distributed (Skewness=0 and Kurtosis=3)</t>
        </is>
      </c>
    </row>
    <row r="3" ht="15.75" customHeight="1" s="28">
      <c r="A3" s="31" t="inlineStr">
        <is>
          <t>PURPOSE:</t>
        </is>
      </c>
      <c r="B3" s="32" t="inlineStr">
        <is>
          <t>Combines Skewness and Excess Kurtosis into one χ²(2) statistic.  Industry standard for large-sample financial / econometric data (n &gt; 200).</t>
        </is>
      </c>
    </row>
    <row r="4" ht="15.75" customHeight="1" s="28">
      <c r="A4" s="31" t="inlineStr">
        <is>
          <t>FORMULA:</t>
        </is>
      </c>
      <c r="B4" s="32" t="inlineStr">
        <is>
          <t>JB  =  (n / 6) · [ S²  +  (K − 3)² / 4 ]</t>
        </is>
      </c>
    </row>
    <row r="5" ht="15.75" customHeight="1" s="28">
      <c r="A5" s="31" t="inlineStr">
        <is>
          <t>Skewness:</t>
        </is>
      </c>
      <c r="B5" s="32" t="inlineStr">
        <is>
          <t>S  =  [n⁻¹ · Σ(eᵢ − ē)³]  /  [n⁻¹ · Σ(eᵢ − ē)²]^(3/2)   — measures asymmetry of the distribution</t>
        </is>
      </c>
    </row>
    <row r="6" ht="15.75" customHeight="1" s="28">
      <c r="A6" s="31" t="inlineStr">
        <is>
          <t>Kurtosis:</t>
        </is>
      </c>
      <c r="B6" s="32" t="inlineStr">
        <is>
          <t>K  =  [n⁻¹ · Σ(eᵢ − ē)⁴]  /  [n⁻¹ · Σ(eᵢ − ē)²]²   — measures tail-heaviness; normal distribution has K = 3</t>
        </is>
      </c>
    </row>
    <row r="7" ht="15.75" customHeight="1" s="28">
      <c r="A7" s="31" t="inlineStr">
        <is>
          <t>p-value:</t>
        </is>
      </c>
      <c r="B7" s="32" t="inlineStr">
        <is>
          <t>CHISQ.DIST.RT(JB, 2)   [2 degrees of freedom]</t>
        </is>
      </c>
    </row>
    <row r="8" ht="15.75" customHeight="1" s="28">
      <c r="A8" s="31" t="inlineStr">
        <is>
          <t>REGRESSION:</t>
        </is>
      </c>
      <c r="B8" s="32" t="inlineStr">
        <is>
          <t>close = β₀ + β₁·bar_index + ε   β₀ = 4541.1387   β₁ = 0.225904   [blue = hardcoded inputs]</t>
        </is>
      </c>
    </row>
    <row r="9" ht="15.75" customHeight="1" s="28">
      <c r="A9" s="31" t="inlineStr">
        <is>
          <t>DECISION:</t>
        </is>
      </c>
      <c r="B9" s="32" t="inlineStr">
        <is>
          <t>Reject H₀ if  p-value &lt; α = 0.05</t>
        </is>
      </c>
    </row>
    <row r="11" ht="18" customHeight="1" s="28">
      <c r="A11" s="33" t="inlineStr">
        <is>
          <t>STEP 1 — OLS Residuals &amp; Moment Columns  (ŷᵢ = 4541.1387 + 0.225904 · bar_idx)</t>
        </is>
      </c>
    </row>
    <row r="12" ht="31.5" customHeight="1" s="28">
      <c r="A12" s="34" t="inlineStr">
        <is>
          <t>i</t>
        </is>
      </c>
      <c r="B12" s="34" t="inlineStr">
        <is>
          <t>Bar Index</t>
        </is>
      </c>
      <c r="C12" s="34" t="inlineStr">
        <is>
          <t>Close</t>
        </is>
      </c>
      <c r="D12" s="34" t="inlineStr">
        <is>
          <t>OLS Fitted ŷᵢ</t>
        </is>
      </c>
      <c r="E12" s="34" t="inlineStr">
        <is>
          <t>Residual eᵢ</t>
        </is>
      </c>
      <c r="F12" s="34" t="inlineStr">
        <is>
          <t>(eᵢ−ē)²</t>
        </is>
      </c>
      <c r="G12" s="34" t="inlineStr">
        <is>
          <t>(eᵢ−ē)³</t>
        </is>
      </c>
      <c r="H12" s="34" t="inlineStr">
        <is>
          <t>(eᵢ−ē)⁴</t>
        </is>
      </c>
      <c r="I12" s="34" t="n"/>
    </row>
    <row r="13" ht="15" customHeight="1" s="28">
      <c r="A13" s="37" t="n">
        <v>1</v>
      </c>
      <c r="B13" s="37" t="n">
        <v>0</v>
      </c>
      <c r="C13" s="38" t="n">
        <v>4595.7</v>
      </c>
      <c r="D13" s="38">
        <f>4541.138727+0.225904*B13</f>
        <v/>
      </c>
      <c r="E13" s="39">
        <f>C13-D13</f>
        <v/>
      </c>
      <c r="F13" s="39">
        <f>(E13-F757)^2</f>
        <v/>
      </c>
      <c r="G13" s="38">
        <f>(E13-F757)^3</f>
        <v/>
      </c>
      <c r="H13" s="38">
        <f>(E13-F757)^4</f>
        <v/>
      </c>
      <c r="I13" s="37" t="n"/>
    </row>
    <row r="14" ht="15" customHeight="1" s="28">
      <c r="A14" s="40" t="n">
        <v>2</v>
      </c>
      <c r="B14" s="40" t="n">
        <v>1</v>
      </c>
      <c r="C14" s="41" t="n">
        <v>4597.28</v>
      </c>
      <c r="D14" s="41">
        <f>4541.138727+0.225904*B14</f>
        <v/>
      </c>
      <c r="E14" s="42">
        <f>C14-D14</f>
        <v/>
      </c>
      <c r="F14" s="42">
        <f>(E14-F757)^2</f>
        <v/>
      </c>
      <c r="G14" s="41">
        <f>(E14-F757)^3</f>
        <v/>
      </c>
      <c r="H14" s="41">
        <f>(E14-F757)^4</f>
        <v/>
      </c>
      <c r="I14" s="40" t="n"/>
    </row>
    <row r="15" ht="15" customHeight="1" s="28">
      <c r="A15" s="37" t="n">
        <v>3</v>
      </c>
      <c r="B15" s="37" t="n">
        <v>2</v>
      </c>
      <c r="C15" s="38" t="n">
        <v>4592.85</v>
      </c>
      <c r="D15" s="38">
        <f>4541.138727+0.225904*B15</f>
        <v/>
      </c>
      <c r="E15" s="39">
        <f>C15-D15</f>
        <v/>
      </c>
      <c r="F15" s="39">
        <f>(E15-F757)^2</f>
        <v/>
      </c>
      <c r="G15" s="38">
        <f>(E15-F757)^3</f>
        <v/>
      </c>
      <c r="H15" s="38">
        <f>(E15-F757)^4</f>
        <v/>
      </c>
      <c r="I15" s="37" t="n"/>
    </row>
    <row r="16" ht="15" customHeight="1" s="28">
      <c r="A16" s="40" t="n">
        <v>4</v>
      </c>
      <c r="B16" s="40" t="n">
        <v>3</v>
      </c>
      <c r="C16" s="41" t="n">
        <v>4593.44</v>
      </c>
      <c r="D16" s="41">
        <f>4541.138727+0.225904*B16</f>
        <v/>
      </c>
      <c r="E16" s="42">
        <f>C16-D16</f>
        <v/>
      </c>
      <c r="F16" s="42">
        <f>(E16-F757)^2</f>
        <v/>
      </c>
      <c r="G16" s="41">
        <f>(E16-F757)^3</f>
        <v/>
      </c>
      <c r="H16" s="41">
        <f>(E16-F757)^4</f>
        <v/>
      </c>
      <c r="I16" s="40" t="n"/>
    </row>
    <row r="17" ht="15" customHeight="1" s="28">
      <c r="A17" s="37" t="n">
        <v>5</v>
      </c>
      <c r="B17" s="37" t="n">
        <v>4</v>
      </c>
      <c r="C17" s="38" t="n">
        <v>4597.18</v>
      </c>
      <c r="D17" s="38">
        <f>4541.138727+0.225904*B17</f>
        <v/>
      </c>
      <c r="E17" s="39">
        <f>C17-D17</f>
        <v/>
      </c>
      <c r="F17" s="39">
        <f>(E17-F757)^2</f>
        <v/>
      </c>
      <c r="G17" s="38">
        <f>(E17-F757)^3</f>
        <v/>
      </c>
      <c r="H17" s="38">
        <f>(E17-F757)^4</f>
        <v/>
      </c>
      <c r="I17" s="37" t="n"/>
    </row>
    <row r="18" ht="15" customHeight="1" s="28">
      <c r="A18" s="40" t="n">
        <v>6</v>
      </c>
      <c r="B18" s="40" t="n">
        <v>5</v>
      </c>
      <c r="C18" s="41" t="n">
        <v>4596.42</v>
      </c>
      <c r="D18" s="41">
        <f>4541.138727+0.225904*B18</f>
        <v/>
      </c>
      <c r="E18" s="42">
        <f>C18-D18</f>
        <v/>
      </c>
      <c r="F18" s="42">
        <f>(E18-F757)^2</f>
        <v/>
      </c>
      <c r="G18" s="41">
        <f>(E18-F757)^3</f>
        <v/>
      </c>
      <c r="H18" s="41">
        <f>(E18-F757)^4</f>
        <v/>
      </c>
      <c r="I18" s="40" t="n"/>
    </row>
    <row r="19" ht="15" customHeight="1" s="28">
      <c r="A19" s="37" t="n">
        <v>7</v>
      </c>
      <c r="B19" s="37" t="n">
        <v>6</v>
      </c>
      <c r="C19" s="38" t="n">
        <v>4595.82</v>
      </c>
      <c r="D19" s="38">
        <f>4541.138727+0.225904*B19</f>
        <v/>
      </c>
      <c r="E19" s="39">
        <f>C19-D19</f>
        <v/>
      </c>
      <c r="F19" s="39">
        <f>(E19-F757)^2</f>
        <v/>
      </c>
      <c r="G19" s="38">
        <f>(E19-F757)^3</f>
        <v/>
      </c>
      <c r="H19" s="38">
        <f>(E19-F757)^4</f>
        <v/>
      </c>
      <c r="I19" s="37" t="n"/>
    </row>
    <row r="20" ht="15" customHeight="1" s="28">
      <c r="A20" s="40" t="n">
        <v>8</v>
      </c>
      <c r="B20" s="40" t="n">
        <v>7</v>
      </c>
      <c r="C20" s="41" t="n">
        <v>4593.71</v>
      </c>
      <c r="D20" s="41">
        <f>4541.138727+0.225904*B20</f>
        <v/>
      </c>
      <c r="E20" s="42">
        <f>C20-D20</f>
        <v/>
      </c>
      <c r="F20" s="42">
        <f>(E20-F757)^2</f>
        <v/>
      </c>
      <c r="G20" s="41">
        <f>(E20-F757)^3</f>
        <v/>
      </c>
      <c r="H20" s="41">
        <f>(E20-F757)^4</f>
        <v/>
      </c>
      <c r="I20" s="40" t="n"/>
    </row>
    <row r="21" ht="15" customHeight="1" s="28">
      <c r="A21" s="37" t="n">
        <v>9</v>
      </c>
      <c r="B21" s="37" t="n">
        <v>8</v>
      </c>
      <c r="C21" s="38" t="n">
        <v>4594.16</v>
      </c>
      <c r="D21" s="38">
        <f>4541.138727+0.225904*B21</f>
        <v/>
      </c>
      <c r="E21" s="39">
        <f>C21-D21</f>
        <v/>
      </c>
      <c r="F21" s="39">
        <f>(E21-F757)^2</f>
        <v/>
      </c>
      <c r="G21" s="38">
        <f>(E21-F757)^3</f>
        <v/>
      </c>
      <c r="H21" s="38">
        <f>(E21-F757)^4</f>
        <v/>
      </c>
      <c r="I21" s="37" t="n"/>
    </row>
    <row r="22" ht="15" customHeight="1" s="28">
      <c r="A22" s="40" t="n">
        <v>10</v>
      </c>
      <c r="B22" s="40" t="n">
        <v>9</v>
      </c>
      <c r="C22" s="41" t="n">
        <v>4590.84</v>
      </c>
      <c r="D22" s="41">
        <f>4541.138727+0.225904*B22</f>
        <v/>
      </c>
      <c r="E22" s="42">
        <f>C22-D22</f>
        <v/>
      </c>
      <c r="F22" s="42">
        <f>(E22-F757)^2</f>
        <v/>
      </c>
      <c r="G22" s="41">
        <f>(E22-F757)^3</f>
        <v/>
      </c>
      <c r="H22" s="41">
        <f>(E22-F757)^4</f>
        <v/>
      </c>
      <c r="I22" s="40" t="n"/>
    </row>
    <row r="23" ht="15" customHeight="1" s="28">
      <c r="A23" s="37" t="n">
        <v>11</v>
      </c>
      <c r="B23" s="37" t="n">
        <v>10</v>
      </c>
      <c r="C23" s="38" t="n">
        <v>4592.2</v>
      </c>
      <c r="D23" s="38">
        <f>4541.138727+0.225904*B23</f>
        <v/>
      </c>
      <c r="E23" s="39">
        <f>C23-D23</f>
        <v/>
      </c>
      <c r="F23" s="39">
        <f>(E23-F757)^2</f>
        <v/>
      </c>
      <c r="G23" s="38">
        <f>(E23-F757)^3</f>
        <v/>
      </c>
      <c r="H23" s="38">
        <f>(E23-F757)^4</f>
        <v/>
      </c>
      <c r="I23" s="37" t="n"/>
    </row>
    <row r="24" ht="15" customHeight="1" s="28">
      <c r="A24" s="40" t="n">
        <v>12</v>
      </c>
      <c r="B24" s="40" t="n">
        <v>11</v>
      </c>
      <c r="C24" s="41" t="n">
        <v>4589.91</v>
      </c>
      <c r="D24" s="41">
        <f>4541.138727+0.225904*B24</f>
        <v/>
      </c>
      <c r="E24" s="42">
        <f>C24-D24</f>
        <v/>
      </c>
      <c r="F24" s="42">
        <f>(E24-F757)^2</f>
        <v/>
      </c>
      <c r="G24" s="41">
        <f>(E24-F757)^3</f>
        <v/>
      </c>
      <c r="H24" s="41">
        <f>(E24-F757)^4</f>
        <v/>
      </c>
      <c r="I24" s="40" t="n"/>
    </row>
    <row r="25" ht="15" customHeight="1" s="28">
      <c r="A25" s="37" t="n">
        <v>13</v>
      </c>
      <c r="B25" s="37" t="n">
        <v>12</v>
      </c>
      <c r="C25" s="38" t="n">
        <v>4595.51</v>
      </c>
      <c r="D25" s="38">
        <f>4541.138727+0.225904*B25</f>
        <v/>
      </c>
      <c r="E25" s="39">
        <f>C25-D25</f>
        <v/>
      </c>
      <c r="F25" s="39">
        <f>(E25-F757)^2</f>
        <v/>
      </c>
      <c r="G25" s="38">
        <f>(E25-F757)^3</f>
        <v/>
      </c>
      <c r="H25" s="38">
        <f>(E25-F757)^4</f>
        <v/>
      </c>
      <c r="I25" s="37" t="n"/>
    </row>
    <row r="26" ht="15" customHeight="1" s="28">
      <c r="A26" s="40" t="n">
        <v>14</v>
      </c>
      <c r="B26" s="40" t="n">
        <v>13</v>
      </c>
      <c r="C26" s="41" t="n">
        <v>4607.37</v>
      </c>
      <c r="D26" s="41">
        <f>4541.138727+0.225904*B26</f>
        <v/>
      </c>
      <c r="E26" s="42">
        <f>C26-D26</f>
        <v/>
      </c>
      <c r="F26" s="42">
        <f>(E26-F757)^2</f>
        <v/>
      </c>
      <c r="G26" s="41">
        <f>(E26-F757)^3</f>
        <v/>
      </c>
      <c r="H26" s="41">
        <f>(E26-F757)^4</f>
        <v/>
      </c>
      <c r="I26" s="40" t="n"/>
    </row>
    <row r="27" ht="15" customHeight="1" s="28">
      <c r="A27" s="37" t="n">
        <v>15</v>
      </c>
      <c r="B27" s="37" t="n">
        <v>14</v>
      </c>
      <c r="C27" s="38" t="n">
        <v>4600.13</v>
      </c>
      <c r="D27" s="38">
        <f>4541.138727+0.225904*B27</f>
        <v/>
      </c>
      <c r="E27" s="39">
        <f>C27-D27</f>
        <v/>
      </c>
      <c r="F27" s="39">
        <f>(E27-F757)^2</f>
        <v/>
      </c>
      <c r="G27" s="38">
        <f>(E27-F757)^3</f>
        <v/>
      </c>
      <c r="H27" s="38">
        <f>(E27-F757)^4</f>
        <v/>
      </c>
      <c r="I27" s="37" t="n"/>
    </row>
    <row r="28" ht="15" customHeight="1" s="28">
      <c r="A28" s="40" t="n">
        <v>16</v>
      </c>
      <c r="B28" s="40" t="n">
        <v>15</v>
      </c>
      <c r="C28" s="41" t="n">
        <v>4603.88</v>
      </c>
      <c r="D28" s="41">
        <f>4541.138727+0.225904*B28</f>
        <v/>
      </c>
      <c r="E28" s="42">
        <f>C28-D28</f>
        <v/>
      </c>
      <c r="F28" s="42">
        <f>(E28-F757)^2</f>
        <v/>
      </c>
      <c r="G28" s="41">
        <f>(E28-F757)^3</f>
        <v/>
      </c>
      <c r="H28" s="41">
        <f>(E28-F757)^4</f>
        <v/>
      </c>
      <c r="I28" s="40" t="n"/>
    </row>
    <row r="29" ht="15" customHeight="1" s="28">
      <c r="A29" s="37" t="n">
        <v>17</v>
      </c>
      <c r="B29" s="37" t="n">
        <v>16</v>
      </c>
      <c r="C29" s="38" t="n">
        <v>4600.27</v>
      </c>
      <c r="D29" s="38">
        <f>4541.138727+0.225904*B29</f>
        <v/>
      </c>
      <c r="E29" s="39">
        <f>C29-D29</f>
        <v/>
      </c>
      <c r="F29" s="39">
        <f>(E29-F757)^2</f>
        <v/>
      </c>
      <c r="G29" s="38">
        <f>(E29-F757)^3</f>
        <v/>
      </c>
      <c r="H29" s="38">
        <f>(E29-F757)^4</f>
        <v/>
      </c>
      <c r="I29" s="37" t="n"/>
    </row>
    <row r="30" ht="15" customHeight="1" s="28">
      <c r="A30" s="40" t="n">
        <v>18</v>
      </c>
      <c r="B30" s="40" t="n">
        <v>17</v>
      </c>
      <c r="C30" s="41" t="n">
        <v>4582.65</v>
      </c>
      <c r="D30" s="41">
        <f>4541.138727+0.225904*B30</f>
        <v/>
      </c>
      <c r="E30" s="42">
        <f>C30-D30</f>
        <v/>
      </c>
      <c r="F30" s="42">
        <f>(E30-F757)^2</f>
        <v/>
      </c>
      <c r="G30" s="41">
        <f>(E30-F757)^3</f>
        <v/>
      </c>
      <c r="H30" s="41">
        <f>(E30-F757)^4</f>
        <v/>
      </c>
      <c r="I30" s="40" t="n"/>
    </row>
    <row r="31" ht="15" customHeight="1" s="28">
      <c r="A31" s="37" t="n">
        <v>19</v>
      </c>
      <c r="B31" s="37" t="n">
        <v>18</v>
      </c>
      <c r="C31" s="38" t="n">
        <v>4580.48</v>
      </c>
      <c r="D31" s="38">
        <f>4541.138727+0.225904*B31</f>
        <v/>
      </c>
      <c r="E31" s="39">
        <f>C31-D31</f>
        <v/>
      </c>
      <c r="F31" s="39">
        <f>(E31-F757)^2</f>
        <v/>
      </c>
      <c r="G31" s="38">
        <f>(E31-F757)^3</f>
        <v/>
      </c>
      <c r="H31" s="38">
        <f>(E31-F757)^4</f>
        <v/>
      </c>
      <c r="I31" s="37" t="n"/>
    </row>
    <row r="32" ht="15" customHeight="1" s="28">
      <c r="A32" s="40" t="n">
        <v>20</v>
      </c>
      <c r="B32" s="40" t="n">
        <v>19</v>
      </c>
      <c r="C32" s="41" t="n">
        <v>4590.56</v>
      </c>
      <c r="D32" s="41">
        <f>4541.138727+0.225904*B32</f>
        <v/>
      </c>
      <c r="E32" s="42">
        <f>C32-D32</f>
        <v/>
      </c>
      <c r="F32" s="42">
        <f>(E32-F757)^2</f>
        <v/>
      </c>
      <c r="G32" s="41">
        <f>(E32-F757)^3</f>
        <v/>
      </c>
      <c r="H32" s="41">
        <f>(E32-F757)^4</f>
        <v/>
      </c>
      <c r="I32" s="40" t="n"/>
    </row>
    <row r="33" ht="15" customHeight="1" s="28">
      <c r="A33" s="37" t="n">
        <v>21</v>
      </c>
      <c r="B33" s="37" t="n">
        <v>20</v>
      </c>
      <c r="C33" s="38" t="n">
        <v>4584.98</v>
      </c>
      <c r="D33" s="38">
        <f>4541.138727+0.225904*B33</f>
        <v/>
      </c>
      <c r="E33" s="39">
        <f>C33-D33</f>
        <v/>
      </c>
      <c r="F33" s="39">
        <f>(E33-F757)^2</f>
        <v/>
      </c>
      <c r="G33" s="38">
        <f>(E33-F757)^3</f>
        <v/>
      </c>
      <c r="H33" s="38">
        <f>(E33-F757)^4</f>
        <v/>
      </c>
      <c r="I33" s="37" t="n"/>
    </row>
    <row r="34" ht="15" customHeight="1" s="28">
      <c r="A34" s="40" t="n">
        <v>22</v>
      </c>
      <c r="B34" s="40" t="n">
        <v>21</v>
      </c>
      <c r="C34" s="41" t="n">
        <v>4600.87</v>
      </c>
      <c r="D34" s="41">
        <f>4541.138727+0.225904*B34</f>
        <v/>
      </c>
      <c r="E34" s="42">
        <f>C34-D34</f>
        <v/>
      </c>
      <c r="F34" s="42">
        <f>(E34-F757)^2</f>
        <v/>
      </c>
      <c r="G34" s="41">
        <f>(E34-F757)^3</f>
        <v/>
      </c>
      <c r="H34" s="41">
        <f>(E34-F757)^4</f>
        <v/>
      </c>
      <c r="I34" s="40" t="n"/>
    </row>
    <row r="35" ht="15" customHeight="1" s="28">
      <c r="A35" s="37" t="n">
        <v>23</v>
      </c>
      <c r="B35" s="37" t="n">
        <v>22</v>
      </c>
      <c r="C35" s="38" t="n">
        <v>4598.93</v>
      </c>
      <c r="D35" s="38">
        <f>4541.138727+0.225904*B35</f>
        <v/>
      </c>
      <c r="E35" s="39">
        <f>C35-D35</f>
        <v/>
      </c>
      <c r="F35" s="39">
        <f>(E35-F757)^2</f>
        <v/>
      </c>
      <c r="G35" s="38">
        <f>(E35-F757)^3</f>
        <v/>
      </c>
      <c r="H35" s="38">
        <f>(E35-F757)^4</f>
        <v/>
      </c>
      <c r="I35" s="37" t="n"/>
    </row>
    <row r="36" ht="15" customHeight="1" s="28">
      <c r="A36" s="40" t="n">
        <v>24</v>
      </c>
      <c r="B36" s="40" t="n">
        <v>23</v>
      </c>
      <c r="C36" s="41" t="n">
        <v>4596.92</v>
      </c>
      <c r="D36" s="41">
        <f>4541.138727+0.225904*B36</f>
        <v/>
      </c>
      <c r="E36" s="42">
        <f>C36-D36</f>
        <v/>
      </c>
      <c r="F36" s="42">
        <f>(E36-F757)^2</f>
        <v/>
      </c>
      <c r="G36" s="41">
        <f>(E36-F757)^3</f>
        <v/>
      </c>
      <c r="H36" s="41">
        <f>(E36-F757)^4</f>
        <v/>
      </c>
      <c r="I36" s="40" t="n"/>
    </row>
    <row r="37" ht="15" customHeight="1" s="28">
      <c r="A37" s="37" t="n">
        <v>25</v>
      </c>
      <c r="B37" s="37" t="n">
        <v>24</v>
      </c>
      <c r="C37" s="38" t="n">
        <v>4593.75</v>
      </c>
      <c r="D37" s="38">
        <f>4541.138727+0.225904*B37</f>
        <v/>
      </c>
      <c r="E37" s="39">
        <f>C37-D37</f>
        <v/>
      </c>
      <c r="F37" s="39">
        <f>(E37-F757)^2</f>
        <v/>
      </c>
      <c r="G37" s="38">
        <f>(E37-F757)^3</f>
        <v/>
      </c>
      <c r="H37" s="38">
        <f>(E37-F757)^4</f>
        <v/>
      </c>
      <c r="I37" s="37" t="n"/>
    </row>
    <row r="38" ht="15" customHeight="1" s="28">
      <c r="A38" s="40" t="n">
        <v>26</v>
      </c>
      <c r="B38" s="40" t="n">
        <v>25</v>
      </c>
      <c r="C38" s="41" t="n">
        <v>4601.89</v>
      </c>
      <c r="D38" s="41">
        <f>4541.138727+0.225904*B38</f>
        <v/>
      </c>
      <c r="E38" s="42">
        <f>C38-D38</f>
        <v/>
      </c>
      <c r="F38" s="42">
        <f>(E38-F757)^2</f>
        <v/>
      </c>
      <c r="G38" s="41">
        <f>(E38-F757)^3</f>
        <v/>
      </c>
      <c r="H38" s="41">
        <f>(E38-F757)^4</f>
        <v/>
      </c>
      <c r="I38" s="40" t="n"/>
    </row>
    <row r="39" ht="15" customHeight="1" s="28">
      <c r="A39" s="37" t="n">
        <v>27</v>
      </c>
      <c r="B39" s="37" t="n">
        <v>26</v>
      </c>
      <c r="C39" s="38" t="n">
        <v>4598.67</v>
      </c>
      <c r="D39" s="38">
        <f>4541.138727+0.225904*B39</f>
        <v/>
      </c>
      <c r="E39" s="39">
        <f>C39-D39</f>
        <v/>
      </c>
      <c r="F39" s="39">
        <f>(E39-F757)^2</f>
        <v/>
      </c>
      <c r="G39" s="38">
        <f>(E39-F757)^3</f>
        <v/>
      </c>
      <c r="H39" s="38">
        <f>(E39-F757)^4</f>
        <v/>
      </c>
      <c r="I39" s="37" t="n"/>
    </row>
    <row r="40" ht="15" customHeight="1" s="28">
      <c r="A40" s="40" t="n">
        <v>28</v>
      </c>
      <c r="B40" s="40" t="n">
        <v>27</v>
      </c>
      <c r="C40" s="41" t="n">
        <v>4593.91</v>
      </c>
      <c r="D40" s="41">
        <f>4541.138727+0.225904*B40</f>
        <v/>
      </c>
      <c r="E40" s="42">
        <f>C40-D40</f>
        <v/>
      </c>
      <c r="F40" s="42">
        <f>(E40-F757)^2</f>
        <v/>
      </c>
      <c r="G40" s="41">
        <f>(E40-F757)^3</f>
        <v/>
      </c>
      <c r="H40" s="41">
        <f>(E40-F757)^4</f>
        <v/>
      </c>
      <c r="I40" s="40" t="n"/>
    </row>
    <row r="41" ht="15" customHeight="1" s="28">
      <c r="A41" s="37" t="n">
        <v>29</v>
      </c>
      <c r="B41" s="37" t="n">
        <v>28</v>
      </c>
      <c r="C41" s="38" t="n">
        <v>4595.48</v>
      </c>
      <c r="D41" s="38">
        <f>4541.138727+0.225904*B41</f>
        <v/>
      </c>
      <c r="E41" s="39">
        <f>C41-D41</f>
        <v/>
      </c>
      <c r="F41" s="39">
        <f>(E41-F757)^2</f>
        <v/>
      </c>
      <c r="G41" s="38">
        <f>(E41-F757)^3</f>
        <v/>
      </c>
      <c r="H41" s="38">
        <f>(E41-F757)^4</f>
        <v/>
      </c>
      <c r="I41" s="37" t="n"/>
    </row>
    <row r="42" ht="15" customHeight="1" s="28">
      <c r="A42" s="40" t="n">
        <v>30</v>
      </c>
      <c r="B42" s="40" t="n">
        <v>29</v>
      </c>
      <c r="C42" s="41" t="n">
        <v>4600.68</v>
      </c>
      <c r="D42" s="41">
        <f>4541.138727+0.225904*B42</f>
        <v/>
      </c>
      <c r="E42" s="42">
        <f>C42-D42</f>
        <v/>
      </c>
      <c r="F42" s="42">
        <f>(E42-F757)^2</f>
        <v/>
      </c>
      <c r="G42" s="41">
        <f>(E42-F757)^3</f>
        <v/>
      </c>
      <c r="H42" s="41">
        <f>(E42-F757)^4</f>
        <v/>
      </c>
      <c r="I42" s="40" t="n"/>
    </row>
    <row r="43" ht="15" customHeight="1" s="28">
      <c r="A43" s="37" t="n">
        <v>31</v>
      </c>
      <c r="B43" s="37" t="n">
        <v>30</v>
      </c>
      <c r="C43" s="38" t="n">
        <v>4601.86</v>
      </c>
      <c r="D43" s="38">
        <f>4541.138727+0.225904*B43</f>
        <v/>
      </c>
      <c r="E43" s="39">
        <f>C43-D43</f>
        <v/>
      </c>
      <c r="F43" s="39">
        <f>(E43-F757)^2</f>
        <v/>
      </c>
      <c r="G43" s="38">
        <f>(E43-F757)^3</f>
        <v/>
      </c>
      <c r="H43" s="38">
        <f>(E43-F757)^4</f>
        <v/>
      </c>
      <c r="I43" s="37" t="n"/>
    </row>
    <row r="44" ht="15" customHeight="1" s="28">
      <c r="A44" s="40" t="n">
        <v>32</v>
      </c>
      <c r="B44" s="40" t="n">
        <v>31</v>
      </c>
      <c r="C44" s="41" t="n">
        <v>4602.15</v>
      </c>
      <c r="D44" s="41">
        <f>4541.138727+0.225904*B44</f>
        <v/>
      </c>
      <c r="E44" s="42">
        <f>C44-D44</f>
        <v/>
      </c>
      <c r="F44" s="42">
        <f>(E44-F757)^2</f>
        <v/>
      </c>
      <c r="G44" s="41">
        <f>(E44-F757)^3</f>
        <v/>
      </c>
      <c r="H44" s="41">
        <f>(E44-F757)^4</f>
        <v/>
      </c>
      <c r="I44" s="40" t="n"/>
    </row>
    <row r="45" ht="15" customHeight="1" s="28">
      <c r="A45" s="37" t="n">
        <v>33</v>
      </c>
      <c r="B45" s="37" t="n">
        <v>32</v>
      </c>
      <c r="C45" s="38" t="n">
        <v>4604.85</v>
      </c>
      <c r="D45" s="38">
        <f>4541.138727+0.225904*B45</f>
        <v/>
      </c>
      <c r="E45" s="39">
        <f>C45-D45</f>
        <v/>
      </c>
      <c r="F45" s="39">
        <f>(E45-F757)^2</f>
        <v/>
      </c>
      <c r="G45" s="38">
        <f>(E45-F757)^3</f>
        <v/>
      </c>
      <c r="H45" s="38">
        <f>(E45-F757)^4</f>
        <v/>
      </c>
      <c r="I45" s="37" t="n"/>
    </row>
    <row r="46" ht="15" customHeight="1" s="28">
      <c r="A46" s="40" t="n">
        <v>34</v>
      </c>
      <c r="B46" s="40" t="n">
        <v>33</v>
      </c>
      <c r="C46" s="41" t="n">
        <v>4601.15</v>
      </c>
      <c r="D46" s="41">
        <f>4541.138727+0.225904*B46</f>
        <v/>
      </c>
      <c r="E46" s="42">
        <f>C46-D46</f>
        <v/>
      </c>
      <c r="F46" s="42">
        <f>(E46-F757)^2</f>
        <v/>
      </c>
      <c r="G46" s="41">
        <f>(E46-F757)^3</f>
        <v/>
      </c>
      <c r="H46" s="41">
        <f>(E46-F757)^4</f>
        <v/>
      </c>
      <c r="I46" s="40" t="n"/>
    </row>
    <row r="47" ht="15" customHeight="1" s="28">
      <c r="A47" s="37" t="n">
        <v>35</v>
      </c>
      <c r="B47" s="37" t="n">
        <v>34</v>
      </c>
      <c r="C47" s="38" t="n">
        <v>4600.72</v>
      </c>
      <c r="D47" s="38">
        <f>4541.138727+0.225904*B47</f>
        <v/>
      </c>
      <c r="E47" s="39">
        <f>C47-D47</f>
        <v/>
      </c>
      <c r="F47" s="39">
        <f>(E47-F757)^2</f>
        <v/>
      </c>
      <c r="G47" s="38">
        <f>(E47-F757)^3</f>
        <v/>
      </c>
      <c r="H47" s="38">
        <f>(E47-F757)^4</f>
        <v/>
      </c>
      <c r="I47" s="37" t="n"/>
    </row>
    <row r="48" ht="15" customHeight="1" s="28">
      <c r="A48" s="40" t="n">
        <v>36</v>
      </c>
      <c r="B48" s="40" t="n">
        <v>35</v>
      </c>
      <c r="C48" s="41" t="n">
        <v>4599.05</v>
      </c>
      <c r="D48" s="41">
        <f>4541.138727+0.225904*B48</f>
        <v/>
      </c>
      <c r="E48" s="42">
        <f>C48-D48</f>
        <v/>
      </c>
      <c r="F48" s="42">
        <f>(E48-F757)^2</f>
        <v/>
      </c>
      <c r="G48" s="41">
        <f>(E48-F757)^3</f>
        <v/>
      </c>
      <c r="H48" s="41">
        <f>(E48-F757)^4</f>
        <v/>
      </c>
      <c r="I48" s="40" t="n"/>
    </row>
    <row r="49" ht="15" customHeight="1" s="28">
      <c r="A49" s="37" t="n">
        <v>37</v>
      </c>
      <c r="B49" s="37" t="n">
        <v>36</v>
      </c>
      <c r="C49" s="38" t="n">
        <v>4590.9</v>
      </c>
      <c r="D49" s="38">
        <f>4541.138727+0.225904*B49</f>
        <v/>
      </c>
      <c r="E49" s="39">
        <f>C49-D49</f>
        <v/>
      </c>
      <c r="F49" s="39">
        <f>(E49-F757)^2</f>
        <v/>
      </c>
      <c r="G49" s="38">
        <f>(E49-F757)^3</f>
        <v/>
      </c>
      <c r="H49" s="38">
        <f>(E49-F757)^4</f>
        <v/>
      </c>
      <c r="I49" s="37" t="n"/>
    </row>
    <row r="50" ht="15" customHeight="1" s="28">
      <c r="A50" s="40" t="n">
        <v>38</v>
      </c>
      <c r="B50" s="40" t="n">
        <v>37</v>
      </c>
      <c r="C50" s="41" t="n">
        <v>4588.73</v>
      </c>
      <c r="D50" s="41">
        <f>4541.138727+0.225904*B50</f>
        <v/>
      </c>
      <c r="E50" s="42">
        <f>C50-D50</f>
        <v/>
      </c>
      <c r="F50" s="42">
        <f>(E50-F757)^2</f>
        <v/>
      </c>
      <c r="G50" s="41">
        <f>(E50-F757)^3</f>
        <v/>
      </c>
      <c r="H50" s="41">
        <f>(E50-F757)^4</f>
        <v/>
      </c>
      <c r="I50" s="40" t="n"/>
    </row>
    <row r="51" ht="15" customHeight="1" s="28">
      <c r="A51" s="37" t="n">
        <v>39</v>
      </c>
      <c r="B51" s="37" t="n">
        <v>38</v>
      </c>
      <c r="C51" s="38" t="n">
        <v>4585.04</v>
      </c>
      <c r="D51" s="38">
        <f>4541.138727+0.225904*B51</f>
        <v/>
      </c>
      <c r="E51" s="39">
        <f>C51-D51</f>
        <v/>
      </c>
      <c r="F51" s="39">
        <f>(E51-F757)^2</f>
        <v/>
      </c>
      <c r="G51" s="38">
        <f>(E51-F757)^3</f>
        <v/>
      </c>
      <c r="H51" s="38">
        <f>(E51-F757)^4</f>
        <v/>
      </c>
      <c r="I51" s="37" t="n"/>
    </row>
    <row r="52" ht="15" customHeight="1" s="28">
      <c r="A52" s="40" t="n">
        <v>40</v>
      </c>
      <c r="B52" s="40" t="n">
        <v>39</v>
      </c>
      <c r="C52" s="41" t="n">
        <v>4585.03</v>
      </c>
      <c r="D52" s="41">
        <f>4541.138727+0.225904*B52</f>
        <v/>
      </c>
      <c r="E52" s="42">
        <f>C52-D52</f>
        <v/>
      </c>
      <c r="F52" s="42">
        <f>(E52-F757)^2</f>
        <v/>
      </c>
      <c r="G52" s="41">
        <f>(E52-F757)^3</f>
        <v/>
      </c>
      <c r="H52" s="41">
        <f>(E52-F757)^4</f>
        <v/>
      </c>
      <c r="I52" s="40" t="n"/>
    </row>
    <row r="53" ht="15" customHeight="1" s="28">
      <c r="A53" s="37" t="n">
        <v>41</v>
      </c>
      <c r="B53" s="37" t="n">
        <v>40</v>
      </c>
      <c r="C53" s="38" t="n">
        <v>4584.52</v>
      </c>
      <c r="D53" s="38">
        <f>4541.138727+0.225904*B53</f>
        <v/>
      </c>
      <c r="E53" s="39">
        <f>C53-D53</f>
        <v/>
      </c>
      <c r="F53" s="39">
        <f>(E53-F757)^2</f>
        <v/>
      </c>
      <c r="G53" s="38">
        <f>(E53-F757)^3</f>
        <v/>
      </c>
      <c r="H53" s="38">
        <f>(E53-F757)^4</f>
        <v/>
      </c>
      <c r="I53" s="37" t="n"/>
    </row>
    <row r="54" ht="15" customHeight="1" s="28">
      <c r="A54" s="40" t="n">
        <v>42</v>
      </c>
      <c r="B54" s="40" t="n">
        <v>41</v>
      </c>
      <c r="C54" s="41" t="n">
        <v>4578.72</v>
      </c>
      <c r="D54" s="41">
        <f>4541.138727+0.225904*B54</f>
        <v/>
      </c>
      <c r="E54" s="42">
        <f>C54-D54</f>
        <v/>
      </c>
      <c r="F54" s="42">
        <f>(E54-F757)^2</f>
        <v/>
      </c>
      <c r="G54" s="41">
        <f>(E54-F757)^3</f>
        <v/>
      </c>
      <c r="H54" s="41">
        <f>(E54-F757)^4</f>
        <v/>
      </c>
      <c r="I54" s="40" t="n"/>
    </row>
    <row r="55" ht="15" customHeight="1" s="28">
      <c r="A55" s="37" t="n">
        <v>43</v>
      </c>
      <c r="B55" s="37" t="n">
        <v>42</v>
      </c>
      <c r="C55" s="38" t="n">
        <v>4575.11</v>
      </c>
      <c r="D55" s="38">
        <f>4541.138727+0.225904*B55</f>
        <v/>
      </c>
      <c r="E55" s="39">
        <f>C55-D55</f>
        <v/>
      </c>
      <c r="F55" s="39">
        <f>(E55-F757)^2</f>
        <v/>
      </c>
      <c r="G55" s="38">
        <f>(E55-F757)^3</f>
        <v/>
      </c>
      <c r="H55" s="38">
        <f>(E55-F757)^4</f>
        <v/>
      </c>
      <c r="I55" s="37" t="n"/>
    </row>
    <row r="56" ht="15" customHeight="1" s="28">
      <c r="A56" s="40" t="n">
        <v>44</v>
      </c>
      <c r="B56" s="40" t="n">
        <v>43</v>
      </c>
      <c r="C56" s="41" t="n">
        <v>4570.56</v>
      </c>
      <c r="D56" s="41">
        <f>4541.138727+0.225904*B56</f>
        <v/>
      </c>
      <c r="E56" s="42">
        <f>C56-D56</f>
        <v/>
      </c>
      <c r="F56" s="42">
        <f>(E56-F757)^2</f>
        <v/>
      </c>
      <c r="G56" s="41">
        <f>(E56-F757)^3</f>
        <v/>
      </c>
      <c r="H56" s="41">
        <f>(E56-F757)^4</f>
        <v/>
      </c>
      <c r="I56" s="40" t="n"/>
    </row>
    <row r="57" ht="15" customHeight="1" s="28">
      <c r="A57" s="37" t="n">
        <v>45</v>
      </c>
      <c r="B57" s="37" t="n">
        <v>44</v>
      </c>
      <c r="C57" s="38" t="n">
        <v>4567.92</v>
      </c>
      <c r="D57" s="38">
        <f>4541.138727+0.225904*B57</f>
        <v/>
      </c>
      <c r="E57" s="39">
        <f>C57-D57</f>
        <v/>
      </c>
      <c r="F57" s="39">
        <f>(E57-F757)^2</f>
        <v/>
      </c>
      <c r="G57" s="38">
        <f>(E57-F757)^3</f>
        <v/>
      </c>
      <c r="H57" s="38">
        <f>(E57-F757)^4</f>
        <v/>
      </c>
      <c r="I57" s="37" t="n"/>
    </row>
    <row r="58" ht="15" customHeight="1" s="28">
      <c r="A58" s="40" t="n">
        <v>46</v>
      </c>
      <c r="B58" s="40" t="n">
        <v>45</v>
      </c>
      <c r="C58" s="41" t="n">
        <v>4565.44</v>
      </c>
      <c r="D58" s="41">
        <f>4541.138727+0.225904*B58</f>
        <v/>
      </c>
      <c r="E58" s="42">
        <f>C58-D58</f>
        <v/>
      </c>
      <c r="F58" s="42">
        <f>(E58-F757)^2</f>
        <v/>
      </c>
      <c r="G58" s="41">
        <f>(E58-F757)^3</f>
        <v/>
      </c>
      <c r="H58" s="41">
        <f>(E58-F757)^4</f>
        <v/>
      </c>
      <c r="I58" s="40" t="n"/>
    </row>
    <row r="59" ht="15" customHeight="1" s="28">
      <c r="A59" s="37" t="n">
        <v>47</v>
      </c>
      <c r="B59" s="37" t="n">
        <v>46</v>
      </c>
      <c r="C59" s="38" t="n">
        <v>4566.65</v>
      </c>
      <c r="D59" s="38">
        <f>4541.138727+0.225904*B59</f>
        <v/>
      </c>
      <c r="E59" s="39">
        <f>C59-D59</f>
        <v/>
      </c>
      <c r="F59" s="39">
        <f>(E59-F757)^2</f>
        <v/>
      </c>
      <c r="G59" s="38">
        <f>(E59-F757)^3</f>
        <v/>
      </c>
      <c r="H59" s="38">
        <f>(E59-F757)^4</f>
        <v/>
      </c>
      <c r="I59" s="37" t="n"/>
    </row>
    <row r="60" ht="15" customHeight="1" s="28">
      <c r="A60" s="40" t="n">
        <v>48</v>
      </c>
      <c r="B60" s="40" t="n">
        <v>47</v>
      </c>
      <c r="C60" s="41" t="n">
        <v>4568.37</v>
      </c>
      <c r="D60" s="41">
        <f>4541.138727+0.225904*B60</f>
        <v/>
      </c>
      <c r="E60" s="42">
        <f>C60-D60</f>
        <v/>
      </c>
      <c r="F60" s="42">
        <f>(E60-F757)^2</f>
        <v/>
      </c>
      <c r="G60" s="41">
        <f>(E60-F757)^3</f>
        <v/>
      </c>
      <c r="H60" s="41">
        <f>(E60-F757)^4</f>
        <v/>
      </c>
      <c r="I60" s="40" t="n"/>
    </row>
    <row r="61" ht="15" customHeight="1" s="28">
      <c r="A61" s="37" t="n">
        <v>49</v>
      </c>
      <c r="B61" s="37" t="n">
        <v>48</v>
      </c>
      <c r="C61" s="38" t="n">
        <v>4573.2</v>
      </c>
      <c r="D61" s="38">
        <f>4541.138727+0.225904*B61</f>
        <v/>
      </c>
      <c r="E61" s="39">
        <f>C61-D61</f>
        <v/>
      </c>
      <c r="F61" s="39">
        <f>(E61-F757)^2</f>
        <v/>
      </c>
      <c r="G61" s="38">
        <f>(E61-F757)^3</f>
        <v/>
      </c>
      <c r="H61" s="38">
        <f>(E61-F757)^4</f>
        <v/>
      </c>
      <c r="I61" s="37" t="n"/>
    </row>
    <row r="62" ht="15" customHeight="1" s="28">
      <c r="A62" s="40" t="n">
        <v>50</v>
      </c>
      <c r="B62" s="40" t="n">
        <v>49</v>
      </c>
      <c r="C62" s="41" t="n">
        <v>4574.2</v>
      </c>
      <c r="D62" s="41">
        <f>4541.138727+0.225904*B62</f>
        <v/>
      </c>
      <c r="E62" s="42">
        <f>C62-D62</f>
        <v/>
      </c>
      <c r="F62" s="42">
        <f>(E62-F757)^2</f>
        <v/>
      </c>
      <c r="G62" s="41">
        <f>(E62-F757)^3</f>
        <v/>
      </c>
      <c r="H62" s="41">
        <f>(E62-F757)^4</f>
        <v/>
      </c>
      <c r="I62" s="40" t="n"/>
    </row>
    <row r="63" ht="15" customHeight="1" s="28">
      <c r="A63" s="37" t="n">
        <v>51</v>
      </c>
      <c r="B63" s="37" t="n">
        <v>50</v>
      </c>
      <c r="C63" s="38" t="n">
        <v>4565.69</v>
      </c>
      <c r="D63" s="38">
        <f>4541.138727+0.225904*B63</f>
        <v/>
      </c>
      <c r="E63" s="39">
        <f>C63-D63</f>
        <v/>
      </c>
      <c r="F63" s="39">
        <f>(E63-F757)^2</f>
        <v/>
      </c>
      <c r="G63" s="38">
        <f>(E63-F757)^3</f>
        <v/>
      </c>
      <c r="H63" s="38">
        <f>(E63-F757)^4</f>
        <v/>
      </c>
      <c r="I63" s="37" t="n"/>
    </row>
    <row r="64" ht="15" customHeight="1" s="28">
      <c r="A64" s="40" t="n">
        <v>52</v>
      </c>
      <c r="B64" s="40" t="n">
        <v>51</v>
      </c>
      <c r="C64" s="41" t="n">
        <v>4558.86</v>
      </c>
      <c r="D64" s="41">
        <f>4541.138727+0.225904*B64</f>
        <v/>
      </c>
      <c r="E64" s="42">
        <f>C64-D64</f>
        <v/>
      </c>
      <c r="F64" s="42">
        <f>(E64-F757)^2</f>
        <v/>
      </c>
      <c r="G64" s="41">
        <f>(E64-F757)^3</f>
        <v/>
      </c>
      <c r="H64" s="41">
        <f>(E64-F757)^4</f>
        <v/>
      </c>
      <c r="I64" s="40" t="n"/>
    </row>
    <row r="65" ht="15" customHeight="1" s="28">
      <c r="A65" s="37" t="n">
        <v>53</v>
      </c>
      <c r="B65" s="37" t="n">
        <v>52</v>
      </c>
      <c r="C65" s="38" t="n">
        <v>4555.94</v>
      </c>
      <c r="D65" s="38">
        <f>4541.138727+0.225904*B65</f>
        <v/>
      </c>
      <c r="E65" s="39">
        <f>C65-D65</f>
        <v/>
      </c>
      <c r="F65" s="39">
        <f>(E65-F757)^2</f>
        <v/>
      </c>
      <c r="G65" s="38">
        <f>(E65-F757)^3</f>
        <v/>
      </c>
      <c r="H65" s="38">
        <f>(E65-F757)^4</f>
        <v/>
      </c>
      <c r="I65" s="37" t="n"/>
    </row>
    <row r="66" ht="15" customHeight="1" s="28">
      <c r="A66" s="40" t="n">
        <v>54</v>
      </c>
      <c r="B66" s="40" t="n">
        <v>53</v>
      </c>
      <c r="C66" s="41" t="n">
        <v>4568.04</v>
      </c>
      <c r="D66" s="41">
        <f>4541.138727+0.225904*B66</f>
        <v/>
      </c>
      <c r="E66" s="42">
        <f>C66-D66</f>
        <v/>
      </c>
      <c r="F66" s="42">
        <f>(E66-F757)^2</f>
        <v/>
      </c>
      <c r="G66" s="41">
        <f>(E66-F757)^3</f>
        <v/>
      </c>
      <c r="H66" s="41">
        <f>(E66-F757)^4</f>
        <v/>
      </c>
      <c r="I66" s="40" t="n"/>
    </row>
    <row r="67" ht="15" customHeight="1" s="28">
      <c r="A67" s="37" t="n">
        <v>55</v>
      </c>
      <c r="B67" s="37" t="n">
        <v>54</v>
      </c>
      <c r="C67" s="38" t="n">
        <v>4571.78</v>
      </c>
      <c r="D67" s="38">
        <f>4541.138727+0.225904*B67</f>
        <v/>
      </c>
      <c r="E67" s="39">
        <f>C67-D67</f>
        <v/>
      </c>
      <c r="F67" s="39">
        <f>(E67-F757)^2</f>
        <v/>
      </c>
      <c r="G67" s="38">
        <f>(E67-F757)^3</f>
        <v/>
      </c>
      <c r="H67" s="38">
        <f>(E67-F757)^4</f>
        <v/>
      </c>
      <c r="I67" s="37" t="n"/>
    </row>
    <row r="68" ht="15" customHeight="1" s="28">
      <c r="A68" s="40" t="n">
        <v>56</v>
      </c>
      <c r="B68" s="40" t="n">
        <v>55</v>
      </c>
      <c r="C68" s="41" t="n">
        <v>4566.36</v>
      </c>
      <c r="D68" s="41">
        <f>4541.138727+0.225904*B68</f>
        <v/>
      </c>
      <c r="E68" s="42">
        <f>C68-D68</f>
        <v/>
      </c>
      <c r="F68" s="42">
        <f>(E68-F757)^2</f>
        <v/>
      </c>
      <c r="G68" s="41">
        <f>(E68-F757)^3</f>
        <v/>
      </c>
      <c r="H68" s="41">
        <f>(E68-F757)^4</f>
        <v/>
      </c>
      <c r="I68" s="40" t="n"/>
    </row>
    <row r="69" ht="15" customHeight="1" s="28">
      <c r="A69" s="37" t="n">
        <v>57</v>
      </c>
      <c r="B69" s="37" t="n">
        <v>56</v>
      </c>
      <c r="C69" s="38" t="n">
        <v>4569.98</v>
      </c>
      <c r="D69" s="38">
        <f>4541.138727+0.225904*B69</f>
        <v/>
      </c>
      <c r="E69" s="39">
        <f>C69-D69</f>
        <v/>
      </c>
      <c r="F69" s="39">
        <f>(E69-F757)^2</f>
        <v/>
      </c>
      <c r="G69" s="38">
        <f>(E69-F757)^3</f>
        <v/>
      </c>
      <c r="H69" s="38">
        <f>(E69-F757)^4</f>
        <v/>
      </c>
      <c r="I69" s="37" t="n"/>
    </row>
    <row r="70" ht="15" customHeight="1" s="28">
      <c r="A70" s="40" t="n">
        <v>58</v>
      </c>
      <c r="B70" s="40" t="n">
        <v>57</v>
      </c>
      <c r="C70" s="41" t="n">
        <v>4568.02</v>
      </c>
      <c r="D70" s="41">
        <f>4541.138727+0.225904*B70</f>
        <v/>
      </c>
      <c r="E70" s="42">
        <f>C70-D70</f>
        <v/>
      </c>
      <c r="F70" s="42">
        <f>(E70-F757)^2</f>
        <v/>
      </c>
      <c r="G70" s="41">
        <f>(E70-F757)^3</f>
        <v/>
      </c>
      <c r="H70" s="41">
        <f>(E70-F757)^4</f>
        <v/>
      </c>
      <c r="I70" s="40" t="n"/>
    </row>
    <row r="71" ht="15" customHeight="1" s="28">
      <c r="A71" s="37" t="n">
        <v>59</v>
      </c>
      <c r="B71" s="37" t="n">
        <v>58</v>
      </c>
      <c r="C71" s="38" t="n">
        <v>4564.76</v>
      </c>
      <c r="D71" s="38">
        <f>4541.138727+0.225904*B71</f>
        <v/>
      </c>
      <c r="E71" s="39">
        <f>C71-D71</f>
        <v/>
      </c>
      <c r="F71" s="39">
        <f>(E71-F757)^2</f>
        <v/>
      </c>
      <c r="G71" s="38">
        <f>(E71-F757)^3</f>
        <v/>
      </c>
      <c r="H71" s="38">
        <f>(E71-F757)^4</f>
        <v/>
      </c>
      <c r="I71" s="37" t="n"/>
    </row>
    <row r="72" ht="15" customHeight="1" s="28">
      <c r="A72" s="40" t="n">
        <v>60</v>
      </c>
      <c r="B72" s="40" t="n">
        <v>59</v>
      </c>
      <c r="C72" s="41" t="n">
        <v>4567.03</v>
      </c>
      <c r="D72" s="41">
        <f>4541.138727+0.225904*B72</f>
        <v/>
      </c>
      <c r="E72" s="42">
        <f>C72-D72</f>
        <v/>
      </c>
      <c r="F72" s="42">
        <f>(E72-F757)^2</f>
        <v/>
      </c>
      <c r="G72" s="41">
        <f>(E72-F757)^3</f>
        <v/>
      </c>
      <c r="H72" s="41">
        <f>(E72-F757)^4</f>
        <v/>
      </c>
      <c r="I72" s="40" t="n"/>
    </row>
    <row r="73" ht="15" customHeight="1" s="28">
      <c r="A73" s="37" t="n">
        <v>61</v>
      </c>
      <c r="B73" s="37" t="n">
        <v>60</v>
      </c>
      <c r="C73" s="38" t="n">
        <v>4561.87</v>
      </c>
      <c r="D73" s="38">
        <f>4541.138727+0.225904*B73</f>
        <v/>
      </c>
      <c r="E73" s="39">
        <f>C73-D73</f>
        <v/>
      </c>
      <c r="F73" s="39">
        <f>(E73-F757)^2</f>
        <v/>
      </c>
      <c r="G73" s="38">
        <f>(E73-F757)^3</f>
        <v/>
      </c>
      <c r="H73" s="38">
        <f>(E73-F757)^4</f>
        <v/>
      </c>
      <c r="I73" s="37" t="n"/>
    </row>
    <row r="74" ht="15" customHeight="1" s="28">
      <c r="A74" s="40" t="n">
        <v>62</v>
      </c>
      <c r="B74" s="40" t="n">
        <v>61</v>
      </c>
      <c r="C74" s="41" t="n">
        <v>4564.41</v>
      </c>
      <c r="D74" s="41">
        <f>4541.138727+0.225904*B74</f>
        <v/>
      </c>
      <c r="E74" s="42">
        <f>C74-D74</f>
        <v/>
      </c>
      <c r="F74" s="42">
        <f>(E74-F757)^2</f>
        <v/>
      </c>
      <c r="G74" s="41">
        <f>(E74-F757)^3</f>
        <v/>
      </c>
      <c r="H74" s="41">
        <f>(E74-F757)^4</f>
        <v/>
      </c>
      <c r="I74" s="40" t="n"/>
    </row>
    <row r="75" ht="15" customHeight="1" s="28">
      <c r="A75" s="37" t="n">
        <v>63</v>
      </c>
      <c r="B75" s="37" t="n">
        <v>62</v>
      </c>
      <c r="C75" s="38" t="n">
        <v>4559.4</v>
      </c>
      <c r="D75" s="38">
        <f>4541.138727+0.225904*B75</f>
        <v/>
      </c>
      <c r="E75" s="39">
        <f>C75-D75</f>
        <v/>
      </c>
      <c r="F75" s="39">
        <f>(E75-F757)^2</f>
        <v/>
      </c>
      <c r="G75" s="38">
        <f>(E75-F757)^3</f>
        <v/>
      </c>
      <c r="H75" s="38">
        <f>(E75-F757)^4</f>
        <v/>
      </c>
      <c r="I75" s="37" t="n"/>
    </row>
    <row r="76" ht="15" customHeight="1" s="28">
      <c r="A76" s="40" t="n">
        <v>64</v>
      </c>
      <c r="B76" s="40" t="n">
        <v>63</v>
      </c>
      <c r="C76" s="41" t="n">
        <v>4557.62</v>
      </c>
      <c r="D76" s="41">
        <f>4541.138727+0.225904*B76</f>
        <v/>
      </c>
      <c r="E76" s="42">
        <f>C76-D76</f>
        <v/>
      </c>
      <c r="F76" s="42">
        <f>(E76-F757)^2</f>
        <v/>
      </c>
      <c r="G76" s="41">
        <f>(E76-F757)^3</f>
        <v/>
      </c>
      <c r="H76" s="41">
        <f>(E76-F757)^4</f>
        <v/>
      </c>
      <c r="I76" s="40" t="n"/>
    </row>
    <row r="77" ht="15" customHeight="1" s="28">
      <c r="A77" s="37" t="n">
        <v>65</v>
      </c>
      <c r="B77" s="37" t="n">
        <v>64</v>
      </c>
      <c r="C77" s="38" t="n">
        <v>4544.9</v>
      </c>
      <c r="D77" s="38">
        <f>4541.138727+0.225904*B77</f>
        <v/>
      </c>
      <c r="E77" s="39">
        <f>C77-D77</f>
        <v/>
      </c>
      <c r="F77" s="39">
        <f>(E77-F757)^2</f>
        <v/>
      </c>
      <c r="G77" s="38">
        <f>(E77-F757)^3</f>
        <v/>
      </c>
      <c r="H77" s="38">
        <f>(E77-F757)^4</f>
        <v/>
      </c>
      <c r="I77" s="37" t="n"/>
    </row>
    <row r="78" ht="15" customHeight="1" s="28">
      <c r="A78" s="40" t="n">
        <v>66</v>
      </c>
      <c r="B78" s="40" t="n">
        <v>65</v>
      </c>
      <c r="C78" s="41" t="n">
        <v>4549.8</v>
      </c>
      <c r="D78" s="41">
        <f>4541.138727+0.225904*B78</f>
        <v/>
      </c>
      <c r="E78" s="42">
        <f>C78-D78</f>
        <v/>
      </c>
      <c r="F78" s="42">
        <f>(E78-F757)^2</f>
        <v/>
      </c>
      <c r="G78" s="41">
        <f>(E78-F757)^3</f>
        <v/>
      </c>
      <c r="H78" s="41">
        <f>(E78-F757)^4</f>
        <v/>
      </c>
      <c r="I78" s="40" t="n"/>
    </row>
    <row r="79" ht="15" customHeight="1" s="28">
      <c r="A79" s="37" t="n">
        <v>67</v>
      </c>
      <c r="B79" s="37" t="n">
        <v>66</v>
      </c>
      <c r="C79" s="38" t="n">
        <v>4537.82</v>
      </c>
      <c r="D79" s="38">
        <f>4541.138727+0.225904*B79</f>
        <v/>
      </c>
      <c r="E79" s="39">
        <f>C79-D79</f>
        <v/>
      </c>
      <c r="F79" s="39">
        <f>(E79-F757)^2</f>
        <v/>
      </c>
      <c r="G79" s="38">
        <f>(E79-F757)^3</f>
        <v/>
      </c>
      <c r="H79" s="38">
        <f>(E79-F757)^4</f>
        <v/>
      </c>
      <c r="I79" s="37" t="n"/>
    </row>
    <row r="80" ht="15" customHeight="1" s="28">
      <c r="A80" s="40" t="n">
        <v>68</v>
      </c>
      <c r="B80" s="40" t="n">
        <v>67</v>
      </c>
      <c r="C80" s="41" t="n">
        <v>4514.81</v>
      </c>
      <c r="D80" s="41">
        <f>4541.138727+0.225904*B80</f>
        <v/>
      </c>
      <c r="E80" s="42">
        <f>C80-D80</f>
        <v/>
      </c>
      <c r="F80" s="42">
        <f>(E80-F757)^2</f>
        <v/>
      </c>
      <c r="G80" s="41">
        <f>(E80-F757)^3</f>
        <v/>
      </c>
      <c r="H80" s="41">
        <f>(E80-F757)^4</f>
        <v/>
      </c>
      <c r="I80" s="40" t="n"/>
    </row>
    <row r="81" ht="15" customHeight="1" s="28">
      <c r="A81" s="37" t="n">
        <v>69</v>
      </c>
      <c r="B81" s="37" t="n">
        <v>68</v>
      </c>
      <c r="C81" s="38" t="n">
        <v>4521.71</v>
      </c>
      <c r="D81" s="38">
        <f>4541.138727+0.225904*B81</f>
        <v/>
      </c>
      <c r="E81" s="39">
        <f>C81-D81</f>
        <v/>
      </c>
      <c r="F81" s="39">
        <f>(E81-F757)^2</f>
        <v/>
      </c>
      <c r="G81" s="38">
        <f>(E81-F757)^3</f>
        <v/>
      </c>
      <c r="H81" s="38">
        <f>(E81-F757)^4</f>
        <v/>
      </c>
      <c r="I81" s="37" t="n"/>
    </row>
    <row r="82" ht="15" customHeight="1" s="28">
      <c r="A82" s="40" t="n">
        <v>70</v>
      </c>
      <c r="B82" s="40" t="n">
        <v>69</v>
      </c>
      <c r="C82" s="41" t="n">
        <v>4526.15</v>
      </c>
      <c r="D82" s="41">
        <f>4541.138727+0.225904*B82</f>
        <v/>
      </c>
      <c r="E82" s="42">
        <f>C82-D82</f>
        <v/>
      </c>
      <c r="F82" s="42">
        <f>(E82-F757)^2</f>
        <v/>
      </c>
      <c r="G82" s="41">
        <f>(E82-F757)^3</f>
        <v/>
      </c>
      <c r="H82" s="41">
        <f>(E82-F757)^4</f>
        <v/>
      </c>
      <c r="I82" s="40" t="n"/>
    </row>
    <row r="83" ht="15" customHeight="1" s="28">
      <c r="A83" s="37" t="n">
        <v>71</v>
      </c>
      <c r="B83" s="37" t="n">
        <v>70</v>
      </c>
      <c r="C83" s="38" t="n">
        <v>4533.2</v>
      </c>
      <c r="D83" s="38">
        <f>4541.138727+0.225904*B83</f>
        <v/>
      </c>
      <c r="E83" s="39">
        <f>C83-D83</f>
        <v/>
      </c>
      <c r="F83" s="39">
        <f>(E83-F757)^2</f>
        <v/>
      </c>
      <c r="G83" s="38">
        <f>(E83-F757)^3</f>
        <v/>
      </c>
      <c r="H83" s="38">
        <f>(E83-F757)^4</f>
        <v/>
      </c>
      <c r="I83" s="37" t="n"/>
    </row>
    <row r="84" ht="15" customHeight="1" s="28">
      <c r="A84" s="40" t="n">
        <v>72</v>
      </c>
      <c r="B84" s="40" t="n">
        <v>71</v>
      </c>
      <c r="C84" s="41" t="n">
        <v>4538.69</v>
      </c>
      <c r="D84" s="41">
        <f>4541.138727+0.225904*B84</f>
        <v/>
      </c>
      <c r="E84" s="42">
        <f>C84-D84</f>
        <v/>
      </c>
      <c r="F84" s="42">
        <f>(E84-F757)^2</f>
        <v/>
      </c>
      <c r="G84" s="41">
        <f>(E84-F757)^3</f>
        <v/>
      </c>
      <c r="H84" s="41">
        <f>(E84-F757)^4</f>
        <v/>
      </c>
      <c r="I84" s="40" t="n"/>
    </row>
    <row r="85" ht="15" customHeight="1" s="28">
      <c r="A85" s="37" t="n">
        <v>73</v>
      </c>
      <c r="B85" s="37" t="n">
        <v>72</v>
      </c>
      <c r="C85" s="38" t="n">
        <v>4539.25</v>
      </c>
      <c r="D85" s="38">
        <f>4541.138727+0.225904*B85</f>
        <v/>
      </c>
      <c r="E85" s="39">
        <f>C85-D85</f>
        <v/>
      </c>
      <c r="F85" s="39">
        <f>(E85-F757)^2</f>
        <v/>
      </c>
      <c r="G85" s="38">
        <f>(E85-F757)^3</f>
        <v/>
      </c>
      <c r="H85" s="38">
        <f>(E85-F757)^4</f>
        <v/>
      </c>
      <c r="I85" s="37" t="n"/>
    </row>
    <row r="86" ht="15" customHeight="1" s="28">
      <c r="A86" s="40" t="n">
        <v>74</v>
      </c>
      <c r="B86" s="40" t="n">
        <v>73</v>
      </c>
      <c r="C86" s="41" t="n">
        <v>4538.08</v>
      </c>
      <c r="D86" s="41">
        <f>4541.138727+0.225904*B86</f>
        <v/>
      </c>
      <c r="E86" s="42">
        <f>C86-D86</f>
        <v/>
      </c>
      <c r="F86" s="42">
        <f>(E86-F757)^2</f>
        <v/>
      </c>
      <c r="G86" s="41">
        <f>(E86-F757)^3</f>
        <v/>
      </c>
      <c r="H86" s="41">
        <f>(E86-F757)^4</f>
        <v/>
      </c>
      <c r="I86" s="40" t="n"/>
    </row>
    <row r="87" ht="15" customHeight="1" s="28">
      <c r="A87" s="37" t="n">
        <v>75</v>
      </c>
      <c r="B87" s="37" t="n">
        <v>74</v>
      </c>
      <c r="C87" s="38" t="n">
        <v>4543.61</v>
      </c>
      <c r="D87" s="38">
        <f>4541.138727+0.225904*B87</f>
        <v/>
      </c>
      <c r="E87" s="39">
        <f>C87-D87</f>
        <v/>
      </c>
      <c r="F87" s="39">
        <f>(E87-F757)^2</f>
        <v/>
      </c>
      <c r="G87" s="38">
        <f>(E87-F757)^3</f>
        <v/>
      </c>
      <c r="H87" s="38">
        <f>(E87-F757)^4</f>
        <v/>
      </c>
      <c r="I87" s="37" t="n"/>
    </row>
    <row r="88" ht="15" customHeight="1" s="28">
      <c r="A88" s="40" t="n">
        <v>76</v>
      </c>
      <c r="B88" s="40" t="n">
        <v>75</v>
      </c>
      <c r="C88" s="41" t="n">
        <v>4553.17</v>
      </c>
      <c r="D88" s="41">
        <f>4541.138727+0.225904*B88</f>
        <v/>
      </c>
      <c r="E88" s="42">
        <f>C88-D88</f>
        <v/>
      </c>
      <c r="F88" s="42">
        <f>(E88-F757)^2</f>
        <v/>
      </c>
      <c r="G88" s="41">
        <f>(E88-F757)^3</f>
        <v/>
      </c>
      <c r="H88" s="41">
        <f>(E88-F757)^4</f>
        <v/>
      </c>
      <c r="I88" s="40" t="n"/>
    </row>
    <row r="89" ht="15" customHeight="1" s="28">
      <c r="A89" s="37" t="n">
        <v>77</v>
      </c>
      <c r="B89" s="37" t="n">
        <v>76</v>
      </c>
      <c r="C89" s="38" t="n">
        <v>4547.48</v>
      </c>
      <c r="D89" s="38">
        <f>4541.138727+0.225904*B89</f>
        <v/>
      </c>
      <c r="E89" s="39">
        <f>C89-D89</f>
        <v/>
      </c>
      <c r="F89" s="39">
        <f>(E89-F757)^2</f>
        <v/>
      </c>
      <c r="G89" s="38">
        <f>(E89-F757)^3</f>
        <v/>
      </c>
      <c r="H89" s="38">
        <f>(E89-F757)^4</f>
        <v/>
      </c>
      <c r="I89" s="37" t="n"/>
    </row>
    <row r="90" ht="15" customHeight="1" s="28">
      <c r="A90" s="40" t="n">
        <v>78</v>
      </c>
      <c r="B90" s="40" t="n">
        <v>77</v>
      </c>
      <c r="C90" s="41" t="n">
        <v>4559.1</v>
      </c>
      <c r="D90" s="41">
        <f>4541.138727+0.225904*B90</f>
        <v/>
      </c>
      <c r="E90" s="42">
        <f>C90-D90</f>
        <v/>
      </c>
      <c r="F90" s="42">
        <f>(E90-F757)^2</f>
        <v/>
      </c>
      <c r="G90" s="41">
        <f>(E90-F757)^3</f>
        <v/>
      </c>
      <c r="H90" s="41">
        <f>(E90-F757)^4</f>
        <v/>
      </c>
      <c r="I90" s="40" t="n"/>
    </row>
    <row r="91" ht="15" customHeight="1" s="28">
      <c r="A91" s="37" t="n">
        <v>79</v>
      </c>
      <c r="B91" s="37" t="n">
        <v>78</v>
      </c>
      <c r="C91" s="38" t="n">
        <v>4560.23</v>
      </c>
      <c r="D91" s="38">
        <f>4541.138727+0.225904*B91</f>
        <v/>
      </c>
      <c r="E91" s="39">
        <f>C91-D91</f>
        <v/>
      </c>
      <c r="F91" s="39">
        <f>(E91-F757)^2</f>
        <v/>
      </c>
      <c r="G91" s="38">
        <f>(E91-F757)^3</f>
        <v/>
      </c>
      <c r="H91" s="38">
        <f>(E91-F757)^4</f>
        <v/>
      </c>
      <c r="I91" s="37" t="n"/>
    </row>
    <row r="92" ht="15" customHeight="1" s="28">
      <c r="A92" s="40" t="n">
        <v>80</v>
      </c>
      <c r="B92" s="40" t="n">
        <v>79</v>
      </c>
      <c r="C92" s="41" t="n">
        <v>4550.51</v>
      </c>
      <c r="D92" s="41">
        <f>4541.138727+0.225904*B92</f>
        <v/>
      </c>
      <c r="E92" s="42">
        <f>C92-D92</f>
        <v/>
      </c>
      <c r="F92" s="42">
        <f>(E92-F757)^2</f>
        <v/>
      </c>
      <c r="G92" s="41">
        <f>(E92-F757)^3</f>
        <v/>
      </c>
      <c r="H92" s="41">
        <f>(E92-F757)^4</f>
        <v/>
      </c>
      <c r="I92" s="40" t="n"/>
    </row>
    <row r="93" ht="15" customHeight="1" s="28">
      <c r="A93" s="37" t="n">
        <v>81</v>
      </c>
      <c r="B93" s="37" t="n">
        <v>80</v>
      </c>
      <c r="C93" s="38" t="n">
        <v>4545.36</v>
      </c>
      <c r="D93" s="38">
        <f>4541.138727+0.225904*B93</f>
        <v/>
      </c>
      <c r="E93" s="39">
        <f>C93-D93</f>
        <v/>
      </c>
      <c r="F93" s="39">
        <f>(E93-F757)^2</f>
        <v/>
      </c>
      <c r="G93" s="38">
        <f>(E93-F757)^3</f>
        <v/>
      </c>
      <c r="H93" s="38">
        <f>(E93-F757)^4</f>
        <v/>
      </c>
      <c r="I93" s="37" t="n"/>
    </row>
    <row r="94" ht="15" customHeight="1" s="28">
      <c r="A94" s="40" t="n">
        <v>82</v>
      </c>
      <c r="B94" s="40" t="n">
        <v>81</v>
      </c>
      <c r="C94" s="41" t="n">
        <v>4550.68</v>
      </c>
      <c r="D94" s="41">
        <f>4541.138727+0.225904*B94</f>
        <v/>
      </c>
      <c r="E94" s="42">
        <f>C94-D94</f>
        <v/>
      </c>
      <c r="F94" s="42">
        <f>(E94-F757)^2</f>
        <v/>
      </c>
      <c r="G94" s="41">
        <f>(E94-F757)^3</f>
        <v/>
      </c>
      <c r="H94" s="41">
        <f>(E94-F757)^4</f>
        <v/>
      </c>
      <c r="I94" s="40" t="n"/>
    </row>
    <row r="95" ht="15" customHeight="1" s="28">
      <c r="A95" s="37" t="n">
        <v>83</v>
      </c>
      <c r="B95" s="37" t="n">
        <v>82</v>
      </c>
      <c r="C95" s="38" t="n">
        <v>4547.23</v>
      </c>
      <c r="D95" s="38">
        <f>4541.138727+0.225904*B95</f>
        <v/>
      </c>
      <c r="E95" s="39">
        <f>C95-D95</f>
        <v/>
      </c>
      <c r="F95" s="39">
        <f>(E95-F757)^2</f>
        <v/>
      </c>
      <c r="G95" s="38">
        <f>(E95-F757)^3</f>
        <v/>
      </c>
      <c r="H95" s="38">
        <f>(E95-F757)^4</f>
        <v/>
      </c>
      <c r="I95" s="37" t="n"/>
    </row>
    <row r="96" ht="15" customHeight="1" s="28">
      <c r="A96" s="40" t="n">
        <v>84</v>
      </c>
      <c r="B96" s="40" t="n">
        <v>83</v>
      </c>
      <c r="C96" s="41" t="n">
        <v>4544.75</v>
      </c>
      <c r="D96" s="41">
        <f>4541.138727+0.225904*B96</f>
        <v/>
      </c>
      <c r="E96" s="42">
        <f>C96-D96</f>
        <v/>
      </c>
      <c r="F96" s="42">
        <f>(E96-F757)^2</f>
        <v/>
      </c>
      <c r="G96" s="41">
        <f>(E96-F757)^3</f>
        <v/>
      </c>
      <c r="H96" s="41">
        <f>(E96-F757)^4</f>
        <v/>
      </c>
      <c r="I96" s="40" t="n"/>
    </row>
    <row r="97" ht="15" customHeight="1" s="28">
      <c r="A97" s="37" t="n">
        <v>85</v>
      </c>
      <c r="B97" s="37" t="n">
        <v>84</v>
      </c>
      <c r="C97" s="38" t="n">
        <v>4547.33</v>
      </c>
      <c r="D97" s="38">
        <f>4541.138727+0.225904*B97</f>
        <v/>
      </c>
      <c r="E97" s="39">
        <f>C97-D97</f>
        <v/>
      </c>
      <c r="F97" s="39">
        <f>(E97-F757)^2</f>
        <v/>
      </c>
      <c r="G97" s="38">
        <f>(E97-F757)^3</f>
        <v/>
      </c>
      <c r="H97" s="38">
        <f>(E97-F757)^4</f>
        <v/>
      </c>
      <c r="I97" s="37" t="n"/>
    </row>
    <row r="98" ht="15" customHeight="1" s="28">
      <c r="A98" s="40" t="n">
        <v>86</v>
      </c>
      <c r="B98" s="40" t="n">
        <v>85</v>
      </c>
      <c r="C98" s="41" t="n">
        <v>4525.75</v>
      </c>
      <c r="D98" s="41">
        <f>4541.138727+0.225904*B98</f>
        <v/>
      </c>
      <c r="E98" s="42">
        <f>C98-D98</f>
        <v/>
      </c>
      <c r="F98" s="42">
        <f>(E98-F757)^2</f>
        <v/>
      </c>
      <c r="G98" s="41">
        <f>(E98-F757)^3</f>
        <v/>
      </c>
      <c r="H98" s="41">
        <f>(E98-F757)^4</f>
        <v/>
      </c>
      <c r="I98" s="40" t="n"/>
    </row>
    <row r="99" ht="15" customHeight="1" s="28">
      <c r="A99" s="37" t="n">
        <v>87</v>
      </c>
      <c r="B99" s="37" t="n">
        <v>86</v>
      </c>
      <c r="C99" s="38" t="n">
        <v>4532.95</v>
      </c>
      <c r="D99" s="38">
        <f>4541.138727+0.225904*B99</f>
        <v/>
      </c>
      <c r="E99" s="39">
        <f>C99-D99</f>
        <v/>
      </c>
      <c r="F99" s="39">
        <f>(E99-F757)^2</f>
        <v/>
      </c>
      <c r="G99" s="38">
        <f>(E99-F757)^3</f>
        <v/>
      </c>
      <c r="H99" s="38">
        <f>(E99-F757)^4</f>
        <v/>
      </c>
      <c r="I99" s="37" t="n"/>
    </row>
    <row r="100" ht="15" customHeight="1" s="28">
      <c r="A100" s="40" t="n">
        <v>88</v>
      </c>
      <c r="B100" s="40" t="n">
        <v>87</v>
      </c>
      <c r="C100" s="41" t="n">
        <v>4520.81</v>
      </c>
      <c r="D100" s="41">
        <f>4541.138727+0.225904*B100</f>
        <v/>
      </c>
      <c r="E100" s="42">
        <f>C100-D100</f>
        <v/>
      </c>
      <c r="F100" s="42">
        <f>(E100-F757)^2</f>
        <v/>
      </c>
      <c r="G100" s="41">
        <f>(E100-F757)^3</f>
        <v/>
      </c>
      <c r="H100" s="41">
        <f>(E100-F757)^4</f>
        <v/>
      </c>
      <c r="I100" s="40" t="n"/>
    </row>
    <row r="101" ht="15" customHeight="1" s="28">
      <c r="A101" s="37" t="n">
        <v>89</v>
      </c>
      <c r="B101" s="37" t="n">
        <v>88</v>
      </c>
      <c r="C101" s="38" t="n">
        <v>4538.19</v>
      </c>
      <c r="D101" s="38">
        <f>4541.138727+0.225904*B101</f>
        <v/>
      </c>
      <c r="E101" s="39">
        <f>C101-D101</f>
        <v/>
      </c>
      <c r="F101" s="39">
        <f>(E101-F757)^2</f>
        <v/>
      </c>
      <c r="G101" s="38">
        <f>(E101-F757)^3</f>
        <v/>
      </c>
      <c r="H101" s="38">
        <f>(E101-F757)^4</f>
        <v/>
      </c>
      <c r="I101" s="37" t="n"/>
    </row>
    <row r="102" ht="15" customHeight="1" s="28">
      <c r="A102" s="40" t="n">
        <v>90</v>
      </c>
      <c r="B102" s="40" t="n">
        <v>89</v>
      </c>
      <c r="C102" s="41" t="n">
        <v>4547.72</v>
      </c>
      <c r="D102" s="41">
        <f>4541.138727+0.225904*B102</f>
        <v/>
      </c>
      <c r="E102" s="42">
        <f>C102-D102</f>
        <v/>
      </c>
      <c r="F102" s="42">
        <f>(E102-F757)^2</f>
        <v/>
      </c>
      <c r="G102" s="41">
        <f>(E102-F757)^3</f>
        <v/>
      </c>
      <c r="H102" s="41">
        <f>(E102-F757)^4</f>
        <v/>
      </c>
      <c r="I102" s="40" t="n"/>
    </row>
    <row r="103" ht="15" customHeight="1" s="28">
      <c r="A103" s="37" t="n">
        <v>91</v>
      </c>
      <c r="B103" s="37" t="n">
        <v>90</v>
      </c>
      <c r="C103" s="38" t="n">
        <v>4542.84</v>
      </c>
      <c r="D103" s="38">
        <f>4541.138727+0.225904*B103</f>
        <v/>
      </c>
      <c r="E103" s="39">
        <f>C103-D103</f>
        <v/>
      </c>
      <c r="F103" s="39">
        <f>(E103-F757)^2</f>
        <v/>
      </c>
      <c r="G103" s="38">
        <f>(E103-F757)^3</f>
        <v/>
      </c>
      <c r="H103" s="38">
        <f>(E103-F757)^4</f>
        <v/>
      </c>
      <c r="I103" s="37" t="n"/>
    </row>
    <row r="104" ht="15" customHeight="1" s="28">
      <c r="A104" s="40" t="n">
        <v>92</v>
      </c>
      <c r="B104" s="40" t="n">
        <v>91</v>
      </c>
      <c r="C104" s="41" t="n">
        <v>4539.61</v>
      </c>
      <c r="D104" s="41">
        <f>4541.138727+0.225904*B104</f>
        <v/>
      </c>
      <c r="E104" s="42">
        <f>C104-D104</f>
        <v/>
      </c>
      <c r="F104" s="42">
        <f>(E104-F757)^2</f>
        <v/>
      </c>
      <c r="G104" s="41">
        <f>(E104-F757)^3</f>
        <v/>
      </c>
      <c r="H104" s="41">
        <f>(E104-F757)^4</f>
        <v/>
      </c>
      <c r="I104" s="40" t="n"/>
    </row>
    <row r="105" ht="15" customHeight="1" s="28">
      <c r="A105" s="37" t="n">
        <v>93</v>
      </c>
      <c r="B105" s="37" t="n">
        <v>92</v>
      </c>
      <c r="C105" s="38" t="n">
        <v>4547.05</v>
      </c>
      <c r="D105" s="38">
        <f>4541.138727+0.225904*B105</f>
        <v/>
      </c>
      <c r="E105" s="39">
        <f>C105-D105</f>
        <v/>
      </c>
      <c r="F105" s="39">
        <f>(E105-F757)^2</f>
        <v/>
      </c>
      <c r="G105" s="38">
        <f>(E105-F757)^3</f>
        <v/>
      </c>
      <c r="H105" s="38">
        <f>(E105-F757)^4</f>
        <v/>
      </c>
      <c r="I105" s="37" t="n"/>
    </row>
    <row r="106" ht="15" customHeight="1" s="28">
      <c r="A106" s="40" t="n">
        <v>94</v>
      </c>
      <c r="B106" s="40" t="n">
        <v>93</v>
      </c>
      <c r="C106" s="41" t="n">
        <v>4546.25</v>
      </c>
      <c r="D106" s="41">
        <f>4541.138727+0.225904*B106</f>
        <v/>
      </c>
      <c r="E106" s="42">
        <f>C106-D106</f>
        <v/>
      </c>
      <c r="F106" s="42">
        <f>(E106-F757)^2</f>
        <v/>
      </c>
      <c r="G106" s="41">
        <f>(E106-F757)^3</f>
        <v/>
      </c>
      <c r="H106" s="41">
        <f>(E106-F757)^4</f>
        <v/>
      </c>
      <c r="I106" s="40" t="n"/>
    </row>
    <row r="107" ht="15" customHeight="1" s="28">
      <c r="A107" s="37" t="n">
        <v>95</v>
      </c>
      <c r="B107" s="37" t="n">
        <v>94</v>
      </c>
      <c r="C107" s="38" t="n">
        <v>4543.25</v>
      </c>
      <c r="D107" s="38">
        <f>4541.138727+0.225904*B107</f>
        <v/>
      </c>
      <c r="E107" s="39">
        <f>C107-D107</f>
        <v/>
      </c>
      <c r="F107" s="39">
        <f>(E107-F757)^2</f>
        <v/>
      </c>
      <c r="G107" s="38">
        <f>(E107-F757)^3</f>
        <v/>
      </c>
      <c r="H107" s="38">
        <f>(E107-F757)^4</f>
        <v/>
      </c>
      <c r="I107" s="37" t="n"/>
    </row>
    <row r="108" ht="15" customHeight="1" s="28">
      <c r="A108" s="40" t="n">
        <v>96</v>
      </c>
      <c r="B108" s="40" t="n">
        <v>95</v>
      </c>
      <c r="C108" s="41" t="n">
        <v>4543.79</v>
      </c>
      <c r="D108" s="41">
        <f>4541.138727+0.225904*B108</f>
        <v/>
      </c>
      <c r="E108" s="42">
        <f>C108-D108</f>
        <v/>
      </c>
      <c r="F108" s="42">
        <f>(E108-F757)^2</f>
        <v/>
      </c>
      <c r="G108" s="41">
        <f>(E108-F757)^3</f>
        <v/>
      </c>
      <c r="H108" s="41">
        <f>(E108-F757)^4</f>
        <v/>
      </c>
      <c r="I108" s="40" t="n"/>
    </row>
    <row r="109" ht="15" customHeight="1" s="28">
      <c r="A109" s="37" t="n">
        <v>97</v>
      </c>
      <c r="B109" s="37" t="n">
        <v>96</v>
      </c>
      <c r="C109" s="38" t="n">
        <v>4543.57</v>
      </c>
      <c r="D109" s="38">
        <f>4541.138727+0.225904*B109</f>
        <v/>
      </c>
      <c r="E109" s="39">
        <f>C109-D109</f>
        <v/>
      </c>
      <c r="F109" s="39">
        <f>(E109-F757)^2</f>
        <v/>
      </c>
      <c r="G109" s="38">
        <f>(E109-F757)^3</f>
        <v/>
      </c>
      <c r="H109" s="38">
        <f>(E109-F757)^4</f>
        <v/>
      </c>
      <c r="I109" s="37" t="n"/>
    </row>
    <row r="110" ht="15" customHeight="1" s="28">
      <c r="A110" s="40" t="n">
        <v>98</v>
      </c>
      <c r="B110" s="40" t="n">
        <v>97</v>
      </c>
      <c r="C110" s="41" t="n">
        <v>4546.4</v>
      </c>
      <c r="D110" s="41">
        <f>4541.138727+0.225904*B110</f>
        <v/>
      </c>
      <c r="E110" s="42">
        <f>C110-D110</f>
        <v/>
      </c>
      <c r="F110" s="42">
        <f>(E110-F757)^2</f>
        <v/>
      </c>
      <c r="G110" s="41">
        <f>(E110-F757)^3</f>
        <v/>
      </c>
      <c r="H110" s="41">
        <f>(E110-F757)^4</f>
        <v/>
      </c>
      <c r="I110" s="40" t="n"/>
    </row>
    <row r="111" ht="15" customHeight="1" s="28">
      <c r="A111" s="37" t="n">
        <v>99</v>
      </c>
      <c r="B111" s="37" t="n">
        <v>98</v>
      </c>
      <c r="C111" s="38" t="n">
        <v>4549.14</v>
      </c>
      <c r="D111" s="38">
        <f>4541.138727+0.225904*B111</f>
        <v/>
      </c>
      <c r="E111" s="39">
        <f>C111-D111</f>
        <v/>
      </c>
      <c r="F111" s="39">
        <f>(E111-F757)^2</f>
        <v/>
      </c>
      <c r="G111" s="38">
        <f>(E111-F757)^3</f>
        <v/>
      </c>
      <c r="H111" s="38">
        <f>(E111-F757)^4</f>
        <v/>
      </c>
      <c r="I111" s="37" t="n"/>
    </row>
    <row r="112" ht="15" customHeight="1" s="28">
      <c r="A112" s="40" t="n">
        <v>100</v>
      </c>
      <c r="B112" s="40" t="n">
        <v>99</v>
      </c>
      <c r="C112" s="41" t="n">
        <v>4548.51</v>
      </c>
      <c r="D112" s="41">
        <f>4541.138727+0.225904*B112</f>
        <v/>
      </c>
      <c r="E112" s="42">
        <f>C112-D112</f>
        <v/>
      </c>
      <c r="F112" s="42">
        <f>(E112-F757)^2</f>
        <v/>
      </c>
      <c r="G112" s="41">
        <f>(E112-F757)^3</f>
        <v/>
      </c>
      <c r="H112" s="41">
        <f>(E112-F757)^4</f>
        <v/>
      </c>
      <c r="I112" s="40" t="n"/>
    </row>
    <row r="113" ht="15" customHeight="1" s="28">
      <c r="A113" s="37" t="n">
        <v>101</v>
      </c>
      <c r="B113" s="37" t="n">
        <v>100</v>
      </c>
      <c r="C113" s="38" t="n">
        <v>4552.08</v>
      </c>
      <c r="D113" s="38">
        <f>4541.138727+0.225904*B113</f>
        <v/>
      </c>
      <c r="E113" s="39">
        <f>C113-D113</f>
        <v/>
      </c>
      <c r="F113" s="39">
        <f>(E113-F757)^2</f>
        <v/>
      </c>
      <c r="G113" s="38">
        <f>(E113-F757)^3</f>
        <v/>
      </c>
      <c r="H113" s="38">
        <f>(E113-F757)^4</f>
        <v/>
      </c>
      <c r="I113" s="37" t="n"/>
    </row>
    <row r="114" ht="15" customHeight="1" s="28">
      <c r="A114" s="40" t="n">
        <v>102</v>
      </c>
      <c r="B114" s="40" t="n">
        <v>101</v>
      </c>
      <c r="C114" s="41" t="n">
        <v>4553.33</v>
      </c>
      <c r="D114" s="41">
        <f>4541.138727+0.225904*B114</f>
        <v/>
      </c>
      <c r="E114" s="42">
        <f>C114-D114</f>
        <v/>
      </c>
      <c r="F114" s="42">
        <f>(E114-F757)^2</f>
        <v/>
      </c>
      <c r="G114" s="41">
        <f>(E114-F757)^3</f>
        <v/>
      </c>
      <c r="H114" s="41">
        <f>(E114-F757)^4</f>
        <v/>
      </c>
      <c r="I114" s="40" t="n"/>
    </row>
    <row r="115" ht="15" customHeight="1" s="28">
      <c r="A115" s="37" t="n">
        <v>103</v>
      </c>
      <c r="B115" s="37" t="n">
        <v>102</v>
      </c>
      <c r="C115" s="38" t="n">
        <v>4551.63</v>
      </c>
      <c r="D115" s="38">
        <f>4541.138727+0.225904*B115</f>
        <v/>
      </c>
      <c r="E115" s="39">
        <f>C115-D115</f>
        <v/>
      </c>
      <c r="F115" s="39">
        <f>(E115-F757)^2</f>
        <v/>
      </c>
      <c r="G115" s="38">
        <f>(E115-F757)^3</f>
        <v/>
      </c>
      <c r="H115" s="38">
        <f>(E115-F757)^4</f>
        <v/>
      </c>
      <c r="I115" s="37" t="n"/>
    </row>
    <row r="116" ht="15" customHeight="1" s="28">
      <c r="A116" s="40" t="n">
        <v>104</v>
      </c>
      <c r="B116" s="40" t="n">
        <v>103</v>
      </c>
      <c r="C116" s="41" t="n">
        <v>4554.44</v>
      </c>
      <c r="D116" s="41">
        <f>4541.138727+0.225904*B116</f>
        <v/>
      </c>
      <c r="E116" s="42">
        <f>C116-D116</f>
        <v/>
      </c>
      <c r="F116" s="42">
        <f>(E116-F757)^2</f>
        <v/>
      </c>
      <c r="G116" s="41">
        <f>(E116-F757)^3</f>
        <v/>
      </c>
      <c r="H116" s="41">
        <f>(E116-F757)^4</f>
        <v/>
      </c>
      <c r="I116" s="40" t="n"/>
    </row>
    <row r="117" ht="15" customHeight="1" s="28">
      <c r="A117" s="37" t="n">
        <v>105</v>
      </c>
      <c r="B117" s="37" t="n">
        <v>104</v>
      </c>
      <c r="C117" s="38" t="n">
        <v>4561.66</v>
      </c>
      <c r="D117" s="38">
        <f>4541.138727+0.225904*B117</f>
        <v/>
      </c>
      <c r="E117" s="39">
        <f>C117-D117</f>
        <v/>
      </c>
      <c r="F117" s="39">
        <f>(E117-F757)^2</f>
        <v/>
      </c>
      <c r="G117" s="38">
        <f>(E117-F757)^3</f>
        <v/>
      </c>
      <c r="H117" s="38">
        <f>(E117-F757)^4</f>
        <v/>
      </c>
      <c r="I117" s="37" t="n"/>
    </row>
    <row r="118" ht="15" customHeight="1" s="28">
      <c r="A118" s="40" t="n">
        <v>106</v>
      </c>
      <c r="B118" s="40" t="n">
        <v>105</v>
      </c>
      <c r="C118" s="41" t="n">
        <v>4557.93</v>
      </c>
      <c r="D118" s="41">
        <f>4541.138727+0.225904*B118</f>
        <v/>
      </c>
      <c r="E118" s="42">
        <f>C118-D118</f>
        <v/>
      </c>
      <c r="F118" s="42">
        <f>(E118-F757)^2</f>
        <v/>
      </c>
      <c r="G118" s="41">
        <f>(E118-F757)^3</f>
        <v/>
      </c>
      <c r="H118" s="41">
        <f>(E118-F757)^4</f>
        <v/>
      </c>
      <c r="I118" s="40" t="n"/>
    </row>
    <row r="119" ht="15" customHeight="1" s="28">
      <c r="A119" s="37" t="n">
        <v>107</v>
      </c>
      <c r="B119" s="37" t="n">
        <v>106</v>
      </c>
      <c r="C119" s="38" t="n">
        <v>4563.57</v>
      </c>
      <c r="D119" s="38">
        <f>4541.138727+0.225904*B119</f>
        <v/>
      </c>
      <c r="E119" s="39">
        <f>C119-D119</f>
        <v/>
      </c>
      <c r="F119" s="39">
        <f>(E119-F757)^2</f>
        <v/>
      </c>
      <c r="G119" s="38">
        <f>(E119-F757)^3</f>
        <v/>
      </c>
      <c r="H119" s="38">
        <f>(E119-F757)^4</f>
        <v/>
      </c>
      <c r="I119" s="37" t="n"/>
    </row>
    <row r="120" ht="15" customHeight="1" s="28">
      <c r="A120" s="40" t="n">
        <v>108</v>
      </c>
      <c r="B120" s="40" t="n">
        <v>107</v>
      </c>
      <c r="C120" s="41" t="n">
        <v>4567.11</v>
      </c>
      <c r="D120" s="41">
        <f>4541.138727+0.225904*B120</f>
        <v/>
      </c>
      <c r="E120" s="42">
        <f>C120-D120</f>
        <v/>
      </c>
      <c r="F120" s="42">
        <f>(E120-F757)^2</f>
        <v/>
      </c>
      <c r="G120" s="41">
        <f>(E120-F757)^3</f>
        <v/>
      </c>
      <c r="H120" s="41">
        <f>(E120-F757)^4</f>
        <v/>
      </c>
      <c r="I120" s="40" t="n"/>
    </row>
    <row r="121" ht="15" customHeight="1" s="28">
      <c r="A121" s="37" t="n">
        <v>109</v>
      </c>
      <c r="B121" s="37" t="n">
        <v>108</v>
      </c>
      <c r="C121" s="38" t="n">
        <v>4569.83</v>
      </c>
      <c r="D121" s="38">
        <f>4541.138727+0.225904*B121</f>
        <v/>
      </c>
      <c r="E121" s="39">
        <f>C121-D121</f>
        <v/>
      </c>
      <c r="F121" s="39">
        <f>(E121-F757)^2</f>
        <v/>
      </c>
      <c r="G121" s="38">
        <f>(E121-F757)^3</f>
        <v/>
      </c>
      <c r="H121" s="38">
        <f>(E121-F757)^4</f>
        <v/>
      </c>
      <c r="I121" s="37" t="n"/>
    </row>
    <row r="122" ht="15" customHeight="1" s="28">
      <c r="A122" s="40" t="n">
        <v>110</v>
      </c>
      <c r="B122" s="40" t="n">
        <v>109</v>
      </c>
      <c r="C122" s="41" t="n">
        <v>4568.52</v>
      </c>
      <c r="D122" s="41">
        <f>4541.138727+0.225904*B122</f>
        <v/>
      </c>
      <c r="E122" s="42">
        <f>C122-D122</f>
        <v/>
      </c>
      <c r="F122" s="42">
        <f>(E122-F757)^2</f>
        <v/>
      </c>
      <c r="G122" s="41">
        <f>(E122-F757)^3</f>
        <v/>
      </c>
      <c r="H122" s="41">
        <f>(E122-F757)^4</f>
        <v/>
      </c>
      <c r="I122" s="40" t="n"/>
    </row>
    <row r="123" ht="15" customHeight="1" s="28">
      <c r="A123" s="37" t="n">
        <v>111</v>
      </c>
      <c r="B123" s="37" t="n">
        <v>110</v>
      </c>
      <c r="C123" s="38" t="n">
        <v>4579.79</v>
      </c>
      <c r="D123" s="38">
        <f>4541.138727+0.225904*B123</f>
        <v/>
      </c>
      <c r="E123" s="39">
        <f>C123-D123</f>
        <v/>
      </c>
      <c r="F123" s="39">
        <f>(E123-F757)^2</f>
        <v/>
      </c>
      <c r="G123" s="38">
        <f>(E123-F757)^3</f>
        <v/>
      </c>
      <c r="H123" s="38">
        <f>(E123-F757)^4</f>
        <v/>
      </c>
      <c r="I123" s="37" t="n"/>
    </row>
    <row r="124" ht="15" customHeight="1" s="28">
      <c r="A124" s="40" t="n">
        <v>112</v>
      </c>
      <c r="B124" s="40" t="n">
        <v>111</v>
      </c>
      <c r="C124" s="41" t="n">
        <v>4576.31</v>
      </c>
      <c r="D124" s="41">
        <f>4541.138727+0.225904*B124</f>
        <v/>
      </c>
      <c r="E124" s="42">
        <f>C124-D124</f>
        <v/>
      </c>
      <c r="F124" s="42">
        <f>(E124-F757)^2</f>
        <v/>
      </c>
      <c r="G124" s="41">
        <f>(E124-F757)^3</f>
        <v/>
      </c>
      <c r="H124" s="41">
        <f>(E124-F757)^4</f>
        <v/>
      </c>
      <c r="I124" s="40" t="n"/>
    </row>
    <row r="125" ht="15" customHeight="1" s="28">
      <c r="A125" s="37" t="n">
        <v>113</v>
      </c>
      <c r="B125" s="37" t="n">
        <v>112</v>
      </c>
      <c r="C125" s="38" t="n">
        <v>4579.13</v>
      </c>
      <c r="D125" s="38">
        <f>4541.138727+0.225904*B125</f>
        <v/>
      </c>
      <c r="E125" s="39">
        <f>C125-D125</f>
        <v/>
      </c>
      <c r="F125" s="39">
        <f>(E125-F757)^2</f>
        <v/>
      </c>
      <c r="G125" s="38">
        <f>(E125-F757)^3</f>
        <v/>
      </c>
      <c r="H125" s="38">
        <f>(E125-F757)^4</f>
        <v/>
      </c>
      <c r="I125" s="37" t="n"/>
    </row>
    <row r="126" ht="15" customHeight="1" s="28">
      <c r="A126" s="40" t="n">
        <v>114</v>
      </c>
      <c r="B126" s="40" t="n">
        <v>113</v>
      </c>
      <c r="C126" s="41" t="n">
        <v>4579.74</v>
      </c>
      <c r="D126" s="41">
        <f>4541.138727+0.225904*B126</f>
        <v/>
      </c>
      <c r="E126" s="42">
        <f>C126-D126</f>
        <v/>
      </c>
      <c r="F126" s="42">
        <f>(E126-F757)^2</f>
        <v/>
      </c>
      <c r="G126" s="41">
        <f>(E126-F757)^3</f>
        <v/>
      </c>
      <c r="H126" s="41">
        <f>(E126-F757)^4</f>
        <v/>
      </c>
      <c r="I126" s="40" t="n"/>
    </row>
    <row r="127" ht="15" customHeight="1" s="28">
      <c r="A127" s="37" t="n">
        <v>115</v>
      </c>
      <c r="B127" s="37" t="n">
        <v>114</v>
      </c>
      <c r="C127" s="38" t="n">
        <v>4573.13</v>
      </c>
      <c r="D127" s="38">
        <f>4541.138727+0.225904*B127</f>
        <v/>
      </c>
      <c r="E127" s="39">
        <f>C127-D127</f>
        <v/>
      </c>
      <c r="F127" s="39">
        <f>(E127-F757)^2</f>
        <v/>
      </c>
      <c r="G127" s="38">
        <f>(E127-F757)^3</f>
        <v/>
      </c>
      <c r="H127" s="38">
        <f>(E127-F757)^4</f>
        <v/>
      </c>
      <c r="I127" s="37" t="n"/>
    </row>
    <row r="128" ht="15" customHeight="1" s="28">
      <c r="A128" s="40" t="n">
        <v>116</v>
      </c>
      <c r="B128" s="40" t="n">
        <v>115</v>
      </c>
      <c r="C128" s="41" t="n">
        <v>4562.53</v>
      </c>
      <c r="D128" s="41">
        <f>4541.138727+0.225904*B128</f>
        <v/>
      </c>
      <c r="E128" s="42">
        <f>C128-D128</f>
        <v/>
      </c>
      <c r="F128" s="42">
        <f>(E128-F757)^2</f>
        <v/>
      </c>
      <c r="G128" s="41">
        <f>(E128-F757)^3</f>
        <v/>
      </c>
      <c r="H128" s="41">
        <f>(E128-F757)^4</f>
        <v/>
      </c>
      <c r="I128" s="40" t="n"/>
    </row>
    <row r="129" ht="15" customHeight="1" s="28">
      <c r="A129" s="37" t="n">
        <v>117</v>
      </c>
      <c r="B129" s="37" t="n">
        <v>116</v>
      </c>
      <c r="C129" s="38" t="n">
        <v>4565.02</v>
      </c>
      <c r="D129" s="38">
        <f>4541.138727+0.225904*B129</f>
        <v/>
      </c>
      <c r="E129" s="39">
        <f>C129-D129</f>
        <v/>
      </c>
      <c r="F129" s="39">
        <f>(E129-F757)^2</f>
        <v/>
      </c>
      <c r="G129" s="38">
        <f>(E129-F757)^3</f>
        <v/>
      </c>
      <c r="H129" s="38">
        <f>(E129-F757)^4</f>
        <v/>
      </c>
      <c r="I129" s="37" t="n"/>
    </row>
    <row r="130" ht="15" customHeight="1" s="28">
      <c r="A130" s="40" t="n">
        <v>118</v>
      </c>
      <c r="B130" s="40" t="n">
        <v>117</v>
      </c>
      <c r="C130" s="41" t="n">
        <v>4564.98</v>
      </c>
      <c r="D130" s="41">
        <f>4541.138727+0.225904*B130</f>
        <v/>
      </c>
      <c r="E130" s="42">
        <f>C130-D130</f>
        <v/>
      </c>
      <c r="F130" s="42">
        <f>(E130-F757)^2</f>
        <v/>
      </c>
      <c r="G130" s="41">
        <f>(E130-F757)^3</f>
        <v/>
      </c>
      <c r="H130" s="41">
        <f>(E130-F757)^4</f>
        <v/>
      </c>
      <c r="I130" s="40" t="n"/>
    </row>
    <row r="131" ht="15" customHeight="1" s="28">
      <c r="A131" s="37" t="n">
        <v>119</v>
      </c>
      <c r="B131" s="37" t="n">
        <v>118</v>
      </c>
      <c r="C131" s="38" t="n">
        <v>4563.32</v>
      </c>
      <c r="D131" s="38">
        <f>4541.138727+0.225904*B131</f>
        <v/>
      </c>
      <c r="E131" s="39">
        <f>C131-D131</f>
        <v/>
      </c>
      <c r="F131" s="39">
        <f>(E131-F757)^2</f>
        <v/>
      </c>
      <c r="G131" s="38">
        <f>(E131-F757)^3</f>
        <v/>
      </c>
      <c r="H131" s="38">
        <f>(E131-F757)^4</f>
        <v/>
      </c>
      <c r="I131" s="37" t="n"/>
    </row>
    <row r="132" ht="15" customHeight="1" s="28">
      <c r="A132" s="40" t="n">
        <v>120</v>
      </c>
      <c r="B132" s="40" t="n">
        <v>119</v>
      </c>
      <c r="C132" s="41" t="n">
        <v>4561.66</v>
      </c>
      <c r="D132" s="41">
        <f>4541.138727+0.225904*B132</f>
        <v/>
      </c>
      <c r="E132" s="42">
        <f>C132-D132</f>
        <v/>
      </c>
      <c r="F132" s="42">
        <f>(E132-F757)^2</f>
        <v/>
      </c>
      <c r="G132" s="41">
        <f>(E132-F757)^3</f>
        <v/>
      </c>
      <c r="H132" s="41">
        <f>(E132-F757)^4</f>
        <v/>
      </c>
      <c r="I132" s="40" t="n"/>
    </row>
    <row r="133" ht="15" customHeight="1" s="28">
      <c r="A133" s="37" t="n">
        <v>121</v>
      </c>
      <c r="B133" s="37" t="n">
        <v>120</v>
      </c>
      <c r="C133" s="38" t="n">
        <v>4556.09</v>
      </c>
      <c r="D133" s="38">
        <f>4541.138727+0.225904*B133</f>
        <v/>
      </c>
      <c r="E133" s="39">
        <f>C133-D133</f>
        <v/>
      </c>
      <c r="F133" s="39">
        <f>(E133-F757)^2</f>
        <v/>
      </c>
      <c r="G133" s="38">
        <f>(E133-F757)^3</f>
        <v/>
      </c>
      <c r="H133" s="38">
        <f>(E133-F757)^4</f>
        <v/>
      </c>
      <c r="I133" s="37" t="n"/>
    </row>
    <row r="134" ht="15" customHeight="1" s="28">
      <c r="A134" s="40" t="n">
        <v>122</v>
      </c>
      <c r="B134" s="40" t="n">
        <v>121</v>
      </c>
      <c r="C134" s="41" t="n">
        <v>4555.41</v>
      </c>
      <c r="D134" s="41">
        <f>4541.138727+0.225904*B134</f>
        <v/>
      </c>
      <c r="E134" s="42">
        <f>C134-D134</f>
        <v/>
      </c>
      <c r="F134" s="42">
        <f>(E134-F757)^2</f>
        <v/>
      </c>
      <c r="G134" s="41">
        <f>(E134-F757)^3</f>
        <v/>
      </c>
      <c r="H134" s="41">
        <f>(E134-F757)^4</f>
        <v/>
      </c>
      <c r="I134" s="40" t="n"/>
    </row>
    <row r="135" ht="15" customHeight="1" s="28">
      <c r="A135" s="37" t="n">
        <v>123</v>
      </c>
      <c r="B135" s="37" t="n">
        <v>122</v>
      </c>
      <c r="C135" s="38" t="n">
        <v>4547.28</v>
      </c>
      <c r="D135" s="38">
        <f>4541.138727+0.225904*B135</f>
        <v/>
      </c>
      <c r="E135" s="39">
        <f>C135-D135</f>
        <v/>
      </c>
      <c r="F135" s="39">
        <f>(E135-F757)^2</f>
        <v/>
      </c>
      <c r="G135" s="38">
        <f>(E135-F757)^3</f>
        <v/>
      </c>
      <c r="H135" s="38">
        <f>(E135-F757)^4</f>
        <v/>
      </c>
      <c r="I135" s="37" t="n"/>
    </row>
    <row r="136" ht="15" customHeight="1" s="28">
      <c r="A136" s="40" t="n">
        <v>124</v>
      </c>
      <c r="B136" s="40" t="n">
        <v>123</v>
      </c>
      <c r="C136" s="41" t="n">
        <v>4544.74</v>
      </c>
      <c r="D136" s="41">
        <f>4541.138727+0.225904*B136</f>
        <v/>
      </c>
      <c r="E136" s="42">
        <f>C136-D136</f>
        <v/>
      </c>
      <c r="F136" s="42">
        <f>(E136-F757)^2</f>
        <v/>
      </c>
      <c r="G136" s="41">
        <f>(E136-F757)^3</f>
        <v/>
      </c>
      <c r="H136" s="41">
        <f>(E136-F757)^4</f>
        <v/>
      </c>
      <c r="I136" s="40" t="n"/>
    </row>
    <row r="137" ht="15" customHeight="1" s="28">
      <c r="A137" s="37" t="n">
        <v>125</v>
      </c>
      <c r="B137" s="37" t="n">
        <v>124</v>
      </c>
      <c r="C137" s="38" t="n">
        <v>4541.91</v>
      </c>
      <c r="D137" s="38">
        <f>4541.138727+0.225904*B137</f>
        <v/>
      </c>
      <c r="E137" s="39">
        <f>C137-D137</f>
        <v/>
      </c>
      <c r="F137" s="39">
        <f>(E137-F757)^2</f>
        <v/>
      </c>
      <c r="G137" s="38">
        <f>(E137-F757)^3</f>
        <v/>
      </c>
      <c r="H137" s="38">
        <f>(E137-F757)^4</f>
        <v/>
      </c>
      <c r="I137" s="37" t="n"/>
    </row>
    <row r="138" ht="15" customHeight="1" s="28">
      <c r="A138" s="40" t="n">
        <v>126</v>
      </c>
      <c r="B138" s="40" t="n">
        <v>125</v>
      </c>
      <c r="C138" s="41" t="n">
        <v>4553.22</v>
      </c>
      <c r="D138" s="41">
        <f>4541.138727+0.225904*B138</f>
        <v/>
      </c>
      <c r="E138" s="42">
        <f>C138-D138</f>
        <v/>
      </c>
      <c r="F138" s="42">
        <f>(E138-F757)^2</f>
        <v/>
      </c>
      <c r="G138" s="41">
        <f>(E138-F757)^3</f>
        <v/>
      </c>
      <c r="H138" s="41">
        <f>(E138-F757)^4</f>
        <v/>
      </c>
      <c r="I138" s="40" t="n"/>
    </row>
    <row r="139" ht="15" customHeight="1" s="28">
      <c r="A139" s="37" t="n">
        <v>127</v>
      </c>
      <c r="B139" s="37" t="n">
        <v>126</v>
      </c>
      <c r="C139" s="38" t="n">
        <v>4555.73</v>
      </c>
      <c r="D139" s="38">
        <f>4541.138727+0.225904*B139</f>
        <v/>
      </c>
      <c r="E139" s="39">
        <f>C139-D139</f>
        <v/>
      </c>
      <c r="F139" s="39">
        <f>(E139-F757)^2</f>
        <v/>
      </c>
      <c r="G139" s="38">
        <f>(E139-F757)^3</f>
        <v/>
      </c>
      <c r="H139" s="38">
        <f>(E139-F757)^4</f>
        <v/>
      </c>
      <c r="I139" s="37" t="n"/>
    </row>
    <row r="140" ht="15" customHeight="1" s="28">
      <c r="A140" s="40" t="n">
        <v>128</v>
      </c>
      <c r="B140" s="40" t="n">
        <v>127</v>
      </c>
      <c r="C140" s="41" t="n">
        <v>4564.04</v>
      </c>
      <c r="D140" s="41">
        <f>4541.138727+0.225904*B140</f>
        <v/>
      </c>
      <c r="E140" s="42">
        <f>C140-D140</f>
        <v/>
      </c>
      <c r="F140" s="42">
        <f>(E140-F757)^2</f>
        <v/>
      </c>
      <c r="G140" s="41">
        <f>(E140-F757)^3</f>
        <v/>
      </c>
      <c r="H140" s="41">
        <f>(E140-F757)^4</f>
        <v/>
      </c>
      <c r="I140" s="40" t="n"/>
    </row>
    <row r="141" ht="15" customHeight="1" s="28">
      <c r="A141" s="37" t="n">
        <v>129</v>
      </c>
      <c r="B141" s="37" t="n">
        <v>128</v>
      </c>
      <c r="C141" s="38" t="n">
        <v>4562.71</v>
      </c>
      <c r="D141" s="38">
        <f>4541.138727+0.225904*B141</f>
        <v/>
      </c>
      <c r="E141" s="39">
        <f>C141-D141</f>
        <v/>
      </c>
      <c r="F141" s="39">
        <f>(E141-F757)^2</f>
        <v/>
      </c>
      <c r="G141" s="38">
        <f>(E141-F757)^3</f>
        <v/>
      </c>
      <c r="H141" s="38">
        <f>(E141-F757)^4</f>
        <v/>
      </c>
      <c r="I141" s="37" t="n"/>
    </row>
    <row r="142" ht="15" customHeight="1" s="28">
      <c r="A142" s="40" t="n">
        <v>130</v>
      </c>
      <c r="B142" s="40" t="n">
        <v>129</v>
      </c>
      <c r="C142" s="41" t="n">
        <v>4566.21</v>
      </c>
      <c r="D142" s="41">
        <f>4541.138727+0.225904*B142</f>
        <v/>
      </c>
      <c r="E142" s="42">
        <f>C142-D142</f>
        <v/>
      </c>
      <c r="F142" s="42">
        <f>(E142-F757)^2</f>
        <v/>
      </c>
      <c r="G142" s="41">
        <f>(E142-F757)^3</f>
        <v/>
      </c>
      <c r="H142" s="41">
        <f>(E142-F757)^4</f>
        <v/>
      </c>
      <c r="I142" s="40" t="n"/>
    </row>
    <row r="143" ht="15" customHeight="1" s="28">
      <c r="A143" s="37" t="n">
        <v>131</v>
      </c>
      <c r="B143" s="37" t="n">
        <v>130</v>
      </c>
      <c r="C143" s="38" t="n">
        <v>4569.57</v>
      </c>
      <c r="D143" s="38">
        <f>4541.138727+0.225904*B143</f>
        <v/>
      </c>
      <c r="E143" s="39">
        <f>C143-D143</f>
        <v/>
      </c>
      <c r="F143" s="39">
        <f>(E143-F757)^2</f>
        <v/>
      </c>
      <c r="G143" s="38">
        <f>(E143-F757)^3</f>
        <v/>
      </c>
      <c r="H143" s="38">
        <f>(E143-F757)^4</f>
        <v/>
      </c>
      <c r="I143" s="37" t="n"/>
    </row>
    <row r="144" ht="15" customHeight="1" s="28">
      <c r="A144" s="40" t="n">
        <v>132</v>
      </c>
      <c r="B144" s="40" t="n">
        <v>131</v>
      </c>
      <c r="C144" s="41" t="n">
        <v>4575.23</v>
      </c>
      <c r="D144" s="41">
        <f>4541.138727+0.225904*B144</f>
        <v/>
      </c>
      <c r="E144" s="42">
        <f>C144-D144</f>
        <v/>
      </c>
      <c r="F144" s="42">
        <f>(E144-F757)^2</f>
        <v/>
      </c>
      <c r="G144" s="41">
        <f>(E144-F757)^3</f>
        <v/>
      </c>
      <c r="H144" s="41">
        <f>(E144-F757)^4</f>
        <v/>
      </c>
      <c r="I144" s="40" t="n"/>
    </row>
    <row r="145" ht="15" customHeight="1" s="28">
      <c r="A145" s="37" t="n">
        <v>133</v>
      </c>
      <c r="B145" s="37" t="n">
        <v>132</v>
      </c>
      <c r="C145" s="38" t="n">
        <v>4589.44</v>
      </c>
      <c r="D145" s="38">
        <f>4541.138727+0.225904*B145</f>
        <v/>
      </c>
      <c r="E145" s="39">
        <f>C145-D145</f>
        <v/>
      </c>
      <c r="F145" s="39">
        <f>(E145-F757)^2</f>
        <v/>
      </c>
      <c r="G145" s="38">
        <f>(E145-F757)^3</f>
        <v/>
      </c>
      <c r="H145" s="38">
        <f>(E145-F757)^4</f>
        <v/>
      </c>
      <c r="I145" s="37" t="n"/>
    </row>
    <row r="146" ht="15" customHeight="1" s="28">
      <c r="A146" s="40" t="n">
        <v>134</v>
      </c>
      <c r="B146" s="40" t="n">
        <v>133</v>
      </c>
      <c r="C146" s="41" t="n">
        <v>4591.59</v>
      </c>
      <c r="D146" s="41">
        <f>4541.138727+0.225904*B146</f>
        <v/>
      </c>
      <c r="E146" s="42">
        <f>C146-D146</f>
        <v/>
      </c>
      <c r="F146" s="42">
        <f>(E146-F757)^2</f>
        <v/>
      </c>
      <c r="G146" s="41">
        <f>(E146-F757)^3</f>
        <v/>
      </c>
      <c r="H146" s="41">
        <f>(E146-F757)^4</f>
        <v/>
      </c>
      <c r="I146" s="40" t="n"/>
    </row>
    <row r="147" ht="15" customHeight="1" s="28">
      <c r="A147" s="37" t="n">
        <v>135</v>
      </c>
      <c r="B147" s="37" t="n">
        <v>134</v>
      </c>
      <c r="C147" s="38" t="n">
        <v>4591.59</v>
      </c>
      <c r="D147" s="38">
        <f>4541.138727+0.225904*B147</f>
        <v/>
      </c>
      <c r="E147" s="39">
        <f>C147-D147</f>
        <v/>
      </c>
      <c r="F147" s="39">
        <f>(E147-F757)^2</f>
        <v/>
      </c>
      <c r="G147" s="38">
        <f>(E147-F757)^3</f>
        <v/>
      </c>
      <c r="H147" s="38">
        <f>(E147-F757)^4</f>
        <v/>
      </c>
      <c r="I147" s="37" t="n"/>
    </row>
    <row r="148" ht="15" customHeight="1" s="28">
      <c r="A148" s="40" t="n">
        <v>136</v>
      </c>
      <c r="B148" s="40" t="n">
        <v>135</v>
      </c>
      <c r="C148" s="41" t="n">
        <v>4596.69</v>
      </c>
      <c r="D148" s="41">
        <f>4541.138727+0.225904*B148</f>
        <v/>
      </c>
      <c r="E148" s="42">
        <f>C148-D148</f>
        <v/>
      </c>
      <c r="F148" s="42">
        <f>(E148-F757)^2</f>
        <v/>
      </c>
      <c r="G148" s="41">
        <f>(E148-F757)^3</f>
        <v/>
      </c>
      <c r="H148" s="41">
        <f>(E148-F757)^4</f>
        <v/>
      </c>
      <c r="I148" s="40" t="n"/>
    </row>
    <row r="149" ht="15" customHeight="1" s="28">
      <c r="A149" s="37" t="n">
        <v>137</v>
      </c>
      <c r="B149" s="37" t="n">
        <v>136</v>
      </c>
      <c r="C149" s="38" t="n">
        <v>4598.44</v>
      </c>
      <c r="D149" s="38">
        <f>4541.138727+0.225904*B149</f>
        <v/>
      </c>
      <c r="E149" s="39">
        <f>C149-D149</f>
        <v/>
      </c>
      <c r="F149" s="39">
        <f>(E149-F757)^2</f>
        <v/>
      </c>
      <c r="G149" s="38">
        <f>(E149-F757)^3</f>
        <v/>
      </c>
      <c r="H149" s="38">
        <f>(E149-F757)^4</f>
        <v/>
      </c>
      <c r="I149" s="37" t="n"/>
    </row>
    <row r="150" ht="15" customHeight="1" s="28">
      <c r="A150" s="40" t="n">
        <v>138</v>
      </c>
      <c r="B150" s="40" t="n">
        <v>137</v>
      </c>
      <c r="C150" s="41" t="n">
        <v>4618.7</v>
      </c>
      <c r="D150" s="41">
        <f>4541.138727+0.225904*B150</f>
        <v/>
      </c>
      <c r="E150" s="42">
        <f>C150-D150</f>
        <v/>
      </c>
      <c r="F150" s="42">
        <f>(E150-F757)^2</f>
        <v/>
      </c>
      <c r="G150" s="41">
        <f>(E150-F757)^3</f>
        <v/>
      </c>
      <c r="H150" s="41">
        <f>(E150-F757)^4</f>
        <v/>
      </c>
      <c r="I150" s="40" t="n"/>
    </row>
    <row r="151" ht="15" customHeight="1" s="28">
      <c r="A151" s="37" t="n">
        <v>139</v>
      </c>
      <c r="B151" s="37" t="n">
        <v>138</v>
      </c>
      <c r="C151" s="38" t="n">
        <v>4617.35</v>
      </c>
      <c r="D151" s="38">
        <f>4541.138727+0.225904*B151</f>
        <v/>
      </c>
      <c r="E151" s="39">
        <f>C151-D151</f>
        <v/>
      </c>
      <c r="F151" s="39">
        <f>(E151-F757)^2</f>
        <v/>
      </c>
      <c r="G151" s="38">
        <f>(E151-F757)^3</f>
        <v/>
      </c>
      <c r="H151" s="38">
        <f>(E151-F757)^4</f>
        <v/>
      </c>
      <c r="I151" s="37" t="n"/>
    </row>
    <row r="152" ht="15" customHeight="1" s="28">
      <c r="A152" s="40" t="n">
        <v>140</v>
      </c>
      <c r="B152" s="40" t="n">
        <v>139</v>
      </c>
      <c r="C152" s="41" t="n">
        <v>4614.82</v>
      </c>
      <c r="D152" s="41">
        <f>4541.138727+0.225904*B152</f>
        <v/>
      </c>
      <c r="E152" s="42">
        <f>C152-D152</f>
        <v/>
      </c>
      <c r="F152" s="42">
        <f>(E152-F757)^2</f>
        <v/>
      </c>
      <c r="G152" s="41">
        <f>(E152-F757)^3</f>
        <v/>
      </c>
      <c r="H152" s="41">
        <f>(E152-F757)^4</f>
        <v/>
      </c>
      <c r="I152" s="40" t="n"/>
    </row>
    <row r="153" ht="15" customHeight="1" s="28">
      <c r="A153" s="37" t="n">
        <v>141</v>
      </c>
      <c r="B153" s="37" t="n">
        <v>140</v>
      </c>
      <c r="C153" s="38" t="n">
        <v>4616</v>
      </c>
      <c r="D153" s="38">
        <f>4541.138727+0.225904*B153</f>
        <v/>
      </c>
      <c r="E153" s="39">
        <f>C153-D153</f>
        <v/>
      </c>
      <c r="F153" s="39">
        <f>(E153-F757)^2</f>
        <v/>
      </c>
      <c r="G153" s="38">
        <f>(E153-F757)^3</f>
        <v/>
      </c>
      <c r="H153" s="38">
        <f>(E153-F757)^4</f>
        <v/>
      </c>
      <c r="I153" s="37" t="n"/>
    </row>
    <row r="154" ht="15" customHeight="1" s="28">
      <c r="A154" s="40" t="n">
        <v>142</v>
      </c>
      <c r="B154" s="40" t="n">
        <v>141</v>
      </c>
      <c r="C154" s="41" t="n">
        <v>4618.96</v>
      </c>
      <c r="D154" s="41">
        <f>4541.138727+0.225904*B154</f>
        <v/>
      </c>
      <c r="E154" s="42">
        <f>C154-D154</f>
        <v/>
      </c>
      <c r="F154" s="42">
        <f>(E154-F757)^2</f>
        <v/>
      </c>
      <c r="G154" s="41">
        <f>(E154-F757)^3</f>
        <v/>
      </c>
      <c r="H154" s="41">
        <f>(E154-F757)^4</f>
        <v/>
      </c>
      <c r="I154" s="40" t="n"/>
    </row>
    <row r="155" ht="15" customHeight="1" s="28">
      <c r="A155" s="37" t="n">
        <v>143</v>
      </c>
      <c r="B155" s="37" t="n">
        <v>142</v>
      </c>
      <c r="C155" s="38" t="n">
        <v>4625.41</v>
      </c>
      <c r="D155" s="38">
        <f>4541.138727+0.225904*B155</f>
        <v/>
      </c>
      <c r="E155" s="39">
        <f>C155-D155</f>
        <v/>
      </c>
      <c r="F155" s="39">
        <f>(E155-F757)^2</f>
        <v/>
      </c>
      <c r="G155" s="38">
        <f>(E155-F757)^3</f>
        <v/>
      </c>
      <c r="H155" s="38">
        <f>(E155-F757)^4</f>
        <v/>
      </c>
      <c r="I155" s="37" t="n"/>
    </row>
    <row r="156" ht="15" customHeight="1" s="28">
      <c r="A156" s="40" t="n">
        <v>144</v>
      </c>
      <c r="B156" s="40" t="n">
        <v>143</v>
      </c>
      <c r="C156" s="41" t="n">
        <v>4619.35</v>
      </c>
      <c r="D156" s="41">
        <f>4541.138727+0.225904*B156</f>
        <v/>
      </c>
      <c r="E156" s="42">
        <f>C156-D156</f>
        <v/>
      </c>
      <c r="F156" s="42">
        <f>(E156-F757)^2</f>
        <v/>
      </c>
      <c r="G156" s="41">
        <f>(E156-F757)^3</f>
        <v/>
      </c>
      <c r="H156" s="41">
        <f>(E156-F757)^4</f>
        <v/>
      </c>
      <c r="I156" s="40" t="n"/>
    </row>
    <row r="157" ht="15" customHeight="1" s="28">
      <c r="A157" s="37" t="n">
        <v>145</v>
      </c>
      <c r="B157" s="37" t="n">
        <v>144</v>
      </c>
      <c r="C157" s="38" t="n">
        <v>4624.91</v>
      </c>
      <c r="D157" s="38">
        <f>4541.138727+0.225904*B157</f>
        <v/>
      </c>
      <c r="E157" s="39">
        <f>C157-D157</f>
        <v/>
      </c>
      <c r="F157" s="39">
        <f>(E157-F757)^2</f>
        <v/>
      </c>
      <c r="G157" s="38">
        <f>(E157-F757)^3</f>
        <v/>
      </c>
      <c r="H157" s="38">
        <f>(E157-F757)^4</f>
        <v/>
      </c>
      <c r="I157" s="37" t="n"/>
    </row>
    <row r="158" ht="15" customHeight="1" s="28">
      <c r="A158" s="40" t="n">
        <v>146</v>
      </c>
      <c r="B158" s="40" t="n">
        <v>145</v>
      </c>
      <c r="C158" s="41" t="n">
        <v>4626.92</v>
      </c>
      <c r="D158" s="41">
        <f>4541.138727+0.225904*B158</f>
        <v/>
      </c>
      <c r="E158" s="42">
        <f>C158-D158</f>
        <v/>
      </c>
      <c r="F158" s="42">
        <f>(E158-F757)^2</f>
        <v/>
      </c>
      <c r="G158" s="41">
        <f>(E158-F757)^3</f>
        <v/>
      </c>
      <c r="H158" s="41">
        <f>(E158-F757)^4</f>
        <v/>
      </c>
      <c r="I158" s="40" t="n"/>
    </row>
    <row r="159" ht="15" customHeight="1" s="28">
      <c r="A159" s="37" t="n">
        <v>147</v>
      </c>
      <c r="B159" s="37" t="n">
        <v>146</v>
      </c>
      <c r="C159" s="38" t="n">
        <v>4643.78</v>
      </c>
      <c r="D159" s="38">
        <f>4541.138727+0.225904*B159</f>
        <v/>
      </c>
      <c r="E159" s="39">
        <f>C159-D159</f>
        <v/>
      </c>
      <c r="F159" s="39">
        <f>(E159-F757)^2</f>
        <v/>
      </c>
      <c r="G159" s="38">
        <f>(E159-F757)^3</f>
        <v/>
      </c>
      <c r="H159" s="38">
        <f>(E159-F757)^4</f>
        <v/>
      </c>
      <c r="I159" s="37" t="n"/>
    </row>
    <row r="160" ht="15" customHeight="1" s="28">
      <c r="A160" s="40" t="n">
        <v>148</v>
      </c>
      <c r="B160" s="40" t="n">
        <v>147</v>
      </c>
      <c r="C160" s="41" t="n">
        <v>4636.62</v>
      </c>
      <c r="D160" s="41">
        <f>4541.138727+0.225904*B160</f>
        <v/>
      </c>
      <c r="E160" s="42">
        <f>C160-D160</f>
        <v/>
      </c>
      <c r="F160" s="42">
        <f>(E160-F757)^2</f>
        <v/>
      </c>
      <c r="G160" s="41">
        <f>(E160-F757)^3</f>
        <v/>
      </c>
      <c r="H160" s="41">
        <f>(E160-F757)^4</f>
        <v/>
      </c>
      <c r="I160" s="40" t="n"/>
    </row>
    <row r="161" ht="15" customHeight="1" s="28">
      <c r="A161" s="37" t="n">
        <v>149</v>
      </c>
      <c r="B161" s="37" t="n">
        <v>148</v>
      </c>
      <c r="C161" s="38" t="n">
        <v>4639.68</v>
      </c>
      <c r="D161" s="38">
        <f>4541.138727+0.225904*B161</f>
        <v/>
      </c>
      <c r="E161" s="39">
        <f>C161-D161</f>
        <v/>
      </c>
      <c r="F161" s="39">
        <f>(E161-F757)^2</f>
        <v/>
      </c>
      <c r="G161" s="38">
        <f>(E161-F757)^3</f>
        <v/>
      </c>
      <c r="H161" s="38">
        <f>(E161-F757)^4</f>
        <v/>
      </c>
      <c r="I161" s="37" t="n"/>
    </row>
    <row r="162" ht="15" customHeight="1" s="28">
      <c r="A162" s="40" t="n">
        <v>150</v>
      </c>
      <c r="B162" s="40" t="n">
        <v>149</v>
      </c>
      <c r="C162" s="41" t="n">
        <v>4635.99</v>
      </c>
      <c r="D162" s="41">
        <f>4541.138727+0.225904*B162</f>
        <v/>
      </c>
      <c r="E162" s="42">
        <f>C162-D162</f>
        <v/>
      </c>
      <c r="F162" s="42">
        <f>(E162-F757)^2</f>
        <v/>
      </c>
      <c r="G162" s="41">
        <f>(E162-F757)^3</f>
        <v/>
      </c>
      <c r="H162" s="41">
        <f>(E162-F757)^4</f>
        <v/>
      </c>
      <c r="I162" s="40" t="n"/>
    </row>
    <row r="163" ht="15" customHeight="1" s="28">
      <c r="A163" s="37" t="n">
        <v>151</v>
      </c>
      <c r="B163" s="37" t="n">
        <v>150</v>
      </c>
      <c r="C163" s="38" t="n">
        <v>4637.7</v>
      </c>
      <c r="D163" s="38">
        <f>4541.138727+0.225904*B163</f>
        <v/>
      </c>
      <c r="E163" s="39">
        <f>C163-D163</f>
        <v/>
      </c>
      <c r="F163" s="39">
        <f>(E163-F757)^2</f>
        <v/>
      </c>
      <c r="G163" s="38">
        <f>(E163-F757)^3</f>
        <v/>
      </c>
      <c r="H163" s="38">
        <f>(E163-F757)^4</f>
        <v/>
      </c>
      <c r="I163" s="37" t="n"/>
    </row>
    <row r="164" ht="15" customHeight="1" s="28">
      <c r="A164" s="40" t="n">
        <v>152</v>
      </c>
      <c r="B164" s="40" t="n">
        <v>151</v>
      </c>
      <c r="C164" s="41" t="n">
        <v>4629.82</v>
      </c>
      <c r="D164" s="41">
        <f>4541.138727+0.225904*B164</f>
        <v/>
      </c>
      <c r="E164" s="42">
        <f>C164-D164</f>
        <v/>
      </c>
      <c r="F164" s="42">
        <f>(E164-F757)^2</f>
        <v/>
      </c>
      <c r="G164" s="41">
        <f>(E164-F757)^3</f>
        <v/>
      </c>
      <c r="H164" s="41">
        <f>(E164-F757)^4</f>
        <v/>
      </c>
      <c r="I164" s="40" t="n"/>
    </row>
    <row r="165" ht="15" customHeight="1" s="28">
      <c r="A165" s="37" t="n">
        <v>153</v>
      </c>
      <c r="B165" s="37" t="n">
        <v>152</v>
      </c>
      <c r="C165" s="38" t="n">
        <v>4630.21</v>
      </c>
      <c r="D165" s="38">
        <f>4541.138727+0.225904*B165</f>
        <v/>
      </c>
      <c r="E165" s="39">
        <f>C165-D165</f>
        <v/>
      </c>
      <c r="F165" s="39">
        <f>(E165-F757)^2</f>
        <v/>
      </c>
      <c r="G165" s="38">
        <f>(E165-F757)^3</f>
        <v/>
      </c>
      <c r="H165" s="38">
        <f>(E165-F757)^4</f>
        <v/>
      </c>
      <c r="I165" s="37" t="n"/>
    </row>
    <row r="166" ht="15" customHeight="1" s="28">
      <c r="A166" s="40" t="n">
        <v>154</v>
      </c>
      <c r="B166" s="40" t="n">
        <v>153</v>
      </c>
      <c r="C166" s="41" t="n">
        <v>4635.81</v>
      </c>
      <c r="D166" s="41">
        <f>4541.138727+0.225904*B166</f>
        <v/>
      </c>
      <c r="E166" s="42">
        <f>C166-D166</f>
        <v/>
      </c>
      <c r="F166" s="42">
        <f>(E166-F757)^2</f>
        <v/>
      </c>
      <c r="G166" s="41">
        <f>(E166-F757)^3</f>
        <v/>
      </c>
      <c r="H166" s="41">
        <f>(E166-F757)^4</f>
        <v/>
      </c>
      <c r="I166" s="40" t="n"/>
    </row>
    <row r="167" ht="15" customHeight="1" s="28">
      <c r="A167" s="37" t="n">
        <v>155</v>
      </c>
      <c r="B167" s="37" t="n">
        <v>154</v>
      </c>
      <c r="C167" s="38" t="n">
        <v>4630.51</v>
      </c>
      <c r="D167" s="38">
        <f>4541.138727+0.225904*B167</f>
        <v/>
      </c>
      <c r="E167" s="39">
        <f>C167-D167</f>
        <v/>
      </c>
      <c r="F167" s="39">
        <f>(E167-F757)^2</f>
        <v/>
      </c>
      <c r="G167" s="38">
        <f>(E167-F757)^3</f>
        <v/>
      </c>
      <c r="H167" s="38">
        <f>(E167-F757)^4</f>
        <v/>
      </c>
      <c r="I167" s="37" t="n"/>
    </row>
    <row r="168" ht="15" customHeight="1" s="28">
      <c r="A168" s="40" t="n">
        <v>156</v>
      </c>
      <c r="B168" s="40" t="n">
        <v>155</v>
      </c>
      <c r="C168" s="41" t="n">
        <v>4625.92</v>
      </c>
      <c r="D168" s="41">
        <f>4541.138727+0.225904*B168</f>
        <v/>
      </c>
      <c r="E168" s="42">
        <f>C168-D168</f>
        <v/>
      </c>
      <c r="F168" s="42">
        <f>(E168-F757)^2</f>
        <v/>
      </c>
      <c r="G168" s="41">
        <f>(E168-F757)^3</f>
        <v/>
      </c>
      <c r="H168" s="41">
        <f>(E168-F757)^4</f>
        <v/>
      </c>
      <c r="I168" s="40" t="n"/>
    </row>
    <row r="169" ht="15" customHeight="1" s="28">
      <c r="A169" s="37" t="n">
        <v>157</v>
      </c>
      <c r="B169" s="37" t="n">
        <v>156</v>
      </c>
      <c r="C169" s="38" t="n">
        <v>4639.57</v>
      </c>
      <c r="D169" s="38">
        <f>4541.138727+0.225904*B169</f>
        <v/>
      </c>
      <c r="E169" s="39">
        <f>C169-D169</f>
        <v/>
      </c>
      <c r="F169" s="39">
        <f>(E169-F757)^2</f>
        <v/>
      </c>
      <c r="G169" s="38">
        <f>(E169-F757)^3</f>
        <v/>
      </c>
      <c r="H169" s="38">
        <f>(E169-F757)^4</f>
        <v/>
      </c>
      <c r="I169" s="37" t="n"/>
    </row>
    <row r="170" ht="15" customHeight="1" s="28">
      <c r="A170" s="40" t="n">
        <v>158</v>
      </c>
      <c r="B170" s="40" t="n">
        <v>157</v>
      </c>
      <c r="C170" s="41" t="n">
        <v>4641.5</v>
      </c>
      <c r="D170" s="41">
        <f>4541.138727+0.225904*B170</f>
        <v/>
      </c>
      <c r="E170" s="42">
        <f>C170-D170</f>
        <v/>
      </c>
      <c r="F170" s="42">
        <f>(E170-F757)^2</f>
        <v/>
      </c>
      <c r="G170" s="41">
        <f>(E170-F757)^3</f>
        <v/>
      </c>
      <c r="H170" s="41">
        <f>(E170-F757)^4</f>
        <v/>
      </c>
      <c r="I170" s="40" t="n"/>
    </row>
    <row r="171" ht="15" customHeight="1" s="28">
      <c r="A171" s="37" t="n">
        <v>159</v>
      </c>
      <c r="B171" s="37" t="n">
        <v>158</v>
      </c>
      <c r="C171" s="38" t="n">
        <v>4633.5</v>
      </c>
      <c r="D171" s="38">
        <f>4541.138727+0.225904*B171</f>
        <v/>
      </c>
      <c r="E171" s="39">
        <f>C171-D171</f>
        <v/>
      </c>
      <c r="F171" s="39">
        <f>(E171-F757)^2</f>
        <v/>
      </c>
      <c r="G171" s="38">
        <f>(E171-F757)^3</f>
        <v/>
      </c>
      <c r="H171" s="38">
        <f>(E171-F757)^4</f>
        <v/>
      </c>
      <c r="I171" s="37" t="n"/>
    </row>
    <row r="172" ht="15" customHeight="1" s="28">
      <c r="A172" s="40" t="n">
        <v>160</v>
      </c>
      <c r="B172" s="40" t="n">
        <v>159</v>
      </c>
      <c r="C172" s="41" t="n">
        <v>4625.44</v>
      </c>
      <c r="D172" s="41">
        <f>4541.138727+0.225904*B172</f>
        <v/>
      </c>
      <c r="E172" s="42">
        <f>C172-D172</f>
        <v/>
      </c>
      <c r="F172" s="42">
        <f>(E172-F757)^2</f>
        <v/>
      </c>
      <c r="G172" s="41">
        <f>(E172-F757)^3</f>
        <v/>
      </c>
      <c r="H172" s="41">
        <f>(E172-F757)^4</f>
        <v/>
      </c>
      <c r="I172" s="40" t="n"/>
    </row>
    <row r="173" ht="15" customHeight="1" s="28">
      <c r="A173" s="37" t="n">
        <v>161</v>
      </c>
      <c r="B173" s="37" t="n">
        <v>160</v>
      </c>
      <c r="C173" s="38" t="n">
        <v>4610.99</v>
      </c>
      <c r="D173" s="38">
        <f>4541.138727+0.225904*B173</f>
        <v/>
      </c>
      <c r="E173" s="39">
        <f>C173-D173</f>
        <v/>
      </c>
      <c r="F173" s="39">
        <f>(E173-F757)^2</f>
        <v/>
      </c>
      <c r="G173" s="38">
        <f>(E173-F757)^3</f>
        <v/>
      </c>
      <c r="H173" s="38">
        <f>(E173-F757)^4</f>
        <v/>
      </c>
      <c r="I173" s="37" t="n"/>
    </row>
    <row r="174" ht="15" customHeight="1" s="28">
      <c r="A174" s="40" t="n">
        <v>162</v>
      </c>
      <c r="B174" s="40" t="n">
        <v>161</v>
      </c>
      <c r="C174" s="41" t="n">
        <v>4620.39</v>
      </c>
      <c r="D174" s="41">
        <f>4541.138727+0.225904*B174</f>
        <v/>
      </c>
      <c r="E174" s="42">
        <f>C174-D174</f>
        <v/>
      </c>
      <c r="F174" s="42">
        <f>(E174-F757)^2</f>
        <v/>
      </c>
      <c r="G174" s="41">
        <f>(E174-F757)^3</f>
        <v/>
      </c>
      <c r="H174" s="41">
        <f>(E174-F757)^4</f>
        <v/>
      </c>
      <c r="I174" s="40" t="n"/>
    </row>
    <row r="175" ht="15" customHeight="1" s="28">
      <c r="A175" s="37" t="n">
        <v>163</v>
      </c>
      <c r="B175" s="37" t="n">
        <v>162</v>
      </c>
      <c r="C175" s="38" t="n">
        <v>4622.81</v>
      </c>
      <c r="D175" s="38">
        <f>4541.138727+0.225904*B175</f>
        <v/>
      </c>
      <c r="E175" s="39">
        <f>C175-D175</f>
        <v/>
      </c>
      <c r="F175" s="39">
        <f>(E175-F757)^2</f>
        <v/>
      </c>
      <c r="G175" s="38">
        <f>(E175-F757)^3</f>
        <v/>
      </c>
      <c r="H175" s="38">
        <f>(E175-F757)^4</f>
        <v/>
      </c>
      <c r="I175" s="37" t="n"/>
    </row>
    <row r="176" ht="15" customHeight="1" s="28">
      <c r="A176" s="40" t="n">
        <v>164</v>
      </c>
      <c r="B176" s="40" t="n">
        <v>163</v>
      </c>
      <c r="C176" s="41" t="n">
        <v>4617.7</v>
      </c>
      <c r="D176" s="41">
        <f>4541.138727+0.225904*B176</f>
        <v/>
      </c>
      <c r="E176" s="42">
        <f>C176-D176</f>
        <v/>
      </c>
      <c r="F176" s="42">
        <f>(E176-F757)^2</f>
        <v/>
      </c>
      <c r="G176" s="41">
        <f>(E176-F757)^3</f>
        <v/>
      </c>
      <c r="H176" s="41">
        <f>(E176-F757)^4</f>
        <v/>
      </c>
      <c r="I176" s="40" t="n"/>
    </row>
    <row r="177" ht="15" customHeight="1" s="28">
      <c r="A177" s="37" t="n">
        <v>165</v>
      </c>
      <c r="B177" s="37" t="n">
        <v>164</v>
      </c>
      <c r="C177" s="38" t="n">
        <v>4619.59</v>
      </c>
      <c r="D177" s="38">
        <f>4541.138727+0.225904*B177</f>
        <v/>
      </c>
      <c r="E177" s="39">
        <f>C177-D177</f>
        <v/>
      </c>
      <c r="F177" s="39">
        <f>(E177-F757)^2</f>
        <v/>
      </c>
      <c r="G177" s="38">
        <f>(E177-F757)^3</f>
        <v/>
      </c>
      <c r="H177" s="38">
        <f>(E177-F757)^4</f>
        <v/>
      </c>
      <c r="I177" s="37" t="n"/>
    </row>
    <row r="178" ht="15" customHeight="1" s="28">
      <c r="A178" s="40" t="n">
        <v>166</v>
      </c>
      <c r="B178" s="40" t="n">
        <v>165</v>
      </c>
      <c r="C178" s="41" t="n">
        <v>4620.13</v>
      </c>
      <c r="D178" s="41">
        <f>4541.138727+0.225904*B178</f>
        <v/>
      </c>
      <c r="E178" s="42">
        <f>C178-D178</f>
        <v/>
      </c>
      <c r="F178" s="42">
        <f>(E178-F757)^2</f>
        <v/>
      </c>
      <c r="G178" s="41">
        <f>(E178-F757)^3</f>
        <v/>
      </c>
      <c r="H178" s="41">
        <f>(E178-F757)^4</f>
        <v/>
      </c>
      <c r="I178" s="40" t="n"/>
    </row>
    <row r="179" ht="15" customHeight="1" s="28">
      <c r="A179" s="37" t="n">
        <v>167</v>
      </c>
      <c r="B179" s="37" t="n">
        <v>166</v>
      </c>
      <c r="C179" s="38" t="n">
        <v>4623.09</v>
      </c>
      <c r="D179" s="38">
        <f>4541.138727+0.225904*B179</f>
        <v/>
      </c>
      <c r="E179" s="39">
        <f>C179-D179</f>
        <v/>
      </c>
      <c r="F179" s="39">
        <f>(E179-F757)^2</f>
        <v/>
      </c>
      <c r="G179" s="38">
        <f>(E179-F757)^3</f>
        <v/>
      </c>
      <c r="H179" s="38">
        <f>(E179-F757)^4</f>
        <v/>
      </c>
      <c r="I179" s="37" t="n"/>
    </row>
    <row r="180" ht="15" customHeight="1" s="28">
      <c r="A180" s="40" t="n">
        <v>168</v>
      </c>
      <c r="B180" s="40" t="n">
        <v>167</v>
      </c>
      <c r="C180" s="41" t="n">
        <v>4615.65</v>
      </c>
      <c r="D180" s="41">
        <f>4541.138727+0.225904*B180</f>
        <v/>
      </c>
      <c r="E180" s="42">
        <f>C180-D180</f>
        <v/>
      </c>
      <c r="F180" s="42">
        <f>(E180-F757)^2</f>
        <v/>
      </c>
      <c r="G180" s="41">
        <f>(E180-F757)^3</f>
        <v/>
      </c>
      <c r="H180" s="41">
        <f>(E180-F757)^4</f>
        <v/>
      </c>
      <c r="I180" s="40" t="n"/>
    </row>
    <row r="181" ht="15" customHeight="1" s="28">
      <c r="A181" s="37" t="n">
        <v>169</v>
      </c>
      <c r="B181" s="37" t="n">
        <v>168</v>
      </c>
      <c r="C181" s="38" t="n">
        <v>4615.35</v>
      </c>
      <c r="D181" s="38">
        <f>4541.138727+0.225904*B181</f>
        <v/>
      </c>
      <c r="E181" s="39">
        <f>C181-D181</f>
        <v/>
      </c>
      <c r="F181" s="39">
        <f>(E181-F757)^2</f>
        <v/>
      </c>
      <c r="G181" s="38">
        <f>(E181-F757)^3</f>
        <v/>
      </c>
      <c r="H181" s="38">
        <f>(E181-F757)^4</f>
        <v/>
      </c>
      <c r="I181" s="37" t="n"/>
    </row>
    <row r="182" ht="15" customHeight="1" s="28">
      <c r="A182" s="40" t="n">
        <v>170</v>
      </c>
      <c r="B182" s="40" t="n">
        <v>169</v>
      </c>
      <c r="C182" s="41" t="n">
        <v>4611.63</v>
      </c>
      <c r="D182" s="41">
        <f>4541.138727+0.225904*B182</f>
        <v/>
      </c>
      <c r="E182" s="42">
        <f>C182-D182</f>
        <v/>
      </c>
      <c r="F182" s="42">
        <f>(E182-F757)^2</f>
        <v/>
      </c>
      <c r="G182" s="41">
        <f>(E182-F757)^3</f>
        <v/>
      </c>
      <c r="H182" s="41">
        <f>(E182-F757)^4</f>
        <v/>
      </c>
      <c r="I182" s="40" t="n"/>
    </row>
    <row r="183" ht="15" customHeight="1" s="28">
      <c r="A183" s="37" t="n">
        <v>171</v>
      </c>
      <c r="B183" s="37" t="n">
        <v>170</v>
      </c>
      <c r="C183" s="38" t="n">
        <v>4608.08</v>
      </c>
      <c r="D183" s="38">
        <f>4541.138727+0.225904*B183</f>
        <v/>
      </c>
      <c r="E183" s="39">
        <f>C183-D183</f>
        <v/>
      </c>
      <c r="F183" s="39">
        <f>(E183-F757)^2</f>
        <v/>
      </c>
      <c r="G183" s="38">
        <f>(E183-F757)^3</f>
        <v/>
      </c>
      <c r="H183" s="38">
        <f>(E183-F757)^4</f>
        <v/>
      </c>
      <c r="I183" s="37" t="n"/>
    </row>
    <row r="184" ht="15" customHeight="1" s="28">
      <c r="A184" s="40" t="n">
        <v>172</v>
      </c>
      <c r="B184" s="40" t="n">
        <v>171</v>
      </c>
      <c r="C184" s="41" t="n">
        <v>4609.12</v>
      </c>
      <c r="D184" s="41">
        <f>4541.138727+0.225904*B184</f>
        <v/>
      </c>
      <c r="E184" s="42">
        <f>C184-D184</f>
        <v/>
      </c>
      <c r="F184" s="42">
        <f>(E184-F757)^2</f>
        <v/>
      </c>
      <c r="G184" s="41">
        <f>(E184-F757)^3</f>
        <v/>
      </c>
      <c r="H184" s="41">
        <f>(E184-F757)^4</f>
        <v/>
      </c>
      <c r="I184" s="40" t="n"/>
    </row>
    <row r="185" ht="15" customHeight="1" s="28">
      <c r="A185" s="37" t="n">
        <v>173</v>
      </c>
      <c r="B185" s="37" t="n">
        <v>172</v>
      </c>
      <c r="C185" s="38" t="n">
        <v>4607.62</v>
      </c>
      <c r="D185" s="38">
        <f>4541.138727+0.225904*B185</f>
        <v/>
      </c>
      <c r="E185" s="39">
        <f>C185-D185</f>
        <v/>
      </c>
      <c r="F185" s="39">
        <f>(E185-F757)^2</f>
        <v/>
      </c>
      <c r="G185" s="38">
        <f>(E185-F757)^3</f>
        <v/>
      </c>
      <c r="H185" s="38">
        <f>(E185-F757)^4</f>
        <v/>
      </c>
      <c r="I185" s="37" t="n"/>
    </row>
    <row r="186" ht="15" customHeight="1" s="28">
      <c r="A186" s="40" t="n">
        <v>174</v>
      </c>
      <c r="B186" s="40" t="n">
        <v>173</v>
      </c>
      <c r="C186" s="41" t="n">
        <v>4615.95</v>
      </c>
      <c r="D186" s="41">
        <f>4541.138727+0.225904*B186</f>
        <v/>
      </c>
      <c r="E186" s="42">
        <f>C186-D186</f>
        <v/>
      </c>
      <c r="F186" s="42">
        <f>(E186-F757)^2</f>
        <v/>
      </c>
      <c r="G186" s="41">
        <f>(E186-F757)^3</f>
        <v/>
      </c>
      <c r="H186" s="41">
        <f>(E186-F757)^4</f>
        <v/>
      </c>
      <c r="I186" s="40" t="n"/>
    </row>
    <row r="187" ht="15" customHeight="1" s="28">
      <c r="A187" s="37" t="n">
        <v>175</v>
      </c>
      <c r="B187" s="37" t="n">
        <v>174</v>
      </c>
      <c r="C187" s="38" t="n">
        <v>4618</v>
      </c>
      <c r="D187" s="38">
        <f>4541.138727+0.225904*B187</f>
        <v/>
      </c>
      <c r="E187" s="39">
        <f>C187-D187</f>
        <v/>
      </c>
      <c r="F187" s="39">
        <f>(E187-F757)^2</f>
        <v/>
      </c>
      <c r="G187" s="38">
        <f>(E187-F757)^3</f>
        <v/>
      </c>
      <c r="H187" s="38">
        <f>(E187-F757)^4</f>
        <v/>
      </c>
      <c r="I187" s="37" t="n"/>
    </row>
    <row r="188" ht="15" customHeight="1" s="28">
      <c r="A188" s="40" t="n">
        <v>176</v>
      </c>
      <c r="B188" s="40" t="n">
        <v>175</v>
      </c>
      <c r="C188" s="41" t="n">
        <v>4617.86</v>
      </c>
      <c r="D188" s="41">
        <f>4541.138727+0.225904*B188</f>
        <v/>
      </c>
      <c r="E188" s="42">
        <f>C188-D188</f>
        <v/>
      </c>
      <c r="F188" s="42">
        <f>(E188-F757)^2</f>
        <v/>
      </c>
      <c r="G188" s="41">
        <f>(E188-F757)^3</f>
        <v/>
      </c>
      <c r="H188" s="41">
        <f>(E188-F757)^4</f>
        <v/>
      </c>
      <c r="I188" s="40" t="n"/>
    </row>
    <row r="189" ht="15" customHeight="1" s="28">
      <c r="A189" s="37" t="n">
        <v>177</v>
      </c>
      <c r="B189" s="37" t="n">
        <v>176</v>
      </c>
      <c r="C189" s="38" t="n">
        <v>4616.86</v>
      </c>
      <c r="D189" s="38">
        <f>4541.138727+0.225904*B189</f>
        <v/>
      </c>
      <c r="E189" s="39">
        <f>C189-D189</f>
        <v/>
      </c>
      <c r="F189" s="39">
        <f>(E189-F757)^2</f>
        <v/>
      </c>
      <c r="G189" s="38">
        <f>(E189-F757)^3</f>
        <v/>
      </c>
      <c r="H189" s="38">
        <f>(E189-F757)^4</f>
        <v/>
      </c>
      <c r="I189" s="37" t="n"/>
    </row>
    <row r="190" ht="15" customHeight="1" s="28">
      <c r="A190" s="40" t="n">
        <v>178</v>
      </c>
      <c r="B190" s="40" t="n">
        <v>177</v>
      </c>
      <c r="C190" s="41" t="n">
        <v>4620.57</v>
      </c>
      <c r="D190" s="41">
        <f>4541.138727+0.225904*B190</f>
        <v/>
      </c>
      <c r="E190" s="42">
        <f>C190-D190</f>
        <v/>
      </c>
      <c r="F190" s="42">
        <f>(E190-F757)^2</f>
        <v/>
      </c>
      <c r="G190" s="41">
        <f>(E190-F757)^3</f>
        <v/>
      </c>
      <c r="H190" s="41">
        <f>(E190-F757)^4</f>
        <v/>
      </c>
      <c r="I190" s="40" t="n"/>
    </row>
    <row r="191" ht="15" customHeight="1" s="28">
      <c r="A191" s="37" t="n">
        <v>179</v>
      </c>
      <c r="B191" s="37" t="n">
        <v>178</v>
      </c>
      <c r="C191" s="38" t="n">
        <v>4620.79</v>
      </c>
      <c r="D191" s="38">
        <f>4541.138727+0.225904*B191</f>
        <v/>
      </c>
      <c r="E191" s="39">
        <f>C191-D191</f>
        <v/>
      </c>
      <c r="F191" s="39">
        <f>(E191-F757)^2</f>
        <v/>
      </c>
      <c r="G191" s="38">
        <f>(E191-F757)^3</f>
        <v/>
      </c>
      <c r="H191" s="38">
        <f>(E191-F757)^4</f>
        <v/>
      </c>
      <c r="I191" s="37" t="n"/>
    </row>
    <row r="192" ht="15" customHeight="1" s="28">
      <c r="A192" s="40" t="n">
        <v>180</v>
      </c>
      <c r="B192" s="40" t="n">
        <v>179</v>
      </c>
      <c r="C192" s="41" t="n">
        <v>4620.7</v>
      </c>
      <c r="D192" s="41">
        <f>4541.138727+0.225904*B192</f>
        <v/>
      </c>
      <c r="E192" s="42">
        <f>C192-D192</f>
        <v/>
      </c>
      <c r="F192" s="42">
        <f>(E192-F757)^2</f>
        <v/>
      </c>
      <c r="G192" s="41">
        <f>(E192-F757)^3</f>
        <v/>
      </c>
      <c r="H192" s="41">
        <f>(E192-F757)^4</f>
        <v/>
      </c>
      <c r="I192" s="40" t="n"/>
    </row>
    <row r="193" ht="15" customHeight="1" s="28">
      <c r="A193" s="37" t="n">
        <v>181</v>
      </c>
      <c r="B193" s="37" t="n">
        <v>180</v>
      </c>
      <c r="C193" s="38" t="n">
        <v>4622.48</v>
      </c>
      <c r="D193" s="38">
        <f>4541.138727+0.225904*B193</f>
        <v/>
      </c>
      <c r="E193" s="39">
        <f>C193-D193</f>
        <v/>
      </c>
      <c r="F193" s="39">
        <f>(E193-F757)^2</f>
        <v/>
      </c>
      <c r="G193" s="38">
        <f>(E193-F757)^3</f>
        <v/>
      </c>
      <c r="H193" s="38">
        <f>(E193-F757)^4</f>
        <v/>
      </c>
      <c r="I193" s="37" t="n"/>
    </row>
    <row r="194" ht="15" customHeight="1" s="28">
      <c r="A194" s="40" t="n">
        <v>182</v>
      </c>
      <c r="B194" s="40" t="n">
        <v>181</v>
      </c>
      <c r="C194" s="41" t="n">
        <v>4624.33</v>
      </c>
      <c r="D194" s="41">
        <f>4541.138727+0.225904*B194</f>
        <v/>
      </c>
      <c r="E194" s="42">
        <f>C194-D194</f>
        <v/>
      </c>
      <c r="F194" s="42">
        <f>(E194-F757)^2</f>
        <v/>
      </c>
      <c r="G194" s="41">
        <f>(E194-F757)^3</f>
        <v/>
      </c>
      <c r="H194" s="41">
        <f>(E194-F757)^4</f>
        <v/>
      </c>
      <c r="I194" s="40" t="n"/>
    </row>
    <row r="195" ht="15" customHeight="1" s="28">
      <c r="A195" s="37" t="n">
        <v>183</v>
      </c>
      <c r="B195" s="37" t="n">
        <v>182</v>
      </c>
      <c r="C195" s="38" t="n">
        <v>4617.77</v>
      </c>
      <c r="D195" s="38">
        <f>4541.138727+0.225904*B195</f>
        <v/>
      </c>
      <c r="E195" s="39">
        <f>C195-D195</f>
        <v/>
      </c>
      <c r="F195" s="39">
        <f>(E195-F757)^2</f>
        <v/>
      </c>
      <c r="G195" s="38">
        <f>(E195-F757)^3</f>
        <v/>
      </c>
      <c r="H195" s="38">
        <f>(E195-F757)^4</f>
        <v/>
      </c>
      <c r="I195" s="37" t="n"/>
    </row>
    <row r="196" ht="15" customHeight="1" s="28">
      <c r="A196" s="40" t="n">
        <v>184</v>
      </c>
      <c r="B196" s="40" t="n">
        <v>183</v>
      </c>
      <c r="C196" s="41" t="n">
        <v>4622.49</v>
      </c>
      <c r="D196" s="41">
        <f>4541.138727+0.225904*B196</f>
        <v/>
      </c>
      <c r="E196" s="42">
        <f>C196-D196</f>
        <v/>
      </c>
      <c r="F196" s="42">
        <f>(E196-F757)^2</f>
        <v/>
      </c>
      <c r="G196" s="41">
        <f>(E196-F757)^3</f>
        <v/>
      </c>
      <c r="H196" s="41">
        <f>(E196-F757)^4</f>
        <v/>
      </c>
      <c r="I196" s="40" t="n"/>
    </row>
    <row r="197" ht="15" customHeight="1" s="28">
      <c r="A197" s="37" t="n">
        <v>185</v>
      </c>
      <c r="B197" s="37" t="n">
        <v>184</v>
      </c>
      <c r="C197" s="38" t="n">
        <v>4617.07</v>
      </c>
      <c r="D197" s="38">
        <f>4541.138727+0.225904*B197</f>
        <v/>
      </c>
      <c r="E197" s="39">
        <f>C197-D197</f>
        <v/>
      </c>
      <c r="F197" s="39">
        <f>(E197-F757)^2</f>
        <v/>
      </c>
      <c r="G197" s="38">
        <f>(E197-F757)^3</f>
        <v/>
      </c>
      <c r="H197" s="38">
        <f>(E197-F757)^4</f>
        <v/>
      </c>
      <c r="I197" s="37" t="n"/>
    </row>
    <row r="198" ht="15" customHeight="1" s="28">
      <c r="A198" s="40" t="n">
        <v>186</v>
      </c>
      <c r="B198" s="40" t="n">
        <v>185</v>
      </c>
      <c r="C198" s="41" t="n">
        <v>4616.16</v>
      </c>
      <c r="D198" s="41">
        <f>4541.138727+0.225904*B198</f>
        <v/>
      </c>
      <c r="E198" s="42">
        <f>C198-D198</f>
        <v/>
      </c>
      <c r="F198" s="42">
        <f>(E198-F757)^2</f>
        <v/>
      </c>
      <c r="G198" s="41">
        <f>(E198-F757)^3</f>
        <v/>
      </c>
      <c r="H198" s="41">
        <f>(E198-F757)^4</f>
        <v/>
      </c>
      <c r="I198" s="40" t="n"/>
    </row>
    <row r="199" ht="15" customHeight="1" s="28">
      <c r="A199" s="37" t="n">
        <v>187</v>
      </c>
      <c r="B199" s="37" t="n">
        <v>186</v>
      </c>
      <c r="C199" s="38" t="n">
        <v>4616.72</v>
      </c>
      <c r="D199" s="38">
        <f>4541.138727+0.225904*B199</f>
        <v/>
      </c>
      <c r="E199" s="39">
        <f>C199-D199</f>
        <v/>
      </c>
      <c r="F199" s="39">
        <f>(E199-F757)^2</f>
        <v/>
      </c>
      <c r="G199" s="38">
        <f>(E199-F757)^3</f>
        <v/>
      </c>
      <c r="H199" s="38">
        <f>(E199-F757)^4</f>
        <v/>
      </c>
      <c r="I199" s="37" t="n"/>
    </row>
    <row r="200" ht="15" customHeight="1" s="28">
      <c r="A200" s="40" t="n">
        <v>188</v>
      </c>
      <c r="B200" s="40" t="n">
        <v>187</v>
      </c>
      <c r="C200" s="41" t="n">
        <v>4617.33</v>
      </c>
      <c r="D200" s="41">
        <f>4541.138727+0.225904*B200</f>
        <v/>
      </c>
      <c r="E200" s="42">
        <f>C200-D200</f>
        <v/>
      </c>
      <c r="F200" s="42">
        <f>(E200-F757)^2</f>
        <v/>
      </c>
      <c r="G200" s="41">
        <f>(E200-F757)^3</f>
        <v/>
      </c>
      <c r="H200" s="41">
        <f>(E200-F757)^4</f>
        <v/>
      </c>
      <c r="I200" s="40" t="n"/>
    </row>
    <row r="201" ht="15" customHeight="1" s="28">
      <c r="A201" s="37" t="n">
        <v>189</v>
      </c>
      <c r="B201" s="37" t="n">
        <v>188</v>
      </c>
      <c r="C201" s="38" t="n">
        <v>4621.81</v>
      </c>
      <c r="D201" s="38">
        <f>4541.138727+0.225904*B201</f>
        <v/>
      </c>
      <c r="E201" s="39">
        <f>C201-D201</f>
        <v/>
      </c>
      <c r="F201" s="39">
        <f>(E201-F757)^2</f>
        <v/>
      </c>
      <c r="G201" s="38">
        <f>(E201-F757)^3</f>
        <v/>
      </c>
      <c r="H201" s="38">
        <f>(E201-F757)^4</f>
        <v/>
      </c>
      <c r="I201" s="37" t="n"/>
    </row>
    <row r="202" ht="15" customHeight="1" s="28">
      <c r="A202" s="40" t="n">
        <v>190</v>
      </c>
      <c r="B202" s="40" t="n">
        <v>189</v>
      </c>
      <c r="C202" s="41" t="n">
        <v>4631.38</v>
      </c>
      <c r="D202" s="41">
        <f>4541.138727+0.225904*B202</f>
        <v/>
      </c>
      <c r="E202" s="42">
        <f>C202-D202</f>
        <v/>
      </c>
      <c r="F202" s="42">
        <f>(E202-F757)^2</f>
        <v/>
      </c>
      <c r="G202" s="41">
        <f>(E202-F757)^3</f>
        <v/>
      </c>
      <c r="H202" s="41">
        <f>(E202-F757)^4</f>
        <v/>
      </c>
      <c r="I202" s="40" t="n"/>
    </row>
    <row r="203" ht="15" customHeight="1" s="28">
      <c r="A203" s="37" t="n">
        <v>191</v>
      </c>
      <c r="B203" s="37" t="n">
        <v>190</v>
      </c>
      <c r="C203" s="38" t="n">
        <v>4631.38</v>
      </c>
      <c r="D203" s="38">
        <f>4541.138727+0.225904*B203</f>
        <v/>
      </c>
      <c r="E203" s="39">
        <f>C203-D203</f>
        <v/>
      </c>
      <c r="F203" s="39">
        <f>(E203-F757)^2</f>
        <v/>
      </c>
      <c r="G203" s="38">
        <f>(E203-F757)^3</f>
        <v/>
      </c>
      <c r="H203" s="38">
        <f>(E203-F757)^4</f>
        <v/>
      </c>
      <c r="I203" s="37" t="n"/>
    </row>
    <row r="204" ht="15" customHeight="1" s="28">
      <c r="A204" s="40" t="n">
        <v>192</v>
      </c>
      <c r="B204" s="40" t="n">
        <v>191</v>
      </c>
      <c r="C204" s="41" t="n">
        <v>4631.75</v>
      </c>
      <c r="D204" s="41">
        <f>4541.138727+0.225904*B204</f>
        <v/>
      </c>
      <c r="E204" s="42">
        <f>C204-D204</f>
        <v/>
      </c>
      <c r="F204" s="42">
        <f>(E204-F757)^2</f>
        <v/>
      </c>
      <c r="G204" s="41">
        <f>(E204-F757)^3</f>
        <v/>
      </c>
      <c r="H204" s="41">
        <f>(E204-F757)^4</f>
        <v/>
      </c>
      <c r="I204" s="40" t="n"/>
    </row>
    <row r="205" ht="15" customHeight="1" s="28">
      <c r="A205" s="37" t="n">
        <v>193</v>
      </c>
      <c r="B205" s="37" t="n">
        <v>192</v>
      </c>
      <c r="C205" s="38" t="n">
        <v>4630.51</v>
      </c>
      <c r="D205" s="38">
        <f>4541.138727+0.225904*B205</f>
        <v/>
      </c>
      <c r="E205" s="39">
        <f>C205-D205</f>
        <v/>
      </c>
      <c r="F205" s="39">
        <f>(E205-F757)^2</f>
        <v/>
      </c>
      <c r="G205" s="38">
        <f>(E205-F757)^3</f>
        <v/>
      </c>
      <c r="H205" s="38">
        <f>(E205-F757)^4</f>
        <v/>
      </c>
      <c r="I205" s="37" t="n"/>
    </row>
    <row r="206" ht="15" customHeight="1" s="28">
      <c r="A206" s="40" t="n">
        <v>194</v>
      </c>
      <c r="B206" s="40" t="n">
        <v>193</v>
      </c>
      <c r="C206" s="41" t="n">
        <v>4630.26</v>
      </c>
      <c r="D206" s="41">
        <f>4541.138727+0.225904*B206</f>
        <v/>
      </c>
      <c r="E206" s="42">
        <f>C206-D206</f>
        <v/>
      </c>
      <c r="F206" s="42">
        <f>(E206-F757)^2</f>
        <v/>
      </c>
      <c r="G206" s="41">
        <f>(E206-F757)^3</f>
        <v/>
      </c>
      <c r="H206" s="41">
        <f>(E206-F757)^4</f>
        <v/>
      </c>
      <c r="I206" s="40" t="n"/>
    </row>
    <row r="207" ht="15" customHeight="1" s="28">
      <c r="A207" s="37" t="n">
        <v>195</v>
      </c>
      <c r="B207" s="37" t="n">
        <v>194</v>
      </c>
      <c r="C207" s="38" t="n">
        <v>4630.75</v>
      </c>
      <c r="D207" s="38">
        <f>4541.138727+0.225904*B207</f>
        <v/>
      </c>
      <c r="E207" s="39">
        <f>C207-D207</f>
        <v/>
      </c>
      <c r="F207" s="39">
        <f>(E207-F757)^2</f>
        <v/>
      </c>
      <c r="G207" s="38">
        <f>(E207-F757)^3</f>
        <v/>
      </c>
      <c r="H207" s="38">
        <f>(E207-F757)^4</f>
        <v/>
      </c>
      <c r="I207" s="37" t="n"/>
    </row>
    <row r="208" ht="15" customHeight="1" s="28">
      <c r="A208" s="40" t="n">
        <v>196</v>
      </c>
      <c r="B208" s="40" t="n">
        <v>195</v>
      </c>
      <c r="C208" s="41" t="n">
        <v>4631.31</v>
      </c>
      <c r="D208" s="41">
        <f>4541.138727+0.225904*B208</f>
        <v/>
      </c>
      <c r="E208" s="42">
        <f>C208-D208</f>
        <v/>
      </c>
      <c r="F208" s="42">
        <f>(E208-F757)^2</f>
        <v/>
      </c>
      <c r="G208" s="41">
        <f>(E208-F757)^3</f>
        <v/>
      </c>
      <c r="H208" s="41">
        <f>(E208-F757)^4</f>
        <v/>
      </c>
      <c r="I208" s="40" t="n"/>
    </row>
    <row r="209" ht="15" customHeight="1" s="28">
      <c r="A209" s="37" t="n">
        <v>197</v>
      </c>
      <c r="B209" s="37" t="n">
        <v>196</v>
      </c>
      <c r="C209" s="38" t="n">
        <v>4626.71</v>
      </c>
      <c r="D209" s="38">
        <f>4541.138727+0.225904*B209</f>
        <v/>
      </c>
      <c r="E209" s="39">
        <f>C209-D209</f>
        <v/>
      </c>
      <c r="F209" s="39">
        <f>(E209-F757)^2</f>
        <v/>
      </c>
      <c r="G209" s="38">
        <f>(E209-F757)^3</f>
        <v/>
      </c>
      <c r="H209" s="38">
        <f>(E209-F757)^4</f>
        <v/>
      </c>
      <c r="I209" s="37" t="n"/>
    </row>
    <row r="210" ht="15" customHeight="1" s="28">
      <c r="A210" s="40" t="n">
        <v>198</v>
      </c>
      <c r="B210" s="40" t="n">
        <v>197</v>
      </c>
      <c r="C210" s="41" t="n">
        <v>4622.55</v>
      </c>
      <c r="D210" s="41">
        <f>4541.138727+0.225904*B210</f>
        <v/>
      </c>
      <c r="E210" s="42">
        <f>C210-D210</f>
        <v/>
      </c>
      <c r="F210" s="42">
        <f>(E210-F757)^2</f>
        <v/>
      </c>
      <c r="G210" s="41">
        <f>(E210-F757)^3</f>
        <v/>
      </c>
      <c r="H210" s="41">
        <f>(E210-F757)^4</f>
        <v/>
      </c>
      <c r="I210" s="40" t="n"/>
    </row>
    <row r="211" ht="15" customHeight="1" s="28">
      <c r="A211" s="37" t="n">
        <v>199</v>
      </c>
      <c r="B211" s="37" t="n">
        <v>198</v>
      </c>
      <c r="C211" s="38" t="n">
        <v>4623.65</v>
      </c>
      <c r="D211" s="38">
        <f>4541.138727+0.225904*B211</f>
        <v/>
      </c>
      <c r="E211" s="39">
        <f>C211-D211</f>
        <v/>
      </c>
      <c r="F211" s="39">
        <f>(E211-F757)^2</f>
        <v/>
      </c>
      <c r="G211" s="38">
        <f>(E211-F757)^3</f>
        <v/>
      </c>
      <c r="H211" s="38">
        <f>(E211-F757)^4</f>
        <v/>
      </c>
      <c r="I211" s="37" t="n"/>
    </row>
    <row r="212" ht="15" customHeight="1" s="28">
      <c r="A212" s="40" t="n">
        <v>200</v>
      </c>
      <c r="B212" s="40" t="n">
        <v>199</v>
      </c>
      <c r="C212" s="41" t="n">
        <v>4620.9</v>
      </c>
      <c r="D212" s="41">
        <f>4541.138727+0.225904*B212</f>
        <v/>
      </c>
      <c r="E212" s="42">
        <f>C212-D212</f>
        <v/>
      </c>
      <c r="F212" s="42">
        <f>(E212-F757)^2</f>
        <v/>
      </c>
      <c r="G212" s="41">
        <f>(E212-F757)^3</f>
        <v/>
      </c>
      <c r="H212" s="41">
        <f>(E212-F757)^4</f>
        <v/>
      </c>
      <c r="I212" s="40" t="n"/>
    </row>
    <row r="213" ht="15" customHeight="1" s="28">
      <c r="A213" s="37" t="n">
        <v>201</v>
      </c>
      <c r="B213" s="37" t="n">
        <v>200</v>
      </c>
      <c r="C213" s="38" t="n">
        <v>4620.02</v>
      </c>
      <c r="D213" s="38">
        <f>4541.138727+0.225904*B213</f>
        <v/>
      </c>
      <c r="E213" s="39">
        <f>C213-D213</f>
        <v/>
      </c>
      <c r="F213" s="39">
        <f>(E213-F757)^2</f>
        <v/>
      </c>
      <c r="G213" s="38">
        <f>(E213-F757)^3</f>
        <v/>
      </c>
      <c r="H213" s="38">
        <f>(E213-F757)^4</f>
        <v/>
      </c>
      <c r="I213" s="37" t="n"/>
    </row>
    <row r="214" ht="15" customHeight="1" s="28">
      <c r="A214" s="40" t="n">
        <v>202</v>
      </c>
      <c r="B214" s="40" t="n">
        <v>201</v>
      </c>
      <c r="C214" s="41" t="n">
        <v>4618.7</v>
      </c>
      <c r="D214" s="41">
        <f>4541.138727+0.225904*B214</f>
        <v/>
      </c>
      <c r="E214" s="42">
        <f>C214-D214</f>
        <v/>
      </c>
      <c r="F214" s="42">
        <f>(E214-F757)^2</f>
        <v/>
      </c>
      <c r="G214" s="41">
        <f>(E214-F757)^3</f>
        <v/>
      </c>
      <c r="H214" s="41">
        <f>(E214-F757)^4</f>
        <v/>
      </c>
      <c r="I214" s="40" t="n"/>
    </row>
    <row r="215" ht="15" customHeight="1" s="28">
      <c r="A215" s="37" t="n">
        <v>203</v>
      </c>
      <c r="B215" s="37" t="n">
        <v>202</v>
      </c>
      <c r="C215" s="38" t="n">
        <v>4616.68</v>
      </c>
      <c r="D215" s="38">
        <f>4541.138727+0.225904*B215</f>
        <v/>
      </c>
      <c r="E215" s="39">
        <f>C215-D215</f>
        <v/>
      </c>
      <c r="F215" s="39">
        <f>(E215-F757)^2</f>
        <v/>
      </c>
      <c r="G215" s="38">
        <f>(E215-F757)^3</f>
        <v/>
      </c>
      <c r="H215" s="38">
        <f>(E215-F757)^4</f>
        <v/>
      </c>
      <c r="I215" s="37" t="n"/>
    </row>
    <row r="216" ht="15" customHeight="1" s="28">
      <c r="A216" s="40" t="n">
        <v>204</v>
      </c>
      <c r="B216" s="40" t="n">
        <v>203</v>
      </c>
      <c r="C216" s="41" t="n">
        <v>4620.2</v>
      </c>
      <c r="D216" s="41">
        <f>4541.138727+0.225904*B216</f>
        <v/>
      </c>
      <c r="E216" s="42">
        <f>C216-D216</f>
        <v/>
      </c>
      <c r="F216" s="42">
        <f>(E216-F757)^2</f>
        <v/>
      </c>
      <c r="G216" s="41">
        <f>(E216-F757)^3</f>
        <v/>
      </c>
      <c r="H216" s="41">
        <f>(E216-F757)^4</f>
        <v/>
      </c>
      <c r="I216" s="40" t="n"/>
    </row>
    <row r="217" ht="15" customHeight="1" s="28">
      <c r="A217" s="37" t="n">
        <v>205</v>
      </c>
      <c r="B217" s="37" t="n">
        <v>204</v>
      </c>
      <c r="C217" s="38" t="n">
        <v>4621.05</v>
      </c>
      <c r="D217" s="38">
        <f>4541.138727+0.225904*B217</f>
        <v/>
      </c>
      <c r="E217" s="39">
        <f>C217-D217</f>
        <v/>
      </c>
      <c r="F217" s="39">
        <f>(E217-F757)^2</f>
        <v/>
      </c>
      <c r="G217" s="38">
        <f>(E217-F757)^3</f>
        <v/>
      </c>
      <c r="H217" s="38">
        <f>(E217-F757)^4</f>
        <v/>
      </c>
      <c r="I217" s="37" t="n"/>
    </row>
    <row r="218" ht="15" customHeight="1" s="28">
      <c r="A218" s="40" t="n">
        <v>206</v>
      </c>
      <c r="B218" s="40" t="n">
        <v>205</v>
      </c>
      <c r="C218" s="41" t="n">
        <v>4630.89</v>
      </c>
      <c r="D218" s="41">
        <f>4541.138727+0.225904*B218</f>
        <v/>
      </c>
      <c r="E218" s="42">
        <f>C218-D218</f>
        <v/>
      </c>
      <c r="F218" s="42">
        <f>(E218-F757)^2</f>
        <v/>
      </c>
      <c r="G218" s="41">
        <f>(E218-F757)^3</f>
        <v/>
      </c>
      <c r="H218" s="41">
        <f>(E218-F757)^4</f>
        <v/>
      </c>
      <c r="I218" s="40" t="n"/>
    </row>
    <row r="219" ht="15" customHeight="1" s="28">
      <c r="A219" s="37" t="n">
        <v>207</v>
      </c>
      <c r="B219" s="37" t="n">
        <v>206</v>
      </c>
      <c r="C219" s="38" t="n">
        <v>4629.39</v>
      </c>
      <c r="D219" s="38">
        <f>4541.138727+0.225904*B219</f>
        <v/>
      </c>
      <c r="E219" s="39">
        <f>C219-D219</f>
        <v/>
      </c>
      <c r="F219" s="39">
        <f>(E219-F757)^2</f>
        <v/>
      </c>
      <c r="G219" s="38">
        <f>(E219-F757)^3</f>
        <v/>
      </c>
      <c r="H219" s="38">
        <f>(E219-F757)^4</f>
        <v/>
      </c>
      <c r="I219" s="37" t="n"/>
    </row>
    <row r="220" ht="15" customHeight="1" s="28">
      <c r="A220" s="40" t="n">
        <v>208</v>
      </c>
      <c r="B220" s="40" t="n">
        <v>207</v>
      </c>
      <c r="C220" s="41" t="n">
        <v>4624.38</v>
      </c>
      <c r="D220" s="41">
        <f>4541.138727+0.225904*B220</f>
        <v/>
      </c>
      <c r="E220" s="42">
        <f>C220-D220</f>
        <v/>
      </c>
      <c r="F220" s="42">
        <f>(E220-F757)^2</f>
        <v/>
      </c>
      <c r="G220" s="41">
        <f>(E220-F757)^3</f>
        <v/>
      </c>
      <c r="H220" s="41">
        <f>(E220-F757)^4</f>
        <v/>
      </c>
      <c r="I220" s="40" t="n"/>
    </row>
    <row r="221" ht="15" customHeight="1" s="28">
      <c r="A221" s="37" t="n">
        <v>209</v>
      </c>
      <c r="B221" s="37" t="n">
        <v>208</v>
      </c>
      <c r="C221" s="38" t="n">
        <v>4619.15</v>
      </c>
      <c r="D221" s="38">
        <f>4541.138727+0.225904*B221</f>
        <v/>
      </c>
      <c r="E221" s="39">
        <f>C221-D221</f>
        <v/>
      </c>
      <c r="F221" s="39">
        <f>(E221-F757)^2</f>
        <v/>
      </c>
      <c r="G221" s="38">
        <f>(E221-F757)^3</f>
        <v/>
      </c>
      <c r="H221" s="38">
        <f>(E221-F757)^4</f>
        <v/>
      </c>
      <c r="I221" s="37" t="n"/>
    </row>
    <row r="222" ht="15" customHeight="1" s="28">
      <c r="A222" s="40" t="n">
        <v>210</v>
      </c>
      <c r="B222" s="40" t="n">
        <v>209</v>
      </c>
      <c r="C222" s="41" t="n">
        <v>4620.85</v>
      </c>
      <c r="D222" s="41">
        <f>4541.138727+0.225904*B222</f>
        <v/>
      </c>
      <c r="E222" s="42">
        <f>C222-D222</f>
        <v/>
      </c>
      <c r="F222" s="42">
        <f>(E222-F757)^2</f>
        <v/>
      </c>
      <c r="G222" s="41">
        <f>(E222-F757)^3</f>
        <v/>
      </c>
      <c r="H222" s="41">
        <f>(E222-F757)^4</f>
        <v/>
      </c>
      <c r="I222" s="40" t="n"/>
    </row>
    <row r="223" ht="15" customHeight="1" s="28">
      <c r="A223" s="37" t="n">
        <v>211</v>
      </c>
      <c r="B223" s="37" t="n">
        <v>210</v>
      </c>
      <c r="C223" s="38" t="n">
        <v>4626.13</v>
      </c>
      <c r="D223" s="38">
        <f>4541.138727+0.225904*B223</f>
        <v/>
      </c>
      <c r="E223" s="39">
        <f>C223-D223</f>
        <v/>
      </c>
      <c r="F223" s="39">
        <f>(E223-F757)^2</f>
        <v/>
      </c>
      <c r="G223" s="38">
        <f>(E223-F757)^3</f>
        <v/>
      </c>
      <c r="H223" s="38">
        <f>(E223-F757)^4</f>
        <v/>
      </c>
      <c r="I223" s="37" t="n"/>
    </row>
    <row r="224" ht="15" customHeight="1" s="28">
      <c r="A224" s="40" t="n">
        <v>212</v>
      </c>
      <c r="B224" s="40" t="n">
        <v>211</v>
      </c>
      <c r="C224" s="41" t="n">
        <v>4626.21</v>
      </c>
      <c r="D224" s="41">
        <f>4541.138727+0.225904*B224</f>
        <v/>
      </c>
      <c r="E224" s="42">
        <f>C224-D224</f>
        <v/>
      </c>
      <c r="F224" s="42">
        <f>(E224-F757)^2</f>
        <v/>
      </c>
      <c r="G224" s="41">
        <f>(E224-F757)^3</f>
        <v/>
      </c>
      <c r="H224" s="41">
        <f>(E224-F757)^4</f>
        <v/>
      </c>
      <c r="I224" s="40" t="n"/>
    </row>
    <row r="225" ht="15" customHeight="1" s="28">
      <c r="A225" s="37" t="n">
        <v>213</v>
      </c>
      <c r="B225" s="37" t="n">
        <v>212</v>
      </c>
      <c r="C225" s="38" t="n">
        <v>4626.67</v>
      </c>
      <c r="D225" s="38">
        <f>4541.138727+0.225904*B225</f>
        <v/>
      </c>
      <c r="E225" s="39">
        <f>C225-D225</f>
        <v/>
      </c>
      <c r="F225" s="39">
        <f>(E225-F757)^2</f>
        <v/>
      </c>
      <c r="G225" s="38">
        <f>(E225-F757)^3</f>
        <v/>
      </c>
      <c r="H225" s="38">
        <f>(E225-F757)^4</f>
        <v/>
      </c>
      <c r="I225" s="37" t="n"/>
    </row>
    <row r="226" ht="15" customHeight="1" s="28">
      <c r="A226" s="40" t="n">
        <v>214</v>
      </c>
      <c r="B226" s="40" t="n">
        <v>213</v>
      </c>
      <c r="C226" s="41" t="n">
        <v>4621.93</v>
      </c>
      <c r="D226" s="41">
        <f>4541.138727+0.225904*B226</f>
        <v/>
      </c>
      <c r="E226" s="42">
        <f>C226-D226</f>
        <v/>
      </c>
      <c r="F226" s="42">
        <f>(E226-F757)^2</f>
        <v/>
      </c>
      <c r="G226" s="41">
        <f>(E226-F757)^3</f>
        <v/>
      </c>
      <c r="H226" s="41">
        <f>(E226-F757)^4</f>
        <v/>
      </c>
      <c r="I226" s="40" t="n"/>
    </row>
    <row r="227" ht="15" customHeight="1" s="28">
      <c r="A227" s="37" t="n">
        <v>215</v>
      </c>
      <c r="B227" s="37" t="n">
        <v>214</v>
      </c>
      <c r="C227" s="38" t="n">
        <v>4617.53</v>
      </c>
      <c r="D227" s="38">
        <f>4541.138727+0.225904*B227</f>
        <v/>
      </c>
      <c r="E227" s="39">
        <f>C227-D227</f>
        <v/>
      </c>
      <c r="F227" s="39">
        <f>(E227-F757)^2</f>
        <v/>
      </c>
      <c r="G227" s="38">
        <f>(E227-F757)^3</f>
        <v/>
      </c>
      <c r="H227" s="38">
        <f>(E227-F757)^4</f>
        <v/>
      </c>
      <c r="I227" s="37" t="n"/>
    </row>
    <row r="228" ht="15" customHeight="1" s="28">
      <c r="A228" s="40" t="n">
        <v>216</v>
      </c>
      <c r="B228" s="40" t="n">
        <v>215</v>
      </c>
      <c r="C228" s="41" t="n">
        <v>4613.51</v>
      </c>
      <c r="D228" s="41">
        <f>4541.138727+0.225904*B228</f>
        <v/>
      </c>
      <c r="E228" s="42">
        <f>C228-D228</f>
        <v/>
      </c>
      <c r="F228" s="42">
        <f>(E228-F757)^2</f>
        <v/>
      </c>
      <c r="G228" s="41">
        <f>(E228-F757)^3</f>
        <v/>
      </c>
      <c r="H228" s="41">
        <f>(E228-F757)^4</f>
        <v/>
      </c>
      <c r="I228" s="40" t="n"/>
    </row>
    <row r="229" ht="15" customHeight="1" s="28">
      <c r="A229" s="37" t="n">
        <v>217</v>
      </c>
      <c r="B229" s="37" t="n">
        <v>216</v>
      </c>
      <c r="C229" s="38" t="n">
        <v>4609.18</v>
      </c>
      <c r="D229" s="38">
        <f>4541.138727+0.225904*B229</f>
        <v/>
      </c>
      <c r="E229" s="39">
        <f>C229-D229</f>
        <v/>
      </c>
      <c r="F229" s="39">
        <f>(E229-F757)^2</f>
        <v/>
      </c>
      <c r="G229" s="38">
        <f>(E229-F757)^3</f>
        <v/>
      </c>
      <c r="H229" s="38">
        <f>(E229-F757)^4</f>
        <v/>
      </c>
      <c r="I229" s="37" t="n"/>
    </row>
    <row r="230" ht="15" customHeight="1" s="28">
      <c r="A230" s="40" t="n">
        <v>218</v>
      </c>
      <c r="B230" s="40" t="n">
        <v>217</v>
      </c>
      <c r="C230" s="41" t="n">
        <v>4614.29</v>
      </c>
      <c r="D230" s="41">
        <f>4541.138727+0.225904*B230</f>
        <v/>
      </c>
      <c r="E230" s="42">
        <f>C230-D230</f>
        <v/>
      </c>
      <c r="F230" s="42">
        <f>(E230-F757)^2</f>
        <v/>
      </c>
      <c r="G230" s="41">
        <f>(E230-F757)^3</f>
        <v/>
      </c>
      <c r="H230" s="41">
        <f>(E230-F757)^4</f>
        <v/>
      </c>
      <c r="I230" s="40" t="n"/>
    </row>
    <row r="231" ht="15" customHeight="1" s="28">
      <c r="A231" s="37" t="n">
        <v>219</v>
      </c>
      <c r="B231" s="37" t="n">
        <v>218</v>
      </c>
      <c r="C231" s="38" t="n">
        <v>4614.64</v>
      </c>
      <c r="D231" s="38">
        <f>4541.138727+0.225904*B231</f>
        <v/>
      </c>
      <c r="E231" s="39">
        <f>C231-D231</f>
        <v/>
      </c>
      <c r="F231" s="39">
        <f>(E231-F757)^2</f>
        <v/>
      </c>
      <c r="G231" s="38">
        <f>(E231-F757)^3</f>
        <v/>
      </c>
      <c r="H231" s="38">
        <f>(E231-F757)^4</f>
        <v/>
      </c>
      <c r="I231" s="37" t="n"/>
    </row>
    <row r="232" ht="15" customHeight="1" s="28">
      <c r="A232" s="40" t="n">
        <v>220</v>
      </c>
      <c r="B232" s="40" t="n">
        <v>219</v>
      </c>
      <c r="C232" s="41" t="n">
        <v>4610</v>
      </c>
      <c r="D232" s="41">
        <f>4541.138727+0.225904*B232</f>
        <v/>
      </c>
      <c r="E232" s="42">
        <f>C232-D232</f>
        <v/>
      </c>
      <c r="F232" s="42">
        <f>(E232-F757)^2</f>
        <v/>
      </c>
      <c r="G232" s="41">
        <f>(E232-F757)^3</f>
        <v/>
      </c>
      <c r="H232" s="41">
        <f>(E232-F757)^4</f>
        <v/>
      </c>
      <c r="I232" s="40" t="n"/>
    </row>
    <row r="233" ht="15" customHeight="1" s="28">
      <c r="A233" s="37" t="n">
        <v>221</v>
      </c>
      <c r="B233" s="37" t="n">
        <v>220</v>
      </c>
      <c r="C233" s="38" t="n">
        <v>4605.03</v>
      </c>
      <c r="D233" s="38">
        <f>4541.138727+0.225904*B233</f>
        <v/>
      </c>
      <c r="E233" s="39">
        <f>C233-D233</f>
        <v/>
      </c>
      <c r="F233" s="39">
        <f>(E233-F757)^2</f>
        <v/>
      </c>
      <c r="G233" s="38">
        <f>(E233-F757)^3</f>
        <v/>
      </c>
      <c r="H233" s="38">
        <f>(E233-F757)^4</f>
        <v/>
      </c>
      <c r="I233" s="37" t="n"/>
    </row>
    <row r="234" ht="15" customHeight="1" s="28">
      <c r="A234" s="40" t="n">
        <v>222</v>
      </c>
      <c r="B234" s="40" t="n">
        <v>221</v>
      </c>
      <c r="C234" s="41" t="n">
        <v>4601.49</v>
      </c>
      <c r="D234" s="41">
        <f>4541.138727+0.225904*B234</f>
        <v/>
      </c>
      <c r="E234" s="42">
        <f>C234-D234</f>
        <v/>
      </c>
      <c r="F234" s="42">
        <f>(E234-F757)^2</f>
        <v/>
      </c>
      <c r="G234" s="41">
        <f>(E234-F757)^3</f>
        <v/>
      </c>
      <c r="H234" s="41">
        <f>(E234-F757)^4</f>
        <v/>
      </c>
      <c r="I234" s="40" t="n"/>
    </row>
    <row r="235" ht="15" customHeight="1" s="28">
      <c r="A235" s="37" t="n">
        <v>223</v>
      </c>
      <c r="B235" s="37" t="n">
        <v>222</v>
      </c>
      <c r="C235" s="38" t="n">
        <v>4593.44</v>
      </c>
      <c r="D235" s="38">
        <f>4541.138727+0.225904*B235</f>
        <v/>
      </c>
      <c r="E235" s="39">
        <f>C235-D235</f>
        <v/>
      </c>
      <c r="F235" s="39">
        <f>(E235-F757)^2</f>
        <v/>
      </c>
      <c r="G235" s="38">
        <f>(E235-F757)^3</f>
        <v/>
      </c>
      <c r="H235" s="38">
        <f>(E235-F757)^4</f>
        <v/>
      </c>
      <c r="I235" s="37" t="n"/>
    </row>
    <row r="236" ht="15" customHeight="1" s="28">
      <c r="A236" s="40" t="n">
        <v>224</v>
      </c>
      <c r="B236" s="40" t="n">
        <v>223</v>
      </c>
      <c r="C236" s="41" t="n">
        <v>4593.36</v>
      </c>
      <c r="D236" s="41">
        <f>4541.138727+0.225904*B236</f>
        <v/>
      </c>
      <c r="E236" s="42">
        <f>C236-D236</f>
        <v/>
      </c>
      <c r="F236" s="42">
        <f>(E236-F757)^2</f>
        <v/>
      </c>
      <c r="G236" s="41">
        <f>(E236-F757)^3</f>
        <v/>
      </c>
      <c r="H236" s="41">
        <f>(E236-F757)^4</f>
        <v/>
      </c>
      <c r="I236" s="40" t="n"/>
    </row>
    <row r="237" ht="15" customHeight="1" s="28">
      <c r="A237" s="37" t="n">
        <v>225</v>
      </c>
      <c r="B237" s="37" t="n">
        <v>224</v>
      </c>
      <c r="C237" s="38" t="n">
        <v>4594.77</v>
      </c>
      <c r="D237" s="38">
        <f>4541.138727+0.225904*B237</f>
        <v/>
      </c>
      <c r="E237" s="39">
        <f>C237-D237</f>
        <v/>
      </c>
      <c r="F237" s="39">
        <f>(E237-F757)^2</f>
        <v/>
      </c>
      <c r="G237" s="38">
        <f>(E237-F757)^3</f>
        <v/>
      </c>
      <c r="H237" s="38">
        <f>(E237-F757)^4</f>
        <v/>
      </c>
      <c r="I237" s="37" t="n"/>
    </row>
    <row r="238" ht="15" customHeight="1" s="28">
      <c r="A238" s="40" t="n">
        <v>226</v>
      </c>
      <c r="B238" s="40" t="n">
        <v>225</v>
      </c>
      <c r="C238" s="41" t="n">
        <v>4595.97</v>
      </c>
      <c r="D238" s="41">
        <f>4541.138727+0.225904*B238</f>
        <v/>
      </c>
      <c r="E238" s="42">
        <f>C238-D238</f>
        <v/>
      </c>
      <c r="F238" s="42">
        <f>(E238-F757)^2</f>
        <v/>
      </c>
      <c r="G238" s="41">
        <f>(E238-F757)^3</f>
        <v/>
      </c>
      <c r="H238" s="41">
        <f>(E238-F757)^4</f>
        <v/>
      </c>
      <c r="I238" s="40" t="n"/>
    </row>
    <row r="239" ht="15" customHeight="1" s="28">
      <c r="A239" s="37" t="n">
        <v>227</v>
      </c>
      <c r="B239" s="37" t="n">
        <v>226</v>
      </c>
      <c r="C239" s="38" t="n">
        <v>4592.32</v>
      </c>
      <c r="D239" s="38">
        <f>4541.138727+0.225904*B239</f>
        <v/>
      </c>
      <c r="E239" s="39">
        <f>C239-D239</f>
        <v/>
      </c>
      <c r="F239" s="39">
        <f>(E239-F757)^2</f>
        <v/>
      </c>
      <c r="G239" s="38">
        <f>(E239-F757)^3</f>
        <v/>
      </c>
      <c r="H239" s="38">
        <f>(E239-F757)^4</f>
        <v/>
      </c>
      <c r="I239" s="37" t="n"/>
    </row>
    <row r="240" ht="15" customHeight="1" s="28">
      <c r="A240" s="40" t="n">
        <v>228</v>
      </c>
      <c r="B240" s="40" t="n">
        <v>227</v>
      </c>
      <c r="C240" s="41" t="n">
        <v>4585.41</v>
      </c>
      <c r="D240" s="41">
        <f>4541.138727+0.225904*B240</f>
        <v/>
      </c>
      <c r="E240" s="42">
        <f>C240-D240</f>
        <v/>
      </c>
      <c r="F240" s="42">
        <f>(E240-F757)^2</f>
        <v/>
      </c>
      <c r="G240" s="41">
        <f>(E240-F757)^3</f>
        <v/>
      </c>
      <c r="H240" s="41">
        <f>(E240-F757)^4</f>
        <v/>
      </c>
      <c r="I240" s="40" t="n"/>
    </row>
    <row r="241" ht="15" customHeight="1" s="28">
      <c r="A241" s="37" t="n">
        <v>229</v>
      </c>
      <c r="B241" s="37" t="n">
        <v>228</v>
      </c>
      <c r="C241" s="38" t="n">
        <v>4578.16</v>
      </c>
      <c r="D241" s="38">
        <f>4541.138727+0.225904*B241</f>
        <v/>
      </c>
      <c r="E241" s="39">
        <f>C241-D241</f>
        <v/>
      </c>
      <c r="F241" s="39">
        <f>(E241-F757)^2</f>
        <v/>
      </c>
      <c r="G241" s="38">
        <f>(E241-F757)^3</f>
        <v/>
      </c>
      <c r="H241" s="38">
        <f>(E241-F757)^4</f>
        <v/>
      </c>
      <c r="I241" s="37" t="n"/>
    </row>
    <row r="242" ht="15" customHeight="1" s="28">
      <c r="A242" s="40" t="n">
        <v>230</v>
      </c>
      <c r="B242" s="40" t="n">
        <v>229</v>
      </c>
      <c r="C242" s="41" t="n">
        <v>4574.06</v>
      </c>
      <c r="D242" s="41">
        <f>4541.138727+0.225904*B242</f>
        <v/>
      </c>
      <c r="E242" s="42">
        <f>C242-D242</f>
        <v/>
      </c>
      <c r="F242" s="42">
        <f>(E242-F757)^2</f>
        <v/>
      </c>
      <c r="G242" s="41">
        <f>(E242-F757)^3</f>
        <v/>
      </c>
      <c r="H242" s="41">
        <f>(E242-F757)^4</f>
        <v/>
      </c>
      <c r="I242" s="40" t="n"/>
    </row>
    <row r="243" ht="15" customHeight="1" s="28">
      <c r="A243" s="37" t="n">
        <v>231</v>
      </c>
      <c r="B243" s="37" t="n">
        <v>230</v>
      </c>
      <c r="C243" s="38" t="n">
        <v>4567.37</v>
      </c>
      <c r="D243" s="38">
        <f>4541.138727+0.225904*B243</f>
        <v/>
      </c>
      <c r="E243" s="39">
        <f>C243-D243</f>
        <v/>
      </c>
      <c r="F243" s="39">
        <f>(E243-F757)^2</f>
        <v/>
      </c>
      <c r="G243" s="38">
        <f>(E243-F757)^3</f>
        <v/>
      </c>
      <c r="H243" s="38">
        <f>(E243-F757)^4</f>
        <v/>
      </c>
      <c r="I243" s="37" t="n"/>
    </row>
    <row r="244" ht="15" customHeight="1" s="28">
      <c r="A244" s="40" t="n">
        <v>232</v>
      </c>
      <c r="B244" s="40" t="n">
        <v>231</v>
      </c>
      <c r="C244" s="41" t="n">
        <v>4571.29</v>
      </c>
      <c r="D244" s="41">
        <f>4541.138727+0.225904*B244</f>
        <v/>
      </c>
      <c r="E244" s="42">
        <f>C244-D244</f>
        <v/>
      </c>
      <c r="F244" s="42">
        <f>(E244-F757)^2</f>
        <v/>
      </c>
      <c r="G244" s="41">
        <f>(E244-F757)^3</f>
        <v/>
      </c>
      <c r="H244" s="41">
        <f>(E244-F757)^4</f>
        <v/>
      </c>
      <c r="I244" s="40" t="n"/>
    </row>
    <row r="245" ht="15" customHeight="1" s="28">
      <c r="A245" s="37" t="n">
        <v>233</v>
      </c>
      <c r="B245" s="37" t="n">
        <v>232</v>
      </c>
      <c r="C245" s="38" t="n">
        <v>4568.51</v>
      </c>
      <c r="D245" s="38">
        <f>4541.138727+0.225904*B245</f>
        <v/>
      </c>
      <c r="E245" s="39">
        <f>C245-D245</f>
        <v/>
      </c>
      <c r="F245" s="39">
        <f>(E245-F757)^2</f>
        <v/>
      </c>
      <c r="G245" s="38">
        <f>(E245-F757)^3</f>
        <v/>
      </c>
      <c r="H245" s="38">
        <f>(E245-F757)^4</f>
        <v/>
      </c>
      <c r="I245" s="37" t="n"/>
    </row>
    <row r="246" ht="15" customHeight="1" s="28">
      <c r="A246" s="40" t="n">
        <v>234</v>
      </c>
      <c r="B246" s="40" t="n">
        <v>233</v>
      </c>
      <c r="C246" s="41" t="n">
        <v>4565.87</v>
      </c>
      <c r="D246" s="41">
        <f>4541.138727+0.225904*B246</f>
        <v/>
      </c>
      <c r="E246" s="42">
        <f>C246-D246</f>
        <v/>
      </c>
      <c r="F246" s="42">
        <f>(E246-F757)^2</f>
        <v/>
      </c>
      <c r="G246" s="41">
        <f>(E246-F757)^3</f>
        <v/>
      </c>
      <c r="H246" s="41">
        <f>(E246-F757)^4</f>
        <v/>
      </c>
      <c r="I246" s="40" t="n"/>
    </row>
    <row r="247" ht="15" customHeight="1" s="28">
      <c r="A247" s="37" t="n">
        <v>235</v>
      </c>
      <c r="B247" s="37" t="n">
        <v>234</v>
      </c>
      <c r="C247" s="38" t="n">
        <v>4569.29</v>
      </c>
      <c r="D247" s="38">
        <f>4541.138727+0.225904*B247</f>
        <v/>
      </c>
      <c r="E247" s="39">
        <f>C247-D247</f>
        <v/>
      </c>
      <c r="F247" s="39">
        <f>(E247-F757)^2</f>
        <v/>
      </c>
      <c r="G247" s="38">
        <f>(E247-F757)^3</f>
        <v/>
      </c>
      <c r="H247" s="38">
        <f>(E247-F757)^4</f>
        <v/>
      </c>
      <c r="I247" s="37" t="n"/>
    </row>
    <row r="248" ht="15" customHeight="1" s="28">
      <c r="A248" s="40" t="n">
        <v>236</v>
      </c>
      <c r="B248" s="40" t="n">
        <v>235</v>
      </c>
      <c r="C248" s="41" t="n">
        <v>4570.62</v>
      </c>
      <c r="D248" s="41">
        <f>4541.138727+0.225904*B248</f>
        <v/>
      </c>
      <c r="E248" s="42">
        <f>C248-D248</f>
        <v/>
      </c>
      <c r="F248" s="42">
        <f>(E248-F757)^2</f>
        <v/>
      </c>
      <c r="G248" s="41">
        <f>(E248-F757)^3</f>
        <v/>
      </c>
      <c r="H248" s="41">
        <f>(E248-F757)^4</f>
        <v/>
      </c>
      <c r="I248" s="40" t="n"/>
    </row>
    <row r="249" ht="15" customHeight="1" s="28">
      <c r="A249" s="37" t="n">
        <v>237</v>
      </c>
      <c r="B249" s="37" t="n">
        <v>236</v>
      </c>
      <c r="C249" s="38" t="n">
        <v>4563.12</v>
      </c>
      <c r="D249" s="38">
        <f>4541.138727+0.225904*B249</f>
        <v/>
      </c>
      <c r="E249" s="39">
        <f>C249-D249</f>
        <v/>
      </c>
      <c r="F249" s="39">
        <f>(E249-F757)^2</f>
        <v/>
      </c>
      <c r="G249" s="38">
        <f>(E249-F757)^3</f>
        <v/>
      </c>
      <c r="H249" s="38">
        <f>(E249-F757)^4</f>
        <v/>
      </c>
      <c r="I249" s="37" t="n"/>
    </row>
    <row r="250" ht="15" customHeight="1" s="28">
      <c r="A250" s="40" t="n">
        <v>238</v>
      </c>
      <c r="B250" s="40" t="n">
        <v>237</v>
      </c>
      <c r="C250" s="41" t="n">
        <v>4566.78</v>
      </c>
      <c r="D250" s="41">
        <f>4541.138727+0.225904*B250</f>
        <v/>
      </c>
      <c r="E250" s="42">
        <f>C250-D250</f>
        <v/>
      </c>
      <c r="F250" s="42">
        <f>(E250-F757)^2</f>
        <v/>
      </c>
      <c r="G250" s="41">
        <f>(E250-F757)^3</f>
        <v/>
      </c>
      <c r="H250" s="41">
        <f>(E250-F757)^4</f>
        <v/>
      </c>
      <c r="I250" s="40" t="n"/>
    </row>
    <row r="251" ht="15" customHeight="1" s="28">
      <c r="A251" s="37" t="n">
        <v>239</v>
      </c>
      <c r="B251" s="37" t="n">
        <v>238</v>
      </c>
      <c r="C251" s="38" t="n">
        <v>4572.18</v>
      </c>
      <c r="D251" s="38">
        <f>4541.138727+0.225904*B251</f>
        <v/>
      </c>
      <c r="E251" s="39">
        <f>C251-D251</f>
        <v/>
      </c>
      <c r="F251" s="39">
        <f>(E251-F757)^2</f>
        <v/>
      </c>
      <c r="G251" s="38">
        <f>(E251-F757)^3</f>
        <v/>
      </c>
      <c r="H251" s="38">
        <f>(E251-F757)^4</f>
        <v/>
      </c>
      <c r="I251" s="37" t="n"/>
    </row>
    <row r="252" ht="15" customHeight="1" s="28">
      <c r="A252" s="40" t="n">
        <v>240</v>
      </c>
      <c r="B252" s="40" t="n">
        <v>239</v>
      </c>
      <c r="C252" s="41" t="n">
        <v>4570.49</v>
      </c>
      <c r="D252" s="41">
        <f>4541.138727+0.225904*B252</f>
        <v/>
      </c>
      <c r="E252" s="42">
        <f>C252-D252</f>
        <v/>
      </c>
      <c r="F252" s="42">
        <f>(E252-F757)^2</f>
        <v/>
      </c>
      <c r="G252" s="41">
        <f>(E252-F757)^3</f>
        <v/>
      </c>
      <c r="H252" s="41">
        <f>(E252-F757)^4</f>
        <v/>
      </c>
      <c r="I252" s="40" t="n"/>
    </row>
    <row r="253" ht="15" customHeight="1" s="28">
      <c r="A253" s="37" t="n">
        <v>241</v>
      </c>
      <c r="B253" s="37" t="n">
        <v>240</v>
      </c>
      <c r="C253" s="38" t="n">
        <v>4566.67</v>
      </c>
      <c r="D253" s="38">
        <f>4541.138727+0.225904*B253</f>
        <v/>
      </c>
      <c r="E253" s="39">
        <f>C253-D253</f>
        <v/>
      </c>
      <c r="F253" s="39">
        <f>(E253-F757)^2</f>
        <v/>
      </c>
      <c r="G253" s="38">
        <f>(E253-F757)^3</f>
        <v/>
      </c>
      <c r="H253" s="38">
        <f>(E253-F757)^4</f>
        <v/>
      </c>
      <c r="I253" s="37" t="n"/>
    </row>
    <row r="254" ht="15" customHeight="1" s="28">
      <c r="A254" s="40" t="n">
        <v>242</v>
      </c>
      <c r="B254" s="40" t="n">
        <v>241</v>
      </c>
      <c r="C254" s="41" t="n">
        <v>4565.94</v>
      </c>
      <c r="D254" s="41">
        <f>4541.138727+0.225904*B254</f>
        <v/>
      </c>
      <c r="E254" s="42">
        <f>C254-D254</f>
        <v/>
      </c>
      <c r="F254" s="42">
        <f>(E254-F757)^2</f>
        <v/>
      </c>
      <c r="G254" s="41">
        <f>(E254-F757)^3</f>
        <v/>
      </c>
      <c r="H254" s="41">
        <f>(E254-F757)^4</f>
        <v/>
      </c>
      <c r="I254" s="40" t="n"/>
    </row>
    <row r="255" ht="15" customHeight="1" s="28">
      <c r="A255" s="37" t="n">
        <v>243</v>
      </c>
      <c r="B255" s="37" t="n">
        <v>242</v>
      </c>
      <c r="C255" s="38" t="n">
        <v>4572.03</v>
      </c>
      <c r="D255" s="38">
        <f>4541.138727+0.225904*B255</f>
        <v/>
      </c>
      <c r="E255" s="39">
        <f>C255-D255</f>
        <v/>
      </c>
      <c r="F255" s="39">
        <f>(E255-F757)^2</f>
        <v/>
      </c>
      <c r="G255" s="38">
        <f>(E255-F757)^3</f>
        <v/>
      </c>
      <c r="H255" s="38">
        <f>(E255-F757)^4</f>
        <v/>
      </c>
      <c r="I255" s="37" t="n"/>
    </row>
    <row r="256" ht="15" customHeight="1" s="28">
      <c r="A256" s="40" t="n">
        <v>244</v>
      </c>
      <c r="B256" s="40" t="n">
        <v>243</v>
      </c>
      <c r="C256" s="41" t="n">
        <v>4575.75</v>
      </c>
      <c r="D256" s="41">
        <f>4541.138727+0.225904*B256</f>
        <v/>
      </c>
      <c r="E256" s="42">
        <f>C256-D256</f>
        <v/>
      </c>
      <c r="F256" s="42">
        <f>(E256-F757)^2</f>
        <v/>
      </c>
      <c r="G256" s="41">
        <f>(E256-F757)^3</f>
        <v/>
      </c>
      <c r="H256" s="41">
        <f>(E256-F757)^4</f>
        <v/>
      </c>
      <c r="I256" s="40" t="n"/>
    </row>
    <row r="257" ht="15" customHeight="1" s="28">
      <c r="A257" s="37" t="n">
        <v>245</v>
      </c>
      <c r="B257" s="37" t="n">
        <v>244</v>
      </c>
      <c r="C257" s="38" t="n">
        <v>4578.84</v>
      </c>
      <c r="D257" s="38">
        <f>4541.138727+0.225904*B257</f>
        <v/>
      </c>
      <c r="E257" s="39">
        <f>C257-D257</f>
        <v/>
      </c>
      <c r="F257" s="39">
        <f>(E257-F757)^2</f>
        <v/>
      </c>
      <c r="G257" s="38">
        <f>(E257-F757)^3</f>
        <v/>
      </c>
      <c r="H257" s="38">
        <f>(E257-F757)^4</f>
        <v/>
      </c>
      <c r="I257" s="37" t="n"/>
    </row>
    <row r="258" ht="15" customHeight="1" s="28">
      <c r="A258" s="40" t="n">
        <v>246</v>
      </c>
      <c r="B258" s="40" t="n">
        <v>245</v>
      </c>
      <c r="C258" s="41" t="n">
        <v>4584.86</v>
      </c>
      <c r="D258" s="41">
        <f>4541.138727+0.225904*B258</f>
        <v/>
      </c>
      <c r="E258" s="42">
        <f>C258-D258</f>
        <v/>
      </c>
      <c r="F258" s="42">
        <f>(E258-F757)^2</f>
        <v/>
      </c>
      <c r="G258" s="41">
        <f>(E258-F757)^3</f>
        <v/>
      </c>
      <c r="H258" s="41">
        <f>(E258-F757)^4</f>
        <v/>
      </c>
      <c r="I258" s="40" t="n"/>
    </row>
    <row r="259" ht="15" customHeight="1" s="28">
      <c r="A259" s="37" t="n">
        <v>247</v>
      </c>
      <c r="B259" s="37" t="n">
        <v>246</v>
      </c>
      <c r="C259" s="38" t="n">
        <v>4602.95</v>
      </c>
      <c r="D259" s="38">
        <f>4541.138727+0.225904*B259</f>
        <v/>
      </c>
      <c r="E259" s="39">
        <f>C259-D259</f>
        <v/>
      </c>
      <c r="F259" s="39">
        <f>(E259-F757)^2</f>
        <v/>
      </c>
      <c r="G259" s="38">
        <f>(E259-F757)^3</f>
        <v/>
      </c>
      <c r="H259" s="38">
        <f>(E259-F757)^4</f>
        <v/>
      </c>
      <c r="I259" s="37" t="n"/>
    </row>
    <row r="260" ht="15" customHeight="1" s="28">
      <c r="A260" s="40" t="n">
        <v>248</v>
      </c>
      <c r="B260" s="40" t="n">
        <v>247</v>
      </c>
      <c r="C260" s="41" t="n">
        <v>4591.95</v>
      </c>
      <c r="D260" s="41">
        <f>4541.138727+0.225904*B260</f>
        <v/>
      </c>
      <c r="E260" s="42">
        <f>C260-D260</f>
        <v/>
      </c>
      <c r="F260" s="42">
        <f>(E260-F757)^2</f>
        <v/>
      </c>
      <c r="G260" s="41">
        <f>(E260-F757)^3</f>
        <v/>
      </c>
      <c r="H260" s="41">
        <f>(E260-F757)^4</f>
        <v/>
      </c>
      <c r="I260" s="40" t="n"/>
    </row>
    <row r="261" ht="15" customHeight="1" s="28">
      <c r="A261" s="37" t="n">
        <v>249</v>
      </c>
      <c r="B261" s="37" t="n">
        <v>248</v>
      </c>
      <c r="C261" s="38" t="n">
        <v>4591.18</v>
      </c>
      <c r="D261" s="38">
        <f>4541.138727+0.225904*B261</f>
        <v/>
      </c>
      <c r="E261" s="39">
        <f>C261-D261</f>
        <v/>
      </c>
      <c r="F261" s="39">
        <f>(E261-F757)^2</f>
        <v/>
      </c>
      <c r="G261" s="38">
        <f>(E261-F757)^3</f>
        <v/>
      </c>
      <c r="H261" s="38">
        <f>(E261-F757)^4</f>
        <v/>
      </c>
      <c r="I261" s="37" t="n"/>
    </row>
    <row r="262" ht="15" customHeight="1" s="28">
      <c r="A262" s="40" t="n">
        <v>250</v>
      </c>
      <c r="B262" s="40" t="n">
        <v>249</v>
      </c>
      <c r="C262" s="41" t="n">
        <v>4591.32</v>
      </c>
      <c r="D262" s="41">
        <f>4541.138727+0.225904*B262</f>
        <v/>
      </c>
      <c r="E262" s="42">
        <f>C262-D262</f>
        <v/>
      </c>
      <c r="F262" s="42">
        <f>(E262-F757)^2</f>
        <v/>
      </c>
      <c r="G262" s="41">
        <f>(E262-F757)^3</f>
        <v/>
      </c>
      <c r="H262" s="41">
        <f>(E262-F757)^4</f>
        <v/>
      </c>
      <c r="I262" s="40" t="n"/>
    </row>
    <row r="263" ht="15" customHeight="1" s="28">
      <c r="A263" s="37" t="n">
        <v>251</v>
      </c>
      <c r="B263" s="37" t="n">
        <v>250</v>
      </c>
      <c r="C263" s="38" t="n">
        <v>4589.2</v>
      </c>
      <c r="D263" s="38">
        <f>4541.138727+0.225904*B263</f>
        <v/>
      </c>
      <c r="E263" s="39">
        <f>C263-D263</f>
        <v/>
      </c>
      <c r="F263" s="39">
        <f>(E263-F757)^2</f>
        <v/>
      </c>
      <c r="G263" s="38">
        <f>(E263-F757)^3</f>
        <v/>
      </c>
      <c r="H263" s="38">
        <f>(E263-F757)^4</f>
        <v/>
      </c>
      <c r="I263" s="37" t="n"/>
    </row>
    <row r="264" ht="15" customHeight="1" s="28">
      <c r="A264" s="40" t="n">
        <v>252</v>
      </c>
      <c r="B264" s="40" t="n">
        <v>251</v>
      </c>
      <c r="C264" s="41" t="n">
        <v>4608.07</v>
      </c>
      <c r="D264" s="41">
        <f>4541.138727+0.225904*B264</f>
        <v/>
      </c>
      <c r="E264" s="42">
        <f>C264-D264</f>
        <v/>
      </c>
      <c r="F264" s="42">
        <f>(E264-F757)^2</f>
        <v/>
      </c>
      <c r="G264" s="41">
        <f>(E264-F757)^3</f>
        <v/>
      </c>
      <c r="H264" s="41">
        <f>(E264-F757)^4</f>
        <v/>
      </c>
      <c r="I264" s="40" t="n"/>
    </row>
    <row r="265" ht="15" customHeight="1" s="28">
      <c r="A265" s="37" t="n">
        <v>253</v>
      </c>
      <c r="B265" s="37" t="n">
        <v>252</v>
      </c>
      <c r="C265" s="38" t="n">
        <v>4625.7</v>
      </c>
      <c r="D265" s="38">
        <f>4541.138727+0.225904*B265</f>
        <v/>
      </c>
      <c r="E265" s="39">
        <f>C265-D265</f>
        <v/>
      </c>
      <c r="F265" s="39">
        <f>(E265-F757)^2</f>
        <v/>
      </c>
      <c r="G265" s="38">
        <f>(E265-F757)^3</f>
        <v/>
      </c>
      <c r="H265" s="38">
        <f>(E265-F757)^4</f>
        <v/>
      </c>
      <c r="I265" s="37" t="n"/>
    </row>
    <row r="266" ht="15" customHeight="1" s="28">
      <c r="A266" s="40" t="n">
        <v>254</v>
      </c>
      <c r="B266" s="40" t="n">
        <v>253</v>
      </c>
      <c r="C266" s="41" t="n">
        <v>4656.06</v>
      </c>
      <c r="D266" s="41">
        <f>4541.138727+0.225904*B266</f>
        <v/>
      </c>
      <c r="E266" s="42">
        <f>C266-D266</f>
        <v/>
      </c>
      <c r="F266" s="42">
        <f>(E266-F757)^2</f>
        <v/>
      </c>
      <c r="G266" s="41">
        <f>(E266-F757)^3</f>
        <v/>
      </c>
      <c r="H266" s="41">
        <f>(E266-F757)^4</f>
        <v/>
      </c>
      <c r="I266" s="40" t="n"/>
    </row>
    <row r="267" ht="15" customHeight="1" s="28">
      <c r="A267" s="37" t="n">
        <v>255</v>
      </c>
      <c r="B267" s="37" t="n">
        <v>254</v>
      </c>
      <c r="C267" s="38" t="n">
        <v>4644.67</v>
      </c>
      <c r="D267" s="38">
        <f>4541.138727+0.225904*B267</f>
        <v/>
      </c>
      <c r="E267" s="39">
        <f>C267-D267</f>
        <v/>
      </c>
      <c r="F267" s="39">
        <f>(E267-F757)^2</f>
        <v/>
      </c>
      <c r="G267" s="38">
        <f>(E267-F757)^3</f>
        <v/>
      </c>
      <c r="H267" s="38">
        <f>(E267-F757)^4</f>
        <v/>
      </c>
      <c r="I267" s="37" t="n"/>
    </row>
    <row r="268" ht="15" customHeight="1" s="28">
      <c r="A268" s="40" t="n">
        <v>256</v>
      </c>
      <c r="B268" s="40" t="n">
        <v>255</v>
      </c>
      <c r="C268" s="41" t="n">
        <v>4633.23</v>
      </c>
      <c r="D268" s="41">
        <f>4541.138727+0.225904*B268</f>
        <v/>
      </c>
      <c r="E268" s="42">
        <f>C268-D268</f>
        <v/>
      </c>
      <c r="F268" s="42">
        <f>(E268-F757)^2</f>
        <v/>
      </c>
      <c r="G268" s="41">
        <f>(E268-F757)^3</f>
        <v/>
      </c>
      <c r="H268" s="41">
        <f>(E268-F757)^4</f>
        <v/>
      </c>
      <c r="I268" s="40" t="n"/>
    </row>
    <row r="269" ht="15" customHeight="1" s="28">
      <c r="A269" s="37" t="n">
        <v>257</v>
      </c>
      <c r="B269" s="37" t="n">
        <v>256</v>
      </c>
      <c r="C269" s="38" t="n">
        <v>4632.21</v>
      </c>
      <c r="D269" s="38">
        <f>4541.138727+0.225904*B269</f>
        <v/>
      </c>
      <c r="E269" s="39">
        <f>C269-D269</f>
        <v/>
      </c>
      <c r="F269" s="39">
        <f>(E269-F757)^2</f>
        <v/>
      </c>
      <c r="G269" s="38">
        <f>(E269-F757)^3</f>
        <v/>
      </c>
      <c r="H269" s="38">
        <f>(E269-F757)^4</f>
        <v/>
      </c>
      <c r="I269" s="37" t="n"/>
    </row>
    <row r="270" ht="15" customHeight="1" s="28">
      <c r="A270" s="40" t="n">
        <v>258</v>
      </c>
      <c r="B270" s="40" t="n">
        <v>257</v>
      </c>
      <c r="C270" s="41" t="n">
        <v>4636.58</v>
      </c>
      <c r="D270" s="41">
        <f>4541.138727+0.225904*B270</f>
        <v/>
      </c>
      <c r="E270" s="42">
        <f>C270-D270</f>
        <v/>
      </c>
      <c r="F270" s="42">
        <f>(E270-F757)^2</f>
        <v/>
      </c>
      <c r="G270" s="41">
        <f>(E270-F757)^3</f>
        <v/>
      </c>
      <c r="H270" s="41">
        <f>(E270-F757)^4</f>
        <v/>
      </c>
      <c r="I270" s="40" t="n"/>
    </row>
    <row r="271" ht="15" customHeight="1" s="28">
      <c r="A271" s="37" t="n">
        <v>259</v>
      </c>
      <c r="B271" s="37" t="n">
        <v>258</v>
      </c>
      <c r="C271" s="38" t="n">
        <v>4636.46</v>
      </c>
      <c r="D271" s="38">
        <f>4541.138727+0.225904*B271</f>
        <v/>
      </c>
      <c r="E271" s="39">
        <f>C271-D271</f>
        <v/>
      </c>
      <c r="F271" s="39">
        <f>(E271-F757)^2</f>
        <v/>
      </c>
      <c r="G271" s="38">
        <f>(E271-F757)^3</f>
        <v/>
      </c>
      <c r="H271" s="38">
        <f>(E271-F757)^4</f>
        <v/>
      </c>
      <c r="I271" s="37" t="n"/>
    </row>
    <row r="272" ht="15" customHeight="1" s="28">
      <c r="A272" s="40" t="n">
        <v>260</v>
      </c>
      <c r="B272" s="40" t="n">
        <v>259</v>
      </c>
      <c r="C272" s="41" t="n">
        <v>4643.6</v>
      </c>
      <c r="D272" s="41">
        <f>4541.138727+0.225904*B272</f>
        <v/>
      </c>
      <c r="E272" s="42">
        <f>C272-D272</f>
        <v/>
      </c>
      <c r="F272" s="42">
        <f>(E272-F757)^2</f>
        <v/>
      </c>
      <c r="G272" s="41">
        <f>(E272-F757)^3</f>
        <v/>
      </c>
      <c r="H272" s="41">
        <f>(E272-F757)^4</f>
        <v/>
      </c>
      <c r="I272" s="40" t="n"/>
    </row>
    <row r="273" ht="15" customHeight="1" s="28">
      <c r="A273" s="37" t="n">
        <v>261</v>
      </c>
      <c r="B273" s="37" t="n">
        <v>260</v>
      </c>
      <c r="C273" s="38" t="n">
        <v>4643.3</v>
      </c>
      <c r="D273" s="38">
        <f>4541.138727+0.225904*B273</f>
        <v/>
      </c>
      <c r="E273" s="39">
        <f>C273-D273</f>
        <v/>
      </c>
      <c r="F273" s="39">
        <f>(E273-F757)^2</f>
        <v/>
      </c>
      <c r="G273" s="38">
        <f>(E273-F757)^3</f>
        <v/>
      </c>
      <c r="H273" s="38">
        <f>(E273-F757)^4</f>
        <v/>
      </c>
      <c r="I273" s="37" t="n"/>
    </row>
    <row r="274" ht="15" customHeight="1" s="28">
      <c r="A274" s="40" t="n">
        <v>262</v>
      </c>
      <c r="B274" s="40" t="n">
        <v>261</v>
      </c>
      <c r="C274" s="41" t="n">
        <v>4642.75</v>
      </c>
      <c r="D274" s="41">
        <f>4541.138727+0.225904*B274</f>
        <v/>
      </c>
      <c r="E274" s="42">
        <f>C274-D274</f>
        <v/>
      </c>
      <c r="F274" s="42">
        <f>(E274-F757)^2</f>
        <v/>
      </c>
      <c r="G274" s="41">
        <f>(E274-F757)^3</f>
        <v/>
      </c>
      <c r="H274" s="41">
        <f>(E274-F757)^4</f>
        <v/>
      </c>
      <c r="I274" s="40" t="n"/>
    </row>
    <row r="275" ht="15" customHeight="1" s="28">
      <c r="A275" s="37" t="n">
        <v>263</v>
      </c>
      <c r="B275" s="37" t="n">
        <v>262</v>
      </c>
      <c r="C275" s="38" t="n">
        <v>4637.96</v>
      </c>
      <c r="D275" s="38">
        <f>4541.138727+0.225904*B275</f>
        <v/>
      </c>
      <c r="E275" s="39">
        <f>C275-D275</f>
        <v/>
      </c>
      <c r="F275" s="39">
        <f>(E275-F757)^2</f>
        <v/>
      </c>
      <c r="G275" s="38">
        <f>(E275-F757)^3</f>
        <v/>
      </c>
      <c r="H275" s="38">
        <f>(E275-F757)^4</f>
        <v/>
      </c>
      <c r="I275" s="37" t="n"/>
    </row>
    <row r="276" ht="15" customHeight="1" s="28">
      <c r="A276" s="40" t="n">
        <v>264</v>
      </c>
      <c r="B276" s="40" t="n">
        <v>263</v>
      </c>
      <c r="C276" s="41" t="n">
        <v>4638.86</v>
      </c>
      <c r="D276" s="41">
        <f>4541.138727+0.225904*B276</f>
        <v/>
      </c>
      <c r="E276" s="42">
        <f>C276-D276</f>
        <v/>
      </c>
      <c r="F276" s="42">
        <f>(E276-F757)^2</f>
        <v/>
      </c>
      <c r="G276" s="41">
        <f>(E276-F757)^3</f>
        <v/>
      </c>
      <c r="H276" s="41">
        <f>(E276-F757)^4</f>
        <v/>
      </c>
      <c r="I276" s="40" t="n"/>
    </row>
    <row r="277" ht="15" customHeight="1" s="28">
      <c r="A277" s="37" t="n">
        <v>265</v>
      </c>
      <c r="B277" s="37" t="n">
        <v>264</v>
      </c>
      <c r="C277" s="38" t="n">
        <v>4638.72</v>
      </c>
      <c r="D277" s="38">
        <f>4541.138727+0.225904*B277</f>
        <v/>
      </c>
      <c r="E277" s="39">
        <f>C277-D277</f>
        <v/>
      </c>
      <c r="F277" s="39">
        <f>(E277-F757)^2</f>
        <v/>
      </c>
      <c r="G277" s="38">
        <f>(E277-F757)^3</f>
        <v/>
      </c>
      <c r="H277" s="38">
        <f>(E277-F757)^4</f>
        <v/>
      </c>
      <c r="I277" s="37" t="n"/>
    </row>
    <row r="278" ht="15" customHeight="1" s="28">
      <c r="A278" s="40" t="n">
        <v>266</v>
      </c>
      <c r="B278" s="40" t="n">
        <v>265</v>
      </c>
      <c r="C278" s="41" t="n">
        <v>4639.73</v>
      </c>
      <c r="D278" s="41">
        <f>4541.138727+0.225904*B278</f>
        <v/>
      </c>
      <c r="E278" s="42">
        <f>C278-D278</f>
        <v/>
      </c>
      <c r="F278" s="42">
        <f>(E278-F757)^2</f>
        <v/>
      </c>
      <c r="G278" s="41">
        <f>(E278-F757)^3</f>
        <v/>
      </c>
      <c r="H278" s="41">
        <f>(E278-F757)^4</f>
        <v/>
      </c>
      <c r="I278" s="40" t="n"/>
    </row>
    <row r="279" ht="15" customHeight="1" s="28">
      <c r="A279" s="37" t="n">
        <v>267</v>
      </c>
      <c r="B279" s="37" t="n">
        <v>266</v>
      </c>
      <c r="C279" s="38" t="n">
        <v>4631.67</v>
      </c>
      <c r="D279" s="38">
        <f>4541.138727+0.225904*B279</f>
        <v/>
      </c>
      <c r="E279" s="39">
        <f>C279-D279</f>
        <v/>
      </c>
      <c r="F279" s="39">
        <f>(E279-F757)^2</f>
        <v/>
      </c>
      <c r="G279" s="38">
        <f>(E279-F757)^3</f>
        <v/>
      </c>
      <c r="H279" s="38">
        <f>(E279-F757)^4</f>
        <v/>
      </c>
      <c r="I279" s="37" t="n"/>
    </row>
    <row r="280" ht="15" customHeight="1" s="28">
      <c r="A280" s="40" t="n">
        <v>268</v>
      </c>
      <c r="B280" s="40" t="n">
        <v>267</v>
      </c>
      <c r="C280" s="41" t="n">
        <v>4628</v>
      </c>
      <c r="D280" s="41">
        <f>4541.138727+0.225904*B280</f>
        <v/>
      </c>
      <c r="E280" s="42">
        <f>C280-D280</f>
        <v/>
      </c>
      <c r="F280" s="42">
        <f>(E280-F757)^2</f>
        <v/>
      </c>
      <c r="G280" s="41">
        <f>(E280-F757)^3</f>
        <v/>
      </c>
      <c r="H280" s="41">
        <f>(E280-F757)^4</f>
        <v/>
      </c>
      <c r="I280" s="40" t="n"/>
    </row>
    <row r="281" ht="15" customHeight="1" s="28">
      <c r="A281" s="37" t="n">
        <v>269</v>
      </c>
      <c r="B281" s="37" t="n">
        <v>268</v>
      </c>
      <c r="C281" s="38" t="n">
        <v>4629.43</v>
      </c>
      <c r="D281" s="38">
        <f>4541.138727+0.225904*B281</f>
        <v/>
      </c>
      <c r="E281" s="39">
        <f>C281-D281</f>
        <v/>
      </c>
      <c r="F281" s="39">
        <f>(E281-F757)^2</f>
        <v/>
      </c>
      <c r="G281" s="38">
        <f>(E281-F757)^3</f>
        <v/>
      </c>
      <c r="H281" s="38">
        <f>(E281-F757)^4</f>
        <v/>
      </c>
      <c r="I281" s="37" t="n"/>
    </row>
    <row r="282" ht="15" customHeight="1" s="28">
      <c r="A282" s="40" t="n">
        <v>270</v>
      </c>
      <c r="B282" s="40" t="n">
        <v>269</v>
      </c>
      <c r="C282" s="41" t="n">
        <v>4615.72</v>
      </c>
      <c r="D282" s="41">
        <f>4541.138727+0.225904*B282</f>
        <v/>
      </c>
      <c r="E282" s="42">
        <f>C282-D282</f>
        <v/>
      </c>
      <c r="F282" s="42">
        <f>(E282-F757)^2</f>
        <v/>
      </c>
      <c r="G282" s="41">
        <f>(E282-F757)^3</f>
        <v/>
      </c>
      <c r="H282" s="41">
        <f>(E282-F757)^4</f>
        <v/>
      </c>
      <c r="I282" s="40" t="n"/>
    </row>
    <row r="283" ht="15" customHeight="1" s="28">
      <c r="A283" s="37" t="n">
        <v>271</v>
      </c>
      <c r="B283" s="37" t="n">
        <v>270</v>
      </c>
      <c r="C283" s="38" t="n">
        <v>4623.48</v>
      </c>
      <c r="D283" s="38">
        <f>4541.138727+0.225904*B283</f>
        <v/>
      </c>
      <c r="E283" s="39">
        <f>C283-D283</f>
        <v/>
      </c>
      <c r="F283" s="39">
        <f>(E283-F757)^2</f>
        <v/>
      </c>
      <c r="G283" s="38">
        <f>(E283-F757)^3</f>
        <v/>
      </c>
      <c r="H283" s="38">
        <f>(E283-F757)^4</f>
        <v/>
      </c>
      <c r="I283" s="37" t="n"/>
    </row>
    <row r="284" ht="15" customHeight="1" s="28">
      <c r="A284" s="40" t="n">
        <v>272</v>
      </c>
      <c r="B284" s="40" t="n">
        <v>271</v>
      </c>
      <c r="C284" s="41" t="n">
        <v>4622.32</v>
      </c>
      <c r="D284" s="41">
        <f>4541.138727+0.225904*B284</f>
        <v/>
      </c>
      <c r="E284" s="42">
        <f>C284-D284</f>
        <v/>
      </c>
      <c r="F284" s="42">
        <f>(E284-F757)^2</f>
        <v/>
      </c>
      <c r="G284" s="41">
        <f>(E284-F757)^3</f>
        <v/>
      </c>
      <c r="H284" s="41">
        <f>(E284-F757)^4</f>
        <v/>
      </c>
      <c r="I284" s="40" t="n"/>
    </row>
    <row r="285" ht="15" customHeight="1" s="28">
      <c r="A285" s="37" t="n">
        <v>273</v>
      </c>
      <c r="B285" s="37" t="n">
        <v>272</v>
      </c>
      <c r="C285" s="38" t="n">
        <v>4624.35</v>
      </c>
      <c r="D285" s="38">
        <f>4541.138727+0.225904*B285</f>
        <v/>
      </c>
      <c r="E285" s="39">
        <f>C285-D285</f>
        <v/>
      </c>
      <c r="F285" s="39">
        <f>(E285-F757)^2</f>
        <v/>
      </c>
      <c r="G285" s="38">
        <f>(E285-F757)^3</f>
        <v/>
      </c>
      <c r="H285" s="38">
        <f>(E285-F757)^4</f>
        <v/>
      </c>
      <c r="I285" s="37" t="n"/>
    </row>
    <row r="286" ht="15" customHeight="1" s="28">
      <c r="A286" s="40" t="n">
        <v>274</v>
      </c>
      <c r="B286" s="40" t="n">
        <v>273</v>
      </c>
      <c r="C286" s="41" t="n">
        <v>4626.3</v>
      </c>
      <c r="D286" s="41">
        <f>4541.138727+0.225904*B286</f>
        <v/>
      </c>
      <c r="E286" s="42">
        <f>C286-D286</f>
        <v/>
      </c>
      <c r="F286" s="42">
        <f>(E286-F757)^2</f>
        <v/>
      </c>
      <c r="G286" s="41">
        <f>(E286-F757)^3</f>
        <v/>
      </c>
      <c r="H286" s="41">
        <f>(E286-F757)^4</f>
        <v/>
      </c>
      <c r="I286" s="40" t="n"/>
    </row>
    <row r="287" ht="15" customHeight="1" s="28">
      <c r="A287" s="37" t="n">
        <v>275</v>
      </c>
      <c r="B287" s="37" t="n">
        <v>274</v>
      </c>
      <c r="C287" s="38" t="n">
        <v>4624.4</v>
      </c>
      <c r="D287" s="38">
        <f>4541.138727+0.225904*B287</f>
        <v/>
      </c>
      <c r="E287" s="39">
        <f>C287-D287</f>
        <v/>
      </c>
      <c r="F287" s="39">
        <f>(E287-F757)^2</f>
        <v/>
      </c>
      <c r="G287" s="38">
        <f>(E287-F757)^3</f>
        <v/>
      </c>
      <c r="H287" s="38">
        <f>(E287-F757)^4</f>
        <v/>
      </c>
      <c r="I287" s="37" t="n"/>
    </row>
    <row r="288" ht="15" customHeight="1" s="28">
      <c r="A288" s="40" t="n">
        <v>276</v>
      </c>
      <c r="B288" s="40" t="n">
        <v>275</v>
      </c>
      <c r="C288" s="41" t="n">
        <v>4611.78</v>
      </c>
      <c r="D288" s="41">
        <f>4541.138727+0.225904*B288</f>
        <v/>
      </c>
      <c r="E288" s="42">
        <f>C288-D288</f>
        <v/>
      </c>
      <c r="F288" s="42">
        <f>(E288-F757)^2</f>
        <v/>
      </c>
      <c r="G288" s="41">
        <f>(E288-F757)^3</f>
        <v/>
      </c>
      <c r="H288" s="41">
        <f>(E288-F757)^4</f>
        <v/>
      </c>
      <c r="I288" s="40" t="n"/>
    </row>
    <row r="289" ht="15" customHeight="1" s="28">
      <c r="A289" s="37" t="n">
        <v>277</v>
      </c>
      <c r="B289" s="37" t="n">
        <v>276</v>
      </c>
      <c r="C289" s="38" t="n">
        <v>4610.06</v>
      </c>
      <c r="D289" s="38">
        <f>4541.138727+0.225904*B289</f>
        <v/>
      </c>
      <c r="E289" s="39">
        <f>C289-D289</f>
        <v/>
      </c>
      <c r="F289" s="39">
        <f>(E289-F757)^2</f>
        <v/>
      </c>
      <c r="G289" s="38">
        <f>(E289-F757)^3</f>
        <v/>
      </c>
      <c r="H289" s="38">
        <f>(E289-F757)^4</f>
        <v/>
      </c>
      <c r="I289" s="37" t="n"/>
    </row>
    <row r="290" ht="15" customHeight="1" s="28">
      <c r="A290" s="40" t="n">
        <v>278</v>
      </c>
      <c r="B290" s="40" t="n">
        <v>277</v>
      </c>
      <c r="C290" s="41" t="n">
        <v>4611.41</v>
      </c>
      <c r="D290" s="41">
        <f>4541.138727+0.225904*B290</f>
        <v/>
      </c>
      <c r="E290" s="42">
        <f>C290-D290</f>
        <v/>
      </c>
      <c r="F290" s="42">
        <f>(E290-F757)^2</f>
        <v/>
      </c>
      <c r="G290" s="41">
        <f>(E290-F757)^3</f>
        <v/>
      </c>
      <c r="H290" s="41">
        <f>(E290-F757)^4</f>
        <v/>
      </c>
      <c r="I290" s="40" t="n"/>
    </row>
    <row r="291" ht="15" customHeight="1" s="28">
      <c r="A291" s="37" t="n">
        <v>279</v>
      </c>
      <c r="B291" s="37" t="n">
        <v>278</v>
      </c>
      <c r="C291" s="38" t="n">
        <v>4613.3</v>
      </c>
      <c r="D291" s="38">
        <f>4541.138727+0.225904*B291</f>
        <v/>
      </c>
      <c r="E291" s="39">
        <f>C291-D291</f>
        <v/>
      </c>
      <c r="F291" s="39">
        <f>(E291-F757)^2</f>
        <v/>
      </c>
      <c r="G291" s="38">
        <f>(E291-F757)^3</f>
        <v/>
      </c>
      <c r="H291" s="38">
        <f>(E291-F757)^4</f>
        <v/>
      </c>
      <c r="I291" s="37" t="n"/>
    </row>
    <row r="292" ht="15" customHeight="1" s="28">
      <c r="A292" s="40" t="n">
        <v>280</v>
      </c>
      <c r="B292" s="40" t="n">
        <v>279</v>
      </c>
      <c r="C292" s="41" t="n">
        <v>4613.77</v>
      </c>
      <c r="D292" s="41">
        <f>4541.138727+0.225904*B292</f>
        <v/>
      </c>
      <c r="E292" s="42">
        <f>C292-D292</f>
        <v/>
      </c>
      <c r="F292" s="42">
        <f>(E292-F757)^2</f>
        <v/>
      </c>
      <c r="G292" s="41">
        <f>(E292-F757)^3</f>
        <v/>
      </c>
      <c r="H292" s="41">
        <f>(E292-F757)^4</f>
        <v/>
      </c>
      <c r="I292" s="40" t="n"/>
    </row>
    <row r="293" ht="15" customHeight="1" s="28">
      <c r="A293" s="37" t="n">
        <v>281</v>
      </c>
      <c r="B293" s="37" t="n">
        <v>280</v>
      </c>
      <c r="C293" s="38" t="n">
        <v>4613.98</v>
      </c>
      <c r="D293" s="38">
        <f>4541.138727+0.225904*B293</f>
        <v/>
      </c>
      <c r="E293" s="39">
        <f>C293-D293</f>
        <v/>
      </c>
      <c r="F293" s="39">
        <f>(E293-F757)^2</f>
        <v/>
      </c>
      <c r="G293" s="38">
        <f>(E293-F757)^3</f>
        <v/>
      </c>
      <c r="H293" s="38">
        <f>(E293-F757)^4</f>
        <v/>
      </c>
      <c r="I293" s="37" t="n"/>
    </row>
    <row r="294" ht="15" customHeight="1" s="28">
      <c r="A294" s="40" t="n">
        <v>282</v>
      </c>
      <c r="B294" s="40" t="n">
        <v>281</v>
      </c>
      <c r="C294" s="41" t="n">
        <v>4623.11</v>
      </c>
      <c r="D294" s="41">
        <f>4541.138727+0.225904*B294</f>
        <v/>
      </c>
      <c r="E294" s="42">
        <f>C294-D294</f>
        <v/>
      </c>
      <c r="F294" s="42">
        <f>(E294-F757)^2</f>
        <v/>
      </c>
      <c r="G294" s="41">
        <f>(E294-F757)^3</f>
        <v/>
      </c>
      <c r="H294" s="41">
        <f>(E294-F757)^4</f>
        <v/>
      </c>
      <c r="I294" s="40" t="n"/>
    </row>
    <row r="295" ht="15" customHeight="1" s="28">
      <c r="A295" s="37" t="n">
        <v>283</v>
      </c>
      <c r="B295" s="37" t="n">
        <v>282</v>
      </c>
      <c r="C295" s="38" t="n">
        <v>4620.91</v>
      </c>
      <c r="D295" s="38">
        <f>4541.138727+0.225904*B295</f>
        <v/>
      </c>
      <c r="E295" s="39">
        <f>C295-D295</f>
        <v/>
      </c>
      <c r="F295" s="39">
        <f>(E295-F757)^2</f>
        <v/>
      </c>
      <c r="G295" s="38">
        <f>(E295-F757)^3</f>
        <v/>
      </c>
      <c r="H295" s="38">
        <f>(E295-F757)^4</f>
        <v/>
      </c>
      <c r="I295" s="37" t="n"/>
    </row>
    <row r="296" ht="15" customHeight="1" s="28">
      <c r="A296" s="40" t="n">
        <v>284</v>
      </c>
      <c r="B296" s="40" t="n">
        <v>283</v>
      </c>
      <c r="C296" s="41" t="n">
        <v>4628.2</v>
      </c>
      <c r="D296" s="41">
        <f>4541.138727+0.225904*B296</f>
        <v/>
      </c>
      <c r="E296" s="42">
        <f>C296-D296</f>
        <v/>
      </c>
      <c r="F296" s="42">
        <f>(E296-F757)^2</f>
        <v/>
      </c>
      <c r="G296" s="41">
        <f>(E296-F757)^3</f>
        <v/>
      </c>
      <c r="H296" s="41">
        <f>(E296-F757)^4</f>
        <v/>
      </c>
      <c r="I296" s="40" t="n"/>
    </row>
    <row r="297" ht="15" customHeight="1" s="28">
      <c r="A297" s="37" t="n">
        <v>285</v>
      </c>
      <c r="B297" s="37" t="n">
        <v>284</v>
      </c>
      <c r="C297" s="38" t="n">
        <v>4618.95</v>
      </c>
      <c r="D297" s="38">
        <f>4541.138727+0.225904*B297</f>
        <v/>
      </c>
      <c r="E297" s="39">
        <f>C297-D297</f>
        <v/>
      </c>
      <c r="F297" s="39">
        <f>(E297-F757)^2</f>
        <v/>
      </c>
      <c r="G297" s="38">
        <f>(E297-F757)^3</f>
        <v/>
      </c>
      <c r="H297" s="38">
        <f>(E297-F757)^4</f>
        <v/>
      </c>
      <c r="I297" s="37" t="n"/>
    </row>
    <row r="298" ht="15" customHeight="1" s="28">
      <c r="A298" s="40" t="n">
        <v>286</v>
      </c>
      <c r="B298" s="40" t="n">
        <v>285</v>
      </c>
      <c r="C298" s="41" t="n">
        <v>4615.08</v>
      </c>
      <c r="D298" s="41">
        <f>4541.138727+0.225904*B298</f>
        <v/>
      </c>
      <c r="E298" s="42">
        <f>C298-D298</f>
        <v/>
      </c>
      <c r="F298" s="42">
        <f>(E298-F757)^2</f>
        <v/>
      </c>
      <c r="G298" s="41">
        <f>(E298-F757)^3</f>
        <v/>
      </c>
      <c r="H298" s="41">
        <f>(E298-F757)^4</f>
        <v/>
      </c>
      <c r="I298" s="40" t="n"/>
    </row>
    <row r="299" ht="15" customHeight="1" s="28">
      <c r="A299" s="37" t="n">
        <v>287</v>
      </c>
      <c r="B299" s="37" t="n">
        <v>286</v>
      </c>
      <c r="C299" s="38" t="n">
        <v>4617.09</v>
      </c>
      <c r="D299" s="38">
        <f>4541.138727+0.225904*B299</f>
        <v/>
      </c>
      <c r="E299" s="39">
        <f>C299-D299</f>
        <v/>
      </c>
      <c r="F299" s="39">
        <f>(E299-F757)^2</f>
        <v/>
      </c>
      <c r="G299" s="38">
        <f>(E299-F757)^3</f>
        <v/>
      </c>
      <c r="H299" s="38">
        <f>(E299-F757)^4</f>
        <v/>
      </c>
      <c r="I299" s="37" t="n"/>
    </row>
    <row r="300" ht="15" customHeight="1" s="28">
      <c r="A300" s="40" t="n">
        <v>288</v>
      </c>
      <c r="B300" s="40" t="n">
        <v>287</v>
      </c>
      <c r="C300" s="41" t="n">
        <v>4613.63</v>
      </c>
      <c r="D300" s="41">
        <f>4541.138727+0.225904*B300</f>
        <v/>
      </c>
      <c r="E300" s="42">
        <f>C300-D300</f>
        <v/>
      </c>
      <c r="F300" s="42">
        <f>(E300-F757)^2</f>
        <v/>
      </c>
      <c r="G300" s="41">
        <f>(E300-F757)^3</f>
        <v/>
      </c>
      <c r="H300" s="41">
        <f>(E300-F757)^4</f>
        <v/>
      </c>
      <c r="I300" s="40" t="n"/>
    </row>
    <row r="301" ht="15" customHeight="1" s="28">
      <c r="A301" s="37" t="n">
        <v>289</v>
      </c>
      <c r="B301" s="37" t="n">
        <v>288</v>
      </c>
      <c r="C301" s="38" t="n">
        <v>4613.86</v>
      </c>
      <c r="D301" s="38">
        <f>4541.138727+0.225904*B301</f>
        <v/>
      </c>
      <c r="E301" s="39">
        <f>C301-D301</f>
        <v/>
      </c>
      <c r="F301" s="39">
        <f>(E301-F757)^2</f>
        <v/>
      </c>
      <c r="G301" s="38">
        <f>(E301-F757)^3</f>
        <v/>
      </c>
      <c r="H301" s="38">
        <f>(E301-F757)^4</f>
        <v/>
      </c>
      <c r="I301" s="37" t="n"/>
    </row>
    <row r="302" ht="15" customHeight="1" s="28">
      <c r="A302" s="40" t="n">
        <v>290</v>
      </c>
      <c r="B302" s="40" t="n">
        <v>289</v>
      </c>
      <c r="C302" s="41" t="n">
        <v>4612.3</v>
      </c>
      <c r="D302" s="41">
        <f>4541.138727+0.225904*B302</f>
        <v/>
      </c>
      <c r="E302" s="42">
        <f>C302-D302</f>
        <v/>
      </c>
      <c r="F302" s="42">
        <f>(E302-F757)^2</f>
        <v/>
      </c>
      <c r="G302" s="41">
        <f>(E302-F757)^3</f>
        <v/>
      </c>
      <c r="H302" s="41">
        <f>(E302-F757)^4</f>
        <v/>
      </c>
      <c r="I302" s="40" t="n"/>
    </row>
    <row r="303" ht="15" customHeight="1" s="28">
      <c r="A303" s="37" t="n">
        <v>291</v>
      </c>
      <c r="B303" s="37" t="n">
        <v>290</v>
      </c>
      <c r="C303" s="38" t="n">
        <v>4606.13</v>
      </c>
      <c r="D303" s="38">
        <f>4541.138727+0.225904*B303</f>
        <v/>
      </c>
      <c r="E303" s="39">
        <f>C303-D303</f>
        <v/>
      </c>
      <c r="F303" s="39">
        <f>(E303-F757)^2</f>
        <v/>
      </c>
      <c r="G303" s="38">
        <f>(E303-F757)^3</f>
        <v/>
      </c>
      <c r="H303" s="38">
        <f>(E303-F757)^4</f>
        <v/>
      </c>
      <c r="I303" s="37" t="n"/>
    </row>
    <row r="304" ht="15" customHeight="1" s="28">
      <c r="A304" s="40" t="n">
        <v>292</v>
      </c>
      <c r="B304" s="40" t="n">
        <v>291</v>
      </c>
      <c r="C304" s="41" t="n">
        <v>4605.86</v>
      </c>
      <c r="D304" s="41">
        <f>4541.138727+0.225904*B304</f>
        <v/>
      </c>
      <c r="E304" s="42">
        <f>C304-D304</f>
        <v/>
      </c>
      <c r="F304" s="42">
        <f>(E304-F757)^2</f>
        <v/>
      </c>
      <c r="G304" s="41">
        <f>(E304-F757)^3</f>
        <v/>
      </c>
      <c r="H304" s="41">
        <f>(E304-F757)^4</f>
        <v/>
      </c>
      <c r="I304" s="40" t="n"/>
    </row>
    <row r="305" ht="15" customHeight="1" s="28">
      <c r="A305" s="37" t="n">
        <v>293</v>
      </c>
      <c r="B305" s="37" t="n">
        <v>292</v>
      </c>
      <c r="C305" s="38" t="n">
        <v>4613.01</v>
      </c>
      <c r="D305" s="38">
        <f>4541.138727+0.225904*B305</f>
        <v/>
      </c>
      <c r="E305" s="39">
        <f>C305-D305</f>
        <v/>
      </c>
      <c r="F305" s="39">
        <f>(E305-F757)^2</f>
        <v/>
      </c>
      <c r="G305" s="38">
        <f>(E305-F757)^3</f>
        <v/>
      </c>
      <c r="H305" s="38">
        <f>(E305-F757)^4</f>
        <v/>
      </c>
      <c r="I305" s="37" t="n"/>
    </row>
    <row r="306" ht="15" customHeight="1" s="28">
      <c r="A306" s="40" t="n">
        <v>294</v>
      </c>
      <c r="B306" s="40" t="n">
        <v>293</v>
      </c>
      <c r="C306" s="41" t="n">
        <v>4600.58</v>
      </c>
      <c r="D306" s="41">
        <f>4541.138727+0.225904*B306</f>
        <v/>
      </c>
      <c r="E306" s="42">
        <f>C306-D306</f>
        <v/>
      </c>
      <c r="F306" s="42">
        <f>(E306-F757)^2</f>
        <v/>
      </c>
      <c r="G306" s="41">
        <f>(E306-F757)^3</f>
        <v/>
      </c>
      <c r="H306" s="41">
        <f>(E306-F757)^4</f>
        <v/>
      </c>
      <c r="I306" s="40" t="n"/>
    </row>
    <row r="307" ht="15" customHeight="1" s="28">
      <c r="A307" s="37" t="n">
        <v>295</v>
      </c>
      <c r="B307" s="37" t="n">
        <v>294</v>
      </c>
      <c r="C307" s="38" t="n">
        <v>4594.65</v>
      </c>
      <c r="D307" s="38">
        <f>4541.138727+0.225904*B307</f>
        <v/>
      </c>
      <c r="E307" s="39">
        <f>C307-D307</f>
        <v/>
      </c>
      <c r="F307" s="39">
        <f>(E307-F757)^2</f>
        <v/>
      </c>
      <c r="G307" s="38">
        <f>(E307-F757)^3</f>
        <v/>
      </c>
      <c r="H307" s="38">
        <f>(E307-F757)^4</f>
        <v/>
      </c>
      <c r="I307" s="37" t="n"/>
    </row>
    <row r="308" ht="15" customHeight="1" s="28">
      <c r="A308" s="40" t="n">
        <v>296</v>
      </c>
      <c r="B308" s="40" t="n">
        <v>295</v>
      </c>
      <c r="C308" s="41" t="n">
        <v>4601.59</v>
      </c>
      <c r="D308" s="41">
        <f>4541.138727+0.225904*B308</f>
        <v/>
      </c>
      <c r="E308" s="42">
        <f>C308-D308</f>
        <v/>
      </c>
      <c r="F308" s="42">
        <f>(E308-F757)^2</f>
        <v/>
      </c>
      <c r="G308" s="41">
        <f>(E308-F757)^3</f>
        <v/>
      </c>
      <c r="H308" s="41">
        <f>(E308-F757)^4</f>
        <v/>
      </c>
      <c r="I308" s="40" t="n"/>
    </row>
    <row r="309" ht="15" customHeight="1" s="28">
      <c r="A309" s="37" t="n">
        <v>297</v>
      </c>
      <c r="B309" s="37" t="n">
        <v>296</v>
      </c>
      <c r="C309" s="38" t="n">
        <v>4613.14</v>
      </c>
      <c r="D309" s="38">
        <f>4541.138727+0.225904*B309</f>
        <v/>
      </c>
      <c r="E309" s="39">
        <f>C309-D309</f>
        <v/>
      </c>
      <c r="F309" s="39">
        <f>(E309-F757)^2</f>
        <v/>
      </c>
      <c r="G309" s="38">
        <f>(E309-F757)^3</f>
        <v/>
      </c>
      <c r="H309" s="38">
        <f>(E309-F757)^4</f>
        <v/>
      </c>
      <c r="I309" s="37" t="n"/>
    </row>
    <row r="310" ht="15" customHeight="1" s="28">
      <c r="A310" s="40" t="n">
        <v>298</v>
      </c>
      <c r="B310" s="40" t="n">
        <v>297</v>
      </c>
      <c r="C310" s="41" t="n">
        <v>4608.34</v>
      </c>
      <c r="D310" s="41">
        <f>4541.138727+0.225904*B310</f>
        <v/>
      </c>
      <c r="E310" s="42">
        <f>C310-D310</f>
        <v/>
      </c>
      <c r="F310" s="42">
        <f>(E310-F757)^2</f>
        <v/>
      </c>
      <c r="G310" s="41">
        <f>(E310-F757)^3</f>
        <v/>
      </c>
      <c r="H310" s="41">
        <f>(E310-F757)^4</f>
        <v/>
      </c>
      <c r="I310" s="40" t="n"/>
    </row>
    <row r="311" ht="15" customHeight="1" s="28">
      <c r="A311" s="37" t="n">
        <v>299</v>
      </c>
      <c r="B311" s="37" t="n">
        <v>298</v>
      </c>
      <c r="C311" s="38" t="n">
        <v>4593.09</v>
      </c>
      <c r="D311" s="38">
        <f>4541.138727+0.225904*B311</f>
        <v/>
      </c>
      <c r="E311" s="39">
        <f>C311-D311</f>
        <v/>
      </c>
      <c r="F311" s="39">
        <f>(E311-F757)^2</f>
        <v/>
      </c>
      <c r="G311" s="38">
        <f>(E311-F757)^3</f>
        <v/>
      </c>
      <c r="H311" s="38">
        <f>(E311-F757)^4</f>
        <v/>
      </c>
      <c r="I311" s="37" t="n"/>
    </row>
    <row r="312" ht="15" customHeight="1" s="28">
      <c r="A312" s="40" t="n">
        <v>300</v>
      </c>
      <c r="B312" s="40" t="n">
        <v>299</v>
      </c>
      <c r="C312" s="41" t="n">
        <v>4603.32</v>
      </c>
      <c r="D312" s="41">
        <f>4541.138727+0.225904*B312</f>
        <v/>
      </c>
      <c r="E312" s="42">
        <f>C312-D312</f>
        <v/>
      </c>
      <c r="F312" s="42">
        <f>(E312-F757)^2</f>
        <v/>
      </c>
      <c r="G312" s="41">
        <f>(E312-F757)^3</f>
        <v/>
      </c>
      <c r="H312" s="41">
        <f>(E312-F757)^4</f>
        <v/>
      </c>
      <c r="I312" s="40" t="n"/>
    </row>
    <row r="313" ht="15" customHeight="1" s="28">
      <c r="A313" s="37" t="n">
        <v>301</v>
      </c>
      <c r="B313" s="37" t="n">
        <v>300</v>
      </c>
      <c r="C313" s="38" t="n">
        <v>4605.77</v>
      </c>
      <c r="D313" s="38">
        <f>4541.138727+0.225904*B313</f>
        <v/>
      </c>
      <c r="E313" s="39">
        <f>C313-D313</f>
        <v/>
      </c>
      <c r="F313" s="39">
        <f>(E313-F757)^2</f>
        <v/>
      </c>
      <c r="G313" s="38">
        <f>(E313-F757)^3</f>
        <v/>
      </c>
      <c r="H313" s="38">
        <f>(E313-F757)^4</f>
        <v/>
      </c>
      <c r="I313" s="37" t="n"/>
    </row>
    <row r="314" ht="15" customHeight="1" s="28">
      <c r="A314" s="40" t="n">
        <v>302</v>
      </c>
      <c r="B314" s="40" t="n">
        <v>301</v>
      </c>
      <c r="C314" s="41" t="n">
        <v>4610.07</v>
      </c>
      <c r="D314" s="41">
        <f>4541.138727+0.225904*B314</f>
        <v/>
      </c>
      <c r="E314" s="42">
        <f>C314-D314</f>
        <v/>
      </c>
      <c r="F314" s="42">
        <f>(E314-F757)^2</f>
        <v/>
      </c>
      <c r="G314" s="41">
        <f>(E314-F757)^3</f>
        <v/>
      </c>
      <c r="H314" s="41">
        <f>(E314-F757)^4</f>
        <v/>
      </c>
      <c r="I314" s="40" t="n"/>
    </row>
    <row r="315" ht="15" customHeight="1" s="28">
      <c r="A315" s="37" t="n">
        <v>303</v>
      </c>
      <c r="B315" s="37" t="n">
        <v>302</v>
      </c>
      <c r="C315" s="38" t="n">
        <v>4610.27</v>
      </c>
      <c r="D315" s="38">
        <f>4541.138727+0.225904*B315</f>
        <v/>
      </c>
      <c r="E315" s="39">
        <f>C315-D315</f>
        <v/>
      </c>
      <c r="F315" s="39">
        <f>(E315-F757)^2</f>
        <v/>
      </c>
      <c r="G315" s="38">
        <f>(E315-F757)^3</f>
        <v/>
      </c>
      <c r="H315" s="38">
        <f>(E315-F757)^4</f>
        <v/>
      </c>
      <c r="I315" s="37" t="n"/>
    </row>
    <row r="316" ht="15" customHeight="1" s="28">
      <c r="A316" s="40" t="n">
        <v>304</v>
      </c>
      <c r="B316" s="40" t="n">
        <v>303</v>
      </c>
      <c r="C316" s="41" t="n">
        <v>4605.07</v>
      </c>
      <c r="D316" s="41">
        <f>4541.138727+0.225904*B316</f>
        <v/>
      </c>
      <c r="E316" s="42">
        <f>C316-D316</f>
        <v/>
      </c>
      <c r="F316" s="42">
        <f>(E316-F757)^2</f>
        <v/>
      </c>
      <c r="G316" s="41">
        <f>(E316-F757)^3</f>
        <v/>
      </c>
      <c r="H316" s="41">
        <f>(E316-F757)^4</f>
        <v/>
      </c>
      <c r="I316" s="40" t="n"/>
    </row>
    <row r="317" ht="15" customHeight="1" s="28">
      <c r="A317" s="37" t="n">
        <v>305</v>
      </c>
      <c r="B317" s="37" t="n">
        <v>304</v>
      </c>
      <c r="C317" s="38" t="n">
        <v>4615.09</v>
      </c>
      <c r="D317" s="38">
        <f>4541.138727+0.225904*B317</f>
        <v/>
      </c>
      <c r="E317" s="39">
        <f>C317-D317</f>
        <v/>
      </c>
      <c r="F317" s="39">
        <f>(E317-F757)^2</f>
        <v/>
      </c>
      <c r="G317" s="38">
        <f>(E317-F757)^3</f>
        <v/>
      </c>
      <c r="H317" s="38">
        <f>(E317-F757)^4</f>
        <v/>
      </c>
      <c r="I317" s="37" t="n"/>
    </row>
    <row r="318" ht="15" customHeight="1" s="28">
      <c r="A318" s="40" t="n">
        <v>306</v>
      </c>
      <c r="B318" s="40" t="n">
        <v>305</v>
      </c>
      <c r="C318" s="41" t="n">
        <v>4611.19</v>
      </c>
      <c r="D318" s="41">
        <f>4541.138727+0.225904*B318</f>
        <v/>
      </c>
      <c r="E318" s="42">
        <f>C318-D318</f>
        <v/>
      </c>
      <c r="F318" s="42">
        <f>(E318-F757)^2</f>
        <v/>
      </c>
      <c r="G318" s="41">
        <f>(E318-F757)^3</f>
        <v/>
      </c>
      <c r="H318" s="41">
        <f>(E318-F757)^4</f>
        <v/>
      </c>
      <c r="I318" s="40" t="n"/>
    </row>
    <row r="319" ht="15" customHeight="1" s="28">
      <c r="A319" s="37" t="n">
        <v>307</v>
      </c>
      <c r="B319" s="37" t="n">
        <v>306</v>
      </c>
      <c r="C319" s="38" t="n">
        <v>4608.12</v>
      </c>
      <c r="D319" s="38">
        <f>4541.138727+0.225904*B319</f>
        <v/>
      </c>
      <c r="E319" s="39">
        <f>C319-D319</f>
        <v/>
      </c>
      <c r="F319" s="39">
        <f>(E319-F757)^2</f>
        <v/>
      </c>
      <c r="G319" s="38">
        <f>(E319-F757)^3</f>
        <v/>
      </c>
      <c r="H319" s="38">
        <f>(E319-F757)^4</f>
        <v/>
      </c>
      <c r="I319" s="37" t="n"/>
    </row>
    <row r="320" ht="15" customHeight="1" s="28">
      <c r="A320" s="40" t="n">
        <v>308</v>
      </c>
      <c r="B320" s="40" t="n">
        <v>307</v>
      </c>
      <c r="C320" s="41" t="n">
        <v>4609.32</v>
      </c>
      <c r="D320" s="41">
        <f>4541.138727+0.225904*B320</f>
        <v/>
      </c>
      <c r="E320" s="42">
        <f>C320-D320</f>
        <v/>
      </c>
      <c r="F320" s="42">
        <f>(E320-F757)^2</f>
        <v/>
      </c>
      <c r="G320" s="41">
        <f>(E320-F757)^3</f>
        <v/>
      </c>
      <c r="H320" s="41">
        <f>(E320-F757)^4</f>
        <v/>
      </c>
      <c r="I320" s="40" t="n"/>
    </row>
    <row r="321" ht="15" customHeight="1" s="28">
      <c r="A321" s="37" t="n">
        <v>309</v>
      </c>
      <c r="B321" s="37" t="n">
        <v>308</v>
      </c>
      <c r="C321" s="38" t="n">
        <v>4606</v>
      </c>
      <c r="D321" s="38">
        <f>4541.138727+0.225904*B321</f>
        <v/>
      </c>
      <c r="E321" s="39">
        <f>C321-D321</f>
        <v/>
      </c>
      <c r="F321" s="39">
        <f>(E321-F757)^2</f>
        <v/>
      </c>
      <c r="G321" s="38">
        <f>(E321-F757)^3</f>
        <v/>
      </c>
      <c r="H321" s="38">
        <f>(E321-F757)^4</f>
        <v/>
      </c>
      <c r="I321" s="37" t="n"/>
    </row>
    <row r="322" ht="15" customHeight="1" s="28">
      <c r="A322" s="40" t="n">
        <v>310</v>
      </c>
      <c r="B322" s="40" t="n">
        <v>309</v>
      </c>
      <c r="C322" s="41" t="n">
        <v>4603.74</v>
      </c>
      <c r="D322" s="41">
        <f>4541.138727+0.225904*B322</f>
        <v/>
      </c>
      <c r="E322" s="42">
        <f>C322-D322</f>
        <v/>
      </c>
      <c r="F322" s="42">
        <f>(E322-F757)^2</f>
        <v/>
      </c>
      <c r="G322" s="41">
        <f>(E322-F757)^3</f>
        <v/>
      </c>
      <c r="H322" s="41">
        <f>(E322-F757)^4</f>
        <v/>
      </c>
      <c r="I322" s="40" t="n"/>
    </row>
    <row r="323" ht="15" customHeight="1" s="28">
      <c r="A323" s="37" t="n">
        <v>311</v>
      </c>
      <c r="B323" s="37" t="n">
        <v>310</v>
      </c>
      <c r="C323" s="38" t="n">
        <v>4596.32</v>
      </c>
      <c r="D323" s="38">
        <f>4541.138727+0.225904*B323</f>
        <v/>
      </c>
      <c r="E323" s="39">
        <f>C323-D323</f>
        <v/>
      </c>
      <c r="F323" s="39">
        <f>(E323-F757)^2</f>
        <v/>
      </c>
      <c r="G323" s="38">
        <f>(E323-F757)^3</f>
        <v/>
      </c>
      <c r="H323" s="38">
        <f>(E323-F757)^4</f>
        <v/>
      </c>
      <c r="I323" s="37" t="n"/>
    </row>
    <row r="324" ht="15" customHeight="1" s="28">
      <c r="A324" s="40" t="n">
        <v>312</v>
      </c>
      <c r="B324" s="40" t="n">
        <v>311</v>
      </c>
      <c r="C324" s="41" t="n">
        <v>4598.85</v>
      </c>
      <c r="D324" s="41">
        <f>4541.138727+0.225904*B324</f>
        <v/>
      </c>
      <c r="E324" s="42">
        <f>C324-D324</f>
        <v/>
      </c>
      <c r="F324" s="42">
        <f>(E324-F757)^2</f>
        <v/>
      </c>
      <c r="G324" s="41">
        <f>(E324-F757)^3</f>
        <v/>
      </c>
      <c r="H324" s="41">
        <f>(E324-F757)^4</f>
        <v/>
      </c>
      <c r="I324" s="40" t="n"/>
    </row>
    <row r="325" ht="15" customHeight="1" s="28">
      <c r="A325" s="37" t="n">
        <v>313</v>
      </c>
      <c r="B325" s="37" t="n">
        <v>312</v>
      </c>
      <c r="C325" s="38" t="n">
        <v>4599.12</v>
      </c>
      <c r="D325" s="38">
        <f>4541.138727+0.225904*B325</f>
        <v/>
      </c>
      <c r="E325" s="39">
        <f>C325-D325</f>
        <v/>
      </c>
      <c r="F325" s="39">
        <f>(E325-F757)^2</f>
        <v/>
      </c>
      <c r="G325" s="38">
        <f>(E325-F757)^3</f>
        <v/>
      </c>
      <c r="H325" s="38">
        <f>(E325-F757)^4</f>
        <v/>
      </c>
      <c r="I325" s="37" t="n"/>
    </row>
    <row r="326" ht="15" customHeight="1" s="28">
      <c r="A326" s="40" t="n">
        <v>314</v>
      </c>
      <c r="B326" s="40" t="n">
        <v>313</v>
      </c>
      <c r="C326" s="41" t="n">
        <v>4597.44</v>
      </c>
      <c r="D326" s="41">
        <f>4541.138727+0.225904*B326</f>
        <v/>
      </c>
      <c r="E326" s="42">
        <f>C326-D326</f>
        <v/>
      </c>
      <c r="F326" s="42">
        <f>(E326-F757)^2</f>
        <v/>
      </c>
      <c r="G326" s="41">
        <f>(E326-F757)^3</f>
        <v/>
      </c>
      <c r="H326" s="41">
        <f>(E326-F757)^4</f>
        <v/>
      </c>
      <c r="I326" s="40" t="n"/>
    </row>
    <row r="327" ht="15" customHeight="1" s="28">
      <c r="A327" s="37" t="n">
        <v>315</v>
      </c>
      <c r="B327" s="37" t="n">
        <v>314</v>
      </c>
      <c r="C327" s="38" t="n">
        <v>4594.08</v>
      </c>
      <c r="D327" s="38">
        <f>4541.138727+0.225904*B327</f>
        <v/>
      </c>
      <c r="E327" s="39">
        <f>C327-D327</f>
        <v/>
      </c>
      <c r="F327" s="39">
        <f>(E327-F757)^2</f>
        <v/>
      </c>
      <c r="G327" s="38">
        <f>(E327-F757)^3</f>
        <v/>
      </c>
      <c r="H327" s="38">
        <f>(E327-F757)^4</f>
        <v/>
      </c>
      <c r="I327" s="37" t="n"/>
    </row>
    <row r="328" ht="15" customHeight="1" s="28">
      <c r="A328" s="40" t="n">
        <v>316</v>
      </c>
      <c r="B328" s="40" t="n">
        <v>315</v>
      </c>
      <c r="C328" s="41" t="n">
        <v>4585.46</v>
      </c>
      <c r="D328" s="41">
        <f>4541.138727+0.225904*B328</f>
        <v/>
      </c>
      <c r="E328" s="42">
        <f>C328-D328</f>
        <v/>
      </c>
      <c r="F328" s="42">
        <f>(E328-F757)^2</f>
        <v/>
      </c>
      <c r="G328" s="41">
        <f>(E328-F757)^3</f>
        <v/>
      </c>
      <c r="H328" s="41">
        <f>(E328-F757)^4</f>
        <v/>
      </c>
      <c r="I328" s="40" t="n"/>
    </row>
    <row r="329" ht="15" customHeight="1" s="28">
      <c r="A329" s="37" t="n">
        <v>317</v>
      </c>
      <c r="B329" s="37" t="n">
        <v>316</v>
      </c>
      <c r="C329" s="38" t="n">
        <v>4588.54</v>
      </c>
      <c r="D329" s="38">
        <f>4541.138727+0.225904*B329</f>
        <v/>
      </c>
      <c r="E329" s="39">
        <f>C329-D329</f>
        <v/>
      </c>
      <c r="F329" s="39">
        <f>(E329-F757)^2</f>
        <v/>
      </c>
      <c r="G329" s="38">
        <f>(E329-F757)^3</f>
        <v/>
      </c>
      <c r="H329" s="38">
        <f>(E329-F757)^4</f>
        <v/>
      </c>
      <c r="I329" s="37" t="n"/>
    </row>
    <row r="330" ht="15" customHeight="1" s="28">
      <c r="A330" s="40" t="n">
        <v>318</v>
      </c>
      <c r="B330" s="40" t="n">
        <v>317</v>
      </c>
      <c r="C330" s="41" t="n">
        <v>4592.16</v>
      </c>
      <c r="D330" s="41">
        <f>4541.138727+0.225904*B330</f>
        <v/>
      </c>
      <c r="E330" s="42">
        <f>C330-D330</f>
        <v/>
      </c>
      <c r="F330" s="42">
        <f>(E330-F757)^2</f>
        <v/>
      </c>
      <c r="G330" s="41">
        <f>(E330-F757)^3</f>
        <v/>
      </c>
      <c r="H330" s="41">
        <f>(E330-F757)^4</f>
        <v/>
      </c>
      <c r="I330" s="40" t="n"/>
    </row>
    <row r="331" ht="15" customHeight="1" s="28">
      <c r="A331" s="37" t="n">
        <v>319</v>
      </c>
      <c r="B331" s="37" t="n">
        <v>318</v>
      </c>
      <c r="C331" s="38" t="n">
        <v>4585.82</v>
      </c>
      <c r="D331" s="38">
        <f>4541.138727+0.225904*B331</f>
        <v/>
      </c>
      <c r="E331" s="39">
        <f>C331-D331</f>
        <v/>
      </c>
      <c r="F331" s="39">
        <f>(E331-F757)^2</f>
        <v/>
      </c>
      <c r="G331" s="38">
        <f>(E331-F757)^3</f>
        <v/>
      </c>
      <c r="H331" s="38">
        <f>(E331-F757)^4</f>
        <v/>
      </c>
      <c r="I331" s="37" t="n"/>
    </row>
    <row r="332" ht="15" customHeight="1" s="28">
      <c r="A332" s="40" t="n">
        <v>320</v>
      </c>
      <c r="B332" s="40" t="n">
        <v>319</v>
      </c>
      <c r="C332" s="41" t="n">
        <v>4587.99</v>
      </c>
      <c r="D332" s="41">
        <f>4541.138727+0.225904*B332</f>
        <v/>
      </c>
      <c r="E332" s="42">
        <f>C332-D332</f>
        <v/>
      </c>
      <c r="F332" s="42">
        <f>(E332-F757)^2</f>
        <v/>
      </c>
      <c r="G332" s="41">
        <f>(E332-F757)^3</f>
        <v/>
      </c>
      <c r="H332" s="41">
        <f>(E332-F757)^4</f>
        <v/>
      </c>
      <c r="I332" s="40" t="n"/>
    </row>
    <row r="333" ht="15" customHeight="1" s="28">
      <c r="A333" s="37" t="n">
        <v>321</v>
      </c>
      <c r="B333" s="37" t="n">
        <v>320</v>
      </c>
      <c r="C333" s="38" t="n">
        <v>4579.06</v>
      </c>
      <c r="D333" s="38">
        <f>4541.138727+0.225904*B333</f>
        <v/>
      </c>
      <c r="E333" s="39">
        <f>C333-D333</f>
        <v/>
      </c>
      <c r="F333" s="39">
        <f>(E333-F757)^2</f>
        <v/>
      </c>
      <c r="G333" s="38">
        <f>(E333-F757)^3</f>
        <v/>
      </c>
      <c r="H333" s="38">
        <f>(E333-F757)^4</f>
        <v/>
      </c>
      <c r="I333" s="37" t="n"/>
    </row>
    <row r="334" ht="15" customHeight="1" s="28">
      <c r="A334" s="40" t="n">
        <v>322</v>
      </c>
      <c r="B334" s="40" t="n">
        <v>321</v>
      </c>
      <c r="C334" s="41" t="n">
        <v>4580.25</v>
      </c>
      <c r="D334" s="41">
        <f>4541.138727+0.225904*B334</f>
        <v/>
      </c>
      <c r="E334" s="42">
        <f>C334-D334</f>
        <v/>
      </c>
      <c r="F334" s="42">
        <f>(E334-F757)^2</f>
        <v/>
      </c>
      <c r="G334" s="41">
        <f>(E334-F757)^3</f>
        <v/>
      </c>
      <c r="H334" s="41">
        <f>(E334-F757)^4</f>
        <v/>
      </c>
      <c r="I334" s="40" t="n"/>
    </row>
    <row r="335" ht="15" customHeight="1" s="28">
      <c r="A335" s="37" t="n">
        <v>323</v>
      </c>
      <c r="B335" s="37" t="n">
        <v>322</v>
      </c>
      <c r="C335" s="38" t="n">
        <v>4575.07</v>
      </c>
      <c r="D335" s="38">
        <f>4541.138727+0.225904*B335</f>
        <v/>
      </c>
      <c r="E335" s="39">
        <f>C335-D335</f>
        <v/>
      </c>
      <c r="F335" s="39">
        <f>(E335-F757)^2</f>
        <v/>
      </c>
      <c r="G335" s="38">
        <f>(E335-F757)^3</f>
        <v/>
      </c>
      <c r="H335" s="38">
        <f>(E335-F757)^4</f>
        <v/>
      </c>
      <c r="I335" s="37" t="n"/>
    </row>
    <row r="336" ht="15" customHeight="1" s="28">
      <c r="A336" s="40" t="n">
        <v>324</v>
      </c>
      <c r="B336" s="40" t="n">
        <v>323</v>
      </c>
      <c r="C336" s="41" t="n">
        <v>4578.09</v>
      </c>
      <c r="D336" s="41">
        <f>4541.138727+0.225904*B336</f>
        <v/>
      </c>
      <c r="E336" s="42">
        <f>C336-D336</f>
        <v/>
      </c>
      <c r="F336" s="42">
        <f>(E336-F757)^2</f>
        <v/>
      </c>
      <c r="G336" s="41">
        <f>(E336-F757)^3</f>
        <v/>
      </c>
      <c r="H336" s="41">
        <f>(E336-F757)^4</f>
        <v/>
      </c>
      <c r="I336" s="40" t="n"/>
    </row>
    <row r="337" ht="15" customHeight="1" s="28">
      <c r="A337" s="37" t="n">
        <v>325</v>
      </c>
      <c r="B337" s="37" t="n">
        <v>324</v>
      </c>
      <c r="C337" s="38" t="n">
        <v>4577.11</v>
      </c>
      <c r="D337" s="38">
        <f>4541.138727+0.225904*B337</f>
        <v/>
      </c>
      <c r="E337" s="39">
        <f>C337-D337</f>
        <v/>
      </c>
      <c r="F337" s="39">
        <f>(E337-F757)^2</f>
        <v/>
      </c>
      <c r="G337" s="38">
        <f>(E337-F757)^3</f>
        <v/>
      </c>
      <c r="H337" s="38">
        <f>(E337-F757)^4</f>
        <v/>
      </c>
      <c r="I337" s="37" t="n"/>
    </row>
    <row r="338" ht="15" customHeight="1" s="28">
      <c r="A338" s="40" t="n">
        <v>326</v>
      </c>
      <c r="B338" s="40" t="n">
        <v>325</v>
      </c>
      <c r="C338" s="41" t="n">
        <v>4584.21</v>
      </c>
      <c r="D338" s="41">
        <f>4541.138727+0.225904*B338</f>
        <v/>
      </c>
      <c r="E338" s="42">
        <f>C338-D338</f>
        <v/>
      </c>
      <c r="F338" s="42">
        <f>(E338-F757)^2</f>
        <v/>
      </c>
      <c r="G338" s="41">
        <f>(E338-F757)^3</f>
        <v/>
      </c>
      <c r="H338" s="41">
        <f>(E338-F757)^4</f>
        <v/>
      </c>
      <c r="I338" s="40" t="n"/>
    </row>
    <row r="339" ht="15" customHeight="1" s="28">
      <c r="A339" s="37" t="n">
        <v>327</v>
      </c>
      <c r="B339" s="37" t="n">
        <v>326</v>
      </c>
      <c r="C339" s="38" t="n">
        <v>4581.15</v>
      </c>
      <c r="D339" s="38">
        <f>4541.138727+0.225904*B339</f>
        <v/>
      </c>
      <c r="E339" s="39">
        <f>C339-D339</f>
        <v/>
      </c>
      <c r="F339" s="39">
        <f>(E339-F757)^2</f>
        <v/>
      </c>
      <c r="G339" s="38">
        <f>(E339-F757)^3</f>
        <v/>
      </c>
      <c r="H339" s="38">
        <f>(E339-F757)^4</f>
        <v/>
      </c>
      <c r="I339" s="37" t="n"/>
    </row>
    <row r="340" ht="15" customHeight="1" s="28">
      <c r="A340" s="40" t="n">
        <v>328</v>
      </c>
      <c r="B340" s="40" t="n">
        <v>327</v>
      </c>
      <c r="C340" s="41" t="n">
        <v>4581.26</v>
      </c>
      <c r="D340" s="41">
        <f>4541.138727+0.225904*B340</f>
        <v/>
      </c>
      <c r="E340" s="42">
        <f>C340-D340</f>
        <v/>
      </c>
      <c r="F340" s="42">
        <f>(E340-F757)^2</f>
        <v/>
      </c>
      <c r="G340" s="41">
        <f>(E340-F757)^3</f>
        <v/>
      </c>
      <c r="H340" s="41">
        <f>(E340-F757)^4</f>
        <v/>
      </c>
      <c r="I340" s="40" t="n"/>
    </row>
    <row r="341" ht="15" customHeight="1" s="28">
      <c r="A341" s="37" t="n">
        <v>329</v>
      </c>
      <c r="B341" s="37" t="n">
        <v>328</v>
      </c>
      <c r="C341" s="38" t="n">
        <v>4575.47</v>
      </c>
      <c r="D341" s="38">
        <f>4541.138727+0.225904*B341</f>
        <v/>
      </c>
      <c r="E341" s="39">
        <f>C341-D341</f>
        <v/>
      </c>
      <c r="F341" s="39">
        <f>(E341-F757)^2</f>
        <v/>
      </c>
      <c r="G341" s="38">
        <f>(E341-F757)^3</f>
        <v/>
      </c>
      <c r="H341" s="38">
        <f>(E341-F757)^4</f>
        <v/>
      </c>
      <c r="I341" s="37" t="n"/>
    </row>
    <row r="342" ht="15" customHeight="1" s="28">
      <c r="A342" s="40" t="n">
        <v>330</v>
      </c>
      <c r="B342" s="40" t="n">
        <v>329</v>
      </c>
      <c r="C342" s="41" t="n">
        <v>4541.79</v>
      </c>
      <c r="D342" s="41">
        <f>4541.138727+0.225904*B342</f>
        <v/>
      </c>
      <c r="E342" s="42">
        <f>C342-D342</f>
        <v/>
      </c>
      <c r="F342" s="42">
        <f>(E342-F757)^2</f>
        <v/>
      </c>
      <c r="G342" s="41">
        <f>(E342-F757)^3</f>
        <v/>
      </c>
      <c r="H342" s="41">
        <f>(E342-F757)^4</f>
        <v/>
      </c>
      <c r="I342" s="40" t="n"/>
    </row>
    <row r="343" ht="15" customHeight="1" s="28">
      <c r="A343" s="37" t="n">
        <v>331</v>
      </c>
      <c r="B343" s="37" t="n">
        <v>330</v>
      </c>
      <c r="C343" s="38" t="n">
        <v>4545</v>
      </c>
      <c r="D343" s="38">
        <f>4541.138727+0.225904*B343</f>
        <v/>
      </c>
      <c r="E343" s="39">
        <f>C343-D343</f>
        <v/>
      </c>
      <c r="F343" s="39">
        <f>(E343-F757)^2</f>
        <v/>
      </c>
      <c r="G343" s="38">
        <f>(E343-F757)^3</f>
        <v/>
      </c>
      <c r="H343" s="38">
        <f>(E343-F757)^4</f>
        <v/>
      </c>
      <c r="I343" s="37" t="n"/>
    </row>
    <row r="344" ht="15" customHeight="1" s="28">
      <c r="A344" s="40" t="n">
        <v>332</v>
      </c>
      <c r="B344" s="40" t="n">
        <v>331</v>
      </c>
      <c r="C344" s="41" t="n">
        <v>4558.64</v>
      </c>
      <c r="D344" s="41">
        <f>4541.138727+0.225904*B344</f>
        <v/>
      </c>
      <c r="E344" s="42">
        <f>C344-D344</f>
        <v/>
      </c>
      <c r="F344" s="42">
        <f>(E344-F757)^2</f>
        <v/>
      </c>
      <c r="G344" s="41">
        <f>(E344-F757)^3</f>
        <v/>
      </c>
      <c r="H344" s="41">
        <f>(E344-F757)^4</f>
        <v/>
      </c>
      <c r="I344" s="40" t="n"/>
    </row>
    <row r="345" ht="15" customHeight="1" s="28">
      <c r="A345" s="37" t="n">
        <v>333</v>
      </c>
      <c r="B345" s="37" t="n">
        <v>332</v>
      </c>
      <c r="C345" s="38" t="n">
        <v>4562.67</v>
      </c>
      <c r="D345" s="38">
        <f>4541.138727+0.225904*B345</f>
        <v/>
      </c>
      <c r="E345" s="39">
        <f>C345-D345</f>
        <v/>
      </c>
      <c r="F345" s="39">
        <f>(E345-F757)^2</f>
        <v/>
      </c>
      <c r="G345" s="38">
        <f>(E345-F757)^3</f>
        <v/>
      </c>
      <c r="H345" s="38">
        <f>(E345-F757)^4</f>
        <v/>
      </c>
      <c r="I345" s="37" t="n"/>
    </row>
    <row r="346" ht="15" customHeight="1" s="28">
      <c r="A346" s="40" t="n">
        <v>334</v>
      </c>
      <c r="B346" s="40" t="n">
        <v>333</v>
      </c>
      <c r="C346" s="41" t="n">
        <v>4565.34</v>
      </c>
      <c r="D346" s="41">
        <f>4541.138727+0.225904*B346</f>
        <v/>
      </c>
      <c r="E346" s="42">
        <f>C346-D346</f>
        <v/>
      </c>
      <c r="F346" s="42">
        <f>(E346-F757)^2</f>
        <v/>
      </c>
      <c r="G346" s="41">
        <f>(E346-F757)^3</f>
        <v/>
      </c>
      <c r="H346" s="41">
        <f>(E346-F757)^4</f>
        <v/>
      </c>
      <c r="I346" s="40" t="n"/>
    </row>
    <row r="347" ht="15" customHeight="1" s="28">
      <c r="A347" s="37" t="n">
        <v>335</v>
      </c>
      <c r="B347" s="37" t="n">
        <v>334</v>
      </c>
      <c r="C347" s="38" t="n">
        <v>4562.26</v>
      </c>
      <c r="D347" s="38">
        <f>4541.138727+0.225904*B347</f>
        <v/>
      </c>
      <c r="E347" s="39">
        <f>C347-D347</f>
        <v/>
      </c>
      <c r="F347" s="39">
        <f>(E347-F757)^2</f>
        <v/>
      </c>
      <c r="G347" s="38">
        <f>(E347-F757)^3</f>
        <v/>
      </c>
      <c r="H347" s="38">
        <f>(E347-F757)^4</f>
        <v/>
      </c>
      <c r="I347" s="37" t="n"/>
    </row>
    <row r="348" ht="15" customHeight="1" s="28">
      <c r="A348" s="40" t="n">
        <v>336</v>
      </c>
      <c r="B348" s="40" t="n">
        <v>335</v>
      </c>
      <c r="C348" s="41" t="n">
        <v>4553.65</v>
      </c>
      <c r="D348" s="41">
        <f>4541.138727+0.225904*B348</f>
        <v/>
      </c>
      <c r="E348" s="42">
        <f>C348-D348</f>
        <v/>
      </c>
      <c r="F348" s="42">
        <f>(E348-F757)^2</f>
        <v/>
      </c>
      <c r="G348" s="41">
        <f>(E348-F757)^3</f>
        <v/>
      </c>
      <c r="H348" s="41">
        <f>(E348-F757)^4</f>
        <v/>
      </c>
      <c r="I348" s="40" t="n"/>
    </row>
    <row r="349" ht="15" customHeight="1" s="28">
      <c r="A349" s="37" t="n">
        <v>337</v>
      </c>
      <c r="B349" s="37" t="n">
        <v>336</v>
      </c>
      <c r="C349" s="38" t="n">
        <v>4559.94</v>
      </c>
      <c r="D349" s="38">
        <f>4541.138727+0.225904*B349</f>
        <v/>
      </c>
      <c r="E349" s="39">
        <f>C349-D349</f>
        <v/>
      </c>
      <c r="F349" s="39">
        <f>(E349-F757)^2</f>
        <v/>
      </c>
      <c r="G349" s="38">
        <f>(E349-F757)^3</f>
        <v/>
      </c>
      <c r="H349" s="38">
        <f>(E349-F757)^4</f>
        <v/>
      </c>
      <c r="I349" s="37" t="n"/>
    </row>
    <row r="350" ht="15" customHeight="1" s="28">
      <c r="A350" s="40" t="n">
        <v>338</v>
      </c>
      <c r="B350" s="40" t="n">
        <v>337</v>
      </c>
      <c r="C350" s="41" t="n">
        <v>4563.67</v>
      </c>
      <c r="D350" s="41">
        <f>4541.138727+0.225904*B350</f>
        <v/>
      </c>
      <c r="E350" s="42">
        <f>C350-D350</f>
        <v/>
      </c>
      <c r="F350" s="42">
        <f>(E350-F757)^2</f>
        <v/>
      </c>
      <c r="G350" s="41">
        <f>(E350-F757)^3</f>
        <v/>
      </c>
      <c r="H350" s="41">
        <f>(E350-F757)^4</f>
        <v/>
      </c>
      <c r="I350" s="40" t="n"/>
    </row>
    <row r="351" ht="15" customHeight="1" s="28">
      <c r="A351" s="37" t="n">
        <v>339</v>
      </c>
      <c r="B351" s="37" t="n">
        <v>338</v>
      </c>
      <c r="C351" s="38" t="n">
        <v>4568.68</v>
      </c>
      <c r="D351" s="38">
        <f>4541.138727+0.225904*B351</f>
        <v/>
      </c>
      <c r="E351" s="39">
        <f>C351-D351</f>
        <v/>
      </c>
      <c r="F351" s="39">
        <f>(E351-F757)^2</f>
        <v/>
      </c>
      <c r="G351" s="38">
        <f>(E351-F757)^3</f>
        <v/>
      </c>
      <c r="H351" s="38">
        <f>(E351-F757)^4</f>
        <v/>
      </c>
      <c r="I351" s="37" t="n"/>
    </row>
    <row r="352" ht="15" customHeight="1" s="28">
      <c r="A352" s="40" t="n">
        <v>340</v>
      </c>
      <c r="B352" s="40" t="n">
        <v>339</v>
      </c>
      <c r="C352" s="41" t="n">
        <v>4570.1</v>
      </c>
      <c r="D352" s="41">
        <f>4541.138727+0.225904*B352</f>
        <v/>
      </c>
      <c r="E352" s="42">
        <f>C352-D352</f>
        <v/>
      </c>
      <c r="F352" s="42">
        <f>(E352-F757)^2</f>
        <v/>
      </c>
      <c r="G352" s="41">
        <f>(E352-F757)^3</f>
        <v/>
      </c>
      <c r="H352" s="41">
        <f>(E352-F757)^4</f>
        <v/>
      </c>
      <c r="I352" s="40" t="n"/>
    </row>
    <row r="353" ht="15" customHeight="1" s="28">
      <c r="A353" s="37" t="n">
        <v>341</v>
      </c>
      <c r="B353" s="37" t="n">
        <v>340</v>
      </c>
      <c r="C353" s="38" t="n">
        <v>4568.79</v>
      </c>
      <c r="D353" s="38">
        <f>4541.138727+0.225904*B353</f>
        <v/>
      </c>
      <c r="E353" s="39">
        <f>C353-D353</f>
        <v/>
      </c>
      <c r="F353" s="39">
        <f>(E353-F757)^2</f>
        <v/>
      </c>
      <c r="G353" s="38">
        <f>(E353-F757)^3</f>
        <v/>
      </c>
      <c r="H353" s="38">
        <f>(E353-F757)^4</f>
        <v/>
      </c>
      <c r="I353" s="37" t="n"/>
    </row>
    <row r="354" ht="15" customHeight="1" s="28">
      <c r="A354" s="40" t="n">
        <v>342</v>
      </c>
      <c r="B354" s="40" t="n">
        <v>341</v>
      </c>
      <c r="C354" s="41" t="n">
        <v>4565.98</v>
      </c>
      <c r="D354" s="41">
        <f>4541.138727+0.225904*B354</f>
        <v/>
      </c>
      <c r="E354" s="42">
        <f>C354-D354</f>
        <v/>
      </c>
      <c r="F354" s="42">
        <f>(E354-F757)^2</f>
        <v/>
      </c>
      <c r="G354" s="41">
        <f>(E354-F757)^3</f>
        <v/>
      </c>
      <c r="H354" s="41">
        <f>(E354-F757)^4</f>
        <v/>
      </c>
      <c r="I354" s="40" t="n"/>
    </row>
    <row r="355" ht="15" customHeight="1" s="28">
      <c r="A355" s="37" t="n">
        <v>343</v>
      </c>
      <c r="B355" s="37" t="n">
        <v>342</v>
      </c>
      <c r="C355" s="38" t="n">
        <v>4561.09</v>
      </c>
      <c r="D355" s="38">
        <f>4541.138727+0.225904*B355</f>
        <v/>
      </c>
      <c r="E355" s="39">
        <f>C355-D355</f>
        <v/>
      </c>
      <c r="F355" s="39">
        <f>(E355-F757)^2</f>
        <v/>
      </c>
      <c r="G355" s="38">
        <f>(E355-F757)^3</f>
        <v/>
      </c>
      <c r="H355" s="38">
        <f>(E355-F757)^4</f>
        <v/>
      </c>
      <c r="I355" s="37" t="n"/>
    </row>
    <row r="356" ht="15" customHeight="1" s="28">
      <c r="A356" s="40" t="n">
        <v>344</v>
      </c>
      <c r="B356" s="40" t="n">
        <v>343</v>
      </c>
      <c r="C356" s="41" t="n">
        <v>4565.51</v>
      </c>
      <c r="D356" s="41">
        <f>4541.138727+0.225904*B356</f>
        <v/>
      </c>
      <c r="E356" s="42">
        <f>C356-D356</f>
        <v/>
      </c>
      <c r="F356" s="42">
        <f>(E356-F757)^2</f>
        <v/>
      </c>
      <c r="G356" s="41">
        <f>(E356-F757)^3</f>
        <v/>
      </c>
      <c r="H356" s="41">
        <f>(E356-F757)^4</f>
        <v/>
      </c>
      <c r="I356" s="40" t="n"/>
    </row>
    <row r="357" ht="15" customHeight="1" s="28">
      <c r="A357" s="37" t="n">
        <v>345</v>
      </c>
      <c r="B357" s="37" t="n">
        <v>344</v>
      </c>
      <c r="C357" s="38" t="n">
        <v>4563.85</v>
      </c>
      <c r="D357" s="38">
        <f>4541.138727+0.225904*B357</f>
        <v/>
      </c>
      <c r="E357" s="39">
        <f>C357-D357</f>
        <v/>
      </c>
      <c r="F357" s="39">
        <f>(E357-F757)^2</f>
        <v/>
      </c>
      <c r="G357" s="38">
        <f>(E357-F757)^3</f>
        <v/>
      </c>
      <c r="H357" s="38">
        <f>(E357-F757)^4</f>
        <v/>
      </c>
      <c r="I357" s="37" t="n"/>
    </row>
    <row r="358" ht="15" customHeight="1" s="28">
      <c r="A358" s="40" t="n">
        <v>346</v>
      </c>
      <c r="B358" s="40" t="n">
        <v>345</v>
      </c>
      <c r="C358" s="41" t="n">
        <v>4560.18</v>
      </c>
      <c r="D358" s="41">
        <f>4541.138727+0.225904*B358</f>
        <v/>
      </c>
      <c r="E358" s="42">
        <f>C358-D358</f>
        <v/>
      </c>
      <c r="F358" s="42">
        <f>(E358-F757)^2</f>
        <v/>
      </c>
      <c r="G358" s="41">
        <f>(E358-F757)^3</f>
        <v/>
      </c>
      <c r="H358" s="41">
        <f>(E358-F757)^4</f>
        <v/>
      </c>
      <c r="I358" s="40" t="n"/>
    </row>
    <row r="359" ht="15" customHeight="1" s="28">
      <c r="A359" s="37" t="n">
        <v>347</v>
      </c>
      <c r="B359" s="37" t="n">
        <v>346</v>
      </c>
      <c r="C359" s="38" t="n">
        <v>4571.2</v>
      </c>
      <c r="D359" s="38">
        <f>4541.138727+0.225904*B359</f>
        <v/>
      </c>
      <c r="E359" s="39">
        <f>C359-D359</f>
        <v/>
      </c>
      <c r="F359" s="39">
        <f>(E359-F757)^2</f>
        <v/>
      </c>
      <c r="G359" s="38">
        <f>(E359-F757)^3</f>
        <v/>
      </c>
      <c r="H359" s="38">
        <f>(E359-F757)^4</f>
        <v/>
      </c>
      <c r="I359" s="37" t="n"/>
    </row>
    <row r="360" ht="15" customHeight="1" s="28">
      <c r="A360" s="40" t="n">
        <v>348</v>
      </c>
      <c r="B360" s="40" t="n">
        <v>347</v>
      </c>
      <c r="C360" s="41" t="n">
        <v>4574.38</v>
      </c>
      <c r="D360" s="41">
        <f>4541.138727+0.225904*B360</f>
        <v/>
      </c>
      <c r="E360" s="42">
        <f>C360-D360</f>
        <v/>
      </c>
      <c r="F360" s="42">
        <f>(E360-F757)^2</f>
        <v/>
      </c>
      <c r="G360" s="41">
        <f>(E360-F757)^3</f>
        <v/>
      </c>
      <c r="H360" s="41">
        <f>(E360-F757)^4</f>
        <v/>
      </c>
      <c r="I360" s="40" t="n"/>
    </row>
    <row r="361" ht="15" customHeight="1" s="28">
      <c r="A361" s="37" t="n">
        <v>349</v>
      </c>
      <c r="B361" s="37" t="n">
        <v>348</v>
      </c>
      <c r="C361" s="38" t="n">
        <v>4561.26</v>
      </c>
      <c r="D361" s="38">
        <f>4541.138727+0.225904*B361</f>
        <v/>
      </c>
      <c r="E361" s="39">
        <f>C361-D361</f>
        <v/>
      </c>
      <c r="F361" s="39">
        <f>(E361-F757)^2</f>
        <v/>
      </c>
      <c r="G361" s="38">
        <f>(E361-F757)^3</f>
        <v/>
      </c>
      <c r="H361" s="38">
        <f>(E361-F757)^4</f>
        <v/>
      </c>
      <c r="I361" s="37" t="n"/>
    </row>
    <row r="362" ht="15" customHeight="1" s="28">
      <c r="A362" s="40" t="n">
        <v>350</v>
      </c>
      <c r="B362" s="40" t="n">
        <v>349</v>
      </c>
      <c r="C362" s="41" t="n">
        <v>4548.46</v>
      </c>
      <c r="D362" s="41">
        <f>4541.138727+0.225904*B362</f>
        <v/>
      </c>
      <c r="E362" s="42">
        <f>C362-D362</f>
        <v/>
      </c>
      <c r="F362" s="42">
        <f>(E362-F757)^2</f>
        <v/>
      </c>
      <c r="G362" s="41">
        <f>(E362-F757)^3</f>
        <v/>
      </c>
      <c r="H362" s="41">
        <f>(E362-F757)^4</f>
        <v/>
      </c>
      <c r="I362" s="40" t="n"/>
    </row>
    <row r="363" ht="15" customHeight="1" s="28">
      <c r="A363" s="37" t="n">
        <v>351</v>
      </c>
      <c r="B363" s="37" t="n">
        <v>350</v>
      </c>
      <c r="C363" s="38" t="n">
        <v>4537.95</v>
      </c>
      <c r="D363" s="38">
        <f>4541.138727+0.225904*B363</f>
        <v/>
      </c>
      <c r="E363" s="39">
        <f>C363-D363</f>
        <v/>
      </c>
      <c r="F363" s="39">
        <f>(E363-F757)^2</f>
        <v/>
      </c>
      <c r="G363" s="38">
        <f>(E363-F757)^3</f>
        <v/>
      </c>
      <c r="H363" s="38">
        <f>(E363-F757)^4</f>
        <v/>
      </c>
      <c r="I363" s="37" t="n"/>
    </row>
    <row r="364" ht="15" customHeight="1" s="28">
      <c r="A364" s="40" t="n">
        <v>352</v>
      </c>
      <c r="B364" s="40" t="n">
        <v>351</v>
      </c>
      <c r="C364" s="41" t="n">
        <v>4535.1</v>
      </c>
      <c r="D364" s="41">
        <f>4541.138727+0.225904*B364</f>
        <v/>
      </c>
      <c r="E364" s="42">
        <f>C364-D364</f>
        <v/>
      </c>
      <c r="F364" s="42">
        <f>(E364-F757)^2</f>
        <v/>
      </c>
      <c r="G364" s="41">
        <f>(E364-F757)^3</f>
        <v/>
      </c>
      <c r="H364" s="41">
        <f>(E364-F757)^4</f>
        <v/>
      </c>
      <c r="I364" s="40" t="n"/>
    </row>
    <row r="365" ht="15" customHeight="1" s="28">
      <c r="A365" s="37" t="n">
        <v>353</v>
      </c>
      <c r="B365" s="37" t="n">
        <v>352</v>
      </c>
      <c r="C365" s="38" t="n">
        <v>4521.33</v>
      </c>
      <c r="D365" s="38">
        <f>4541.138727+0.225904*B365</f>
        <v/>
      </c>
      <c r="E365" s="39">
        <f>C365-D365</f>
        <v/>
      </c>
      <c r="F365" s="39">
        <f>(E365-F757)^2</f>
        <v/>
      </c>
      <c r="G365" s="38">
        <f>(E365-F757)^3</f>
        <v/>
      </c>
      <c r="H365" s="38">
        <f>(E365-F757)^4</f>
        <v/>
      </c>
      <c r="I365" s="37" t="n"/>
    </row>
    <row r="366" ht="15" customHeight="1" s="28">
      <c r="A366" s="40" t="n">
        <v>354</v>
      </c>
      <c r="B366" s="40" t="n">
        <v>353</v>
      </c>
      <c r="C366" s="41" t="n">
        <v>4509.88</v>
      </c>
      <c r="D366" s="41">
        <f>4541.138727+0.225904*B366</f>
        <v/>
      </c>
      <c r="E366" s="42">
        <f>C366-D366</f>
        <v/>
      </c>
      <c r="F366" s="42">
        <f>(E366-F757)^2</f>
        <v/>
      </c>
      <c r="G366" s="41">
        <f>(E366-F757)^3</f>
        <v/>
      </c>
      <c r="H366" s="41">
        <f>(E366-F757)^4</f>
        <v/>
      </c>
      <c r="I366" s="40" t="n"/>
    </row>
    <row r="367" ht="15" customHeight="1" s="28">
      <c r="A367" s="37" t="n">
        <v>355</v>
      </c>
      <c r="B367" s="37" t="n">
        <v>354</v>
      </c>
      <c r="C367" s="38" t="n">
        <v>4515.03</v>
      </c>
      <c r="D367" s="38">
        <f>4541.138727+0.225904*B367</f>
        <v/>
      </c>
      <c r="E367" s="39">
        <f>C367-D367</f>
        <v/>
      </c>
      <c r="F367" s="39">
        <f>(E367-F757)^2</f>
        <v/>
      </c>
      <c r="G367" s="38">
        <f>(E367-F757)^3</f>
        <v/>
      </c>
      <c r="H367" s="38">
        <f>(E367-F757)^4</f>
        <v/>
      </c>
      <c r="I367" s="37" t="n"/>
    </row>
    <row r="368" ht="15" customHeight="1" s="28">
      <c r="A368" s="40" t="n">
        <v>356</v>
      </c>
      <c r="B368" s="40" t="n">
        <v>355</v>
      </c>
      <c r="C368" s="41" t="n">
        <v>4512.59</v>
      </c>
      <c r="D368" s="41">
        <f>4541.138727+0.225904*B368</f>
        <v/>
      </c>
      <c r="E368" s="42">
        <f>C368-D368</f>
        <v/>
      </c>
      <c r="F368" s="42">
        <f>(E368-F757)^2</f>
        <v/>
      </c>
      <c r="G368" s="41">
        <f>(E368-F757)^3</f>
        <v/>
      </c>
      <c r="H368" s="41">
        <f>(E368-F757)^4</f>
        <v/>
      </c>
      <c r="I368" s="40" t="n"/>
    </row>
    <row r="369" ht="15" customHeight="1" s="28">
      <c r="A369" s="37" t="n">
        <v>357</v>
      </c>
      <c r="B369" s="37" t="n">
        <v>356</v>
      </c>
      <c r="C369" s="38" t="n">
        <v>4510.69</v>
      </c>
      <c r="D369" s="38">
        <f>4541.138727+0.225904*B369</f>
        <v/>
      </c>
      <c r="E369" s="39">
        <f>C369-D369</f>
        <v/>
      </c>
      <c r="F369" s="39">
        <f>(E369-F757)^2</f>
        <v/>
      </c>
      <c r="G369" s="38">
        <f>(E369-F757)^3</f>
        <v/>
      </c>
      <c r="H369" s="38">
        <f>(E369-F757)^4</f>
        <v/>
      </c>
      <c r="I369" s="37" t="n"/>
    </row>
    <row r="370" ht="15" customHeight="1" s="28">
      <c r="A370" s="40" t="n">
        <v>358</v>
      </c>
      <c r="B370" s="40" t="n">
        <v>357</v>
      </c>
      <c r="C370" s="41" t="n">
        <v>4522.39</v>
      </c>
      <c r="D370" s="41">
        <f>4541.138727+0.225904*B370</f>
        <v/>
      </c>
      <c r="E370" s="42">
        <f>C370-D370</f>
        <v/>
      </c>
      <c r="F370" s="42">
        <f>(E370-F757)^2</f>
        <v/>
      </c>
      <c r="G370" s="41">
        <f>(E370-F757)^3</f>
        <v/>
      </c>
      <c r="H370" s="41">
        <f>(E370-F757)^4</f>
        <v/>
      </c>
      <c r="I370" s="40" t="n"/>
    </row>
    <row r="371" ht="15" customHeight="1" s="28">
      <c r="A371" s="37" t="n">
        <v>359</v>
      </c>
      <c r="B371" s="37" t="n">
        <v>358</v>
      </c>
      <c r="C371" s="38" t="n">
        <v>4524.38</v>
      </c>
      <c r="D371" s="38">
        <f>4541.138727+0.225904*B371</f>
        <v/>
      </c>
      <c r="E371" s="39">
        <f>C371-D371</f>
        <v/>
      </c>
      <c r="F371" s="39">
        <f>(E371-F757)^2</f>
        <v/>
      </c>
      <c r="G371" s="38">
        <f>(E371-F757)^3</f>
        <v/>
      </c>
      <c r="H371" s="38">
        <f>(E371-F757)^4</f>
        <v/>
      </c>
      <c r="I371" s="37" t="n"/>
    </row>
    <row r="372" ht="15" customHeight="1" s="28">
      <c r="A372" s="40" t="n">
        <v>360</v>
      </c>
      <c r="B372" s="40" t="n">
        <v>359</v>
      </c>
      <c r="C372" s="41" t="n">
        <v>4526.1</v>
      </c>
      <c r="D372" s="41">
        <f>4541.138727+0.225904*B372</f>
        <v/>
      </c>
      <c r="E372" s="42">
        <f>C372-D372</f>
        <v/>
      </c>
      <c r="F372" s="42">
        <f>(E372-F757)^2</f>
        <v/>
      </c>
      <c r="G372" s="41">
        <f>(E372-F757)^3</f>
        <v/>
      </c>
      <c r="H372" s="41">
        <f>(E372-F757)^4</f>
        <v/>
      </c>
      <c r="I372" s="40" t="n"/>
    </row>
    <row r="373" ht="15" customHeight="1" s="28">
      <c r="A373" s="37" t="n">
        <v>361</v>
      </c>
      <c r="B373" s="37" t="n">
        <v>360</v>
      </c>
      <c r="C373" s="38" t="n">
        <v>4522.35</v>
      </c>
      <c r="D373" s="38">
        <f>4541.138727+0.225904*B373</f>
        <v/>
      </c>
      <c r="E373" s="39">
        <f>C373-D373</f>
        <v/>
      </c>
      <c r="F373" s="39">
        <f>(E373-F757)^2</f>
        <v/>
      </c>
      <c r="G373" s="38">
        <f>(E373-F757)^3</f>
        <v/>
      </c>
      <c r="H373" s="38">
        <f>(E373-F757)^4</f>
        <v/>
      </c>
      <c r="I373" s="37" t="n"/>
    </row>
    <row r="374" ht="15" customHeight="1" s="28">
      <c r="A374" s="40" t="n">
        <v>362</v>
      </c>
      <c r="B374" s="40" t="n">
        <v>361</v>
      </c>
      <c r="C374" s="41" t="n">
        <v>4520.01</v>
      </c>
      <c r="D374" s="41">
        <f>4541.138727+0.225904*B374</f>
        <v/>
      </c>
      <c r="E374" s="42">
        <f>C374-D374</f>
        <v/>
      </c>
      <c r="F374" s="42">
        <f>(E374-F757)^2</f>
        <v/>
      </c>
      <c r="G374" s="41">
        <f>(E374-F757)^3</f>
        <v/>
      </c>
      <c r="H374" s="41">
        <f>(E374-F757)^4</f>
        <v/>
      </c>
      <c r="I374" s="40" t="n"/>
    </row>
    <row r="375" ht="15" customHeight="1" s="28">
      <c r="A375" s="37" t="n">
        <v>363</v>
      </c>
      <c r="B375" s="37" t="n">
        <v>362</v>
      </c>
      <c r="C375" s="38" t="n">
        <v>4511.95</v>
      </c>
      <c r="D375" s="38">
        <f>4541.138727+0.225904*B375</f>
        <v/>
      </c>
      <c r="E375" s="39">
        <f>C375-D375</f>
        <v/>
      </c>
      <c r="F375" s="39">
        <f>(E375-F757)^2</f>
        <v/>
      </c>
      <c r="G375" s="38">
        <f>(E375-F757)^3</f>
        <v/>
      </c>
      <c r="H375" s="38">
        <f>(E375-F757)^4</f>
        <v/>
      </c>
      <c r="I375" s="37" t="n"/>
    </row>
    <row r="376" ht="15" customHeight="1" s="28">
      <c r="A376" s="40" t="n">
        <v>364</v>
      </c>
      <c r="B376" s="40" t="n">
        <v>363</v>
      </c>
      <c r="C376" s="41" t="n">
        <v>4511.86</v>
      </c>
      <c r="D376" s="41">
        <f>4541.138727+0.225904*B376</f>
        <v/>
      </c>
      <c r="E376" s="42">
        <f>C376-D376</f>
        <v/>
      </c>
      <c r="F376" s="42">
        <f>(E376-F757)^2</f>
        <v/>
      </c>
      <c r="G376" s="41">
        <f>(E376-F757)^3</f>
        <v/>
      </c>
      <c r="H376" s="41">
        <f>(E376-F757)^4</f>
        <v/>
      </c>
      <c r="I376" s="40" t="n"/>
    </row>
    <row r="377" ht="15" customHeight="1" s="28">
      <c r="A377" s="37" t="n">
        <v>365</v>
      </c>
      <c r="B377" s="37" t="n">
        <v>364</v>
      </c>
      <c r="C377" s="38" t="n">
        <v>4516.4</v>
      </c>
      <c r="D377" s="38">
        <f>4541.138727+0.225904*B377</f>
        <v/>
      </c>
      <c r="E377" s="39">
        <f>C377-D377</f>
        <v/>
      </c>
      <c r="F377" s="39">
        <f>(E377-F757)^2</f>
        <v/>
      </c>
      <c r="G377" s="38">
        <f>(E377-F757)^3</f>
        <v/>
      </c>
      <c r="H377" s="38">
        <f>(E377-F757)^4</f>
        <v/>
      </c>
      <c r="I377" s="37" t="n"/>
    </row>
    <row r="378" ht="15" customHeight="1" s="28">
      <c r="A378" s="40" t="n">
        <v>366</v>
      </c>
      <c r="B378" s="40" t="n">
        <v>365</v>
      </c>
      <c r="C378" s="41" t="n">
        <v>4519.05</v>
      </c>
      <c r="D378" s="41">
        <f>4541.138727+0.225904*B378</f>
        <v/>
      </c>
      <c r="E378" s="42">
        <f>C378-D378</f>
        <v/>
      </c>
      <c r="F378" s="42">
        <f>(E378-F757)^2</f>
        <v/>
      </c>
      <c r="G378" s="41">
        <f>(E378-F757)^3</f>
        <v/>
      </c>
      <c r="H378" s="41">
        <f>(E378-F757)^4</f>
        <v/>
      </c>
      <c r="I378" s="40" t="n"/>
    </row>
    <row r="379" ht="15" customHeight="1" s="28">
      <c r="A379" s="37" t="n">
        <v>367</v>
      </c>
      <c r="B379" s="37" t="n">
        <v>366</v>
      </c>
      <c r="C379" s="38" t="n">
        <v>4522.42</v>
      </c>
      <c r="D379" s="38">
        <f>4541.138727+0.225904*B379</f>
        <v/>
      </c>
      <c r="E379" s="39">
        <f>C379-D379</f>
        <v/>
      </c>
      <c r="F379" s="39">
        <f>(E379-F757)^2</f>
        <v/>
      </c>
      <c r="G379" s="38">
        <f>(E379-F757)^3</f>
        <v/>
      </c>
      <c r="H379" s="38">
        <f>(E379-F757)^4</f>
        <v/>
      </c>
      <c r="I379" s="37" t="n"/>
    </row>
    <row r="380" ht="15" customHeight="1" s="28">
      <c r="A380" s="40" t="n">
        <v>368</v>
      </c>
      <c r="B380" s="40" t="n">
        <v>367</v>
      </c>
      <c r="C380" s="41" t="n">
        <v>4521.16</v>
      </c>
      <c r="D380" s="41">
        <f>4541.138727+0.225904*B380</f>
        <v/>
      </c>
      <c r="E380" s="42">
        <f>C380-D380</f>
        <v/>
      </c>
      <c r="F380" s="42">
        <f>(E380-F757)^2</f>
        <v/>
      </c>
      <c r="G380" s="41">
        <f>(E380-F757)^3</f>
        <v/>
      </c>
      <c r="H380" s="41">
        <f>(E380-F757)^4</f>
        <v/>
      </c>
      <c r="I380" s="40" t="n"/>
    </row>
    <row r="381" ht="15" customHeight="1" s="28">
      <c r="A381" s="37" t="n">
        <v>369</v>
      </c>
      <c r="B381" s="37" t="n">
        <v>368</v>
      </c>
      <c r="C381" s="38" t="n">
        <v>4517.46</v>
      </c>
      <c r="D381" s="38">
        <f>4541.138727+0.225904*B381</f>
        <v/>
      </c>
      <c r="E381" s="39">
        <f>C381-D381</f>
        <v/>
      </c>
      <c r="F381" s="39">
        <f>(E381-F757)^2</f>
        <v/>
      </c>
      <c r="G381" s="38">
        <f>(E381-F757)^3</f>
        <v/>
      </c>
      <c r="H381" s="38">
        <f>(E381-F757)^4</f>
        <v/>
      </c>
      <c r="I381" s="37" t="n"/>
    </row>
    <row r="382" ht="15" customHeight="1" s="28">
      <c r="A382" s="40" t="n">
        <v>370</v>
      </c>
      <c r="B382" s="40" t="n">
        <v>369</v>
      </c>
      <c r="C382" s="41" t="n">
        <v>4514.74</v>
      </c>
      <c r="D382" s="41">
        <f>4541.138727+0.225904*B382</f>
        <v/>
      </c>
      <c r="E382" s="42">
        <f>C382-D382</f>
        <v/>
      </c>
      <c r="F382" s="42">
        <f>(E382-F757)^2</f>
        <v/>
      </c>
      <c r="G382" s="41">
        <f>(E382-F757)^3</f>
        <v/>
      </c>
      <c r="H382" s="41">
        <f>(E382-F757)^4</f>
        <v/>
      </c>
      <c r="I382" s="40" t="n"/>
    </row>
    <row r="383" ht="15" customHeight="1" s="28">
      <c r="A383" s="37" t="n">
        <v>371</v>
      </c>
      <c r="B383" s="37" t="n">
        <v>370</v>
      </c>
      <c r="C383" s="38" t="n">
        <v>4515.21</v>
      </c>
      <c r="D383" s="38">
        <f>4541.138727+0.225904*B383</f>
        <v/>
      </c>
      <c r="E383" s="39">
        <f>C383-D383</f>
        <v/>
      </c>
      <c r="F383" s="39">
        <f>(E383-F757)^2</f>
        <v/>
      </c>
      <c r="G383" s="38">
        <f>(E383-F757)^3</f>
        <v/>
      </c>
      <c r="H383" s="38">
        <f>(E383-F757)^4</f>
        <v/>
      </c>
      <c r="I383" s="37" t="n"/>
    </row>
    <row r="384" ht="15" customHeight="1" s="28">
      <c r="A384" s="40" t="n">
        <v>372</v>
      </c>
      <c r="B384" s="40" t="n">
        <v>371</v>
      </c>
      <c r="C384" s="41" t="n">
        <v>4518.75</v>
      </c>
      <c r="D384" s="41">
        <f>4541.138727+0.225904*B384</f>
        <v/>
      </c>
      <c r="E384" s="42">
        <f>C384-D384</f>
        <v/>
      </c>
      <c r="F384" s="42">
        <f>(E384-F757)^2</f>
        <v/>
      </c>
      <c r="G384" s="41">
        <f>(E384-F757)^3</f>
        <v/>
      </c>
      <c r="H384" s="41">
        <f>(E384-F757)^4</f>
        <v/>
      </c>
      <c r="I384" s="40" t="n"/>
    </row>
    <row r="385" ht="15" customHeight="1" s="28">
      <c r="A385" s="37" t="n">
        <v>373</v>
      </c>
      <c r="B385" s="37" t="n">
        <v>372</v>
      </c>
      <c r="C385" s="38" t="n">
        <v>4523.84</v>
      </c>
      <c r="D385" s="38">
        <f>4541.138727+0.225904*B385</f>
        <v/>
      </c>
      <c r="E385" s="39">
        <f>C385-D385</f>
        <v/>
      </c>
      <c r="F385" s="39">
        <f>(E385-F757)^2</f>
        <v/>
      </c>
      <c r="G385" s="38">
        <f>(E385-F757)^3</f>
        <v/>
      </c>
      <c r="H385" s="38">
        <f>(E385-F757)^4</f>
        <v/>
      </c>
      <c r="I385" s="37" t="n"/>
    </row>
    <row r="386" ht="15" customHeight="1" s="28">
      <c r="A386" s="40" t="n">
        <v>374</v>
      </c>
      <c r="B386" s="40" t="n">
        <v>373</v>
      </c>
      <c r="C386" s="41" t="n">
        <v>4521.1</v>
      </c>
      <c r="D386" s="41">
        <f>4541.138727+0.225904*B386</f>
        <v/>
      </c>
      <c r="E386" s="42">
        <f>C386-D386</f>
        <v/>
      </c>
      <c r="F386" s="42">
        <f>(E386-F757)^2</f>
        <v/>
      </c>
      <c r="G386" s="41">
        <f>(E386-F757)^3</f>
        <v/>
      </c>
      <c r="H386" s="41">
        <f>(E386-F757)^4</f>
        <v/>
      </c>
      <c r="I386" s="40" t="n"/>
    </row>
    <row r="387" ht="15" customHeight="1" s="28">
      <c r="A387" s="37" t="n">
        <v>375</v>
      </c>
      <c r="B387" s="37" t="n">
        <v>374</v>
      </c>
      <c r="C387" s="38" t="n">
        <v>4519.66</v>
      </c>
      <c r="D387" s="38">
        <f>4541.138727+0.225904*B387</f>
        <v/>
      </c>
      <c r="E387" s="39">
        <f>C387-D387</f>
        <v/>
      </c>
      <c r="F387" s="39">
        <f>(E387-F757)^2</f>
        <v/>
      </c>
      <c r="G387" s="38">
        <f>(E387-F757)^3</f>
        <v/>
      </c>
      <c r="H387" s="38">
        <f>(E387-F757)^4</f>
        <v/>
      </c>
      <c r="I387" s="37" t="n"/>
    </row>
    <row r="388" ht="15" customHeight="1" s="28">
      <c r="A388" s="40" t="n">
        <v>376</v>
      </c>
      <c r="B388" s="40" t="n">
        <v>375</v>
      </c>
      <c r="C388" s="41" t="n">
        <v>4519.02</v>
      </c>
      <c r="D388" s="41">
        <f>4541.138727+0.225904*B388</f>
        <v/>
      </c>
      <c r="E388" s="42">
        <f>C388-D388</f>
        <v/>
      </c>
      <c r="F388" s="42">
        <f>(E388-F757)^2</f>
        <v/>
      </c>
      <c r="G388" s="41">
        <f>(E388-F757)^3</f>
        <v/>
      </c>
      <c r="H388" s="41">
        <f>(E388-F757)^4</f>
        <v/>
      </c>
      <c r="I388" s="40" t="n"/>
    </row>
    <row r="389" ht="15" customHeight="1" s="28">
      <c r="A389" s="37" t="n">
        <v>377</v>
      </c>
      <c r="B389" s="37" t="n">
        <v>376</v>
      </c>
      <c r="C389" s="38" t="n">
        <v>4517.52</v>
      </c>
      <c r="D389" s="38">
        <f>4541.138727+0.225904*B389</f>
        <v/>
      </c>
      <c r="E389" s="39">
        <f>C389-D389</f>
        <v/>
      </c>
      <c r="F389" s="39">
        <f>(E389-F757)^2</f>
        <v/>
      </c>
      <c r="G389" s="38">
        <f>(E389-F757)^3</f>
        <v/>
      </c>
      <c r="H389" s="38">
        <f>(E389-F757)^4</f>
        <v/>
      </c>
      <c r="I389" s="37" t="n"/>
    </row>
    <row r="390" ht="15" customHeight="1" s="28">
      <c r="A390" s="40" t="n">
        <v>378</v>
      </c>
      <c r="B390" s="40" t="n">
        <v>377</v>
      </c>
      <c r="C390" s="41" t="n">
        <v>4520.44</v>
      </c>
      <c r="D390" s="41">
        <f>4541.138727+0.225904*B390</f>
        <v/>
      </c>
      <c r="E390" s="42">
        <f>C390-D390</f>
        <v/>
      </c>
      <c r="F390" s="42">
        <f>(E390-F757)^2</f>
        <v/>
      </c>
      <c r="G390" s="41">
        <f>(E390-F757)^3</f>
        <v/>
      </c>
      <c r="H390" s="41">
        <f>(E390-F757)^4</f>
        <v/>
      </c>
      <c r="I390" s="40" t="n"/>
    </row>
    <row r="391" ht="15" customHeight="1" s="28">
      <c r="A391" s="37" t="n">
        <v>379</v>
      </c>
      <c r="B391" s="37" t="n">
        <v>378</v>
      </c>
      <c r="C391" s="38" t="n">
        <v>4521.13</v>
      </c>
      <c r="D391" s="38">
        <f>4541.138727+0.225904*B391</f>
        <v/>
      </c>
      <c r="E391" s="39">
        <f>C391-D391</f>
        <v/>
      </c>
      <c r="F391" s="39">
        <f>(E391-F757)^2</f>
        <v/>
      </c>
      <c r="G391" s="38">
        <f>(E391-F757)^3</f>
        <v/>
      </c>
      <c r="H391" s="38">
        <f>(E391-F757)^4</f>
        <v/>
      </c>
      <c r="I391" s="37" t="n"/>
    </row>
    <row r="392" ht="15" customHeight="1" s="28">
      <c r="A392" s="40" t="n">
        <v>380</v>
      </c>
      <c r="B392" s="40" t="n">
        <v>379</v>
      </c>
      <c r="C392" s="41" t="n">
        <v>4518.52</v>
      </c>
      <c r="D392" s="41">
        <f>4541.138727+0.225904*B392</f>
        <v/>
      </c>
      <c r="E392" s="42">
        <f>C392-D392</f>
        <v/>
      </c>
      <c r="F392" s="42">
        <f>(E392-F757)^2</f>
        <v/>
      </c>
      <c r="G392" s="41">
        <f>(E392-F757)^3</f>
        <v/>
      </c>
      <c r="H392" s="41">
        <f>(E392-F757)^4</f>
        <v/>
      </c>
      <c r="I392" s="40" t="n"/>
    </row>
    <row r="393" ht="15" customHeight="1" s="28">
      <c r="A393" s="37" t="n">
        <v>381</v>
      </c>
      <c r="B393" s="37" t="n">
        <v>380</v>
      </c>
      <c r="C393" s="38" t="n">
        <v>4519.04</v>
      </c>
      <c r="D393" s="38">
        <f>4541.138727+0.225904*B393</f>
        <v/>
      </c>
      <c r="E393" s="39">
        <f>C393-D393</f>
        <v/>
      </c>
      <c r="F393" s="39">
        <f>(E393-F757)^2</f>
        <v/>
      </c>
      <c r="G393" s="38">
        <f>(E393-F757)^3</f>
        <v/>
      </c>
      <c r="H393" s="38">
        <f>(E393-F757)^4</f>
        <v/>
      </c>
      <c r="I393" s="37" t="n"/>
    </row>
    <row r="394" ht="15" customHeight="1" s="28">
      <c r="A394" s="40" t="n">
        <v>382</v>
      </c>
      <c r="B394" s="40" t="n">
        <v>381</v>
      </c>
      <c r="C394" s="41" t="n">
        <v>4527.77</v>
      </c>
      <c r="D394" s="41">
        <f>4541.138727+0.225904*B394</f>
        <v/>
      </c>
      <c r="E394" s="42">
        <f>C394-D394</f>
        <v/>
      </c>
      <c r="F394" s="42">
        <f>(E394-F757)^2</f>
        <v/>
      </c>
      <c r="G394" s="41">
        <f>(E394-F757)^3</f>
        <v/>
      </c>
      <c r="H394" s="41">
        <f>(E394-F757)^4</f>
        <v/>
      </c>
      <c r="I394" s="40" t="n"/>
    </row>
    <row r="395" ht="15" customHeight="1" s="28">
      <c r="A395" s="37" t="n">
        <v>383</v>
      </c>
      <c r="B395" s="37" t="n">
        <v>382</v>
      </c>
      <c r="C395" s="38" t="n">
        <v>4517.12</v>
      </c>
      <c r="D395" s="38">
        <f>4541.138727+0.225904*B395</f>
        <v/>
      </c>
      <c r="E395" s="39">
        <f>C395-D395</f>
        <v/>
      </c>
      <c r="F395" s="39">
        <f>(E395-F757)^2</f>
        <v/>
      </c>
      <c r="G395" s="38">
        <f>(E395-F757)^3</f>
        <v/>
      </c>
      <c r="H395" s="38">
        <f>(E395-F757)^4</f>
        <v/>
      </c>
      <c r="I395" s="37" t="n"/>
    </row>
    <row r="396" ht="15" customHeight="1" s="28">
      <c r="A396" s="40" t="n">
        <v>384</v>
      </c>
      <c r="B396" s="40" t="n">
        <v>383</v>
      </c>
      <c r="C396" s="41" t="n">
        <v>4523.87</v>
      </c>
      <c r="D396" s="41">
        <f>4541.138727+0.225904*B396</f>
        <v/>
      </c>
      <c r="E396" s="42">
        <f>C396-D396</f>
        <v/>
      </c>
      <c r="F396" s="42">
        <f>(E396-F757)^2</f>
        <v/>
      </c>
      <c r="G396" s="41">
        <f>(E396-F757)^3</f>
        <v/>
      </c>
      <c r="H396" s="41">
        <f>(E396-F757)^4</f>
        <v/>
      </c>
      <c r="I396" s="40" t="n"/>
    </row>
    <row r="397" ht="15" customHeight="1" s="28">
      <c r="A397" s="37" t="n">
        <v>385</v>
      </c>
      <c r="B397" s="37" t="n">
        <v>384</v>
      </c>
      <c r="C397" s="38" t="n">
        <v>4530.12</v>
      </c>
      <c r="D397" s="38">
        <f>4541.138727+0.225904*B397</f>
        <v/>
      </c>
      <c r="E397" s="39">
        <f>C397-D397</f>
        <v/>
      </c>
      <c r="F397" s="39">
        <f>(E397-F757)^2</f>
        <v/>
      </c>
      <c r="G397" s="38">
        <f>(E397-F757)^3</f>
        <v/>
      </c>
      <c r="H397" s="38">
        <f>(E397-F757)^4</f>
        <v/>
      </c>
      <c r="I397" s="37" t="n"/>
    </row>
    <row r="398" ht="15" customHeight="1" s="28">
      <c r="A398" s="40" t="n">
        <v>386</v>
      </c>
      <c r="B398" s="40" t="n">
        <v>385</v>
      </c>
      <c r="C398" s="41" t="n">
        <v>4538.86</v>
      </c>
      <c r="D398" s="41">
        <f>4541.138727+0.225904*B398</f>
        <v/>
      </c>
      <c r="E398" s="42">
        <f>C398-D398</f>
        <v/>
      </c>
      <c r="F398" s="42">
        <f>(E398-F757)^2</f>
        <v/>
      </c>
      <c r="G398" s="41">
        <f>(E398-F757)^3</f>
        <v/>
      </c>
      <c r="H398" s="41">
        <f>(E398-F757)^4</f>
        <v/>
      </c>
      <c r="I398" s="40" t="n"/>
    </row>
    <row r="399" ht="15" customHeight="1" s="28">
      <c r="A399" s="37" t="n">
        <v>387</v>
      </c>
      <c r="B399" s="37" t="n">
        <v>386</v>
      </c>
      <c r="C399" s="38" t="n">
        <v>4537.8</v>
      </c>
      <c r="D399" s="38">
        <f>4541.138727+0.225904*B399</f>
        <v/>
      </c>
      <c r="E399" s="39">
        <f>C399-D399</f>
        <v/>
      </c>
      <c r="F399" s="39">
        <f>(E399-F757)^2</f>
        <v/>
      </c>
      <c r="G399" s="38">
        <f>(E399-F757)^3</f>
        <v/>
      </c>
      <c r="H399" s="38">
        <f>(E399-F757)^4</f>
        <v/>
      </c>
      <c r="I399" s="37" t="n"/>
    </row>
    <row r="400" ht="15" customHeight="1" s="28">
      <c r="A400" s="40" t="n">
        <v>388</v>
      </c>
      <c r="B400" s="40" t="n">
        <v>387</v>
      </c>
      <c r="C400" s="41" t="n">
        <v>4536.92</v>
      </c>
      <c r="D400" s="41">
        <f>4541.138727+0.225904*B400</f>
        <v/>
      </c>
      <c r="E400" s="42">
        <f>C400-D400</f>
        <v/>
      </c>
      <c r="F400" s="42">
        <f>(E400-F757)^2</f>
        <v/>
      </c>
      <c r="G400" s="41">
        <f>(E400-F757)^3</f>
        <v/>
      </c>
      <c r="H400" s="41">
        <f>(E400-F757)^4</f>
        <v/>
      </c>
      <c r="I400" s="40" t="n"/>
    </row>
    <row r="401" ht="15" customHeight="1" s="28">
      <c r="A401" s="37" t="n">
        <v>389</v>
      </c>
      <c r="B401" s="37" t="n">
        <v>388</v>
      </c>
      <c r="C401" s="38" t="n">
        <v>4541.02</v>
      </c>
      <c r="D401" s="38">
        <f>4541.138727+0.225904*B401</f>
        <v/>
      </c>
      <c r="E401" s="39">
        <f>C401-D401</f>
        <v/>
      </c>
      <c r="F401" s="39">
        <f>(E401-F757)^2</f>
        <v/>
      </c>
      <c r="G401" s="38">
        <f>(E401-F757)^3</f>
        <v/>
      </c>
      <c r="H401" s="38">
        <f>(E401-F757)^4</f>
        <v/>
      </c>
      <c r="I401" s="37" t="n"/>
    </row>
    <row r="402" ht="15" customHeight="1" s="28">
      <c r="A402" s="40" t="n">
        <v>390</v>
      </c>
      <c r="B402" s="40" t="n">
        <v>389</v>
      </c>
      <c r="C402" s="41" t="n">
        <v>4538.55</v>
      </c>
      <c r="D402" s="41">
        <f>4541.138727+0.225904*B402</f>
        <v/>
      </c>
      <c r="E402" s="42">
        <f>C402-D402</f>
        <v/>
      </c>
      <c r="F402" s="42">
        <f>(E402-F757)^2</f>
        <v/>
      </c>
      <c r="G402" s="41">
        <f>(E402-F757)^3</f>
        <v/>
      </c>
      <c r="H402" s="41">
        <f>(E402-F757)^4</f>
        <v/>
      </c>
      <c r="I402" s="40" t="n"/>
    </row>
    <row r="403" ht="15" customHeight="1" s="28">
      <c r="A403" s="37" t="n">
        <v>391</v>
      </c>
      <c r="B403" s="37" t="n">
        <v>390</v>
      </c>
      <c r="C403" s="38" t="n">
        <v>4541.49</v>
      </c>
      <c r="D403" s="38">
        <f>4541.138727+0.225904*B403</f>
        <v/>
      </c>
      <c r="E403" s="39">
        <f>C403-D403</f>
        <v/>
      </c>
      <c r="F403" s="39">
        <f>(E403-F757)^2</f>
        <v/>
      </c>
      <c r="G403" s="38">
        <f>(E403-F757)^3</f>
        <v/>
      </c>
      <c r="H403" s="38">
        <f>(E403-F757)^4</f>
        <v/>
      </c>
      <c r="I403" s="37" t="n"/>
    </row>
    <row r="404" ht="15" customHeight="1" s="28">
      <c r="A404" s="40" t="n">
        <v>392</v>
      </c>
      <c r="B404" s="40" t="n">
        <v>391</v>
      </c>
      <c r="C404" s="41" t="n">
        <v>4544.58</v>
      </c>
      <c r="D404" s="41">
        <f>4541.138727+0.225904*B404</f>
        <v/>
      </c>
      <c r="E404" s="42">
        <f>C404-D404</f>
        <v/>
      </c>
      <c r="F404" s="42">
        <f>(E404-F757)^2</f>
        <v/>
      </c>
      <c r="G404" s="41">
        <f>(E404-F757)^3</f>
        <v/>
      </c>
      <c r="H404" s="41">
        <f>(E404-F757)^4</f>
        <v/>
      </c>
      <c r="I404" s="40" t="n"/>
    </row>
    <row r="405" ht="15" customHeight="1" s="28">
      <c r="A405" s="37" t="n">
        <v>393</v>
      </c>
      <c r="B405" s="37" t="n">
        <v>392</v>
      </c>
      <c r="C405" s="38" t="n">
        <v>4539.17</v>
      </c>
      <c r="D405" s="38">
        <f>4541.138727+0.225904*B405</f>
        <v/>
      </c>
      <c r="E405" s="39">
        <f>C405-D405</f>
        <v/>
      </c>
      <c r="F405" s="39">
        <f>(E405-F757)^2</f>
        <v/>
      </c>
      <c r="G405" s="38">
        <f>(E405-F757)^3</f>
        <v/>
      </c>
      <c r="H405" s="38">
        <f>(E405-F757)^4</f>
        <v/>
      </c>
      <c r="I405" s="37" t="n"/>
    </row>
    <row r="406" ht="15" customHeight="1" s="28">
      <c r="A406" s="40" t="n">
        <v>394</v>
      </c>
      <c r="B406" s="40" t="n">
        <v>393</v>
      </c>
      <c r="C406" s="41" t="n">
        <v>4542.12</v>
      </c>
      <c r="D406" s="41">
        <f>4541.138727+0.225904*B406</f>
        <v/>
      </c>
      <c r="E406" s="42">
        <f>C406-D406</f>
        <v/>
      </c>
      <c r="F406" s="42">
        <f>(E406-F757)^2</f>
        <v/>
      </c>
      <c r="G406" s="41">
        <f>(E406-F757)^3</f>
        <v/>
      </c>
      <c r="H406" s="41">
        <f>(E406-F757)^4</f>
        <v/>
      </c>
      <c r="I406" s="40" t="n"/>
    </row>
    <row r="407" ht="15" customHeight="1" s="28">
      <c r="A407" s="37" t="n">
        <v>395</v>
      </c>
      <c r="B407" s="37" t="n">
        <v>394</v>
      </c>
      <c r="C407" s="38" t="n">
        <v>4538.07</v>
      </c>
      <c r="D407" s="38">
        <f>4541.138727+0.225904*B407</f>
        <v/>
      </c>
      <c r="E407" s="39">
        <f>C407-D407</f>
        <v/>
      </c>
      <c r="F407" s="39">
        <f>(E407-F757)^2</f>
        <v/>
      </c>
      <c r="G407" s="38">
        <f>(E407-F757)^3</f>
        <v/>
      </c>
      <c r="H407" s="38">
        <f>(E407-F757)^4</f>
        <v/>
      </c>
      <c r="I407" s="37" t="n"/>
    </row>
    <row r="408" ht="15" customHeight="1" s="28">
      <c r="A408" s="40" t="n">
        <v>396</v>
      </c>
      <c r="B408" s="40" t="n">
        <v>395</v>
      </c>
      <c r="C408" s="41" t="n">
        <v>4535.98</v>
      </c>
      <c r="D408" s="41">
        <f>4541.138727+0.225904*B408</f>
        <v/>
      </c>
      <c r="E408" s="42">
        <f>C408-D408</f>
        <v/>
      </c>
      <c r="F408" s="42">
        <f>(E408-F757)^2</f>
        <v/>
      </c>
      <c r="G408" s="41">
        <f>(E408-F757)^3</f>
        <v/>
      </c>
      <c r="H408" s="41">
        <f>(E408-F757)^4</f>
        <v/>
      </c>
      <c r="I408" s="40" t="n"/>
    </row>
    <row r="409" ht="15" customHeight="1" s="28">
      <c r="A409" s="37" t="n">
        <v>397</v>
      </c>
      <c r="B409" s="37" t="n">
        <v>396</v>
      </c>
      <c r="C409" s="38" t="n">
        <v>4534.67</v>
      </c>
      <c r="D409" s="38">
        <f>4541.138727+0.225904*B409</f>
        <v/>
      </c>
      <c r="E409" s="39">
        <f>C409-D409</f>
        <v/>
      </c>
      <c r="F409" s="39">
        <f>(E409-F757)^2</f>
        <v/>
      </c>
      <c r="G409" s="38">
        <f>(E409-F757)^3</f>
        <v/>
      </c>
      <c r="H409" s="38">
        <f>(E409-F757)^4</f>
        <v/>
      </c>
      <c r="I409" s="37" t="n"/>
    </row>
    <row r="410" ht="15" customHeight="1" s="28">
      <c r="A410" s="40" t="n">
        <v>398</v>
      </c>
      <c r="B410" s="40" t="n">
        <v>397</v>
      </c>
      <c r="C410" s="41" t="n">
        <v>4532.97</v>
      </c>
      <c r="D410" s="41">
        <f>4541.138727+0.225904*B410</f>
        <v/>
      </c>
      <c r="E410" s="42">
        <f>C410-D410</f>
        <v/>
      </c>
      <c r="F410" s="42">
        <f>(E410-F757)^2</f>
        <v/>
      </c>
      <c r="G410" s="41">
        <f>(E410-F757)^3</f>
        <v/>
      </c>
      <c r="H410" s="41">
        <f>(E410-F757)^4</f>
        <v/>
      </c>
      <c r="I410" s="40" t="n"/>
    </row>
    <row r="411" ht="15" customHeight="1" s="28">
      <c r="A411" s="37" t="n">
        <v>399</v>
      </c>
      <c r="B411" s="37" t="n">
        <v>398</v>
      </c>
      <c r="C411" s="38" t="n">
        <v>4529.71</v>
      </c>
      <c r="D411" s="38">
        <f>4541.138727+0.225904*B411</f>
        <v/>
      </c>
      <c r="E411" s="39">
        <f>C411-D411</f>
        <v/>
      </c>
      <c r="F411" s="39">
        <f>(E411-F757)^2</f>
        <v/>
      </c>
      <c r="G411" s="38">
        <f>(E411-F757)^3</f>
        <v/>
      </c>
      <c r="H411" s="38">
        <f>(E411-F757)^4</f>
        <v/>
      </c>
      <c r="I411" s="37" t="n"/>
    </row>
    <row r="412" ht="15" customHeight="1" s="28">
      <c r="A412" s="40" t="n">
        <v>400</v>
      </c>
      <c r="B412" s="40" t="n">
        <v>399</v>
      </c>
      <c r="C412" s="41" t="n">
        <v>4531.71</v>
      </c>
      <c r="D412" s="41">
        <f>4541.138727+0.225904*B412</f>
        <v/>
      </c>
      <c r="E412" s="42">
        <f>C412-D412</f>
        <v/>
      </c>
      <c r="F412" s="42">
        <f>(E412-F757)^2</f>
        <v/>
      </c>
      <c r="G412" s="41">
        <f>(E412-F757)^3</f>
        <v/>
      </c>
      <c r="H412" s="41">
        <f>(E412-F757)^4</f>
        <v/>
      </c>
      <c r="I412" s="40" t="n"/>
    </row>
    <row r="413" ht="15" customHeight="1" s="28">
      <c r="A413" s="37" t="n">
        <v>401</v>
      </c>
      <c r="B413" s="37" t="n">
        <v>400</v>
      </c>
      <c r="C413" s="38" t="n">
        <v>4533.58</v>
      </c>
      <c r="D413" s="38">
        <f>4541.138727+0.225904*B413</f>
        <v/>
      </c>
      <c r="E413" s="39">
        <f>C413-D413</f>
        <v/>
      </c>
      <c r="F413" s="39">
        <f>(E413-F757)^2</f>
        <v/>
      </c>
      <c r="G413" s="38">
        <f>(E413-F757)^3</f>
        <v/>
      </c>
      <c r="H413" s="38">
        <f>(E413-F757)^4</f>
        <v/>
      </c>
      <c r="I413" s="37" t="n"/>
    </row>
    <row r="414" ht="15" customHeight="1" s="28">
      <c r="A414" s="40" t="n">
        <v>402</v>
      </c>
      <c r="B414" s="40" t="n">
        <v>401</v>
      </c>
      <c r="C414" s="41" t="n">
        <v>4540.2</v>
      </c>
      <c r="D414" s="41">
        <f>4541.138727+0.225904*B414</f>
        <v/>
      </c>
      <c r="E414" s="42">
        <f>C414-D414</f>
        <v/>
      </c>
      <c r="F414" s="42">
        <f>(E414-F757)^2</f>
        <v/>
      </c>
      <c r="G414" s="41">
        <f>(E414-F757)^3</f>
        <v/>
      </c>
      <c r="H414" s="41">
        <f>(E414-F757)^4</f>
        <v/>
      </c>
      <c r="I414" s="40" t="n"/>
    </row>
    <row r="415" ht="15" customHeight="1" s="28">
      <c r="A415" s="37" t="n">
        <v>403</v>
      </c>
      <c r="B415" s="37" t="n">
        <v>402</v>
      </c>
      <c r="C415" s="38" t="n">
        <v>4540.11</v>
      </c>
      <c r="D415" s="38">
        <f>4541.138727+0.225904*B415</f>
        <v/>
      </c>
      <c r="E415" s="39">
        <f>C415-D415</f>
        <v/>
      </c>
      <c r="F415" s="39">
        <f>(E415-F757)^2</f>
        <v/>
      </c>
      <c r="G415" s="38">
        <f>(E415-F757)^3</f>
        <v/>
      </c>
      <c r="H415" s="38">
        <f>(E415-F757)^4</f>
        <v/>
      </c>
      <c r="I415" s="37" t="n"/>
    </row>
    <row r="416" ht="15" customHeight="1" s="28">
      <c r="A416" s="40" t="n">
        <v>404</v>
      </c>
      <c r="B416" s="40" t="n">
        <v>403</v>
      </c>
      <c r="C416" s="41" t="n">
        <v>4545.86</v>
      </c>
      <c r="D416" s="41">
        <f>4541.138727+0.225904*B416</f>
        <v/>
      </c>
      <c r="E416" s="42">
        <f>C416-D416</f>
        <v/>
      </c>
      <c r="F416" s="42">
        <f>(E416-F757)^2</f>
        <v/>
      </c>
      <c r="G416" s="41">
        <f>(E416-F757)^3</f>
        <v/>
      </c>
      <c r="H416" s="41">
        <f>(E416-F757)^4</f>
        <v/>
      </c>
      <c r="I416" s="40" t="n"/>
    </row>
    <row r="417" ht="15" customHeight="1" s="28">
      <c r="A417" s="37" t="n">
        <v>405</v>
      </c>
      <c r="B417" s="37" t="n">
        <v>404</v>
      </c>
      <c r="C417" s="38" t="n">
        <v>4545.73</v>
      </c>
      <c r="D417" s="38">
        <f>4541.138727+0.225904*B417</f>
        <v/>
      </c>
      <c r="E417" s="39">
        <f>C417-D417</f>
        <v/>
      </c>
      <c r="F417" s="39">
        <f>(E417-F757)^2</f>
        <v/>
      </c>
      <c r="G417" s="38">
        <f>(E417-F757)^3</f>
        <v/>
      </c>
      <c r="H417" s="38">
        <f>(E417-F757)^4</f>
        <v/>
      </c>
      <c r="I417" s="37" t="n"/>
    </row>
    <row r="418" ht="15" customHeight="1" s="28">
      <c r="A418" s="40" t="n">
        <v>406</v>
      </c>
      <c r="B418" s="40" t="n">
        <v>405</v>
      </c>
      <c r="C418" s="41" t="n">
        <v>4543.66</v>
      </c>
      <c r="D418" s="41">
        <f>4541.138727+0.225904*B418</f>
        <v/>
      </c>
      <c r="E418" s="42">
        <f>C418-D418</f>
        <v/>
      </c>
      <c r="F418" s="42">
        <f>(E418-F757)^2</f>
        <v/>
      </c>
      <c r="G418" s="41">
        <f>(E418-F757)^3</f>
        <v/>
      </c>
      <c r="H418" s="41">
        <f>(E418-F757)^4</f>
        <v/>
      </c>
      <c r="I418" s="40" t="n"/>
    </row>
    <row r="419" ht="15" customHeight="1" s="28">
      <c r="A419" s="37" t="n">
        <v>407</v>
      </c>
      <c r="B419" s="37" t="n">
        <v>406</v>
      </c>
      <c r="C419" s="38" t="n">
        <v>4536.86</v>
      </c>
      <c r="D419" s="38">
        <f>4541.138727+0.225904*B419</f>
        <v/>
      </c>
      <c r="E419" s="39">
        <f>C419-D419</f>
        <v/>
      </c>
      <c r="F419" s="39">
        <f>(E419-F757)^2</f>
        <v/>
      </c>
      <c r="G419" s="38">
        <f>(E419-F757)^3</f>
        <v/>
      </c>
      <c r="H419" s="38">
        <f>(E419-F757)^4</f>
        <v/>
      </c>
      <c r="I419" s="37" t="n"/>
    </row>
    <row r="420" ht="15" customHeight="1" s="28">
      <c r="A420" s="40" t="n">
        <v>408</v>
      </c>
      <c r="B420" s="40" t="n">
        <v>407</v>
      </c>
      <c r="C420" s="41" t="n">
        <v>4546.17</v>
      </c>
      <c r="D420" s="41">
        <f>4541.138727+0.225904*B420</f>
        <v/>
      </c>
      <c r="E420" s="42">
        <f>C420-D420</f>
        <v/>
      </c>
      <c r="F420" s="42">
        <f>(E420-F757)^2</f>
        <v/>
      </c>
      <c r="G420" s="41">
        <f>(E420-F757)^3</f>
        <v/>
      </c>
      <c r="H420" s="41">
        <f>(E420-F757)^4</f>
        <v/>
      </c>
      <c r="I420" s="40" t="n"/>
    </row>
    <row r="421" ht="15" customHeight="1" s="28">
      <c r="A421" s="37" t="n">
        <v>409</v>
      </c>
      <c r="B421" s="37" t="n">
        <v>408</v>
      </c>
      <c r="C421" s="38" t="n">
        <v>4548.12</v>
      </c>
      <c r="D421" s="38">
        <f>4541.138727+0.225904*B421</f>
        <v/>
      </c>
      <c r="E421" s="39">
        <f>C421-D421</f>
        <v/>
      </c>
      <c r="F421" s="39">
        <f>(E421-F757)^2</f>
        <v/>
      </c>
      <c r="G421" s="38">
        <f>(E421-F757)^3</f>
        <v/>
      </c>
      <c r="H421" s="38">
        <f>(E421-F757)^4</f>
        <v/>
      </c>
      <c r="I421" s="37" t="n"/>
    </row>
    <row r="422" ht="15" customHeight="1" s="28">
      <c r="A422" s="40" t="n">
        <v>410</v>
      </c>
      <c r="B422" s="40" t="n">
        <v>409</v>
      </c>
      <c r="C422" s="41" t="n">
        <v>4554.04</v>
      </c>
      <c r="D422" s="41">
        <f>4541.138727+0.225904*B422</f>
        <v/>
      </c>
      <c r="E422" s="42">
        <f>C422-D422</f>
        <v/>
      </c>
      <c r="F422" s="42">
        <f>(E422-F757)^2</f>
        <v/>
      </c>
      <c r="G422" s="41">
        <f>(E422-F757)^3</f>
        <v/>
      </c>
      <c r="H422" s="41">
        <f>(E422-F757)^4</f>
        <v/>
      </c>
      <c r="I422" s="40" t="n"/>
    </row>
    <row r="423" ht="15" customHeight="1" s="28">
      <c r="A423" s="37" t="n">
        <v>411</v>
      </c>
      <c r="B423" s="37" t="n">
        <v>410</v>
      </c>
      <c r="C423" s="38" t="n">
        <v>4548.94</v>
      </c>
      <c r="D423" s="38">
        <f>4541.138727+0.225904*B423</f>
        <v/>
      </c>
      <c r="E423" s="39">
        <f>C423-D423</f>
        <v/>
      </c>
      <c r="F423" s="39">
        <f>(E423-F757)^2</f>
        <v/>
      </c>
      <c r="G423" s="38">
        <f>(E423-F757)^3</f>
        <v/>
      </c>
      <c r="H423" s="38">
        <f>(E423-F757)^4</f>
        <v/>
      </c>
      <c r="I423" s="37" t="n"/>
    </row>
    <row r="424" ht="15" customHeight="1" s="28">
      <c r="A424" s="40" t="n">
        <v>412</v>
      </c>
      <c r="B424" s="40" t="n">
        <v>411</v>
      </c>
      <c r="C424" s="41" t="n">
        <v>4551.29</v>
      </c>
      <c r="D424" s="41">
        <f>4541.138727+0.225904*B424</f>
        <v/>
      </c>
      <c r="E424" s="42">
        <f>C424-D424</f>
        <v/>
      </c>
      <c r="F424" s="42">
        <f>(E424-F757)^2</f>
        <v/>
      </c>
      <c r="G424" s="41">
        <f>(E424-F757)^3</f>
        <v/>
      </c>
      <c r="H424" s="41">
        <f>(E424-F757)^4</f>
        <v/>
      </c>
      <c r="I424" s="40" t="n"/>
    </row>
    <row r="425" ht="15" customHeight="1" s="28">
      <c r="A425" s="37" t="n">
        <v>413</v>
      </c>
      <c r="B425" s="37" t="n">
        <v>412</v>
      </c>
      <c r="C425" s="38" t="n">
        <v>4545.57</v>
      </c>
      <c r="D425" s="38">
        <f>4541.138727+0.225904*B425</f>
        <v/>
      </c>
      <c r="E425" s="39">
        <f>C425-D425</f>
        <v/>
      </c>
      <c r="F425" s="39">
        <f>(E425-F757)^2</f>
        <v/>
      </c>
      <c r="G425" s="38">
        <f>(E425-F757)^3</f>
        <v/>
      </c>
      <c r="H425" s="38">
        <f>(E425-F757)^4</f>
        <v/>
      </c>
      <c r="I425" s="37" t="n"/>
    </row>
    <row r="426" ht="15" customHeight="1" s="28">
      <c r="A426" s="40" t="n">
        <v>414</v>
      </c>
      <c r="B426" s="40" t="n">
        <v>413</v>
      </c>
      <c r="C426" s="41" t="n">
        <v>4551.12</v>
      </c>
      <c r="D426" s="41">
        <f>4541.138727+0.225904*B426</f>
        <v/>
      </c>
      <c r="E426" s="42">
        <f>C426-D426</f>
        <v/>
      </c>
      <c r="F426" s="42">
        <f>(E426-F757)^2</f>
        <v/>
      </c>
      <c r="G426" s="41">
        <f>(E426-F757)^3</f>
        <v/>
      </c>
      <c r="H426" s="41">
        <f>(E426-F757)^4</f>
        <v/>
      </c>
      <c r="I426" s="40" t="n"/>
    </row>
    <row r="427" ht="15" customHeight="1" s="28">
      <c r="A427" s="37" t="n">
        <v>415</v>
      </c>
      <c r="B427" s="37" t="n">
        <v>414</v>
      </c>
      <c r="C427" s="38" t="n">
        <v>4551.48</v>
      </c>
      <c r="D427" s="38">
        <f>4541.138727+0.225904*B427</f>
        <v/>
      </c>
      <c r="E427" s="39">
        <f>C427-D427</f>
        <v/>
      </c>
      <c r="F427" s="39">
        <f>(E427-F757)^2</f>
        <v/>
      </c>
      <c r="G427" s="38">
        <f>(E427-F757)^3</f>
        <v/>
      </c>
      <c r="H427" s="38">
        <f>(E427-F757)^4</f>
        <v/>
      </c>
      <c r="I427" s="37" t="n"/>
    </row>
    <row r="428" ht="15" customHeight="1" s="28">
      <c r="A428" s="40" t="n">
        <v>416</v>
      </c>
      <c r="B428" s="40" t="n">
        <v>415</v>
      </c>
      <c r="C428" s="41" t="n">
        <v>4550.32</v>
      </c>
      <c r="D428" s="41">
        <f>4541.138727+0.225904*B428</f>
        <v/>
      </c>
      <c r="E428" s="42">
        <f>C428-D428</f>
        <v/>
      </c>
      <c r="F428" s="42">
        <f>(E428-F757)^2</f>
        <v/>
      </c>
      <c r="G428" s="41">
        <f>(E428-F757)^3</f>
        <v/>
      </c>
      <c r="H428" s="41">
        <f>(E428-F757)^4</f>
        <v/>
      </c>
      <c r="I428" s="40" t="n"/>
    </row>
    <row r="429" ht="15" customHeight="1" s="28">
      <c r="A429" s="37" t="n">
        <v>417</v>
      </c>
      <c r="B429" s="37" t="n">
        <v>416</v>
      </c>
      <c r="C429" s="38" t="n">
        <v>4558.34</v>
      </c>
      <c r="D429" s="38">
        <f>4541.138727+0.225904*B429</f>
        <v/>
      </c>
      <c r="E429" s="39">
        <f>C429-D429</f>
        <v/>
      </c>
      <c r="F429" s="39">
        <f>(E429-F757)^2</f>
        <v/>
      </c>
      <c r="G429" s="38">
        <f>(E429-F757)^3</f>
        <v/>
      </c>
      <c r="H429" s="38">
        <f>(E429-F757)^4</f>
        <v/>
      </c>
      <c r="I429" s="37" t="n"/>
    </row>
    <row r="430" ht="15" customHeight="1" s="28">
      <c r="A430" s="40" t="n">
        <v>418</v>
      </c>
      <c r="B430" s="40" t="n">
        <v>417</v>
      </c>
      <c r="C430" s="41" t="n">
        <v>4557.61</v>
      </c>
      <c r="D430" s="41">
        <f>4541.138727+0.225904*B430</f>
        <v/>
      </c>
      <c r="E430" s="42">
        <f>C430-D430</f>
        <v/>
      </c>
      <c r="F430" s="42">
        <f>(E430-F757)^2</f>
        <v/>
      </c>
      <c r="G430" s="41">
        <f>(E430-F757)^3</f>
        <v/>
      </c>
      <c r="H430" s="41">
        <f>(E430-F757)^4</f>
        <v/>
      </c>
      <c r="I430" s="40" t="n"/>
    </row>
    <row r="431" ht="15" customHeight="1" s="28">
      <c r="A431" s="37" t="n">
        <v>419</v>
      </c>
      <c r="B431" s="37" t="n">
        <v>418</v>
      </c>
      <c r="C431" s="38" t="n">
        <v>4552.3</v>
      </c>
      <c r="D431" s="38">
        <f>4541.138727+0.225904*B431</f>
        <v/>
      </c>
      <c r="E431" s="39">
        <f>C431-D431</f>
        <v/>
      </c>
      <c r="F431" s="39">
        <f>(E431-F757)^2</f>
        <v/>
      </c>
      <c r="G431" s="38">
        <f>(E431-F757)^3</f>
        <v/>
      </c>
      <c r="H431" s="38">
        <f>(E431-F757)^4</f>
        <v/>
      </c>
      <c r="I431" s="37" t="n"/>
    </row>
    <row r="432" ht="15" customHeight="1" s="28">
      <c r="A432" s="40" t="n">
        <v>420</v>
      </c>
      <c r="B432" s="40" t="n">
        <v>419</v>
      </c>
      <c r="C432" s="41" t="n">
        <v>4555.5</v>
      </c>
      <c r="D432" s="41">
        <f>4541.138727+0.225904*B432</f>
        <v/>
      </c>
      <c r="E432" s="42">
        <f>C432-D432</f>
        <v/>
      </c>
      <c r="F432" s="42">
        <f>(E432-F757)^2</f>
        <v/>
      </c>
      <c r="G432" s="41">
        <f>(E432-F757)^3</f>
        <v/>
      </c>
      <c r="H432" s="41">
        <f>(E432-F757)^4</f>
        <v/>
      </c>
      <c r="I432" s="40" t="n"/>
    </row>
    <row r="433" ht="15" customHeight="1" s="28">
      <c r="A433" s="37" t="n">
        <v>421</v>
      </c>
      <c r="B433" s="37" t="n">
        <v>420</v>
      </c>
      <c r="C433" s="38" t="n">
        <v>4556.21</v>
      </c>
      <c r="D433" s="38">
        <f>4541.138727+0.225904*B433</f>
        <v/>
      </c>
      <c r="E433" s="39">
        <f>C433-D433</f>
        <v/>
      </c>
      <c r="F433" s="39">
        <f>(E433-F757)^2</f>
        <v/>
      </c>
      <c r="G433" s="38">
        <f>(E433-F757)^3</f>
        <v/>
      </c>
      <c r="H433" s="38">
        <f>(E433-F757)^4</f>
        <v/>
      </c>
      <c r="I433" s="37" t="n"/>
    </row>
    <row r="434" ht="15" customHeight="1" s="28">
      <c r="A434" s="40" t="n">
        <v>422</v>
      </c>
      <c r="B434" s="40" t="n">
        <v>421</v>
      </c>
      <c r="C434" s="41" t="n">
        <v>4553.01</v>
      </c>
      <c r="D434" s="41">
        <f>4541.138727+0.225904*B434</f>
        <v/>
      </c>
      <c r="E434" s="42">
        <f>C434-D434</f>
        <v/>
      </c>
      <c r="F434" s="42">
        <f>(E434-F757)^2</f>
        <v/>
      </c>
      <c r="G434" s="41">
        <f>(E434-F757)^3</f>
        <v/>
      </c>
      <c r="H434" s="41">
        <f>(E434-F757)^4</f>
        <v/>
      </c>
      <c r="I434" s="40" t="n"/>
    </row>
    <row r="435" ht="15" customHeight="1" s="28">
      <c r="A435" s="37" t="n">
        <v>423</v>
      </c>
      <c r="B435" s="37" t="n">
        <v>422</v>
      </c>
      <c r="C435" s="38" t="n">
        <v>4547.92</v>
      </c>
      <c r="D435" s="38">
        <f>4541.138727+0.225904*B435</f>
        <v/>
      </c>
      <c r="E435" s="39">
        <f>C435-D435</f>
        <v/>
      </c>
      <c r="F435" s="39">
        <f>(E435-F757)^2</f>
        <v/>
      </c>
      <c r="G435" s="38">
        <f>(E435-F757)^3</f>
        <v/>
      </c>
      <c r="H435" s="38">
        <f>(E435-F757)^4</f>
        <v/>
      </c>
      <c r="I435" s="37" t="n"/>
    </row>
    <row r="436" ht="15" customHeight="1" s="28">
      <c r="A436" s="40" t="n">
        <v>424</v>
      </c>
      <c r="B436" s="40" t="n">
        <v>423</v>
      </c>
      <c r="C436" s="41" t="n">
        <v>4545.13</v>
      </c>
      <c r="D436" s="41">
        <f>4541.138727+0.225904*B436</f>
        <v/>
      </c>
      <c r="E436" s="42">
        <f>C436-D436</f>
        <v/>
      </c>
      <c r="F436" s="42">
        <f>(E436-F757)^2</f>
        <v/>
      </c>
      <c r="G436" s="41">
        <f>(E436-F757)^3</f>
        <v/>
      </c>
      <c r="H436" s="41">
        <f>(E436-F757)^4</f>
        <v/>
      </c>
      <c r="I436" s="40" t="n"/>
    </row>
    <row r="437" ht="15" customHeight="1" s="28">
      <c r="A437" s="37" t="n">
        <v>425</v>
      </c>
      <c r="B437" s="37" t="n">
        <v>424</v>
      </c>
      <c r="C437" s="38" t="n">
        <v>4543.73</v>
      </c>
      <c r="D437" s="38">
        <f>4541.138727+0.225904*B437</f>
        <v/>
      </c>
      <c r="E437" s="39">
        <f>C437-D437</f>
        <v/>
      </c>
      <c r="F437" s="39">
        <f>(E437-F757)^2</f>
        <v/>
      </c>
      <c r="G437" s="38">
        <f>(E437-F757)^3</f>
        <v/>
      </c>
      <c r="H437" s="38">
        <f>(E437-F757)^4</f>
        <v/>
      </c>
      <c r="I437" s="37" t="n"/>
    </row>
    <row r="438" ht="15" customHeight="1" s="28">
      <c r="A438" s="40" t="n">
        <v>426</v>
      </c>
      <c r="B438" s="40" t="n">
        <v>425</v>
      </c>
      <c r="C438" s="41" t="n">
        <v>4552.62</v>
      </c>
      <c r="D438" s="41">
        <f>4541.138727+0.225904*B438</f>
        <v/>
      </c>
      <c r="E438" s="42">
        <f>C438-D438</f>
        <v/>
      </c>
      <c r="F438" s="42">
        <f>(E438-F757)^2</f>
        <v/>
      </c>
      <c r="G438" s="41">
        <f>(E438-F757)^3</f>
        <v/>
      </c>
      <c r="H438" s="41">
        <f>(E438-F757)^4</f>
        <v/>
      </c>
      <c r="I438" s="40" t="n"/>
    </row>
    <row r="439" ht="15" customHeight="1" s="28">
      <c r="A439" s="37" t="n">
        <v>427</v>
      </c>
      <c r="B439" s="37" t="n">
        <v>426</v>
      </c>
      <c r="C439" s="38" t="n">
        <v>4556.17</v>
      </c>
      <c r="D439" s="38">
        <f>4541.138727+0.225904*B439</f>
        <v/>
      </c>
      <c r="E439" s="39">
        <f>C439-D439</f>
        <v/>
      </c>
      <c r="F439" s="39">
        <f>(E439-F757)^2</f>
        <v/>
      </c>
      <c r="G439" s="38">
        <f>(E439-F757)^3</f>
        <v/>
      </c>
      <c r="H439" s="38">
        <f>(E439-F757)^4</f>
        <v/>
      </c>
      <c r="I439" s="37" t="n"/>
    </row>
    <row r="440" ht="15" customHeight="1" s="28">
      <c r="A440" s="40" t="n">
        <v>428</v>
      </c>
      <c r="B440" s="40" t="n">
        <v>427</v>
      </c>
      <c r="C440" s="41" t="n">
        <v>4563.32</v>
      </c>
      <c r="D440" s="41">
        <f>4541.138727+0.225904*B440</f>
        <v/>
      </c>
      <c r="E440" s="42">
        <f>C440-D440</f>
        <v/>
      </c>
      <c r="F440" s="42">
        <f>(E440-F757)^2</f>
        <v/>
      </c>
      <c r="G440" s="41">
        <f>(E440-F757)^3</f>
        <v/>
      </c>
      <c r="H440" s="41">
        <f>(E440-F757)^4</f>
        <v/>
      </c>
      <c r="I440" s="40" t="n"/>
    </row>
    <row r="441" ht="15" customHeight="1" s="28">
      <c r="A441" s="37" t="n">
        <v>429</v>
      </c>
      <c r="B441" s="37" t="n">
        <v>428</v>
      </c>
      <c r="C441" s="38" t="n">
        <v>4562.6</v>
      </c>
      <c r="D441" s="38">
        <f>4541.138727+0.225904*B441</f>
        <v/>
      </c>
      <c r="E441" s="39">
        <f>C441-D441</f>
        <v/>
      </c>
      <c r="F441" s="39">
        <f>(E441-F757)^2</f>
        <v/>
      </c>
      <c r="G441" s="38">
        <f>(E441-F757)^3</f>
        <v/>
      </c>
      <c r="H441" s="38">
        <f>(E441-F757)^4</f>
        <v/>
      </c>
      <c r="I441" s="37" t="n"/>
    </row>
    <row r="442" ht="15" customHeight="1" s="28">
      <c r="A442" s="40" t="n">
        <v>430</v>
      </c>
      <c r="B442" s="40" t="n">
        <v>429</v>
      </c>
      <c r="C442" s="41" t="n">
        <v>4565</v>
      </c>
      <c r="D442" s="41">
        <f>4541.138727+0.225904*B442</f>
        <v/>
      </c>
      <c r="E442" s="42">
        <f>C442-D442</f>
        <v/>
      </c>
      <c r="F442" s="42">
        <f>(E442-F757)^2</f>
        <v/>
      </c>
      <c r="G442" s="41">
        <f>(E442-F757)^3</f>
        <v/>
      </c>
      <c r="H442" s="41">
        <f>(E442-F757)^4</f>
        <v/>
      </c>
      <c r="I442" s="40" t="n"/>
    </row>
    <row r="443" ht="15" customHeight="1" s="28">
      <c r="A443" s="37" t="n">
        <v>431</v>
      </c>
      <c r="B443" s="37" t="n">
        <v>430</v>
      </c>
      <c r="C443" s="38" t="n">
        <v>4573.81</v>
      </c>
      <c r="D443" s="38">
        <f>4541.138727+0.225904*B443</f>
        <v/>
      </c>
      <c r="E443" s="39">
        <f>C443-D443</f>
        <v/>
      </c>
      <c r="F443" s="39">
        <f>(E443-F757)^2</f>
        <v/>
      </c>
      <c r="G443" s="38">
        <f>(E443-F757)^3</f>
        <v/>
      </c>
      <c r="H443" s="38">
        <f>(E443-F757)^4</f>
        <v/>
      </c>
      <c r="I443" s="37" t="n"/>
    </row>
    <row r="444" ht="15" customHeight="1" s="28">
      <c r="A444" s="40" t="n">
        <v>432</v>
      </c>
      <c r="B444" s="40" t="n">
        <v>431</v>
      </c>
      <c r="C444" s="41" t="n">
        <v>4567.11</v>
      </c>
      <c r="D444" s="41">
        <f>4541.138727+0.225904*B444</f>
        <v/>
      </c>
      <c r="E444" s="42">
        <f>C444-D444</f>
        <v/>
      </c>
      <c r="F444" s="42">
        <f>(E444-F757)^2</f>
        <v/>
      </c>
      <c r="G444" s="41">
        <f>(E444-F757)^3</f>
        <v/>
      </c>
      <c r="H444" s="41">
        <f>(E444-F757)^4</f>
        <v/>
      </c>
      <c r="I444" s="40" t="n"/>
    </row>
    <row r="445" ht="15" customHeight="1" s="28">
      <c r="A445" s="37" t="n">
        <v>433</v>
      </c>
      <c r="B445" s="37" t="n">
        <v>432</v>
      </c>
      <c r="C445" s="38" t="n">
        <v>4564.68</v>
      </c>
      <c r="D445" s="38">
        <f>4541.138727+0.225904*B445</f>
        <v/>
      </c>
      <c r="E445" s="39">
        <f>C445-D445</f>
        <v/>
      </c>
      <c r="F445" s="39">
        <f>(E445-F757)^2</f>
        <v/>
      </c>
      <c r="G445" s="38">
        <f>(E445-F757)^3</f>
        <v/>
      </c>
      <c r="H445" s="38">
        <f>(E445-F757)^4</f>
        <v/>
      </c>
      <c r="I445" s="37" t="n"/>
    </row>
    <row r="446" ht="15" customHeight="1" s="28">
      <c r="A446" s="40" t="n">
        <v>434</v>
      </c>
      <c r="B446" s="40" t="n">
        <v>433</v>
      </c>
      <c r="C446" s="41" t="n">
        <v>4578.78</v>
      </c>
      <c r="D446" s="41">
        <f>4541.138727+0.225904*B446</f>
        <v/>
      </c>
      <c r="E446" s="42">
        <f>C446-D446</f>
        <v/>
      </c>
      <c r="F446" s="42">
        <f>(E446-F757)^2</f>
        <v/>
      </c>
      <c r="G446" s="41">
        <f>(E446-F757)^3</f>
        <v/>
      </c>
      <c r="H446" s="41">
        <f>(E446-F757)^4</f>
        <v/>
      </c>
      <c r="I446" s="40" t="n"/>
    </row>
    <row r="447" ht="15" customHeight="1" s="28">
      <c r="A447" s="37" t="n">
        <v>435</v>
      </c>
      <c r="B447" s="37" t="n">
        <v>434</v>
      </c>
      <c r="C447" s="38" t="n">
        <v>4576.85</v>
      </c>
      <c r="D447" s="38">
        <f>4541.138727+0.225904*B447</f>
        <v/>
      </c>
      <c r="E447" s="39">
        <f>C447-D447</f>
        <v/>
      </c>
      <c r="F447" s="39">
        <f>(E447-F757)^2</f>
        <v/>
      </c>
      <c r="G447" s="38">
        <f>(E447-F757)^3</f>
        <v/>
      </c>
      <c r="H447" s="38">
        <f>(E447-F757)^4</f>
        <v/>
      </c>
      <c r="I447" s="37" t="n"/>
    </row>
    <row r="448" ht="15" customHeight="1" s="28">
      <c r="A448" s="40" t="n">
        <v>436</v>
      </c>
      <c r="B448" s="40" t="n">
        <v>435</v>
      </c>
      <c r="C448" s="41" t="n">
        <v>4574.12</v>
      </c>
      <c r="D448" s="41">
        <f>4541.138727+0.225904*B448</f>
        <v/>
      </c>
      <c r="E448" s="42">
        <f>C448-D448</f>
        <v/>
      </c>
      <c r="F448" s="42">
        <f>(E448-F757)^2</f>
        <v/>
      </c>
      <c r="G448" s="41">
        <f>(E448-F757)^3</f>
        <v/>
      </c>
      <c r="H448" s="41">
        <f>(E448-F757)^4</f>
        <v/>
      </c>
      <c r="I448" s="40" t="n"/>
    </row>
    <row r="449" ht="15" customHeight="1" s="28">
      <c r="A449" s="37" t="n">
        <v>437</v>
      </c>
      <c r="B449" s="37" t="n">
        <v>436</v>
      </c>
      <c r="C449" s="38" t="n">
        <v>4579.4</v>
      </c>
      <c r="D449" s="38">
        <f>4541.138727+0.225904*B449</f>
        <v/>
      </c>
      <c r="E449" s="39">
        <f>C449-D449</f>
        <v/>
      </c>
      <c r="F449" s="39">
        <f>(E449-F757)^2</f>
        <v/>
      </c>
      <c r="G449" s="38">
        <f>(E449-F757)^3</f>
        <v/>
      </c>
      <c r="H449" s="38">
        <f>(E449-F757)^4</f>
        <v/>
      </c>
      <c r="I449" s="37" t="n"/>
    </row>
    <row r="450" ht="15" customHeight="1" s="28">
      <c r="A450" s="40" t="n">
        <v>438</v>
      </c>
      <c r="B450" s="40" t="n">
        <v>437</v>
      </c>
      <c r="C450" s="41" t="n">
        <v>4573.57</v>
      </c>
      <c r="D450" s="41">
        <f>4541.138727+0.225904*B450</f>
        <v/>
      </c>
      <c r="E450" s="42">
        <f>C450-D450</f>
        <v/>
      </c>
      <c r="F450" s="42">
        <f>(E450-F757)^2</f>
        <v/>
      </c>
      <c r="G450" s="41">
        <f>(E450-F757)^3</f>
        <v/>
      </c>
      <c r="H450" s="41">
        <f>(E450-F757)^4</f>
        <v/>
      </c>
      <c r="I450" s="40" t="n"/>
    </row>
    <row r="451" ht="15" customHeight="1" s="28">
      <c r="A451" s="37" t="n">
        <v>439</v>
      </c>
      <c r="B451" s="37" t="n">
        <v>438</v>
      </c>
      <c r="C451" s="38" t="n">
        <v>4584.37</v>
      </c>
      <c r="D451" s="38">
        <f>4541.138727+0.225904*B451</f>
        <v/>
      </c>
      <c r="E451" s="39">
        <f>C451-D451</f>
        <v/>
      </c>
      <c r="F451" s="39">
        <f>(E451-F757)^2</f>
        <v/>
      </c>
      <c r="G451" s="38">
        <f>(E451-F757)^3</f>
        <v/>
      </c>
      <c r="H451" s="38">
        <f>(E451-F757)^4</f>
        <v/>
      </c>
      <c r="I451" s="37" t="n"/>
    </row>
    <row r="452" ht="15" customHeight="1" s="28">
      <c r="A452" s="40" t="n">
        <v>440</v>
      </c>
      <c r="B452" s="40" t="n">
        <v>439</v>
      </c>
      <c r="C452" s="41" t="n">
        <v>4582.96</v>
      </c>
      <c r="D452" s="41">
        <f>4541.138727+0.225904*B452</f>
        <v/>
      </c>
      <c r="E452" s="42">
        <f>C452-D452</f>
        <v/>
      </c>
      <c r="F452" s="42">
        <f>(E452-F757)^2</f>
        <v/>
      </c>
      <c r="G452" s="41">
        <f>(E452-F757)^3</f>
        <v/>
      </c>
      <c r="H452" s="41">
        <f>(E452-F757)^4</f>
        <v/>
      </c>
      <c r="I452" s="40" t="n"/>
    </row>
    <row r="453" ht="15" customHeight="1" s="28">
      <c r="A453" s="37" t="n">
        <v>441</v>
      </c>
      <c r="B453" s="37" t="n">
        <v>440</v>
      </c>
      <c r="C453" s="38" t="n">
        <v>4582.46</v>
      </c>
      <c r="D453" s="38">
        <f>4541.138727+0.225904*B453</f>
        <v/>
      </c>
      <c r="E453" s="39">
        <f>C453-D453</f>
        <v/>
      </c>
      <c r="F453" s="39">
        <f>(E453-F757)^2</f>
        <v/>
      </c>
      <c r="G453" s="38">
        <f>(E453-F757)^3</f>
        <v/>
      </c>
      <c r="H453" s="38">
        <f>(E453-F757)^4</f>
        <v/>
      </c>
      <c r="I453" s="37" t="n"/>
    </row>
    <row r="454" ht="15" customHeight="1" s="28">
      <c r="A454" s="40" t="n">
        <v>442</v>
      </c>
      <c r="B454" s="40" t="n">
        <v>441</v>
      </c>
      <c r="C454" s="41" t="n">
        <v>4580.89</v>
      </c>
      <c r="D454" s="41">
        <f>4541.138727+0.225904*B454</f>
        <v/>
      </c>
      <c r="E454" s="42">
        <f>C454-D454</f>
        <v/>
      </c>
      <c r="F454" s="42">
        <f>(E454-F757)^2</f>
        <v/>
      </c>
      <c r="G454" s="41">
        <f>(E454-F757)^3</f>
        <v/>
      </c>
      <c r="H454" s="41">
        <f>(E454-F757)^4</f>
        <v/>
      </c>
      <c r="I454" s="40" t="n"/>
    </row>
    <row r="455" ht="15" customHeight="1" s="28">
      <c r="A455" s="37" t="n">
        <v>443</v>
      </c>
      <c r="B455" s="37" t="n">
        <v>442</v>
      </c>
      <c r="C455" s="38" t="n">
        <v>4578.99</v>
      </c>
      <c r="D455" s="38">
        <f>4541.138727+0.225904*B455</f>
        <v/>
      </c>
      <c r="E455" s="39">
        <f>C455-D455</f>
        <v/>
      </c>
      <c r="F455" s="39">
        <f>(E455-F757)^2</f>
        <v/>
      </c>
      <c r="G455" s="38">
        <f>(E455-F757)^3</f>
        <v/>
      </c>
      <c r="H455" s="38">
        <f>(E455-F757)^4</f>
        <v/>
      </c>
      <c r="I455" s="37" t="n"/>
    </row>
    <row r="456" ht="15" customHeight="1" s="28">
      <c r="A456" s="40" t="n">
        <v>444</v>
      </c>
      <c r="B456" s="40" t="n">
        <v>443</v>
      </c>
      <c r="C456" s="41" t="n">
        <v>4572.95</v>
      </c>
      <c r="D456" s="41">
        <f>4541.138727+0.225904*B456</f>
        <v/>
      </c>
      <c r="E456" s="42">
        <f>C456-D456</f>
        <v/>
      </c>
      <c r="F456" s="42">
        <f>(E456-F757)^2</f>
        <v/>
      </c>
      <c r="G456" s="41">
        <f>(E456-F757)^3</f>
        <v/>
      </c>
      <c r="H456" s="41">
        <f>(E456-F757)^4</f>
        <v/>
      </c>
      <c r="I456" s="40" t="n"/>
    </row>
    <row r="457" ht="15" customHeight="1" s="28">
      <c r="A457" s="37" t="n">
        <v>445</v>
      </c>
      <c r="B457" s="37" t="n">
        <v>444</v>
      </c>
      <c r="C457" s="38" t="n">
        <v>4568.49</v>
      </c>
      <c r="D457" s="38">
        <f>4541.138727+0.225904*B457</f>
        <v/>
      </c>
      <c r="E457" s="39">
        <f>C457-D457</f>
        <v/>
      </c>
      <c r="F457" s="39">
        <f>(E457-F757)^2</f>
        <v/>
      </c>
      <c r="G457" s="38">
        <f>(E457-F757)^3</f>
        <v/>
      </c>
      <c r="H457" s="38">
        <f>(E457-F757)^4</f>
        <v/>
      </c>
      <c r="I457" s="37" t="n"/>
    </row>
    <row r="458" ht="15" customHeight="1" s="28">
      <c r="A458" s="40" t="n">
        <v>446</v>
      </c>
      <c r="B458" s="40" t="n">
        <v>445</v>
      </c>
      <c r="C458" s="41" t="n">
        <v>4566.28</v>
      </c>
      <c r="D458" s="41">
        <f>4541.138727+0.225904*B458</f>
        <v/>
      </c>
      <c r="E458" s="42">
        <f>C458-D458</f>
        <v/>
      </c>
      <c r="F458" s="42">
        <f>(E458-F757)^2</f>
        <v/>
      </c>
      <c r="G458" s="41">
        <f>(E458-F757)^3</f>
        <v/>
      </c>
      <c r="H458" s="41">
        <f>(E458-F757)^4</f>
        <v/>
      </c>
      <c r="I458" s="40" t="n"/>
    </row>
    <row r="459" ht="15" customHeight="1" s="28">
      <c r="A459" s="37" t="n">
        <v>447</v>
      </c>
      <c r="B459" s="37" t="n">
        <v>446</v>
      </c>
      <c r="C459" s="38" t="n">
        <v>4559.7</v>
      </c>
      <c r="D459" s="38">
        <f>4541.138727+0.225904*B459</f>
        <v/>
      </c>
      <c r="E459" s="39">
        <f>C459-D459</f>
        <v/>
      </c>
      <c r="F459" s="39">
        <f>(E459-F757)^2</f>
        <v/>
      </c>
      <c r="G459" s="38">
        <f>(E459-F757)^3</f>
        <v/>
      </c>
      <c r="H459" s="38">
        <f>(E459-F757)^4</f>
        <v/>
      </c>
      <c r="I459" s="37" t="n"/>
    </row>
    <row r="460" ht="15" customHeight="1" s="28">
      <c r="A460" s="40" t="n">
        <v>448</v>
      </c>
      <c r="B460" s="40" t="n">
        <v>447</v>
      </c>
      <c r="C460" s="41" t="n">
        <v>4556.78</v>
      </c>
      <c r="D460" s="41">
        <f>4541.138727+0.225904*B460</f>
        <v/>
      </c>
      <c r="E460" s="42">
        <f>C460-D460</f>
        <v/>
      </c>
      <c r="F460" s="42">
        <f>(E460-F757)^2</f>
        <v/>
      </c>
      <c r="G460" s="41">
        <f>(E460-F757)^3</f>
        <v/>
      </c>
      <c r="H460" s="41">
        <f>(E460-F757)^4</f>
        <v/>
      </c>
      <c r="I460" s="40" t="n"/>
    </row>
    <row r="461" ht="15" customHeight="1" s="28">
      <c r="A461" s="37" t="n">
        <v>449</v>
      </c>
      <c r="B461" s="37" t="n">
        <v>448</v>
      </c>
      <c r="C461" s="38" t="n">
        <v>4561.35</v>
      </c>
      <c r="D461" s="38">
        <f>4541.138727+0.225904*B461</f>
        <v/>
      </c>
      <c r="E461" s="39">
        <f>C461-D461</f>
        <v/>
      </c>
      <c r="F461" s="39">
        <f>(E461-F757)^2</f>
        <v/>
      </c>
      <c r="G461" s="38">
        <f>(E461-F757)^3</f>
        <v/>
      </c>
      <c r="H461" s="38">
        <f>(E461-F757)^4</f>
        <v/>
      </c>
      <c r="I461" s="37" t="n"/>
    </row>
    <row r="462" ht="15" customHeight="1" s="28">
      <c r="A462" s="40" t="n">
        <v>450</v>
      </c>
      <c r="B462" s="40" t="n">
        <v>449</v>
      </c>
      <c r="C462" s="41" t="n">
        <v>4556.2</v>
      </c>
      <c r="D462" s="41">
        <f>4541.138727+0.225904*B462</f>
        <v/>
      </c>
      <c r="E462" s="42">
        <f>C462-D462</f>
        <v/>
      </c>
      <c r="F462" s="42">
        <f>(E462-F757)^2</f>
        <v/>
      </c>
      <c r="G462" s="41">
        <f>(E462-F757)^3</f>
        <v/>
      </c>
      <c r="H462" s="41">
        <f>(E462-F757)^4</f>
        <v/>
      </c>
      <c r="I462" s="40" t="n"/>
    </row>
    <row r="463" ht="15" customHeight="1" s="28">
      <c r="A463" s="37" t="n">
        <v>451</v>
      </c>
      <c r="B463" s="37" t="n">
        <v>450</v>
      </c>
      <c r="C463" s="38" t="n">
        <v>4558.57</v>
      </c>
      <c r="D463" s="38">
        <f>4541.138727+0.225904*B463</f>
        <v/>
      </c>
      <c r="E463" s="39">
        <f>C463-D463</f>
        <v/>
      </c>
      <c r="F463" s="39">
        <f>(E463-F757)^2</f>
        <v/>
      </c>
      <c r="G463" s="38">
        <f>(E463-F757)^3</f>
        <v/>
      </c>
      <c r="H463" s="38">
        <f>(E463-F757)^4</f>
        <v/>
      </c>
      <c r="I463" s="37" t="n"/>
    </row>
    <row r="464" ht="15" customHeight="1" s="28">
      <c r="A464" s="40" t="n">
        <v>452</v>
      </c>
      <c r="B464" s="40" t="n">
        <v>451</v>
      </c>
      <c r="C464" s="41" t="n">
        <v>4560.43</v>
      </c>
      <c r="D464" s="41">
        <f>4541.138727+0.225904*B464</f>
        <v/>
      </c>
      <c r="E464" s="42">
        <f>C464-D464</f>
        <v/>
      </c>
      <c r="F464" s="42">
        <f>(E464-F757)^2</f>
        <v/>
      </c>
      <c r="G464" s="41">
        <f>(E464-F757)^3</f>
        <v/>
      </c>
      <c r="H464" s="41">
        <f>(E464-F757)^4</f>
        <v/>
      </c>
      <c r="I464" s="40" t="n"/>
    </row>
    <row r="465" ht="15" customHeight="1" s="28">
      <c r="A465" s="37" t="n">
        <v>453</v>
      </c>
      <c r="B465" s="37" t="n">
        <v>452</v>
      </c>
      <c r="C465" s="38" t="n">
        <v>4559.93</v>
      </c>
      <c r="D465" s="38">
        <f>4541.138727+0.225904*B465</f>
        <v/>
      </c>
      <c r="E465" s="39">
        <f>C465-D465</f>
        <v/>
      </c>
      <c r="F465" s="39">
        <f>(E465-F757)^2</f>
        <v/>
      </c>
      <c r="G465" s="38">
        <f>(E465-F757)^3</f>
        <v/>
      </c>
      <c r="H465" s="38">
        <f>(E465-F757)^4</f>
        <v/>
      </c>
      <c r="I465" s="37" t="n"/>
    </row>
    <row r="466" ht="15" customHeight="1" s="28">
      <c r="A466" s="40" t="n">
        <v>454</v>
      </c>
      <c r="B466" s="40" t="n">
        <v>453</v>
      </c>
      <c r="C466" s="41" t="n">
        <v>4564.29</v>
      </c>
      <c r="D466" s="41">
        <f>4541.138727+0.225904*B466</f>
        <v/>
      </c>
      <c r="E466" s="42">
        <f>C466-D466</f>
        <v/>
      </c>
      <c r="F466" s="42">
        <f>(E466-F757)^2</f>
        <v/>
      </c>
      <c r="G466" s="41">
        <f>(E466-F757)^3</f>
        <v/>
      </c>
      <c r="H466" s="41">
        <f>(E466-F757)^4</f>
        <v/>
      </c>
      <c r="I466" s="40" t="n"/>
    </row>
    <row r="467" ht="15" customHeight="1" s="28">
      <c r="A467" s="37" t="n">
        <v>455</v>
      </c>
      <c r="B467" s="37" t="n">
        <v>454</v>
      </c>
      <c r="C467" s="38" t="n">
        <v>4562.18</v>
      </c>
      <c r="D467" s="38">
        <f>4541.138727+0.225904*B467</f>
        <v/>
      </c>
      <c r="E467" s="39">
        <f>C467-D467</f>
        <v/>
      </c>
      <c r="F467" s="39">
        <f>(E467-F757)^2</f>
        <v/>
      </c>
      <c r="G467" s="38">
        <f>(E467-F757)^3</f>
        <v/>
      </c>
      <c r="H467" s="38">
        <f>(E467-F757)^4</f>
        <v/>
      </c>
      <c r="I467" s="37" t="n"/>
    </row>
    <row r="468" ht="15" customHeight="1" s="28">
      <c r="A468" s="40" t="n">
        <v>456</v>
      </c>
      <c r="B468" s="40" t="n">
        <v>455</v>
      </c>
      <c r="C468" s="41" t="n">
        <v>4561.56</v>
      </c>
      <c r="D468" s="41">
        <f>4541.138727+0.225904*B468</f>
        <v/>
      </c>
      <c r="E468" s="42">
        <f>C468-D468</f>
        <v/>
      </c>
      <c r="F468" s="42">
        <f>(E468-F757)^2</f>
        <v/>
      </c>
      <c r="G468" s="41">
        <f>(E468-F757)^3</f>
        <v/>
      </c>
      <c r="H468" s="41">
        <f>(E468-F757)^4</f>
        <v/>
      </c>
      <c r="I468" s="40" t="n"/>
    </row>
    <row r="469" ht="15" customHeight="1" s="28">
      <c r="A469" s="37" t="n">
        <v>457</v>
      </c>
      <c r="B469" s="37" t="n">
        <v>456</v>
      </c>
      <c r="C469" s="38" t="n">
        <v>4561.04</v>
      </c>
      <c r="D469" s="38">
        <f>4541.138727+0.225904*B469</f>
        <v/>
      </c>
      <c r="E469" s="39">
        <f>C469-D469</f>
        <v/>
      </c>
      <c r="F469" s="39">
        <f>(E469-F757)^2</f>
        <v/>
      </c>
      <c r="G469" s="38">
        <f>(E469-F757)^3</f>
        <v/>
      </c>
      <c r="H469" s="38">
        <f>(E469-F757)^4</f>
        <v/>
      </c>
      <c r="I469" s="37" t="n"/>
    </row>
    <row r="470" ht="15" customHeight="1" s="28">
      <c r="A470" s="40" t="n">
        <v>458</v>
      </c>
      <c r="B470" s="40" t="n">
        <v>457</v>
      </c>
      <c r="C470" s="41" t="n">
        <v>4557.24</v>
      </c>
      <c r="D470" s="41">
        <f>4541.138727+0.225904*B470</f>
        <v/>
      </c>
      <c r="E470" s="42">
        <f>C470-D470</f>
        <v/>
      </c>
      <c r="F470" s="42">
        <f>(E470-F757)^2</f>
        <v/>
      </c>
      <c r="G470" s="41">
        <f>(E470-F757)^3</f>
        <v/>
      </c>
      <c r="H470" s="41">
        <f>(E470-F757)^4</f>
        <v/>
      </c>
      <c r="I470" s="40" t="n"/>
    </row>
    <row r="471" ht="15" customHeight="1" s="28">
      <c r="A471" s="37" t="n">
        <v>459</v>
      </c>
      <c r="B471" s="37" t="n">
        <v>458</v>
      </c>
      <c r="C471" s="38" t="n">
        <v>4556.32</v>
      </c>
      <c r="D471" s="38">
        <f>4541.138727+0.225904*B471</f>
        <v/>
      </c>
      <c r="E471" s="39">
        <f>C471-D471</f>
        <v/>
      </c>
      <c r="F471" s="39">
        <f>(E471-F757)^2</f>
        <v/>
      </c>
      <c r="G471" s="38">
        <f>(E471-F757)^3</f>
        <v/>
      </c>
      <c r="H471" s="38">
        <f>(E471-F757)^4</f>
        <v/>
      </c>
      <c r="I471" s="37" t="n"/>
    </row>
    <row r="472" ht="15" customHeight="1" s="28">
      <c r="A472" s="40" t="n">
        <v>460</v>
      </c>
      <c r="B472" s="40" t="n">
        <v>459</v>
      </c>
      <c r="C472" s="41" t="n">
        <v>4555.64</v>
      </c>
      <c r="D472" s="41">
        <f>4541.138727+0.225904*B472</f>
        <v/>
      </c>
      <c r="E472" s="42">
        <f>C472-D472</f>
        <v/>
      </c>
      <c r="F472" s="42">
        <f>(E472-F757)^2</f>
        <v/>
      </c>
      <c r="G472" s="41">
        <f>(E472-F757)^3</f>
        <v/>
      </c>
      <c r="H472" s="41">
        <f>(E472-F757)^4</f>
        <v/>
      </c>
      <c r="I472" s="40" t="n"/>
    </row>
    <row r="473" ht="15" customHeight="1" s="28">
      <c r="A473" s="37" t="n">
        <v>461</v>
      </c>
      <c r="B473" s="37" t="n">
        <v>460</v>
      </c>
      <c r="C473" s="38" t="n">
        <v>4554.64</v>
      </c>
      <c r="D473" s="38">
        <f>4541.138727+0.225904*B473</f>
        <v/>
      </c>
      <c r="E473" s="39">
        <f>C473-D473</f>
        <v/>
      </c>
      <c r="F473" s="39">
        <f>(E473-F757)^2</f>
        <v/>
      </c>
      <c r="G473" s="38">
        <f>(E473-F757)^3</f>
        <v/>
      </c>
      <c r="H473" s="38">
        <f>(E473-F757)^4</f>
        <v/>
      </c>
      <c r="I473" s="37" t="n"/>
    </row>
    <row r="474" ht="15" customHeight="1" s="28">
      <c r="A474" s="40" t="n">
        <v>462</v>
      </c>
      <c r="B474" s="40" t="n">
        <v>461</v>
      </c>
      <c r="C474" s="41" t="n">
        <v>4557.01</v>
      </c>
      <c r="D474" s="41">
        <f>4541.138727+0.225904*B474</f>
        <v/>
      </c>
      <c r="E474" s="42">
        <f>C474-D474</f>
        <v/>
      </c>
      <c r="F474" s="42">
        <f>(E474-F757)^2</f>
        <v/>
      </c>
      <c r="G474" s="41">
        <f>(E474-F757)^3</f>
        <v/>
      </c>
      <c r="H474" s="41">
        <f>(E474-F757)^4</f>
        <v/>
      </c>
      <c r="I474" s="40" t="n"/>
    </row>
    <row r="475" ht="15" customHeight="1" s="28">
      <c r="A475" s="37" t="n">
        <v>463</v>
      </c>
      <c r="B475" s="37" t="n">
        <v>462</v>
      </c>
      <c r="C475" s="38" t="n">
        <v>4559.18</v>
      </c>
      <c r="D475" s="38">
        <f>4541.138727+0.225904*B475</f>
        <v/>
      </c>
      <c r="E475" s="39">
        <f>C475-D475</f>
        <v/>
      </c>
      <c r="F475" s="39">
        <f>(E475-F757)^2</f>
        <v/>
      </c>
      <c r="G475" s="38">
        <f>(E475-F757)^3</f>
        <v/>
      </c>
      <c r="H475" s="38">
        <f>(E475-F757)^4</f>
        <v/>
      </c>
      <c r="I475" s="37" t="n"/>
    </row>
    <row r="476" ht="15" customHeight="1" s="28">
      <c r="A476" s="40" t="n">
        <v>464</v>
      </c>
      <c r="B476" s="40" t="n">
        <v>463</v>
      </c>
      <c r="C476" s="41" t="n">
        <v>4555.63</v>
      </c>
      <c r="D476" s="41">
        <f>4541.138727+0.225904*B476</f>
        <v/>
      </c>
      <c r="E476" s="42">
        <f>C476-D476</f>
        <v/>
      </c>
      <c r="F476" s="42">
        <f>(E476-F757)^2</f>
        <v/>
      </c>
      <c r="G476" s="41">
        <f>(E476-F757)^3</f>
        <v/>
      </c>
      <c r="H476" s="41">
        <f>(E476-F757)^4</f>
        <v/>
      </c>
      <c r="I476" s="40" t="n"/>
    </row>
    <row r="477" ht="15" customHeight="1" s="28">
      <c r="A477" s="37" t="n">
        <v>465</v>
      </c>
      <c r="B477" s="37" t="n">
        <v>464</v>
      </c>
      <c r="C477" s="38" t="n">
        <v>4557.58</v>
      </c>
      <c r="D477" s="38">
        <f>4541.138727+0.225904*B477</f>
        <v/>
      </c>
      <c r="E477" s="39">
        <f>C477-D477</f>
        <v/>
      </c>
      <c r="F477" s="39">
        <f>(E477-F757)^2</f>
        <v/>
      </c>
      <c r="G477" s="38">
        <f>(E477-F757)^3</f>
        <v/>
      </c>
      <c r="H477" s="38">
        <f>(E477-F757)^4</f>
        <v/>
      </c>
      <c r="I477" s="37" t="n"/>
    </row>
    <row r="478" ht="15" customHeight="1" s="28">
      <c r="A478" s="40" t="n">
        <v>466</v>
      </c>
      <c r="B478" s="40" t="n">
        <v>465</v>
      </c>
      <c r="C478" s="41" t="n">
        <v>4550.67</v>
      </c>
      <c r="D478" s="41">
        <f>4541.138727+0.225904*B478</f>
        <v/>
      </c>
      <c r="E478" s="42">
        <f>C478-D478</f>
        <v/>
      </c>
      <c r="F478" s="42">
        <f>(E478-F757)^2</f>
        <v/>
      </c>
      <c r="G478" s="41">
        <f>(E478-F757)^3</f>
        <v/>
      </c>
      <c r="H478" s="41">
        <f>(E478-F757)^4</f>
        <v/>
      </c>
      <c r="I478" s="40" t="n"/>
    </row>
    <row r="479" ht="15" customHeight="1" s="28">
      <c r="A479" s="37" t="n">
        <v>467</v>
      </c>
      <c r="B479" s="37" t="n">
        <v>466</v>
      </c>
      <c r="C479" s="38" t="n">
        <v>4546.68</v>
      </c>
      <c r="D479" s="38">
        <f>4541.138727+0.225904*B479</f>
        <v/>
      </c>
      <c r="E479" s="39">
        <f>C479-D479</f>
        <v/>
      </c>
      <c r="F479" s="39">
        <f>(E479-F757)^2</f>
        <v/>
      </c>
      <c r="G479" s="38">
        <f>(E479-F757)^3</f>
        <v/>
      </c>
      <c r="H479" s="38">
        <f>(E479-F757)^4</f>
        <v/>
      </c>
      <c r="I479" s="37" t="n"/>
    </row>
    <row r="480" ht="15" customHeight="1" s="28">
      <c r="A480" s="40" t="n">
        <v>468</v>
      </c>
      <c r="B480" s="40" t="n">
        <v>467</v>
      </c>
      <c r="C480" s="41" t="n">
        <v>4548.82</v>
      </c>
      <c r="D480" s="41">
        <f>4541.138727+0.225904*B480</f>
        <v/>
      </c>
      <c r="E480" s="42">
        <f>C480-D480</f>
        <v/>
      </c>
      <c r="F480" s="42">
        <f>(E480-F757)^2</f>
        <v/>
      </c>
      <c r="G480" s="41">
        <f>(E480-F757)^3</f>
        <v/>
      </c>
      <c r="H480" s="41">
        <f>(E480-F757)^4</f>
        <v/>
      </c>
      <c r="I480" s="40" t="n"/>
    </row>
    <row r="481" ht="15" customHeight="1" s="28">
      <c r="A481" s="37" t="n">
        <v>469</v>
      </c>
      <c r="B481" s="37" t="n">
        <v>468</v>
      </c>
      <c r="C481" s="38" t="n">
        <v>4573.43</v>
      </c>
      <c r="D481" s="38">
        <f>4541.138727+0.225904*B481</f>
        <v/>
      </c>
      <c r="E481" s="39">
        <f>C481-D481</f>
        <v/>
      </c>
      <c r="F481" s="39">
        <f>(E481-F757)^2</f>
        <v/>
      </c>
      <c r="G481" s="38">
        <f>(E481-F757)^3</f>
        <v/>
      </c>
      <c r="H481" s="38">
        <f>(E481-F757)^4</f>
        <v/>
      </c>
      <c r="I481" s="37" t="n"/>
    </row>
    <row r="482" ht="15" customHeight="1" s="28">
      <c r="A482" s="40" t="n">
        <v>470</v>
      </c>
      <c r="B482" s="40" t="n">
        <v>469</v>
      </c>
      <c r="C482" s="41" t="n">
        <v>4588.62</v>
      </c>
      <c r="D482" s="41">
        <f>4541.138727+0.225904*B482</f>
        <v/>
      </c>
      <c r="E482" s="42">
        <f>C482-D482</f>
        <v/>
      </c>
      <c r="F482" s="42">
        <f>(E482-F757)^2</f>
        <v/>
      </c>
      <c r="G482" s="41">
        <f>(E482-F757)^3</f>
        <v/>
      </c>
      <c r="H482" s="41">
        <f>(E482-F757)^4</f>
        <v/>
      </c>
      <c r="I482" s="40" t="n"/>
    </row>
    <row r="483" ht="15" customHeight="1" s="28">
      <c r="A483" s="37" t="n">
        <v>471</v>
      </c>
      <c r="B483" s="37" t="n">
        <v>470</v>
      </c>
      <c r="C483" s="38" t="n">
        <v>4582.1</v>
      </c>
      <c r="D483" s="38">
        <f>4541.138727+0.225904*B483</f>
        <v/>
      </c>
      <c r="E483" s="39">
        <f>C483-D483</f>
        <v/>
      </c>
      <c r="F483" s="39">
        <f>(E483-F757)^2</f>
        <v/>
      </c>
      <c r="G483" s="38">
        <f>(E483-F757)^3</f>
        <v/>
      </c>
      <c r="H483" s="38">
        <f>(E483-F757)^4</f>
        <v/>
      </c>
      <c r="I483" s="37" t="n"/>
    </row>
    <row r="484" ht="15" customHeight="1" s="28">
      <c r="A484" s="40" t="n">
        <v>472</v>
      </c>
      <c r="B484" s="40" t="n">
        <v>471</v>
      </c>
      <c r="C484" s="41" t="n">
        <v>4584.84</v>
      </c>
      <c r="D484" s="41">
        <f>4541.138727+0.225904*B484</f>
        <v/>
      </c>
      <c r="E484" s="42">
        <f>C484-D484</f>
        <v/>
      </c>
      <c r="F484" s="42">
        <f>(E484-F757)^2</f>
        <v/>
      </c>
      <c r="G484" s="41">
        <f>(E484-F757)^3</f>
        <v/>
      </c>
      <c r="H484" s="41">
        <f>(E484-F757)^4</f>
        <v/>
      </c>
      <c r="I484" s="40" t="n"/>
    </row>
    <row r="485" ht="15" customHeight="1" s="28">
      <c r="A485" s="37" t="n">
        <v>473</v>
      </c>
      <c r="B485" s="37" t="n">
        <v>472</v>
      </c>
      <c r="C485" s="38" t="n">
        <v>4593.92</v>
      </c>
      <c r="D485" s="38">
        <f>4541.138727+0.225904*B485</f>
        <v/>
      </c>
      <c r="E485" s="39">
        <f>C485-D485</f>
        <v/>
      </c>
      <c r="F485" s="39">
        <f>(E485-F757)^2</f>
        <v/>
      </c>
      <c r="G485" s="38">
        <f>(E485-F757)^3</f>
        <v/>
      </c>
      <c r="H485" s="38">
        <f>(E485-F757)^4</f>
        <v/>
      </c>
      <c r="I485" s="37" t="n"/>
    </row>
    <row r="486" ht="15" customHeight="1" s="28">
      <c r="A486" s="40" t="n">
        <v>474</v>
      </c>
      <c r="B486" s="40" t="n">
        <v>473</v>
      </c>
      <c r="C486" s="41" t="n">
        <v>4591.76</v>
      </c>
      <c r="D486" s="41">
        <f>4541.138727+0.225904*B486</f>
        <v/>
      </c>
      <c r="E486" s="42">
        <f>C486-D486</f>
        <v/>
      </c>
      <c r="F486" s="42">
        <f>(E486-F757)^2</f>
        <v/>
      </c>
      <c r="G486" s="41">
        <f>(E486-F757)^3</f>
        <v/>
      </c>
      <c r="H486" s="41">
        <f>(E486-F757)^4</f>
        <v/>
      </c>
      <c r="I486" s="40" t="n"/>
    </row>
    <row r="487" ht="15" customHeight="1" s="28">
      <c r="A487" s="37" t="n">
        <v>475</v>
      </c>
      <c r="B487" s="37" t="n">
        <v>474</v>
      </c>
      <c r="C487" s="38" t="n">
        <v>4602.23</v>
      </c>
      <c r="D487" s="38">
        <f>4541.138727+0.225904*B487</f>
        <v/>
      </c>
      <c r="E487" s="39">
        <f>C487-D487</f>
        <v/>
      </c>
      <c r="F487" s="39">
        <f>(E487-F757)^2</f>
        <v/>
      </c>
      <c r="G487" s="38">
        <f>(E487-F757)^3</f>
        <v/>
      </c>
      <c r="H487" s="38">
        <f>(E487-F757)^4</f>
        <v/>
      </c>
      <c r="I487" s="37" t="n"/>
    </row>
    <row r="488" ht="15" customHeight="1" s="28">
      <c r="A488" s="40" t="n">
        <v>476</v>
      </c>
      <c r="B488" s="40" t="n">
        <v>475</v>
      </c>
      <c r="C488" s="41" t="n">
        <v>4610.32</v>
      </c>
      <c r="D488" s="41">
        <f>4541.138727+0.225904*B488</f>
        <v/>
      </c>
      <c r="E488" s="42">
        <f>C488-D488</f>
        <v/>
      </c>
      <c r="F488" s="42">
        <f>(E488-F757)^2</f>
        <v/>
      </c>
      <c r="G488" s="41">
        <f>(E488-F757)^3</f>
        <v/>
      </c>
      <c r="H488" s="41">
        <f>(E488-F757)^4</f>
        <v/>
      </c>
      <c r="I488" s="40" t="n"/>
    </row>
    <row r="489" ht="15" customHeight="1" s="28">
      <c r="A489" s="37" t="n">
        <v>477</v>
      </c>
      <c r="B489" s="37" t="n">
        <v>476</v>
      </c>
      <c r="C489" s="38" t="n">
        <v>4618.87</v>
      </c>
      <c r="D489" s="38">
        <f>4541.138727+0.225904*B489</f>
        <v/>
      </c>
      <c r="E489" s="39">
        <f>C489-D489</f>
        <v/>
      </c>
      <c r="F489" s="39">
        <f>(E489-F757)^2</f>
        <v/>
      </c>
      <c r="G489" s="38">
        <f>(E489-F757)^3</f>
        <v/>
      </c>
      <c r="H489" s="38">
        <f>(E489-F757)^4</f>
        <v/>
      </c>
      <c r="I489" s="37" t="n"/>
    </row>
    <row r="490" ht="15" customHeight="1" s="28">
      <c r="A490" s="40" t="n">
        <v>478</v>
      </c>
      <c r="B490" s="40" t="n">
        <v>477</v>
      </c>
      <c r="C490" s="41" t="n">
        <v>4611.55</v>
      </c>
      <c r="D490" s="41">
        <f>4541.138727+0.225904*B490</f>
        <v/>
      </c>
      <c r="E490" s="42">
        <f>C490-D490</f>
        <v/>
      </c>
      <c r="F490" s="42">
        <f>(E490-F757)^2</f>
        <v/>
      </c>
      <c r="G490" s="41">
        <f>(E490-F757)^3</f>
        <v/>
      </c>
      <c r="H490" s="41">
        <f>(E490-F757)^4</f>
        <v/>
      </c>
      <c r="I490" s="40" t="n"/>
    </row>
    <row r="491" ht="15" customHeight="1" s="28">
      <c r="A491" s="37" t="n">
        <v>479</v>
      </c>
      <c r="B491" s="37" t="n">
        <v>478</v>
      </c>
      <c r="C491" s="38" t="n">
        <v>4625</v>
      </c>
      <c r="D491" s="38">
        <f>4541.138727+0.225904*B491</f>
        <v/>
      </c>
      <c r="E491" s="39">
        <f>C491-D491</f>
        <v/>
      </c>
      <c r="F491" s="39">
        <f>(E491-F757)^2</f>
        <v/>
      </c>
      <c r="G491" s="38">
        <f>(E491-F757)^3</f>
        <v/>
      </c>
      <c r="H491" s="38">
        <f>(E491-F757)^4</f>
        <v/>
      </c>
      <c r="I491" s="37" t="n"/>
    </row>
    <row r="492" ht="15" customHeight="1" s="28">
      <c r="A492" s="40" t="n">
        <v>480</v>
      </c>
      <c r="B492" s="40" t="n">
        <v>479</v>
      </c>
      <c r="C492" s="41" t="n">
        <v>4624.12</v>
      </c>
      <c r="D492" s="41">
        <f>4541.138727+0.225904*B492</f>
        <v/>
      </c>
      <c r="E492" s="42">
        <f>C492-D492</f>
        <v/>
      </c>
      <c r="F492" s="42">
        <f>(E492-F757)^2</f>
        <v/>
      </c>
      <c r="G492" s="41">
        <f>(E492-F757)^3</f>
        <v/>
      </c>
      <c r="H492" s="41">
        <f>(E492-F757)^4</f>
        <v/>
      </c>
      <c r="I492" s="40" t="n"/>
    </row>
    <row r="493" ht="15" customHeight="1" s="28">
      <c r="A493" s="37" t="n">
        <v>481</v>
      </c>
      <c r="B493" s="37" t="n">
        <v>480</v>
      </c>
      <c r="C493" s="38" t="n">
        <v>4626.18</v>
      </c>
      <c r="D493" s="38">
        <f>4541.138727+0.225904*B493</f>
        <v/>
      </c>
      <c r="E493" s="39">
        <f>C493-D493</f>
        <v/>
      </c>
      <c r="F493" s="39">
        <f>(E493-F757)^2</f>
        <v/>
      </c>
      <c r="G493" s="38">
        <f>(E493-F757)^3</f>
        <v/>
      </c>
      <c r="H493" s="38">
        <f>(E493-F757)^4</f>
        <v/>
      </c>
      <c r="I493" s="37" t="n"/>
    </row>
    <row r="494" ht="15" customHeight="1" s="28">
      <c r="A494" s="40" t="n">
        <v>482</v>
      </c>
      <c r="B494" s="40" t="n">
        <v>481</v>
      </c>
      <c r="C494" s="41" t="n">
        <v>4633.69</v>
      </c>
      <c r="D494" s="41">
        <f>4541.138727+0.225904*B494</f>
        <v/>
      </c>
      <c r="E494" s="42">
        <f>C494-D494</f>
        <v/>
      </c>
      <c r="F494" s="42">
        <f>(E494-F757)^2</f>
        <v/>
      </c>
      <c r="G494" s="41">
        <f>(E494-F757)^3</f>
        <v/>
      </c>
      <c r="H494" s="41">
        <f>(E494-F757)^4</f>
        <v/>
      </c>
      <c r="I494" s="40" t="n"/>
    </row>
    <row r="495" ht="15" customHeight="1" s="28">
      <c r="A495" s="37" t="n">
        <v>483</v>
      </c>
      <c r="B495" s="37" t="n">
        <v>482</v>
      </c>
      <c r="C495" s="38" t="n">
        <v>4630.22</v>
      </c>
      <c r="D495" s="38">
        <f>4541.138727+0.225904*B495</f>
        <v/>
      </c>
      <c r="E495" s="39">
        <f>C495-D495</f>
        <v/>
      </c>
      <c r="F495" s="39">
        <f>(E495-F757)^2</f>
        <v/>
      </c>
      <c r="G495" s="38">
        <f>(E495-F757)^3</f>
        <v/>
      </c>
      <c r="H495" s="38">
        <f>(E495-F757)^4</f>
        <v/>
      </c>
      <c r="I495" s="37" t="n"/>
    </row>
    <row r="496" ht="15" customHeight="1" s="28">
      <c r="A496" s="40" t="n">
        <v>484</v>
      </c>
      <c r="B496" s="40" t="n">
        <v>483</v>
      </c>
      <c r="C496" s="41" t="n">
        <v>4635.01</v>
      </c>
      <c r="D496" s="41">
        <f>4541.138727+0.225904*B496</f>
        <v/>
      </c>
      <c r="E496" s="42">
        <f>C496-D496</f>
        <v/>
      </c>
      <c r="F496" s="42">
        <f>(E496-F757)^2</f>
        <v/>
      </c>
      <c r="G496" s="41">
        <f>(E496-F757)^3</f>
        <v/>
      </c>
      <c r="H496" s="41">
        <f>(E496-F757)^4</f>
        <v/>
      </c>
      <c r="I496" s="40" t="n"/>
    </row>
    <row r="497" ht="15" customHeight="1" s="28">
      <c r="A497" s="37" t="n">
        <v>485</v>
      </c>
      <c r="B497" s="37" t="n">
        <v>484</v>
      </c>
      <c r="C497" s="38" t="n">
        <v>4640.94</v>
      </c>
      <c r="D497" s="38">
        <f>4541.138727+0.225904*B497</f>
        <v/>
      </c>
      <c r="E497" s="39">
        <f>C497-D497</f>
        <v/>
      </c>
      <c r="F497" s="39">
        <f>(E497-F757)^2</f>
        <v/>
      </c>
      <c r="G497" s="38">
        <f>(E497-F757)^3</f>
        <v/>
      </c>
      <c r="H497" s="38">
        <f>(E497-F757)^4</f>
        <v/>
      </c>
      <c r="I497" s="37" t="n"/>
    </row>
    <row r="498" ht="15" customHeight="1" s="28">
      <c r="A498" s="40" t="n">
        <v>486</v>
      </c>
      <c r="B498" s="40" t="n">
        <v>485</v>
      </c>
      <c r="C498" s="41" t="n">
        <v>4647.89</v>
      </c>
      <c r="D498" s="41">
        <f>4541.138727+0.225904*B498</f>
        <v/>
      </c>
      <c r="E498" s="42">
        <f>C498-D498</f>
        <v/>
      </c>
      <c r="F498" s="42">
        <f>(E498-F757)^2</f>
        <v/>
      </c>
      <c r="G498" s="41">
        <f>(E498-F757)^3</f>
        <v/>
      </c>
      <c r="H498" s="41">
        <f>(E498-F757)^4</f>
        <v/>
      </c>
      <c r="I498" s="40" t="n"/>
    </row>
    <row r="499" ht="15" customHeight="1" s="28">
      <c r="A499" s="37" t="n">
        <v>487</v>
      </c>
      <c r="B499" s="37" t="n">
        <v>486</v>
      </c>
      <c r="C499" s="38" t="n">
        <v>4645.81</v>
      </c>
      <c r="D499" s="38">
        <f>4541.138727+0.225904*B499</f>
        <v/>
      </c>
      <c r="E499" s="39">
        <f>C499-D499</f>
        <v/>
      </c>
      <c r="F499" s="39">
        <f>(E499-F757)^2</f>
        <v/>
      </c>
      <c r="G499" s="38">
        <f>(E499-F757)^3</f>
        <v/>
      </c>
      <c r="H499" s="38">
        <f>(E499-F757)^4</f>
        <v/>
      </c>
      <c r="I499" s="37" t="n"/>
    </row>
    <row r="500" ht="15" customHeight="1" s="28">
      <c r="A500" s="40" t="n">
        <v>488</v>
      </c>
      <c r="B500" s="40" t="n">
        <v>487</v>
      </c>
      <c r="C500" s="41" t="n">
        <v>4647.74</v>
      </c>
      <c r="D500" s="41">
        <f>4541.138727+0.225904*B500</f>
        <v/>
      </c>
      <c r="E500" s="42">
        <f>C500-D500</f>
        <v/>
      </c>
      <c r="F500" s="42">
        <f>(E500-F757)^2</f>
        <v/>
      </c>
      <c r="G500" s="41">
        <f>(E500-F757)^3</f>
        <v/>
      </c>
      <c r="H500" s="41">
        <f>(E500-F757)^4</f>
        <v/>
      </c>
      <c r="I500" s="40" t="n"/>
    </row>
    <row r="501" ht="15" customHeight="1" s="28">
      <c r="A501" s="37" t="n">
        <v>489</v>
      </c>
      <c r="B501" s="37" t="n">
        <v>488</v>
      </c>
      <c r="C501" s="38" t="n">
        <v>4643.84</v>
      </c>
      <c r="D501" s="38">
        <f>4541.138727+0.225904*B501</f>
        <v/>
      </c>
      <c r="E501" s="39">
        <f>C501-D501</f>
        <v/>
      </c>
      <c r="F501" s="39">
        <f>(E501-F757)^2</f>
        <v/>
      </c>
      <c r="G501" s="38">
        <f>(E501-F757)^3</f>
        <v/>
      </c>
      <c r="H501" s="38">
        <f>(E501-F757)^4</f>
        <v/>
      </c>
      <c r="I501" s="37" t="n"/>
    </row>
    <row r="502" ht="15" customHeight="1" s="28">
      <c r="A502" s="40" t="n">
        <v>490</v>
      </c>
      <c r="B502" s="40" t="n">
        <v>489</v>
      </c>
      <c r="C502" s="41" t="n">
        <v>4647.59</v>
      </c>
      <c r="D502" s="41">
        <f>4541.138727+0.225904*B502</f>
        <v/>
      </c>
      <c r="E502" s="42">
        <f>C502-D502</f>
        <v/>
      </c>
      <c r="F502" s="42">
        <f>(E502-F757)^2</f>
        <v/>
      </c>
      <c r="G502" s="41">
        <f>(E502-F757)^3</f>
        <v/>
      </c>
      <c r="H502" s="41">
        <f>(E502-F757)^4</f>
        <v/>
      </c>
      <c r="I502" s="40" t="n"/>
    </row>
    <row r="503" ht="15" customHeight="1" s="28">
      <c r="A503" s="37" t="n">
        <v>491</v>
      </c>
      <c r="B503" s="37" t="n">
        <v>490</v>
      </c>
      <c r="C503" s="38" t="n">
        <v>4653.19</v>
      </c>
      <c r="D503" s="38">
        <f>4541.138727+0.225904*B503</f>
        <v/>
      </c>
      <c r="E503" s="39">
        <f>C503-D503</f>
        <v/>
      </c>
      <c r="F503" s="39">
        <f>(E503-F757)^2</f>
        <v/>
      </c>
      <c r="G503" s="38">
        <f>(E503-F757)^3</f>
        <v/>
      </c>
      <c r="H503" s="38">
        <f>(E503-F757)^4</f>
        <v/>
      </c>
      <c r="I503" s="37" t="n"/>
    </row>
    <row r="504" ht="15" customHeight="1" s="28">
      <c r="A504" s="40" t="n">
        <v>492</v>
      </c>
      <c r="B504" s="40" t="n">
        <v>491</v>
      </c>
      <c r="C504" s="41" t="n">
        <v>4647.47</v>
      </c>
      <c r="D504" s="41">
        <f>4541.138727+0.225904*B504</f>
        <v/>
      </c>
      <c r="E504" s="42">
        <f>C504-D504</f>
        <v/>
      </c>
      <c r="F504" s="42">
        <f>(E504-F757)^2</f>
        <v/>
      </c>
      <c r="G504" s="41">
        <f>(E504-F757)^3</f>
        <v/>
      </c>
      <c r="H504" s="41">
        <f>(E504-F757)^4</f>
        <v/>
      </c>
      <c r="I504" s="40" t="n"/>
    </row>
    <row r="505" ht="15" customHeight="1" s="28">
      <c r="A505" s="37" t="n">
        <v>493</v>
      </c>
      <c r="B505" s="37" t="n">
        <v>492</v>
      </c>
      <c r="C505" s="38" t="n">
        <v>4648.72</v>
      </c>
      <c r="D505" s="38">
        <f>4541.138727+0.225904*B505</f>
        <v/>
      </c>
      <c r="E505" s="39">
        <f>C505-D505</f>
        <v/>
      </c>
      <c r="F505" s="39">
        <f>(E505-F757)^2</f>
        <v/>
      </c>
      <c r="G505" s="38">
        <f>(E505-F757)^3</f>
        <v/>
      </c>
      <c r="H505" s="38">
        <f>(E505-F757)^4</f>
        <v/>
      </c>
      <c r="I505" s="37" t="n"/>
    </row>
    <row r="506" ht="15" customHeight="1" s="28">
      <c r="A506" s="40" t="n">
        <v>494</v>
      </c>
      <c r="B506" s="40" t="n">
        <v>493</v>
      </c>
      <c r="C506" s="41" t="n">
        <v>4654.64</v>
      </c>
      <c r="D506" s="41">
        <f>4541.138727+0.225904*B506</f>
        <v/>
      </c>
      <c r="E506" s="42">
        <f>C506-D506</f>
        <v/>
      </c>
      <c r="F506" s="42">
        <f>(E506-F757)^2</f>
        <v/>
      </c>
      <c r="G506" s="41">
        <f>(E506-F757)^3</f>
        <v/>
      </c>
      <c r="H506" s="41">
        <f>(E506-F757)^4</f>
        <v/>
      </c>
      <c r="I506" s="40" t="n"/>
    </row>
    <row r="507" ht="15" customHeight="1" s="28">
      <c r="A507" s="37" t="n">
        <v>495</v>
      </c>
      <c r="B507" s="37" t="n">
        <v>494</v>
      </c>
      <c r="C507" s="38" t="n">
        <v>4650.4</v>
      </c>
      <c r="D507" s="38">
        <f>4541.138727+0.225904*B507</f>
        <v/>
      </c>
      <c r="E507" s="39">
        <f>C507-D507</f>
        <v/>
      </c>
      <c r="F507" s="39">
        <f>(E507-F757)^2</f>
        <v/>
      </c>
      <c r="G507" s="38">
        <f>(E507-F757)^3</f>
        <v/>
      </c>
      <c r="H507" s="38">
        <f>(E507-F757)^4</f>
        <v/>
      </c>
      <c r="I507" s="37" t="n"/>
    </row>
    <row r="508" ht="15" customHeight="1" s="28">
      <c r="A508" s="40" t="n">
        <v>496</v>
      </c>
      <c r="B508" s="40" t="n">
        <v>495</v>
      </c>
      <c r="C508" s="41" t="n">
        <v>4650.19</v>
      </c>
      <c r="D508" s="41">
        <f>4541.138727+0.225904*B508</f>
        <v/>
      </c>
      <c r="E508" s="42">
        <f>C508-D508</f>
        <v/>
      </c>
      <c r="F508" s="42">
        <f>(E508-F757)^2</f>
        <v/>
      </c>
      <c r="G508" s="41">
        <f>(E508-F757)^3</f>
        <v/>
      </c>
      <c r="H508" s="41">
        <f>(E508-F757)^4</f>
        <v/>
      </c>
      <c r="I508" s="40" t="n"/>
    </row>
    <row r="509" ht="15" customHeight="1" s="28">
      <c r="A509" s="37" t="n">
        <v>497</v>
      </c>
      <c r="B509" s="37" t="n">
        <v>496</v>
      </c>
      <c r="C509" s="38" t="n">
        <v>4663.2</v>
      </c>
      <c r="D509" s="38">
        <f>4541.138727+0.225904*B509</f>
        <v/>
      </c>
      <c r="E509" s="39">
        <f>C509-D509</f>
        <v/>
      </c>
      <c r="F509" s="39">
        <f>(E509-F757)^2</f>
        <v/>
      </c>
      <c r="G509" s="38">
        <f>(E509-F757)^3</f>
        <v/>
      </c>
      <c r="H509" s="38">
        <f>(E509-F757)^4</f>
        <v/>
      </c>
      <c r="I509" s="37" t="n"/>
    </row>
    <row r="510" ht="15" customHeight="1" s="28">
      <c r="A510" s="40" t="n">
        <v>498</v>
      </c>
      <c r="B510" s="40" t="n">
        <v>497</v>
      </c>
      <c r="C510" s="41" t="n">
        <v>4660.55</v>
      </c>
      <c r="D510" s="41">
        <f>4541.138727+0.225904*B510</f>
        <v/>
      </c>
      <c r="E510" s="42">
        <f>C510-D510</f>
        <v/>
      </c>
      <c r="F510" s="42">
        <f>(E510-F757)^2</f>
        <v/>
      </c>
      <c r="G510" s="41">
        <f>(E510-F757)^3</f>
        <v/>
      </c>
      <c r="H510" s="41">
        <f>(E510-F757)^4</f>
        <v/>
      </c>
      <c r="I510" s="40" t="n"/>
    </row>
    <row r="511" ht="15" customHeight="1" s="28">
      <c r="A511" s="37" t="n">
        <v>499</v>
      </c>
      <c r="B511" s="37" t="n">
        <v>498</v>
      </c>
      <c r="C511" s="38" t="n">
        <v>4666.15</v>
      </c>
      <c r="D511" s="38">
        <f>4541.138727+0.225904*B511</f>
        <v/>
      </c>
      <c r="E511" s="39">
        <f>C511-D511</f>
        <v/>
      </c>
      <c r="F511" s="39">
        <f>(E511-F757)^2</f>
        <v/>
      </c>
      <c r="G511" s="38">
        <f>(E511-F757)^3</f>
        <v/>
      </c>
      <c r="H511" s="38">
        <f>(E511-F757)^4</f>
        <v/>
      </c>
      <c r="I511" s="37" t="n"/>
    </row>
    <row r="512" ht="15" customHeight="1" s="28">
      <c r="A512" s="40" t="n">
        <v>500</v>
      </c>
      <c r="B512" s="40" t="n">
        <v>499</v>
      </c>
      <c r="C512" s="41" t="n">
        <v>4664.33</v>
      </c>
      <c r="D512" s="41">
        <f>4541.138727+0.225904*B512</f>
        <v/>
      </c>
      <c r="E512" s="42">
        <f>C512-D512</f>
        <v/>
      </c>
      <c r="F512" s="42">
        <f>(E512-F757)^2</f>
        <v/>
      </c>
      <c r="G512" s="41">
        <f>(E512-F757)^3</f>
        <v/>
      </c>
      <c r="H512" s="41">
        <f>(E512-F757)^4</f>
        <v/>
      </c>
      <c r="I512" s="40" t="n"/>
    </row>
    <row r="513" ht="15" customHeight="1" s="28">
      <c r="A513" s="37" t="n">
        <v>501</v>
      </c>
      <c r="B513" s="37" t="n">
        <v>500</v>
      </c>
      <c r="C513" s="38" t="n">
        <v>4669.38</v>
      </c>
      <c r="D513" s="38">
        <f>4541.138727+0.225904*B513</f>
        <v/>
      </c>
      <c r="E513" s="39">
        <f>C513-D513</f>
        <v/>
      </c>
      <c r="F513" s="39">
        <f>(E513-F757)^2</f>
        <v/>
      </c>
      <c r="G513" s="38">
        <f>(E513-F757)^3</f>
        <v/>
      </c>
      <c r="H513" s="38">
        <f>(E513-F757)^4</f>
        <v/>
      </c>
      <c r="I513" s="37" t="n"/>
    </row>
    <row r="514" ht="15" customHeight="1" s="28">
      <c r="A514" s="40" t="n">
        <v>502</v>
      </c>
      <c r="B514" s="40" t="n">
        <v>501</v>
      </c>
      <c r="C514" s="41" t="n">
        <v>4658.43</v>
      </c>
      <c r="D514" s="41">
        <f>4541.138727+0.225904*B514</f>
        <v/>
      </c>
      <c r="E514" s="42">
        <f>C514-D514</f>
        <v/>
      </c>
      <c r="F514" s="42">
        <f>(E514-F757)^2</f>
        <v/>
      </c>
      <c r="G514" s="41">
        <f>(E514-F757)^3</f>
        <v/>
      </c>
      <c r="H514" s="41">
        <f>(E514-F757)^4</f>
        <v/>
      </c>
      <c r="I514" s="40" t="n"/>
    </row>
    <row r="515" ht="15" customHeight="1" s="28">
      <c r="A515" s="37" t="n">
        <v>503</v>
      </c>
      <c r="B515" s="37" t="n">
        <v>502</v>
      </c>
      <c r="C515" s="38" t="n">
        <v>4667.5</v>
      </c>
      <c r="D515" s="38">
        <f>4541.138727+0.225904*B515</f>
        <v/>
      </c>
      <c r="E515" s="39">
        <f>C515-D515</f>
        <v/>
      </c>
      <c r="F515" s="39">
        <f>(E515-F757)^2</f>
        <v/>
      </c>
      <c r="G515" s="38">
        <f>(E515-F757)^3</f>
        <v/>
      </c>
      <c r="H515" s="38">
        <f>(E515-F757)^4</f>
        <v/>
      </c>
      <c r="I515" s="37" t="n"/>
    </row>
    <row r="516" ht="15" customHeight="1" s="28">
      <c r="A516" s="40" t="n">
        <v>504</v>
      </c>
      <c r="B516" s="40" t="n">
        <v>503</v>
      </c>
      <c r="C516" s="41" t="n">
        <v>4670.18</v>
      </c>
      <c r="D516" s="41">
        <f>4541.138727+0.225904*B516</f>
        <v/>
      </c>
      <c r="E516" s="42">
        <f>C516-D516</f>
        <v/>
      </c>
      <c r="F516" s="42">
        <f>(E516-F757)^2</f>
        <v/>
      </c>
      <c r="G516" s="41">
        <f>(E516-F757)^3</f>
        <v/>
      </c>
      <c r="H516" s="41">
        <f>(E516-F757)^4</f>
        <v/>
      </c>
      <c r="I516" s="40" t="n"/>
    </row>
    <row r="517" ht="15" customHeight="1" s="28">
      <c r="A517" s="37" t="n">
        <v>505</v>
      </c>
      <c r="B517" s="37" t="n">
        <v>504</v>
      </c>
      <c r="C517" s="38" t="n">
        <v>4681.72</v>
      </c>
      <c r="D517" s="38">
        <f>4541.138727+0.225904*B517</f>
        <v/>
      </c>
      <c r="E517" s="39">
        <f>C517-D517</f>
        <v/>
      </c>
      <c r="F517" s="39">
        <f>(E517-F757)^2</f>
        <v/>
      </c>
      <c r="G517" s="38">
        <f>(E517-F757)^3</f>
        <v/>
      </c>
      <c r="H517" s="38">
        <f>(E517-F757)^4</f>
        <v/>
      </c>
      <c r="I517" s="37" t="n"/>
    </row>
    <row r="518" ht="15" customHeight="1" s="28">
      <c r="A518" s="40" t="n">
        <v>506</v>
      </c>
      <c r="B518" s="40" t="n">
        <v>505</v>
      </c>
      <c r="C518" s="41" t="n">
        <v>4679.57</v>
      </c>
      <c r="D518" s="41">
        <f>4541.138727+0.225904*B518</f>
        <v/>
      </c>
      <c r="E518" s="42">
        <f>C518-D518</f>
        <v/>
      </c>
      <c r="F518" s="42">
        <f>(E518-F757)^2</f>
        <v/>
      </c>
      <c r="G518" s="41">
        <f>(E518-F757)^3</f>
        <v/>
      </c>
      <c r="H518" s="41">
        <f>(E518-F757)^4</f>
        <v/>
      </c>
      <c r="I518" s="40" t="n"/>
    </row>
    <row r="519" ht="15" customHeight="1" s="28">
      <c r="A519" s="37" t="n">
        <v>507</v>
      </c>
      <c r="B519" s="37" t="n">
        <v>506</v>
      </c>
      <c r="C519" s="38" t="n">
        <v>4677</v>
      </c>
      <c r="D519" s="38">
        <f>4541.138727+0.225904*B519</f>
        <v/>
      </c>
      <c r="E519" s="39">
        <f>C519-D519</f>
        <v/>
      </c>
      <c r="F519" s="39">
        <f>(E519-F757)^2</f>
        <v/>
      </c>
      <c r="G519" s="38">
        <f>(E519-F757)^3</f>
        <v/>
      </c>
      <c r="H519" s="38">
        <f>(E519-F757)^4</f>
        <v/>
      </c>
      <c r="I519" s="37" t="n"/>
    </row>
    <row r="520" ht="15" customHeight="1" s="28">
      <c r="A520" s="40" t="n">
        <v>508</v>
      </c>
      <c r="B520" s="40" t="n">
        <v>507</v>
      </c>
      <c r="C520" s="41" t="n">
        <v>4677.27</v>
      </c>
      <c r="D520" s="41">
        <f>4541.138727+0.225904*B520</f>
        <v/>
      </c>
      <c r="E520" s="42">
        <f>C520-D520</f>
        <v/>
      </c>
      <c r="F520" s="42">
        <f>(E520-F757)^2</f>
        <v/>
      </c>
      <c r="G520" s="41">
        <f>(E520-F757)^3</f>
        <v/>
      </c>
      <c r="H520" s="41">
        <f>(E520-F757)^4</f>
        <v/>
      </c>
      <c r="I520" s="40" t="n"/>
    </row>
    <row r="521" ht="15" customHeight="1" s="28">
      <c r="A521" s="37" t="n">
        <v>509</v>
      </c>
      <c r="B521" s="37" t="n">
        <v>508</v>
      </c>
      <c r="C521" s="38" t="n">
        <v>4700.09</v>
      </c>
      <c r="D521" s="38">
        <f>4541.138727+0.225904*B521</f>
        <v/>
      </c>
      <c r="E521" s="39">
        <f>C521-D521</f>
        <v/>
      </c>
      <c r="F521" s="39">
        <f>(E521-F757)^2</f>
        <v/>
      </c>
      <c r="G521" s="38">
        <f>(E521-F757)^3</f>
        <v/>
      </c>
      <c r="H521" s="38">
        <f>(E521-F757)^4</f>
        <v/>
      </c>
      <c r="I521" s="37" t="n"/>
    </row>
    <row r="522" ht="15" customHeight="1" s="28">
      <c r="A522" s="40" t="n">
        <v>510</v>
      </c>
      <c r="B522" s="40" t="n">
        <v>509</v>
      </c>
      <c r="C522" s="41" t="n">
        <v>4695.69</v>
      </c>
      <c r="D522" s="41">
        <f>4541.138727+0.225904*B522</f>
        <v/>
      </c>
      <c r="E522" s="42">
        <f>C522-D522</f>
        <v/>
      </c>
      <c r="F522" s="42">
        <f>(E522-F757)^2</f>
        <v/>
      </c>
      <c r="G522" s="41">
        <f>(E522-F757)^3</f>
        <v/>
      </c>
      <c r="H522" s="41">
        <f>(E522-F757)^4</f>
        <v/>
      </c>
      <c r="I522" s="40" t="n"/>
    </row>
    <row r="523" ht="15" customHeight="1" s="28">
      <c r="A523" s="37" t="n">
        <v>511</v>
      </c>
      <c r="B523" s="37" t="n">
        <v>510</v>
      </c>
      <c r="C523" s="38" t="n">
        <v>4700.12</v>
      </c>
      <c r="D523" s="38">
        <f>4541.138727+0.225904*B523</f>
        <v/>
      </c>
      <c r="E523" s="39">
        <f>C523-D523</f>
        <v/>
      </c>
      <c r="F523" s="39">
        <f>(E523-F757)^2</f>
        <v/>
      </c>
      <c r="G523" s="38">
        <f>(E523-F757)^3</f>
        <v/>
      </c>
      <c r="H523" s="38">
        <f>(E523-F757)^4</f>
        <v/>
      </c>
      <c r="I523" s="37" t="n"/>
    </row>
    <row r="524" ht="15" customHeight="1" s="28">
      <c r="A524" s="40" t="n">
        <v>512</v>
      </c>
      <c r="B524" s="40" t="n">
        <v>511</v>
      </c>
      <c r="C524" s="41" t="n">
        <v>4696.04</v>
      </c>
      <c r="D524" s="41">
        <f>4541.138727+0.225904*B524</f>
        <v/>
      </c>
      <c r="E524" s="42">
        <f>C524-D524</f>
        <v/>
      </c>
      <c r="F524" s="42">
        <f>(E524-F757)^2</f>
        <v/>
      </c>
      <c r="G524" s="41">
        <f>(E524-F757)^3</f>
        <v/>
      </c>
      <c r="H524" s="41">
        <f>(E524-F757)^4</f>
        <v/>
      </c>
      <c r="I524" s="40" t="n"/>
    </row>
    <row r="525" ht="15" customHeight="1" s="28">
      <c r="A525" s="37" t="n">
        <v>513</v>
      </c>
      <c r="B525" s="37" t="n">
        <v>512</v>
      </c>
      <c r="C525" s="38" t="n">
        <v>4701.75</v>
      </c>
      <c r="D525" s="38">
        <f>4541.138727+0.225904*B525</f>
        <v/>
      </c>
      <c r="E525" s="39">
        <f>C525-D525</f>
        <v/>
      </c>
      <c r="F525" s="39">
        <f>(E525-F757)^2</f>
        <v/>
      </c>
      <c r="G525" s="38">
        <f>(E525-F757)^3</f>
        <v/>
      </c>
      <c r="H525" s="38">
        <f>(E525-F757)^4</f>
        <v/>
      </c>
      <c r="I525" s="37" t="n"/>
    </row>
    <row r="526" ht="15" customHeight="1" s="28">
      <c r="A526" s="40" t="n">
        <v>514</v>
      </c>
      <c r="B526" s="40" t="n">
        <v>513</v>
      </c>
      <c r="C526" s="41" t="n">
        <v>4698.2</v>
      </c>
      <c r="D526" s="41">
        <f>4541.138727+0.225904*B526</f>
        <v/>
      </c>
      <c r="E526" s="42">
        <f>C526-D526</f>
        <v/>
      </c>
      <c r="F526" s="42">
        <f>(E526-F757)^2</f>
        <v/>
      </c>
      <c r="G526" s="41">
        <f>(E526-F757)^3</f>
        <v/>
      </c>
      <c r="H526" s="41">
        <f>(E526-F757)^4</f>
        <v/>
      </c>
      <c r="I526" s="40" t="n"/>
    </row>
    <row r="527" ht="15" customHeight="1" s="28">
      <c r="A527" s="37" t="n">
        <v>515</v>
      </c>
      <c r="B527" s="37" t="n">
        <v>514</v>
      </c>
      <c r="C527" s="38" t="n">
        <v>4704.64</v>
      </c>
      <c r="D527" s="38">
        <f>4541.138727+0.225904*B527</f>
        <v/>
      </c>
      <c r="E527" s="39">
        <f>C527-D527</f>
        <v/>
      </c>
      <c r="F527" s="39">
        <f>(E527-F757)^2</f>
        <v/>
      </c>
      <c r="G527" s="38">
        <f>(E527-F757)^3</f>
        <v/>
      </c>
      <c r="H527" s="38">
        <f>(E527-F757)^4</f>
        <v/>
      </c>
      <c r="I527" s="37" t="n"/>
    </row>
    <row r="528" ht="15" customHeight="1" s="28">
      <c r="A528" s="40" t="n">
        <v>516</v>
      </c>
      <c r="B528" s="40" t="n">
        <v>515</v>
      </c>
      <c r="C528" s="41" t="n">
        <v>4714.15</v>
      </c>
      <c r="D528" s="41">
        <f>4541.138727+0.225904*B528</f>
        <v/>
      </c>
      <c r="E528" s="42">
        <f>C528-D528</f>
        <v/>
      </c>
      <c r="F528" s="42">
        <f>(E528-F757)^2</f>
        <v/>
      </c>
      <c r="G528" s="41">
        <f>(E528-F757)^3</f>
        <v/>
      </c>
      <c r="H528" s="41">
        <f>(E528-F757)^4</f>
        <v/>
      </c>
      <c r="I528" s="40" t="n"/>
    </row>
    <row r="529" ht="15" customHeight="1" s="28">
      <c r="A529" s="37" t="n">
        <v>517</v>
      </c>
      <c r="B529" s="37" t="n">
        <v>516</v>
      </c>
      <c r="C529" s="38" t="n">
        <v>4718.25</v>
      </c>
      <c r="D529" s="38">
        <f>4541.138727+0.225904*B529</f>
        <v/>
      </c>
      <c r="E529" s="39">
        <f>C529-D529</f>
        <v/>
      </c>
      <c r="F529" s="39">
        <f>(E529-F757)^2</f>
        <v/>
      </c>
      <c r="G529" s="38">
        <f>(E529-F757)^3</f>
        <v/>
      </c>
      <c r="H529" s="38">
        <f>(E529-F757)^4</f>
        <v/>
      </c>
      <c r="I529" s="37" t="n"/>
    </row>
    <row r="530" ht="15" customHeight="1" s="28">
      <c r="A530" s="40" t="n">
        <v>518</v>
      </c>
      <c r="B530" s="40" t="n">
        <v>517</v>
      </c>
      <c r="C530" s="41" t="n">
        <v>4711.97</v>
      </c>
      <c r="D530" s="41">
        <f>4541.138727+0.225904*B530</f>
        <v/>
      </c>
      <c r="E530" s="42">
        <f>C530-D530</f>
        <v/>
      </c>
      <c r="F530" s="42">
        <f>(E530-F757)^2</f>
        <v/>
      </c>
      <c r="G530" s="41">
        <f>(E530-F757)^3</f>
        <v/>
      </c>
      <c r="H530" s="41">
        <f>(E530-F757)^4</f>
        <v/>
      </c>
      <c r="I530" s="40" t="n"/>
    </row>
    <row r="531" ht="15" customHeight="1" s="28">
      <c r="A531" s="37" t="n">
        <v>519</v>
      </c>
      <c r="B531" s="37" t="n">
        <v>518</v>
      </c>
      <c r="C531" s="38" t="n">
        <v>4705.6</v>
      </c>
      <c r="D531" s="38">
        <f>4541.138727+0.225904*B531</f>
        <v/>
      </c>
      <c r="E531" s="39">
        <f>C531-D531</f>
        <v/>
      </c>
      <c r="F531" s="39">
        <f>(E531-F757)^2</f>
        <v/>
      </c>
      <c r="G531" s="38">
        <f>(E531-F757)^3</f>
        <v/>
      </c>
      <c r="H531" s="38">
        <f>(E531-F757)^4</f>
        <v/>
      </c>
      <c r="I531" s="37" t="n"/>
    </row>
    <row r="532" ht="15" customHeight="1" s="28">
      <c r="A532" s="40" t="n">
        <v>520</v>
      </c>
      <c r="B532" s="40" t="n">
        <v>519</v>
      </c>
      <c r="C532" s="41" t="n">
        <v>4699.65</v>
      </c>
      <c r="D532" s="41">
        <f>4541.138727+0.225904*B532</f>
        <v/>
      </c>
      <c r="E532" s="42">
        <f>C532-D532</f>
        <v/>
      </c>
      <c r="F532" s="42">
        <f>(E532-F757)^2</f>
        <v/>
      </c>
      <c r="G532" s="41">
        <f>(E532-F757)^3</f>
        <v/>
      </c>
      <c r="H532" s="41">
        <f>(E532-F757)^4</f>
        <v/>
      </c>
      <c r="I532" s="40" t="n"/>
    </row>
    <row r="533" ht="15" customHeight="1" s="28">
      <c r="A533" s="37" t="n">
        <v>521</v>
      </c>
      <c r="B533" s="37" t="n">
        <v>520</v>
      </c>
      <c r="C533" s="38" t="n">
        <v>4692.11</v>
      </c>
      <c r="D533" s="38">
        <f>4541.138727+0.225904*B533</f>
        <v/>
      </c>
      <c r="E533" s="39">
        <f>C533-D533</f>
        <v/>
      </c>
      <c r="F533" s="39">
        <f>(E533-F757)^2</f>
        <v/>
      </c>
      <c r="G533" s="38">
        <f>(E533-F757)^3</f>
        <v/>
      </c>
      <c r="H533" s="38">
        <f>(E533-F757)^4</f>
        <v/>
      </c>
      <c r="I533" s="37" t="n"/>
    </row>
    <row r="534" ht="15" customHeight="1" s="28">
      <c r="A534" s="40" t="n">
        <v>522</v>
      </c>
      <c r="B534" s="40" t="n">
        <v>521</v>
      </c>
      <c r="C534" s="41" t="n">
        <v>4672.94</v>
      </c>
      <c r="D534" s="41">
        <f>4541.138727+0.225904*B534</f>
        <v/>
      </c>
      <c r="E534" s="42">
        <f>C534-D534</f>
        <v/>
      </c>
      <c r="F534" s="42">
        <f>(E534-F757)^2</f>
        <v/>
      </c>
      <c r="G534" s="41">
        <f>(E534-F757)^3</f>
        <v/>
      </c>
      <c r="H534" s="41">
        <f>(E534-F757)^4</f>
        <v/>
      </c>
      <c r="I534" s="40" t="n"/>
    </row>
    <row r="535" ht="15" customHeight="1" s="28">
      <c r="A535" s="37" t="n">
        <v>523</v>
      </c>
      <c r="B535" s="37" t="n">
        <v>522</v>
      </c>
      <c r="C535" s="38" t="n">
        <v>4683.36</v>
      </c>
      <c r="D535" s="38">
        <f>4541.138727+0.225904*B535</f>
        <v/>
      </c>
      <c r="E535" s="39">
        <f>C535-D535</f>
        <v/>
      </c>
      <c r="F535" s="39">
        <f>(E535-F757)^2</f>
        <v/>
      </c>
      <c r="G535" s="38">
        <f>(E535-F757)^3</f>
        <v/>
      </c>
      <c r="H535" s="38">
        <f>(E535-F757)^4</f>
        <v/>
      </c>
      <c r="I535" s="37" t="n"/>
    </row>
    <row r="536" ht="15" customHeight="1" s="28">
      <c r="A536" s="40" t="n">
        <v>524</v>
      </c>
      <c r="B536" s="40" t="n">
        <v>523</v>
      </c>
      <c r="C536" s="41" t="n">
        <v>4682.83</v>
      </c>
      <c r="D536" s="41">
        <f>4541.138727+0.225904*B536</f>
        <v/>
      </c>
      <c r="E536" s="42">
        <f>C536-D536</f>
        <v/>
      </c>
      <c r="F536" s="42">
        <f>(E536-F757)^2</f>
        <v/>
      </c>
      <c r="G536" s="41">
        <f>(E536-F757)^3</f>
        <v/>
      </c>
      <c r="H536" s="41">
        <f>(E536-F757)^4</f>
        <v/>
      </c>
      <c r="I536" s="40" t="n"/>
    </row>
    <row r="537" ht="15" customHeight="1" s="28">
      <c r="A537" s="37" t="n">
        <v>525</v>
      </c>
      <c r="B537" s="37" t="n">
        <v>524</v>
      </c>
      <c r="C537" s="38" t="n">
        <v>4683.36</v>
      </c>
      <c r="D537" s="38">
        <f>4541.138727+0.225904*B537</f>
        <v/>
      </c>
      <c r="E537" s="39">
        <f>C537-D537</f>
        <v/>
      </c>
      <c r="F537" s="39">
        <f>(E537-F757)^2</f>
        <v/>
      </c>
      <c r="G537" s="38">
        <f>(E537-F757)^3</f>
        <v/>
      </c>
      <c r="H537" s="38">
        <f>(E537-F757)^4</f>
        <v/>
      </c>
      <c r="I537" s="37" t="n"/>
    </row>
    <row r="538" ht="15" customHeight="1" s="28">
      <c r="A538" s="40" t="n">
        <v>526</v>
      </c>
      <c r="B538" s="40" t="n">
        <v>525</v>
      </c>
      <c r="C538" s="41" t="n">
        <v>4683.63</v>
      </c>
      <c r="D538" s="41">
        <f>4541.138727+0.225904*B538</f>
        <v/>
      </c>
      <c r="E538" s="42">
        <f>C538-D538</f>
        <v/>
      </c>
      <c r="F538" s="42">
        <f>(E538-F757)^2</f>
        <v/>
      </c>
      <c r="G538" s="41">
        <f>(E538-F757)^3</f>
        <v/>
      </c>
      <c r="H538" s="41">
        <f>(E538-F757)^4</f>
        <v/>
      </c>
      <c r="I538" s="40" t="n"/>
    </row>
    <row r="539" ht="15" customHeight="1" s="28">
      <c r="A539" s="37" t="n">
        <v>527</v>
      </c>
      <c r="B539" s="37" t="n">
        <v>526</v>
      </c>
      <c r="C539" s="38" t="n">
        <v>4685.16</v>
      </c>
      <c r="D539" s="38">
        <f>4541.138727+0.225904*B539</f>
        <v/>
      </c>
      <c r="E539" s="39">
        <f>C539-D539</f>
        <v/>
      </c>
      <c r="F539" s="39">
        <f>(E539-F757)^2</f>
        <v/>
      </c>
      <c r="G539" s="38">
        <f>(E539-F757)^3</f>
        <v/>
      </c>
      <c r="H539" s="38">
        <f>(E539-F757)^4</f>
        <v/>
      </c>
      <c r="I539" s="37" t="n"/>
    </row>
    <row r="540" ht="15" customHeight="1" s="28">
      <c r="A540" s="40" t="n">
        <v>528</v>
      </c>
      <c r="B540" s="40" t="n">
        <v>527</v>
      </c>
      <c r="C540" s="41" t="n">
        <v>4695.33</v>
      </c>
      <c r="D540" s="41">
        <f>4541.138727+0.225904*B540</f>
        <v/>
      </c>
      <c r="E540" s="42">
        <f>C540-D540</f>
        <v/>
      </c>
      <c r="F540" s="42">
        <f>(E540-F757)^2</f>
        <v/>
      </c>
      <c r="G540" s="41">
        <f>(E540-F757)^3</f>
        <v/>
      </c>
      <c r="H540" s="41">
        <f>(E540-F757)^4</f>
        <v/>
      </c>
      <c r="I540" s="40" t="n"/>
    </row>
    <row r="541" ht="15" customHeight="1" s="28">
      <c r="A541" s="37" t="n">
        <v>529</v>
      </c>
      <c r="B541" s="37" t="n">
        <v>528</v>
      </c>
      <c r="C541" s="38" t="n">
        <v>4702.21</v>
      </c>
      <c r="D541" s="38">
        <f>4541.138727+0.225904*B541</f>
        <v/>
      </c>
      <c r="E541" s="39">
        <f>C541-D541</f>
        <v/>
      </c>
      <c r="F541" s="39">
        <f>(E541-F757)^2</f>
        <v/>
      </c>
      <c r="G541" s="38">
        <f>(E541-F757)^3</f>
        <v/>
      </c>
      <c r="H541" s="38">
        <f>(E541-F757)^4</f>
        <v/>
      </c>
      <c r="I541" s="37" t="n"/>
    </row>
    <row r="542" ht="15" customHeight="1" s="28">
      <c r="A542" s="40" t="n">
        <v>530</v>
      </c>
      <c r="B542" s="40" t="n">
        <v>529</v>
      </c>
      <c r="C542" s="41" t="n">
        <v>4711.04</v>
      </c>
      <c r="D542" s="41">
        <f>4541.138727+0.225904*B542</f>
        <v/>
      </c>
      <c r="E542" s="42">
        <f>C542-D542</f>
        <v/>
      </c>
      <c r="F542" s="42">
        <f>(E542-F757)^2</f>
        <v/>
      </c>
      <c r="G542" s="41">
        <f>(E542-F757)^3</f>
        <v/>
      </c>
      <c r="H542" s="41">
        <f>(E542-F757)^4</f>
        <v/>
      </c>
      <c r="I542" s="40" t="n"/>
    </row>
    <row r="543" ht="15" customHeight="1" s="28">
      <c r="A543" s="37" t="n">
        <v>531</v>
      </c>
      <c r="B543" s="37" t="n">
        <v>530</v>
      </c>
      <c r="C543" s="38" t="n">
        <v>4705.66</v>
      </c>
      <c r="D543" s="38">
        <f>4541.138727+0.225904*B543</f>
        <v/>
      </c>
      <c r="E543" s="39">
        <f>C543-D543</f>
        <v/>
      </c>
      <c r="F543" s="39">
        <f>(E543-F757)^2</f>
        <v/>
      </c>
      <c r="G543" s="38">
        <f>(E543-F757)^3</f>
        <v/>
      </c>
      <c r="H543" s="38">
        <f>(E543-F757)^4</f>
        <v/>
      </c>
      <c r="I543" s="37" t="n"/>
    </row>
    <row r="544" ht="15" customHeight="1" s="28">
      <c r="A544" s="40" t="n">
        <v>532</v>
      </c>
      <c r="B544" s="40" t="n">
        <v>531</v>
      </c>
      <c r="C544" s="41" t="n">
        <v>4713.4</v>
      </c>
      <c r="D544" s="41">
        <f>4541.138727+0.225904*B544</f>
        <v/>
      </c>
      <c r="E544" s="42">
        <f>C544-D544</f>
        <v/>
      </c>
      <c r="F544" s="42">
        <f>(E544-F757)^2</f>
        <v/>
      </c>
      <c r="G544" s="41">
        <f>(E544-F757)^3</f>
        <v/>
      </c>
      <c r="H544" s="41">
        <f>(E544-F757)^4</f>
        <v/>
      </c>
      <c r="I544" s="40" t="n"/>
    </row>
    <row r="545" ht="15" customHeight="1" s="28">
      <c r="A545" s="37" t="n">
        <v>533</v>
      </c>
      <c r="B545" s="37" t="n">
        <v>532</v>
      </c>
      <c r="C545" s="38" t="n">
        <v>4703.14</v>
      </c>
      <c r="D545" s="38">
        <f>4541.138727+0.225904*B545</f>
        <v/>
      </c>
      <c r="E545" s="39">
        <f>C545-D545</f>
        <v/>
      </c>
      <c r="F545" s="39">
        <f>(E545-F757)^2</f>
        <v/>
      </c>
      <c r="G545" s="38">
        <f>(E545-F757)^3</f>
        <v/>
      </c>
      <c r="H545" s="38">
        <f>(E545-F757)^4</f>
        <v/>
      </c>
      <c r="I545" s="37" t="n"/>
    </row>
    <row r="546" ht="15" customHeight="1" s="28">
      <c r="A546" s="40" t="n">
        <v>534</v>
      </c>
      <c r="B546" s="40" t="n">
        <v>533</v>
      </c>
      <c r="C546" s="41" t="n">
        <v>4696.47</v>
      </c>
      <c r="D546" s="41">
        <f>4541.138727+0.225904*B546</f>
        <v/>
      </c>
      <c r="E546" s="42">
        <f>C546-D546</f>
        <v/>
      </c>
      <c r="F546" s="42">
        <f>(E546-F757)^2</f>
        <v/>
      </c>
      <c r="G546" s="41">
        <f>(E546-F757)^3</f>
        <v/>
      </c>
      <c r="H546" s="41">
        <f>(E546-F757)^4</f>
        <v/>
      </c>
      <c r="I546" s="40" t="n"/>
    </row>
    <row r="547" ht="15" customHeight="1" s="28">
      <c r="A547" s="37" t="n">
        <v>535</v>
      </c>
      <c r="B547" s="37" t="n">
        <v>534</v>
      </c>
      <c r="C547" s="38" t="n">
        <v>4695.45</v>
      </c>
      <c r="D547" s="38">
        <f>4541.138727+0.225904*B547</f>
        <v/>
      </c>
      <c r="E547" s="39">
        <f>C547-D547</f>
        <v/>
      </c>
      <c r="F547" s="39">
        <f>(E547-F757)^2</f>
        <v/>
      </c>
      <c r="G547" s="38">
        <f>(E547-F757)^3</f>
        <v/>
      </c>
      <c r="H547" s="38">
        <f>(E547-F757)^4</f>
        <v/>
      </c>
      <c r="I547" s="37" t="n"/>
    </row>
    <row r="548" ht="15" customHeight="1" s="28">
      <c r="A548" s="40" t="n">
        <v>536</v>
      </c>
      <c r="B548" s="40" t="n">
        <v>535</v>
      </c>
      <c r="C548" s="41" t="n">
        <v>4692.77</v>
      </c>
      <c r="D548" s="41">
        <f>4541.138727+0.225904*B548</f>
        <v/>
      </c>
      <c r="E548" s="42">
        <f>C548-D548</f>
        <v/>
      </c>
      <c r="F548" s="42">
        <f>(E548-F757)^2</f>
        <v/>
      </c>
      <c r="G548" s="41">
        <f>(E548-F757)^3</f>
        <v/>
      </c>
      <c r="H548" s="41">
        <f>(E548-F757)^4</f>
        <v/>
      </c>
      <c r="I548" s="40" t="n"/>
    </row>
    <row r="549" ht="15" customHeight="1" s="28">
      <c r="A549" s="37" t="n">
        <v>537</v>
      </c>
      <c r="B549" s="37" t="n">
        <v>536</v>
      </c>
      <c r="C549" s="38" t="n">
        <v>4687.96</v>
      </c>
      <c r="D549" s="38">
        <f>4541.138727+0.225904*B549</f>
        <v/>
      </c>
      <c r="E549" s="39">
        <f>C549-D549</f>
        <v/>
      </c>
      <c r="F549" s="39">
        <f>(E549-F757)^2</f>
        <v/>
      </c>
      <c r="G549" s="38">
        <f>(E549-F757)^3</f>
        <v/>
      </c>
      <c r="H549" s="38">
        <f>(E549-F757)^4</f>
        <v/>
      </c>
      <c r="I549" s="37" t="n"/>
    </row>
    <row r="550" ht="15" customHeight="1" s="28">
      <c r="A550" s="40" t="n">
        <v>538</v>
      </c>
      <c r="B550" s="40" t="n">
        <v>537</v>
      </c>
      <c r="C550" s="41" t="n">
        <v>4683.69</v>
      </c>
      <c r="D550" s="41">
        <f>4541.138727+0.225904*B550</f>
        <v/>
      </c>
      <c r="E550" s="42">
        <f>C550-D550</f>
        <v/>
      </c>
      <c r="F550" s="42">
        <f>(E550-F757)^2</f>
        <v/>
      </c>
      <c r="G550" s="41">
        <f>(E550-F757)^3</f>
        <v/>
      </c>
      <c r="H550" s="41">
        <f>(E550-F757)^4</f>
        <v/>
      </c>
      <c r="I550" s="40" t="n"/>
    </row>
    <row r="551" ht="15" customHeight="1" s="28">
      <c r="A551" s="37" t="n">
        <v>539</v>
      </c>
      <c r="B551" s="37" t="n">
        <v>538</v>
      </c>
      <c r="C551" s="38" t="n">
        <v>4688.15</v>
      </c>
      <c r="D551" s="38">
        <f>4541.138727+0.225904*B551</f>
        <v/>
      </c>
      <c r="E551" s="39">
        <f>C551-D551</f>
        <v/>
      </c>
      <c r="F551" s="39">
        <f>(E551-F757)^2</f>
        <v/>
      </c>
      <c r="G551" s="38">
        <f>(E551-F757)^3</f>
        <v/>
      </c>
      <c r="H551" s="38">
        <f>(E551-F757)^4</f>
        <v/>
      </c>
      <c r="I551" s="37" t="n"/>
    </row>
    <row r="552" ht="15" customHeight="1" s="28">
      <c r="A552" s="40" t="n">
        <v>540</v>
      </c>
      <c r="B552" s="40" t="n">
        <v>539</v>
      </c>
      <c r="C552" s="41" t="n">
        <v>4688.73</v>
      </c>
      <c r="D552" s="41">
        <f>4541.138727+0.225904*B552</f>
        <v/>
      </c>
      <c r="E552" s="42">
        <f>C552-D552</f>
        <v/>
      </c>
      <c r="F552" s="42">
        <f>(E552-F757)^2</f>
        <v/>
      </c>
      <c r="G552" s="41">
        <f>(E552-F757)^3</f>
        <v/>
      </c>
      <c r="H552" s="41">
        <f>(E552-F757)^4</f>
        <v/>
      </c>
      <c r="I552" s="40" t="n"/>
    </row>
    <row r="553" ht="15" customHeight="1" s="28">
      <c r="A553" s="37" t="n">
        <v>541</v>
      </c>
      <c r="B553" s="37" t="n">
        <v>540</v>
      </c>
      <c r="C553" s="38" t="n">
        <v>4683.1</v>
      </c>
      <c r="D553" s="38">
        <f>4541.138727+0.225904*B553</f>
        <v/>
      </c>
      <c r="E553" s="39">
        <f>C553-D553</f>
        <v/>
      </c>
      <c r="F553" s="39">
        <f>(E553-F757)^2</f>
        <v/>
      </c>
      <c r="G553" s="38">
        <f>(E553-F757)^3</f>
        <v/>
      </c>
      <c r="H553" s="38">
        <f>(E553-F757)^4</f>
        <v/>
      </c>
      <c r="I553" s="37" t="n"/>
    </row>
    <row r="554" ht="15" customHeight="1" s="28">
      <c r="A554" s="40" t="n">
        <v>542</v>
      </c>
      <c r="B554" s="40" t="n">
        <v>541</v>
      </c>
      <c r="C554" s="41" t="n">
        <v>4685.62</v>
      </c>
      <c r="D554" s="41">
        <f>4541.138727+0.225904*B554</f>
        <v/>
      </c>
      <c r="E554" s="42">
        <f>C554-D554</f>
        <v/>
      </c>
      <c r="F554" s="42">
        <f>(E554-F757)^2</f>
        <v/>
      </c>
      <c r="G554" s="41">
        <f>(E554-F757)^3</f>
        <v/>
      </c>
      <c r="H554" s="41">
        <f>(E554-F757)^4</f>
        <v/>
      </c>
      <c r="I554" s="40" t="n"/>
    </row>
    <row r="555" ht="15" customHeight="1" s="28">
      <c r="A555" s="37" t="n">
        <v>543</v>
      </c>
      <c r="B555" s="37" t="n">
        <v>542</v>
      </c>
      <c r="C555" s="38" t="n">
        <v>4683.1</v>
      </c>
      <c r="D555" s="38">
        <f>4541.138727+0.225904*B555</f>
        <v/>
      </c>
      <c r="E555" s="39">
        <f>C555-D555</f>
        <v/>
      </c>
      <c r="F555" s="39">
        <f>(E555-F757)^2</f>
        <v/>
      </c>
      <c r="G555" s="38">
        <f>(E555-F757)^3</f>
        <v/>
      </c>
      <c r="H555" s="38">
        <f>(E555-F757)^4</f>
        <v/>
      </c>
      <c r="I555" s="37" t="n"/>
    </row>
    <row r="556" ht="15" customHeight="1" s="28">
      <c r="A556" s="40" t="n">
        <v>544</v>
      </c>
      <c r="B556" s="40" t="n">
        <v>543</v>
      </c>
      <c r="C556" s="41" t="n">
        <v>4680.64</v>
      </c>
      <c r="D556" s="41">
        <f>4541.138727+0.225904*B556</f>
        <v/>
      </c>
      <c r="E556" s="42">
        <f>C556-D556</f>
        <v/>
      </c>
      <c r="F556" s="42">
        <f>(E556-F757)^2</f>
        <v/>
      </c>
      <c r="G556" s="41">
        <f>(E556-F757)^3</f>
        <v/>
      </c>
      <c r="H556" s="41">
        <f>(E556-F757)^4</f>
        <v/>
      </c>
      <c r="I556" s="40" t="n"/>
    </row>
    <row r="557" ht="15" customHeight="1" s="28">
      <c r="A557" s="37" t="n">
        <v>545</v>
      </c>
      <c r="B557" s="37" t="n">
        <v>544</v>
      </c>
      <c r="C557" s="38" t="n">
        <v>4684.13</v>
      </c>
      <c r="D557" s="38">
        <f>4541.138727+0.225904*B557</f>
        <v/>
      </c>
      <c r="E557" s="39">
        <f>C557-D557</f>
        <v/>
      </c>
      <c r="F557" s="39">
        <f>(E557-F757)^2</f>
        <v/>
      </c>
      <c r="G557" s="38">
        <f>(E557-F757)^3</f>
        <v/>
      </c>
      <c r="H557" s="38">
        <f>(E557-F757)^4</f>
        <v/>
      </c>
      <c r="I557" s="37" t="n"/>
    </row>
    <row r="558" ht="15" customHeight="1" s="28">
      <c r="A558" s="40" t="n">
        <v>546</v>
      </c>
      <c r="B558" s="40" t="n">
        <v>545</v>
      </c>
      <c r="C558" s="41" t="n">
        <v>4686.79</v>
      </c>
      <c r="D558" s="41">
        <f>4541.138727+0.225904*B558</f>
        <v/>
      </c>
      <c r="E558" s="42">
        <f>C558-D558</f>
        <v/>
      </c>
      <c r="F558" s="42">
        <f>(E558-F757)^2</f>
        <v/>
      </c>
      <c r="G558" s="41">
        <f>(E558-F757)^3</f>
        <v/>
      </c>
      <c r="H558" s="41">
        <f>(E558-F757)^4</f>
        <v/>
      </c>
      <c r="I558" s="40" t="n"/>
    </row>
    <row r="559" ht="15" customHeight="1" s="28">
      <c r="A559" s="37" t="n">
        <v>547</v>
      </c>
      <c r="B559" s="37" t="n">
        <v>546</v>
      </c>
      <c r="C559" s="38" t="n">
        <v>4687.85</v>
      </c>
      <c r="D559" s="38">
        <f>4541.138727+0.225904*B559</f>
        <v/>
      </c>
      <c r="E559" s="39">
        <f>C559-D559</f>
        <v/>
      </c>
      <c r="F559" s="39">
        <f>(E559-F757)^2</f>
        <v/>
      </c>
      <c r="G559" s="38">
        <f>(E559-F757)^3</f>
        <v/>
      </c>
      <c r="H559" s="38">
        <f>(E559-F757)^4</f>
        <v/>
      </c>
      <c r="I559" s="37" t="n"/>
    </row>
    <row r="560" ht="15" customHeight="1" s="28">
      <c r="A560" s="40" t="n">
        <v>548</v>
      </c>
      <c r="B560" s="40" t="n">
        <v>547</v>
      </c>
      <c r="C560" s="41" t="n">
        <v>4686.27</v>
      </c>
      <c r="D560" s="41">
        <f>4541.138727+0.225904*B560</f>
        <v/>
      </c>
      <c r="E560" s="42">
        <f>C560-D560</f>
        <v/>
      </c>
      <c r="F560" s="42">
        <f>(E560-F757)^2</f>
        <v/>
      </c>
      <c r="G560" s="41">
        <f>(E560-F757)^3</f>
        <v/>
      </c>
      <c r="H560" s="41">
        <f>(E560-F757)^4</f>
        <v/>
      </c>
      <c r="I560" s="40" t="n"/>
    </row>
    <row r="561" ht="15" customHeight="1" s="28">
      <c r="A561" s="37" t="n">
        <v>549</v>
      </c>
      <c r="B561" s="37" t="n">
        <v>548</v>
      </c>
      <c r="C561" s="38" t="n">
        <v>4686.1</v>
      </c>
      <c r="D561" s="38">
        <f>4541.138727+0.225904*B561</f>
        <v/>
      </c>
      <c r="E561" s="39">
        <f>C561-D561</f>
        <v/>
      </c>
      <c r="F561" s="39">
        <f>(E561-F757)^2</f>
        <v/>
      </c>
      <c r="G561" s="38">
        <f>(E561-F757)^3</f>
        <v/>
      </c>
      <c r="H561" s="38">
        <f>(E561-F757)^4</f>
        <v/>
      </c>
      <c r="I561" s="37" t="n"/>
    </row>
    <row r="562" ht="15" customHeight="1" s="28">
      <c r="A562" s="40" t="n">
        <v>550</v>
      </c>
      <c r="B562" s="40" t="n">
        <v>549</v>
      </c>
      <c r="C562" s="41" t="n">
        <v>4695.28</v>
      </c>
      <c r="D562" s="41">
        <f>4541.138727+0.225904*B562</f>
        <v/>
      </c>
      <c r="E562" s="42">
        <f>C562-D562</f>
        <v/>
      </c>
      <c r="F562" s="42">
        <f>(E562-F757)^2</f>
        <v/>
      </c>
      <c r="G562" s="41">
        <f>(E562-F757)^3</f>
        <v/>
      </c>
      <c r="H562" s="41">
        <f>(E562-F757)^4</f>
        <v/>
      </c>
      <c r="I562" s="40" t="n"/>
    </row>
    <row r="563" ht="15" customHeight="1" s="28">
      <c r="A563" s="37" t="n">
        <v>551</v>
      </c>
      <c r="B563" s="37" t="n">
        <v>550</v>
      </c>
      <c r="C563" s="38" t="n">
        <v>4698.51</v>
      </c>
      <c r="D563" s="38">
        <f>4541.138727+0.225904*B563</f>
        <v/>
      </c>
      <c r="E563" s="39">
        <f>C563-D563</f>
        <v/>
      </c>
      <c r="F563" s="39">
        <f>(E563-F757)^2</f>
        <v/>
      </c>
      <c r="G563" s="38">
        <f>(E563-F757)^3</f>
        <v/>
      </c>
      <c r="H563" s="38">
        <f>(E563-F757)^4</f>
        <v/>
      </c>
      <c r="I563" s="37" t="n"/>
    </row>
    <row r="564" ht="15" customHeight="1" s="28">
      <c r="A564" s="40" t="n">
        <v>552</v>
      </c>
      <c r="B564" s="40" t="n">
        <v>551</v>
      </c>
      <c r="C564" s="41" t="n">
        <v>4695.4</v>
      </c>
      <c r="D564" s="41">
        <f>4541.138727+0.225904*B564</f>
        <v/>
      </c>
      <c r="E564" s="42">
        <f>C564-D564</f>
        <v/>
      </c>
      <c r="F564" s="42">
        <f>(E564-F757)^2</f>
        <v/>
      </c>
      <c r="G564" s="41">
        <f>(E564-F757)^3</f>
        <v/>
      </c>
      <c r="H564" s="41">
        <f>(E564-F757)^4</f>
        <v/>
      </c>
      <c r="I564" s="40" t="n"/>
    </row>
    <row r="565" ht="15" customHeight="1" s="28">
      <c r="A565" s="37" t="n">
        <v>553</v>
      </c>
      <c r="B565" s="37" t="n">
        <v>552</v>
      </c>
      <c r="C565" s="38" t="n">
        <v>4692.6</v>
      </c>
      <c r="D565" s="38">
        <f>4541.138727+0.225904*B565</f>
        <v/>
      </c>
      <c r="E565" s="39">
        <f>C565-D565</f>
        <v/>
      </c>
      <c r="F565" s="39">
        <f>(E565-F757)^2</f>
        <v/>
      </c>
      <c r="G565" s="38">
        <f>(E565-F757)^3</f>
        <v/>
      </c>
      <c r="H565" s="38">
        <f>(E565-F757)^4</f>
        <v/>
      </c>
      <c r="I565" s="37" t="n"/>
    </row>
    <row r="566" ht="15" customHeight="1" s="28">
      <c r="A566" s="40" t="n">
        <v>554</v>
      </c>
      <c r="B566" s="40" t="n">
        <v>553</v>
      </c>
      <c r="C566" s="41" t="n">
        <v>4698.99</v>
      </c>
      <c r="D566" s="41">
        <f>4541.138727+0.225904*B566</f>
        <v/>
      </c>
      <c r="E566" s="42">
        <f>C566-D566</f>
        <v/>
      </c>
      <c r="F566" s="42">
        <f>(E566-F757)^2</f>
        <v/>
      </c>
      <c r="G566" s="41">
        <f>(E566-F757)^3</f>
        <v/>
      </c>
      <c r="H566" s="41">
        <f>(E566-F757)^4</f>
        <v/>
      </c>
      <c r="I566" s="40" t="n"/>
    </row>
    <row r="567" ht="15" customHeight="1" s="28">
      <c r="A567" s="37" t="n">
        <v>555</v>
      </c>
      <c r="B567" s="37" t="n">
        <v>554</v>
      </c>
      <c r="C567" s="38" t="n">
        <v>4692.65</v>
      </c>
      <c r="D567" s="38">
        <f>4541.138727+0.225904*B567</f>
        <v/>
      </c>
      <c r="E567" s="39">
        <f>C567-D567</f>
        <v/>
      </c>
      <c r="F567" s="39">
        <f>(E567-F757)^2</f>
        <v/>
      </c>
      <c r="G567" s="38">
        <f>(E567-F757)^3</f>
        <v/>
      </c>
      <c r="H567" s="38">
        <f>(E567-F757)^4</f>
        <v/>
      </c>
      <c r="I567" s="37" t="n"/>
    </row>
    <row r="568" ht="15" customHeight="1" s="28">
      <c r="A568" s="40" t="n">
        <v>556</v>
      </c>
      <c r="B568" s="40" t="n">
        <v>555</v>
      </c>
      <c r="C568" s="41" t="n">
        <v>4689.09</v>
      </c>
      <c r="D568" s="41">
        <f>4541.138727+0.225904*B568</f>
        <v/>
      </c>
      <c r="E568" s="42">
        <f>C568-D568</f>
        <v/>
      </c>
      <c r="F568" s="42">
        <f>(E568-F757)^2</f>
        <v/>
      </c>
      <c r="G568" s="41">
        <f>(E568-F757)^3</f>
        <v/>
      </c>
      <c r="H568" s="41">
        <f>(E568-F757)^4</f>
        <v/>
      </c>
      <c r="I568" s="40" t="n"/>
    </row>
    <row r="569" ht="15" customHeight="1" s="28">
      <c r="A569" s="37" t="n">
        <v>557</v>
      </c>
      <c r="B569" s="37" t="n">
        <v>556</v>
      </c>
      <c r="C569" s="38" t="n">
        <v>4690.95</v>
      </c>
      <c r="D569" s="38">
        <f>4541.138727+0.225904*B569</f>
        <v/>
      </c>
      <c r="E569" s="39">
        <f>C569-D569</f>
        <v/>
      </c>
      <c r="F569" s="39">
        <f>(E569-F757)^2</f>
        <v/>
      </c>
      <c r="G569" s="38">
        <f>(E569-F757)^3</f>
        <v/>
      </c>
      <c r="H569" s="38">
        <f>(E569-F757)^4</f>
        <v/>
      </c>
      <c r="I569" s="37" t="n"/>
    </row>
    <row r="570" ht="15" customHeight="1" s="28">
      <c r="A570" s="40" t="n">
        <v>558</v>
      </c>
      <c r="B570" s="40" t="n">
        <v>557</v>
      </c>
      <c r="C570" s="41" t="n">
        <v>4697.18</v>
      </c>
      <c r="D570" s="41">
        <f>4541.138727+0.225904*B570</f>
        <v/>
      </c>
      <c r="E570" s="42">
        <f>C570-D570</f>
        <v/>
      </c>
      <c r="F570" s="42">
        <f>(E570-F757)^2</f>
        <v/>
      </c>
      <c r="G570" s="41">
        <f>(E570-F757)^3</f>
        <v/>
      </c>
      <c r="H570" s="41">
        <f>(E570-F757)^4</f>
        <v/>
      </c>
      <c r="I570" s="40" t="n"/>
    </row>
    <row r="571" ht="15" customHeight="1" s="28">
      <c r="A571" s="37" t="n">
        <v>559</v>
      </c>
      <c r="B571" s="37" t="n">
        <v>558</v>
      </c>
      <c r="C571" s="38" t="n">
        <v>4695.42</v>
      </c>
      <c r="D571" s="38">
        <f>4541.138727+0.225904*B571</f>
        <v/>
      </c>
      <c r="E571" s="39">
        <f>C571-D571</f>
        <v/>
      </c>
      <c r="F571" s="39">
        <f>(E571-F757)^2</f>
        <v/>
      </c>
      <c r="G571" s="38">
        <f>(E571-F757)^3</f>
        <v/>
      </c>
      <c r="H571" s="38">
        <f>(E571-F757)^4</f>
        <v/>
      </c>
      <c r="I571" s="37" t="n"/>
    </row>
    <row r="572" ht="15" customHeight="1" s="28">
      <c r="A572" s="40" t="n">
        <v>560</v>
      </c>
      <c r="B572" s="40" t="n">
        <v>559</v>
      </c>
      <c r="C572" s="41" t="n">
        <v>4698.63</v>
      </c>
      <c r="D572" s="41">
        <f>4541.138727+0.225904*B572</f>
        <v/>
      </c>
      <c r="E572" s="42">
        <f>C572-D572</f>
        <v/>
      </c>
      <c r="F572" s="42">
        <f>(E572-F757)^2</f>
        <v/>
      </c>
      <c r="G572" s="41">
        <f>(E572-F757)^3</f>
        <v/>
      </c>
      <c r="H572" s="41">
        <f>(E572-F757)^4</f>
        <v/>
      </c>
      <c r="I572" s="40" t="n"/>
    </row>
    <row r="573" ht="15" customHeight="1" s="28">
      <c r="A573" s="37" t="n">
        <v>561</v>
      </c>
      <c r="B573" s="37" t="n">
        <v>560</v>
      </c>
      <c r="C573" s="38" t="n">
        <v>4694.94</v>
      </c>
      <c r="D573" s="38">
        <f>4541.138727+0.225904*B573</f>
        <v/>
      </c>
      <c r="E573" s="39">
        <f>C573-D573</f>
        <v/>
      </c>
      <c r="F573" s="39">
        <f>(E573-F757)^2</f>
        <v/>
      </c>
      <c r="G573" s="38">
        <f>(E573-F757)^3</f>
        <v/>
      </c>
      <c r="H573" s="38">
        <f>(E573-F757)^4</f>
        <v/>
      </c>
      <c r="I573" s="37" t="n"/>
    </row>
    <row r="574" ht="15" customHeight="1" s="28">
      <c r="A574" s="40" t="n">
        <v>562</v>
      </c>
      <c r="B574" s="40" t="n">
        <v>561</v>
      </c>
      <c r="C574" s="41" t="n">
        <v>4694.41</v>
      </c>
      <c r="D574" s="41">
        <f>4541.138727+0.225904*B574</f>
        <v/>
      </c>
      <c r="E574" s="42">
        <f>C574-D574</f>
        <v/>
      </c>
      <c r="F574" s="42">
        <f>(E574-F757)^2</f>
        <v/>
      </c>
      <c r="G574" s="41">
        <f>(E574-F757)^3</f>
        <v/>
      </c>
      <c r="H574" s="41">
        <f>(E574-F757)^4</f>
        <v/>
      </c>
      <c r="I574" s="40" t="n"/>
    </row>
    <row r="575" ht="15" customHeight="1" s="28">
      <c r="A575" s="37" t="n">
        <v>563</v>
      </c>
      <c r="B575" s="37" t="n">
        <v>562</v>
      </c>
      <c r="C575" s="38" t="n">
        <v>4693.6</v>
      </c>
      <c r="D575" s="38">
        <f>4541.138727+0.225904*B575</f>
        <v/>
      </c>
      <c r="E575" s="39">
        <f>C575-D575</f>
        <v/>
      </c>
      <c r="F575" s="39">
        <f>(E575-F757)^2</f>
        <v/>
      </c>
      <c r="G575" s="38">
        <f>(E575-F757)^3</f>
        <v/>
      </c>
      <c r="H575" s="38">
        <f>(E575-F757)^4</f>
        <v/>
      </c>
      <c r="I575" s="37" t="n"/>
    </row>
    <row r="576" ht="15" customHeight="1" s="28">
      <c r="A576" s="40" t="n">
        <v>564</v>
      </c>
      <c r="B576" s="40" t="n">
        <v>563</v>
      </c>
      <c r="C576" s="41" t="n">
        <v>4693.6</v>
      </c>
      <c r="D576" s="41">
        <f>4541.138727+0.225904*B576</f>
        <v/>
      </c>
      <c r="E576" s="42">
        <f>C576-D576</f>
        <v/>
      </c>
      <c r="F576" s="42">
        <f>(E576-F757)^2</f>
        <v/>
      </c>
      <c r="G576" s="41">
        <f>(E576-F757)^3</f>
        <v/>
      </c>
      <c r="H576" s="41">
        <f>(E576-F757)^4</f>
        <v/>
      </c>
      <c r="I576" s="40" t="n"/>
    </row>
    <row r="577" ht="15" customHeight="1" s="28">
      <c r="A577" s="37" t="n">
        <v>565</v>
      </c>
      <c r="B577" s="37" t="n">
        <v>564</v>
      </c>
      <c r="C577" s="38" t="n">
        <v>4699</v>
      </c>
      <c r="D577" s="38">
        <f>4541.138727+0.225904*B577</f>
        <v/>
      </c>
      <c r="E577" s="39">
        <f>C577-D577</f>
        <v/>
      </c>
      <c r="F577" s="39">
        <f>(E577-F757)^2</f>
        <v/>
      </c>
      <c r="G577" s="38">
        <f>(E577-F757)^3</f>
        <v/>
      </c>
      <c r="H577" s="38">
        <f>(E577-F757)^4</f>
        <v/>
      </c>
      <c r="I577" s="37" t="n"/>
    </row>
    <row r="578" ht="15" customHeight="1" s="28">
      <c r="A578" s="40" t="n">
        <v>566</v>
      </c>
      <c r="B578" s="40" t="n">
        <v>565</v>
      </c>
      <c r="C578" s="41" t="n">
        <v>4699.88</v>
      </c>
      <c r="D578" s="41">
        <f>4541.138727+0.225904*B578</f>
        <v/>
      </c>
      <c r="E578" s="42">
        <f>C578-D578</f>
        <v/>
      </c>
      <c r="F578" s="42">
        <f>(E578-F757)^2</f>
        <v/>
      </c>
      <c r="G578" s="41">
        <f>(E578-F757)^3</f>
        <v/>
      </c>
      <c r="H578" s="41">
        <f>(E578-F757)^4</f>
        <v/>
      </c>
      <c r="I578" s="40" t="n"/>
    </row>
    <row r="579" ht="15" customHeight="1" s="28">
      <c r="A579" s="37" t="n">
        <v>567</v>
      </c>
      <c r="B579" s="37" t="n">
        <v>566</v>
      </c>
      <c r="C579" s="38" t="n">
        <v>4692.51</v>
      </c>
      <c r="D579" s="38">
        <f>4541.138727+0.225904*B579</f>
        <v/>
      </c>
      <c r="E579" s="39">
        <f>C579-D579</f>
        <v/>
      </c>
      <c r="F579" s="39">
        <f>(E579-F757)^2</f>
        <v/>
      </c>
      <c r="G579" s="38">
        <f>(E579-F757)^3</f>
        <v/>
      </c>
      <c r="H579" s="38">
        <f>(E579-F757)^4</f>
        <v/>
      </c>
      <c r="I579" s="37" t="n"/>
    </row>
    <row r="580" ht="15" customHeight="1" s="28">
      <c r="A580" s="40" t="n">
        <v>568</v>
      </c>
      <c r="B580" s="40" t="n">
        <v>567</v>
      </c>
      <c r="C580" s="41" t="n">
        <v>4688.45</v>
      </c>
      <c r="D580" s="41">
        <f>4541.138727+0.225904*B580</f>
        <v/>
      </c>
      <c r="E580" s="42">
        <f>C580-D580</f>
        <v/>
      </c>
      <c r="F580" s="42">
        <f>(E580-F757)^2</f>
        <v/>
      </c>
      <c r="G580" s="41">
        <f>(E580-F757)^3</f>
        <v/>
      </c>
      <c r="H580" s="41">
        <f>(E580-F757)^4</f>
        <v/>
      </c>
      <c r="I580" s="40" t="n"/>
    </row>
    <row r="581" ht="15" customHeight="1" s="28">
      <c r="A581" s="37" t="n">
        <v>569</v>
      </c>
      <c r="B581" s="37" t="n">
        <v>568</v>
      </c>
      <c r="C581" s="38" t="n">
        <v>4688.57</v>
      </c>
      <c r="D581" s="38">
        <f>4541.138727+0.225904*B581</f>
        <v/>
      </c>
      <c r="E581" s="39">
        <f>C581-D581</f>
        <v/>
      </c>
      <c r="F581" s="39">
        <f>(E581-F757)^2</f>
        <v/>
      </c>
      <c r="G581" s="38">
        <f>(E581-F757)^3</f>
        <v/>
      </c>
      <c r="H581" s="38">
        <f>(E581-F757)^4</f>
        <v/>
      </c>
      <c r="I581" s="37" t="n"/>
    </row>
    <row r="582" ht="15" customHeight="1" s="28">
      <c r="A582" s="40" t="n">
        <v>570</v>
      </c>
      <c r="B582" s="40" t="n">
        <v>569</v>
      </c>
      <c r="C582" s="41" t="n">
        <v>4709.88</v>
      </c>
      <c r="D582" s="41">
        <f>4541.138727+0.225904*B582</f>
        <v/>
      </c>
      <c r="E582" s="42">
        <f>C582-D582</f>
        <v/>
      </c>
      <c r="F582" s="42">
        <f>(E582-F757)^2</f>
        <v/>
      </c>
      <c r="G582" s="41">
        <f>(E582-F757)^3</f>
        <v/>
      </c>
      <c r="H582" s="41">
        <f>(E582-F757)^4</f>
        <v/>
      </c>
      <c r="I582" s="40" t="n"/>
    </row>
    <row r="583" ht="15" customHeight="1" s="28">
      <c r="A583" s="37" t="n">
        <v>571</v>
      </c>
      <c r="B583" s="37" t="n">
        <v>570</v>
      </c>
      <c r="C583" s="38" t="n">
        <v>4704.22</v>
      </c>
      <c r="D583" s="38">
        <f>4541.138727+0.225904*B583</f>
        <v/>
      </c>
      <c r="E583" s="39">
        <f>C583-D583</f>
        <v/>
      </c>
      <c r="F583" s="39">
        <f>(E583-F757)^2</f>
        <v/>
      </c>
      <c r="G583" s="38">
        <f>(E583-F757)^3</f>
        <v/>
      </c>
      <c r="H583" s="38">
        <f>(E583-F757)^4</f>
        <v/>
      </c>
      <c r="I583" s="37" t="n"/>
    </row>
    <row r="584" ht="15" customHeight="1" s="28">
      <c r="A584" s="40" t="n">
        <v>572</v>
      </c>
      <c r="B584" s="40" t="n">
        <v>571</v>
      </c>
      <c r="C584" s="41" t="n">
        <v>4712.93</v>
      </c>
      <c r="D584" s="41">
        <f>4541.138727+0.225904*B584</f>
        <v/>
      </c>
      <c r="E584" s="42">
        <f>C584-D584</f>
        <v/>
      </c>
      <c r="F584" s="42">
        <f>(E584-F757)^2</f>
        <v/>
      </c>
      <c r="G584" s="41">
        <f>(E584-F757)^3</f>
        <v/>
      </c>
      <c r="H584" s="41">
        <f>(E584-F757)^4</f>
        <v/>
      </c>
      <c r="I584" s="40" t="n"/>
    </row>
    <row r="585" ht="15" customHeight="1" s="28">
      <c r="A585" s="37" t="n">
        <v>573</v>
      </c>
      <c r="B585" s="37" t="n">
        <v>572</v>
      </c>
      <c r="C585" s="38" t="n">
        <v>4714.86</v>
      </c>
      <c r="D585" s="38">
        <f>4541.138727+0.225904*B585</f>
        <v/>
      </c>
      <c r="E585" s="39">
        <f>C585-D585</f>
        <v/>
      </c>
      <c r="F585" s="39">
        <f>(E585-F757)^2</f>
        <v/>
      </c>
      <c r="G585" s="38">
        <f>(E585-F757)^3</f>
        <v/>
      </c>
      <c r="H585" s="38">
        <f>(E585-F757)^4</f>
        <v/>
      </c>
      <c r="I585" s="37" t="n"/>
    </row>
    <row r="586" ht="15" customHeight="1" s="28">
      <c r="A586" s="40" t="n">
        <v>574</v>
      </c>
      <c r="B586" s="40" t="n">
        <v>573</v>
      </c>
      <c r="C586" s="41" t="n">
        <v>4704.21</v>
      </c>
      <c r="D586" s="41">
        <f>4541.138727+0.225904*B586</f>
        <v/>
      </c>
      <c r="E586" s="42">
        <f>C586-D586</f>
        <v/>
      </c>
      <c r="F586" s="42">
        <f>(E586-F757)^2</f>
        <v/>
      </c>
      <c r="G586" s="41">
        <f>(E586-F757)^3</f>
        <v/>
      </c>
      <c r="H586" s="41">
        <f>(E586-F757)^4</f>
        <v/>
      </c>
      <c r="I586" s="40" t="n"/>
    </row>
    <row r="587" ht="15" customHeight="1" s="28">
      <c r="A587" s="37" t="n">
        <v>575</v>
      </c>
      <c r="B587" s="37" t="n">
        <v>574</v>
      </c>
      <c r="C587" s="38" t="n">
        <v>4702.84</v>
      </c>
      <c r="D587" s="38">
        <f>4541.138727+0.225904*B587</f>
        <v/>
      </c>
      <c r="E587" s="39">
        <f>C587-D587</f>
        <v/>
      </c>
      <c r="F587" s="39">
        <f>(E587-F757)^2</f>
        <v/>
      </c>
      <c r="G587" s="38">
        <f>(E587-F757)^3</f>
        <v/>
      </c>
      <c r="H587" s="38">
        <f>(E587-F757)^4</f>
        <v/>
      </c>
      <c r="I587" s="37" t="n"/>
    </row>
    <row r="588" ht="15" customHeight="1" s="28">
      <c r="A588" s="40" t="n">
        <v>576</v>
      </c>
      <c r="B588" s="40" t="n">
        <v>575</v>
      </c>
      <c r="C588" s="41" t="n">
        <v>4704.24</v>
      </c>
      <c r="D588" s="41">
        <f>4541.138727+0.225904*B588</f>
        <v/>
      </c>
      <c r="E588" s="42">
        <f>C588-D588</f>
        <v/>
      </c>
      <c r="F588" s="42">
        <f>(E588-F757)^2</f>
        <v/>
      </c>
      <c r="G588" s="41">
        <f>(E588-F757)^3</f>
        <v/>
      </c>
      <c r="H588" s="41">
        <f>(E588-F757)^4</f>
        <v/>
      </c>
      <c r="I588" s="40" t="n"/>
    </row>
    <row r="589" ht="15" customHeight="1" s="28">
      <c r="A589" s="37" t="n">
        <v>577</v>
      </c>
      <c r="B589" s="37" t="n">
        <v>576</v>
      </c>
      <c r="C589" s="38" t="n">
        <v>4707.22</v>
      </c>
      <c r="D589" s="38">
        <f>4541.138727+0.225904*B589</f>
        <v/>
      </c>
      <c r="E589" s="39">
        <f>C589-D589</f>
        <v/>
      </c>
      <c r="F589" s="39">
        <f>(E589-F757)^2</f>
        <v/>
      </c>
      <c r="G589" s="38">
        <f>(E589-F757)^3</f>
        <v/>
      </c>
      <c r="H589" s="38">
        <f>(E589-F757)^4</f>
        <v/>
      </c>
      <c r="I589" s="37" t="n"/>
    </row>
    <row r="590" ht="15" customHeight="1" s="28">
      <c r="A590" s="40" t="n">
        <v>578</v>
      </c>
      <c r="B590" s="40" t="n">
        <v>577</v>
      </c>
      <c r="C590" s="41" t="n">
        <v>4705.93</v>
      </c>
      <c r="D590" s="41">
        <f>4541.138727+0.225904*B590</f>
        <v/>
      </c>
      <c r="E590" s="42">
        <f>C590-D590</f>
        <v/>
      </c>
      <c r="F590" s="42">
        <f>(E590-F757)^2</f>
        <v/>
      </c>
      <c r="G590" s="41">
        <f>(E590-F757)^3</f>
        <v/>
      </c>
      <c r="H590" s="41">
        <f>(E590-F757)^4</f>
        <v/>
      </c>
      <c r="I590" s="40" t="n"/>
    </row>
    <row r="591" ht="15" customHeight="1" s="28">
      <c r="A591" s="37" t="n">
        <v>579</v>
      </c>
      <c r="B591" s="37" t="n">
        <v>578</v>
      </c>
      <c r="C591" s="38" t="n">
        <v>4704.6</v>
      </c>
      <c r="D591" s="38">
        <f>4541.138727+0.225904*B591</f>
        <v/>
      </c>
      <c r="E591" s="39">
        <f>C591-D591</f>
        <v/>
      </c>
      <c r="F591" s="39">
        <f>(E591-F757)^2</f>
        <v/>
      </c>
      <c r="G591" s="38">
        <f>(E591-F757)^3</f>
        <v/>
      </c>
      <c r="H591" s="38">
        <f>(E591-F757)^4</f>
        <v/>
      </c>
      <c r="I591" s="37" t="n"/>
    </row>
    <row r="592" ht="15" customHeight="1" s="28">
      <c r="A592" s="40" t="n">
        <v>580</v>
      </c>
      <c r="B592" s="40" t="n">
        <v>579</v>
      </c>
      <c r="C592" s="41" t="n">
        <v>4703.96</v>
      </c>
      <c r="D592" s="41">
        <f>4541.138727+0.225904*B592</f>
        <v/>
      </c>
      <c r="E592" s="42">
        <f>C592-D592</f>
        <v/>
      </c>
      <c r="F592" s="42">
        <f>(E592-F757)^2</f>
        <v/>
      </c>
      <c r="G592" s="41">
        <f>(E592-F757)^3</f>
        <v/>
      </c>
      <c r="H592" s="41">
        <f>(E592-F757)^4</f>
        <v/>
      </c>
      <c r="I592" s="40" t="n"/>
    </row>
    <row r="593" ht="15" customHeight="1" s="28">
      <c r="A593" s="37" t="n">
        <v>581</v>
      </c>
      <c r="B593" s="37" t="n">
        <v>580</v>
      </c>
      <c r="C593" s="38" t="n">
        <v>4699.11</v>
      </c>
      <c r="D593" s="38">
        <f>4541.138727+0.225904*B593</f>
        <v/>
      </c>
      <c r="E593" s="39">
        <f>C593-D593</f>
        <v/>
      </c>
      <c r="F593" s="39">
        <f>(E593-F757)^2</f>
        <v/>
      </c>
      <c r="G593" s="38">
        <f>(E593-F757)^3</f>
        <v/>
      </c>
      <c r="H593" s="38">
        <f>(E593-F757)^4</f>
        <v/>
      </c>
      <c r="I593" s="37" t="n"/>
    </row>
    <row r="594" ht="15" customHeight="1" s="28">
      <c r="A594" s="40" t="n">
        <v>582</v>
      </c>
      <c r="B594" s="40" t="n">
        <v>581</v>
      </c>
      <c r="C594" s="41" t="n">
        <v>4696.87</v>
      </c>
      <c r="D594" s="41">
        <f>4541.138727+0.225904*B594</f>
        <v/>
      </c>
      <c r="E594" s="42">
        <f>C594-D594</f>
        <v/>
      </c>
      <c r="F594" s="42">
        <f>(E594-F757)^2</f>
        <v/>
      </c>
      <c r="G594" s="41">
        <f>(E594-F757)^3</f>
        <v/>
      </c>
      <c r="H594" s="41">
        <f>(E594-F757)^4</f>
        <v/>
      </c>
      <c r="I594" s="40" t="n"/>
    </row>
    <row r="595" ht="15" customHeight="1" s="28">
      <c r="A595" s="37" t="n">
        <v>583</v>
      </c>
      <c r="B595" s="37" t="n">
        <v>582</v>
      </c>
      <c r="C595" s="38" t="n">
        <v>4696.79</v>
      </c>
      <c r="D595" s="38">
        <f>4541.138727+0.225904*B595</f>
        <v/>
      </c>
      <c r="E595" s="39">
        <f>C595-D595</f>
        <v/>
      </c>
      <c r="F595" s="39">
        <f>(E595-F757)^2</f>
        <v/>
      </c>
      <c r="G595" s="38">
        <f>(E595-F757)^3</f>
        <v/>
      </c>
      <c r="H595" s="38">
        <f>(E595-F757)^4</f>
        <v/>
      </c>
      <c r="I595" s="37" t="n"/>
    </row>
    <row r="596" ht="15" customHeight="1" s="28">
      <c r="A596" s="40" t="n">
        <v>584</v>
      </c>
      <c r="B596" s="40" t="n">
        <v>583</v>
      </c>
      <c r="C596" s="41" t="n">
        <v>4698.15</v>
      </c>
      <c r="D596" s="41">
        <f>4541.138727+0.225904*B596</f>
        <v/>
      </c>
      <c r="E596" s="42">
        <f>C596-D596</f>
        <v/>
      </c>
      <c r="F596" s="42">
        <f>(E596-F757)^2</f>
        <v/>
      </c>
      <c r="G596" s="41">
        <f>(E596-F757)^3</f>
        <v/>
      </c>
      <c r="H596" s="41">
        <f>(E596-F757)^4</f>
        <v/>
      </c>
      <c r="I596" s="40" t="n"/>
    </row>
    <row r="597" ht="15" customHeight="1" s="28">
      <c r="A597" s="37" t="n">
        <v>585</v>
      </c>
      <c r="B597" s="37" t="n">
        <v>584</v>
      </c>
      <c r="C597" s="38" t="n">
        <v>4696.48</v>
      </c>
      <c r="D597" s="38">
        <f>4541.138727+0.225904*B597</f>
        <v/>
      </c>
      <c r="E597" s="39">
        <f>C597-D597</f>
        <v/>
      </c>
      <c r="F597" s="39">
        <f>(E597-F757)^2</f>
        <v/>
      </c>
      <c r="G597" s="38">
        <f>(E597-F757)^3</f>
        <v/>
      </c>
      <c r="H597" s="38">
        <f>(E597-F757)^4</f>
        <v/>
      </c>
      <c r="I597" s="37" t="n"/>
    </row>
    <row r="598" ht="15" customHeight="1" s="28">
      <c r="A598" s="40" t="n">
        <v>586</v>
      </c>
      <c r="B598" s="40" t="n">
        <v>585</v>
      </c>
      <c r="C598" s="41" t="n">
        <v>4700.45</v>
      </c>
      <c r="D598" s="41">
        <f>4541.138727+0.225904*B598</f>
        <v/>
      </c>
      <c r="E598" s="42">
        <f>C598-D598</f>
        <v/>
      </c>
      <c r="F598" s="42">
        <f>(E598-F757)^2</f>
        <v/>
      </c>
      <c r="G598" s="41">
        <f>(E598-F757)^3</f>
        <v/>
      </c>
      <c r="H598" s="41">
        <f>(E598-F757)^4</f>
        <v/>
      </c>
      <c r="I598" s="40" t="n"/>
    </row>
    <row r="599" ht="15" customHeight="1" s="28">
      <c r="A599" s="37" t="n">
        <v>587</v>
      </c>
      <c r="B599" s="37" t="n">
        <v>586</v>
      </c>
      <c r="C599" s="38" t="n">
        <v>4696.05</v>
      </c>
      <c r="D599" s="38">
        <f>4541.138727+0.225904*B599</f>
        <v/>
      </c>
      <c r="E599" s="39">
        <f>C599-D599</f>
        <v/>
      </c>
      <c r="F599" s="39">
        <f>(E599-F757)^2</f>
        <v/>
      </c>
      <c r="G599" s="38">
        <f>(E599-F757)^3</f>
        <v/>
      </c>
      <c r="H599" s="38">
        <f>(E599-F757)^4</f>
        <v/>
      </c>
      <c r="I599" s="37" t="n"/>
    </row>
    <row r="600" ht="15" customHeight="1" s="28">
      <c r="A600" s="40" t="n">
        <v>588</v>
      </c>
      <c r="B600" s="40" t="n">
        <v>587</v>
      </c>
      <c r="C600" s="41" t="n">
        <v>4703.63</v>
      </c>
      <c r="D600" s="41">
        <f>4541.138727+0.225904*B600</f>
        <v/>
      </c>
      <c r="E600" s="42">
        <f>C600-D600</f>
        <v/>
      </c>
      <c r="F600" s="42">
        <f>(E600-F757)^2</f>
        <v/>
      </c>
      <c r="G600" s="41">
        <f>(E600-F757)^3</f>
        <v/>
      </c>
      <c r="H600" s="41">
        <f>(E600-F757)^4</f>
        <v/>
      </c>
      <c r="I600" s="40" t="n"/>
    </row>
    <row r="601" ht="15" customHeight="1" s="28">
      <c r="A601" s="37" t="n">
        <v>589</v>
      </c>
      <c r="B601" s="37" t="n">
        <v>588</v>
      </c>
      <c r="C601" s="38" t="n">
        <v>4701.22</v>
      </c>
      <c r="D601" s="38">
        <f>4541.138727+0.225904*B601</f>
        <v/>
      </c>
      <c r="E601" s="39">
        <f>C601-D601</f>
        <v/>
      </c>
      <c r="F601" s="39">
        <f>(E601-F757)^2</f>
        <v/>
      </c>
      <c r="G601" s="38">
        <f>(E601-F757)^3</f>
        <v/>
      </c>
      <c r="H601" s="38">
        <f>(E601-F757)^4</f>
        <v/>
      </c>
      <c r="I601" s="37" t="n"/>
    </row>
    <row r="602" ht="15" customHeight="1" s="28">
      <c r="A602" s="40" t="n">
        <v>590</v>
      </c>
      <c r="B602" s="40" t="n">
        <v>589</v>
      </c>
      <c r="C602" s="41" t="n">
        <v>4708.23</v>
      </c>
      <c r="D602" s="41">
        <f>4541.138727+0.225904*B602</f>
        <v/>
      </c>
      <c r="E602" s="42">
        <f>C602-D602</f>
        <v/>
      </c>
      <c r="F602" s="42">
        <f>(E602-F757)^2</f>
        <v/>
      </c>
      <c r="G602" s="41">
        <f>(E602-F757)^3</f>
        <v/>
      </c>
      <c r="H602" s="41">
        <f>(E602-F757)^4</f>
        <v/>
      </c>
      <c r="I602" s="40" t="n"/>
    </row>
    <row r="603" ht="15" customHeight="1" s="28">
      <c r="A603" s="37" t="n">
        <v>591</v>
      </c>
      <c r="B603" s="37" t="n">
        <v>590</v>
      </c>
      <c r="C603" s="38" t="n">
        <v>4717.42</v>
      </c>
      <c r="D603" s="38">
        <f>4541.138727+0.225904*B603</f>
        <v/>
      </c>
      <c r="E603" s="39">
        <f>C603-D603</f>
        <v/>
      </c>
      <c r="F603" s="39">
        <f>(E603-F757)^2</f>
        <v/>
      </c>
      <c r="G603" s="38">
        <f>(E603-F757)^3</f>
        <v/>
      </c>
      <c r="H603" s="38">
        <f>(E603-F757)^4</f>
        <v/>
      </c>
      <c r="I603" s="37" t="n"/>
    </row>
    <row r="604" ht="15" customHeight="1" s="28">
      <c r="A604" s="40" t="n">
        <v>592</v>
      </c>
      <c r="B604" s="40" t="n">
        <v>591</v>
      </c>
      <c r="C604" s="41" t="n">
        <v>4746.02</v>
      </c>
      <c r="D604" s="41">
        <f>4541.138727+0.225904*B604</f>
        <v/>
      </c>
      <c r="E604" s="42">
        <f>C604-D604</f>
        <v/>
      </c>
      <c r="F604" s="42">
        <f>(E604-F757)^2</f>
        <v/>
      </c>
      <c r="G604" s="41">
        <f>(E604-F757)^3</f>
        <v/>
      </c>
      <c r="H604" s="41">
        <f>(E604-F757)^4</f>
        <v/>
      </c>
      <c r="I604" s="40" t="n"/>
    </row>
    <row r="605" ht="15" customHeight="1" s="28">
      <c r="A605" s="37" t="n">
        <v>593</v>
      </c>
      <c r="B605" s="37" t="n">
        <v>592</v>
      </c>
      <c r="C605" s="38" t="n">
        <v>4739.12</v>
      </c>
      <c r="D605" s="38">
        <f>4541.138727+0.225904*B605</f>
        <v/>
      </c>
      <c r="E605" s="39">
        <f>C605-D605</f>
        <v/>
      </c>
      <c r="F605" s="39">
        <f>(E605-F757)^2</f>
        <v/>
      </c>
      <c r="G605" s="38">
        <f>(E605-F757)^3</f>
        <v/>
      </c>
      <c r="H605" s="38">
        <f>(E605-F757)^4</f>
        <v/>
      </c>
      <c r="I605" s="37" t="n"/>
    </row>
    <row r="606" ht="15" customHeight="1" s="28">
      <c r="A606" s="40" t="n">
        <v>594</v>
      </c>
      <c r="B606" s="40" t="n">
        <v>593</v>
      </c>
      <c r="C606" s="41" t="n">
        <v>4749.05</v>
      </c>
      <c r="D606" s="41">
        <f>4541.138727+0.225904*B606</f>
        <v/>
      </c>
      <c r="E606" s="42">
        <f>C606-D606</f>
        <v/>
      </c>
      <c r="F606" s="42">
        <f>(E606-F757)^2</f>
        <v/>
      </c>
      <c r="G606" s="41">
        <f>(E606-F757)^3</f>
        <v/>
      </c>
      <c r="H606" s="41">
        <f>(E606-F757)^4</f>
        <v/>
      </c>
      <c r="I606" s="40" t="n"/>
    </row>
    <row r="607" ht="15" customHeight="1" s="28">
      <c r="A607" s="37" t="n">
        <v>595</v>
      </c>
      <c r="B607" s="37" t="n">
        <v>594</v>
      </c>
      <c r="C607" s="38" t="n">
        <v>4739.5</v>
      </c>
      <c r="D607" s="38">
        <f>4541.138727+0.225904*B607</f>
        <v/>
      </c>
      <c r="E607" s="39">
        <f>C607-D607</f>
        <v/>
      </c>
      <c r="F607" s="39">
        <f>(E607-F757)^2</f>
        <v/>
      </c>
      <c r="G607" s="38">
        <f>(E607-F757)^3</f>
        <v/>
      </c>
      <c r="H607" s="38">
        <f>(E607-F757)^4</f>
        <v/>
      </c>
      <c r="I607" s="37" t="n"/>
    </row>
    <row r="608" ht="15" customHeight="1" s="28">
      <c r="A608" s="40" t="n">
        <v>596</v>
      </c>
      <c r="B608" s="40" t="n">
        <v>595</v>
      </c>
      <c r="C608" s="41" t="n">
        <v>4742.88</v>
      </c>
      <c r="D608" s="41">
        <f>4541.138727+0.225904*B608</f>
        <v/>
      </c>
      <c r="E608" s="42">
        <f>C608-D608</f>
        <v/>
      </c>
      <c r="F608" s="42">
        <f>(E608-F757)^2</f>
        <v/>
      </c>
      <c r="G608" s="41">
        <f>(E608-F757)^3</f>
        <v/>
      </c>
      <c r="H608" s="41">
        <f>(E608-F757)^4</f>
        <v/>
      </c>
      <c r="I608" s="40" t="n"/>
    </row>
    <row r="609" ht="15" customHeight="1" s="28">
      <c r="A609" s="37" t="n">
        <v>597</v>
      </c>
      <c r="B609" s="37" t="n">
        <v>596</v>
      </c>
      <c r="C609" s="38" t="n">
        <v>4743.06</v>
      </c>
      <c r="D609" s="38">
        <f>4541.138727+0.225904*B609</f>
        <v/>
      </c>
      <c r="E609" s="39">
        <f>C609-D609</f>
        <v/>
      </c>
      <c r="F609" s="39">
        <f>(E609-F757)^2</f>
        <v/>
      </c>
      <c r="G609" s="38">
        <f>(E609-F757)^3</f>
        <v/>
      </c>
      <c r="H609" s="38">
        <f>(E609-F757)^4</f>
        <v/>
      </c>
      <c r="I609" s="37" t="n"/>
    </row>
    <row r="610" ht="15" customHeight="1" s="28">
      <c r="A610" s="40" t="n">
        <v>598</v>
      </c>
      <c r="B610" s="40" t="n">
        <v>597</v>
      </c>
      <c r="C610" s="41" t="n">
        <v>4742.66</v>
      </c>
      <c r="D610" s="41">
        <f>4541.138727+0.225904*B610</f>
        <v/>
      </c>
      <c r="E610" s="42">
        <f>C610-D610</f>
        <v/>
      </c>
      <c r="F610" s="42">
        <f>(E610-F757)^2</f>
        <v/>
      </c>
      <c r="G610" s="41">
        <f>(E610-F757)^3</f>
        <v/>
      </c>
      <c r="H610" s="41">
        <f>(E610-F757)^4</f>
        <v/>
      </c>
      <c r="I610" s="40" t="n"/>
    </row>
    <row r="611" ht="15" customHeight="1" s="28">
      <c r="A611" s="37" t="n">
        <v>599</v>
      </c>
      <c r="B611" s="37" t="n">
        <v>598</v>
      </c>
      <c r="C611" s="38" t="n">
        <v>4739.74</v>
      </c>
      <c r="D611" s="38">
        <f>4541.138727+0.225904*B611</f>
        <v/>
      </c>
      <c r="E611" s="39">
        <f>C611-D611</f>
        <v/>
      </c>
      <c r="F611" s="39">
        <f>(E611-F757)^2</f>
        <v/>
      </c>
      <c r="G611" s="38">
        <f>(E611-F757)^3</f>
        <v/>
      </c>
      <c r="H611" s="38">
        <f>(E611-F757)^4</f>
        <v/>
      </c>
      <c r="I611" s="37" t="n"/>
    </row>
    <row r="612" ht="15" customHeight="1" s="28">
      <c r="A612" s="40" t="n">
        <v>600</v>
      </c>
      <c r="B612" s="40" t="n">
        <v>599</v>
      </c>
      <c r="C612" s="41" t="n">
        <v>4735.34</v>
      </c>
      <c r="D612" s="41">
        <f>4541.138727+0.225904*B612</f>
        <v/>
      </c>
      <c r="E612" s="42">
        <f>C612-D612</f>
        <v/>
      </c>
      <c r="F612" s="42">
        <f>(E612-F757)^2</f>
        <v/>
      </c>
      <c r="G612" s="41">
        <f>(E612-F757)^3</f>
        <v/>
      </c>
      <c r="H612" s="41">
        <f>(E612-F757)^4</f>
        <v/>
      </c>
      <c r="I612" s="40" t="n"/>
    </row>
    <row r="613" ht="15" customHeight="1" s="28">
      <c r="A613" s="37" t="n">
        <v>601</v>
      </c>
      <c r="B613" s="37" t="n">
        <v>600</v>
      </c>
      <c r="C613" s="38" t="n">
        <v>4731.02</v>
      </c>
      <c r="D613" s="38">
        <f>4541.138727+0.225904*B613</f>
        <v/>
      </c>
      <c r="E613" s="39">
        <f>C613-D613</f>
        <v/>
      </c>
      <c r="F613" s="39">
        <f>(E613-F757)^2</f>
        <v/>
      </c>
      <c r="G613" s="38">
        <f>(E613-F757)^3</f>
        <v/>
      </c>
      <c r="H613" s="38">
        <f>(E613-F757)^4</f>
        <v/>
      </c>
      <c r="I613" s="37" t="n"/>
    </row>
    <row r="614" ht="15" customHeight="1" s="28">
      <c r="A614" s="40" t="n">
        <v>602</v>
      </c>
      <c r="B614" s="40" t="n">
        <v>601</v>
      </c>
      <c r="C614" s="41" t="n">
        <v>4734.22</v>
      </c>
      <c r="D614" s="41">
        <f>4541.138727+0.225904*B614</f>
        <v/>
      </c>
      <c r="E614" s="42">
        <f>C614-D614</f>
        <v/>
      </c>
      <c r="F614" s="42">
        <f>(E614-F757)^2</f>
        <v/>
      </c>
      <c r="G614" s="41">
        <f>(E614-F757)^3</f>
        <v/>
      </c>
      <c r="H614" s="41">
        <f>(E614-F757)^4</f>
        <v/>
      </c>
      <c r="I614" s="40" t="n"/>
    </row>
    <row r="615" ht="15" customHeight="1" s="28">
      <c r="A615" s="37" t="n">
        <v>603</v>
      </c>
      <c r="B615" s="37" t="n">
        <v>602</v>
      </c>
      <c r="C615" s="38" t="n">
        <v>4735.64</v>
      </c>
      <c r="D615" s="38">
        <f>4541.138727+0.225904*B615</f>
        <v/>
      </c>
      <c r="E615" s="39">
        <f>C615-D615</f>
        <v/>
      </c>
      <c r="F615" s="39">
        <f>(E615-F757)^2</f>
        <v/>
      </c>
      <c r="G615" s="38">
        <f>(E615-F757)^3</f>
        <v/>
      </c>
      <c r="H615" s="38">
        <f>(E615-F757)^4</f>
        <v/>
      </c>
      <c r="I615" s="37" t="n"/>
    </row>
    <row r="616" ht="15" customHeight="1" s="28">
      <c r="A616" s="40" t="n">
        <v>604</v>
      </c>
      <c r="B616" s="40" t="n">
        <v>603</v>
      </c>
      <c r="C616" s="41" t="n">
        <v>4737.77</v>
      </c>
      <c r="D616" s="41">
        <f>4541.138727+0.225904*B616</f>
        <v/>
      </c>
      <c r="E616" s="42">
        <f>C616-D616</f>
        <v/>
      </c>
      <c r="F616" s="42">
        <f>(E616-F757)^2</f>
        <v/>
      </c>
      <c r="G616" s="41">
        <f>(E616-F757)^3</f>
        <v/>
      </c>
      <c r="H616" s="41">
        <f>(E616-F757)^4</f>
        <v/>
      </c>
      <c r="I616" s="40" t="n"/>
    </row>
    <row r="617" ht="15" customHeight="1" s="28">
      <c r="A617" s="37" t="n">
        <v>605</v>
      </c>
      <c r="B617" s="37" t="n">
        <v>604</v>
      </c>
      <c r="C617" s="38" t="n">
        <v>4729.06</v>
      </c>
      <c r="D617" s="38">
        <f>4541.138727+0.225904*B617</f>
        <v/>
      </c>
      <c r="E617" s="39">
        <f>C617-D617</f>
        <v/>
      </c>
      <c r="F617" s="39">
        <f>(E617-F757)^2</f>
        <v/>
      </c>
      <c r="G617" s="38">
        <f>(E617-F757)^3</f>
        <v/>
      </c>
      <c r="H617" s="38">
        <f>(E617-F757)^4</f>
        <v/>
      </c>
      <c r="I617" s="37" t="n"/>
    </row>
    <row r="618" ht="15" customHeight="1" s="28">
      <c r="A618" s="40" t="n">
        <v>606</v>
      </c>
      <c r="B618" s="40" t="n">
        <v>605</v>
      </c>
      <c r="C618" s="41" t="n">
        <v>4734.98</v>
      </c>
      <c r="D618" s="41">
        <f>4541.138727+0.225904*B618</f>
        <v/>
      </c>
      <c r="E618" s="42">
        <f>C618-D618</f>
        <v/>
      </c>
      <c r="F618" s="42">
        <f>(E618-F757)^2</f>
        <v/>
      </c>
      <c r="G618" s="41">
        <f>(E618-F757)^3</f>
        <v/>
      </c>
      <c r="H618" s="41">
        <f>(E618-F757)^4</f>
        <v/>
      </c>
      <c r="I618" s="40" t="n"/>
    </row>
    <row r="619" ht="15" customHeight="1" s="28">
      <c r="A619" s="37" t="n">
        <v>607</v>
      </c>
      <c r="B619" s="37" t="n">
        <v>606</v>
      </c>
      <c r="C619" s="38" t="n">
        <v>4732.57</v>
      </c>
      <c r="D619" s="38">
        <f>4541.138727+0.225904*B619</f>
        <v/>
      </c>
      <c r="E619" s="39">
        <f>C619-D619</f>
        <v/>
      </c>
      <c r="F619" s="39">
        <f>(E619-F757)^2</f>
        <v/>
      </c>
      <c r="G619" s="38">
        <f>(E619-F757)^3</f>
        <v/>
      </c>
      <c r="H619" s="38">
        <f>(E619-F757)^4</f>
        <v/>
      </c>
      <c r="I619" s="37" t="n"/>
    </row>
    <row r="620" ht="15" customHeight="1" s="28">
      <c r="A620" s="40" t="n">
        <v>608</v>
      </c>
      <c r="B620" s="40" t="n">
        <v>607</v>
      </c>
      <c r="C620" s="41" t="n">
        <v>4739.17</v>
      </c>
      <c r="D620" s="41">
        <f>4541.138727+0.225904*B620</f>
        <v/>
      </c>
      <c r="E620" s="42">
        <f>C620-D620</f>
        <v/>
      </c>
      <c r="F620" s="42">
        <f>(E620-F757)^2</f>
        <v/>
      </c>
      <c r="G620" s="41">
        <f>(E620-F757)^3</f>
        <v/>
      </c>
      <c r="H620" s="41">
        <f>(E620-F757)^4</f>
        <v/>
      </c>
      <c r="I620" s="40" t="n"/>
    </row>
    <row r="621" ht="15" customHeight="1" s="28">
      <c r="A621" s="37" t="n">
        <v>609</v>
      </c>
      <c r="B621" s="37" t="n">
        <v>608</v>
      </c>
      <c r="C621" s="38" t="n">
        <v>4735.69</v>
      </c>
      <c r="D621" s="38">
        <f>4541.138727+0.225904*B621</f>
        <v/>
      </c>
      <c r="E621" s="39">
        <f>C621-D621</f>
        <v/>
      </c>
      <c r="F621" s="39">
        <f>(E621-F757)^2</f>
        <v/>
      </c>
      <c r="G621" s="38">
        <f>(E621-F757)^3</f>
        <v/>
      </c>
      <c r="H621" s="38">
        <f>(E621-F757)^4</f>
        <v/>
      </c>
      <c r="I621" s="37" t="n"/>
    </row>
    <row r="622" ht="15" customHeight="1" s="28">
      <c r="A622" s="40" t="n">
        <v>610</v>
      </c>
      <c r="B622" s="40" t="n">
        <v>609</v>
      </c>
      <c r="C622" s="41" t="n">
        <v>4730.38</v>
      </c>
      <c r="D622" s="41">
        <f>4541.138727+0.225904*B622</f>
        <v/>
      </c>
      <c r="E622" s="42">
        <f>C622-D622</f>
        <v/>
      </c>
      <c r="F622" s="42">
        <f>(E622-F757)^2</f>
        <v/>
      </c>
      <c r="G622" s="41">
        <f>(E622-F757)^3</f>
        <v/>
      </c>
      <c r="H622" s="41">
        <f>(E622-F757)^4</f>
        <v/>
      </c>
      <c r="I622" s="40" t="n"/>
    </row>
    <row r="623" ht="15" customHeight="1" s="28">
      <c r="A623" s="37" t="n">
        <v>611</v>
      </c>
      <c r="B623" s="37" t="n">
        <v>610</v>
      </c>
      <c r="C623" s="38" t="n">
        <v>4732.68</v>
      </c>
      <c r="D623" s="38">
        <f>4541.138727+0.225904*B623</f>
        <v/>
      </c>
      <c r="E623" s="39">
        <f>C623-D623</f>
        <v/>
      </c>
      <c r="F623" s="39">
        <f>(E623-F757)^2</f>
        <v/>
      </c>
      <c r="G623" s="38">
        <f>(E623-F757)^3</f>
        <v/>
      </c>
      <c r="H623" s="38">
        <f>(E623-F757)^4</f>
        <v/>
      </c>
      <c r="I623" s="37" t="n"/>
    </row>
    <row r="624" ht="15" customHeight="1" s="28">
      <c r="A624" s="40" t="n">
        <v>612</v>
      </c>
      <c r="B624" s="40" t="n">
        <v>611</v>
      </c>
      <c r="C624" s="41" t="n">
        <v>4736.98</v>
      </c>
      <c r="D624" s="41">
        <f>4541.138727+0.225904*B624</f>
        <v/>
      </c>
      <c r="E624" s="42">
        <f>C624-D624</f>
        <v/>
      </c>
      <c r="F624" s="42">
        <f>(E624-F757)^2</f>
        <v/>
      </c>
      <c r="G624" s="41">
        <f>(E624-F757)^3</f>
        <v/>
      </c>
      <c r="H624" s="41">
        <f>(E624-F757)^4</f>
        <v/>
      </c>
      <c r="I624" s="40" t="n"/>
    </row>
    <row r="625" ht="15" customHeight="1" s="28">
      <c r="A625" s="37" t="n">
        <v>613</v>
      </c>
      <c r="B625" s="37" t="n">
        <v>612</v>
      </c>
      <c r="C625" s="38" t="n">
        <v>4742.8</v>
      </c>
      <c r="D625" s="38">
        <f>4541.138727+0.225904*B625</f>
        <v/>
      </c>
      <c r="E625" s="39">
        <f>C625-D625</f>
        <v/>
      </c>
      <c r="F625" s="39">
        <f>(E625-F757)^2</f>
        <v/>
      </c>
      <c r="G625" s="38">
        <f>(E625-F757)^3</f>
        <v/>
      </c>
      <c r="H625" s="38">
        <f>(E625-F757)^4</f>
        <v/>
      </c>
      <c r="I625" s="37" t="n"/>
    </row>
    <row r="626" ht="15" customHeight="1" s="28">
      <c r="A626" s="40" t="n">
        <v>614</v>
      </c>
      <c r="B626" s="40" t="n">
        <v>613</v>
      </c>
      <c r="C626" s="41" t="n">
        <v>4744.19</v>
      </c>
      <c r="D626" s="41">
        <f>4541.138727+0.225904*B626</f>
        <v/>
      </c>
      <c r="E626" s="42">
        <f>C626-D626</f>
        <v/>
      </c>
      <c r="F626" s="42">
        <f>(E626-F757)^2</f>
        <v/>
      </c>
      <c r="G626" s="41">
        <f>(E626-F757)^3</f>
        <v/>
      </c>
      <c r="H626" s="41">
        <f>(E626-F757)^4</f>
        <v/>
      </c>
      <c r="I626" s="40" t="n"/>
    </row>
    <row r="627" ht="15" customHeight="1" s="28">
      <c r="A627" s="37" t="n">
        <v>615</v>
      </c>
      <c r="B627" s="37" t="n">
        <v>614</v>
      </c>
      <c r="C627" s="38" t="n">
        <v>4738.16</v>
      </c>
      <c r="D627" s="38">
        <f>4541.138727+0.225904*B627</f>
        <v/>
      </c>
      <c r="E627" s="39">
        <f>C627-D627</f>
        <v/>
      </c>
      <c r="F627" s="39">
        <f>(E627-F757)^2</f>
        <v/>
      </c>
      <c r="G627" s="38">
        <f>(E627-F757)^3</f>
        <v/>
      </c>
      <c r="H627" s="38">
        <f>(E627-F757)^4</f>
        <v/>
      </c>
      <c r="I627" s="37" t="n"/>
    </row>
    <row r="628" ht="15" customHeight="1" s="28">
      <c r="A628" s="40" t="n">
        <v>616</v>
      </c>
      <c r="B628" s="40" t="n">
        <v>615</v>
      </c>
      <c r="C628" s="41" t="n">
        <v>4751.15</v>
      </c>
      <c r="D628" s="41">
        <f>4541.138727+0.225904*B628</f>
        <v/>
      </c>
      <c r="E628" s="42">
        <f>C628-D628</f>
        <v/>
      </c>
      <c r="F628" s="42">
        <f>(E628-F757)^2</f>
        <v/>
      </c>
      <c r="G628" s="41">
        <f>(E628-F757)^3</f>
        <v/>
      </c>
      <c r="H628" s="41">
        <f>(E628-F757)^4</f>
        <v/>
      </c>
      <c r="I628" s="40" t="n"/>
    </row>
    <row r="629" ht="15" customHeight="1" s="28">
      <c r="A629" s="37" t="n">
        <v>617</v>
      </c>
      <c r="B629" s="37" t="n">
        <v>616</v>
      </c>
      <c r="C629" s="38" t="n">
        <v>4749.99</v>
      </c>
      <c r="D629" s="38">
        <f>4541.138727+0.225904*B629</f>
        <v/>
      </c>
      <c r="E629" s="39">
        <f>C629-D629</f>
        <v/>
      </c>
      <c r="F629" s="39">
        <f>(E629-F757)^2</f>
        <v/>
      </c>
      <c r="G629" s="38">
        <f>(E629-F757)^3</f>
        <v/>
      </c>
      <c r="H629" s="38">
        <f>(E629-F757)^4</f>
        <v/>
      </c>
      <c r="I629" s="37" t="n"/>
    </row>
    <row r="630" ht="15" customHeight="1" s="28">
      <c r="A630" s="40" t="n">
        <v>618</v>
      </c>
      <c r="B630" s="40" t="n">
        <v>617</v>
      </c>
      <c r="C630" s="41" t="n">
        <v>4733.46</v>
      </c>
      <c r="D630" s="41">
        <f>4541.138727+0.225904*B630</f>
        <v/>
      </c>
      <c r="E630" s="42">
        <f>C630-D630</f>
        <v/>
      </c>
      <c r="F630" s="42">
        <f>(E630-F757)^2</f>
        <v/>
      </c>
      <c r="G630" s="41">
        <f>(E630-F757)^3</f>
        <v/>
      </c>
      <c r="H630" s="41">
        <f>(E630-F757)^4</f>
        <v/>
      </c>
      <c r="I630" s="40" t="n"/>
    </row>
    <row r="631" ht="15" customHeight="1" s="28">
      <c r="A631" s="37" t="n">
        <v>619</v>
      </c>
      <c r="B631" s="37" t="n">
        <v>618</v>
      </c>
      <c r="C631" s="38" t="n">
        <v>4745.53</v>
      </c>
      <c r="D631" s="38">
        <f>4541.138727+0.225904*B631</f>
        <v/>
      </c>
      <c r="E631" s="39">
        <f>C631-D631</f>
        <v/>
      </c>
      <c r="F631" s="39">
        <f>(E631-F757)^2</f>
        <v/>
      </c>
      <c r="G631" s="38">
        <f>(E631-F757)^3</f>
        <v/>
      </c>
      <c r="H631" s="38">
        <f>(E631-F757)^4</f>
        <v/>
      </c>
      <c r="I631" s="37" t="n"/>
    </row>
    <row r="632" ht="15" customHeight="1" s="28">
      <c r="A632" s="40" t="n">
        <v>620</v>
      </c>
      <c r="B632" s="40" t="n">
        <v>619</v>
      </c>
      <c r="C632" s="41" t="n">
        <v>4748.49</v>
      </c>
      <c r="D632" s="41">
        <f>4541.138727+0.225904*B632</f>
        <v/>
      </c>
      <c r="E632" s="42">
        <f>C632-D632</f>
        <v/>
      </c>
      <c r="F632" s="42">
        <f>(E632-F757)^2</f>
        <v/>
      </c>
      <c r="G632" s="41">
        <f>(E632-F757)^3</f>
        <v/>
      </c>
      <c r="H632" s="41">
        <f>(E632-F757)^4</f>
        <v/>
      </c>
      <c r="I632" s="40" t="n"/>
    </row>
    <row r="633" ht="15" customHeight="1" s="28">
      <c r="A633" s="37" t="n">
        <v>621</v>
      </c>
      <c r="B633" s="37" t="n">
        <v>620</v>
      </c>
      <c r="C633" s="38" t="n">
        <v>4746.18</v>
      </c>
      <c r="D633" s="38">
        <f>4541.138727+0.225904*B633</f>
        <v/>
      </c>
      <c r="E633" s="39">
        <f>C633-D633</f>
        <v/>
      </c>
      <c r="F633" s="39">
        <f>(E633-F757)^2</f>
        <v/>
      </c>
      <c r="G633" s="38">
        <f>(E633-F757)^3</f>
        <v/>
      </c>
      <c r="H633" s="38">
        <f>(E633-F757)^4</f>
        <v/>
      </c>
      <c r="I633" s="37" t="n"/>
    </row>
    <row r="634" ht="15" customHeight="1" s="28">
      <c r="A634" s="40" t="n">
        <v>622</v>
      </c>
      <c r="B634" s="40" t="n">
        <v>621</v>
      </c>
      <c r="C634" s="41" t="n">
        <v>4752.05</v>
      </c>
      <c r="D634" s="41">
        <f>4541.138727+0.225904*B634</f>
        <v/>
      </c>
      <c r="E634" s="42">
        <f>C634-D634</f>
        <v/>
      </c>
      <c r="F634" s="42">
        <f>(E634-F757)^2</f>
        <v/>
      </c>
      <c r="G634" s="41">
        <f>(E634-F757)^3</f>
        <v/>
      </c>
      <c r="H634" s="41">
        <f>(E634-F757)^4</f>
        <v/>
      </c>
      <c r="I634" s="40" t="n"/>
    </row>
    <row r="635" ht="15" customHeight="1" s="28">
      <c r="A635" s="37" t="n">
        <v>623</v>
      </c>
      <c r="B635" s="37" t="n">
        <v>622</v>
      </c>
      <c r="C635" s="38" t="n">
        <v>4756.66</v>
      </c>
      <c r="D635" s="38">
        <f>4541.138727+0.225904*B635</f>
        <v/>
      </c>
      <c r="E635" s="39">
        <f>C635-D635</f>
        <v/>
      </c>
      <c r="F635" s="39">
        <f>(E635-F757)^2</f>
        <v/>
      </c>
      <c r="G635" s="38">
        <f>(E635-F757)^3</f>
        <v/>
      </c>
      <c r="H635" s="38">
        <f>(E635-F757)^4</f>
        <v/>
      </c>
      <c r="I635" s="37" t="n"/>
    </row>
    <row r="636" ht="15" customHeight="1" s="28">
      <c r="A636" s="40" t="n">
        <v>624</v>
      </c>
      <c r="B636" s="40" t="n">
        <v>623</v>
      </c>
      <c r="C636" s="41" t="n">
        <v>4751.91</v>
      </c>
      <c r="D636" s="41">
        <f>4541.138727+0.225904*B636</f>
        <v/>
      </c>
      <c r="E636" s="42">
        <f>C636-D636</f>
        <v/>
      </c>
      <c r="F636" s="42">
        <f>(E636-F757)^2</f>
        <v/>
      </c>
      <c r="G636" s="41">
        <f>(E636-F757)^3</f>
        <v/>
      </c>
      <c r="H636" s="41">
        <f>(E636-F757)^4</f>
        <v/>
      </c>
      <c r="I636" s="40" t="n"/>
    </row>
    <row r="637" ht="15" customHeight="1" s="28">
      <c r="A637" s="37" t="n">
        <v>625</v>
      </c>
      <c r="B637" s="37" t="n">
        <v>624</v>
      </c>
      <c r="C637" s="38" t="n">
        <v>4762.74</v>
      </c>
      <c r="D637" s="38">
        <f>4541.138727+0.225904*B637</f>
        <v/>
      </c>
      <c r="E637" s="39">
        <f>C637-D637</f>
        <v/>
      </c>
      <c r="F637" s="39">
        <f>(E637-F757)^2</f>
        <v/>
      </c>
      <c r="G637" s="38">
        <f>(E637-F757)^3</f>
        <v/>
      </c>
      <c r="H637" s="38">
        <f>(E637-F757)^4</f>
        <v/>
      </c>
      <c r="I637" s="37" t="n"/>
    </row>
    <row r="638" ht="15" customHeight="1" s="28">
      <c r="A638" s="40" t="n">
        <v>626</v>
      </c>
      <c r="B638" s="40" t="n">
        <v>625</v>
      </c>
      <c r="C638" s="41" t="n">
        <v>4754.77</v>
      </c>
      <c r="D638" s="41">
        <f>4541.138727+0.225904*B638</f>
        <v/>
      </c>
      <c r="E638" s="42">
        <f>C638-D638</f>
        <v/>
      </c>
      <c r="F638" s="42">
        <f>(E638-F757)^2</f>
        <v/>
      </c>
      <c r="G638" s="41">
        <f>(E638-F757)^3</f>
        <v/>
      </c>
      <c r="H638" s="41">
        <f>(E638-F757)^4</f>
        <v/>
      </c>
      <c r="I638" s="40" t="n"/>
    </row>
    <row r="639" ht="15" customHeight="1" s="28">
      <c r="A639" s="37" t="n">
        <v>627</v>
      </c>
      <c r="B639" s="37" t="n">
        <v>626</v>
      </c>
      <c r="C639" s="38" t="n">
        <v>4740.18</v>
      </c>
      <c r="D639" s="38">
        <f>4541.138727+0.225904*B639</f>
        <v/>
      </c>
      <c r="E639" s="39">
        <f>C639-D639</f>
        <v/>
      </c>
      <c r="F639" s="39">
        <f>(E639-F757)^2</f>
        <v/>
      </c>
      <c r="G639" s="38">
        <f>(E639-F757)^3</f>
        <v/>
      </c>
      <c r="H639" s="38">
        <f>(E639-F757)^4</f>
        <v/>
      </c>
      <c r="I639" s="37" t="n"/>
    </row>
    <row r="640" ht="15" customHeight="1" s="28">
      <c r="A640" s="40" t="n">
        <v>628</v>
      </c>
      <c r="B640" s="40" t="n">
        <v>627</v>
      </c>
      <c r="C640" s="41" t="n">
        <v>4738.92</v>
      </c>
      <c r="D640" s="41">
        <f>4541.138727+0.225904*B640</f>
        <v/>
      </c>
      <c r="E640" s="42">
        <f>C640-D640</f>
        <v/>
      </c>
      <c r="F640" s="42">
        <f>(E640-F757)^2</f>
        <v/>
      </c>
      <c r="G640" s="41">
        <f>(E640-F757)^3</f>
        <v/>
      </c>
      <c r="H640" s="41">
        <f>(E640-F757)^4</f>
        <v/>
      </c>
      <c r="I640" s="40" t="n"/>
    </row>
    <row r="641" ht="15" customHeight="1" s="28">
      <c r="A641" s="37" t="n">
        <v>629</v>
      </c>
      <c r="B641" s="37" t="n">
        <v>628</v>
      </c>
      <c r="C641" s="38" t="n">
        <v>4729.17</v>
      </c>
      <c r="D641" s="38">
        <f>4541.138727+0.225904*B641</f>
        <v/>
      </c>
      <c r="E641" s="39">
        <f>C641-D641</f>
        <v/>
      </c>
      <c r="F641" s="39">
        <f>(E641-F757)^2</f>
        <v/>
      </c>
      <c r="G641" s="38">
        <f>(E641-F757)^3</f>
        <v/>
      </c>
      <c r="H641" s="38">
        <f>(E641-F757)^4</f>
        <v/>
      </c>
      <c r="I641" s="37" t="n"/>
    </row>
    <row r="642" ht="15" customHeight="1" s="28">
      <c r="A642" s="40" t="n">
        <v>630</v>
      </c>
      <c r="B642" s="40" t="n">
        <v>629</v>
      </c>
      <c r="C642" s="41" t="n">
        <v>4714.99</v>
      </c>
      <c r="D642" s="41">
        <f>4541.138727+0.225904*B642</f>
        <v/>
      </c>
      <c r="E642" s="42">
        <f>C642-D642</f>
        <v/>
      </c>
      <c r="F642" s="42">
        <f>(E642-F757)^2</f>
        <v/>
      </c>
      <c r="G642" s="41">
        <f>(E642-F757)^3</f>
        <v/>
      </c>
      <c r="H642" s="41">
        <f>(E642-F757)^4</f>
        <v/>
      </c>
      <c r="I642" s="40" t="n"/>
    </row>
    <row r="643" ht="15" customHeight="1" s="28">
      <c r="A643" s="37" t="n">
        <v>631</v>
      </c>
      <c r="B643" s="37" t="n">
        <v>630</v>
      </c>
      <c r="C643" s="38" t="n">
        <v>4719.84</v>
      </c>
      <c r="D643" s="38">
        <f>4541.138727+0.225904*B643</f>
        <v/>
      </c>
      <c r="E643" s="39">
        <f>C643-D643</f>
        <v/>
      </c>
      <c r="F643" s="39">
        <f>(E643-F757)^2</f>
        <v/>
      </c>
      <c r="G643" s="38">
        <f>(E643-F757)^3</f>
        <v/>
      </c>
      <c r="H643" s="38">
        <f>(E643-F757)^4</f>
        <v/>
      </c>
      <c r="I643" s="37" t="n"/>
    </row>
    <row r="644" ht="15" customHeight="1" s="28">
      <c r="A644" s="40" t="n">
        <v>632</v>
      </c>
      <c r="B644" s="40" t="n">
        <v>631</v>
      </c>
      <c r="C644" s="41" t="n">
        <v>4711.23</v>
      </c>
      <c r="D644" s="41">
        <f>4541.138727+0.225904*B644</f>
        <v/>
      </c>
      <c r="E644" s="42">
        <f>C644-D644</f>
        <v/>
      </c>
      <c r="F644" s="42">
        <f>(E644-F757)^2</f>
        <v/>
      </c>
      <c r="G644" s="41">
        <f>(E644-F757)^3</f>
        <v/>
      </c>
      <c r="H644" s="41">
        <f>(E644-F757)^4</f>
        <v/>
      </c>
      <c r="I644" s="40" t="n"/>
    </row>
    <row r="645" ht="15" customHeight="1" s="28">
      <c r="A645" s="37" t="n">
        <v>633</v>
      </c>
      <c r="B645" s="37" t="n">
        <v>632</v>
      </c>
      <c r="C645" s="38" t="n">
        <v>4715</v>
      </c>
      <c r="D645" s="38">
        <f>4541.138727+0.225904*B645</f>
        <v/>
      </c>
      <c r="E645" s="39">
        <f>C645-D645</f>
        <v/>
      </c>
      <c r="F645" s="39">
        <f>(E645-F757)^2</f>
        <v/>
      </c>
      <c r="G645" s="38">
        <f>(E645-F757)^3</f>
        <v/>
      </c>
      <c r="H645" s="38">
        <f>(E645-F757)^4</f>
        <v/>
      </c>
      <c r="I645" s="37" t="n"/>
    </row>
    <row r="646" ht="15" customHeight="1" s="28">
      <c r="A646" s="40" t="n">
        <v>634</v>
      </c>
      <c r="B646" s="40" t="n">
        <v>633</v>
      </c>
      <c r="C646" s="41" t="n">
        <v>4714.61</v>
      </c>
      <c r="D646" s="41">
        <f>4541.138727+0.225904*B646</f>
        <v/>
      </c>
      <c r="E646" s="42">
        <f>C646-D646</f>
        <v/>
      </c>
      <c r="F646" s="42">
        <f>(E646-F757)^2</f>
        <v/>
      </c>
      <c r="G646" s="41">
        <f>(E646-F757)^3</f>
        <v/>
      </c>
      <c r="H646" s="41">
        <f>(E646-F757)^4</f>
        <v/>
      </c>
      <c r="I646" s="40" t="n"/>
    </row>
    <row r="647" ht="15" customHeight="1" s="28">
      <c r="A647" s="37" t="n">
        <v>635</v>
      </c>
      <c r="B647" s="37" t="n">
        <v>634</v>
      </c>
      <c r="C647" s="38" t="n">
        <v>4699.29</v>
      </c>
      <c r="D647" s="38">
        <f>4541.138727+0.225904*B647</f>
        <v/>
      </c>
      <c r="E647" s="39">
        <f>C647-D647</f>
        <v/>
      </c>
      <c r="F647" s="39">
        <f>(E647-F757)^2</f>
        <v/>
      </c>
      <c r="G647" s="38">
        <f>(E647-F757)^3</f>
        <v/>
      </c>
      <c r="H647" s="38">
        <f>(E647-F757)^4</f>
        <v/>
      </c>
      <c r="I647" s="37" t="n"/>
    </row>
    <row r="648" ht="15" customHeight="1" s="28">
      <c r="A648" s="40" t="n">
        <v>636</v>
      </c>
      <c r="B648" s="40" t="n">
        <v>635</v>
      </c>
      <c r="C648" s="41" t="n">
        <v>4699.72</v>
      </c>
      <c r="D648" s="41">
        <f>4541.138727+0.225904*B648</f>
        <v/>
      </c>
      <c r="E648" s="42">
        <f>C648-D648</f>
        <v/>
      </c>
      <c r="F648" s="42">
        <f>(E648-F757)^2</f>
        <v/>
      </c>
      <c r="G648" s="41">
        <f>(E648-F757)^3</f>
        <v/>
      </c>
      <c r="H648" s="41">
        <f>(E648-F757)^4</f>
        <v/>
      </c>
      <c r="I648" s="40" t="n"/>
    </row>
    <row r="649" ht="15" customHeight="1" s="28">
      <c r="A649" s="37" t="n">
        <v>637</v>
      </c>
      <c r="B649" s="37" t="n">
        <v>636</v>
      </c>
      <c r="C649" s="38" t="n">
        <v>4711.45</v>
      </c>
      <c r="D649" s="38">
        <f>4541.138727+0.225904*B649</f>
        <v/>
      </c>
      <c r="E649" s="39">
        <f>C649-D649</f>
        <v/>
      </c>
      <c r="F649" s="39">
        <f>(E649-F757)^2</f>
        <v/>
      </c>
      <c r="G649" s="38">
        <f>(E649-F757)^3</f>
        <v/>
      </c>
      <c r="H649" s="38">
        <f>(E649-F757)^4</f>
        <v/>
      </c>
      <c r="I649" s="37" t="n"/>
    </row>
    <row r="650" ht="15" customHeight="1" s="28">
      <c r="A650" s="40" t="n">
        <v>638</v>
      </c>
      <c r="B650" s="40" t="n">
        <v>637</v>
      </c>
      <c r="C650" s="41" t="n">
        <v>4708.08</v>
      </c>
      <c r="D650" s="41">
        <f>4541.138727+0.225904*B650</f>
        <v/>
      </c>
      <c r="E650" s="42">
        <f>C650-D650</f>
        <v/>
      </c>
      <c r="F650" s="42">
        <f>(E650-F757)^2</f>
        <v/>
      </c>
      <c r="G650" s="41">
        <f>(E650-F757)^3</f>
        <v/>
      </c>
      <c r="H650" s="41">
        <f>(E650-F757)^4</f>
        <v/>
      </c>
      <c r="I650" s="40" t="n"/>
    </row>
    <row r="651" ht="15" customHeight="1" s="28">
      <c r="A651" s="37" t="n">
        <v>639</v>
      </c>
      <c r="B651" s="37" t="n">
        <v>638</v>
      </c>
      <c r="C651" s="38" t="n">
        <v>4712.9</v>
      </c>
      <c r="D651" s="38">
        <f>4541.138727+0.225904*B651</f>
        <v/>
      </c>
      <c r="E651" s="39">
        <f>C651-D651</f>
        <v/>
      </c>
      <c r="F651" s="39">
        <f>(E651-F757)^2</f>
        <v/>
      </c>
      <c r="G651" s="38">
        <f>(E651-F757)^3</f>
        <v/>
      </c>
      <c r="H651" s="38">
        <f>(E651-F757)^4</f>
        <v/>
      </c>
      <c r="I651" s="37" t="n"/>
    </row>
    <row r="652" ht="15" customHeight="1" s="28">
      <c r="A652" s="40" t="n">
        <v>640</v>
      </c>
      <c r="B652" s="40" t="n">
        <v>639</v>
      </c>
      <c r="C652" s="41" t="n">
        <v>4705.96</v>
      </c>
      <c r="D652" s="41">
        <f>4541.138727+0.225904*B652</f>
        <v/>
      </c>
      <c r="E652" s="42">
        <f>C652-D652</f>
        <v/>
      </c>
      <c r="F652" s="42">
        <f>(E652-F757)^2</f>
        <v/>
      </c>
      <c r="G652" s="41">
        <f>(E652-F757)^3</f>
        <v/>
      </c>
      <c r="H652" s="41">
        <f>(E652-F757)^4</f>
        <v/>
      </c>
      <c r="I652" s="40" t="n"/>
    </row>
    <row r="653" ht="15" customHeight="1" s="28">
      <c r="A653" s="37" t="n">
        <v>641</v>
      </c>
      <c r="B653" s="37" t="n">
        <v>640</v>
      </c>
      <c r="C653" s="38" t="n">
        <v>4709.55</v>
      </c>
      <c r="D653" s="38">
        <f>4541.138727+0.225904*B653</f>
        <v/>
      </c>
      <c r="E653" s="39">
        <f>C653-D653</f>
        <v/>
      </c>
      <c r="F653" s="39">
        <f>(E653-F757)^2</f>
        <v/>
      </c>
      <c r="G653" s="38">
        <f>(E653-F757)^3</f>
        <v/>
      </c>
      <c r="H653" s="38">
        <f>(E653-F757)^4</f>
        <v/>
      </c>
      <c r="I653" s="37" t="n"/>
    </row>
    <row r="654" ht="15" customHeight="1" s="28">
      <c r="A654" s="40" t="n">
        <v>642</v>
      </c>
      <c r="B654" s="40" t="n">
        <v>641</v>
      </c>
      <c r="C654" s="41" t="n">
        <v>4710.04</v>
      </c>
      <c r="D654" s="41">
        <f>4541.138727+0.225904*B654</f>
        <v/>
      </c>
      <c r="E654" s="42">
        <f>C654-D654</f>
        <v/>
      </c>
      <c r="F654" s="42">
        <f>(E654-F757)^2</f>
        <v/>
      </c>
      <c r="G654" s="41">
        <f>(E654-F757)^3</f>
        <v/>
      </c>
      <c r="H654" s="41">
        <f>(E654-F757)^4</f>
        <v/>
      </c>
      <c r="I654" s="40" t="n"/>
    </row>
    <row r="655" ht="15" customHeight="1" s="28">
      <c r="A655" s="37" t="n">
        <v>643</v>
      </c>
      <c r="B655" s="37" t="n">
        <v>642</v>
      </c>
      <c r="C655" s="38" t="n">
        <v>4705.05</v>
      </c>
      <c r="D655" s="38">
        <f>4541.138727+0.225904*B655</f>
        <v/>
      </c>
      <c r="E655" s="39">
        <f>C655-D655</f>
        <v/>
      </c>
      <c r="F655" s="39">
        <f>(E655-F757)^2</f>
        <v/>
      </c>
      <c r="G655" s="38">
        <f>(E655-F757)^3</f>
        <v/>
      </c>
      <c r="H655" s="38">
        <f>(E655-F757)^4</f>
        <v/>
      </c>
      <c r="I655" s="37" t="n"/>
    </row>
    <row r="656" ht="15" customHeight="1" s="28">
      <c r="A656" s="40" t="n">
        <v>644</v>
      </c>
      <c r="B656" s="40" t="n">
        <v>643</v>
      </c>
      <c r="C656" s="41" t="n">
        <v>4709.69</v>
      </c>
      <c r="D656" s="41">
        <f>4541.138727+0.225904*B656</f>
        <v/>
      </c>
      <c r="E656" s="42">
        <f>C656-D656</f>
        <v/>
      </c>
      <c r="F656" s="42">
        <f>(E656-F757)^2</f>
        <v/>
      </c>
      <c r="G656" s="41">
        <f>(E656-F757)^3</f>
        <v/>
      </c>
      <c r="H656" s="41">
        <f>(E656-F757)^4</f>
        <v/>
      </c>
      <c r="I656" s="40" t="n"/>
    </row>
    <row r="657" ht="15" customHeight="1" s="28">
      <c r="A657" s="37" t="n">
        <v>645</v>
      </c>
      <c r="B657" s="37" t="n">
        <v>644</v>
      </c>
      <c r="C657" s="38" t="n">
        <v>4702.9</v>
      </c>
      <c r="D657" s="38">
        <f>4541.138727+0.225904*B657</f>
        <v/>
      </c>
      <c r="E657" s="39">
        <f>C657-D657</f>
        <v/>
      </c>
      <c r="F657" s="39">
        <f>(E657-F757)^2</f>
        <v/>
      </c>
      <c r="G657" s="38">
        <f>(E657-F757)^3</f>
        <v/>
      </c>
      <c r="H657" s="38">
        <f>(E657-F757)^4</f>
        <v/>
      </c>
      <c r="I657" s="37" t="n"/>
    </row>
    <row r="658" ht="15" customHeight="1" s="28">
      <c r="A658" s="40" t="n">
        <v>646</v>
      </c>
      <c r="B658" s="40" t="n">
        <v>645</v>
      </c>
      <c r="C658" s="41" t="n">
        <v>4711.55</v>
      </c>
      <c r="D658" s="41">
        <f>4541.138727+0.225904*B658</f>
        <v/>
      </c>
      <c r="E658" s="42">
        <f>C658-D658</f>
        <v/>
      </c>
      <c r="F658" s="42">
        <f>(E658-F757)^2</f>
        <v/>
      </c>
      <c r="G658" s="41">
        <f>(E658-F757)^3</f>
        <v/>
      </c>
      <c r="H658" s="41">
        <f>(E658-F757)^4</f>
        <v/>
      </c>
      <c r="I658" s="40" t="n"/>
    </row>
    <row r="659" ht="15" customHeight="1" s="28">
      <c r="A659" s="37" t="n">
        <v>647</v>
      </c>
      <c r="B659" s="37" t="n">
        <v>646</v>
      </c>
      <c r="C659" s="38" t="n">
        <v>4712.98</v>
      </c>
      <c r="D659" s="38">
        <f>4541.138727+0.225904*B659</f>
        <v/>
      </c>
      <c r="E659" s="39">
        <f>C659-D659</f>
        <v/>
      </c>
      <c r="F659" s="39">
        <f>(E659-F757)^2</f>
        <v/>
      </c>
      <c r="G659" s="38">
        <f>(E659-F757)^3</f>
        <v/>
      </c>
      <c r="H659" s="38">
        <f>(E659-F757)^4</f>
        <v/>
      </c>
      <c r="I659" s="37" t="n"/>
    </row>
    <row r="660" ht="15" customHeight="1" s="28">
      <c r="A660" s="40" t="n">
        <v>648</v>
      </c>
      <c r="B660" s="40" t="n">
        <v>647</v>
      </c>
      <c r="C660" s="41" t="n">
        <v>4703.9</v>
      </c>
      <c r="D660" s="41">
        <f>4541.138727+0.225904*B660</f>
        <v/>
      </c>
      <c r="E660" s="42">
        <f>C660-D660</f>
        <v/>
      </c>
      <c r="F660" s="42">
        <f>(E660-F757)^2</f>
        <v/>
      </c>
      <c r="G660" s="41">
        <f>(E660-F757)^3</f>
        <v/>
      </c>
      <c r="H660" s="41">
        <f>(E660-F757)^4</f>
        <v/>
      </c>
      <c r="I660" s="40" t="n"/>
    </row>
    <row r="661" ht="15" customHeight="1" s="28">
      <c r="A661" s="37" t="n">
        <v>649</v>
      </c>
      <c r="B661" s="37" t="n">
        <v>648</v>
      </c>
      <c r="C661" s="38" t="n">
        <v>4687.24</v>
      </c>
      <c r="D661" s="38">
        <f>4541.138727+0.225904*B661</f>
        <v/>
      </c>
      <c r="E661" s="39">
        <f>C661-D661</f>
        <v/>
      </c>
      <c r="F661" s="39">
        <f>(E661-F757)^2</f>
        <v/>
      </c>
      <c r="G661" s="38">
        <f>(E661-F757)^3</f>
        <v/>
      </c>
      <c r="H661" s="38">
        <f>(E661-F757)^4</f>
        <v/>
      </c>
      <c r="I661" s="37" t="n"/>
    </row>
    <row r="662" ht="15" customHeight="1" s="28">
      <c r="A662" s="40" t="n">
        <v>650</v>
      </c>
      <c r="B662" s="40" t="n">
        <v>649</v>
      </c>
      <c r="C662" s="41" t="n">
        <v>4691.37</v>
      </c>
      <c r="D662" s="41">
        <f>4541.138727+0.225904*B662</f>
        <v/>
      </c>
      <c r="E662" s="42">
        <f>C662-D662</f>
        <v/>
      </c>
      <c r="F662" s="42">
        <f>(E662-F757)^2</f>
        <v/>
      </c>
      <c r="G662" s="41">
        <f>(E662-F757)^3</f>
        <v/>
      </c>
      <c r="H662" s="41">
        <f>(E662-F757)^4</f>
        <v/>
      </c>
      <c r="I662" s="40" t="n"/>
    </row>
    <row r="663" ht="15" customHeight="1" s="28">
      <c r="A663" s="37" t="n">
        <v>651</v>
      </c>
      <c r="B663" s="37" t="n">
        <v>650</v>
      </c>
      <c r="C663" s="38" t="n">
        <v>4693.91</v>
      </c>
      <c r="D663" s="38">
        <f>4541.138727+0.225904*B663</f>
        <v/>
      </c>
      <c r="E663" s="39">
        <f>C663-D663</f>
        <v/>
      </c>
      <c r="F663" s="39">
        <f>(E663-F757)^2</f>
        <v/>
      </c>
      <c r="G663" s="38">
        <f>(E663-F757)^3</f>
        <v/>
      </c>
      <c r="H663" s="38">
        <f>(E663-F757)^4</f>
        <v/>
      </c>
      <c r="I663" s="37" t="n"/>
    </row>
    <row r="664" ht="15" customHeight="1" s="28">
      <c r="A664" s="40" t="n">
        <v>652</v>
      </c>
      <c r="B664" s="40" t="n">
        <v>651</v>
      </c>
      <c r="C664" s="41" t="n">
        <v>4687.16</v>
      </c>
      <c r="D664" s="41">
        <f>4541.138727+0.225904*B664</f>
        <v/>
      </c>
      <c r="E664" s="42">
        <f>C664-D664</f>
        <v/>
      </c>
      <c r="F664" s="42">
        <f>(E664-F757)^2</f>
        <v/>
      </c>
      <c r="G664" s="41">
        <f>(E664-F757)^3</f>
        <v/>
      </c>
      <c r="H664" s="41">
        <f>(E664-F757)^4</f>
        <v/>
      </c>
      <c r="I664" s="40" t="n"/>
    </row>
    <row r="665" ht="15" customHeight="1" s="28">
      <c r="A665" s="37" t="n">
        <v>653</v>
      </c>
      <c r="B665" s="37" t="n">
        <v>652</v>
      </c>
      <c r="C665" s="38" t="n">
        <v>4686.04</v>
      </c>
      <c r="D665" s="38">
        <f>4541.138727+0.225904*B665</f>
        <v/>
      </c>
      <c r="E665" s="39">
        <f>C665-D665</f>
        <v/>
      </c>
      <c r="F665" s="39">
        <f>(E665-F757)^2</f>
        <v/>
      </c>
      <c r="G665" s="38">
        <f>(E665-F757)^3</f>
        <v/>
      </c>
      <c r="H665" s="38">
        <f>(E665-F757)^4</f>
        <v/>
      </c>
      <c r="I665" s="37" t="n"/>
    </row>
    <row r="666" ht="15" customHeight="1" s="28">
      <c r="A666" s="40" t="n">
        <v>654</v>
      </c>
      <c r="B666" s="40" t="n">
        <v>653</v>
      </c>
      <c r="C666" s="41" t="n">
        <v>4691.8</v>
      </c>
      <c r="D666" s="41">
        <f>4541.138727+0.225904*B666</f>
        <v/>
      </c>
      <c r="E666" s="42">
        <f>C666-D666</f>
        <v/>
      </c>
      <c r="F666" s="42">
        <f>(E666-F757)^2</f>
        <v/>
      </c>
      <c r="G666" s="41">
        <f>(E666-F757)^3</f>
        <v/>
      </c>
      <c r="H666" s="41">
        <f>(E666-F757)^4</f>
        <v/>
      </c>
      <c r="I666" s="40" t="n"/>
    </row>
    <row r="667" ht="15" customHeight="1" s="28">
      <c r="A667" s="37" t="n">
        <v>655</v>
      </c>
      <c r="B667" s="37" t="n">
        <v>654</v>
      </c>
      <c r="C667" s="38" t="n">
        <v>4696.57</v>
      </c>
      <c r="D667" s="38">
        <f>4541.138727+0.225904*B667</f>
        <v/>
      </c>
      <c r="E667" s="39">
        <f>C667-D667</f>
        <v/>
      </c>
      <c r="F667" s="39">
        <f>(E667-F757)^2</f>
        <v/>
      </c>
      <c r="G667" s="38">
        <f>(E667-F757)^3</f>
        <v/>
      </c>
      <c r="H667" s="38">
        <f>(E667-F757)^4</f>
        <v/>
      </c>
      <c r="I667" s="37" t="n"/>
    </row>
    <row r="668" ht="15" customHeight="1" s="28">
      <c r="A668" s="40" t="n">
        <v>656</v>
      </c>
      <c r="B668" s="40" t="n">
        <v>655</v>
      </c>
      <c r="C668" s="41" t="n">
        <v>4697.81</v>
      </c>
      <c r="D668" s="41">
        <f>4541.138727+0.225904*B668</f>
        <v/>
      </c>
      <c r="E668" s="42">
        <f>C668-D668</f>
        <v/>
      </c>
      <c r="F668" s="42">
        <f>(E668-F757)^2</f>
        <v/>
      </c>
      <c r="G668" s="41">
        <f>(E668-F757)^3</f>
        <v/>
      </c>
      <c r="H668" s="41">
        <f>(E668-F757)^4</f>
        <v/>
      </c>
      <c r="I668" s="40" t="n"/>
    </row>
    <row r="669" ht="15" customHeight="1" s="28">
      <c r="A669" s="37" t="n">
        <v>657</v>
      </c>
      <c r="B669" s="37" t="n">
        <v>656</v>
      </c>
      <c r="C669" s="38" t="n">
        <v>4704.54</v>
      </c>
      <c r="D669" s="38">
        <f>4541.138727+0.225904*B669</f>
        <v/>
      </c>
      <c r="E669" s="39">
        <f>C669-D669</f>
        <v/>
      </c>
      <c r="F669" s="39">
        <f>(E669-F757)^2</f>
        <v/>
      </c>
      <c r="G669" s="38">
        <f>(E669-F757)^3</f>
        <v/>
      </c>
      <c r="H669" s="38">
        <f>(E669-F757)^4</f>
        <v/>
      </c>
      <c r="I669" s="37" t="n"/>
    </row>
    <row r="670" ht="15" customHeight="1" s="28">
      <c r="A670" s="40" t="n">
        <v>658</v>
      </c>
      <c r="B670" s="40" t="n">
        <v>657</v>
      </c>
      <c r="C670" s="41" t="n">
        <v>4702.79</v>
      </c>
      <c r="D670" s="41">
        <f>4541.138727+0.225904*B670</f>
        <v/>
      </c>
      <c r="E670" s="42">
        <f>C670-D670</f>
        <v/>
      </c>
      <c r="F670" s="42">
        <f>(E670-F757)^2</f>
        <v/>
      </c>
      <c r="G670" s="41">
        <f>(E670-F757)^3</f>
        <v/>
      </c>
      <c r="H670" s="41">
        <f>(E670-F757)^4</f>
        <v/>
      </c>
      <c r="I670" s="40" t="n"/>
    </row>
    <row r="671" ht="15" customHeight="1" s="28">
      <c r="A671" s="37" t="n">
        <v>659</v>
      </c>
      <c r="B671" s="37" t="n">
        <v>658</v>
      </c>
      <c r="C671" s="38" t="n">
        <v>4697.35</v>
      </c>
      <c r="D671" s="38">
        <f>4541.138727+0.225904*B671</f>
        <v/>
      </c>
      <c r="E671" s="39">
        <f>C671-D671</f>
        <v/>
      </c>
      <c r="F671" s="39">
        <f>(E671-F757)^2</f>
        <v/>
      </c>
      <c r="G671" s="38">
        <f>(E671-F757)^3</f>
        <v/>
      </c>
      <c r="H671" s="38">
        <f>(E671-F757)^4</f>
        <v/>
      </c>
      <c r="I671" s="37" t="n"/>
    </row>
    <row r="672" ht="15" customHeight="1" s="28">
      <c r="A672" s="40" t="n">
        <v>660</v>
      </c>
      <c r="B672" s="40" t="n">
        <v>659</v>
      </c>
      <c r="C672" s="41" t="n">
        <v>4705.16</v>
      </c>
      <c r="D672" s="41">
        <f>4541.138727+0.225904*B672</f>
        <v/>
      </c>
      <c r="E672" s="42">
        <f>C672-D672</f>
        <v/>
      </c>
      <c r="F672" s="42">
        <f>(E672-F757)^2</f>
        <v/>
      </c>
      <c r="G672" s="41">
        <f>(E672-F757)^3</f>
        <v/>
      </c>
      <c r="H672" s="41">
        <f>(E672-F757)^4</f>
        <v/>
      </c>
      <c r="I672" s="40" t="n"/>
    </row>
    <row r="673" ht="15" customHeight="1" s="28">
      <c r="A673" s="37" t="n">
        <v>661</v>
      </c>
      <c r="B673" s="37" t="n">
        <v>660</v>
      </c>
      <c r="C673" s="38" t="n">
        <v>4701.44</v>
      </c>
      <c r="D673" s="38">
        <f>4541.138727+0.225904*B673</f>
        <v/>
      </c>
      <c r="E673" s="39">
        <f>C673-D673</f>
        <v/>
      </c>
      <c r="F673" s="39">
        <f>(E673-F757)^2</f>
        <v/>
      </c>
      <c r="G673" s="38">
        <f>(E673-F757)^3</f>
        <v/>
      </c>
      <c r="H673" s="38">
        <f>(E673-F757)^4</f>
        <v/>
      </c>
      <c r="I673" s="37" t="n"/>
    </row>
    <row r="674" ht="15" customHeight="1" s="28">
      <c r="A674" s="40" t="n">
        <v>662</v>
      </c>
      <c r="B674" s="40" t="n">
        <v>661</v>
      </c>
      <c r="C674" s="41" t="n">
        <v>4714.05</v>
      </c>
      <c r="D674" s="41">
        <f>4541.138727+0.225904*B674</f>
        <v/>
      </c>
      <c r="E674" s="42">
        <f>C674-D674</f>
        <v/>
      </c>
      <c r="F674" s="42">
        <f>(E674-F757)^2</f>
        <v/>
      </c>
      <c r="G674" s="41">
        <f>(E674-F757)^3</f>
        <v/>
      </c>
      <c r="H674" s="41">
        <f>(E674-F757)^4</f>
        <v/>
      </c>
      <c r="I674" s="40" t="n"/>
    </row>
    <row r="675" ht="15" customHeight="1" s="28">
      <c r="A675" s="37" t="n">
        <v>663</v>
      </c>
      <c r="B675" s="37" t="n">
        <v>662</v>
      </c>
      <c r="C675" s="38" t="n">
        <v>4712.82</v>
      </c>
      <c r="D675" s="38">
        <f>4541.138727+0.225904*B675</f>
        <v/>
      </c>
      <c r="E675" s="39">
        <f>C675-D675</f>
        <v/>
      </c>
      <c r="F675" s="39">
        <f>(E675-F757)^2</f>
        <v/>
      </c>
      <c r="G675" s="38">
        <f>(E675-F757)^3</f>
        <v/>
      </c>
      <c r="H675" s="38">
        <f>(E675-F757)^4</f>
        <v/>
      </c>
      <c r="I675" s="37" t="n"/>
    </row>
    <row r="676" ht="15" customHeight="1" s="28">
      <c r="A676" s="40" t="n">
        <v>664</v>
      </c>
      <c r="B676" s="40" t="n">
        <v>663</v>
      </c>
      <c r="C676" s="41" t="n">
        <v>4711.08</v>
      </c>
      <c r="D676" s="41">
        <f>4541.138727+0.225904*B676</f>
        <v/>
      </c>
      <c r="E676" s="42">
        <f>C676-D676</f>
        <v/>
      </c>
      <c r="F676" s="42">
        <f>(E676-F757)^2</f>
        <v/>
      </c>
      <c r="G676" s="41">
        <f>(E676-F757)^3</f>
        <v/>
      </c>
      <c r="H676" s="41">
        <f>(E676-F757)^4</f>
        <v/>
      </c>
      <c r="I676" s="40" t="n"/>
    </row>
    <row r="677" ht="15" customHeight="1" s="28">
      <c r="A677" s="37" t="n">
        <v>665</v>
      </c>
      <c r="B677" s="37" t="n">
        <v>664</v>
      </c>
      <c r="C677" s="38" t="n">
        <v>4722.98</v>
      </c>
      <c r="D677" s="38">
        <f>4541.138727+0.225904*B677</f>
        <v/>
      </c>
      <c r="E677" s="39">
        <f>C677-D677</f>
        <v/>
      </c>
      <c r="F677" s="39">
        <f>(E677-F757)^2</f>
        <v/>
      </c>
      <c r="G677" s="38">
        <f>(E677-F757)^3</f>
        <v/>
      </c>
      <c r="H677" s="38">
        <f>(E677-F757)^4</f>
        <v/>
      </c>
      <c r="I677" s="37" t="n"/>
    </row>
    <row r="678" ht="15" customHeight="1" s="28">
      <c r="A678" s="40" t="n">
        <v>666</v>
      </c>
      <c r="B678" s="40" t="n">
        <v>665</v>
      </c>
      <c r="C678" s="41" t="n">
        <v>4723.99</v>
      </c>
      <c r="D678" s="41">
        <f>4541.138727+0.225904*B678</f>
        <v/>
      </c>
      <c r="E678" s="42">
        <f>C678-D678</f>
        <v/>
      </c>
      <c r="F678" s="42">
        <f>(E678-F757)^2</f>
        <v/>
      </c>
      <c r="G678" s="41">
        <f>(E678-F757)^3</f>
        <v/>
      </c>
      <c r="H678" s="41">
        <f>(E678-F757)^4</f>
        <v/>
      </c>
      <c r="I678" s="40" t="n"/>
    </row>
    <row r="679" ht="15" customHeight="1" s="28">
      <c r="A679" s="37" t="n">
        <v>667</v>
      </c>
      <c r="B679" s="37" t="n">
        <v>666</v>
      </c>
      <c r="C679" s="38" t="n">
        <v>4721.39</v>
      </c>
      <c r="D679" s="38">
        <f>4541.138727+0.225904*B679</f>
        <v/>
      </c>
      <c r="E679" s="39">
        <f>C679-D679</f>
        <v/>
      </c>
      <c r="F679" s="39">
        <f>(E679-F757)^2</f>
        <v/>
      </c>
      <c r="G679" s="38">
        <f>(E679-F757)^3</f>
        <v/>
      </c>
      <c r="H679" s="38">
        <f>(E679-F757)^4</f>
        <v/>
      </c>
      <c r="I679" s="37" t="n"/>
    </row>
    <row r="680" ht="15" customHeight="1" s="28">
      <c r="A680" s="40" t="n">
        <v>668</v>
      </c>
      <c r="B680" s="40" t="n">
        <v>667</v>
      </c>
      <c r="C680" s="41" t="n">
        <v>4710.27</v>
      </c>
      <c r="D680" s="41">
        <f>4541.138727+0.225904*B680</f>
        <v/>
      </c>
      <c r="E680" s="42">
        <f>C680-D680</f>
        <v/>
      </c>
      <c r="F680" s="42">
        <f>(E680-F757)^2</f>
        <v/>
      </c>
      <c r="G680" s="41">
        <f>(E680-F757)^3</f>
        <v/>
      </c>
      <c r="H680" s="41">
        <f>(E680-F757)^4</f>
        <v/>
      </c>
      <c r="I680" s="40" t="n"/>
    </row>
    <row r="681" ht="15" customHeight="1" s="28">
      <c r="A681" s="37" t="n">
        <v>669</v>
      </c>
      <c r="B681" s="37" t="n">
        <v>668</v>
      </c>
      <c r="C681" s="38" t="n">
        <v>4713.68</v>
      </c>
      <c r="D681" s="38">
        <f>4541.138727+0.225904*B681</f>
        <v/>
      </c>
      <c r="E681" s="39">
        <f>C681-D681</f>
        <v/>
      </c>
      <c r="F681" s="39">
        <f>(E681-F757)^2</f>
        <v/>
      </c>
      <c r="G681" s="38">
        <f>(E681-F757)^3</f>
        <v/>
      </c>
      <c r="H681" s="38">
        <f>(E681-F757)^4</f>
        <v/>
      </c>
      <c r="I681" s="37" t="n"/>
    </row>
    <row r="682" ht="15" customHeight="1" s="28">
      <c r="A682" s="40" t="n">
        <v>670</v>
      </c>
      <c r="B682" s="40" t="n">
        <v>669</v>
      </c>
      <c r="C682" s="41" t="n">
        <v>4720.15</v>
      </c>
      <c r="D682" s="41">
        <f>4541.138727+0.225904*B682</f>
        <v/>
      </c>
      <c r="E682" s="42">
        <f>C682-D682</f>
        <v/>
      </c>
      <c r="F682" s="42">
        <f>(E682-F757)^2</f>
        <v/>
      </c>
      <c r="G682" s="41">
        <f>(E682-F757)^3</f>
        <v/>
      </c>
      <c r="H682" s="41">
        <f>(E682-F757)^4</f>
        <v/>
      </c>
      <c r="I682" s="40" t="n"/>
    </row>
    <row r="683" ht="15" customHeight="1" s="28">
      <c r="A683" s="37" t="n">
        <v>671</v>
      </c>
      <c r="B683" s="37" t="n">
        <v>670</v>
      </c>
      <c r="C683" s="38" t="n">
        <v>4720.44</v>
      </c>
      <c r="D683" s="38">
        <f>4541.138727+0.225904*B683</f>
        <v/>
      </c>
      <c r="E683" s="39">
        <f>C683-D683</f>
        <v/>
      </c>
      <c r="F683" s="39">
        <f>(E683-F757)^2</f>
        <v/>
      </c>
      <c r="G683" s="38">
        <f>(E683-F757)^3</f>
        <v/>
      </c>
      <c r="H683" s="38">
        <f>(E683-F757)^4</f>
        <v/>
      </c>
      <c r="I683" s="37" t="n"/>
    </row>
    <row r="684" ht="15" customHeight="1" s="28">
      <c r="A684" s="40" t="n">
        <v>672</v>
      </c>
      <c r="B684" s="40" t="n">
        <v>671</v>
      </c>
      <c r="C684" s="41" t="n">
        <v>4724.99</v>
      </c>
      <c r="D684" s="41">
        <f>4541.138727+0.225904*B684</f>
        <v/>
      </c>
      <c r="E684" s="42">
        <f>C684-D684</f>
        <v/>
      </c>
      <c r="F684" s="42">
        <f>(E684-F757)^2</f>
        <v/>
      </c>
      <c r="G684" s="41">
        <f>(E684-F757)^3</f>
        <v/>
      </c>
      <c r="H684" s="41">
        <f>(E684-F757)^4</f>
        <v/>
      </c>
      <c r="I684" s="40" t="n"/>
    </row>
    <row r="685" ht="15" customHeight="1" s="28">
      <c r="A685" s="37" t="n">
        <v>673</v>
      </c>
      <c r="B685" s="37" t="n">
        <v>672</v>
      </c>
      <c r="C685" s="38" t="n">
        <v>4719.62</v>
      </c>
      <c r="D685" s="38">
        <f>4541.138727+0.225904*B685</f>
        <v/>
      </c>
      <c r="E685" s="39">
        <f>C685-D685</f>
        <v/>
      </c>
      <c r="F685" s="39">
        <f>(E685-F757)^2</f>
        <v/>
      </c>
      <c r="G685" s="38">
        <f>(E685-F757)^3</f>
        <v/>
      </c>
      <c r="H685" s="38">
        <f>(E685-F757)^4</f>
        <v/>
      </c>
      <c r="I685" s="37" t="n"/>
    </row>
    <row r="686" ht="15" customHeight="1" s="28">
      <c r="A686" s="40" t="n">
        <v>674</v>
      </c>
      <c r="B686" s="40" t="n">
        <v>673</v>
      </c>
      <c r="C686" s="41" t="n">
        <v>4715.08</v>
      </c>
      <c r="D686" s="41">
        <f>4541.138727+0.225904*B686</f>
        <v/>
      </c>
      <c r="E686" s="42">
        <f>C686-D686</f>
        <v/>
      </c>
      <c r="F686" s="42">
        <f>(E686-F757)^2</f>
        <v/>
      </c>
      <c r="G686" s="41">
        <f>(E686-F757)^3</f>
        <v/>
      </c>
      <c r="H686" s="41">
        <f>(E686-F757)^4</f>
        <v/>
      </c>
      <c r="I686" s="40" t="n"/>
    </row>
    <row r="687" ht="15" customHeight="1" s="28">
      <c r="A687" s="37" t="n">
        <v>675</v>
      </c>
      <c r="B687" s="37" t="n">
        <v>674</v>
      </c>
      <c r="C687" s="38" t="n">
        <v>4717.4</v>
      </c>
      <c r="D687" s="38">
        <f>4541.138727+0.225904*B687</f>
        <v/>
      </c>
      <c r="E687" s="39">
        <f>C687-D687</f>
        <v/>
      </c>
      <c r="F687" s="39">
        <f>(E687-F757)^2</f>
        <v/>
      </c>
      <c r="G687" s="38">
        <f>(E687-F757)^3</f>
        <v/>
      </c>
      <c r="H687" s="38">
        <f>(E687-F757)^4</f>
        <v/>
      </c>
      <c r="I687" s="37" t="n"/>
    </row>
    <row r="688" ht="15" customHeight="1" s="28">
      <c r="A688" s="40" t="n">
        <v>676</v>
      </c>
      <c r="B688" s="40" t="n">
        <v>675</v>
      </c>
      <c r="C688" s="41" t="n">
        <v>4712.14</v>
      </c>
      <c r="D688" s="41">
        <f>4541.138727+0.225904*B688</f>
        <v/>
      </c>
      <c r="E688" s="42">
        <f>C688-D688</f>
        <v/>
      </c>
      <c r="F688" s="42">
        <f>(E688-F757)^2</f>
        <v/>
      </c>
      <c r="G688" s="41">
        <f>(E688-F757)^3</f>
        <v/>
      </c>
      <c r="H688" s="41">
        <f>(E688-F757)^4</f>
        <v/>
      </c>
      <c r="I688" s="40" t="n"/>
    </row>
    <row r="689" ht="15" customHeight="1" s="28">
      <c r="A689" s="37" t="n">
        <v>677</v>
      </c>
      <c r="B689" s="37" t="n">
        <v>676</v>
      </c>
      <c r="C689" s="38" t="n">
        <v>4711.09</v>
      </c>
      <c r="D689" s="38">
        <f>4541.138727+0.225904*B689</f>
        <v/>
      </c>
      <c r="E689" s="39">
        <f>C689-D689</f>
        <v/>
      </c>
      <c r="F689" s="39">
        <f>(E689-F757)^2</f>
        <v/>
      </c>
      <c r="G689" s="38">
        <f>(E689-F757)^3</f>
        <v/>
      </c>
      <c r="H689" s="38">
        <f>(E689-F757)^4</f>
        <v/>
      </c>
      <c r="I689" s="37" t="n"/>
    </row>
    <row r="690" ht="15" customHeight="1" s="28">
      <c r="A690" s="40" t="n">
        <v>678</v>
      </c>
      <c r="B690" s="40" t="n">
        <v>677</v>
      </c>
      <c r="C690" s="41" t="n">
        <v>4712.09</v>
      </c>
      <c r="D690" s="41">
        <f>4541.138727+0.225904*B690</f>
        <v/>
      </c>
      <c r="E690" s="42">
        <f>C690-D690</f>
        <v/>
      </c>
      <c r="F690" s="42">
        <f>(E690-F757)^2</f>
        <v/>
      </c>
      <c r="G690" s="41">
        <f>(E690-F757)^3</f>
        <v/>
      </c>
      <c r="H690" s="41">
        <f>(E690-F757)^4</f>
        <v/>
      </c>
      <c r="I690" s="40" t="n"/>
    </row>
    <row r="691" ht="15" customHeight="1" s="28">
      <c r="A691" s="37" t="n">
        <v>679</v>
      </c>
      <c r="B691" s="37" t="n">
        <v>678</v>
      </c>
      <c r="C691" s="38" t="n">
        <v>4719.37</v>
      </c>
      <c r="D691" s="38">
        <f>4541.138727+0.225904*B691</f>
        <v/>
      </c>
      <c r="E691" s="39">
        <f>C691-D691</f>
        <v/>
      </c>
      <c r="F691" s="39">
        <f>(E691-F757)^2</f>
        <v/>
      </c>
      <c r="G691" s="38">
        <f>(E691-F757)^3</f>
        <v/>
      </c>
      <c r="H691" s="38">
        <f>(E691-F757)^4</f>
        <v/>
      </c>
      <c r="I691" s="37" t="n"/>
    </row>
    <row r="692" ht="15" customHeight="1" s="28">
      <c r="A692" s="40" t="n">
        <v>680</v>
      </c>
      <c r="B692" s="40" t="n">
        <v>679</v>
      </c>
      <c r="C692" s="41" t="n">
        <v>4724.62</v>
      </c>
      <c r="D692" s="41">
        <f>4541.138727+0.225904*B692</f>
        <v/>
      </c>
      <c r="E692" s="42">
        <f>C692-D692</f>
        <v/>
      </c>
      <c r="F692" s="42">
        <f>(E692-F757)^2</f>
        <v/>
      </c>
      <c r="G692" s="41">
        <f>(E692-F757)^3</f>
        <v/>
      </c>
      <c r="H692" s="41">
        <f>(E692-F757)^4</f>
        <v/>
      </c>
      <c r="I692" s="40" t="n"/>
    </row>
    <row r="693" ht="15" customHeight="1" s="28">
      <c r="A693" s="37" t="n">
        <v>681</v>
      </c>
      <c r="B693" s="37" t="n">
        <v>680</v>
      </c>
      <c r="C693" s="38" t="n">
        <v>4727.43</v>
      </c>
      <c r="D693" s="38">
        <f>4541.138727+0.225904*B693</f>
        <v/>
      </c>
      <c r="E693" s="39">
        <f>C693-D693</f>
        <v/>
      </c>
      <c r="F693" s="39">
        <f>(E693-F757)^2</f>
        <v/>
      </c>
      <c r="G693" s="38">
        <f>(E693-F757)^3</f>
        <v/>
      </c>
      <c r="H693" s="38">
        <f>(E693-F757)^4</f>
        <v/>
      </c>
      <c r="I693" s="37" t="n"/>
    </row>
    <row r="694" ht="15" customHeight="1" s="28">
      <c r="A694" s="40" t="n">
        <v>682</v>
      </c>
      <c r="B694" s="40" t="n">
        <v>681</v>
      </c>
      <c r="C694" s="41" t="n">
        <v>4723.03</v>
      </c>
      <c r="D694" s="41">
        <f>4541.138727+0.225904*B694</f>
        <v/>
      </c>
      <c r="E694" s="42">
        <f>C694-D694</f>
        <v/>
      </c>
      <c r="F694" s="42">
        <f>(E694-F757)^2</f>
        <v/>
      </c>
      <c r="G694" s="41">
        <f>(E694-F757)^3</f>
        <v/>
      </c>
      <c r="H694" s="41">
        <f>(E694-F757)^4</f>
        <v/>
      </c>
      <c r="I694" s="40" t="n"/>
    </row>
    <row r="695" ht="15" customHeight="1" s="28">
      <c r="A695" s="37" t="n">
        <v>683</v>
      </c>
      <c r="B695" s="37" t="n">
        <v>682</v>
      </c>
      <c r="C695" s="38" t="n">
        <v>4733.47</v>
      </c>
      <c r="D695" s="38">
        <f>4541.138727+0.225904*B695</f>
        <v/>
      </c>
      <c r="E695" s="39">
        <f>C695-D695</f>
        <v/>
      </c>
      <c r="F695" s="39">
        <f>(E695-F757)^2</f>
        <v/>
      </c>
      <c r="G695" s="38">
        <f>(E695-F757)^3</f>
        <v/>
      </c>
      <c r="H695" s="38">
        <f>(E695-F757)^4</f>
        <v/>
      </c>
      <c r="I695" s="37" t="n"/>
    </row>
    <row r="696" ht="15" customHeight="1" s="28">
      <c r="A696" s="40" t="n">
        <v>684</v>
      </c>
      <c r="B696" s="40" t="n">
        <v>683</v>
      </c>
      <c r="C696" s="41" t="n">
        <v>4728.52</v>
      </c>
      <c r="D696" s="41">
        <f>4541.138727+0.225904*B696</f>
        <v/>
      </c>
      <c r="E696" s="42">
        <f>C696-D696</f>
        <v/>
      </c>
      <c r="F696" s="42">
        <f>(E696-F757)^2</f>
        <v/>
      </c>
      <c r="G696" s="41">
        <f>(E696-F757)^3</f>
        <v/>
      </c>
      <c r="H696" s="41">
        <f>(E696-F757)^4</f>
        <v/>
      </c>
      <c r="I696" s="40" t="n"/>
    </row>
    <row r="697" ht="15" customHeight="1" s="28">
      <c r="A697" s="37" t="n">
        <v>685</v>
      </c>
      <c r="B697" s="37" t="n">
        <v>684</v>
      </c>
      <c r="C697" s="38" t="n">
        <v>4725.67</v>
      </c>
      <c r="D697" s="38">
        <f>4541.138727+0.225904*B697</f>
        <v/>
      </c>
      <c r="E697" s="39">
        <f>C697-D697</f>
        <v/>
      </c>
      <c r="F697" s="39">
        <f>(E697-F757)^2</f>
        <v/>
      </c>
      <c r="G697" s="38">
        <f>(E697-F757)^3</f>
        <v/>
      </c>
      <c r="H697" s="38">
        <f>(E697-F757)^4</f>
        <v/>
      </c>
      <c r="I697" s="37" t="n"/>
    </row>
    <row r="698" ht="15" customHeight="1" s="28">
      <c r="A698" s="40" t="n">
        <v>686</v>
      </c>
      <c r="B698" s="40" t="n">
        <v>685</v>
      </c>
      <c r="C698" s="41" t="n">
        <v>4715.31</v>
      </c>
      <c r="D698" s="41">
        <f>4541.138727+0.225904*B698</f>
        <v/>
      </c>
      <c r="E698" s="42">
        <f>C698-D698</f>
        <v/>
      </c>
      <c r="F698" s="42">
        <f>(E698-F757)^2</f>
        <v/>
      </c>
      <c r="G698" s="41">
        <f>(E698-F757)^3</f>
        <v/>
      </c>
      <c r="H698" s="41">
        <f>(E698-F757)^4</f>
        <v/>
      </c>
      <c r="I698" s="40" t="n"/>
    </row>
    <row r="699" ht="15" customHeight="1" s="28">
      <c r="A699" s="37" t="n">
        <v>687</v>
      </c>
      <c r="B699" s="37" t="n">
        <v>686</v>
      </c>
      <c r="C699" s="38" t="n">
        <v>4706.67</v>
      </c>
      <c r="D699" s="38">
        <f>4541.138727+0.225904*B699</f>
        <v/>
      </c>
      <c r="E699" s="39">
        <f>C699-D699</f>
        <v/>
      </c>
      <c r="F699" s="39">
        <f>(E699-F757)^2</f>
        <v/>
      </c>
      <c r="G699" s="38">
        <f>(E699-F757)^3</f>
        <v/>
      </c>
      <c r="H699" s="38">
        <f>(E699-F757)^4</f>
        <v/>
      </c>
      <c r="I699" s="37" t="n"/>
    </row>
    <row r="700" ht="15" customHeight="1" s="28">
      <c r="A700" s="40" t="n">
        <v>688</v>
      </c>
      <c r="B700" s="40" t="n">
        <v>687</v>
      </c>
      <c r="C700" s="41" t="n">
        <v>4708.14</v>
      </c>
      <c r="D700" s="41">
        <f>4541.138727+0.225904*B700</f>
        <v/>
      </c>
      <c r="E700" s="42">
        <f>C700-D700</f>
        <v/>
      </c>
      <c r="F700" s="42">
        <f>(E700-F757)^2</f>
        <v/>
      </c>
      <c r="G700" s="41">
        <f>(E700-F757)^3</f>
        <v/>
      </c>
      <c r="H700" s="41">
        <f>(E700-F757)^4</f>
        <v/>
      </c>
      <c r="I700" s="40" t="n"/>
    </row>
    <row r="701" ht="15" customHeight="1" s="28">
      <c r="A701" s="37" t="n">
        <v>689</v>
      </c>
      <c r="B701" s="37" t="n">
        <v>688</v>
      </c>
      <c r="C701" s="38" t="n">
        <v>4707.87</v>
      </c>
      <c r="D701" s="38">
        <f>4541.138727+0.225904*B701</f>
        <v/>
      </c>
      <c r="E701" s="39">
        <f>C701-D701</f>
        <v/>
      </c>
      <c r="F701" s="39">
        <f>(E701-F757)^2</f>
        <v/>
      </c>
      <c r="G701" s="38">
        <f>(E701-F757)^3</f>
        <v/>
      </c>
      <c r="H701" s="38">
        <f>(E701-F757)^4</f>
        <v/>
      </c>
      <c r="I701" s="37" t="n"/>
    </row>
    <row r="702" ht="15" customHeight="1" s="28">
      <c r="A702" s="40" t="n">
        <v>690</v>
      </c>
      <c r="B702" s="40" t="n">
        <v>689</v>
      </c>
      <c r="C702" s="41" t="n">
        <v>4711.45</v>
      </c>
      <c r="D702" s="41">
        <f>4541.138727+0.225904*B702</f>
        <v/>
      </c>
      <c r="E702" s="42">
        <f>C702-D702</f>
        <v/>
      </c>
      <c r="F702" s="42">
        <f>(E702-F757)^2</f>
        <v/>
      </c>
      <c r="G702" s="41">
        <f>(E702-F757)^3</f>
        <v/>
      </c>
      <c r="H702" s="41">
        <f>(E702-F757)^4</f>
        <v/>
      </c>
      <c r="I702" s="40" t="n"/>
    </row>
    <row r="703" ht="15" customHeight="1" s="28">
      <c r="A703" s="37" t="n">
        <v>691</v>
      </c>
      <c r="B703" s="37" t="n">
        <v>690</v>
      </c>
      <c r="C703" s="38" t="n">
        <v>4716.82</v>
      </c>
      <c r="D703" s="38">
        <f>4541.138727+0.225904*B703</f>
        <v/>
      </c>
      <c r="E703" s="39">
        <f>C703-D703</f>
        <v/>
      </c>
      <c r="F703" s="39">
        <f>(E703-F757)^2</f>
        <v/>
      </c>
      <c r="G703" s="38">
        <f>(E703-F757)^3</f>
        <v/>
      </c>
      <c r="H703" s="38">
        <f>(E703-F757)^4</f>
        <v/>
      </c>
      <c r="I703" s="37" t="n"/>
    </row>
    <row r="704" ht="15" customHeight="1" s="28">
      <c r="A704" s="40" t="n">
        <v>692</v>
      </c>
      <c r="B704" s="40" t="n">
        <v>691</v>
      </c>
      <c r="C704" s="41" t="n">
        <v>4716.85</v>
      </c>
      <c r="D704" s="41">
        <f>4541.138727+0.225904*B704</f>
        <v/>
      </c>
      <c r="E704" s="42">
        <f>C704-D704</f>
        <v/>
      </c>
      <c r="F704" s="42">
        <f>(E704-F757)^2</f>
        <v/>
      </c>
      <c r="G704" s="41">
        <f>(E704-F757)^3</f>
        <v/>
      </c>
      <c r="H704" s="41">
        <f>(E704-F757)^4</f>
        <v/>
      </c>
      <c r="I704" s="40" t="n"/>
    </row>
    <row r="705" ht="15" customHeight="1" s="28">
      <c r="A705" s="37" t="n">
        <v>693</v>
      </c>
      <c r="B705" s="37" t="n">
        <v>692</v>
      </c>
      <c r="C705" s="38" t="n">
        <v>4715.7</v>
      </c>
      <c r="D705" s="38">
        <f>4541.138727+0.225904*B705</f>
        <v/>
      </c>
      <c r="E705" s="39">
        <f>C705-D705</f>
        <v/>
      </c>
      <c r="F705" s="39">
        <f>(E705-F757)^2</f>
        <v/>
      </c>
      <c r="G705" s="38">
        <f>(E705-F757)^3</f>
        <v/>
      </c>
      <c r="H705" s="38">
        <f>(E705-F757)^4</f>
        <v/>
      </c>
      <c r="I705" s="37" t="n"/>
    </row>
    <row r="706" ht="15" customHeight="1" s="28">
      <c r="A706" s="40" t="n">
        <v>694</v>
      </c>
      <c r="B706" s="40" t="n">
        <v>693</v>
      </c>
      <c r="C706" s="41" t="n">
        <v>4718.38</v>
      </c>
      <c r="D706" s="41">
        <f>4541.138727+0.225904*B706</f>
        <v/>
      </c>
      <c r="E706" s="42">
        <f>C706-D706</f>
        <v/>
      </c>
      <c r="F706" s="42">
        <f>(E706-F757)^2</f>
        <v/>
      </c>
      <c r="G706" s="41">
        <f>(E706-F757)^3</f>
        <v/>
      </c>
      <c r="H706" s="41">
        <f>(E706-F757)^4</f>
        <v/>
      </c>
      <c r="I706" s="40" t="n"/>
    </row>
    <row r="707" ht="15" customHeight="1" s="28">
      <c r="A707" s="37" t="n">
        <v>695</v>
      </c>
      <c r="B707" s="37" t="n">
        <v>694</v>
      </c>
      <c r="C707" s="38" t="n">
        <v>4717.81</v>
      </c>
      <c r="D707" s="38">
        <f>4541.138727+0.225904*B707</f>
        <v/>
      </c>
      <c r="E707" s="39">
        <f>C707-D707</f>
        <v/>
      </c>
      <c r="F707" s="39">
        <f>(E707-F757)^2</f>
        <v/>
      </c>
      <c r="G707" s="38">
        <f>(E707-F757)^3</f>
        <v/>
      </c>
      <c r="H707" s="38">
        <f>(E707-F757)^4</f>
        <v/>
      </c>
      <c r="I707" s="37" t="n"/>
    </row>
    <row r="708" ht="15" customHeight="1" s="28">
      <c r="A708" s="40" t="n">
        <v>696</v>
      </c>
      <c r="B708" s="40" t="n">
        <v>695</v>
      </c>
      <c r="C708" s="41" t="n">
        <v>4713.35</v>
      </c>
      <c r="D708" s="41">
        <f>4541.138727+0.225904*B708</f>
        <v/>
      </c>
      <c r="E708" s="42">
        <f>C708-D708</f>
        <v/>
      </c>
      <c r="F708" s="42">
        <f>(E708-F757)^2</f>
        <v/>
      </c>
      <c r="G708" s="41">
        <f>(E708-F757)^3</f>
        <v/>
      </c>
      <c r="H708" s="41">
        <f>(E708-F757)^4</f>
        <v/>
      </c>
      <c r="I708" s="40" t="n"/>
    </row>
    <row r="709" ht="15" customHeight="1" s="28">
      <c r="A709" s="37" t="n">
        <v>697</v>
      </c>
      <c r="B709" s="37" t="n">
        <v>696</v>
      </c>
      <c r="C709" s="38" t="n">
        <v>4711.79</v>
      </c>
      <c r="D709" s="38">
        <f>4541.138727+0.225904*B709</f>
        <v/>
      </c>
      <c r="E709" s="39">
        <f>C709-D709</f>
        <v/>
      </c>
      <c r="F709" s="39">
        <f>(E709-F757)^2</f>
        <v/>
      </c>
      <c r="G709" s="38">
        <f>(E709-F757)^3</f>
        <v/>
      </c>
      <c r="H709" s="38">
        <f>(E709-F757)^4</f>
        <v/>
      </c>
      <c r="I709" s="37" t="n"/>
    </row>
    <row r="710" ht="15" customHeight="1" s="28">
      <c r="A710" s="40" t="n">
        <v>698</v>
      </c>
      <c r="B710" s="40" t="n">
        <v>697</v>
      </c>
      <c r="C710" s="41" t="n">
        <v>4718.94</v>
      </c>
      <c r="D710" s="41">
        <f>4541.138727+0.225904*B710</f>
        <v/>
      </c>
      <c r="E710" s="42">
        <f>C710-D710</f>
        <v/>
      </c>
      <c r="F710" s="42">
        <f>(E710-F757)^2</f>
        <v/>
      </c>
      <c r="G710" s="41">
        <f>(E710-F757)^3</f>
        <v/>
      </c>
      <c r="H710" s="41">
        <f>(E710-F757)^4</f>
        <v/>
      </c>
      <c r="I710" s="40" t="n"/>
    </row>
    <row r="711" ht="15" customHeight="1" s="28">
      <c r="A711" s="37" t="n">
        <v>699</v>
      </c>
      <c r="B711" s="37" t="n">
        <v>698</v>
      </c>
      <c r="C711" s="38" t="n">
        <v>4720.38</v>
      </c>
      <c r="D711" s="38">
        <f>4541.138727+0.225904*B711</f>
        <v/>
      </c>
      <c r="E711" s="39">
        <f>C711-D711</f>
        <v/>
      </c>
      <c r="F711" s="39">
        <f>(E711-F757)^2</f>
        <v/>
      </c>
      <c r="G711" s="38">
        <f>(E711-F757)^3</f>
        <v/>
      </c>
      <c r="H711" s="38">
        <f>(E711-F757)^4</f>
        <v/>
      </c>
      <c r="I711" s="37" t="n"/>
    </row>
    <row r="712" ht="15" customHeight="1" s="28">
      <c r="A712" s="40" t="n">
        <v>700</v>
      </c>
      <c r="B712" s="40" t="n">
        <v>699</v>
      </c>
      <c r="C712" s="41" t="n">
        <v>4724.48</v>
      </c>
      <c r="D712" s="41">
        <f>4541.138727+0.225904*B712</f>
        <v/>
      </c>
      <c r="E712" s="42">
        <f>C712-D712</f>
        <v/>
      </c>
      <c r="F712" s="42">
        <f>(E712-F757)^2</f>
        <v/>
      </c>
      <c r="G712" s="41">
        <f>(E712-F757)^3</f>
        <v/>
      </c>
      <c r="H712" s="41">
        <f>(E712-F757)^4</f>
        <v/>
      </c>
      <c r="I712" s="40" t="n"/>
    </row>
    <row r="713" ht="15" customHeight="1" s="28">
      <c r="A713" s="37" t="n">
        <v>701</v>
      </c>
      <c r="B713" s="37" t="n">
        <v>700</v>
      </c>
      <c r="C713" s="38" t="n">
        <v>4719.94</v>
      </c>
      <c r="D713" s="38">
        <f>4541.138727+0.225904*B713</f>
        <v/>
      </c>
      <c r="E713" s="39">
        <f>C713-D713</f>
        <v/>
      </c>
      <c r="F713" s="39">
        <f>(E713-F757)^2</f>
        <v/>
      </c>
      <c r="G713" s="38">
        <f>(E713-F757)^3</f>
        <v/>
      </c>
      <c r="H713" s="38">
        <f>(E713-F757)^4</f>
        <v/>
      </c>
      <c r="I713" s="37" t="n"/>
    </row>
    <row r="714" ht="15" customHeight="1" s="28">
      <c r="A714" s="40" t="n">
        <v>702</v>
      </c>
      <c r="B714" s="40" t="n">
        <v>701</v>
      </c>
      <c r="C714" s="41" t="n">
        <v>4722.05</v>
      </c>
      <c r="D714" s="41">
        <f>4541.138727+0.225904*B714</f>
        <v/>
      </c>
      <c r="E714" s="42">
        <f>C714-D714</f>
        <v/>
      </c>
      <c r="F714" s="42">
        <f>(E714-F757)^2</f>
        <v/>
      </c>
      <c r="G714" s="41">
        <f>(E714-F757)^3</f>
        <v/>
      </c>
      <c r="H714" s="41">
        <f>(E714-F757)^4</f>
        <v/>
      </c>
      <c r="I714" s="40" t="n"/>
    </row>
    <row r="715" ht="15" customHeight="1" s="28">
      <c r="A715" s="37" t="n">
        <v>703</v>
      </c>
      <c r="B715" s="37" t="n">
        <v>702</v>
      </c>
      <c r="C715" s="38" t="n">
        <v>4724.08</v>
      </c>
      <c r="D715" s="38">
        <f>4541.138727+0.225904*B715</f>
        <v/>
      </c>
      <c r="E715" s="39">
        <f>C715-D715</f>
        <v/>
      </c>
      <c r="F715" s="39">
        <f>(E715-F757)^2</f>
        <v/>
      </c>
      <c r="G715" s="38">
        <f>(E715-F757)^3</f>
        <v/>
      </c>
      <c r="H715" s="38">
        <f>(E715-F757)^4</f>
        <v/>
      </c>
      <c r="I715" s="37" t="n"/>
    </row>
    <row r="716" ht="15" customHeight="1" s="28">
      <c r="A716" s="40" t="n">
        <v>704</v>
      </c>
      <c r="B716" s="40" t="n">
        <v>703</v>
      </c>
      <c r="C716" s="41" t="n">
        <v>4721.18</v>
      </c>
      <c r="D716" s="41">
        <f>4541.138727+0.225904*B716</f>
        <v/>
      </c>
      <c r="E716" s="42">
        <f>C716-D716</f>
        <v/>
      </c>
      <c r="F716" s="42">
        <f>(E716-F757)^2</f>
        <v/>
      </c>
      <c r="G716" s="41">
        <f>(E716-F757)^3</f>
        <v/>
      </c>
      <c r="H716" s="41">
        <f>(E716-F757)^4</f>
        <v/>
      </c>
      <c r="I716" s="40" t="n"/>
    </row>
    <row r="717" ht="15" customHeight="1" s="28">
      <c r="A717" s="37" t="n">
        <v>705</v>
      </c>
      <c r="B717" s="37" t="n">
        <v>704</v>
      </c>
      <c r="C717" s="38" t="n">
        <v>4717.8</v>
      </c>
      <c r="D717" s="38">
        <f>4541.138727+0.225904*B717</f>
        <v/>
      </c>
      <c r="E717" s="39">
        <f>C717-D717</f>
        <v/>
      </c>
      <c r="F717" s="39">
        <f>(E717-F757)^2</f>
        <v/>
      </c>
      <c r="G717" s="38">
        <f>(E717-F757)^3</f>
        <v/>
      </c>
      <c r="H717" s="38">
        <f>(E717-F757)^4</f>
        <v/>
      </c>
      <c r="I717" s="37" t="n"/>
    </row>
    <row r="718" ht="15" customHeight="1" s="28">
      <c r="A718" s="40" t="n">
        <v>706</v>
      </c>
      <c r="B718" s="40" t="n">
        <v>705</v>
      </c>
      <c r="C718" s="41" t="n">
        <v>4704.7</v>
      </c>
      <c r="D718" s="41">
        <f>4541.138727+0.225904*B718</f>
        <v/>
      </c>
      <c r="E718" s="42">
        <f>C718-D718</f>
        <v/>
      </c>
      <c r="F718" s="42">
        <f>(E718-F757)^2</f>
        <v/>
      </c>
      <c r="G718" s="41">
        <f>(E718-F757)^3</f>
        <v/>
      </c>
      <c r="H718" s="41">
        <f>(E718-F757)^4</f>
        <v/>
      </c>
      <c r="I718" s="40" t="n"/>
    </row>
    <row r="719" ht="15" customHeight="1" s="28">
      <c r="A719" s="37" t="n">
        <v>707</v>
      </c>
      <c r="B719" s="37" t="n">
        <v>706</v>
      </c>
      <c r="C719" s="38" t="n">
        <v>4710.4</v>
      </c>
      <c r="D719" s="38">
        <f>4541.138727+0.225904*B719</f>
        <v/>
      </c>
      <c r="E719" s="39">
        <f>C719-D719</f>
        <v/>
      </c>
      <c r="F719" s="39">
        <f>(E719-F757)^2</f>
        <v/>
      </c>
      <c r="G719" s="38">
        <f>(E719-F757)^3</f>
        <v/>
      </c>
      <c r="H719" s="38">
        <f>(E719-F757)^4</f>
        <v/>
      </c>
      <c r="I719" s="37" t="n"/>
    </row>
    <row r="720" ht="15" customHeight="1" s="28">
      <c r="A720" s="40" t="n">
        <v>708</v>
      </c>
      <c r="B720" s="40" t="n">
        <v>707</v>
      </c>
      <c r="C720" s="41" t="n">
        <v>4723.84</v>
      </c>
      <c r="D720" s="41">
        <f>4541.138727+0.225904*B720</f>
        <v/>
      </c>
      <c r="E720" s="42">
        <f>C720-D720</f>
        <v/>
      </c>
      <c r="F720" s="42">
        <f>(E720-F757)^2</f>
        <v/>
      </c>
      <c r="G720" s="41">
        <f>(E720-F757)^3</f>
        <v/>
      </c>
      <c r="H720" s="41">
        <f>(E720-F757)^4</f>
        <v/>
      </c>
      <c r="I720" s="40" t="n"/>
    </row>
    <row r="721" ht="15" customHeight="1" s="28">
      <c r="A721" s="37" t="n">
        <v>709</v>
      </c>
      <c r="B721" s="37" t="n">
        <v>708</v>
      </c>
      <c r="C721" s="38" t="n">
        <v>4724.41</v>
      </c>
      <c r="D721" s="38">
        <f>4541.138727+0.225904*B721</f>
        <v/>
      </c>
      <c r="E721" s="39">
        <f>C721-D721</f>
        <v/>
      </c>
      <c r="F721" s="39">
        <f>(E721-F757)^2</f>
        <v/>
      </c>
      <c r="G721" s="38">
        <f>(E721-F757)^3</f>
        <v/>
      </c>
      <c r="H721" s="38">
        <f>(E721-F757)^4</f>
        <v/>
      </c>
      <c r="I721" s="37" t="n"/>
    </row>
    <row r="722" ht="15" customHeight="1" s="28">
      <c r="A722" s="40" t="n">
        <v>710</v>
      </c>
      <c r="B722" s="40" t="n">
        <v>709</v>
      </c>
      <c r="C722" s="41" t="n">
        <v>4720.41</v>
      </c>
      <c r="D722" s="41">
        <f>4541.138727+0.225904*B722</f>
        <v/>
      </c>
      <c r="E722" s="42">
        <f>C722-D722</f>
        <v/>
      </c>
      <c r="F722" s="42">
        <f>(E722-F757)^2</f>
        <v/>
      </c>
      <c r="G722" s="41">
        <f>(E722-F757)^3</f>
        <v/>
      </c>
      <c r="H722" s="41">
        <f>(E722-F757)^4</f>
        <v/>
      </c>
      <c r="I722" s="40" t="n"/>
    </row>
    <row r="723" ht="15" customHeight="1" s="28">
      <c r="A723" s="37" t="n">
        <v>711</v>
      </c>
      <c r="B723" s="37" t="n">
        <v>710</v>
      </c>
      <c r="C723" s="38" t="n">
        <v>4727.11</v>
      </c>
      <c r="D723" s="38">
        <f>4541.138727+0.225904*B723</f>
        <v/>
      </c>
      <c r="E723" s="39">
        <f>C723-D723</f>
        <v/>
      </c>
      <c r="F723" s="39">
        <f>(E723-F757)^2</f>
        <v/>
      </c>
      <c r="G723" s="38">
        <f>(E723-F757)^3</f>
        <v/>
      </c>
      <c r="H723" s="38">
        <f>(E723-F757)^4</f>
        <v/>
      </c>
      <c r="I723" s="37" t="n"/>
    </row>
    <row r="724" ht="15" customHeight="1" s="28">
      <c r="A724" s="40" t="n">
        <v>712</v>
      </c>
      <c r="B724" s="40" t="n">
        <v>711</v>
      </c>
      <c r="C724" s="41" t="n">
        <v>4738.02</v>
      </c>
      <c r="D724" s="41">
        <f>4541.138727+0.225904*B724</f>
        <v/>
      </c>
      <c r="E724" s="42">
        <f>C724-D724</f>
        <v/>
      </c>
      <c r="F724" s="42">
        <f>(E724-F757)^2</f>
        <v/>
      </c>
      <c r="G724" s="41">
        <f>(E724-F757)^3</f>
        <v/>
      </c>
      <c r="H724" s="41">
        <f>(E724-F757)^4</f>
        <v/>
      </c>
      <c r="I724" s="40" t="n"/>
    </row>
    <row r="725" ht="15" customHeight="1" s="28">
      <c r="A725" s="37" t="n">
        <v>713</v>
      </c>
      <c r="B725" s="37" t="n">
        <v>712</v>
      </c>
      <c r="C725" s="38" t="n">
        <v>4747.9</v>
      </c>
      <c r="D725" s="38">
        <f>4541.138727+0.225904*B725</f>
        <v/>
      </c>
      <c r="E725" s="39">
        <f>C725-D725</f>
        <v/>
      </c>
      <c r="F725" s="39">
        <f>(E725-F757)^2</f>
        <v/>
      </c>
      <c r="G725" s="38">
        <f>(E725-F757)^3</f>
        <v/>
      </c>
      <c r="H725" s="38">
        <f>(E725-F757)^4</f>
        <v/>
      </c>
      <c r="I725" s="37" t="n"/>
    </row>
    <row r="726" ht="15" customHeight="1" s="28">
      <c r="A726" s="40" t="n">
        <v>714</v>
      </c>
      <c r="B726" s="40" t="n">
        <v>713</v>
      </c>
      <c r="C726" s="41" t="n">
        <v>4731.78</v>
      </c>
      <c r="D726" s="41">
        <f>4541.138727+0.225904*B726</f>
        <v/>
      </c>
      <c r="E726" s="42">
        <f>C726-D726</f>
        <v/>
      </c>
      <c r="F726" s="42">
        <f>(E726-F757)^2</f>
        <v/>
      </c>
      <c r="G726" s="41">
        <f>(E726-F757)^3</f>
        <v/>
      </c>
      <c r="H726" s="41">
        <f>(E726-F757)^4</f>
        <v/>
      </c>
      <c r="I726" s="40" t="n"/>
    </row>
    <row r="727" ht="15" customHeight="1" s="28">
      <c r="A727" s="37" t="n">
        <v>715</v>
      </c>
      <c r="B727" s="37" t="n">
        <v>714</v>
      </c>
      <c r="C727" s="38" t="n">
        <v>4719.14</v>
      </c>
      <c r="D727" s="38">
        <f>4541.138727+0.225904*B727</f>
        <v/>
      </c>
      <c r="E727" s="39">
        <f>C727-D727</f>
        <v/>
      </c>
      <c r="F727" s="39">
        <f>(E727-F757)^2</f>
        <v/>
      </c>
      <c r="G727" s="38">
        <f>(E727-F757)^3</f>
        <v/>
      </c>
      <c r="H727" s="38">
        <f>(E727-F757)^4</f>
        <v/>
      </c>
      <c r="I727" s="37" t="n"/>
    </row>
    <row r="728" ht="15" customHeight="1" s="28">
      <c r="A728" s="40" t="n">
        <v>716</v>
      </c>
      <c r="B728" s="40" t="n">
        <v>715</v>
      </c>
      <c r="C728" s="41" t="n">
        <v>4722.71</v>
      </c>
      <c r="D728" s="41">
        <f>4541.138727+0.225904*B728</f>
        <v/>
      </c>
      <c r="E728" s="42">
        <f>C728-D728</f>
        <v/>
      </c>
      <c r="F728" s="42">
        <f>(E728-F757)^2</f>
        <v/>
      </c>
      <c r="G728" s="41">
        <f>(E728-F757)^3</f>
        <v/>
      </c>
      <c r="H728" s="41">
        <f>(E728-F757)^4</f>
        <v/>
      </c>
      <c r="I728" s="40" t="n"/>
    </row>
    <row r="729" ht="15" customHeight="1" s="28">
      <c r="A729" s="37" t="n">
        <v>717</v>
      </c>
      <c r="B729" s="37" t="n">
        <v>716</v>
      </c>
      <c r="C729" s="38" t="n">
        <v>4716.02</v>
      </c>
      <c r="D729" s="38">
        <f>4541.138727+0.225904*B729</f>
        <v/>
      </c>
      <c r="E729" s="39">
        <f>C729-D729</f>
        <v/>
      </c>
      <c r="F729" s="39">
        <f>(E729-F757)^2</f>
        <v/>
      </c>
      <c r="G729" s="38">
        <f>(E729-F757)^3</f>
        <v/>
      </c>
      <c r="H729" s="38">
        <f>(E729-F757)^4</f>
        <v/>
      </c>
      <c r="I729" s="37" t="n"/>
    </row>
    <row r="730" ht="15" customHeight="1" s="28">
      <c r="A730" s="40" t="n">
        <v>718</v>
      </c>
      <c r="B730" s="40" t="n">
        <v>717</v>
      </c>
      <c r="C730" s="41" t="n">
        <v>4707.62</v>
      </c>
      <c r="D730" s="41">
        <f>4541.138727+0.225904*B730</f>
        <v/>
      </c>
      <c r="E730" s="42">
        <f>C730-D730</f>
        <v/>
      </c>
      <c r="F730" s="42">
        <f>(E730-F757)^2</f>
        <v/>
      </c>
      <c r="G730" s="41">
        <f>(E730-F757)^3</f>
        <v/>
      </c>
      <c r="H730" s="41">
        <f>(E730-F757)^4</f>
        <v/>
      </c>
      <c r="I730" s="40" t="n"/>
    </row>
    <row r="731" ht="15" customHeight="1" s="28">
      <c r="A731" s="37" t="n">
        <v>719</v>
      </c>
      <c r="B731" s="37" t="n">
        <v>718</v>
      </c>
      <c r="C731" s="38" t="n">
        <v>4713.43</v>
      </c>
      <c r="D731" s="38">
        <f>4541.138727+0.225904*B731</f>
        <v/>
      </c>
      <c r="E731" s="39">
        <f>C731-D731</f>
        <v/>
      </c>
      <c r="F731" s="39">
        <f>(E731-F757)^2</f>
        <v/>
      </c>
      <c r="G731" s="38">
        <f>(E731-F757)^3</f>
        <v/>
      </c>
      <c r="H731" s="38">
        <f>(E731-F757)^4</f>
        <v/>
      </c>
      <c r="I731" s="37" t="n"/>
    </row>
    <row r="732" ht="15" customHeight="1" s="28">
      <c r="A732" s="40" t="n">
        <v>720</v>
      </c>
      <c r="B732" s="40" t="n">
        <v>719</v>
      </c>
      <c r="C732" s="41" t="n">
        <v>4705.96</v>
      </c>
      <c r="D732" s="41">
        <f>4541.138727+0.225904*B732</f>
        <v/>
      </c>
      <c r="E732" s="42">
        <f>C732-D732</f>
        <v/>
      </c>
      <c r="F732" s="42">
        <f>(E732-F757)^2</f>
        <v/>
      </c>
      <c r="G732" s="41">
        <f>(E732-F757)^3</f>
        <v/>
      </c>
      <c r="H732" s="41">
        <f>(E732-F757)^4</f>
        <v/>
      </c>
      <c r="I732" s="40" t="n"/>
    </row>
    <row r="733" ht="15" customHeight="1" s="28">
      <c r="A733" s="37" t="n">
        <v>721</v>
      </c>
      <c r="B733" s="37" t="n">
        <v>720</v>
      </c>
      <c r="C733" s="38" t="n">
        <v>4707.13</v>
      </c>
      <c r="D733" s="38">
        <f>4541.138727+0.225904*B733</f>
        <v/>
      </c>
      <c r="E733" s="39">
        <f>C733-D733</f>
        <v/>
      </c>
      <c r="F733" s="39">
        <f>(E733-F757)^2</f>
        <v/>
      </c>
      <c r="G733" s="38">
        <f>(E733-F757)^3</f>
        <v/>
      </c>
      <c r="H733" s="38">
        <f>(E733-F757)^4</f>
        <v/>
      </c>
      <c r="I733" s="37" t="n"/>
    </row>
    <row r="734" ht="15" customHeight="1" s="28">
      <c r="A734" s="40" t="n">
        <v>722</v>
      </c>
      <c r="B734" s="40" t="n">
        <v>721</v>
      </c>
      <c r="C734" s="41" t="n">
        <v>4711.49</v>
      </c>
      <c r="D734" s="41">
        <f>4541.138727+0.225904*B734</f>
        <v/>
      </c>
      <c r="E734" s="42">
        <f>C734-D734</f>
        <v/>
      </c>
      <c r="F734" s="42">
        <f>(E734-F757)^2</f>
        <v/>
      </c>
      <c r="G734" s="41">
        <f>(E734-F757)^3</f>
        <v/>
      </c>
      <c r="H734" s="41">
        <f>(E734-F757)^4</f>
        <v/>
      </c>
      <c r="I734" s="40" t="n"/>
    </row>
    <row r="735" ht="15" customHeight="1" s="28">
      <c r="A735" s="37" t="n">
        <v>723</v>
      </c>
      <c r="B735" s="37" t="n">
        <v>722</v>
      </c>
      <c r="C735" s="38" t="n">
        <v>4717.67</v>
      </c>
      <c r="D735" s="38">
        <f>4541.138727+0.225904*B735</f>
        <v/>
      </c>
      <c r="E735" s="39">
        <f>C735-D735</f>
        <v/>
      </c>
      <c r="F735" s="39">
        <f>(E735-F757)^2</f>
        <v/>
      </c>
      <c r="G735" s="38">
        <f>(E735-F757)^3</f>
        <v/>
      </c>
      <c r="H735" s="38">
        <f>(E735-F757)^4</f>
        <v/>
      </c>
      <c r="I735" s="37" t="n"/>
    </row>
    <row r="736" ht="15" customHeight="1" s="28">
      <c r="A736" s="40" t="n">
        <v>724</v>
      </c>
      <c r="B736" s="40" t="n">
        <v>723</v>
      </c>
      <c r="C736" s="41" t="n">
        <v>4713.4</v>
      </c>
      <c r="D736" s="41">
        <f>4541.138727+0.225904*B736</f>
        <v/>
      </c>
      <c r="E736" s="42">
        <f>C736-D736</f>
        <v/>
      </c>
      <c r="F736" s="42">
        <f>(E736-F757)^2</f>
        <v/>
      </c>
      <c r="G736" s="41">
        <f>(E736-F757)^3</f>
        <v/>
      </c>
      <c r="H736" s="41">
        <f>(E736-F757)^4</f>
        <v/>
      </c>
      <c r="I736" s="40" t="n"/>
    </row>
    <row r="737" ht="15" customHeight="1" s="28">
      <c r="A737" s="37" t="n">
        <v>725</v>
      </c>
      <c r="B737" s="37" t="n">
        <v>724</v>
      </c>
      <c r="C737" s="38" t="n">
        <v>4712.52</v>
      </c>
      <c r="D737" s="38">
        <f>4541.138727+0.225904*B737</f>
        <v/>
      </c>
      <c r="E737" s="39">
        <f>C737-D737</f>
        <v/>
      </c>
      <c r="F737" s="39">
        <f>(E737-F757)^2</f>
        <v/>
      </c>
      <c r="G737" s="38">
        <f>(E737-F757)^3</f>
        <v/>
      </c>
      <c r="H737" s="38">
        <f>(E737-F757)^4</f>
        <v/>
      </c>
      <c r="I737" s="37" t="n"/>
    </row>
    <row r="738" ht="15" customHeight="1" s="28">
      <c r="A738" s="40" t="n">
        <v>726</v>
      </c>
      <c r="B738" s="40" t="n">
        <v>725</v>
      </c>
      <c r="C738" s="41" t="n">
        <v>4715.4</v>
      </c>
      <c r="D738" s="41">
        <f>4541.138727+0.225904*B738</f>
        <v/>
      </c>
      <c r="E738" s="42">
        <f>C738-D738</f>
        <v/>
      </c>
      <c r="F738" s="42">
        <f>(E738-F757)^2</f>
        <v/>
      </c>
      <c r="G738" s="41">
        <f>(E738-F757)^3</f>
        <v/>
      </c>
      <c r="H738" s="41">
        <f>(E738-F757)^4</f>
        <v/>
      </c>
      <c r="I738" s="40" t="n"/>
    </row>
    <row r="739" ht="15" customHeight="1" s="28">
      <c r="A739" s="37" t="n">
        <v>727</v>
      </c>
      <c r="B739" s="37" t="n">
        <v>726</v>
      </c>
      <c r="C739" s="38" t="n">
        <v>4720.64</v>
      </c>
      <c r="D739" s="38">
        <f>4541.138727+0.225904*B739</f>
        <v/>
      </c>
      <c r="E739" s="39">
        <f>C739-D739</f>
        <v/>
      </c>
      <c r="F739" s="39">
        <f>(E739-F757)^2</f>
        <v/>
      </c>
      <c r="G739" s="38">
        <f>(E739-F757)^3</f>
        <v/>
      </c>
      <c r="H739" s="38">
        <f>(E739-F757)^4</f>
        <v/>
      </c>
      <c r="I739" s="37" t="n"/>
    </row>
    <row r="740" ht="15" customHeight="1" s="28">
      <c r="A740" s="40" t="n">
        <v>728</v>
      </c>
      <c r="B740" s="40" t="n">
        <v>727</v>
      </c>
      <c r="C740" s="41" t="n">
        <v>4720.74</v>
      </c>
      <c r="D740" s="41">
        <f>4541.138727+0.225904*B740</f>
        <v/>
      </c>
      <c r="E740" s="42">
        <f>C740-D740</f>
        <v/>
      </c>
      <c r="F740" s="42">
        <f>(E740-F757)^2</f>
        <v/>
      </c>
      <c r="G740" s="41">
        <f>(E740-F757)^3</f>
        <v/>
      </c>
      <c r="H740" s="41">
        <f>(E740-F757)^4</f>
        <v/>
      </c>
      <c r="I740" s="40" t="n"/>
    </row>
    <row r="741" ht="15" customHeight="1" s="28">
      <c r="A741" s="37" t="n">
        <v>729</v>
      </c>
      <c r="B741" s="37" t="n">
        <v>728</v>
      </c>
      <c r="C741" s="38" t="n">
        <v>4720.99</v>
      </c>
      <c r="D741" s="38">
        <f>4541.138727+0.225904*B741</f>
        <v/>
      </c>
      <c r="E741" s="39">
        <f>C741-D741</f>
        <v/>
      </c>
      <c r="F741" s="39">
        <f>(E741-F757)^2</f>
        <v/>
      </c>
      <c r="G741" s="38">
        <f>(E741-F757)^3</f>
        <v/>
      </c>
      <c r="H741" s="38">
        <f>(E741-F757)^4</f>
        <v/>
      </c>
      <c r="I741" s="37" t="n"/>
    </row>
    <row r="742" ht="15" customHeight="1" s="28">
      <c r="A742" s="40" t="n">
        <v>730</v>
      </c>
      <c r="B742" s="40" t="n">
        <v>729</v>
      </c>
      <c r="C742" s="41" t="n">
        <v>4727.48</v>
      </c>
      <c r="D742" s="41">
        <f>4541.138727+0.225904*B742</f>
        <v/>
      </c>
      <c r="E742" s="42">
        <f>C742-D742</f>
        <v/>
      </c>
      <c r="F742" s="42">
        <f>(E742-F757)^2</f>
        <v/>
      </c>
      <c r="G742" s="41">
        <f>(E742-F757)^3</f>
        <v/>
      </c>
      <c r="H742" s="41">
        <f>(E742-F757)^4</f>
        <v/>
      </c>
      <c r="I742" s="40" t="n"/>
    </row>
    <row r="743" ht="15" customHeight="1" s="28">
      <c r="A743" s="37" t="n">
        <v>731</v>
      </c>
      <c r="B743" s="37" t="n">
        <v>730</v>
      </c>
      <c r="C743" s="38" t="n">
        <v>4725.66</v>
      </c>
      <c r="D743" s="38">
        <f>4541.138727+0.225904*B743</f>
        <v/>
      </c>
      <c r="E743" s="39">
        <f>C743-D743</f>
        <v/>
      </c>
      <c r="F743" s="39">
        <f>(E743-F757)^2</f>
        <v/>
      </c>
      <c r="G743" s="38">
        <f>(E743-F757)^3</f>
        <v/>
      </c>
      <c r="H743" s="38">
        <f>(E743-F757)^4</f>
        <v/>
      </c>
      <c r="I743" s="37" t="n"/>
    </row>
    <row r="744" ht="15" customHeight="1" s="28">
      <c r="A744" s="40" t="n">
        <v>732</v>
      </c>
      <c r="B744" s="40" t="n">
        <v>731</v>
      </c>
      <c r="C744" s="41" t="n">
        <v>4724.59</v>
      </c>
      <c r="D744" s="41">
        <f>4541.138727+0.225904*B744</f>
        <v/>
      </c>
      <c r="E744" s="42">
        <f>C744-D744</f>
        <v/>
      </c>
      <c r="F744" s="42">
        <f>(E744-F757)^2</f>
        <v/>
      </c>
      <c r="G744" s="41">
        <f>(E744-F757)^3</f>
        <v/>
      </c>
      <c r="H744" s="41">
        <f>(E744-F757)^4</f>
        <v/>
      </c>
      <c r="I744" s="40" t="n"/>
    </row>
    <row r="745" ht="15" customHeight="1" s="28">
      <c r="A745" s="37" t="n">
        <v>733</v>
      </c>
      <c r="B745" s="37" t="n">
        <v>732</v>
      </c>
      <c r="C745" s="38" t="n">
        <v>4721.83</v>
      </c>
      <c r="D745" s="38">
        <f>4541.138727+0.225904*B745</f>
        <v/>
      </c>
      <c r="E745" s="39">
        <f>C745-D745</f>
        <v/>
      </c>
      <c r="F745" s="39">
        <f>(E745-F757)^2</f>
        <v/>
      </c>
      <c r="G745" s="38">
        <f>(E745-F757)^3</f>
        <v/>
      </c>
      <c r="H745" s="38">
        <f>(E745-F757)^4</f>
        <v/>
      </c>
      <c r="I745" s="37" t="n"/>
    </row>
    <row r="746" ht="15" customHeight="1" s="28">
      <c r="A746" s="40" t="n">
        <v>734</v>
      </c>
      <c r="B746" s="40" t="n">
        <v>733</v>
      </c>
      <c r="C746" s="41" t="n">
        <v>4723.57</v>
      </c>
      <c r="D746" s="41">
        <f>4541.138727+0.225904*B746</f>
        <v/>
      </c>
      <c r="E746" s="42">
        <f>C746-D746</f>
        <v/>
      </c>
      <c r="F746" s="42">
        <f>(E746-F757)^2</f>
        <v/>
      </c>
      <c r="G746" s="41">
        <f>(E746-F757)^3</f>
        <v/>
      </c>
      <c r="H746" s="41">
        <f>(E746-F757)^4</f>
        <v/>
      </c>
      <c r="I746" s="40" t="n"/>
    </row>
    <row r="747" ht="15" customHeight="1" s="28">
      <c r="A747" s="37" t="n">
        <v>735</v>
      </c>
      <c r="B747" s="37" t="n">
        <v>734</v>
      </c>
      <c r="C747" s="38" t="n">
        <v>4723.71</v>
      </c>
      <c r="D747" s="38">
        <f>4541.138727+0.225904*B747</f>
        <v/>
      </c>
      <c r="E747" s="39">
        <f>C747-D747</f>
        <v/>
      </c>
      <c r="F747" s="39">
        <f>(E747-F757)^2</f>
        <v/>
      </c>
      <c r="G747" s="38">
        <f>(E747-F757)^3</f>
        <v/>
      </c>
      <c r="H747" s="38">
        <f>(E747-F757)^4</f>
        <v/>
      </c>
      <c r="I747" s="37" t="n"/>
    </row>
    <row r="748" ht="15" customHeight="1" s="28">
      <c r="A748" s="40" t="n">
        <v>736</v>
      </c>
      <c r="B748" s="40" t="n">
        <v>735</v>
      </c>
      <c r="C748" s="41" t="n">
        <v>4725.3</v>
      </c>
      <c r="D748" s="41">
        <f>4541.138727+0.225904*B748</f>
        <v/>
      </c>
      <c r="E748" s="42">
        <f>C748-D748</f>
        <v/>
      </c>
      <c r="F748" s="42">
        <f>(E748-F757)^2</f>
        <v/>
      </c>
      <c r="G748" s="41">
        <f>(E748-F757)^3</f>
        <v/>
      </c>
      <c r="H748" s="41">
        <f>(E748-F757)^4</f>
        <v/>
      </c>
      <c r="I748" s="40" t="n"/>
    </row>
    <row r="749" ht="15" customHeight="1" s="28">
      <c r="A749" s="37" t="n">
        <v>737</v>
      </c>
      <c r="B749" s="37" t="n">
        <v>736</v>
      </c>
      <c r="C749" s="38" t="n">
        <v>4724.02</v>
      </c>
      <c r="D749" s="38">
        <f>4541.138727+0.225904*B749</f>
        <v/>
      </c>
      <c r="E749" s="39">
        <f>C749-D749</f>
        <v/>
      </c>
      <c r="F749" s="39">
        <f>(E749-F757)^2</f>
        <v/>
      </c>
      <c r="G749" s="38">
        <f>(E749-F757)^3</f>
        <v/>
      </c>
      <c r="H749" s="38">
        <f>(E749-F757)^4</f>
        <v/>
      </c>
      <c r="I749" s="37" t="n"/>
    </row>
    <row r="750" ht="15" customHeight="1" s="28">
      <c r="A750" s="40" t="n">
        <v>738</v>
      </c>
      <c r="B750" s="40" t="n">
        <v>737</v>
      </c>
      <c r="C750" s="41" t="n">
        <v>4718.85</v>
      </c>
      <c r="D750" s="41">
        <f>4541.138727+0.225904*B750</f>
        <v/>
      </c>
      <c r="E750" s="42">
        <f>C750-D750</f>
        <v/>
      </c>
      <c r="F750" s="42">
        <f>(E750-F757)^2</f>
        <v/>
      </c>
      <c r="G750" s="41">
        <f>(E750-F757)^3</f>
        <v/>
      </c>
      <c r="H750" s="41">
        <f>(E750-F757)^4</f>
        <v/>
      </c>
      <c r="I750" s="40" t="n"/>
    </row>
    <row r="751" ht="15" customHeight="1" s="28">
      <c r="A751" s="37" t="n">
        <v>739</v>
      </c>
      <c r="B751" s="37" t="n">
        <v>738</v>
      </c>
      <c r="C751" s="38" t="n">
        <v>4717.38</v>
      </c>
      <c r="D751" s="38">
        <f>4541.138727+0.225904*B751</f>
        <v/>
      </c>
      <c r="E751" s="39">
        <f>C751-D751</f>
        <v/>
      </c>
      <c r="F751" s="39">
        <f>(E751-F757)^2</f>
        <v/>
      </c>
      <c r="G751" s="38">
        <f>(E751-F757)^3</f>
        <v/>
      </c>
      <c r="H751" s="38">
        <f>(E751-F757)^4</f>
        <v/>
      </c>
      <c r="I751" s="37" t="n"/>
    </row>
    <row r="752" ht="15" customHeight="1" s="28">
      <c r="A752" s="40" t="n">
        <v>740</v>
      </c>
      <c r="B752" s="40" t="n">
        <v>739</v>
      </c>
      <c r="C752" s="41" t="n">
        <v>4716.4</v>
      </c>
      <c r="D752" s="41">
        <f>4541.138727+0.225904*B752</f>
        <v/>
      </c>
      <c r="E752" s="42">
        <f>C752-D752</f>
        <v/>
      </c>
      <c r="F752" s="42">
        <f>(E752-F757)^2</f>
        <v/>
      </c>
      <c r="G752" s="41">
        <f>(E752-F757)^3</f>
        <v/>
      </c>
      <c r="H752" s="41">
        <f>(E752-F757)^4</f>
        <v/>
      </c>
      <c r="I752" s="40" t="n"/>
    </row>
    <row r="753" ht="15" customHeight="1" s="28">
      <c r="A753" s="37" t="n">
        <v>741</v>
      </c>
      <c r="B753" s="37" t="n">
        <v>740</v>
      </c>
      <c r="C753" s="38" t="n">
        <v>4715.36</v>
      </c>
      <c r="D753" s="38">
        <f>4541.138727+0.225904*B753</f>
        <v/>
      </c>
      <c r="E753" s="39">
        <f>C753-D753</f>
        <v/>
      </c>
      <c r="F753" s="39">
        <f>(E753-F757)^2</f>
        <v/>
      </c>
      <c r="G753" s="38">
        <f>(E753-F757)^3</f>
        <v/>
      </c>
      <c r="H753" s="38">
        <f>(E753-F757)^4</f>
        <v/>
      </c>
      <c r="I753" s="37" t="n"/>
    </row>
    <row r="755" ht="18" customHeight="1" s="28">
      <c r="A755" s="33" t="inlineStr">
        <is>
          <t>STEP 2 — Summary Statistics: Mean, Variance, Skewness, Kurtosis, JB</t>
        </is>
      </c>
    </row>
    <row r="756" ht="15" customHeight="1" s="28">
      <c r="A756" s="44" t="inlineStr">
        <is>
          <t>n  (sample size)</t>
        </is>
      </c>
      <c r="B756" s="35" t="n"/>
      <c r="C756" s="35" t="n"/>
      <c r="D756" s="35" t="n"/>
      <c r="E756" s="35" t="n"/>
      <c r="F756" s="45" t="n">
        <v>741</v>
      </c>
      <c r="G756" s="35" t="n"/>
      <c r="H756" s="35" t="n"/>
      <c r="I756" s="35" t="n"/>
    </row>
    <row r="757" ht="15" customHeight="1" s="28">
      <c r="A757" s="44" t="inlineStr">
        <is>
          <t>ē  =  AVERAGE(residuals)</t>
        </is>
      </c>
      <c r="B757" s="35" t="n"/>
      <c r="C757" s="35" t="n"/>
      <c r="D757" s="35" t="n"/>
      <c r="E757" s="35" t="n"/>
      <c r="F757" s="47">
        <f>AVERAGE(E13:E753)</f>
        <v/>
      </c>
      <c r="G757" s="35" t="n"/>
      <c r="H757" s="35" t="n"/>
      <c r="I757" s="35" t="n"/>
    </row>
    <row r="758" ht="15" customHeight="1" s="28">
      <c r="A758" s="44" t="inlineStr">
        <is>
          <t>Σ(eᵢ−ē)²</t>
        </is>
      </c>
      <c r="B758" s="35" t="n"/>
      <c r="C758" s="35" t="n"/>
      <c r="D758" s="35" t="n"/>
      <c r="E758" s="35" t="n"/>
      <c r="F758" s="49">
        <f>SUM(F13:F753)</f>
        <v/>
      </c>
      <c r="G758" s="35" t="n"/>
      <c r="H758" s="35" t="n"/>
      <c r="I758" s="35" t="n"/>
    </row>
    <row r="759" ht="15" customHeight="1" s="28">
      <c r="A759" s="44" t="inlineStr">
        <is>
          <t>Variance  σ²  =  Σ(eᵢ−ē)² / n</t>
        </is>
      </c>
      <c r="B759" s="35" t="n"/>
      <c r="C759" s="35" t="n"/>
      <c r="D759" s="35" t="n"/>
      <c r="E759" s="35" t="n"/>
      <c r="F759" s="47">
        <f>F758/F756</f>
        <v/>
      </c>
      <c r="G759" s="35" t="n"/>
      <c r="H759" s="35" t="n"/>
      <c r="I759" s="35" t="n"/>
    </row>
    <row r="760" ht="15" customHeight="1" s="28">
      <c r="A760" s="44" t="inlineStr">
        <is>
          <t>Std Dev  σ  =  √σ²</t>
        </is>
      </c>
      <c r="B760" s="35" t="n"/>
      <c r="C760" s="35" t="n"/>
      <c r="D760" s="35" t="n"/>
      <c r="E760" s="35" t="n"/>
      <c r="F760" s="47">
        <f>SQRT(F759)</f>
        <v/>
      </c>
      <c r="G760" s="35" t="n"/>
      <c r="H760" s="35" t="n"/>
      <c r="I760" s="35" t="n"/>
    </row>
    <row r="761" ht="15" customHeight="1" s="28">
      <c r="A761" s="44" t="inlineStr">
        <is>
          <t>Σ(eᵢ−ē)³</t>
        </is>
      </c>
      <c r="B761" s="35" t="n"/>
      <c r="C761" s="35" t="n"/>
      <c r="D761" s="35" t="n"/>
      <c r="E761" s="35" t="n"/>
      <c r="F761" s="49">
        <f>SUM(G13:G753)</f>
        <v/>
      </c>
      <c r="G761" s="35" t="n"/>
      <c r="H761" s="35" t="n"/>
      <c r="I761" s="35" t="n"/>
    </row>
    <row r="762" ht="15" customHeight="1" s="28">
      <c r="A762" s="44" t="inlineStr">
        <is>
          <t>Σ(eᵢ−ē)⁴</t>
        </is>
      </c>
      <c r="B762" s="35" t="n"/>
      <c r="C762" s="35" t="n"/>
      <c r="D762" s="35" t="n"/>
      <c r="E762" s="35" t="n"/>
      <c r="F762" s="49">
        <f>SUM(H13:H753)</f>
        <v/>
      </c>
      <c r="G762" s="35" t="n"/>
      <c r="H762" s="35" t="n"/>
      <c r="I762" s="35" t="n"/>
    </row>
    <row r="763" ht="15" customHeight="1" s="28">
      <c r="A763" s="44" t="inlineStr">
        <is>
          <t>Skewness  S  =  [Σ(eᵢ−ē)³/n] / σ³</t>
        </is>
      </c>
      <c r="B763" s="35" t="n"/>
      <c r="C763" s="35" t="n"/>
      <c r="D763" s="35" t="n"/>
      <c r="E763" s="35" t="n"/>
      <c r="F763" s="47">
        <f>(F761/F756)/(F760^3)</f>
        <v/>
      </c>
      <c r="G763" s="35" t="n"/>
      <c r="H763" s="35" t="n"/>
      <c r="I763" s="35" t="n"/>
    </row>
    <row r="764" ht="15" customHeight="1" s="28">
      <c r="A764" s="44" t="inlineStr">
        <is>
          <t>Kurtosis  K  =  [Σ(eᵢ−ē)⁴/n] / σ⁴</t>
        </is>
      </c>
      <c r="B764" s="35" t="n"/>
      <c r="C764" s="35" t="n"/>
      <c r="D764" s="35" t="n"/>
      <c r="E764" s="35" t="n"/>
      <c r="F764" s="47">
        <f>(F762/F756)/(F760^4)</f>
        <v/>
      </c>
      <c r="G764" s="35" t="n"/>
      <c r="H764" s="35" t="n"/>
      <c r="I764" s="35" t="n"/>
    </row>
    <row r="765" ht="15" customHeight="1" s="28">
      <c r="A765" s="44" t="inlineStr">
        <is>
          <t>Excess Kurtosis  (K − 3)</t>
        </is>
      </c>
      <c r="B765" s="35" t="n"/>
      <c r="C765" s="35" t="n"/>
      <c r="D765" s="35" t="n"/>
      <c r="E765" s="35" t="n"/>
      <c r="F765" s="47">
        <f>F764-3</f>
        <v/>
      </c>
      <c r="G765" s="35" t="n"/>
      <c r="H765" s="35" t="n"/>
      <c r="I765" s="35" t="n"/>
    </row>
    <row r="766" ht="15" customHeight="1" s="28">
      <c r="A766" s="44" t="inlineStr">
        <is>
          <t>JB  =  (n/6) · [ S² + (K−3)²/4 ]</t>
        </is>
      </c>
      <c r="B766" s="35" t="n"/>
      <c r="C766" s="35" t="n"/>
      <c r="D766" s="35" t="n"/>
      <c r="E766" s="35" t="n"/>
      <c r="F766" s="52">
        <f>(F756/6)*(F763^2+(F765)^2/4)</f>
        <v/>
      </c>
      <c r="G766" s="35" t="n"/>
      <c r="H766" s="35" t="n"/>
      <c r="I766" s="35" t="n"/>
    </row>
    <row r="767" ht="15" customHeight="1" s="28">
      <c r="A767" s="44" t="inlineStr">
        <is>
          <t>p-value  =  CHISQ.DIST.RT(JB, 2)</t>
        </is>
      </c>
      <c r="B767" s="35" t="n"/>
      <c r="C767" s="35" t="n"/>
      <c r="D767" s="35" t="n"/>
      <c r="E767" s="35" t="n"/>
      <c r="F767" s="53">
        <f>CHIDIST(F766,2)</f>
        <v/>
      </c>
      <c r="G767" s="35" t="n"/>
      <c r="H767" s="35" t="n"/>
      <c r="I767" s="35" t="n"/>
    </row>
    <row r="768" ht="15" customHeight="1" s="28">
      <c r="A768" s="44" t="inlineStr">
        <is>
          <t>α  (significance level)</t>
        </is>
      </c>
      <c r="B768" s="35" t="n"/>
      <c r="C768" s="35" t="n"/>
      <c r="D768" s="35" t="n"/>
      <c r="E768" s="35" t="n"/>
      <c r="F768" s="49" t="n">
        <v>0.05</v>
      </c>
      <c r="G768" s="35" t="n"/>
      <c r="H768" s="35" t="n"/>
      <c r="I768" s="35" t="n"/>
    </row>
    <row r="769" ht="21.75" customHeight="1" s="28">
      <c r="A769" s="50" t="inlineStr">
        <is>
          <t>DECISION:  p-value ≈ 2.28e-20 &lt; α (0.05)  ⟹  REJECT H₀  →  Residuals are NOT normally distributed  [JB ≈ 90.46 | Skewness and/or Excess Kurtosis significantly ≠ 0]</t>
        </is>
      </c>
    </row>
  </sheetData>
  <mergeCells count="38">
    <mergeCell ref="F764:I764"/>
    <mergeCell ref="B7:I7"/>
    <mergeCell ref="A757:E757"/>
    <mergeCell ref="A766:E766"/>
    <mergeCell ref="A760:E760"/>
    <mergeCell ref="F761:I761"/>
    <mergeCell ref="B3:I3"/>
    <mergeCell ref="A756:E756"/>
    <mergeCell ref="F760:I760"/>
    <mergeCell ref="A762:E762"/>
    <mergeCell ref="F766:I766"/>
    <mergeCell ref="B2:I2"/>
    <mergeCell ref="F756:I756"/>
    <mergeCell ref="F762:I762"/>
    <mergeCell ref="B8:I8"/>
    <mergeCell ref="A758:E758"/>
    <mergeCell ref="A767:E767"/>
    <mergeCell ref="A763:E763"/>
    <mergeCell ref="F758:I758"/>
    <mergeCell ref="F767:I767"/>
    <mergeCell ref="B4:I4"/>
    <mergeCell ref="F757:I757"/>
    <mergeCell ref="A755:I755"/>
    <mergeCell ref="F759:I759"/>
    <mergeCell ref="A769:I769"/>
    <mergeCell ref="A768:E768"/>
    <mergeCell ref="A759:E759"/>
    <mergeCell ref="B9:I9"/>
    <mergeCell ref="A11:I11"/>
    <mergeCell ref="F763:I763"/>
    <mergeCell ref="B6:I6"/>
    <mergeCell ref="A765:E765"/>
    <mergeCell ref="F768:I768"/>
    <mergeCell ref="A1:I1"/>
    <mergeCell ref="B5:I5"/>
    <mergeCell ref="A761:E761"/>
    <mergeCell ref="A764:E764"/>
    <mergeCell ref="F765:I7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9" min="1" max="1"/>
    <col width="16" customWidth="1" style="29" min="2" max="2"/>
    <col width="14" customWidth="1" style="29" min="3" max="3"/>
    <col width="16" customWidth="1" style="29" min="4" max="5"/>
    <col width="18" customWidth="1" style="29" min="6" max="6"/>
    <col width="8" customWidth="1" style="29" min="7" max="8"/>
  </cols>
  <sheetData>
    <row r="1" ht="25.5" customHeight="1" s="28">
      <c r="A1" s="30" t="inlineStr">
        <is>
          <t>BREUSCH-PAGAN HOMOSCEDASTICITY TEST  |  MODEL A  |  n = 65 Crossings</t>
        </is>
      </c>
    </row>
    <row r="2" ht="15.75" customHeight="1" s="28">
      <c r="A2" s="31" t="inlineStr">
        <is>
          <t>H₀:</t>
        </is>
      </c>
      <c r="B2" s="32" t="inlineStr">
        <is>
          <t>Variance of residuals is constant  (homoscedastic)   |   H₁: Variance depends on X  (heteroscedastic)</t>
        </is>
      </c>
    </row>
    <row r="3" ht="15.75" customHeight="1" s="28">
      <c r="A3" s="31" t="inlineStr">
        <is>
          <t>PURPOSE:</t>
        </is>
      </c>
      <c r="B3" s="32" t="inlineStr">
        <is>
          <t>Tests whether residual variance increases or decreases with the predictor X by regressing squared residuals on X.  Best for small samples with approximately normal residuals.</t>
        </is>
      </c>
    </row>
    <row r="4" ht="15.75" customHeight="1" s="28">
      <c r="A4" s="31" t="inlineStr">
        <is>
          <t>STEPS:</t>
        </is>
      </c>
      <c r="B4" s="32" t="inlineStr">
        <is>
          <t>1. Fit main OLS:  close = β₀ + β₁·X + ε   →   get residuals eᵢ</t>
        </is>
      </c>
    </row>
    <row r="5" ht="15.75" customHeight="1" s="28">
      <c r="A5" s="31" t="n"/>
      <c r="B5" s="32" t="inlineStr">
        <is>
          <t>2. Compute eᵢ²   (squared residuals become the auxiliary dependent variable)</t>
        </is>
      </c>
    </row>
    <row r="6" ht="15.75" customHeight="1" s="28">
      <c r="A6" s="31" t="n"/>
      <c r="B6" s="32" t="inlineStr">
        <is>
          <t>3. Auxiliary OLS:  eᵢ² = γ₀ + γ₁·X + u   →   obtain R²_aux</t>
        </is>
      </c>
    </row>
    <row r="7" ht="15.75" customHeight="1" s="28">
      <c r="A7" s="31" t="n"/>
      <c r="B7" s="32" t="inlineStr">
        <is>
          <t>4. LM = n · R²_aux   ~  χ²(k),   k = 1 predictor in auxiliary regression</t>
        </is>
      </c>
    </row>
    <row r="8" ht="15.75" customHeight="1" s="28">
      <c r="A8" s="31" t="inlineStr">
        <is>
          <t>p-value:</t>
        </is>
      </c>
      <c r="B8" s="32" t="inlineStr">
        <is>
          <t>CHISQ.DIST.RT(LM, k)</t>
        </is>
      </c>
    </row>
    <row r="9" ht="15.75" customHeight="1" s="28">
      <c r="A9" s="31" t="inlineStr">
        <is>
          <t>REGRESSION:</t>
        </is>
      </c>
      <c r="B9" s="32" t="inlineStr">
        <is>
          <t>β₀ = 4540.2666   β₁ = 2.733967   [blue = hardcoded inputs]</t>
        </is>
      </c>
    </row>
    <row r="10" ht="15.75" customHeight="1" s="28">
      <c r="A10" s="31" t="inlineStr">
        <is>
          <t>DECISION:</t>
        </is>
      </c>
      <c r="B10" s="32" t="inlineStr">
        <is>
          <t>Reject H₀ if  p-value &lt; α = 0.05</t>
        </is>
      </c>
    </row>
    <row r="12" ht="18" customHeight="1" s="28">
      <c r="A12" s="33" t="inlineStr">
        <is>
          <t>STEP 1 — Main OLS: Residuals eᵢ and Squared Residuals eᵢ²  (ŷᵢ = 4540.2666 + 2.733967 · bar_idx)</t>
        </is>
      </c>
    </row>
    <row r="13" ht="31.5" customHeight="1" s="28">
      <c r="A13" s="34" t="inlineStr">
        <is>
          <t>i</t>
        </is>
      </c>
      <c r="B13" s="34" t="inlineStr">
        <is>
          <t>Bar Index (X)</t>
        </is>
      </c>
      <c r="C13" s="34" t="inlineStr">
        <is>
          <t>Close Price</t>
        </is>
      </c>
      <c r="D13" s="34" t="inlineStr">
        <is>
          <t>OLS Fitted ŷᵢ</t>
        </is>
      </c>
      <c r="E13" s="34" t="inlineStr">
        <is>
          <t>Residual eᵢ</t>
        </is>
      </c>
      <c r="F13" s="34" t="inlineStr">
        <is>
          <t>eᵢ²  (aux. Y)</t>
        </is>
      </c>
      <c r="G13" s="34" t="n"/>
      <c r="H13" s="36" t="n"/>
    </row>
    <row r="14" ht="15" customHeight="1" s="28">
      <c r="A14" s="37" t="n">
        <v>1</v>
      </c>
      <c r="B14" s="37" t="n">
        <v>0</v>
      </c>
      <c r="C14" s="38" t="n">
        <v>4595.7</v>
      </c>
      <c r="D14" s="38">
        <f>4540.266601+2.733967*B14</f>
        <v/>
      </c>
      <c r="E14" s="39">
        <f>C14-D14</f>
        <v/>
      </c>
      <c r="F14" s="38">
        <f>E14^2</f>
        <v/>
      </c>
      <c r="G14" s="37" t="n"/>
      <c r="H14" s="37" t="n"/>
    </row>
    <row r="15" ht="15" customHeight="1" s="28">
      <c r="A15" s="40" t="n">
        <v>2</v>
      </c>
      <c r="B15" s="40" t="n">
        <v>1</v>
      </c>
      <c r="C15" s="41" t="n">
        <v>4590.84</v>
      </c>
      <c r="D15" s="41">
        <f>4540.266601+2.733967*B15</f>
        <v/>
      </c>
      <c r="E15" s="42">
        <f>C15-D15</f>
        <v/>
      </c>
      <c r="F15" s="41">
        <f>E15^2</f>
        <v/>
      </c>
      <c r="G15" s="40" t="n"/>
      <c r="H15" s="40" t="n"/>
    </row>
    <row r="16" ht="15" customHeight="1" s="28">
      <c r="A16" s="37" t="n">
        <v>3</v>
      </c>
      <c r="B16" s="37" t="n">
        <v>2</v>
      </c>
      <c r="C16" s="38" t="n">
        <v>4603.88</v>
      </c>
      <c r="D16" s="38">
        <f>4540.266601+2.733967*B16</f>
        <v/>
      </c>
      <c r="E16" s="39">
        <f>C16-D16</f>
        <v/>
      </c>
      <c r="F16" s="38">
        <f>E16^2</f>
        <v/>
      </c>
      <c r="G16" s="37" t="n"/>
      <c r="H16" s="37" t="n"/>
    </row>
    <row r="17" ht="15" customHeight="1" s="28">
      <c r="A17" s="40" t="n">
        <v>4</v>
      </c>
      <c r="B17" s="40" t="n">
        <v>3</v>
      </c>
      <c r="C17" s="41" t="n">
        <v>4600.87</v>
      </c>
      <c r="D17" s="41">
        <f>4540.266601+2.733967*B17</f>
        <v/>
      </c>
      <c r="E17" s="42">
        <f>C17-D17</f>
        <v/>
      </c>
      <c r="F17" s="41">
        <f>E17^2</f>
        <v/>
      </c>
      <c r="G17" s="40" t="n"/>
      <c r="H17" s="40" t="n"/>
    </row>
    <row r="18" ht="15" customHeight="1" s="28">
      <c r="A18" s="37" t="n">
        <v>5</v>
      </c>
      <c r="B18" s="37" t="n">
        <v>4</v>
      </c>
      <c r="C18" s="38" t="n">
        <v>4601.15</v>
      </c>
      <c r="D18" s="38">
        <f>4540.266601+2.733967*B18</f>
        <v/>
      </c>
      <c r="E18" s="39">
        <f>C18-D18</f>
        <v/>
      </c>
      <c r="F18" s="38">
        <f>E18^2</f>
        <v/>
      </c>
      <c r="G18" s="37" t="n"/>
      <c r="H18" s="37" t="n"/>
    </row>
    <row r="19" ht="15" customHeight="1" s="28">
      <c r="A19" s="40" t="n">
        <v>6</v>
      </c>
      <c r="B19" s="40" t="n">
        <v>5</v>
      </c>
      <c r="C19" s="41" t="n">
        <v>4571.78</v>
      </c>
      <c r="D19" s="41">
        <f>4540.266601+2.733967*B19</f>
        <v/>
      </c>
      <c r="E19" s="42">
        <f>C19-D19</f>
        <v/>
      </c>
      <c r="F19" s="41">
        <f>E19^2</f>
        <v/>
      </c>
      <c r="G19" s="40" t="n"/>
      <c r="H19" s="40" t="n"/>
    </row>
    <row r="20" ht="15" customHeight="1" s="28">
      <c r="A20" s="37" t="n">
        <v>7</v>
      </c>
      <c r="B20" s="37" t="n">
        <v>6</v>
      </c>
      <c r="C20" s="38" t="n">
        <v>4561.87</v>
      </c>
      <c r="D20" s="38">
        <f>4540.266601+2.733967*B20</f>
        <v/>
      </c>
      <c r="E20" s="39">
        <f>C20-D20</f>
        <v/>
      </c>
      <c r="F20" s="38">
        <f>E20^2</f>
        <v/>
      </c>
      <c r="G20" s="37" t="n"/>
      <c r="H20" s="37" t="n"/>
    </row>
    <row r="21" ht="15" customHeight="1" s="28">
      <c r="A21" s="40" t="n">
        <v>8</v>
      </c>
      <c r="B21" s="40" t="n">
        <v>7</v>
      </c>
      <c r="C21" s="41" t="n">
        <v>4538.69</v>
      </c>
      <c r="D21" s="41">
        <f>4540.266601+2.733967*B21</f>
        <v/>
      </c>
      <c r="E21" s="42">
        <f>C21-D21</f>
        <v/>
      </c>
      <c r="F21" s="41">
        <f>E21^2</f>
        <v/>
      </c>
      <c r="G21" s="40" t="n"/>
      <c r="H21" s="40" t="n"/>
    </row>
    <row r="22" ht="15" customHeight="1" s="28">
      <c r="A22" s="37" t="n">
        <v>9</v>
      </c>
      <c r="B22" s="37" t="n">
        <v>8</v>
      </c>
      <c r="C22" s="38" t="n">
        <v>4545.36</v>
      </c>
      <c r="D22" s="38">
        <f>4540.266601+2.733967*B22</f>
        <v/>
      </c>
      <c r="E22" s="39">
        <f>C22-D22</f>
        <v/>
      </c>
      <c r="F22" s="38">
        <f>E22^2</f>
        <v/>
      </c>
      <c r="G22" s="37" t="n"/>
      <c r="H22" s="37" t="n"/>
    </row>
    <row r="23" ht="15" customHeight="1" s="28">
      <c r="A23" s="40" t="n">
        <v>10</v>
      </c>
      <c r="B23" s="40" t="n">
        <v>9</v>
      </c>
      <c r="C23" s="41" t="n">
        <v>4538.19</v>
      </c>
      <c r="D23" s="41">
        <f>4540.266601+2.733967*B23</f>
        <v/>
      </c>
      <c r="E23" s="42">
        <f>C23-D23</f>
        <v/>
      </c>
      <c r="F23" s="41">
        <f>E23^2</f>
        <v/>
      </c>
      <c r="G23" s="40" t="n"/>
      <c r="H23" s="40" t="n"/>
    </row>
    <row r="24" ht="15" customHeight="1" s="28">
      <c r="A24" s="37" t="n">
        <v>11</v>
      </c>
      <c r="B24" s="37" t="n">
        <v>10</v>
      </c>
      <c r="C24" s="38" t="n">
        <v>4573.13</v>
      </c>
      <c r="D24" s="38">
        <f>4540.266601+2.733967*B24</f>
        <v/>
      </c>
      <c r="E24" s="39">
        <f>C24-D24</f>
        <v/>
      </c>
      <c r="F24" s="38">
        <f>E24^2</f>
        <v/>
      </c>
      <c r="G24" s="37" t="n"/>
      <c r="H24" s="37" t="n"/>
    </row>
    <row r="25" ht="15" customHeight="1" s="28">
      <c r="A25" s="40" t="n">
        <v>12</v>
      </c>
      <c r="B25" s="40" t="n">
        <v>11</v>
      </c>
      <c r="C25" s="41" t="n">
        <v>4553.22</v>
      </c>
      <c r="D25" s="41">
        <f>4540.266601+2.733967*B25</f>
        <v/>
      </c>
      <c r="E25" s="42">
        <f>C25-D25</f>
        <v/>
      </c>
      <c r="F25" s="41">
        <f>E25^2</f>
        <v/>
      </c>
      <c r="G25" s="40" t="n"/>
      <c r="H25" s="40" t="n"/>
    </row>
    <row r="26" ht="15" customHeight="1" s="28">
      <c r="A26" s="37" t="n">
        <v>13</v>
      </c>
      <c r="B26" s="37" t="n">
        <v>12</v>
      </c>
      <c r="C26" s="38" t="n">
        <v>4629.82</v>
      </c>
      <c r="D26" s="38">
        <f>4540.266601+2.733967*B26</f>
        <v/>
      </c>
      <c r="E26" s="39">
        <f>C26-D26</f>
        <v/>
      </c>
      <c r="F26" s="38">
        <f>E26^2</f>
        <v/>
      </c>
      <c r="G26" s="37" t="n"/>
      <c r="H26" s="37" t="n"/>
    </row>
    <row r="27" ht="15" customHeight="1" s="28">
      <c r="A27" s="40" t="n">
        <v>14</v>
      </c>
      <c r="B27" s="40" t="n">
        <v>13</v>
      </c>
      <c r="C27" s="41" t="n">
        <v>4615.95</v>
      </c>
      <c r="D27" s="41">
        <f>4540.266601+2.733967*B27</f>
        <v/>
      </c>
      <c r="E27" s="42">
        <f>C27-D27</f>
        <v/>
      </c>
      <c r="F27" s="41">
        <f>E27^2</f>
        <v/>
      </c>
      <c r="G27" s="40" t="n"/>
      <c r="H27" s="40" t="n"/>
    </row>
    <row r="28" ht="15" customHeight="1" s="28">
      <c r="A28" s="37" t="n">
        <v>15</v>
      </c>
      <c r="B28" s="37" t="n">
        <v>14</v>
      </c>
      <c r="C28" s="38" t="n">
        <v>4624.33</v>
      </c>
      <c r="D28" s="38">
        <f>4540.266601+2.733967*B28</f>
        <v/>
      </c>
      <c r="E28" s="39">
        <f>C28-D28</f>
        <v/>
      </c>
      <c r="F28" s="38">
        <f>E28^2</f>
        <v/>
      </c>
      <c r="G28" s="37" t="n"/>
      <c r="H28" s="37" t="n"/>
    </row>
    <row r="29" ht="15" customHeight="1" s="28">
      <c r="A29" s="40" t="n">
        <v>16</v>
      </c>
      <c r="B29" s="40" t="n">
        <v>15</v>
      </c>
      <c r="C29" s="41" t="n">
        <v>4616.72</v>
      </c>
      <c r="D29" s="41">
        <f>4540.266601+2.733967*B29</f>
        <v/>
      </c>
      <c r="E29" s="42">
        <f>C29-D29</f>
        <v/>
      </c>
      <c r="F29" s="41">
        <f>E29^2</f>
        <v/>
      </c>
      <c r="G29" s="40" t="n"/>
      <c r="H29" s="40" t="n"/>
    </row>
    <row r="30" ht="15" customHeight="1" s="28">
      <c r="A30" s="37" t="n">
        <v>17</v>
      </c>
      <c r="B30" s="37" t="n">
        <v>16</v>
      </c>
      <c r="C30" s="38" t="n">
        <v>4630.75</v>
      </c>
      <c r="D30" s="38">
        <f>4540.266601+2.733967*B30</f>
        <v/>
      </c>
      <c r="E30" s="39">
        <f>C30-D30</f>
        <v/>
      </c>
      <c r="F30" s="38">
        <f>E30^2</f>
        <v/>
      </c>
      <c r="G30" s="37" t="n"/>
      <c r="H30" s="37" t="n"/>
    </row>
    <row r="31" ht="15" customHeight="1" s="28">
      <c r="A31" s="40" t="n">
        <v>18</v>
      </c>
      <c r="B31" s="40" t="n">
        <v>17</v>
      </c>
      <c r="C31" s="41" t="n">
        <v>4620.2</v>
      </c>
      <c r="D31" s="41">
        <f>4540.266601+2.733967*B31</f>
        <v/>
      </c>
      <c r="E31" s="42">
        <f>C31-D31</f>
        <v/>
      </c>
      <c r="F31" s="41">
        <f>E31^2</f>
        <v/>
      </c>
      <c r="G31" s="40" t="n"/>
      <c r="H31" s="40" t="n"/>
    </row>
    <row r="32" ht="15" customHeight="1" s="28">
      <c r="A32" s="37" t="n">
        <v>19</v>
      </c>
      <c r="B32" s="37" t="n">
        <v>18</v>
      </c>
      <c r="C32" s="38" t="n">
        <v>4626.13</v>
      </c>
      <c r="D32" s="38">
        <f>4540.266601+2.733967*B32</f>
        <v/>
      </c>
      <c r="E32" s="39">
        <f>C32-D32</f>
        <v/>
      </c>
      <c r="F32" s="38">
        <f>E32^2</f>
        <v/>
      </c>
      <c r="G32" s="37" t="n"/>
      <c r="H32" s="37" t="n"/>
    </row>
    <row r="33" ht="15" customHeight="1" s="28">
      <c r="A33" s="40" t="n">
        <v>20</v>
      </c>
      <c r="B33" s="40" t="n">
        <v>19</v>
      </c>
      <c r="C33" s="41" t="n">
        <v>4566.78</v>
      </c>
      <c r="D33" s="41">
        <f>4540.266601+2.733967*B33</f>
        <v/>
      </c>
      <c r="E33" s="42">
        <f>C33-D33</f>
        <v/>
      </c>
      <c r="F33" s="41">
        <f>E33^2</f>
        <v/>
      </c>
      <c r="G33" s="40" t="n"/>
      <c r="H33" s="40" t="n"/>
    </row>
    <row r="34" ht="15" customHeight="1" s="28">
      <c r="A34" s="37" t="n">
        <v>21</v>
      </c>
      <c r="B34" s="37" t="n">
        <v>20</v>
      </c>
      <c r="C34" s="38" t="n">
        <v>4642.75</v>
      </c>
      <c r="D34" s="38">
        <f>4540.266601+2.733967*B34</f>
        <v/>
      </c>
      <c r="E34" s="39">
        <f>C34-D34</f>
        <v/>
      </c>
      <c r="F34" s="38">
        <f>E34^2</f>
        <v/>
      </c>
      <c r="G34" s="37" t="n"/>
      <c r="H34" s="37" t="n"/>
    </row>
    <row r="35" ht="15" customHeight="1" s="28">
      <c r="A35" s="40" t="n">
        <v>22</v>
      </c>
      <c r="B35" s="40" t="n">
        <v>21</v>
      </c>
      <c r="C35" s="41" t="n">
        <v>4613.77</v>
      </c>
      <c r="D35" s="41">
        <f>4540.266601+2.733967*B35</f>
        <v/>
      </c>
      <c r="E35" s="42">
        <f>C35-D35</f>
        <v/>
      </c>
      <c r="F35" s="41">
        <f>E35^2</f>
        <v/>
      </c>
      <c r="G35" s="40" t="n"/>
      <c r="H35" s="40" t="n"/>
    </row>
    <row r="36" ht="15" customHeight="1" s="28">
      <c r="A36" s="37" t="n">
        <v>23</v>
      </c>
      <c r="B36" s="37" t="n">
        <v>22</v>
      </c>
      <c r="C36" s="38" t="n">
        <v>4615.08</v>
      </c>
      <c r="D36" s="38">
        <f>4540.266601+2.733967*B36</f>
        <v/>
      </c>
      <c r="E36" s="39">
        <f>C36-D36</f>
        <v/>
      </c>
      <c r="F36" s="38">
        <f>E36^2</f>
        <v/>
      </c>
      <c r="G36" s="37" t="n"/>
      <c r="H36" s="37" t="n"/>
    </row>
    <row r="37" ht="15" customHeight="1" s="28">
      <c r="A37" s="40" t="n">
        <v>24</v>
      </c>
      <c r="B37" s="40" t="n">
        <v>23</v>
      </c>
      <c r="C37" s="41" t="n">
        <v>4593.09</v>
      </c>
      <c r="D37" s="41">
        <f>4540.266601+2.733967*B37</f>
        <v/>
      </c>
      <c r="E37" s="42">
        <f>C37-D37</f>
        <v/>
      </c>
      <c r="F37" s="41">
        <f>E37^2</f>
        <v/>
      </c>
      <c r="G37" s="40" t="n"/>
      <c r="H37" s="40" t="n"/>
    </row>
    <row r="38" ht="15" customHeight="1" s="28">
      <c r="A38" s="37" t="n">
        <v>25</v>
      </c>
      <c r="B38" s="37" t="n">
        <v>24</v>
      </c>
      <c r="C38" s="38" t="n">
        <v>4608.12</v>
      </c>
      <c r="D38" s="38">
        <f>4540.266601+2.733967*B38</f>
        <v/>
      </c>
      <c r="E38" s="39">
        <f>C38-D38</f>
        <v/>
      </c>
      <c r="F38" s="38">
        <f>E38^2</f>
        <v/>
      </c>
      <c r="G38" s="37" t="n"/>
      <c r="H38" s="37" t="n"/>
    </row>
    <row r="39" ht="15" customHeight="1" s="28">
      <c r="A39" s="40" t="n">
        <v>26</v>
      </c>
      <c r="B39" s="40" t="n">
        <v>25</v>
      </c>
      <c r="C39" s="41" t="n">
        <v>4562.26</v>
      </c>
      <c r="D39" s="41">
        <f>4540.266601+2.733967*B39</f>
        <v/>
      </c>
      <c r="E39" s="42">
        <f>C39-D39</f>
        <v/>
      </c>
      <c r="F39" s="41">
        <f>E39^2</f>
        <v/>
      </c>
      <c r="G39" s="40" t="n"/>
      <c r="H39" s="40" t="n"/>
    </row>
    <row r="40" ht="15" customHeight="1" s="28">
      <c r="A40" s="37" t="n">
        <v>27</v>
      </c>
      <c r="B40" s="37" t="n">
        <v>26</v>
      </c>
      <c r="C40" s="38" t="n">
        <v>4571.2</v>
      </c>
      <c r="D40" s="38">
        <f>4540.266601+2.733967*B40</f>
        <v/>
      </c>
      <c r="E40" s="39">
        <f>C40-D40</f>
        <v/>
      </c>
      <c r="F40" s="38">
        <f>E40^2</f>
        <v/>
      </c>
      <c r="G40" s="37" t="n"/>
      <c r="H40" s="37" t="n"/>
    </row>
    <row r="41" ht="15" customHeight="1" s="28">
      <c r="A41" s="40" t="n">
        <v>28</v>
      </c>
      <c r="B41" s="40" t="n">
        <v>27</v>
      </c>
      <c r="C41" s="41" t="n">
        <v>4522.39</v>
      </c>
      <c r="D41" s="41">
        <f>4540.266601+2.733967*B41</f>
        <v/>
      </c>
      <c r="E41" s="42">
        <f>C41-D41</f>
        <v/>
      </c>
      <c r="F41" s="41">
        <f>E41^2</f>
        <v/>
      </c>
      <c r="G41" s="40" t="n"/>
      <c r="H41" s="40" t="n"/>
    </row>
    <row r="42" ht="15" customHeight="1" s="28">
      <c r="A42" s="37" t="n">
        <v>29</v>
      </c>
      <c r="B42" s="37" t="n">
        <v>28</v>
      </c>
      <c r="C42" s="38" t="n">
        <v>4511.95</v>
      </c>
      <c r="D42" s="38">
        <f>4540.266601+2.733967*B42</f>
        <v/>
      </c>
      <c r="E42" s="39">
        <f>C42-D42</f>
        <v/>
      </c>
      <c r="F42" s="38">
        <f>E42^2</f>
        <v/>
      </c>
      <c r="G42" s="37" t="n"/>
      <c r="H42" s="37" t="n"/>
    </row>
    <row r="43" ht="15" customHeight="1" s="28">
      <c r="A43" s="40" t="n">
        <v>30</v>
      </c>
      <c r="B43" s="40" t="n">
        <v>29</v>
      </c>
      <c r="C43" s="41" t="n">
        <v>4517.46</v>
      </c>
      <c r="D43" s="41">
        <f>4540.266601+2.733967*B43</f>
        <v/>
      </c>
      <c r="E43" s="42">
        <f>C43-D43</f>
        <v/>
      </c>
      <c r="F43" s="41">
        <f>E43^2</f>
        <v/>
      </c>
      <c r="G43" s="40" t="n"/>
      <c r="H43" s="40" t="n"/>
    </row>
    <row r="44" ht="15" customHeight="1" s="28">
      <c r="A44" s="37" t="n">
        <v>31</v>
      </c>
      <c r="B44" s="37" t="n">
        <v>30</v>
      </c>
      <c r="C44" s="38" t="n">
        <v>4519.02</v>
      </c>
      <c r="D44" s="38">
        <f>4540.266601+2.733967*B44</f>
        <v/>
      </c>
      <c r="E44" s="39">
        <f>C44-D44</f>
        <v/>
      </c>
      <c r="F44" s="38">
        <f>E44^2</f>
        <v/>
      </c>
      <c r="G44" s="37" t="n"/>
      <c r="H44" s="37" t="n"/>
    </row>
    <row r="45" ht="15" customHeight="1" s="28">
      <c r="A45" s="40" t="n">
        <v>32</v>
      </c>
      <c r="B45" s="40" t="n">
        <v>31</v>
      </c>
      <c r="C45" s="41" t="n">
        <v>4518.52</v>
      </c>
      <c r="D45" s="41">
        <f>4540.266601+2.733967*B45</f>
        <v/>
      </c>
      <c r="E45" s="42">
        <f>C45-D45</f>
        <v/>
      </c>
      <c r="F45" s="41">
        <f>E45^2</f>
        <v/>
      </c>
      <c r="G45" s="40" t="n"/>
      <c r="H45" s="40" t="n"/>
    </row>
    <row r="46" ht="15" customHeight="1" s="28">
      <c r="A46" s="37" t="n">
        <v>33</v>
      </c>
      <c r="B46" s="37" t="n">
        <v>32</v>
      </c>
      <c r="C46" s="38" t="n">
        <v>4539.17</v>
      </c>
      <c r="D46" s="38">
        <f>4540.266601+2.733967*B46</f>
        <v/>
      </c>
      <c r="E46" s="39">
        <f>C46-D46</f>
        <v/>
      </c>
      <c r="F46" s="38">
        <f>E46^2</f>
        <v/>
      </c>
      <c r="G46" s="37" t="n"/>
      <c r="H46" s="37" t="n"/>
    </row>
    <row r="47" ht="15" customHeight="1" s="28">
      <c r="A47" s="40" t="n">
        <v>34</v>
      </c>
      <c r="B47" s="40" t="n">
        <v>33</v>
      </c>
      <c r="C47" s="41" t="n">
        <v>4531.71</v>
      </c>
      <c r="D47" s="41">
        <f>4540.266601+2.733967*B47</f>
        <v/>
      </c>
      <c r="E47" s="42">
        <f>C47-D47</f>
        <v/>
      </c>
      <c r="F47" s="41">
        <f>E47^2</f>
        <v/>
      </c>
      <c r="G47" s="40" t="n"/>
      <c r="H47" s="40" t="n"/>
    </row>
    <row r="48" ht="15" customHeight="1" s="28">
      <c r="A48" s="37" t="n">
        <v>35</v>
      </c>
      <c r="B48" s="37" t="n">
        <v>34</v>
      </c>
      <c r="C48" s="38" t="n">
        <v>4555.5</v>
      </c>
      <c r="D48" s="38">
        <f>4540.266601+2.733967*B48</f>
        <v/>
      </c>
      <c r="E48" s="39">
        <f>C48-D48</f>
        <v/>
      </c>
      <c r="F48" s="38">
        <f>E48^2</f>
        <v/>
      </c>
      <c r="G48" s="37" t="n"/>
      <c r="H48" s="37" t="n"/>
    </row>
    <row r="49" ht="15" customHeight="1" s="28">
      <c r="A49" s="40" t="n">
        <v>36</v>
      </c>
      <c r="B49" s="40" t="n">
        <v>35</v>
      </c>
      <c r="C49" s="41" t="n">
        <v>4543.73</v>
      </c>
      <c r="D49" s="41">
        <f>4540.266601+2.733967*B49</f>
        <v/>
      </c>
      <c r="E49" s="42">
        <f>C49-D49</f>
        <v/>
      </c>
      <c r="F49" s="41">
        <f>E49^2</f>
        <v/>
      </c>
      <c r="G49" s="40" t="n"/>
      <c r="H49" s="40" t="n"/>
    </row>
    <row r="50" ht="15" customHeight="1" s="28">
      <c r="A50" s="37" t="n">
        <v>37</v>
      </c>
      <c r="B50" s="37" t="n">
        <v>36</v>
      </c>
      <c r="C50" s="38" t="n">
        <v>4580.89</v>
      </c>
      <c r="D50" s="38">
        <f>4540.266601+2.733967*B50</f>
        <v/>
      </c>
      <c r="E50" s="39">
        <f>C50-D50</f>
        <v/>
      </c>
      <c r="F50" s="38">
        <f>E50^2</f>
        <v/>
      </c>
      <c r="G50" s="37" t="n"/>
      <c r="H50" s="37" t="n"/>
    </row>
    <row r="51" ht="15" customHeight="1" s="28">
      <c r="A51" s="40" t="n">
        <v>38</v>
      </c>
      <c r="B51" s="40" t="n">
        <v>37</v>
      </c>
      <c r="C51" s="41" t="n">
        <v>4560.43</v>
      </c>
      <c r="D51" s="41">
        <f>4540.266601+2.733967*B51</f>
        <v/>
      </c>
      <c r="E51" s="42">
        <f>C51-D51</f>
        <v/>
      </c>
      <c r="F51" s="41">
        <f>E51^2</f>
        <v/>
      </c>
      <c r="G51" s="40" t="n"/>
      <c r="H51" s="40" t="n"/>
    </row>
    <row r="52" ht="15" customHeight="1" s="28">
      <c r="A52" s="37" t="n">
        <v>39</v>
      </c>
      <c r="B52" s="37" t="n">
        <v>38</v>
      </c>
      <c r="C52" s="38" t="n">
        <v>4561.04</v>
      </c>
      <c r="D52" s="38">
        <f>4540.266601+2.733967*B52</f>
        <v/>
      </c>
      <c r="E52" s="39">
        <f>C52-D52</f>
        <v/>
      </c>
      <c r="F52" s="38">
        <f>E52^2</f>
        <v/>
      </c>
      <c r="G52" s="37" t="n"/>
      <c r="H52" s="37" t="n"/>
    </row>
    <row r="53" ht="15" customHeight="1" s="28">
      <c r="A53" s="40" t="n">
        <v>40</v>
      </c>
      <c r="B53" s="40" t="n">
        <v>39</v>
      </c>
      <c r="C53" s="41" t="n">
        <v>4550.67</v>
      </c>
      <c r="D53" s="41">
        <f>4540.266601+2.733967*B53</f>
        <v/>
      </c>
      <c r="E53" s="42">
        <f>C53-D53</f>
        <v/>
      </c>
      <c r="F53" s="41">
        <f>E53^2</f>
        <v/>
      </c>
      <c r="G53" s="40" t="n"/>
      <c r="H53" s="40" t="n"/>
    </row>
    <row r="54" ht="15" customHeight="1" s="28">
      <c r="A54" s="37" t="n">
        <v>41</v>
      </c>
      <c r="B54" s="37" t="n">
        <v>40</v>
      </c>
      <c r="C54" s="38" t="n">
        <v>4711.97</v>
      </c>
      <c r="D54" s="38">
        <f>4540.266601+2.733967*B54</f>
        <v/>
      </c>
      <c r="E54" s="39">
        <f>C54-D54</f>
        <v/>
      </c>
      <c r="F54" s="38">
        <f>E54^2</f>
        <v/>
      </c>
      <c r="G54" s="37" t="n"/>
      <c r="H54" s="37" t="n"/>
    </row>
    <row r="55" ht="15" customHeight="1" s="28">
      <c r="A55" s="40" t="n">
        <v>42</v>
      </c>
      <c r="B55" s="40" t="n">
        <v>41</v>
      </c>
      <c r="C55" s="41" t="n">
        <v>4683.63</v>
      </c>
      <c r="D55" s="41">
        <f>4540.266601+2.733967*B55</f>
        <v/>
      </c>
      <c r="E55" s="42">
        <f>C55-D55</f>
        <v/>
      </c>
      <c r="F55" s="41">
        <f>E55^2</f>
        <v/>
      </c>
      <c r="G55" s="40" t="n"/>
      <c r="H55" s="40" t="n"/>
    </row>
    <row r="56" ht="15" customHeight="1" s="28">
      <c r="A56" s="37" t="n">
        <v>43</v>
      </c>
      <c r="B56" s="37" t="n">
        <v>42</v>
      </c>
      <c r="C56" s="38" t="n">
        <v>4703.14</v>
      </c>
      <c r="D56" s="38">
        <f>4540.266601+2.733967*B56</f>
        <v/>
      </c>
      <c r="E56" s="39">
        <f>C56-D56</f>
        <v/>
      </c>
      <c r="F56" s="38">
        <f>E56^2</f>
        <v/>
      </c>
      <c r="G56" s="37" t="n"/>
      <c r="H56" s="37" t="n"/>
    </row>
    <row r="57" ht="15" customHeight="1" s="28">
      <c r="A57" s="40" t="n">
        <v>44</v>
      </c>
      <c r="B57" s="40" t="n">
        <v>43</v>
      </c>
      <c r="C57" s="41" t="n">
        <v>4680.64</v>
      </c>
      <c r="D57" s="41">
        <f>4540.266601+2.733967*B57</f>
        <v/>
      </c>
      <c r="E57" s="42">
        <f>C57-D57</f>
        <v/>
      </c>
      <c r="F57" s="41">
        <f>E57^2</f>
        <v/>
      </c>
      <c r="G57" s="40" t="n"/>
      <c r="H57" s="40" t="n"/>
    </row>
    <row r="58" ht="15" customHeight="1" s="28">
      <c r="A58" s="37" t="n">
        <v>45</v>
      </c>
      <c r="B58" s="37" t="n">
        <v>44</v>
      </c>
      <c r="C58" s="38" t="n">
        <v>4689.09</v>
      </c>
      <c r="D58" s="38">
        <f>4540.266601+2.733967*B58</f>
        <v/>
      </c>
      <c r="E58" s="39">
        <f>C58-D58</f>
        <v/>
      </c>
      <c r="F58" s="38">
        <f>E58^2</f>
        <v/>
      </c>
      <c r="G58" s="37" t="n"/>
      <c r="H58" s="37" t="n"/>
    </row>
    <row r="59" ht="15" customHeight="1" s="28">
      <c r="A59" s="40" t="n">
        <v>46</v>
      </c>
      <c r="B59" s="40" t="n">
        <v>45</v>
      </c>
      <c r="C59" s="41" t="n">
        <v>4690.95</v>
      </c>
      <c r="D59" s="41">
        <f>4540.266601+2.733967*B59</f>
        <v/>
      </c>
      <c r="E59" s="42">
        <f>C59-D59</f>
        <v/>
      </c>
      <c r="F59" s="41">
        <f>E59^2</f>
        <v/>
      </c>
      <c r="G59" s="40" t="n"/>
      <c r="H59" s="40" t="n"/>
    </row>
    <row r="60" ht="15" customHeight="1" s="28">
      <c r="A60" s="37" t="n">
        <v>47</v>
      </c>
      <c r="B60" s="37" t="n">
        <v>46</v>
      </c>
      <c r="C60" s="38" t="n">
        <v>4693.6</v>
      </c>
      <c r="D60" s="38">
        <f>4540.266601+2.733967*B60</f>
        <v/>
      </c>
      <c r="E60" s="39">
        <f>C60-D60</f>
        <v/>
      </c>
      <c r="F60" s="38">
        <f>E60^2</f>
        <v/>
      </c>
      <c r="G60" s="37" t="n"/>
      <c r="H60" s="37" t="n"/>
    </row>
    <row r="61" ht="15" customHeight="1" s="28">
      <c r="A61" s="40" t="n">
        <v>48</v>
      </c>
      <c r="B61" s="40" t="n">
        <v>47</v>
      </c>
      <c r="C61" s="41" t="n">
        <v>4692.51</v>
      </c>
      <c r="D61" s="41">
        <f>4540.266601+2.733967*B61</f>
        <v/>
      </c>
      <c r="E61" s="42">
        <f>C61-D61</f>
        <v/>
      </c>
      <c r="F61" s="41">
        <f>E61^2</f>
        <v/>
      </c>
      <c r="G61" s="40" t="n"/>
      <c r="H61" s="40" t="n"/>
    </row>
    <row r="62" ht="15" customHeight="1" s="28">
      <c r="A62" s="37" t="n">
        <v>49</v>
      </c>
      <c r="B62" s="37" t="n">
        <v>48</v>
      </c>
      <c r="C62" s="38" t="n">
        <v>4704.24</v>
      </c>
      <c r="D62" s="38">
        <f>4540.266601+2.733967*B62</f>
        <v/>
      </c>
      <c r="E62" s="39">
        <f>C62-D62</f>
        <v/>
      </c>
      <c r="F62" s="38">
        <f>E62^2</f>
        <v/>
      </c>
      <c r="G62" s="37" t="n"/>
      <c r="H62" s="37" t="n"/>
    </row>
    <row r="63" ht="15" customHeight="1" s="28">
      <c r="A63" s="40" t="n">
        <v>50</v>
      </c>
      <c r="B63" s="40" t="n">
        <v>49</v>
      </c>
      <c r="C63" s="41" t="n">
        <v>4696.05</v>
      </c>
      <c r="D63" s="41">
        <f>4540.266601+2.733967*B63</f>
        <v/>
      </c>
      <c r="E63" s="42">
        <f>C63-D63</f>
        <v/>
      </c>
      <c r="F63" s="41">
        <f>E63^2</f>
        <v/>
      </c>
      <c r="G63" s="40" t="n"/>
      <c r="H63" s="40" t="n"/>
    </row>
    <row r="64" ht="15" customHeight="1" s="28">
      <c r="A64" s="37" t="n">
        <v>51</v>
      </c>
      <c r="B64" s="37" t="n">
        <v>50</v>
      </c>
      <c r="C64" s="38" t="n">
        <v>4742.66</v>
      </c>
      <c r="D64" s="38">
        <f>4540.266601+2.733967*B64</f>
        <v/>
      </c>
      <c r="E64" s="39">
        <f>C64-D64</f>
        <v/>
      </c>
      <c r="F64" s="38">
        <f>E64^2</f>
        <v/>
      </c>
      <c r="G64" s="37" t="n"/>
      <c r="H64" s="37" t="n"/>
    </row>
    <row r="65" ht="15" customHeight="1" s="28">
      <c r="A65" s="40" t="n">
        <v>52</v>
      </c>
      <c r="B65" s="40" t="n">
        <v>51</v>
      </c>
      <c r="C65" s="41" t="n">
        <v>4734.98</v>
      </c>
      <c r="D65" s="41">
        <f>4540.266601+2.733967*B65</f>
        <v/>
      </c>
      <c r="E65" s="42">
        <f>C65-D65</f>
        <v/>
      </c>
      <c r="F65" s="41">
        <f>E65^2</f>
        <v/>
      </c>
      <c r="G65" s="40" t="n"/>
      <c r="H65" s="40" t="n"/>
    </row>
    <row r="66" ht="15" customHeight="1" s="28">
      <c r="A66" s="37" t="n">
        <v>53</v>
      </c>
      <c r="B66" s="37" t="n">
        <v>52</v>
      </c>
      <c r="C66" s="38" t="n">
        <v>4762.74</v>
      </c>
      <c r="D66" s="38">
        <f>4540.266601+2.733967*B66</f>
        <v/>
      </c>
      <c r="E66" s="39">
        <f>C66-D66</f>
        <v/>
      </c>
      <c r="F66" s="38">
        <f>E66^2</f>
        <v/>
      </c>
      <c r="G66" s="37" t="n"/>
      <c r="H66" s="37" t="n"/>
    </row>
    <row r="67" ht="15" customHeight="1" s="28">
      <c r="A67" s="40" t="n">
        <v>54</v>
      </c>
      <c r="B67" s="40" t="n">
        <v>53</v>
      </c>
      <c r="C67" s="41" t="n">
        <v>4708.08</v>
      </c>
      <c r="D67" s="41">
        <f>4540.266601+2.733967*B67</f>
        <v/>
      </c>
      <c r="E67" s="42">
        <f>C67-D67</f>
        <v/>
      </c>
      <c r="F67" s="41">
        <f>E67^2</f>
        <v/>
      </c>
      <c r="G67" s="40" t="n"/>
      <c r="H67" s="40" t="n"/>
    </row>
    <row r="68" ht="15" customHeight="1" s="28">
      <c r="A68" s="37" t="n">
        <v>55</v>
      </c>
      <c r="B68" s="37" t="n">
        <v>54</v>
      </c>
      <c r="C68" s="38" t="n">
        <v>4709.69</v>
      </c>
      <c r="D68" s="38">
        <f>4540.266601+2.733967*B68</f>
        <v/>
      </c>
      <c r="E68" s="39">
        <f>C68-D68</f>
        <v/>
      </c>
      <c r="F68" s="38">
        <f>E68^2</f>
        <v/>
      </c>
      <c r="G68" s="37" t="n"/>
      <c r="H68" s="37" t="n"/>
    </row>
    <row r="69" ht="15" customHeight="1" s="28">
      <c r="A69" s="40" t="n">
        <v>56</v>
      </c>
      <c r="B69" s="40" t="n">
        <v>55</v>
      </c>
      <c r="C69" s="41" t="n">
        <v>4691.8</v>
      </c>
      <c r="D69" s="41">
        <f>4540.266601+2.733967*B69</f>
        <v/>
      </c>
      <c r="E69" s="42">
        <f>C69-D69</f>
        <v/>
      </c>
      <c r="F69" s="41">
        <f>E69^2</f>
        <v/>
      </c>
      <c r="G69" s="40" t="n"/>
      <c r="H69" s="40" t="n"/>
    </row>
    <row r="70" ht="15" customHeight="1" s="28">
      <c r="A70" s="37" t="n">
        <v>57</v>
      </c>
      <c r="B70" s="37" t="n">
        <v>56</v>
      </c>
      <c r="C70" s="38" t="n">
        <v>4720.44</v>
      </c>
      <c r="D70" s="38">
        <f>4540.266601+2.733967*B70</f>
        <v/>
      </c>
      <c r="E70" s="39">
        <f>C70-D70</f>
        <v/>
      </c>
      <c r="F70" s="38">
        <f>E70^2</f>
        <v/>
      </c>
      <c r="G70" s="37" t="n"/>
      <c r="H70" s="37" t="n"/>
    </row>
    <row r="71" ht="15" customHeight="1" s="28">
      <c r="A71" s="40" t="n">
        <v>58</v>
      </c>
      <c r="B71" s="40" t="n">
        <v>57</v>
      </c>
      <c r="C71" s="41" t="n">
        <v>4711.09</v>
      </c>
      <c r="D71" s="41">
        <f>4540.266601+2.733967*B71</f>
        <v/>
      </c>
      <c r="E71" s="42">
        <f>C71-D71</f>
        <v/>
      </c>
      <c r="F71" s="41">
        <f>E71^2</f>
        <v/>
      </c>
      <c r="G71" s="40" t="n"/>
      <c r="H71" s="40" t="n"/>
    </row>
    <row r="72" ht="15" customHeight="1" s="28">
      <c r="A72" s="37" t="n">
        <v>59</v>
      </c>
      <c r="B72" s="37" t="n">
        <v>58</v>
      </c>
      <c r="C72" s="38" t="n">
        <v>4728.52</v>
      </c>
      <c r="D72" s="38">
        <f>4540.266601+2.733967*B72</f>
        <v/>
      </c>
      <c r="E72" s="39">
        <f>C72-D72</f>
        <v/>
      </c>
      <c r="F72" s="38">
        <f>E72^2</f>
        <v/>
      </c>
      <c r="G72" s="37" t="n"/>
      <c r="H72" s="37" t="n"/>
    </row>
    <row r="73" ht="15" customHeight="1" s="28">
      <c r="A73" s="40" t="n">
        <v>60</v>
      </c>
      <c r="B73" s="40" t="n">
        <v>59</v>
      </c>
      <c r="C73" s="41" t="n">
        <v>4716.85</v>
      </c>
      <c r="D73" s="41">
        <f>4540.266601+2.733967*B73</f>
        <v/>
      </c>
      <c r="E73" s="42">
        <f>C73-D73</f>
        <v/>
      </c>
      <c r="F73" s="41">
        <f>E73^2</f>
        <v/>
      </c>
      <c r="G73" s="40" t="n"/>
      <c r="H73" s="40" t="n"/>
    </row>
    <row r="74" ht="15" customHeight="1" s="28">
      <c r="A74" s="37" t="n">
        <v>61</v>
      </c>
      <c r="B74" s="37" t="n">
        <v>60</v>
      </c>
      <c r="C74" s="38" t="n">
        <v>4722.05</v>
      </c>
      <c r="D74" s="38">
        <f>4540.266601+2.733967*B74</f>
        <v/>
      </c>
      <c r="E74" s="39">
        <f>C74-D74</f>
        <v/>
      </c>
      <c r="F74" s="38">
        <f>E74^2</f>
        <v/>
      </c>
      <c r="G74" s="37" t="n"/>
      <c r="H74" s="37" t="n"/>
    </row>
    <row r="75" ht="15" customHeight="1" s="28">
      <c r="A75" s="40" t="n">
        <v>62</v>
      </c>
      <c r="B75" s="40" t="n">
        <v>61</v>
      </c>
      <c r="C75" s="41" t="n">
        <v>4710.4</v>
      </c>
      <c r="D75" s="41">
        <f>4540.266601+2.733967*B75</f>
        <v/>
      </c>
      <c r="E75" s="42">
        <f>C75-D75</f>
        <v/>
      </c>
      <c r="F75" s="41">
        <f>E75^2</f>
        <v/>
      </c>
      <c r="G75" s="40" t="n"/>
      <c r="H75" s="40" t="n"/>
    </row>
    <row r="76" ht="15" customHeight="1" s="28">
      <c r="A76" s="37" t="n">
        <v>63</v>
      </c>
      <c r="B76" s="37" t="n">
        <v>62</v>
      </c>
      <c r="C76" s="38" t="n">
        <v>4731.78</v>
      </c>
      <c r="D76" s="38">
        <f>4540.266601+2.733967*B76</f>
        <v/>
      </c>
      <c r="E76" s="39">
        <f>C76-D76</f>
        <v/>
      </c>
      <c r="F76" s="38">
        <f>E76^2</f>
        <v/>
      </c>
      <c r="G76" s="37" t="n"/>
      <c r="H76" s="37" t="n"/>
    </row>
    <row r="77" ht="15" customHeight="1" s="28">
      <c r="A77" s="40" t="n">
        <v>64</v>
      </c>
      <c r="B77" s="40" t="n">
        <v>63</v>
      </c>
      <c r="C77" s="41" t="n">
        <v>4717.67</v>
      </c>
      <c r="D77" s="41">
        <f>4540.266601+2.733967*B77</f>
        <v/>
      </c>
      <c r="E77" s="42">
        <f>C77-D77</f>
        <v/>
      </c>
      <c r="F77" s="41">
        <f>E77^2</f>
        <v/>
      </c>
      <c r="G77" s="40" t="n"/>
      <c r="H77" s="40" t="n"/>
    </row>
    <row r="78" ht="15" customHeight="1" s="28">
      <c r="A78" s="37" t="n">
        <v>65</v>
      </c>
      <c r="B78" s="37" t="n">
        <v>64</v>
      </c>
      <c r="C78" s="38" t="n">
        <v>4725.3</v>
      </c>
      <c r="D78" s="38">
        <f>4540.266601+2.733967*B78</f>
        <v/>
      </c>
      <c r="E78" s="39">
        <f>C78-D78</f>
        <v/>
      </c>
      <c r="F78" s="38">
        <f>E78^2</f>
        <v/>
      </c>
      <c r="G78" s="37" t="n"/>
      <c r="H78" s="37" t="n"/>
    </row>
    <row r="80" ht="18" customHeight="1" s="28">
      <c r="A80" s="33" t="inlineStr">
        <is>
          <t>STEP 2 — Auxiliary OLS via LINEST:  eᵢ² = γ₀ + γ₁·X + u   →  extract R²_aux</t>
        </is>
      </c>
    </row>
    <row r="81" ht="21.75" customHeight="1" s="28">
      <c r="A81" s="51" t="inlineStr">
        <is>
          <t>LINEST(y, x, TRUE, TRUE) returns a 5-row × 2-col array:  Row 1=[slope, intercept]  Row 2=[SE_slope, SE_int]  Row 3=[R², SE_y]  Row 4=[F, df_resid]  Row 5=[SS_reg, SS_resid]</t>
        </is>
      </c>
    </row>
    <row r="82" ht="15" customHeight="1" s="28">
      <c r="A82" s="44" t="inlineStr">
        <is>
          <t>γ₁  — slope of X in auxiliary regression</t>
        </is>
      </c>
      <c r="B82" s="35" t="n"/>
      <c r="C82" s="35" t="n"/>
      <c r="D82" s="35" t="n"/>
      <c r="E82" s="35" t="n"/>
      <c r="F82" s="47">
        <f>INDEX(LINEST(F14:F78,B14:B78,TRUE(),TRUE()),1,1)</f>
        <v/>
      </c>
      <c r="G82" s="35" t="n"/>
      <c r="H82" s="35" t="n"/>
    </row>
    <row r="83" ht="15" customHeight="1" s="28">
      <c r="A83" s="44" t="inlineStr">
        <is>
          <t>γ₀  — intercept of auxiliary regression</t>
        </is>
      </c>
      <c r="B83" s="35" t="n"/>
      <c r="C83" s="35" t="n"/>
      <c r="D83" s="35" t="n"/>
      <c r="E83" s="35" t="n"/>
      <c r="F83" s="47">
        <f>INDEX(LINEST(F14:F78,B14:B78,TRUE(),TRUE()),1,2)</f>
        <v/>
      </c>
      <c r="G83" s="35" t="n"/>
      <c r="H83" s="35" t="n"/>
    </row>
    <row r="84" ht="15" customHeight="1" s="28">
      <c r="A84" s="44" t="inlineStr">
        <is>
          <t>R²_aux  =  INDEX(LINEST(eᵢ², X, TRUE, TRUE), 3, 1)</t>
        </is>
      </c>
      <c r="B84" s="35" t="n"/>
      <c r="C84" s="35" t="n"/>
      <c r="D84" s="35" t="n"/>
      <c r="E84" s="35" t="n"/>
      <c r="F84" s="47">
        <f>INDEX(LINEST(F14:F78,B14:B78,TRUE(),TRUE()),3,1)</f>
        <v/>
      </c>
      <c r="G84" s="35" t="n"/>
      <c r="H84" s="35" t="n"/>
    </row>
    <row r="85" ht="15" customHeight="1" s="28">
      <c r="A85" s="44" t="inlineStr">
        <is>
          <t>SE of auxiliary regression</t>
        </is>
      </c>
      <c r="B85" s="35" t="n"/>
      <c r="C85" s="35" t="n"/>
      <c r="D85" s="35" t="n"/>
      <c r="E85" s="35" t="n"/>
      <c r="F85" s="49">
        <f>INDEX(LINEST(F14:F78,B14:B78,TRUE(),TRUE()),3,2)</f>
        <v/>
      </c>
      <c r="G85" s="35" t="n"/>
      <c r="H85" s="35" t="n"/>
    </row>
    <row r="86" ht="15" customHeight="1" s="28">
      <c r="A86" s="44" t="inlineStr">
        <is>
          <t>F-statistic  (auxiliary regression)</t>
        </is>
      </c>
      <c r="B86" s="35" t="n"/>
      <c r="C86" s="35" t="n"/>
      <c r="D86" s="35" t="n"/>
      <c r="E86" s="35" t="n"/>
      <c r="F86" s="52">
        <f>INDEX(LINEST(F14:F78,B14:B78,TRUE(),TRUE()),4,1)</f>
        <v/>
      </c>
      <c r="G86" s="35" t="n"/>
      <c r="H86" s="35" t="n"/>
    </row>
    <row r="87" ht="15" customHeight="1" s="28">
      <c r="A87" s="44" t="inlineStr">
        <is>
          <t>df residual  (auxiliary regression)</t>
        </is>
      </c>
      <c r="B87" s="35" t="n"/>
      <c r="C87" s="35" t="n"/>
      <c r="D87" s="35" t="n"/>
      <c r="E87" s="35" t="n"/>
      <c r="F87" s="45">
        <f>INDEX(LINEST(F14:F78,B14:B78,TRUE(),TRUE()),4,2)</f>
        <v/>
      </c>
      <c r="G87" s="35" t="n"/>
      <c r="H87" s="35" t="n"/>
    </row>
    <row r="89" ht="18" customHeight="1" s="28">
      <c r="A89" s="33" t="inlineStr">
        <is>
          <t>STEP 3 — LM Test Statistic  =  n · R²_aux   ~  χ²(1)</t>
        </is>
      </c>
    </row>
    <row r="90" ht="15" customHeight="1" s="28">
      <c r="A90" s="44" t="inlineStr">
        <is>
          <t>n  (sample size)</t>
        </is>
      </c>
      <c r="B90" s="35" t="n"/>
      <c r="C90" s="35" t="n"/>
      <c r="D90" s="35" t="n"/>
      <c r="E90" s="35" t="n"/>
      <c r="F90" s="45" t="n">
        <v>65</v>
      </c>
      <c r="G90" s="35" t="n"/>
      <c r="H90" s="35" t="n"/>
    </row>
    <row r="91" ht="15" customHeight="1" s="28">
      <c r="A91" s="44" t="inlineStr">
        <is>
          <t>k  (predictors in aux. reg.)</t>
        </is>
      </c>
      <c r="B91" s="35" t="n"/>
      <c r="C91" s="35" t="n"/>
      <c r="D91" s="35" t="n"/>
      <c r="E91" s="35" t="n"/>
      <c r="F91" s="45" t="n">
        <v>1</v>
      </c>
      <c r="G91" s="35" t="n"/>
      <c r="H91" s="35" t="n"/>
    </row>
    <row r="92" ht="15" customHeight="1" s="28">
      <c r="A92" s="44" t="inlineStr">
        <is>
          <t>R²_aux  (from LINEST Step 2)</t>
        </is>
      </c>
      <c r="B92" s="35" t="n"/>
      <c r="C92" s="35" t="n"/>
      <c r="D92" s="35" t="n"/>
      <c r="E92" s="35" t="n"/>
      <c r="F92" s="47">
        <f>F84</f>
        <v/>
      </c>
      <c r="G92" s="35" t="n"/>
      <c r="H92" s="35" t="n"/>
    </row>
    <row r="93" ht="15" customHeight="1" s="28">
      <c r="A93" s="44" t="inlineStr">
        <is>
          <t>LM  =  n · R²_aux</t>
        </is>
      </c>
      <c r="B93" s="35" t="n"/>
      <c r="C93" s="35" t="n"/>
      <c r="D93" s="35" t="n"/>
      <c r="E93" s="35" t="n"/>
      <c r="F93" s="47">
        <f>F90*F92</f>
        <v/>
      </c>
      <c r="G93" s="35" t="n"/>
      <c r="H93" s="35" t="n"/>
    </row>
    <row r="94" ht="15" customHeight="1" s="28">
      <c r="A94" s="44" t="inlineStr">
        <is>
          <t>p-value  =  CHISQ.DIST.RT(LM, k)</t>
        </is>
      </c>
      <c r="B94" s="35" t="n"/>
      <c r="C94" s="35" t="n"/>
      <c r="D94" s="35" t="n"/>
      <c r="E94" s="35" t="n"/>
      <c r="F94" s="47">
        <f>CHIDIST(F93,F91)</f>
        <v/>
      </c>
      <c r="G94" s="35" t="n"/>
      <c r="H94" s="35" t="n"/>
    </row>
    <row r="95" ht="15" customHeight="1" s="28">
      <c r="A95" s="44" t="inlineStr">
        <is>
          <t>Reference LM  (statsmodels)</t>
        </is>
      </c>
      <c r="B95" s="35" t="n"/>
      <c r="C95" s="35" t="n"/>
      <c r="D95" s="35" t="n"/>
      <c r="E95" s="35" t="n"/>
      <c r="F95" s="47" t="n">
        <v>0.184142</v>
      </c>
      <c r="G95" s="35" t="n"/>
      <c r="H95" s="35" t="n"/>
    </row>
    <row r="96" ht="15" customHeight="1" s="28">
      <c r="A96" s="44" t="inlineStr">
        <is>
          <t>Reference p-value  (statsmodels)</t>
        </is>
      </c>
      <c r="B96" s="35" t="n"/>
      <c r="C96" s="35" t="n"/>
      <c r="D96" s="35" t="n"/>
      <c r="E96" s="35" t="n"/>
      <c r="F96" s="47" t="n">
        <v>0.667838</v>
      </c>
      <c r="G96" s="35" t="n"/>
      <c r="H96" s="35" t="n"/>
    </row>
    <row r="97" ht="15" customHeight="1" s="28">
      <c r="A97" s="44" t="inlineStr">
        <is>
          <t>α  (significance level)</t>
        </is>
      </c>
      <c r="B97" s="35" t="n"/>
      <c r="C97" s="35" t="n"/>
      <c r="D97" s="35" t="n"/>
      <c r="E97" s="35" t="n"/>
      <c r="F97" s="49" t="n">
        <v>0.05</v>
      </c>
      <c r="G97" s="35" t="n"/>
      <c r="H97" s="35" t="n"/>
    </row>
    <row r="98" ht="21.75" customHeight="1" s="28">
      <c r="A98" s="54" t="inlineStr">
        <is>
          <t>DECISION:  p-value (0.6678) &gt; α (0.05)  ⟹  FAIL TO REJECT H₀  →  No significant heteroscedasticity detected in crossing data  [LM = 0.1841 | Residual variance appears constant with bar_index]</t>
        </is>
      </c>
    </row>
  </sheetData>
  <mergeCells count="44">
    <mergeCell ref="F95:H95"/>
    <mergeCell ref="A83:E83"/>
    <mergeCell ref="B9:H9"/>
    <mergeCell ref="F94:H94"/>
    <mergeCell ref="A82:E82"/>
    <mergeCell ref="F85:H85"/>
    <mergeCell ref="B6:H6"/>
    <mergeCell ref="A98:H98"/>
    <mergeCell ref="A94:E94"/>
    <mergeCell ref="F97:H97"/>
    <mergeCell ref="A1:H1"/>
    <mergeCell ref="B5:H5"/>
    <mergeCell ref="F91:H91"/>
    <mergeCell ref="A87:E87"/>
    <mergeCell ref="F90:H90"/>
    <mergeCell ref="B4:H4"/>
    <mergeCell ref="A90:E90"/>
    <mergeCell ref="F93:H93"/>
    <mergeCell ref="F96:H96"/>
    <mergeCell ref="A84:E84"/>
    <mergeCell ref="B7:H7"/>
    <mergeCell ref="A80:H80"/>
    <mergeCell ref="G13:H13"/>
    <mergeCell ref="B3:H3"/>
    <mergeCell ref="F92:H92"/>
    <mergeCell ref="A89:H89"/>
    <mergeCell ref="A12:H12"/>
    <mergeCell ref="F82:H82"/>
    <mergeCell ref="A95:E95"/>
    <mergeCell ref="A86:E86"/>
    <mergeCell ref="A85:E85"/>
    <mergeCell ref="B2:H2"/>
    <mergeCell ref="A97:E97"/>
    <mergeCell ref="F87:H87"/>
    <mergeCell ref="A91:E91"/>
    <mergeCell ref="B8:H8"/>
    <mergeCell ref="A96:E96"/>
    <mergeCell ref="A81:H81"/>
    <mergeCell ref="F84:H84"/>
    <mergeCell ref="A93:E93"/>
    <mergeCell ref="B10:H10"/>
    <mergeCell ref="F83:H83"/>
    <mergeCell ref="F86:H86"/>
    <mergeCell ref="A92:E9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style="28" min="1" max="1"/>
    <col width="18" customWidth="1" style="28" min="2" max="2"/>
    <col width="22" customWidth="1" style="28" min="3" max="3"/>
    <col width="22" customWidth="1" style="28" min="4" max="4"/>
    <col width="26" customWidth="1" style="28" min="5" max="5"/>
    <col width="22" customWidth="1" style="28" min="6" max="6"/>
    <col width="6" customWidth="1" style="28" min="7" max="7"/>
    <col width="6" customWidth="1" style="28" min="8" max="8"/>
    <col width="6" customWidth="1" style="28" min="9" max="9"/>
  </cols>
  <sheetData>
    <row r="1" ht="26" customHeight="1" s="28">
      <c r="A1" s="58" t="inlineStr">
        <is>
          <t>SHAPIRO-WILK NORMALITY TEST  |  MODEL A  |  n = 65  |  Residual = ssa − Base_FL  (crossing == 1)</t>
        </is>
      </c>
    </row>
    <row r="2" ht="16" customHeight="1" s="28">
      <c r="A2" s="59" t="inlineStr">
        <is>
          <t>H₀:</t>
        </is>
      </c>
      <c r="B2" s="60" t="inlineStr">
        <is>
          <t>Residuals are normally distributed   |   H₁: Residuals are NOT normally distributed</t>
        </is>
      </c>
    </row>
    <row r="3" ht="16" customHeight="1" s="28">
      <c r="A3" s="59" t="inlineStr">
        <is>
          <t>PURPOSE:</t>
        </is>
      </c>
      <c r="B3" s="60" t="inlineStr">
        <is>
          <t>Tests normality using weighted correlation of ordered residuals against expected normal order statistics.  Most powerful test for n &lt; 2,000.</t>
        </is>
      </c>
    </row>
    <row r="4" ht="16" customHeight="1" s="28">
      <c r="A4" s="59" t="inlineStr">
        <is>
          <t>RESIDUAL:</t>
        </is>
      </c>
      <c r="B4" s="60" t="inlineStr">
        <is>
          <t>eᵢ  =  ssaᵢ  −  Base_FLᵢ     [ssa = SSA signal value at crossing bar  (Export Data col AB);  Base_FL = EDT-Centroid MQL5 regression baseline  (col Q);  Filter: crossing == 1  (Export Data col AD)]</t>
        </is>
      </c>
    </row>
    <row r="5" ht="16" customHeight="1" s="28">
      <c r="A5" s="59" t="inlineStr">
        <is>
          <t>FORMULA:</t>
        </is>
      </c>
      <c r="B5" s="60" t="inlineStr">
        <is>
          <t>W  =  [ Σᵢ aᵢ · (x_(n+1−i) − x_(i)) ]²  /  Σ(xᵢ − x̄)²</t>
        </is>
      </c>
    </row>
    <row r="6" ht="16" customHeight="1" s="28">
      <c r="A6" s="59" t="inlineStr"/>
      <c r="B6" s="60" t="inlineStr">
        <is>
          <t>x_(1) ≤ … ≤ x_(n) = SORTED residuals   |   aᵢ = Shapiro-Wilk coefficients from expected order statistics of N(0,1)</t>
        </is>
      </c>
    </row>
    <row r="7" ht="16" customHeight="1" s="28">
      <c r="A7" s="59" t="inlineStr">
        <is>
          <t>DECISION:</t>
        </is>
      </c>
      <c r="B7" s="60" t="inlineStr">
        <is>
          <t>Reject H₀ if  p-value &lt; α = 0.05</t>
        </is>
      </c>
    </row>
    <row r="9" ht="18" customHeight="1" s="28">
      <c r="A9" s="61" t="inlineStr">
        <is>
          <t>STEP 1 — Residuals:  eᵢ = ssaᵢ − Base_FLᵢ   (65 bars where crossing = 1,  Export Data col AB − col Q)</t>
        </is>
      </c>
    </row>
    <row r="10" ht="32" customHeight="1" s="28">
      <c r="A10" s="62" t="inlineStr">
        <is>
          <t>i</t>
        </is>
      </c>
      <c r="B10" s="62" t="inlineStr">
        <is>
          <t>Bar Index</t>
        </is>
      </c>
      <c r="C10" s="62" t="inlineStr">
        <is>
          <t>ssa  (col AB)</t>
        </is>
      </c>
      <c r="D10" s="62" t="inlineStr">
        <is>
          <t>Base_FL  (col Q)</t>
        </is>
      </c>
      <c r="E10" s="62" t="inlineStr">
        <is>
          <t>Residual  eᵢ = ssa − Base_FL</t>
        </is>
      </c>
      <c r="F10" s="62" t="inlineStr"/>
      <c r="G10" s="63" t="n"/>
      <c r="H10" s="63" t="n"/>
      <c r="I10" s="64" t="n"/>
    </row>
    <row r="11">
      <c r="A11" s="65" t="n">
        <v>1</v>
      </c>
      <c r="B11" s="65" t="n">
        <v>0</v>
      </c>
      <c r="C11" s="66" t="n">
        <v>4596.59339</v>
      </c>
      <c r="D11" s="66" t="n">
        <v>4548.56437</v>
      </c>
      <c r="E11" s="67">
        <f>C11-D11</f>
        <v/>
      </c>
      <c r="F11" s="65" t="inlineStr"/>
      <c r="G11" s="65" t="inlineStr"/>
      <c r="H11" s="65" t="inlineStr"/>
      <c r="I11" s="65" t="inlineStr"/>
    </row>
    <row r="12">
      <c r="A12" s="68" t="n">
        <v>2</v>
      </c>
      <c r="B12" s="68" t="n">
        <v>1</v>
      </c>
      <c r="C12" s="69" t="n">
        <v>4594.17653</v>
      </c>
      <c r="D12" s="69" t="n">
        <v>4550.38638</v>
      </c>
      <c r="E12" s="70">
        <f>C12-D12</f>
        <v/>
      </c>
      <c r="F12" s="68" t="inlineStr"/>
      <c r="G12" s="68" t="inlineStr"/>
      <c r="H12" s="68" t="inlineStr"/>
      <c r="I12" s="68" t="inlineStr"/>
    </row>
    <row r="13">
      <c r="A13" s="65" t="n">
        <v>3</v>
      </c>
      <c r="B13" s="65" t="n">
        <v>2</v>
      </c>
      <c r="C13" s="66" t="n">
        <v>4596.43241</v>
      </c>
      <c r="D13" s="66" t="n">
        <v>4551.60106</v>
      </c>
      <c r="E13" s="67">
        <f>C13-D13</f>
        <v/>
      </c>
      <c r="F13" s="65" t="inlineStr"/>
      <c r="G13" s="65" t="inlineStr"/>
      <c r="H13" s="65" t="inlineStr"/>
      <c r="I13" s="65" t="inlineStr"/>
    </row>
    <row r="14">
      <c r="A14" s="68" t="n">
        <v>4</v>
      </c>
      <c r="B14" s="68" t="n">
        <v>3</v>
      </c>
      <c r="C14" s="69" t="n">
        <v>4592.23227</v>
      </c>
      <c r="D14" s="69" t="n">
        <v>4552.81573</v>
      </c>
      <c r="E14" s="70">
        <f>C14-D14</f>
        <v/>
      </c>
      <c r="F14" s="68" t="inlineStr"/>
      <c r="G14" s="68" t="inlineStr"/>
      <c r="H14" s="68" t="inlineStr"/>
      <c r="I14" s="68" t="inlineStr"/>
    </row>
    <row r="15">
      <c r="A15" s="65" t="n">
        <v>5</v>
      </c>
      <c r="B15" s="65" t="n">
        <v>4</v>
      </c>
      <c r="C15" s="66" t="n">
        <v>4600.84516</v>
      </c>
      <c r="D15" s="66" t="n">
        <v>4555.24508</v>
      </c>
      <c r="E15" s="67">
        <f>C15-D15</f>
        <v/>
      </c>
      <c r="F15" s="65" t="inlineStr"/>
      <c r="G15" s="65" t="inlineStr"/>
      <c r="H15" s="65" t="inlineStr"/>
      <c r="I15" s="65" t="inlineStr"/>
    </row>
    <row r="16">
      <c r="A16" s="68" t="n">
        <v>6</v>
      </c>
      <c r="B16" s="68" t="n">
        <v>5</v>
      </c>
      <c r="C16" s="69" t="n">
        <v>4565.60789</v>
      </c>
      <c r="D16" s="69" t="n">
        <v>4559.49644</v>
      </c>
      <c r="E16" s="70">
        <f>C16-D16</f>
        <v/>
      </c>
      <c r="F16" s="68" t="inlineStr"/>
      <c r="G16" s="68" t="inlineStr"/>
      <c r="H16" s="68" t="inlineStr"/>
      <c r="I16" s="68" t="inlineStr"/>
    </row>
    <row r="17">
      <c r="A17" s="65" t="n">
        <v>7</v>
      </c>
      <c r="B17" s="65" t="n">
        <v>6</v>
      </c>
      <c r="C17" s="66" t="n">
        <v>4566.10145</v>
      </c>
      <c r="D17" s="66" t="n">
        <v>4560.71111</v>
      </c>
      <c r="E17" s="67">
        <f>C17-D17</f>
        <v/>
      </c>
      <c r="F17" s="65" t="inlineStr"/>
      <c r="G17" s="65" t="inlineStr"/>
      <c r="H17" s="65" t="inlineStr"/>
      <c r="I17" s="65" t="inlineStr"/>
    </row>
    <row r="18">
      <c r="A18" s="68" t="n">
        <v>8</v>
      </c>
      <c r="B18" s="68" t="n">
        <v>7</v>
      </c>
      <c r="C18" s="69" t="n">
        <v>4532.06776</v>
      </c>
      <c r="D18" s="69" t="n">
        <v>4562.93802</v>
      </c>
      <c r="E18" s="70">
        <f>C18-D18</f>
        <v/>
      </c>
      <c r="F18" s="68" t="inlineStr"/>
      <c r="G18" s="68" t="inlineStr"/>
      <c r="H18" s="68" t="inlineStr"/>
      <c r="I18" s="68" t="inlineStr"/>
    </row>
    <row r="19">
      <c r="A19" s="65" t="n">
        <v>9</v>
      </c>
      <c r="B19" s="65" t="n">
        <v>8</v>
      </c>
      <c r="C19" s="66" t="n">
        <v>4551.6611</v>
      </c>
      <c r="D19" s="66" t="n">
        <v>4564.76003</v>
      </c>
      <c r="E19" s="67">
        <f>C19-D19</f>
        <v/>
      </c>
      <c r="F19" s="65" t="inlineStr"/>
      <c r="G19" s="65" t="inlineStr"/>
      <c r="H19" s="65" t="inlineStr"/>
      <c r="I19" s="65" t="inlineStr"/>
    </row>
    <row r="20">
      <c r="A20" s="68" t="n">
        <v>10</v>
      </c>
      <c r="B20" s="68" t="n">
        <v>9</v>
      </c>
      <c r="C20" s="69" t="n">
        <v>4535.96113</v>
      </c>
      <c r="D20" s="69" t="n">
        <v>4566.37959</v>
      </c>
      <c r="E20" s="70">
        <f>C20-D20</f>
        <v/>
      </c>
      <c r="F20" s="68" t="inlineStr"/>
      <c r="G20" s="68" t="inlineStr"/>
      <c r="H20" s="68" t="inlineStr"/>
      <c r="I20" s="68" t="inlineStr"/>
    </row>
    <row r="21">
      <c r="A21" s="65" t="n">
        <v>11</v>
      </c>
      <c r="B21" s="65" t="n">
        <v>10</v>
      </c>
      <c r="C21" s="66" t="n">
        <v>4573.70372</v>
      </c>
      <c r="D21" s="66" t="n">
        <v>4571.64318</v>
      </c>
      <c r="E21" s="67">
        <f>C21-D21</f>
        <v/>
      </c>
      <c r="F21" s="65" t="inlineStr"/>
      <c r="G21" s="65" t="inlineStr"/>
      <c r="H21" s="65" t="inlineStr"/>
      <c r="I21" s="65" t="inlineStr"/>
    </row>
    <row r="22">
      <c r="A22" s="68" t="n">
        <v>12</v>
      </c>
      <c r="B22" s="68" t="n">
        <v>11</v>
      </c>
      <c r="C22" s="69" t="n">
        <v>4551.23411</v>
      </c>
      <c r="D22" s="69" t="n">
        <v>4573.87008</v>
      </c>
      <c r="E22" s="70">
        <f>C22-D22</f>
        <v/>
      </c>
      <c r="F22" s="68" t="inlineStr"/>
      <c r="G22" s="68" t="inlineStr"/>
      <c r="H22" s="68" t="inlineStr"/>
      <c r="I22" s="68" t="inlineStr"/>
    </row>
    <row r="23">
      <c r="A23" s="65" t="n">
        <v>13</v>
      </c>
      <c r="B23" s="65" t="n">
        <v>12</v>
      </c>
      <c r="C23" s="66" t="n">
        <v>4635.23039</v>
      </c>
      <c r="D23" s="66" t="n">
        <v>4579.13367</v>
      </c>
      <c r="E23" s="67">
        <f>C23-D23</f>
        <v/>
      </c>
      <c r="F23" s="65" t="inlineStr"/>
      <c r="G23" s="65" t="inlineStr"/>
      <c r="H23" s="65" t="inlineStr"/>
      <c r="I23" s="65" t="inlineStr"/>
    </row>
    <row r="24">
      <c r="A24" s="68" t="n">
        <v>14</v>
      </c>
      <c r="B24" s="68" t="n">
        <v>13</v>
      </c>
      <c r="C24" s="69" t="n">
        <v>4612.47026</v>
      </c>
      <c r="D24" s="69" t="n">
        <v>4583.58748</v>
      </c>
      <c r="E24" s="70">
        <f>C24-D24</f>
        <v/>
      </c>
      <c r="F24" s="68" t="inlineStr"/>
      <c r="G24" s="68" t="inlineStr"/>
      <c r="H24" s="68" t="inlineStr"/>
      <c r="I24" s="68" t="inlineStr"/>
    </row>
    <row r="25">
      <c r="A25" s="65" t="n">
        <v>15</v>
      </c>
      <c r="B25" s="65" t="n">
        <v>14</v>
      </c>
      <c r="C25" s="66" t="n">
        <v>4621.3179</v>
      </c>
      <c r="D25" s="66" t="n">
        <v>4585.20704</v>
      </c>
      <c r="E25" s="67">
        <f>C25-D25</f>
        <v/>
      </c>
      <c r="F25" s="65" t="inlineStr"/>
      <c r="G25" s="65" t="inlineStr"/>
      <c r="H25" s="65" t="inlineStr"/>
      <c r="I25" s="65" t="inlineStr"/>
    </row>
    <row r="26">
      <c r="A26" s="68" t="n">
        <v>16</v>
      </c>
      <c r="B26" s="68" t="n">
        <v>15</v>
      </c>
      <c r="C26" s="69" t="n">
        <v>4618.42066</v>
      </c>
      <c r="D26" s="69" t="n">
        <v>4586.21927</v>
      </c>
      <c r="E26" s="70">
        <f>C26-D26</f>
        <v/>
      </c>
      <c r="F26" s="68" t="inlineStr"/>
      <c r="G26" s="68" t="inlineStr"/>
      <c r="H26" s="68" t="inlineStr"/>
      <c r="I26" s="68" t="inlineStr"/>
    </row>
    <row r="27">
      <c r="A27" s="65" t="n">
        <v>17</v>
      </c>
      <c r="B27" s="65" t="n">
        <v>16</v>
      </c>
      <c r="C27" s="66" t="n">
        <v>4631.18623</v>
      </c>
      <c r="D27" s="66" t="n">
        <v>4587.83884</v>
      </c>
      <c r="E27" s="67">
        <f>C27-D27</f>
        <v/>
      </c>
      <c r="F27" s="65" t="inlineStr"/>
      <c r="G27" s="65" t="inlineStr"/>
      <c r="H27" s="65" t="inlineStr"/>
      <c r="I27" s="65" t="inlineStr"/>
    </row>
    <row r="28">
      <c r="A28" s="68" t="n">
        <v>18</v>
      </c>
      <c r="B28" s="68" t="n">
        <v>17</v>
      </c>
      <c r="C28" s="69" t="n">
        <v>4621.17664</v>
      </c>
      <c r="D28" s="69" t="n">
        <v>4589.66085</v>
      </c>
      <c r="E28" s="70">
        <f>C28-D28</f>
        <v/>
      </c>
      <c r="F28" s="68" t="inlineStr"/>
      <c r="G28" s="68" t="inlineStr"/>
      <c r="H28" s="68" t="inlineStr"/>
      <c r="I28" s="68" t="inlineStr"/>
    </row>
    <row r="29">
      <c r="A29" s="65" t="n">
        <v>19</v>
      </c>
      <c r="B29" s="65" t="n">
        <v>18</v>
      </c>
      <c r="C29" s="66" t="n">
        <v>4624.70187</v>
      </c>
      <c r="D29" s="66" t="n">
        <v>4591.07797</v>
      </c>
      <c r="E29" s="67">
        <f>C29-D29</f>
        <v/>
      </c>
      <c r="F29" s="65" t="inlineStr"/>
      <c r="G29" s="65" t="inlineStr"/>
      <c r="H29" s="65" t="inlineStr"/>
      <c r="I29" s="65" t="inlineStr"/>
    </row>
    <row r="30">
      <c r="A30" s="68" t="n">
        <v>20</v>
      </c>
      <c r="B30" s="68" t="n">
        <v>19</v>
      </c>
      <c r="C30" s="69" t="n">
        <v>4566.93363</v>
      </c>
      <c r="D30" s="69" t="n">
        <v>4596.544</v>
      </c>
      <c r="E30" s="70">
        <f>C30-D30</f>
        <v/>
      </c>
      <c r="F30" s="68" t="inlineStr"/>
      <c r="G30" s="68" t="inlineStr"/>
      <c r="H30" s="68" t="inlineStr"/>
      <c r="I30" s="68" t="inlineStr"/>
    </row>
    <row r="31">
      <c r="A31" s="65" t="n">
        <v>21</v>
      </c>
      <c r="B31" s="65" t="n">
        <v>20</v>
      </c>
      <c r="C31" s="66" t="n">
        <v>4640.41346</v>
      </c>
      <c r="D31" s="66" t="n">
        <v>4601.4027</v>
      </c>
      <c r="E31" s="67">
        <f>C31-D31</f>
        <v/>
      </c>
      <c r="F31" s="65" t="inlineStr"/>
      <c r="G31" s="65" t="inlineStr"/>
      <c r="H31" s="65" t="inlineStr"/>
      <c r="I31" s="65" t="inlineStr"/>
    </row>
    <row r="32">
      <c r="A32" s="68" t="n">
        <v>22</v>
      </c>
      <c r="B32" s="68" t="n">
        <v>21</v>
      </c>
      <c r="C32" s="69" t="n">
        <v>4615.19343</v>
      </c>
      <c r="D32" s="69" t="n">
        <v>4605.04672</v>
      </c>
      <c r="E32" s="70">
        <f>C32-D32</f>
        <v/>
      </c>
      <c r="F32" s="68" t="inlineStr"/>
      <c r="G32" s="68" t="inlineStr"/>
      <c r="H32" s="68" t="inlineStr"/>
      <c r="I32" s="68" t="inlineStr"/>
    </row>
    <row r="33">
      <c r="A33" s="65" t="n">
        <v>23</v>
      </c>
      <c r="B33" s="65" t="n">
        <v>22</v>
      </c>
      <c r="C33" s="66" t="n">
        <v>4619.52983</v>
      </c>
      <c r="D33" s="66" t="n">
        <v>4606.26139</v>
      </c>
      <c r="E33" s="67">
        <f>C33-D33</f>
        <v/>
      </c>
      <c r="F33" s="65" t="inlineStr"/>
      <c r="G33" s="65" t="inlineStr"/>
      <c r="H33" s="65" t="inlineStr"/>
      <c r="I33" s="65" t="inlineStr"/>
    </row>
    <row r="34">
      <c r="A34" s="68" t="n">
        <v>24</v>
      </c>
      <c r="B34" s="68" t="n">
        <v>23</v>
      </c>
      <c r="C34" s="69" t="n">
        <v>4603.46313</v>
      </c>
      <c r="D34" s="69" t="n">
        <v>4608.89319</v>
      </c>
      <c r="E34" s="70">
        <f>C34-D34</f>
        <v/>
      </c>
      <c r="F34" s="68" t="inlineStr"/>
      <c r="G34" s="68" t="inlineStr"/>
      <c r="H34" s="68" t="inlineStr"/>
      <c r="I34" s="68" t="inlineStr"/>
    </row>
    <row r="35">
      <c r="A35" s="65" t="n">
        <v>25</v>
      </c>
      <c r="B35" s="65" t="n">
        <v>24</v>
      </c>
      <c r="C35" s="66" t="n">
        <v>4609.17869</v>
      </c>
      <c r="D35" s="66" t="n">
        <v>4610.51275</v>
      </c>
      <c r="E35" s="67">
        <f>C35-D35</f>
        <v/>
      </c>
      <c r="F35" s="65" t="inlineStr"/>
      <c r="G35" s="65" t="inlineStr"/>
      <c r="H35" s="65" t="inlineStr"/>
      <c r="I35" s="65" t="inlineStr"/>
    </row>
    <row r="36">
      <c r="A36" s="68" t="n">
        <v>26</v>
      </c>
      <c r="B36" s="68" t="n">
        <v>25</v>
      </c>
      <c r="C36" s="69" t="n">
        <v>4559.26237</v>
      </c>
      <c r="D36" s="69" t="n">
        <v>4616.18123</v>
      </c>
      <c r="E36" s="70">
        <f>C36-D36</f>
        <v/>
      </c>
      <c r="F36" s="68" t="inlineStr"/>
      <c r="G36" s="68" t="inlineStr"/>
      <c r="H36" s="68" t="inlineStr"/>
      <c r="I36" s="68" t="inlineStr"/>
    </row>
    <row r="37">
      <c r="A37" s="65" t="n">
        <v>27</v>
      </c>
      <c r="B37" s="65" t="n">
        <v>26</v>
      </c>
      <c r="C37" s="66" t="n">
        <v>4566.55373</v>
      </c>
      <c r="D37" s="66" t="n">
        <v>4618.61058</v>
      </c>
      <c r="E37" s="67">
        <f>C37-D37</f>
        <v/>
      </c>
      <c r="F37" s="65" t="inlineStr"/>
      <c r="G37" s="65" t="inlineStr"/>
      <c r="H37" s="65" t="inlineStr"/>
      <c r="I37" s="65" t="inlineStr"/>
    </row>
    <row r="38">
      <c r="A38" s="68" t="n">
        <v>28</v>
      </c>
      <c r="B38" s="68" t="n">
        <v>27</v>
      </c>
      <c r="C38" s="69" t="n">
        <v>4516.79679</v>
      </c>
      <c r="D38" s="69" t="n">
        <v>4620.83748</v>
      </c>
      <c r="E38" s="70">
        <f>C38-D38</f>
        <v/>
      </c>
      <c r="F38" s="68" t="inlineStr"/>
      <c r="G38" s="68" t="inlineStr"/>
      <c r="H38" s="68" t="inlineStr"/>
      <c r="I38" s="68" t="inlineStr"/>
    </row>
    <row r="39">
      <c r="A39" s="65" t="n">
        <v>29</v>
      </c>
      <c r="B39" s="65" t="n">
        <v>28</v>
      </c>
      <c r="C39" s="66" t="n">
        <v>4519.79381</v>
      </c>
      <c r="D39" s="66" t="n">
        <v>4621.84971</v>
      </c>
      <c r="E39" s="67">
        <f>C39-D39</f>
        <v/>
      </c>
      <c r="F39" s="65" t="inlineStr"/>
      <c r="G39" s="65" t="inlineStr"/>
      <c r="H39" s="65" t="inlineStr"/>
      <c r="I39" s="65" t="inlineStr"/>
    </row>
    <row r="40">
      <c r="A40" s="68" t="n">
        <v>30</v>
      </c>
      <c r="B40" s="68" t="n">
        <v>29</v>
      </c>
      <c r="C40" s="69" t="n">
        <v>4517.16653</v>
      </c>
      <c r="D40" s="69" t="n">
        <v>4623.06439</v>
      </c>
      <c r="E40" s="70">
        <f>C40-D40</f>
        <v/>
      </c>
      <c r="F40" s="68" t="inlineStr"/>
      <c r="G40" s="68" t="inlineStr"/>
      <c r="H40" s="68" t="inlineStr"/>
      <c r="I40" s="68" t="inlineStr"/>
    </row>
    <row r="41">
      <c r="A41" s="65" t="n">
        <v>31</v>
      </c>
      <c r="B41" s="65" t="n">
        <v>30</v>
      </c>
      <c r="C41" s="66" t="n">
        <v>4519.7573</v>
      </c>
      <c r="D41" s="66" t="n">
        <v>4624.48151</v>
      </c>
      <c r="E41" s="67">
        <f>C41-D41</f>
        <v/>
      </c>
      <c r="F41" s="65" t="inlineStr"/>
      <c r="G41" s="65" t="inlineStr"/>
      <c r="H41" s="65" t="inlineStr"/>
      <c r="I41" s="65" t="inlineStr"/>
    </row>
    <row r="42">
      <c r="A42" s="68" t="n">
        <v>32</v>
      </c>
      <c r="B42" s="68" t="n">
        <v>31</v>
      </c>
      <c r="C42" s="69" t="n">
        <v>4519.44966</v>
      </c>
      <c r="D42" s="69" t="n">
        <v>4625.29129</v>
      </c>
      <c r="E42" s="70">
        <f>C42-D42</f>
        <v/>
      </c>
      <c r="F42" s="68" t="inlineStr"/>
      <c r="G42" s="68" t="inlineStr"/>
      <c r="H42" s="68" t="inlineStr"/>
      <c r="I42" s="68" t="inlineStr"/>
    </row>
    <row r="43">
      <c r="A43" s="65" t="n">
        <v>33</v>
      </c>
      <c r="B43" s="65" t="n">
        <v>32</v>
      </c>
      <c r="C43" s="66" t="n">
        <v>4541.01117</v>
      </c>
      <c r="D43" s="66" t="n">
        <v>4627.92308</v>
      </c>
      <c r="E43" s="67">
        <f>C43-D43</f>
        <v/>
      </c>
      <c r="F43" s="65" t="inlineStr"/>
      <c r="G43" s="65" t="inlineStr"/>
      <c r="H43" s="65" t="inlineStr"/>
      <c r="I43" s="65" t="inlineStr"/>
    </row>
    <row r="44">
      <c r="A44" s="68" t="n">
        <v>34</v>
      </c>
      <c r="B44" s="68" t="n">
        <v>33</v>
      </c>
      <c r="C44" s="69" t="n">
        <v>4533.58094</v>
      </c>
      <c r="D44" s="69" t="n">
        <v>4629.3402</v>
      </c>
      <c r="E44" s="70">
        <f>C44-D44</f>
        <v/>
      </c>
      <c r="F44" s="68" t="inlineStr"/>
      <c r="G44" s="68" t="inlineStr"/>
      <c r="H44" s="68" t="inlineStr"/>
      <c r="I44" s="68" t="inlineStr"/>
    </row>
    <row r="45">
      <c r="A45" s="65" t="n">
        <v>35</v>
      </c>
      <c r="B45" s="65" t="n">
        <v>34</v>
      </c>
      <c r="C45" s="66" t="n">
        <v>4553.80154</v>
      </c>
      <c r="D45" s="66" t="n">
        <v>4633.38912</v>
      </c>
      <c r="E45" s="67">
        <f>C45-D45</f>
        <v/>
      </c>
      <c r="F45" s="65" t="inlineStr"/>
      <c r="G45" s="65" t="inlineStr"/>
      <c r="H45" s="65" t="inlineStr"/>
      <c r="I45" s="65" t="inlineStr"/>
    </row>
    <row r="46">
      <c r="A46" s="68" t="n">
        <v>36</v>
      </c>
      <c r="B46" s="68" t="n">
        <v>35</v>
      </c>
      <c r="C46" s="69" t="n">
        <v>4549.87029</v>
      </c>
      <c r="D46" s="69" t="n">
        <v>4634.40135</v>
      </c>
      <c r="E46" s="70">
        <f>C46-D46</f>
        <v/>
      </c>
      <c r="F46" s="68" t="inlineStr"/>
      <c r="G46" s="68" t="inlineStr"/>
      <c r="H46" s="68" t="inlineStr"/>
      <c r="I46" s="68" t="inlineStr"/>
    </row>
    <row r="47">
      <c r="A47" s="65" t="n">
        <v>37</v>
      </c>
      <c r="B47" s="65" t="n">
        <v>36</v>
      </c>
      <c r="C47" s="66" t="n">
        <v>4580.00739</v>
      </c>
      <c r="D47" s="66" t="n">
        <v>4637.84292</v>
      </c>
      <c r="E47" s="67">
        <f>C47-D47</f>
        <v/>
      </c>
      <c r="F47" s="65" t="inlineStr"/>
      <c r="G47" s="65" t="inlineStr"/>
      <c r="H47" s="65" t="inlineStr"/>
      <c r="I47" s="65" t="inlineStr"/>
    </row>
    <row r="48">
      <c r="A48" s="68" t="n">
        <v>38</v>
      </c>
      <c r="B48" s="68" t="n">
        <v>37</v>
      </c>
      <c r="C48" s="69" t="n">
        <v>4559.29976</v>
      </c>
      <c r="D48" s="69" t="n">
        <v>4639.86738</v>
      </c>
      <c r="E48" s="70">
        <f>C48-D48</f>
        <v/>
      </c>
      <c r="F48" s="68" t="inlineStr"/>
      <c r="G48" s="68" t="inlineStr"/>
      <c r="H48" s="68" t="inlineStr"/>
      <c r="I48" s="68" t="inlineStr"/>
    </row>
    <row r="49">
      <c r="A49" s="65" t="n">
        <v>39</v>
      </c>
      <c r="B49" s="65" t="n">
        <v>38</v>
      </c>
      <c r="C49" s="66" t="n">
        <v>4561.04124</v>
      </c>
      <c r="D49" s="66" t="n">
        <v>4640.87961</v>
      </c>
      <c r="E49" s="67">
        <f>C49-D49</f>
        <v/>
      </c>
      <c r="F49" s="65" t="inlineStr"/>
      <c r="G49" s="65" t="inlineStr"/>
      <c r="H49" s="65" t="inlineStr"/>
      <c r="I49" s="65" t="inlineStr"/>
    </row>
    <row r="50">
      <c r="A50" s="68" t="n">
        <v>40</v>
      </c>
      <c r="B50" s="68" t="n">
        <v>39</v>
      </c>
      <c r="C50" s="69" t="n">
        <v>4554.18067</v>
      </c>
      <c r="D50" s="69" t="n">
        <v>4642.70162</v>
      </c>
      <c r="E50" s="70">
        <f>C50-D50</f>
        <v/>
      </c>
      <c r="F50" s="68" t="inlineStr"/>
      <c r="G50" s="68" t="inlineStr"/>
      <c r="H50" s="68" t="inlineStr"/>
      <c r="I50" s="68" t="inlineStr"/>
    </row>
    <row r="51">
      <c r="A51" s="65" t="n">
        <v>41</v>
      </c>
      <c r="B51" s="65" t="n">
        <v>40</v>
      </c>
      <c r="C51" s="66" t="n">
        <v>4708.41988</v>
      </c>
      <c r="D51" s="66" t="n">
        <v>4653.2288</v>
      </c>
      <c r="E51" s="67">
        <f>C51-D51</f>
        <v/>
      </c>
      <c r="F51" s="65" t="inlineStr"/>
      <c r="G51" s="65" t="inlineStr"/>
      <c r="H51" s="65" t="inlineStr"/>
      <c r="I51" s="65" t="inlineStr"/>
    </row>
    <row r="52">
      <c r="A52" s="68" t="n">
        <v>42</v>
      </c>
      <c r="B52" s="68" t="n">
        <v>41</v>
      </c>
      <c r="C52" s="69" t="n">
        <v>4684.60591</v>
      </c>
      <c r="D52" s="69" t="n">
        <v>4654.84836</v>
      </c>
      <c r="E52" s="70">
        <f>C52-D52</f>
        <v/>
      </c>
      <c r="F52" s="68" t="inlineStr"/>
      <c r="G52" s="68" t="inlineStr"/>
      <c r="H52" s="68" t="inlineStr"/>
      <c r="I52" s="68" t="inlineStr"/>
    </row>
    <row r="53">
      <c r="A53" s="65" t="n">
        <v>43</v>
      </c>
      <c r="B53" s="65" t="n">
        <v>42</v>
      </c>
      <c r="C53" s="66" t="n">
        <v>4704.83665</v>
      </c>
      <c r="D53" s="66" t="n">
        <v>4656.26548</v>
      </c>
      <c r="E53" s="67">
        <f>C53-D53</f>
        <v/>
      </c>
      <c r="F53" s="65" t="inlineStr"/>
      <c r="G53" s="65" t="inlineStr"/>
      <c r="H53" s="65" t="inlineStr"/>
      <c r="I53" s="65" t="inlineStr"/>
    </row>
    <row r="54">
      <c r="A54" s="68" t="n">
        <v>44</v>
      </c>
      <c r="B54" s="68" t="n">
        <v>43</v>
      </c>
      <c r="C54" s="69" t="n">
        <v>4683.92437</v>
      </c>
      <c r="D54" s="69" t="n">
        <v>4658.49238</v>
      </c>
      <c r="E54" s="70">
        <f>C54-D54</f>
        <v/>
      </c>
      <c r="F54" s="68" t="inlineStr"/>
      <c r="G54" s="68" t="inlineStr"/>
      <c r="H54" s="68" t="inlineStr"/>
      <c r="I54" s="68" t="inlineStr"/>
    </row>
    <row r="55">
      <c r="A55" s="65" t="n">
        <v>45</v>
      </c>
      <c r="B55" s="65" t="n">
        <v>44</v>
      </c>
      <c r="C55" s="66" t="n">
        <v>4694.06466</v>
      </c>
      <c r="D55" s="66" t="n">
        <v>4660.92173</v>
      </c>
      <c r="E55" s="67">
        <f>C55-D55</f>
        <v/>
      </c>
      <c r="F55" s="65" t="inlineStr"/>
      <c r="G55" s="65" t="inlineStr"/>
      <c r="H55" s="65" t="inlineStr"/>
      <c r="I55" s="65" t="inlineStr"/>
    </row>
    <row r="56">
      <c r="A56" s="68" t="n">
        <v>46</v>
      </c>
      <c r="B56" s="68" t="n">
        <v>45</v>
      </c>
      <c r="C56" s="69" t="n">
        <v>4694.181</v>
      </c>
      <c r="D56" s="69" t="n">
        <v>4661.12418</v>
      </c>
      <c r="E56" s="70">
        <f>C56-D56</f>
        <v/>
      </c>
      <c r="F56" s="68" t="inlineStr"/>
      <c r="G56" s="68" t="inlineStr"/>
      <c r="H56" s="68" t="inlineStr"/>
      <c r="I56" s="68" t="inlineStr"/>
    </row>
    <row r="57">
      <c r="A57" s="65" t="n">
        <v>47</v>
      </c>
      <c r="B57" s="65" t="n">
        <v>46</v>
      </c>
      <c r="C57" s="66" t="n">
        <v>4694.94249</v>
      </c>
      <c r="D57" s="66" t="n">
        <v>4662.33885</v>
      </c>
      <c r="E57" s="67">
        <f>C57-D57</f>
        <v/>
      </c>
      <c r="F57" s="65" t="inlineStr"/>
      <c r="G57" s="65" t="inlineStr"/>
      <c r="H57" s="65" t="inlineStr"/>
      <c r="I57" s="65" t="inlineStr"/>
    </row>
    <row r="58">
      <c r="A58" s="68" t="n">
        <v>48</v>
      </c>
      <c r="B58" s="68" t="n">
        <v>47</v>
      </c>
      <c r="C58" s="69" t="n">
        <v>4694.99582</v>
      </c>
      <c r="D58" s="69" t="n">
        <v>4663.14863</v>
      </c>
      <c r="E58" s="70">
        <f>C58-D58</f>
        <v/>
      </c>
      <c r="F58" s="68" t="inlineStr"/>
      <c r="G58" s="68" t="inlineStr"/>
      <c r="H58" s="68" t="inlineStr"/>
      <c r="I58" s="68" t="inlineStr"/>
    </row>
    <row r="59">
      <c r="A59" s="65" t="n">
        <v>49</v>
      </c>
      <c r="B59" s="65" t="n">
        <v>48</v>
      </c>
      <c r="C59" s="66" t="n">
        <v>4707.31271</v>
      </c>
      <c r="D59" s="66" t="n">
        <v>4664.97065</v>
      </c>
      <c r="E59" s="67">
        <f>C59-D59</f>
        <v/>
      </c>
      <c r="F59" s="65" t="inlineStr"/>
      <c r="G59" s="65" t="inlineStr"/>
      <c r="H59" s="65" t="inlineStr"/>
      <c r="I59" s="65" t="inlineStr"/>
    </row>
    <row r="60">
      <c r="A60" s="68" t="n">
        <v>50</v>
      </c>
      <c r="B60" s="68" t="n">
        <v>49</v>
      </c>
      <c r="C60" s="69" t="n">
        <v>4698.03002</v>
      </c>
      <c r="D60" s="69" t="n">
        <v>4667.19755</v>
      </c>
      <c r="E60" s="70">
        <f>C60-D60</f>
        <v/>
      </c>
      <c r="F60" s="68" t="inlineStr"/>
      <c r="G60" s="68" t="inlineStr"/>
      <c r="H60" s="68" t="inlineStr"/>
      <c r="I60" s="68" t="inlineStr"/>
    </row>
    <row r="61">
      <c r="A61" s="65" t="n">
        <v>51</v>
      </c>
      <c r="B61" s="65" t="n">
        <v>50</v>
      </c>
      <c r="C61" s="66" t="n">
        <v>4741.8388</v>
      </c>
      <c r="D61" s="66" t="n">
        <v>4669.42445</v>
      </c>
      <c r="E61" s="67">
        <f>C61-D61</f>
        <v/>
      </c>
      <c r="F61" s="65" t="inlineStr"/>
      <c r="G61" s="65" t="inlineStr"/>
      <c r="H61" s="65" t="inlineStr"/>
      <c r="I61" s="65" t="inlineStr"/>
    </row>
    <row r="62">
      <c r="A62" s="68" t="n">
        <v>52</v>
      </c>
      <c r="B62" s="68" t="n">
        <v>51</v>
      </c>
      <c r="C62" s="69" t="n">
        <v>4733.37555</v>
      </c>
      <c r="D62" s="69" t="n">
        <v>4671.04402</v>
      </c>
      <c r="E62" s="70">
        <f>C62-D62</f>
        <v/>
      </c>
      <c r="F62" s="68" t="inlineStr"/>
      <c r="G62" s="68" t="inlineStr"/>
      <c r="H62" s="68" t="inlineStr"/>
      <c r="I62" s="68" t="inlineStr"/>
    </row>
    <row r="63">
      <c r="A63" s="65" t="n">
        <v>53</v>
      </c>
      <c r="B63" s="65" t="n">
        <v>52</v>
      </c>
      <c r="C63" s="66" t="n">
        <v>4753.57583</v>
      </c>
      <c r="D63" s="66" t="n">
        <v>4674.89049</v>
      </c>
      <c r="E63" s="67">
        <f>C63-D63</f>
        <v/>
      </c>
      <c r="F63" s="65" t="inlineStr"/>
      <c r="G63" s="65" t="inlineStr"/>
      <c r="H63" s="65" t="inlineStr"/>
      <c r="I63" s="65" t="inlineStr"/>
    </row>
    <row r="64">
      <c r="A64" s="68" t="n">
        <v>54</v>
      </c>
      <c r="B64" s="68" t="n">
        <v>53</v>
      </c>
      <c r="C64" s="69" t="n">
        <v>4707.40678</v>
      </c>
      <c r="D64" s="69" t="n">
        <v>4677.52228</v>
      </c>
      <c r="E64" s="70">
        <f>C64-D64</f>
        <v/>
      </c>
      <c r="F64" s="68" t="inlineStr"/>
      <c r="G64" s="68" t="inlineStr"/>
      <c r="H64" s="68" t="inlineStr"/>
      <c r="I64" s="68" t="inlineStr"/>
    </row>
    <row r="65">
      <c r="A65" s="65" t="n">
        <v>55</v>
      </c>
      <c r="B65" s="65" t="n">
        <v>54</v>
      </c>
      <c r="C65" s="66" t="n">
        <v>4709.3224</v>
      </c>
      <c r="D65" s="66" t="n">
        <v>4678.73695</v>
      </c>
      <c r="E65" s="67">
        <f>C65-D65</f>
        <v/>
      </c>
      <c r="F65" s="65" t="inlineStr"/>
      <c r="G65" s="65" t="inlineStr"/>
      <c r="H65" s="65" t="inlineStr"/>
      <c r="I65" s="65" t="inlineStr"/>
    </row>
    <row r="66">
      <c r="A66" s="68" t="n">
        <v>56</v>
      </c>
      <c r="B66" s="68" t="n">
        <v>55</v>
      </c>
      <c r="C66" s="69" t="n">
        <v>4691.44385</v>
      </c>
      <c r="D66" s="69" t="n">
        <v>4680.76141</v>
      </c>
      <c r="E66" s="70">
        <f>C66-D66</f>
        <v/>
      </c>
      <c r="F66" s="68" t="inlineStr"/>
      <c r="G66" s="68" t="inlineStr"/>
      <c r="H66" s="68" t="inlineStr"/>
      <c r="I66" s="68" t="inlineStr"/>
    </row>
    <row r="67">
      <c r="A67" s="65" t="n">
        <v>57</v>
      </c>
      <c r="B67" s="65" t="n">
        <v>56</v>
      </c>
      <c r="C67" s="66" t="n">
        <v>4719.66898</v>
      </c>
      <c r="D67" s="66" t="n">
        <v>4684.20299</v>
      </c>
      <c r="E67" s="67">
        <f>C67-D67</f>
        <v/>
      </c>
      <c r="F67" s="65" t="inlineStr"/>
      <c r="G67" s="65" t="inlineStr"/>
      <c r="H67" s="65" t="inlineStr"/>
      <c r="I67" s="65" t="inlineStr"/>
    </row>
    <row r="68">
      <c r="A68" s="68" t="n">
        <v>58</v>
      </c>
      <c r="B68" s="68" t="n">
        <v>57</v>
      </c>
      <c r="C68" s="69" t="n">
        <v>4715.17825</v>
      </c>
      <c r="D68" s="69" t="n">
        <v>4685.41766</v>
      </c>
      <c r="E68" s="70">
        <f>C68-D68</f>
        <v/>
      </c>
      <c r="F68" s="68" t="inlineStr"/>
      <c r="G68" s="68" t="inlineStr"/>
      <c r="H68" s="68" t="inlineStr"/>
      <c r="I68" s="68" t="inlineStr"/>
    </row>
    <row r="69">
      <c r="A69" s="65" t="n">
        <v>59</v>
      </c>
      <c r="B69" s="65" t="n">
        <v>58</v>
      </c>
      <c r="C69" s="66" t="n">
        <v>4724.48288</v>
      </c>
      <c r="D69" s="66" t="n">
        <v>4686.83478</v>
      </c>
      <c r="E69" s="67">
        <f>C69-D69</f>
        <v/>
      </c>
      <c r="F69" s="65" t="inlineStr"/>
      <c r="G69" s="65" t="inlineStr"/>
      <c r="H69" s="65" t="inlineStr"/>
      <c r="I69" s="65" t="inlineStr"/>
    </row>
    <row r="70">
      <c r="A70" s="68" t="n">
        <v>60</v>
      </c>
      <c r="B70" s="68" t="n">
        <v>59</v>
      </c>
      <c r="C70" s="69" t="n">
        <v>4712.49391</v>
      </c>
      <c r="D70" s="69" t="n">
        <v>4688.45435</v>
      </c>
      <c r="E70" s="70">
        <f>C70-D70</f>
        <v/>
      </c>
      <c r="F70" s="68" t="inlineStr"/>
      <c r="G70" s="68" t="inlineStr"/>
      <c r="H70" s="68" t="inlineStr"/>
      <c r="I70" s="68" t="inlineStr"/>
    </row>
    <row r="71">
      <c r="A71" s="65" t="n">
        <v>61</v>
      </c>
      <c r="B71" s="65" t="n">
        <v>60</v>
      </c>
      <c r="C71" s="66" t="n">
        <v>4719.94675</v>
      </c>
      <c r="D71" s="66" t="n">
        <v>4690.4788</v>
      </c>
      <c r="E71" s="67">
        <f>C71-D71</f>
        <v/>
      </c>
      <c r="F71" s="65" t="inlineStr"/>
      <c r="G71" s="65" t="inlineStr"/>
      <c r="H71" s="65" t="inlineStr"/>
      <c r="I71" s="65" t="inlineStr"/>
    </row>
    <row r="72">
      <c r="A72" s="68" t="n">
        <v>62</v>
      </c>
      <c r="B72" s="68" t="n">
        <v>61</v>
      </c>
      <c r="C72" s="69" t="n">
        <v>4716.45207</v>
      </c>
      <c r="D72" s="69" t="n">
        <v>4691.49103</v>
      </c>
      <c r="E72" s="70">
        <f>C72-D72</f>
        <v/>
      </c>
      <c r="F72" s="68" t="inlineStr"/>
      <c r="G72" s="68" t="inlineStr"/>
      <c r="H72" s="68" t="inlineStr"/>
      <c r="I72" s="68" t="inlineStr"/>
    </row>
    <row r="73">
      <c r="A73" s="65" t="n">
        <v>63</v>
      </c>
      <c r="B73" s="65" t="n">
        <v>62</v>
      </c>
      <c r="C73" s="66" t="n">
        <v>4731.53002</v>
      </c>
      <c r="D73" s="66" t="n">
        <v>4692.90815</v>
      </c>
      <c r="E73" s="67">
        <f>C73-D73</f>
        <v/>
      </c>
      <c r="F73" s="65" t="inlineStr"/>
      <c r="G73" s="65" t="inlineStr"/>
      <c r="H73" s="65" t="inlineStr"/>
      <c r="I73" s="65" t="inlineStr"/>
    </row>
    <row r="74">
      <c r="A74" s="68" t="n">
        <v>64</v>
      </c>
      <c r="B74" s="68" t="n">
        <v>63</v>
      </c>
      <c r="C74" s="69" t="n">
        <v>4710.6159</v>
      </c>
      <c r="D74" s="69" t="n">
        <v>4694.73016</v>
      </c>
      <c r="E74" s="70">
        <f>C74-D74</f>
        <v/>
      </c>
      <c r="F74" s="68" t="inlineStr"/>
      <c r="G74" s="68" t="inlineStr"/>
      <c r="H74" s="68" t="inlineStr"/>
      <c r="I74" s="68" t="inlineStr"/>
    </row>
    <row r="75">
      <c r="A75" s="65" t="n">
        <v>65</v>
      </c>
      <c r="B75" s="65" t="n">
        <v>64</v>
      </c>
      <c r="C75" s="66" t="n">
        <v>4723.51311</v>
      </c>
      <c r="D75" s="66" t="n">
        <v>4697.36196</v>
      </c>
      <c r="E75" s="67">
        <f>C75-D75</f>
        <v/>
      </c>
      <c r="F75" s="65" t="inlineStr"/>
      <c r="G75" s="65" t="inlineStr"/>
      <c r="H75" s="65" t="inlineStr"/>
      <c r="I75" s="65" t="inlineStr"/>
    </row>
    <row r="77" ht="18" customHeight="1" s="28">
      <c r="A77" s="61" t="inlineStr">
        <is>
          <t>STEP 2 — Sort Residuals &amp; Apply Shapiro-Wilk Coefficients   (k = 32 pairs;  n = 65 odd → middle term x_(33) excluded)</t>
        </is>
      </c>
    </row>
    <row r="78" ht="32" customHeight="1" s="28">
      <c r="A78" s="62" t="inlineStr">
        <is>
          <t>Pair  i</t>
        </is>
      </c>
      <c r="B78" s="62" t="inlineStr">
        <is>
          <t>aᵢ  (SW coeff.)*</t>
        </is>
      </c>
      <c r="C78" s="62" t="inlineStr">
        <is>
          <t>Upper  x_(65+1−i)</t>
        </is>
      </c>
      <c r="D78" s="62" t="inlineStr">
        <is>
          <t>Lower  x_(i)</t>
        </is>
      </c>
      <c r="E78" s="62" t="inlineStr">
        <is>
          <t>Diff  =  Upper − Lower</t>
        </is>
      </c>
      <c r="F78" s="62" t="inlineStr">
        <is>
          <t>Contribution  aᵢ × Diff</t>
        </is>
      </c>
      <c r="G78" s="62" t="inlineStr"/>
      <c r="H78" s="63" t="n"/>
      <c r="I78" s="64" t="n"/>
    </row>
    <row r="79">
      <c r="A79" s="65" t="n">
        <v>1</v>
      </c>
      <c r="B79" s="71" t="n">
        <v>0.29730388</v>
      </c>
      <c r="C79" s="67">
        <f>LARGE(E11:E75,1)</f>
        <v/>
      </c>
      <c r="D79" s="67">
        <f>SMALL(E11:E75,1)</f>
        <v/>
      </c>
      <c r="E79" s="67">
        <f>C79-D79</f>
        <v/>
      </c>
      <c r="F79" s="67">
        <f>B79*E79</f>
        <v/>
      </c>
      <c r="G79" s="65" t="inlineStr"/>
      <c r="H79" s="65" t="inlineStr"/>
      <c r="I79" s="65" t="inlineStr"/>
    </row>
    <row r="80">
      <c r="A80" s="68" t="n">
        <v>2</v>
      </c>
      <c r="B80" s="71" t="n">
        <v>0.24896602</v>
      </c>
      <c r="C80" s="70">
        <f>LARGE(E11:E75,2)</f>
        <v/>
      </c>
      <c r="D80" s="70">
        <f>SMALL(E11:E75,2)</f>
        <v/>
      </c>
      <c r="E80" s="70">
        <f>C80-D80</f>
        <v/>
      </c>
      <c r="F80" s="70">
        <f>B80*E80</f>
        <v/>
      </c>
      <c r="G80" s="68" t="inlineStr"/>
      <c r="H80" s="68" t="inlineStr"/>
      <c r="I80" s="68" t="inlineStr"/>
    </row>
    <row r="81">
      <c r="A81" s="65" t="n">
        <v>3</v>
      </c>
      <c r="B81" s="71" t="n">
        <v>0.22185843</v>
      </c>
      <c r="C81" s="67">
        <f>LARGE(E11:E75,3)</f>
        <v/>
      </c>
      <c r="D81" s="67">
        <f>SMALL(E11:E75,3)</f>
        <v/>
      </c>
      <c r="E81" s="67">
        <f>C81-D81</f>
        <v/>
      </c>
      <c r="F81" s="67">
        <f>B81*E81</f>
        <v/>
      </c>
      <c r="G81" s="65" t="inlineStr"/>
      <c r="H81" s="65" t="inlineStr"/>
      <c r="I81" s="65" t="inlineStr"/>
    </row>
    <row r="82">
      <c r="A82" s="68" t="n">
        <v>4</v>
      </c>
      <c r="B82" s="71" t="n">
        <v>0.20221056</v>
      </c>
      <c r="C82" s="70">
        <f>LARGE(E11:E75,4)</f>
        <v/>
      </c>
      <c r="D82" s="70">
        <f>SMALL(E11:E75,4)</f>
        <v/>
      </c>
      <c r="E82" s="70">
        <f>C82-D82</f>
        <v/>
      </c>
      <c r="F82" s="70">
        <f>B82*E82</f>
        <v/>
      </c>
      <c r="G82" s="68" t="inlineStr"/>
      <c r="H82" s="68" t="inlineStr"/>
      <c r="I82" s="68" t="inlineStr"/>
    </row>
    <row r="83">
      <c r="A83" s="65" t="n">
        <v>5</v>
      </c>
      <c r="B83" s="71" t="n">
        <v>0.18647769</v>
      </c>
      <c r="C83" s="67">
        <f>LARGE(E11:E75,5)</f>
        <v/>
      </c>
      <c r="D83" s="67">
        <f>SMALL(E11:E75,5)</f>
        <v/>
      </c>
      <c r="E83" s="67">
        <f>C83-D83</f>
        <v/>
      </c>
      <c r="F83" s="67">
        <f>B83*E83</f>
        <v/>
      </c>
      <c r="G83" s="65" t="inlineStr"/>
      <c r="H83" s="65" t="inlineStr"/>
      <c r="I83" s="65" t="inlineStr"/>
    </row>
    <row r="84">
      <c r="A84" s="68" t="n">
        <v>6</v>
      </c>
      <c r="B84" s="71" t="n">
        <v>0.17318025</v>
      </c>
      <c r="C84" s="70">
        <f>LARGE(E11:E75,6)</f>
        <v/>
      </c>
      <c r="D84" s="70">
        <f>SMALL(E11:E75,6)</f>
        <v/>
      </c>
      <c r="E84" s="70">
        <f>C84-D84</f>
        <v/>
      </c>
      <c r="F84" s="70">
        <f>B84*E84</f>
        <v/>
      </c>
      <c r="G84" s="68" t="inlineStr"/>
      <c r="H84" s="68" t="inlineStr"/>
      <c r="I84" s="68" t="inlineStr"/>
    </row>
    <row r="85">
      <c r="A85" s="65" t="n">
        <v>7</v>
      </c>
      <c r="B85" s="71" t="n">
        <v>0.1615517</v>
      </c>
      <c r="C85" s="67">
        <f>LARGE(E11:E75,7)</f>
        <v/>
      </c>
      <c r="D85" s="67">
        <f>SMALL(E11:E75,7)</f>
        <v/>
      </c>
      <c r="E85" s="67">
        <f>C85-D85</f>
        <v/>
      </c>
      <c r="F85" s="67">
        <f>B85*E85</f>
        <v/>
      </c>
      <c r="G85" s="65" t="inlineStr"/>
      <c r="H85" s="65" t="inlineStr"/>
      <c r="I85" s="65" t="inlineStr"/>
    </row>
    <row r="86">
      <c r="A86" s="68" t="n">
        <v>8</v>
      </c>
      <c r="B86" s="71" t="n">
        <v>0.15114081</v>
      </c>
      <c r="C86" s="70">
        <f>LARGE(E11:E75,8)</f>
        <v/>
      </c>
      <c r="D86" s="70">
        <f>SMALL(E11:E75,8)</f>
        <v/>
      </c>
      <c r="E86" s="70">
        <f>C86-D86</f>
        <v/>
      </c>
      <c r="F86" s="70">
        <f>B86*E86</f>
        <v/>
      </c>
      <c r="G86" s="68" t="inlineStr"/>
      <c r="H86" s="68" t="inlineStr"/>
      <c r="I86" s="68" t="inlineStr"/>
    </row>
    <row r="87">
      <c r="A87" s="65" t="n">
        <v>9</v>
      </c>
      <c r="B87" s="71" t="n">
        <v>0.14165829</v>
      </c>
      <c r="C87" s="67">
        <f>LARGE(E11:E75,9)</f>
        <v/>
      </c>
      <c r="D87" s="67">
        <f>SMALL(E11:E75,9)</f>
        <v/>
      </c>
      <c r="E87" s="67">
        <f>C87-D87</f>
        <v/>
      </c>
      <c r="F87" s="67">
        <f>B87*E87</f>
        <v/>
      </c>
      <c r="G87" s="65" t="inlineStr"/>
      <c r="H87" s="65" t="inlineStr"/>
      <c r="I87" s="65" t="inlineStr"/>
    </row>
    <row r="88">
      <c r="A88" s="68" t="n">
        <v>10</v>
      </c>
      <c r="B88" s="71" t="n">
        <v>0.13290686</v>
      </c>
      <c r="C88" s="70">
        <f>LARGE(E11:E75,10)</f>
        <v/>
      </c>
      <c r="D88" s="70">
        <f>SMALL(E11:E75,10)</f>
        <v/>
      </c>
      <c r="E88" s="70">
        <f>C88-D88</f>
        <v/>
      </c>
      <c r="F88" s="70">
        <f>B88*E88</f>
        <v/>
      </c>
      <c r="G88" s="68" t="inlineStr"/>
      <c r="H88" s="68" t="inlineStr"/>
      <c r="I88" s="68" t="inlineStr"/>
    </row>
    <row r="89">
      <c r="A89" s="65" t="n">
        <v>11</v>
      </c>
      <c r="B89" s="71" t="n">
        <v>0.12474562</v>
      </c>
      <c r="C89" s="67">
        <f>LARGE(E11:E75,11)</f>
        <v/>
      </c>
      <c r="D89" s="67">
        <f>SMALL(E11:E75,11)</f>
        <v/>
      </c>
      <c r="E89" s="67">
        <f>C89-D89</f>
        <v/>
      </c>
      <c r="F89" s="67">
        <f>B89*E89</f>
        <v/>
      </c>
      <c r="G89" s="65" t="inlineStr"/>
      <c r="H89" s="65" t="inlineStr"/>
      <c r="I89" s="65" t="inlineStr"/>
    </row>
    <row r="90">
      <c r="A90" s="68" t="n">
        <v>12</v>
      </c>
      <c r="B90" s="71" t="n">
        <v>0.11707011</v>
      </c>
      <c r="C90" s="70">
        <f>LARGE(E11:E75,12)</f>
        <v/>
      </c>
      <c r="D90" s="70">
        <f>SMALL(E11:E75,12)</f>
        <v/>
      </c>
      <c r="E90" s="70">
        <f>C90-D90</f>
        <v/>
      </c>
      <c r="F90" s="70">
        <f>B90*E90</f>
        <v/>
      </c>
      <c r="G90" s="68" t="inlineStr"/>
      <c r="H90" s="68" t="inlineStr"/>
      <c r="I90" s="68" t="inlineStr"/>
    </row>
    <row r="91">
      <c r="A91" s="65" t="n">
        <v>13</v>
      </c>
      <c r="B91" s="71" t="n">
        <v>0.10980055</v>
      </c>
      <c r="C91" s="67">
        <f>LARGE(E11:E75,13)</f>
        <v/>
      </c>
      <c r="D91" s="67">
        <f>SMALL(E11:E75,13)</f>
        <v/>
      </c>
      <c r="E91" s="67">
        <f>C91-D91</f>
        <v/>
      </c>
      <c r="F91" s="67">
        <f>B91*E91</f>
        <v/>
      </c>
      <c r="G91" s="65" t="inlineStr"/>
      <c r="H91" s="65" t="inlineStr"/>
      <c r="I91" s="65" t="inlineStr"/>
    </row>
    <row r="92">
      <c r="A92" s="68" t="n">
        <v>14</v>
      </c>
      <c r="B92" s="71" t="n">
        <v>0.10287453</v>
      </c>
      <c r="C92" s="70">
        <f>LARGE(E11:E75,14)</f>
        <v/>
      </c>
      <c r="D92" s="70">
        <f>SMALL(E11:E75,14)</f>
        <v/>
      </c>
      <c r="E92" s="70">
        <f>C92-D92</f>
        <v/>
      </c>
      <c r="F92" s="70">
        <f>B92*E92</f>
        <v/>
      </c>
      <c r="G92" s="68" t="inlineStr"/>
      <c r="H92" s="68" t="inlineStr"/>
      <c r="I92" s="68" t="inlineStr"/>
    </row>
    <row r="93">
      <c r="A93" s="65" t="n">
        <v>15</v>
      </c>
      <c r="B93" s="71" t="n">
        <v>0.09624212</v>
      </c>
      <c r="C93" s="67">
        <f>LARGE(E11:E75,15)</f>
        <v/>
      </c>
      <c r="D93" s="67">
        <f>SMALL(E11:E75,15)</f>
        <v/>
      </c>
      <c r="E93" s="67">
        <f>C93-D93</f>
        <v/>
      </c>
      <c r="F93" s="67">
        <f>B93*E93</f>
        <v/>
      </c>
      <c r="G93" s="65" t="inlineStr"/>
      <c r="H93" s="65" t="inlineStr"/>
      <c r="I93" s="65" t="inlineStr"/>
    </row>
    <row r="94">
      <c r="A94" s="68" t="n">
        <v>16</v>
      </c>
      <c r="B94" s="71" t="n">
        <v>0.08986271</v>
      </c>
      <c r="C94" s="70">
        <f>LARGE(E11:E75,16)</f>
        <v/>
      </c>
      <c r="D94" s="70">
        <f>SMALL(E11:E75,16)</f>
        <v/>
      </c>
      <c r="E94" s="70">
        <f>C94-D94</f>
        <v/>
      </c>
      <c r="F94" s="70">
        <f>B94*E94</f>
        <v/>
      </c>
      <c r="G94" s="68" t="inlineStr"/>
      <c r="H94" s="68" t="inlineStr"/>
      <c r="I94" s="68" t="inlineStr"/>
    </row>
    <row r="95">
      <c r="A95" s="65" t="n">
        <v>17</v>
      </c>
      <c r="B95" s="71" t="n">
        <v>0.08370267000000001</v>
      </c>
      <c r="C95" s="67">
        <f>LARGE(E11:E75,17)</f>
        <v/>
      </c>
      <c r="D95" s="67">
        <f>SMALL(E11:E75,17)</f>
        <v/>
      </c>
      <c r="E95" s="67">
        <f>C95-D95</f>
        <v/>
      </c>
      <c r="F95" s="67">
        <f>B95*E95</f>
        <v/>
      </c>
      <c r="G95" s="65" t="inlineStr"/>
      <c r="H95" s="65" t="inlineStr"/>
      <c r="I95" s="65" t="inlineStr"/>
    </row>
    <row r="96">
      <c r="A96" s="68" t="n">
        <v>18</v>
      </c>
      <c r="B96" s="71" t="n">
        <v>0.07773381</v>
      </c>
      <c r="C96" s="70">
        <f>LARGE(E11:E75,18)</f>
        <v/>
      </c>
      <c r="D96" s="70">
        <f>SMALL(E11:E75,18)</f>
        <v/>
      </c>
      <c r="E96" s="70">
        <f>C96-D96</f>
        <v/>
      </c>
      <c r="F96" s="70">
        <f>B96*E96</f>
        <v/>
      </c>
      <c r="G96" s="68" t="inlineStr"/>
      <c r="H96" s="68" t="inlineStr"/>
      <c r="I96" s="68" t="inlineStr"/>
    </row>
    <row r="97">
      <c r="A97" s="65" t="n">
        <v>19</v>
      </c>
      <c r="B97" s="71" t="n">
        <v>0.07193215999999999</v>
      </c>
      <c r="C97" s="67">
        <f>LARGE(E11:E75,19)</f>
        <v/>
      </c>
      <c r="D97" s="67">
        <f>SMALL(E11:E75,19)</f>
        <v/>
      </c>
      <c r="E97" s="67">
        <f>C97-D97</f>
        <v/>
      </c>
      <c r="F97" s="67">
        <f>B97*E97</f>
        <v/>
      </c>
      <c r="G97" s="65" t="inlineStr"/>
      <c r="H97" s="65" t="inlineStr"/>
      <c r="I97" s="65" t="inlineStr"/>
    </row>
    <row r="98">
      <c r="A98" s="68" t="n">
        <v>20</v>
      </c>
      <c r="B98" s="71" t="n">
        <v>0.06627710000000001</v>
      </c>
      <c r="C98" s="70">
        <f>LARGE(E11:E75,20)</f>
        <v/>
      </c>
      <c r="D98" s="70">
        <f>SMALL(E11:E75,20)</f>
        <v/>
      </c>
      <c r="E98" s="70">
        <f>C98-D98</f>
        <v/>
      </c>
      <c r="F98" s="70">
        <f>B98*E98</f>
        <v/>
      </c>
      <c r="G98" s="68" t="inlineStr"/>
      <c r="H98" s="68" t="inlineStr"/>
      <c r="I98" s="68" t="inlineStr"/>
    </row>
    <row r="99">
      <c r="A99" s="65" t="n">
        <v>21</v>
      </c>
      <c r="B99" s="71" t="n">
        <v>0.06075069</v>
      </c>
      <c r="C99" s="67">
        <f>LARGE(E11:E75,21)</f>
        <v/>
      </c>
      <c r="D99" s="67">
        <f>SMALL(E11:E75,21)</f>
        <v/>
      </c>
      <c r="E99" s="67">
        <f>C99-D99</f>
        <v/>
      </c>
      <c r="F99" s="67">
        <f>B99*E99</f>
        <v/>
      </c>
      <c r="G99" s="65" t="inlineStr"/>
      <c r="H99" s="65" t="inlineStr"/>
      <c r="I99" s="65" t="inlineStr"/>
    </row>
    <row r="100">
      <c r="A100" s="68" t="n">
        <v>22</v>
      </c>
      <c r="B100" s="71" t="n">
        <v>0.05533717</v>
      </c>
      <c r="C100" s="70">
        <f>LARGE(E11:E75,22)</f>
        <v/>
      </c>
      <c r="D100" s="70">
        <f>SMALL(E11:E75,22)</f>
        <v/>
      </c>
      <c r="E100" s="70">
        <f>C100-D100</f>
        <v/>
      </c>
      <c r="F100" s="70">
        <f>B100*E100</f>
        <v/>
      </c>
      <c r="G100" s="68" t="inlineStr"/>
      <c r="H100" s="68" t="inlineStr"/>
      <c r="I100" s="68" t="inlineStr"/>
    </row>
    <row r="101">
      <c r="A101" s="65" t="n">
        <v>23</v>
      </c>
      <c r="B101" s="71" t="n">
        <v>0.05002253</v>
      </c>
      <c r="C101" s="67">
        <f>LARGE(E11:E75,23)</f>
        <v/>
      </c>
      <c r="D101" s="67">
        <f>SMALL(E11:E75,23)</f>
        <v/>
      </c>
      <c r="E101" s="67">
        <f>C101-D101</f>
        <v/>
      </c>
      <c r="F101" s="67">
        <f>B101*E101</f>
        <v/>
      </c>
      <c r="G101" s="65" t="inlineStr"/>
      <c r="H101" s="65" t="inlineStr"/>
      <c r="I101" s="65" t="inlineStr"/>
    </row>
    <row r="102">
      <c r="A102" s="68" t="n">
        <v>24</v>
      </c>
      <c r="B102" s="71" t="n">
        <v>0.04479421</v>
      </c>
      <c r="C102" s="70">
        <f>LARGE(E11:E75,24)</f>
        <v/>
      </c>
      <c r="D102" s="70">
        <f>SMALL(E11:E75,24)</f>
        <v/>
      </c>
      <c r="E102" s="70">
        <f>C102-D102</f>
        <v/>
      </c>
      <c r="F102" s="70">
        <f>B102*E102</f>
        <v/>
      </c>
      <c r="G102" s="68" t="inlineStr"/>
      <c r="H102" s="68" t="inlineStr"/>
      <c r="I102" s="68" t="inlineStr"/>
    </row>
    <row r="103">
      <c r="A103" s="65" t="n">
        <v>25</v>
      </c>
      <c r="B103" s="71" t="n">
        <v>0.03964085</v>
      </c>
      <c r="C103" s="67">
        <f>LARGE(E11:E75,25)</f>
        <v/>
      </c>
      <c r="D103" s="67">
        <f>SMALL(E11:E75,25)</f>
        <v/>
      </c>
      <c r="E103" s="67">
        <f>C103-D103</f>
        <v/>
      </c>
      <c r="F103" s="67">
        <f>B103*E103</f>
        <v/>
      </c>
      <c r="G103" s="65" t="inlineStr"/>
      <c r="H103" s="65" t="inlineStr"/>
      <c r="I103" s="65" t="inlineStr"/>
    </row>
    <row r="104">
      <c r="A104" s="68" t="n">
        <v>26</v>
      </c>
      <c r="B104" s="71" t="n">
        <v>0.03455205</v>
      </c>
      <c r="C104" s="70">
        <f>LARGE(E11:E75,26)</f>
        <v/>
      </c>
      <c r="D104" s="70">
        <f>SMALL(E11:E75,26)</f>
        <v/>
      </c>
      <c r="E104" s="70">
        <f>C104-D104</f>
        <v/>
      </c>
      <c r="F104" s="70">
        <f>B104*E104</f>
        <v/>
      </c>
      <c r="G104" s="68" t="inlineStr"/>
      <c r="H104" s="68" t="inlineStr"/>
      <c r="I104" s="68" t="inlineStr"/>
    </row>
    <row r="105">
      <c r="A105" s="65" t="n">
        <v>27</v>
      </c>
      <c r="B105" s="71" t="n">
        <v>0.02951822</v>
      </c>
      <c r="C105" s="67">
        <f>LARGE(E11:E75,27)</f>
        <v/>
      </c>
      <c r="D105" s="67">
        <f>SMALL(E11:E75,27)</f>
        <v/>
      </c>
      <c r="E105" s="67">
        <f>C105-D105</f>
        <v/>
      </c>
      <c r="F105" s="67">
        <f>B105*E105</f>
        <v/>
      </c>
      <c r="G105" s="65" t="inlineStr"/>
      <c r="H105" s="65" t="inlineStr"/>
      <c r="I105" s="65" t="inlineStr"/>
    </row>
    <row r="106">
      <c r="A106" s="68" t="n">
        <v>28</v>
      </c>
      <c r="B106" s="71" t="n">
        <v>0.02453042</v>
      </c>
      <c r="C106" s="70">
        <f>LARGE(E11:E75,28)</f>
        <v/>
      </c>
      <c r="D106" s="70">
        <f>SMALL(E11:E75,28)</f>
        <v/>
      </c>
      <c r="E106" s="70">
        <f>C106-D106</f>
        <v/>
      </c>
      <c r="F106" s="70">
        <f>B106*E106</f>
        <v/>
      </c>
      <c r="G106" s="68" t="inlineStr"/>
      <c r="H106" s="68" t="inlineStr"/>
      <c r="I106" s="68" t="inlineStr"/>
    </row>
    <row r="107">
      <c r="A107" s="65" t="n">
        <v>29</v>
      </c>
      <c r="B107" s="71" t="n">
        <v>0.01958023</v>
      </c>
      <c r="C107" s="67">
        <f>LARGE(E11:E75,29)</f>
        <v/>
      </c>
      <c r="D107" s="67">
        <f>SMALL(E11:E75,29)</f>
        <v/>
      </c>
      <c r="E107" s="67">
        <f>C107-D107</f>
        <v/>
      </c>
      <c r="F107" s="67">
        <f>B107*E107</f>
        <v/>
      </c>
      <c r="G107" s="65" t="inlineStr"/>
      <c r="H107" s="65" t="inlineStr"/>
      <c r="I107" s="65" t="inlineStr"/>
    </row>
    <row r="108">
      <c r="A108" s="68" t="n">
        <v>30</v>
      </c>
      <c r="B108" s="71" t="n">
        <v>0.01465966</v>
      </c>
      <c r="C108" s="70">
        <f>LARGE(E11:E75,30)</f>
        <v/>
      </c>
      <c r="D108" s="70">
        <f>SMALL(E11:E75,30)</f>
        <v/>
      </c>
      <c r="E108" s="70">
        <f>C108-D108</f>
        <v/>
      </c>
      <c r="F108" s="70">
        <f>B108*E108</f>
        <v/>
      </c>
      <c r="G108" s="68" t="inlineStr"/>
      <c r="H108" s="68" t="inlineStr"/>
      <c r="I108" s="68" t="inlineStr"/>
    </row>
    <row r="109">
      <c r="A109" s="65" t="n">
        <v>31</v>
      </c>
      <c r="B109" s="71" t="n">
        <v>0.00976103</v>
      </c>
      <c r="C109" s="67">
        <f>LARGE(E11:E75,31)</f>
        <v/>
      </c>
      <c r="D109" s="67">
        <f>SMALL(E11:E75,31)</f>
        <v/>
      </c>
      <c r="E109" s="67">
        <f>C109-D109</f>
        <v/>
      </c>
      <c r="F109" s="67">
        <f>B109*E109</f>
        <v/>
      </c>
      <c r="G109" s="65" t="inlineStr"/>
      <c r="H109" s="65" t="inlineStr"/>
      <c r="I109" s="65" t="inlineStr"/>
    </row>
    <row r="110">
      <c r="A110" s="68" t="n">
        <v>32</v>
      </c>
      <c r="B110" s="71" t="n">
        <v>0.00487691</v>
      </c>
      <c r="C110" s="70">
        <f>LARGE(E11:E75,32)</f>
        <v/>
      </c>
      <c r="D110" s="70">
        <f>SMALL(E11:E75,32)</f>
        <v/>
      </c>
      <c r="E110" s="70">
        <f>C110-D110</f>
        <v/>
      </c>
      <c r="F110" s="70">
        <f>B110*E110</f>
        <v/>
      </c>
      <c r="G110" s="68" t="inlineStr"/>
      <c r="H110" s="68" t="inlineStr"/>
      <c r="I110" s="68" t="inlineStr"/>
    </row>
    <row r="112" ht="18" customHeight="1" s="28">
      <c r="A112" s="61" t="inlineStr">
        <is>
          <t>STEP 3 — Compute W Statistic and Interpret</t>
        </is>
      </c>
    </row>
    <row r="113">
      <c r="A113" s="72" t="inlineStr">
        <is>
          <t>n  (sample size)</t>
        </is>
      </c>
      <c r="B113" s="63" t="n"/>
      <c r="C113" s="63" t="n"/>
      <c r="D113" s="63" t="n"/>
      <c r="E113" s="64" t="n"/>
      <c r="F113" s="73" t="n">
        <v>65</v>
      </c>
      <c r="G113" s="63" t="n"/>
      <c r="H113" s="63" t="n"/>
      <c r="I113" s="64" t="n"/>
    </row>
    <row r="114">
      <c r="A114" s="72" t="inlineStr">
        <is>
          <t>k  (number of pairs)</t>
        </is>
      </c>
      <c r="B114" s="63" t="n"/>
      <c r="C114" s="63" t="n"/>
      <c r="D114" s="63" t="n"/>
      <c r="E114" s="64" t="n"/>
      <c r="F114" s="73" t="n">
        <v>32</v>
      </c>
      <c r="G114" s="63" t="n"/>
      <c r="H114" s="63" t="n"/>
      <c r="I114" s="64" t="n"/>
    </row>
    <row r="115">
      <c r="A115" s="72" t="inlineStr">
        <is>
          <t>SS_total  =  Σ(eᵢ − ē)²</t>
        </is>
      </c>
      <c r="B115" s="63" t="n"/>
      <c r="C115" s="63" t="n"/>
      <c r="D115" s="63" t="n"/>
      <c r="E115" s="64" t="n"/>
      <c r="F115" s="74">
        <f>SUMPRODUCT((E11:E75-AVERAGE(E11:E75))^2)</f>
        <v/>
      </c>
      <c r="G115" s="63" t="n"/>
      <c r="H115" s="63" t="n"/>
      <c r="I115" s="64" t="n"/>
    </row>
    <row r="116">
      <c r="A116" s="72" t="inlineStr">
        <is>
          <t>Numerator  =  [ Σ aᵢ · Diff ]²</t>
        </is>
      </c>
      <c r="B116" s="63" t="n"/>
      <c r="C116" s="63" t="n"/>
      <c r="D116" s="63" t="n"/>
      <c r="E116" s="64" t="n"/>
      <c r="F116" s="74">
        <f>(SUM(F79:F110))^2</f>
        <v/>
      </c>
      <c r="G116" s="63" t="n"/>
      <c r="H116" s="63" t="n"/>
      <c r="I116" s="64" t="n"/>
    </row>
    <row r="117">
      <c r="A117" s="72" t="inlineStr">
        <is>
          <t>W  (approx. coefficients)</t>
        </is>
      </c>
      <c r="B117" s="63" t="n"/>
      <c r="C117" s="63" t="n"/>
      <c r="D117" s="63" t="n"/>
      <c r="E117" s="64" t="n"/>
      <c r="F117" s="75">
        <f>F116/F115</f>
        <v/>
      </c>
      <c r="G117" s="63" t="n"/>
      <c r="H117" s="63" t="n"/>
      <c r="I117" s="64" t="n"/>
    </row>
    <row r="118">
      <c r="A118" s="72" t="inlineStr">
        <is>
          <t>W  (exact — Royston 1992 / scipy)</t>
        </is>
      </c>
      <c r="B118" s="63" t="n"/>
      <c r="C118" s="63" t="n"/>
      <c r="D118" s="63" t="n"/>
      <c r="E118" s="64" t="n"/>
      <c r="F118" s="75" t="n">
        <v>0.851951</v>
      </c>
      <c r="G118" s="63" t="n"/>
      <c r="H118" s="63" t="n"/>
      <c r="I118" s="64" t="n"/>
    </row>
    <row r="119">
      <c r="A119" s="72" t="inlineStr">
        <is>
          <t>p-value  (scipy exact)</t>
        </is>
      </c>
      <c r="B119" s="63" t="n"/>
      <c r="C119" s="63" t="n"/>
      <c r="D119" s="63" t="n"/>
      <c r="E119" s="64" t="n"/>
      <c r="F119" s="76" t="n">
        <v>1.62e-06</v>
      </c>
      <c r="G119" s="63" t="n"/>
      <c r="H119" s="63" t="n"/>
      <c r="I119" s="64" t="n"/>
    </row>
    <row r="120">
      <c r="A120" s="72" t="inlineStr">
        <is>
          <t>α  (significance level)</t>
        </is>
      </c>
      <c r="B120" s="63" t="n"/>
      <c r="C120" s="63" t="n"/>
      <c r="D120" s="63" t="n"/>
      <c r="E120" s="64" t="n"/>
      <c r="F120" s="77" t="n">
        <v>0.05</v>
      </c>
      <c r="G120" s="63" t="n"/>
      <c r="H120" s="63" t="n"/>
      <c r="I120" s="64" t="n"/>
    </row>
    <row r="121" ht="22" customHeight="1" s="28">
      <c r="A121" s="78" t="inlineStr">
        <is>
          <t>DECISION:  p-value (2e-06) &lt; α (0.05)  ⟹  REJECT H₀  →  ssa − Base_FL residuals (MODEL A) are NOT normally distributed  [W = 0.852 | Strong evidence of non-normality]</t>
        </is>
      </c>
    </row>
    <row r="122">
      <c r="A122" s="79" t="inlineStr">
        <is>
          <t>* aᵢ approximated via normalised expected order statistics of N(0,1) [Blom 1958]. Exact Royston (1992) coefficients give W = 0.852 (shown above). Both methods yield the same decision.</t>
        </is>
      </c>
    </row>
  </sheetData>
  <mergeCells count="30">
    <mergeCell ref="A114:E114"/>
    <mergeCell ref="B7:I7"/>
    <mergeCell ref="B3:I3"/>
    <mergeCell ref="G78:I78"/>
    <mergeCell ref="F120:I120"/>
    <mergeCell ref="F117:I117"/>
    <mergeCell ref="A119:E119"/>
    <mergeCell ref="B2:I2"/>
    <mergeCell ref="F119:I119"/>
    <mergeCell ref="F116:I116"/>
    <mergeCell ref="A118:E118"/>
    <mergeCell ref="A122:I122"/>
    <mergeCell ref="F10:I10"/>
    <mergeCell ref="A120:E120"/>
    <mergeCell ref="A112:I112"/>
    <mergeCell ref="F118:I118"/>
    <mergeCell ref="A113:E113"/>
    <mergeCell ref="A121:I121"/>
    <mergeCell ref="A9:I9"/>
    <mergeCell ref="A116:E116"/>
    <mergeCell ref="A77:I77"/>
    <mergeCell ref="F114:I114"/>
    <mergeCell ref="F113:I113"/>
    <mergeCell ref="B6:I6"/>
    <mergeCell ref="A1:I1"/>
    <mergeCell ref="B5:I5"/>
    <mergeCell ref="A115:E115"/>
    <mergeCell ref="A117:E117"/>
    <mergeCell ref="B4:I4"/>
    <mergeCell ref="F115:I1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7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9" min="1" max="1"/>
    <col width="14" customWidth="1" style="29" min="2" max="4"/>
    <col width="16" customWidth="1" style="29" min="5" max="7"/>
    <col width="8" customWidth="1" style="29" min="8" max="8"/>
    <col width="6" customWidth="1" style="29" min="9" max="9"/>
  </cols>
  <sheetData>
    <row r="1" ht="25.5" customHeight="1" s="28">
      <c r="A1" s="30" t="inlineStr">
        <is>
          <t>WHITE'S HOMOSCEDASTICITY TEST  |  MODEL B  |  n = 741</t>
        </is>
      </c>
    </row>
    <row r="2" ht="15.75" customHeight="1" s="28">
      <c r="A2" s="31" t="inlineStr">
        <is>
          <t>H₀:</t>
        </is>
      </c>
      <c r="B2" s="32" t="inlineStr">
        <is>
          <t>Variance of residuals is constant  (homoscedastic)   |   H₁: Variance depends on X or X²  (heteroscedastic)</t>
        </is>
      </c>
    </row>
    <row r="3" ht="15.75" customHeight="1" s="28">
      <c r="A3" s="31" t="inlineStr">
        <is>
          <t>PURPOSE:</t>
        </is>
      </c>
      <c r="B3" s="32" t="inlineStr">
        <is>
          <t>Extends Breusch-Pagan by adding X² to the auxiliary regression, capturing both linear AND non-linear variance patterns.  Recommended for n &gt; 100 and financial / time-series data.</t>
        </is>
      </c>
    </row>
    <row r="4" ht="15.75" customHeight="1" s="28">
      <c r="A4" s="31" t="inlineStr">
        <is>
          <t>STEPS:</t>
        </is>
      </c>
      <c r="B4" s="32" t="inlineStr">
        <is>
          <t>1. Fit main OLS:  close = β₀ + β₁·X + ε   →   residuals eᵢ</t>
        </is>
      </c>
    </row>
    <row r="5" ht="15.75" customHeight="1" s="28">
      <c r="A5" s="31" t="n"/>
      <c r="B5" s="32" t="inlineStr">
        <is>
          <t>2. Compute eᵢ²  and  Xᵢ²  (squared predictor)</t>
        </is>
      </c>
    </row>
    <row r="6" ht="15.75" customHeight="1" s="28">
      <c r="A6" s="31" t="n"/>
      <c r="B6" s="32" t="inlineStr">
        <is>
          <t>3. Auxiliary OLS:  eᵢ² = γ₀ + γ₁·X + γ₂·X² + u   →   R²_aux</t>
        </is>
      </c>
    </row>
    <row r="7" ht="15.75" customHeight="1" s="28">
      <c r="A7" s="31" t="n"/>
      <c r="B7" s="32" t="inlineStr">
        <is>
          <t>4. LM = n · R²_aux   ~  χ²(k),   k = 2  (X and X² as predictors)</t>
        </is>
      </c>
    </row>
    <row r="8" ht="15.75" customHeight="1" s="28">
      <c r="A8" s="31" t="inlineStr">
        <is>
          <t>KEY DIFF:</t>
        </is>
      </c>
      <c r="B8" s="32" t="inlineStr">
        <is>
          <t>White includes X² to catch variance that curves (e.g. low in middle, high at extremes). Breusch-Pagan only tests for a linear trend in variance.</t>
        </is>
      </c>
    </row>
    <row r="9" ht="15.75" customHeight="1" s="28">
      <c r="A9" s="31" t="inlineStr">
        <is>
          <t>REGRESSION:</t>
        </is>
      </c>
      <c r="B9" s="32" t="inlineStr">
        <is>
          <t>β₀ = 4541.1387   β₁ = 0.225904   [blue = hardcoded inputs]</t>
        </is>
      </c>
    </row>
    <row r="10" ht="15.75" customHeight="1" s="28">
      <c r="A10" s="31" t="inlineStr">
        <is>
          <t>DECISION:</t>
        </is>
      </c>
      <c r="B10" s="32" t="inlineStr">
        <is>
          <t>Reject H₀ if  p-value &lt; α = 0.05</t>
        </is>
      </c>
    </row>
    <row r="12" ht="18" customHeight="1" s="28">
      <c r="A12" s="33" t="inlineStr">
        <is>
          <t>STEP 1 — OLS Residuals, eᵢ², and X²ᵢ  (ŷᵢ = 4541.1387 + 0.225904 · bar_idx)</t>
        </is>
      </c>
    </row>
    <row r="13" ht="31.5" customHeight="1" s="28">
      <c r="A13" s="34" t="inlineStr">
        <is>
          <t>i</t>
        </is>
      </c>
      <c r="B13" s="34" t="inlineStr">
        <is>
          <t>X = Bar Index</t>
        </is>
      </c>
      <c r="C13" s="34" t="inlineStr">
        <is>
          <t>X²  (predictor²)</t>
        </is>
      </c>
      <c r="D13" s="34" t="inlineStr">
        <is>
          <t>Close Price</t>
        </is>
      </c>
      <c r="E13" s="34" t="inlineStr">
        <is>
          <t>OLS Fitted ŷᵢ</t>
        </is>
      </c>
      <c r="F13" s="34" t="inlineStr">
        <is>
          <t>Residual eᵢ</t>
        </is>
      </c>
      <c r="G13" s="34" t="inlineStr">
        <is>
          <t>eᵢ²  (aux. Y)</t>
        </is>
      </c>
      <c r="H13" s="34" t="n"/>
      <c r="I13" s="36" t="n"/>
    </row>
    <row r="14" ht="15" customHeight="1" s="28">
      <c r="A14" s="37" t="n">
        <v>1</v>
      </c>
      <c r="B14" s="55" t="n">
        <v>0</v>
      </c>
      <c r="C14" s="55">
        <f>B14^2</f>
        <v/>
      </c>
      <c r="D14" s="38" t="n">
        <v>4595.7</v>
      </c>
      <c r="E14" s="38">
        <f>4541.138727+0.225904*B14</f>
        <v/>
      </c>
      <c r="F14" s="39">
        <f>D14-E14</f>
        <v/>
      </c>
      <c r="G14" s="38">
        <f>F14^2</f>
        <v/>
      </c>
      <c r="H14" s="37" t="n"/>
      <c r="I14" s="37" t="n"/>
    </row>
    <row r="15" ht="15" customHeight="1" s="28">
      <c r="A15" s="40" t="n">
        <v>2</v>
      </c>
      <c r="B15" s="56" t="n">
        <v>1</v>
      </c>
      <c r="C15" s="56">
        <f>B15^2</f>
        <v/>
      </c>
      <c r="D15" s="41" t="n">
        <v>4597.28</v>
      </c>
      <c r="E15" s="41">
        <f>4541.138727+0.225904*B15</f>
        <v/>
      </c>
      <c r="F15" s="42">
        <f>D15-E15</f>
        <v/>
      </c>
      <c r="G15" s="41">
        <f>F15^2</f>
        <v/>
      </c>
      <c r="H15" s="40" t="n"/>
      <c r="I15" s="40" t="n"/>
    </row>
    <row r="16" ht="15" customHeight="1" s="28">
      <c r="A16" s="37" t="n">
        <v>3</v>
      </c>
      <c r="B16" s="55" t="n">
        <v>2</v>
      </c>
      <c r="C16" s="55">
        <f>B16^2</f>
        <v/>
      </c>
      <c r="D16" s="38" t="n">
        <v>4592.85</v>
      </c>
      <c r="E16" s="38">
        <f>4541.138727+0.225904*B16</f>
        <v/>
      </c>
      <c r="F16" s="39">
        <f>D16-E16</f>
        <v/>
      </c>
      <c r="G16" s="38">
        <f>F16^2</f>
        <v/>
      </c>
      <c r="H16" s="37" t="n"/>
      <c r="I16" s="37" t="n"/>
    </row>
    <row r="17" ht="15" customHeight="1" s="28">
      <c r="A17" s="40" t="n">
        <v>4</v>
      </c>
      <c r="B17" s="56" t="n">
        <v>3</v>
      </c>
      <c r="C17" s="56">
        <f>B17^2</f>
        <v/>
      </c>
      <c r="D17" s="41" t="n">
        <v>4593.44</v>
      </c>
      <c r="E17" s="41">
        <f>4541.138727+0.225904*B17</f>
        <v/>
      </c>
      <c r="F17" s="42">
        <f>D17-E17</f>
        <v/>
      </c>
      <c r="G17" s="41">
        <f>F17^2</f>
        <v/>
      </c>
      <c r="H17" s="40" t="n"/>
      <c r="I17" s="40" t="n"/>
    </row>
    <row r="18" ht="15" customHeight="1" s="28">
      <c r="A18" s="37" t="n">
        <v>5</v>
      </c>
      <c r="B18" s="55" t="n">
        <v>4</v>
      </c>
      <c r="C18" s="55">
        <f>B18^2</f>
        <v/>
      </c>
      <c r="D18" s="38" t="n">
        <v>4597.18</v>
      </c>
      <c r="E18" s="38">
        <f>4541.138727+0.225904*B18</f>
        <v/>
      </c>
      <c r="F18" s="39">
        <f>D18-E18</f>
        <v/>
      </c>
      <c r="G18" s="38">
        <f>F18^2</f>
        <v/>
      </c>
      <c r="H18" s="37" t="n"/>
      <c r="I18" s="37" t="n"/>
    </row>
    <row r="19" ht="15" customHeight="1" s="28">
      <c r="A19" s="40" t="n">
        <v>6</v>
      </c>
      <c r="B19" s="56" t="n">
        <v>5</v>
      </c>
      <c r="C19" s="56">
        <f>B19^2</f>
        <v/>
      </c>
      <c r="D19" s="41" t="n">
        <v>4596.42</v>
      </c>
      <c r="E19" s="41">
        <f>4541.138727+0.225904*B19</f>
        <v/>
      </c>
      <c r="F19" s="42">
        <f>D19-E19</f>
        <v/>
      </c>
      <c r="G19" s="41">
        <f>F19^2</f>
        <v/>
      </c>
      <c r="H19" s="40" t="n"/>
      <c r="I19" s="40" t="n"/>
    </row>
    <row r="20" ht="15" customHeight="1" s="28">
      <c r="A20" s="37" t="n">
        <v>7</v>
      </c>
      <c r="B20" s="55" t="n">
        <v>6</v>
      </c>
      <c r="C20" s="55">
        <f>B20^2</f>
        <v/>
      </c>
      <c r="D20" s="38" t="n">
        <v>4595.82</v>
      </c>
      <c r="E20" s="38">
        <f>4541.138727+0.225904*B20</f>
        <v/>
      </c>
      <c r="F20" s="39">
        <f>D20-E20</f>
        <v/>
      </c>
      <c r="G20" s="38">
        <f>F20^2</f>
        <v/>
      </c>
      <c r="H20" s="37" t="n"/>
      <c r="I20" s="37" t="n"/>
    </row>
    <row r="21" ht="15" customHeight="1" s="28">
      <c r="A21" s="40" t="n">
        <v>8</v>
      </c>
      <c r="B21" s="56" t="n">
        <v>7</v>
      </c>
      <c r="C21" s="56">
        <f>B21^2</f>
        <v/>
      </c>
      <c r="D21" s="41" t="n">
        <v>4593.71</v>
      </c>
      <c r="E21" s="41">
        <f>4541.138727+0.225904*B21</f>
        <v/>
      </c>
      <c r="F21" s="42">
        <f>D21-E21</f>
        <v/>
      </c>
      <c r="G21" s="41">
        <f>F21^2</f>
        <v/>
      </c>
      <c r="H21" s="40" t="n"/>
      <c r="I21" s="40" t="n"/>
    </row>
    <row r="22" ht="15" customHeight="1" s="28">
      <c r="A22" s="37" t="n">
        <v>9</v>
      </c>
      <c r="B22" s="55" t="n">
        <v>8</v>
      </c>
      <c r="C22" s="55">
        <f>B22^2</f>
        <v/>
      </c>
      <c r="D22" s="38" t="n">
        <v>4594.16</v>
      </c>
      <c r="E22" s="38">
        <f>4541.138727+0.225904*B22</f>
        <v/>
      </c>
      <c r="F22" s="39">
        <f>D22-E22</f>
        <v/>
      </c>
      <c r="G22" s="38">
        <f>F22^2</f>
        <v/>
      </c>
      <c r="H22" s="37" t="n"/>
      <c r="I22" s="37" t="n"/>
    </row>
    <row r="23" ht="15" customHeight="1" s="28">
      <c r="A23" s="40" t="n">
        <v>10</v>
      </c>
      <c r="B23" s="56" t="n">
        <v>9</v>
      </c>
      <c r="C23" s="56">
        <f>B23^2</f>
        <v/>
      </c>
      <c r="D23" s="41" t="n">
        <v>4590.84</v>
      </c>
      <c r="E23" s="41">
        <f>4541.138727+0.225904*B23</f>
        <v/>
      </c>
      <c r="F23" s="42">
        <f>D23-E23</f>
        <v/>
      </c>
      <c r="G23" s="41">
        <f>F23^2</f>
        <v/>
      </c>
      <c r="H23" s="40" t="n"/>
      <c r="I23" s="40" t="n"/>
    </row>
    <row r="24" ht="15" customHeight="1" s="28">
      <c r="A24" s="37" t="n">
        <v>11</v>
      </c>
      <c r="B24" s="55" t="n">
        <v>10</v>
      </c>
      <c r="C24" s="55">
        <f>B24^2</f>
        <v/>
      </c>
      <c r="D24" s="38" t="n">
        <v>4592.2</v>
      </c>
      <c r="E24" s="38">
        <f>4541.138727+0.225904*B24</f>
        <v/>
      </c>
      <c r="F24" s="39">
        <f>D24-E24</f>
        <v/>
      </c>
      <c r="G24" s="38">
        <f>F24^2</f>
        <v/>
      </c>
      <c r="H24" s="37" t="n"/>
      <c r="I24" s="37" t="n"/>
    </row>
    <row r="25" ht="15" customHeight="1" s="28">
      <c r="A25" s="40" t="n">
        <v>12</v>
      </c>
      <c r="B25" s="56" t="n">
        <v>11</v>
      </c>
      <c r="C25" s="56">
        <f>B25^2</f>
        <v/>
      </c>
      <c r="D25" s="41" t="n">
        <v>4589.91</v>
      </c>
      <c r="E25" s="41">
        <f>4541.138727+0.225904*B25</f>
        <v/>
      </c>
      <c r="F25" s="42">
        <f>D25-E25</f>
        <v/>
      </c>
      <c r="G25" s="41">
        <f>F25^2</f>
        <v/>
      </c>
      <c r="H25" s="40" t="n"/>
      <c r="I25" s="40" t="n"/>
    </row>
    <row r="26" ht="15" customHeight="1" s="28">
      <c r="A26" s="37" t="n">
        <v>13</v>
      </c>
      <c r="B26" s="55" t="n">
        <v>12</v>
      </c>
      <c r="C26" s="55">
        <f>B26^2</f>
        <v/>
      </c>
      <c r="D26" s="38" t="n">
        <v>4595.51</v>
      </c>
      <c r="E26" s="38">
        <f>4541.138727+0.225904*B26</f>
        <v/>
      </c>
      <c r="F26" s="39">
        <f>D26-E26</f>
        <v/>
      </c>
      <c r="G26" s="38">
        <f>F26^2</f>
        <v/>
      </c>
      <c r="H26" s="37" t="n"/>
      <c r="I26" s="37" t="n"/>
    </row>
    <row r="27" ht="15" customHeight="1" s="28">
      <c r="A27" s="40" t="n">
        <v>14</v>
      </c>
      <c r="B27" s="56" t="n">
        <v>13</v>
      </c>
      <c r="C27" s="56">
        <f>B27^2</f>
        <v/>
      </c>
      <c r="D27" s="41" t="n">
        <v>4607.37</v>
      </c>
      <c r="E27" s="41">
        <f>4541.138727+0.225904*B27</f>
        <v/>
      </c>
      <c r="F27" s="42">
        <f>D27-E27</f>
        <v/>
      </c>
      <c r="G27" s="41">
        <f>F27^2</f>
        <v/>
      </c>
      <c r="H27" s="40" t="n"/>
      <c r="I27" s="40" t="n"/>
    </row>
    <row r="28" ht="15" customHeight="1" s="28">
      <c r="A28" s="37" t="n">
        <v>15</v>
      </c>
      <c r="B28" s="55" t="n">
        <v>14</v>
      </c>
      <c r="C28" s="55">
        <f>B28^2</f>
        <v/>
      </c>
      <c r="D28" s="38" t="n">
        <v>4600.13</v>
      </c>
      <c r="E28" s="38">
        <f>4541.138727+0.225904*B28</f>
        <v/>
      </c>
      <c r="F28" s="39">
        <f>D28-E28</f>
        <v/>
      </c>
      <c r="G28" s="38">
        <f>F28^2</f>
        <v/>
      </c>
      <c r="H28" s="37" t="n"/>
      <c r="I28" s="37" t="n"/>
    </row>
    <row r="29" ht="15" customHeight="1" s="28">
      <c r="A29" s="40" t="n">
        <v>16</v>
      </c>
      <c r="B29" s="56" t="n">
        <v>15</v>
      </c>
      <c r="C29" s="56">
        <f>B29^2</f>
        <v/>
      </c>
      <c r="D29" s="41" t="n">
        <v>4603.88</v>
      </c>
      <c r="E29" s="41">
        <f>4541.138727+0.225904*B29</f>
        <v/>
      </c>
      <c r="F29" s="42">
        <f>D29-E29</f>
        <v/>
      </c>
      <c r="G29" s="41">
        <f>F29^2</f>
        <v/>
      </c>
      <c r="H29" s="40" t="n"/>
      <c r="I29" s="40" t="n"/>
    </row>
    <row r="30" ht="15" customHeight="1" s="28">
      <c r="A30" s="37" t="n">
        <v>17</v>
      </c>
      <c r="B30" s="55" t="n">
        <v>16</v>
      </c>
      <c r="C30" s="55">
        <f>B30^2</f>
        <v/>
      </c>
      <c r="D30" s="38" t="n">
        <v>4600.27</v>
      </c>
      <c r="E30" s="38">
        <f>4541.138727+0.225904*B30</f>
        <v/>
      </c>
      <c r="F30" s="39">
        <f>D30-E30</f>
        <v/>
      </c>
      <c r="G30" s="38">
        <f>F30^2</f>
        <v/>
      </c>
      <c r="H30" s="37" t="n"/>
      <c r="I30" s="37" t="n"/>
    </row>
    <row r="31" ht="15" customHeight="1" s="28">
      <c r="A31" s="40" t="n">
        <v>18</v>
      </c>
      <c r="B31" s="56" t="n">
        <v>17</v>
      </c>
      <c r="C31" s="56">
        <f>B31^2</f>
        <v/>
      </c>
      <c r="D31" s="41" t="n">
        <v>4582.65</v>
      </c>
      <c r="E31" s="41">
        <f>4541.138727+0.225904*B31</f>
        <v/>
      </c>
      <c r="F31" s="42">
        <f>D31-E31</f>
        <v/>
      </c>
      <c r="G31" s="41">
        <f>F31^2</f>
        <v/>
      </c>
      <c r="H31" s="40" t="n"/>
      <c r="I31" s="40" t="n"/>
    </row>
    <row r="32" ht="15" customHeight="1" s="28">
      <c r="A32" s="37" t="n">
        <v>19</v>
      </c>
      <c r="B32" s="55" t="n">
        <v>18</v>
      </c>
      <c r="C32" s="55">
        <f>B32^2</f>
        <v/>
      </c>
      <c r="D32" s="38" t="n">
        <v>4580.48</v>
      </c>
      <c r="E32" s="38">
        <f>4541.138727+0.225904*B32</f>
        <v/>
      </c>
      <c r="F32" s="39">
        <f>D32-E32</f>
        <v/>
      </c>
      <c r="G32" s="38">
        <f>F32^2</f>
        <v/>
      </c>
      <c r="H32" s="37" t="n"/>
      <c r="I32" s="37" t="n"/>
    </row>
    <row r="33" ht="15" customHeight="1" s="28">
      <c r="A33" s="40" t="n">
        <v>20</v>
      </c>
      <c r="B33" s="56" t="n">
        <v>19</v>
      </c>
      <c r="C33" s="56">
        <f>B33^2</f>
        <v/>
      </c>
      <c r="D33" s="41" t="n">
        <v>4590.56</v>
      </c>
      <c r="E33" s="41">
        <f>4541.138727+0.225904*B33</f>
        <v/>
      </c>
      <c r="F33" s="42">
        <f>D33-E33</f>
        <v/>
      </c>
      <c r="G33" s="41">
        <f>F33^2</f>
        <v/>
      </c>
      <c r="H33" s="40" t="n"/>
      <c r="I33" s="40" t="n"/>
    </row>
    <row r="34" ht="15" customHeight="1" s="28">
      <c r="A34" s="37" t="n">
        <v>21</v>
      </c>
      <c r="B34" s="55" t="n">
        <v>20</v>
      </c>
      <c r="C34" s="55">
        <f>B34^2</f>
        <v/>
      </c>
      <c r="D34" s="38" t="n">
        <v>4584.98</v>
      </c>
      <c r="E34" s="38">
        <f>4541.138727+0.225904*B34</f>
        <v/>
      </c>
      <c r="F34" s="39">
        <f>D34-E34</f>
        <v/>
      </c>
      <c r="G34" s="38">
        <f>F34^2</f>
        <v/>
      </c>
      <c r="H34" s="37" t="n"/>
      <c r="I34" s="37" t="n"/>
    </row>
    <row r="35" ht="15" customHeight="1" s="28">
      <c r="A35" s="40" t="n">
        <v>22</v>
      </c>
      <c r="B35" s="56" t="n">
        <v>21</v>
      </c>
      <c r="C35" s="56">
        <f>B35^2</f>
        <v/>
      </c>
      <c r="D35" s="41" t="n">
        <v>4600.87</v>
      </c>
      <c r="E35" s="41">
        <f>4541.138727+0.225904*B35</f>
        <v/>
      </c>
      <c r="F35" s="42">
        <f>D35-E35</f>
        <v/>
      </c>
      <c r="G35" s="41">
        <f>F35^2</f>
        <v/>
      </c>
      <c r="H35" s="40" t="n"/>
      <c r="I35" s="40" t="n"/>
    </row>
    <row r="36" ht="15" customHeight="1" s="28">
      <c r="A36" s="37" t="n">
        <v>23</v>
      </c>
      <c r="B36" s="55" t="n">
        <v>22</v>
      </c>
      <c r="C36" s="55">
        <f>B36^2</f>
        <v/>
      </c>
      <c r="D36" s="38" t="n">
        <v>4598.93</v>
      </c>
      <c r="E36" s="38">
        <f>4541.138727+0.225904*B36</f>
        <v/>
      </c>
      <c r="F36" s="39">
        <f>D36-E36</f>
        <v/>
      </c>
      <c r="G36" s="38">
        <f>F36^2</f>
        <v/>
      </c>
      <c r="H36" s="37" t="n"/>
      <c r="I36" s="37" t="n"/>
    </row>
    <row r="37" ht="15" customHeight="1" s="28">
      <c r="A37" s="40" t="n">
        <v>24</v>
      </c>
      <c r="B37" s="56" t="n">
        <v>23</v>
      </c>
      <c r="C37" s="56">
        <f>B37^2</f>
        <v/>
      </c>
      <c r="D37" s="41" t="n">
        <v>4596.92</v>
      </c>
      <c r="E37" s="41">
        <f>4541.138727+0.225904*B37</f>
        <v/>
      </c>
      <c r="F37" s="42">
        <f>D37-E37</f>
        <v/>
      </c>
      <c r="G37" s="41">
        <f>F37^2</f>
        <v/>
      </c>
      <c r="H37" s="40" t="n"/>
      <c r="I37" s="40" t="n"/>
    </row>
    <row r="38" ht="15" customHeight="1" s="28">
      <c r="A38" s="37" t="n">
        <v>25</v>
      </c>
      <c r="B38" s="55" t="n">
        <v>24</v>
      </c>
      <c r="C38" s="55">
        <f>B38^2</f>
        <v/>
      </c>
      <c r="D38" s="38" t="n">
        <v>4593.75</v>
      </c>
      <c r="E38" s="38">
        <f>4541.138727+0.225904*B38</f>
        <v/>
      </c>
      <c r="F38" s="39">
        <f>D38-E38</f>
        <v/>
      </c>
      <c r="G38" s="38">
        <f>F38^2</f>
        <v/>
      </c>
      <c r="H38" s="37" t="n"/>
      <c r="I38" s="37" t="n"/>
    </row>
    <row r="39" ht="15" customHeight="1" s="28">
      <c r="A39" s="40" t="n">
        <v>26</v>
      </c>
      <c r="B39" s="56" t="n">
        <v>25</v>
      </c>
      <c r="C39" s="56">
        <f>B39^2</f>
        <v/>
      </c>
      <c r="D39" s="41" t="n">
        <v>4601.89</v>
      </c>
      <c r="E39" s="41">
        <f>4541.138727+0.225904*B39</f>
        <v/>
      </c>
      <c r="F39" s="42">
        <f>D39-E39</f>
        <v/>
      </c>
      <c r="G39" s="41">
        <f>F39^2</f>
        <v/>
      </c>
      <c r="H39" s="40" t="n"/>
      <c r="I39" s="40" t="n"/>
    </row>
    <row r="40" ht="15" customHeight="1" s="28">
      <c r="A40" s="37" t="n">
        <v>27</v>
      </c>
      <c r="B40" s="55" t="n">
        <v>26</v>
      </c>
      <c r="C40" s="55">
        <f>B40^2</f>
        <v/>
      </c>
      <c r="D40" s="38" t="n">
        <v>4598.67</v>
      </c>
      <c r="E40" s="38">
        <f>4541.138727+0.225904*B40</f>
        <v/>
      </c>
      <c r="F40" s="39">
        <f>D40-E40</f>
        <v/>
      </c>
      <c r="G40" s="38">
        <f>F40^2</f>
        <v/>
      </c>
      <c r="H40" s="37" t="n"/>
      <c r="I40" s="37" t="n"/>
    </row>
    <row r="41" ht="15" customHeight="1" s="28">
      <c r="A41" s="40" t="n">
        <v>28</v>
      </c>
      <c r="B41" s="56" t="n">
        <v>27</v>
      </c>
      <c r="C41" s="56">
        <f>B41^2</f>
        <v/>
      </c>
      <c r="D41" s="41" t="n">
        <v>4593.91</v>
      </c>
      <c r="E41" s="41">
        <f>4541.138727+0.225904*B41</f>
        <v/>
      </c>
      <c r="F41" s="42">
        <f>D41-E41</f>
        <v/>
      </c>
      <c r="G41" s="41">
        <f>F41^2</f>
        <v/>
      </c>
      <c r="H41" s="40" t="n"/>
      <c r="I41" s="40" t="n"/>
    </row>
    <row r="42" ht="15" customHeight="1" s="28">
      <c r="A42" s="37" t="n">
        <v>29</v>
      </c>
      <c r="B42" s="55" t="n">
        <v>28</v>
      </c>
      <c r="C42" s="55">
        <f>B42^2</f>
        <v/>
      </c>
      <c r="D42" s="38" t="n">
        <v>4595.48</v>
      </c>
      <c r="E42" s="38">
        <f>4541.138727+0.225904*B42</f>
        <v/>
      </c>
      <c r="F42" s="39">
        <f>D42-E42</f>
        <v/>
      </c>
      <c r="G42" s="38">
        <f>F42^2</f>
        <v/>
      </c>
      <c r="H42" s="37" t="n"/>
      <c r="I42" s="37" t="n"/>
    </row>
    <row r="43" ht="15" customHeight="1" s="28">
      <c r="A43" s="40" t="n">
        <v>30</v>
      </c>
      <c r="B43" s="56" t="n">
        <v>29</v>
      </c>
      <c r="C43" s="56">
        <f>B43^2</f>
        <v/>
      </c>
      <c r="D43" s="41" t="n">
        <v>4600.68</v>
      </c>
      <c r="E43" s="41">
        <f>4541.138727+0.225904*B43</f>
        <v/>
      </c>
      <c r="F43" s="42">
        <f>D43-E43</f>
        <v/>
      </c>
      <c r="G43" s="41">
        <f>F43^2</f>
        <v/>
      </c>
      <c r="H43" s="40" t="n"/>
      <c r="I43" s="40" t="n"/>
    </row>
    <row r="44" ht="15" customHeight="1" s="28">
      <c r="A44" s="37" t="n">
        <v>31</v>
      </c>
      <c r="B44" s="55" t="n">
        <v>30</v>
      </c>
      <c r="C44" s="55">
        <f>B44^2</f>
        <v/>
      </c>
      <c r="D44" s="38" t="n">
        <v>4601.86</v>
      </c>
      <c r="E44" s="38">
        <f>4541.138727+0.225904*B44</f>
        <v/>
      </c>
      <c r="F44" s="39">
        <f>D44-E44</f>
        <v/>
      </c>
      <c r="G44" s="38">
        <f>F44^2</f>
        <v/>
      </c>
      <c r="H44" s="37" t="n"/>
      <c r="I44" s="37" t="n"/>
    </row>
    <row r="45" ht="15" customHeight="1" s="28">
      <c r="A45" s="40" t="n">
        <v>32</v>
      </c>
      <c r="B45" s="56" t="n">
        <v>31</v>
      </c>
      <c r="C45" s="56">
        <f>B45^2</f>
        <v/>
      </c>
      <c r="D45" s="41" t="n">
        <v>4602.15</v>
      </c>
      <c r="E45" s="41">
        <f>4541.138727+0.225904*B45</f>
        <v/>
      </c>
      <c r="F45" s="42">
        <f>D45-E45</f>
        <v/>
      </c>
      <c r="G45" s="41">
        <f>F45^2</f>
        <v/>
      </c>
      <c r="H45" s="40" t="n"/>
      <c r="I45" s="40" t="n"/>
    </row>
    <row r="46" ht="15" customHeight="1" s="28">
      <c r="A46" s="37" t="n">
        <v>33</v>
      </c>
      <c r="B46" s="55" t="n">
        <v>32</v>
      </c>
      <c r="C46" s="55">
        <f>B46^2</f>
        <v/>
      </c>
      <c r="D46" s="38" t="n">
        <v>4604.85</v>
      </c>
      <c r="E46" s="38">
        <f>4541.138727+0.225904*B46</f>
        <v/>
      </c>
      <c r="F46" s="39">
        <f>D46-E46</f>
        <v/>
      </c>
      <c r="G46" s="38">
        <f>F46^2</f>
        <v/>
      </c>
      <c r="H46" s="37" t="n"/>
      <c r="I46" s="37" t="n"/>
    </row>
    <row r="47" ht="15" customHeight="1" s="28">
      <c r="A47" s="40" t="n">
        <v>34</v>
      </c>
      <c r="B47" s="56" t="n">
        <v>33</v>
      </c>
      <c r="C47" s="56">
        <f>B47^2</f>
        <v/>
      </c>
      <c r="D47" s="41" t="n">
        <v>4601.15</v>
      </c>
      <c r="E47" s="41">
        <f>4541.138727+0.225904*B47</f>
        <v/>
      </c>
      <c r="F47" s="42">
        <f>D47-E47</f>
        <v/>
      </c>
      <c r="G47" s="41">
        <f>F47^2</f>
        <v/>
      </c>
      <c r="H47" s="40" t="n"/>
      <c r="I47" s="40" t="n"/>
    </row>
    <row r="48" ht="15" customHeight="1" s="28">
      <c r="A48" s="37" t="n">
        <v>35</v>
      </c>
      <c r="B48" s="55" t="n">
        <v>34</v>
      </c>
      <c r="C48" s="55">
        <f>B48^2</f>
        <v/>
      </c>
      <c r="D48" s="38" t="n">
        <v>4600.72</v>
      </c>
      <c r="E48" s="38">
        <f>4541.138727+0.225904*B48</f>
        <v/>
      </c>
      <c r="F48" s="39">
        <f>D48-E48</f>
        <v/>
      </c>
      <c r="G48" s="38">
        <f>F48^2</f>
        <v/>
      </c>
      <c r="H48" s="37" t="n"/>
      <c r="I48" s="37" t="n"/>
    </row>
    <row r="49" ht="15" customHeight="1" s="28">
      <c r="A49" s="40" t="n">
        <v>36</v>
      </c>
      <c r="B49" s="56" t="n">
        <v>35</v>
      </c>
      <c r="C49" s="56">
        <f>B49^2</f>
        <v/>
      </c>
      <c r="D49" s="41" t="n">
        <v>4599.05</v>
      </c>
      <c r="E49" s="41">
        <f>4541.138727+0.225904*B49</f>
        <v/>
      </c>
      <c r="F49" s="42">
        <f>D49-E49</f>
        <v/>
      </c>
      <c r="G49" s="41">
        <f>F49^2</f>
        <v/>
      </c>
      <c r="H49" s="40" t="n"/>
      <c r="I49" s="40" t="n"/>
    </row>
    <row r="50" ht="15" customHeight="1" s="28">
      <c r="A50" s="37" t="n">
        <v>37</v>
      </c>
      <c r="B50" s="55" t="n">
        <v>36</v>
      </c>
      <c r="C50" s="55">
        <f>B50^2</f>
        <v/>
      </c>
      <c r="D50" s="38" t="n">
        <v>4590.9</v>
      </c>
      <c r="E50" s="38">
        <f>4541.138727+0.225904*B50</f>
        <v/>
      </c>
      <c r="F50" s="39">
        <f>D50-E50</f>
        <v/>
      </c>
      <c r="G50" s="38">
        <f>F50^2</f>
        <v/>
      </c>
      <c r="H50" s="37" t="n"/>
      <c r="I50" s="37" t="n"/>
    </row>
    <row r="51" ht="15" customHeight="1" s="28">
      <c r="A51" s="40" t="n">
        <v>38</v>
      </c>
      <c r="B51" s="56" t="n">
        <v>37</v>
      </c>
      <c r="C51" s="56">
        <f>B51^2</f>
        <v/>
      </c>
      <c r="D51" s="41" t="n">
        <v>4588.73</v>
      </c>
      <c r="E51" s="41">
        <f>4541.138727+0.225904*B51</f>
        <v/>
      </c>
      <c r="F51" s="42">
        <f>D51-E51</f>
        <v/>
      </c>
      <c r="G51" s="41">
        <f>F51^2</f>
        <v/>
      </c>
      <c r="H51" s="40" t="n"/>
      <c r="I51" s="40" t="n"/>
    </row>
    <row r="52" ht="15" customHeight="1" s="28">
      <c r="A52" s="37" t="n">
        <v>39</v>
      </c>
      <c r="B52" s="55" t="n">
        <v>38</v>
      </c>
      <c r="C52" s="55">
        <f>B52^2</f>
        <v/>
      </c>
      <c r="D52" s="38" t="n">
        <v>4585.04</v>
      </c>
      <c r="E52" s="38">
        <f>4541.138727+0.225904*B52</f>
        <v/>
      </c>
      <c r="F52" s="39">
        <f>D52-E52</f>
        <v/>
      </c>
      <c r="G52" s="38">
        <f>F52^2</f>
        <v/>
      </c>
      <c r="H52" s="37" t="n"/>
      <c r="I52" s="37" t="n"/>
    </row>
    <row r="53" ht="15" customHeight="1" s="28">
      <c r="A53" s="40" t="n">
        <v>40</v>
      </c>
      <c r="B53" s="56" t="n">
        <v>39</v>
      </c>
      <c r="C53" s="56">
        <f>B53^2</f>
        <v/>
      </c>
      <c r="D53" s="41" t="n">
        <v>4585.03</v>
      </c>
      <c r="E53" s="41">
        <f>4541.138727+0.225904*B53</f>
        <v/>
      </c>
      <c r="F53" s="42">
        <f>D53-E53</f>
        <v/>
      </c>
      <c r="G53" s="41">
        <f>F53^2</f>
        <v/>
      </c>
      <c r="H53" s="40" t="n"/>
      <c r="I53" s="40" t="n"/>
    </row>
    <row r="54" ht="15" customHeight="1" s="28">
      <c r="A54" s="37" t="n">
        <v>41</v>
      </c>
      <c r="B54" s="55" t="n">
        <v>40</v>
      </c>
      <c r="C54" s="55">
        <f>B54^2</f>
        <v/>
      </c>
      <c r="D54" s="38" t="n">
        <v>4584.52</v>
      </c>
      <c r="E54" s="38">
        <f>4541.138727+0.225904*B54</f>
        <v/>
      </c>
      <c r="F54" s="39">
        <f>D54-E54</f>
        <v/>
      </c>
      <c r="G54" s="38">
        <f>F54^2</f>
        <v/>
      </c>
      <c r="H54" s="37" t="n"/>
      <c r="I54" s="37" t="n"/>
    </row>
    <row r="55" ht="15" customHeight="1" s="28">
      <c r="A55" s="40" t="n">
        <v>42</v>
      </c>
      <c r="B55" s="56" t="n">
        <v>41</v>
      </c>
      <c r="C55" s="56">
        <f>B55^2</f>
        <v/>
      </c>
      <c r="D55" s="41" t="n">
        <v>4578.72</v>
      </c>
      <c r="E55" s="41">
        <f>4541.138727+0.225904*B55</f>
        <v/>
      </c>
      <c r="F55" s="42">
        <f>D55-E55</f>
        <v/>
      </c>
      <c r="G55" s="41">
        <f>F55^2</f>
        <v/>
      </c>
      <c r="H55" s="40" t="n"/>
      <c r="I55" s="40" t="n"/>
    </row>
    <row r="56" ht="15" customHeight="1" s="28">
      <c r="A56" s="37" t="n">
        <v>43</v>
      </c>
      <c r="B56" s="55" t="n">
        <v>42</v>
      </c>
      <c r="C56" s="55">
        <f>B56^2</f>
        <v/>
      </c>
      <c r="D56" s="38" t="n">
        <v>4575.11</v>
      </c>
      <c r="E56" s="38">
        <f>4541.138727+0.225904*B56</f>
        <v/>
      </c>
      <c r="F56" s="39">
        <f>D56-E56</f>
        <v/>
      </c>
      <c r="G56" s="38">
        <f>F56^2</f>
        <v/>
      </c>
      <c r="H56" s="37" t="n"/>
      <c r="I56" s="37" t="n"/>
    </row>
    <row r="57" ht="15" customHeight="1" s="28">
      <c r="A57" s="40" t="n">
        <v>44</v>
      </c>
      <c r="B57" s="56" t="n">
        <v>43</v>
      </c>
      <c r="C57" s="56">
        <f>B57^2</f>
        <v/>
      </c>
      <c r="D57" s="41" t="n">
        <v>4570.56</v>
      </c>
      <c r="E57" s="41">
        <f>4541.138727+0.225904*B57</f>
        <v/>
      </c>
      <c r="F57" s="42">
        <f>D57-E57</f>
        <v/>
      </c>
      <c r="G57" s="41">
        <f>F57^2</f>
        <v/>
      </c>
      <c r="H57" s="40" t="n"/>
      <c r="I57" s="40" t="n"/>
    </row>
    <row r="58" ht="15" customHeight="1" s="28">
      <c r="A58" s="37" t="n">
        <v>45</v>
      </c>
      <c r="B58" s="55" t="n">
        <v>44</v>
      </c>
      <c r="C58" s="55">
        <f>B58^2</f>
        <v/>
      </c>
      <c r="D58" s="38" t="n">
        <v>4567.92</v>
      </c>
      <c r="E58" s="38">
        <f>4541.138727+0.225904*B58</f>
        <v/>
      </c>
      <c r="F58" s="39">
        <f>D58-E58</f>
        <v/>
      </c>
      <c r="G58" s="38">
        <f>F58^2</f>
        <v/>
      </c>
      <c r="H58" s="37" t="n"/>
      <c r="I58" s="37" t="n"/>
    </row>
    <row r="59" ht="15" customHeight="1" s="28">
      <c r="A59" s="40" t="n">
        <v>46</v>
      </c>
      <c r="B59" s="56" t="n">
        <v>45</v>
      </c>
      <c r="C59" s="56">
        <f>B59^2</f>
        <v/>
      </c>
      <c r="D59" s="41" t="n">
        <v>4565.44</v>
      </c>
      <c r="E59" s="41">
        <f>4541.138727+0.225904*B59</f>
        <v/>
      </c>
      <c r="F59" s="42">
        <f>D59-E59</f>
        <v/>
      </c>
      <c r="G59" s="41">
        <f>F59^2</f>
        <v/>
      </c>
      <c r="H59" s="40" t="n"/>
      <c r="I59" s="40" t="n"/>
    </row>
    <row r="60" ht="15" customHeight="1" s="28">
      <c r="A60" s="37" t="n">
        <v>47</v>
      </c>
      <c r="B60" s="55" t="n">
        <v>46</v>
      </c>
      <c r="C60" s="55">
        <f>B60^2</f>
        <v/>
      </c>
      <c r="D60" s="38" t="n">
        <v>4566.65</v>
      </c>
      <c r="E60" s="38">
        <f>4541.138727+0.225904*B60</f>
        <v/>
      </c>
      <c r="F60" s="39">
        <f>D60-E60</f>
        <v/>
      </c>
      <c r="G60" s="38">
        <f>F60^2</f>
        <v/>
      </c>
      <c r="H60" s="37" t="n"/>
      <c r="I60" s="37" t="n"/>
    </row>
    <row r="61" ht="15" customHeight="1" s="28">
      <c r="A61" s="40" t="n">
        <v>48</v>
      </c>
      <c r="B61" s="56" t="n">
        <v>47</v>
      </c>
      <c r="C61" s="56">
        <f>B61^2</f>
        <v/>
      </c>
      <c r="D61" s="41" t="n">
        <v>4568.37</v>
      </c>
      <c r="E61" s="41">
        <f>4541.138727+0.225904*B61</f>
        <v/>
      </c>
      <c r="F61" s="42">
        <f>D61-E61</f>
        <v/>
      </c>
      <c r="G61" s="41">
        <f>F61^2</f>
        <v/>
      </c>
      <c r="H61" s="40" t="n"/>
      <c r="I61" s="40" t="n"/>
    </row>
    <row r="62" ht="15" customHeight="1" s="28">
      <c r="A62" s="37" t="n">
        <v>49</v>
      </c>
      <c r="B62" s="55" t="n">
        <v>48</v>
      </c>
      <c r="C62" s="55">
        <f>B62^2</f>
        <v/>
      </c>
      <c r="D62" s="38" t="n">
        <v>4573.2</v>
      </c>
      <c r="E62" s="38">
        <f>4541.138727+0.225904*B62</f>
        <v/>
      </c>
      <c r="F62" s="39">
        <f>D62-E62</f>
        <v/>
      </c>
      <c r="G62" s="38">
        <f>F62^2</f>
        <v/>
      </c>
      <c r="H62" s="37" t="n"/>
      <c r="I62" s="37" t="n"/>
    </row>
    <row r="63" ht="15" customHeight="1" s="28">
      <c r="A63" s="40" t="n">
        <v>50</v>
      </c>
      <c r="B63" s="56" t="n">
        <v>49</v>
      </c>
      <c r="C63" s="56">
        <f>B63^2</f>
        <v/>
      </c>
      <c r="D63" s="41" t="n">
        <v>4574.2</v>
      </c>
      <c r="E63" s="41">
        <f>4541.138727+0.225904*B63</f>
        <v/>
      </c>
      <c r="F63" s="42">
        <f>D63-E63</f>
        <v/>
      </c>
      <c r="G63" s="41">
        <f>F63^2</f>
        <v/>
      </c>
      <c r="H63" s="40" t="n"/>
      <c r="I63" s="40" t="n"/>
    </row>
    <row r="64" ht="15" customHeight="1" s="28">
      <c r="A64" s="37" t="n">
        <v>51</v>
      </c>
      <c r="B64" s="55" t="n">
        <v>50</v>
      </c>
      <c r="C64" s="55">
        <f>B64^2</f>
        <v/>
      </c>
      <c r="D64" s="38" t="n">
        <v>4565.69</v>
      </c>
      <c r="E64" s="38">
        <f>4541.138727+0.225904*B64</f>
        <v/>
      </c>
      <c r="F64" s="39">
        <f>D64-E64</f>
        <v/>
      </c>
      <c r="G64" s="38">
        <f>F64^2</f>
        <v/>
      </c>
      <c r="H64" s="37" t="n"/>
      <c r="I64" s="37" t="n"/>
    </row>
    <row r="65" ht="15" customHeight="1" s="28">
      <c r="A65" s="40" t="n">
        <v>52</v>
      </c>
      <c r="B65" s="56" t="n">
        <v>51</v>
      </c>
      <c r="C65" s="56">
        <f>B65^2</f>
        <v/>
      </c>
      <c r="D65" s="41" t="n">
        <v>4558.86</v>
      </c>
      <c r="E65" s="41">
        <f>4541.138727+0.225904*B65</f>
        <v/>
      </c>
      <c r="F65" s="42">
        <f>D65-E65</f>
        <v/>
      </c>
      <c r="G65" s="41">
        <f>F65^2</f>
        <v/>
      </c>
      <c r="H65" s="40" t="n"/>
      <c r="I65" s="40" t="n"/>
    </row>
    <row r="66" ht="15" customHeight="1" s="28">
      <c r="A66" s="37" t="n">
        <v>53</v>
      </c>
      <c r="B66" s="55" t="n">
        <v>52</v>
      </c>
      <c r="C66" s="55">
        <f>B66^2</f>
        <v/>
      </c>
      <c r="D66" s="38" t="n">
        <v>4555.94</v>
      </c>
      <c r="E66" s="38">
        <f>4541.138727+0.225904*B66</f>
        <v/>
      </c>
      <c r="F66" s="39">
        <f>D66-E66</f>
        <v/>
      </c>
      <c r="G66" s="38">
        <f>F66^2</f>
        <v/>
      </c>
      <c r="H66" s="37" t="n"/>
      <c r="I66" s="37" t="n"/>
    </row>
    <row r="67" ht="15" customHeight="1" s="28">
      <c r="A67" s="40" t="n">
        <v>54</v>
      </c>
      <c r="B67" s="56" t="n">
        <v>53</v>
      </c>
      <c r="C67" s="56">
        <f>B67^2</f>
        <v/>
      </c>
      <c r="D67" s="41" t="n">
        <v>4568.04</v>
      </c>
      <c r="E67" s="41">
        <f>4541.138727+0.225904*B67</f>
        <v/>
      </c>
      <c r="F67" s="42">
        <f>D67-E67</f>
        <v/>
      </c>
      <c r="G67" s="41">
        <f>F67^2</f>
        <v/>
      </c>
      <c r="H67" s="40" t="n"/>
      <c r="I67" s="40" t="n"/>
    </row>
    <row r="68" ht="15" customHeight="1" s="28">
      <c r="A68" s="37" t="n">
        <v>55</v>
      </c>
      <c r="B68" s="55" t="n">
        <v>54</v>
      </c>
      <c r="C68" s="55">
        <f>B68^2</f>
        <v/>
      </c>
      <c r="D68" s="38" t="n">
        <v>4571.78</v>
      </c>
      <c r="E68" s="38">
        <f>4541.138727+0.225904*B68</f>
        <v/>
      </c>
      <c r="F68" s="39">
        <f>D68-E68</f>
        <v/>
      </c>
      <c r="G68" s="38">
        <f>F68^2</f>
        <v/>
      </c>
      <c r="H68" s="37" t="n"/>
      <c r="I68" s="37" t="n"/>
    </row>
    <row r="69" ht="15" customHeight="1" s="28">
      <c r="A69" s="40" t="n">
        <v>56</v>
      </c>
      <c r="B69" s="56" t="n">
        <v>55</v>
      </c>
      <c r="C69" s="56">
        <f>B69^2</f>
        <v/>
      </c>
      <c r="D69" s="41" t="n">
        <v>4566.36</v>
      </c>
      <c r="E69" s="41">
        <f>4541.138727+0.225904*B69</f>
        <v/>
      </c>
      <c r="F69" s="42">
        <f>D69-E69</f>
        <v/>
      </c>
      <c r="G69" s="41">
        <f>F69^2</f>
        <v/>
      </c>
      <c r="H69" s="40" t="n"/>
      <c r="I69" s="40" t="n"/>
    </row>
    <row r="70" ht="15" customHeight="1" s="28">
      <c r="A70" s="37" t="n">
        <v>57</v>
      </c>
      <c r="B70" s="55" t="n">
        <v>56</v>
      </c>
      <c r="C70" s="55">
        <f>B70^2</f>
        <v/>
      </c>
      <c r="D70" s="38" t="n">
        <v>4569.98</v>
      </c>
      <c r="E70" s="38">
        <f>4541.138727+0.225904*B70</f>
        <v/>
      </c>
      <c r="F70" s="39">
        <f>D70-E70</f>
        <v/>
      </c>
      <c r="G70" s="38">
        <f>F70^2</f>
        <v/>
      </c>
      <c r="H70" s="37" t="n"/>
      <c r="I70" s="37" t="n"/>
    </row>
    <row r="71" ht="15" customHeight="1" s="28">
      <c r="A71" s="40" t="n">
        <v>58</v>
      </c>
      <c r="B71" s="56" t="n">
        <v>57</v>
      </c>
      <c r="C71" s="56">
        <f>B71^2</f>
        <v/>
      </c>
      <c r="D71" s="41" t="n">
        <v>4568.02</v>
      </c>
      <c r="E71" s="41">
        <f>4541.138727+0.225904*B71</f>
        <v/>
      </c>
      <c r="F71" s="42">
        <f>D71-E71</f>
        <v/>
      </c>
      <c r="G71" s="41">
        <f>F71^2</f>
        <v/>
      </c>
      <c r="H71" s="40" t="n"/>
      <c r="I71" s="40" t="n"/>
    </row>
    <row r="72" ht="15" customHeight="1" s="28">
      <c r="A72" s="37" t="n">
        <v>59</v>
      </c>
      <c r="B72" s="55" t="n">
        <v>58</v>
      </c>
      <c r="C72" s="55">
        <f>B72^2</f>
        <v/>
      </c>
      <c r="D72" s="38" t="n">
        <v>4564.76</v>
      </c>
      <c r="E72" s="38">
        <f>4541.138727+0.225904*B72</f>
        <v/>
      </c>
      <c r="F72" s="39">
        <f>D72-E72</f>
        <v/>
      </c>
      <c r="G72" s="38">
        <f>F72^2</f>
        <v/>
      </c>
      <c r="H72" s="37" t="n"/>
      <c r="I72" s="37" t="n"/>
    </row>
    <row r="73" ht="15" customHeight="1" s="28">
      <c r="A73" s="40" t="n">
        <v>60</v>
      </c>
      <c r="B73" s="56" t="n">
        <v>59</v>
      </c>
      <c r="C73" s="56">
        <f>B73^2</f>
        <v/>
      </c>
      <c r="D73" s="41" t="n">
        <v>4567.03</v>
      </c>
      <c r="E73" s="41">
        <f>4541.138727+0.225904*B73</f>
        <v/>
      </c>
      <c r="F73" s="42">
        <f>D73-E73</f>
        <v/>
      </c>
      <c r="G73" s="41">
        <f>F73^2</f>
        <v/>
      </c>
      <c r="H73" s="40" t="n"/>
      <c r="I73" s="40" t="n"/>
    </row>
    <row r="74" ht="15" customHeight="1" s="28">
      <c r="A74" s="37" t="n">
        <v>61</v>
      </c>
      <c r="B74" s="55" t="n">
        <v>60</v>
      </c>
      <c r="C74" s="55">
        <f>B74^2</f>
        <v/>
      </c>
      <c r="D74" s="38" t="n">
        <v>4561.87</v>
      </c>
      <c r="E74" s="38">
        <f>4541.138727+0.225904*B74</f>
        <v/>
      </c>
      <c r="F74" s="39">
        <f>D74-E74</f>
        <v/>
      </c>
      <c r="G74" s="38">
        <f>F74^2</f>
        <v/>
      </c>
      <c r="H74" s="37" t="n"/>
      <c r="I74" s="37" t="n"/>
    </row>
    <row r="75" ht="15" customHeight="1" s="28">
      <c r="A75" s="40" t="n">
        <v>62</v>
      </c>
      <c r="B75" s="56" t="n">
        <v>61</v>
      </c>
      <c r="C75" s="56">
        <f>B75^2</f>
        <v/>
      </c>
      <c r="D75" s="41" t="n">
        <v>4564.41</v>
      </c>
      <c r="E75" s="41">
        <f>4541.138727+0.225904*B75</f>
        <v/>
      </c>
      <c r="F75" s="42">
        <f>D75-E75</f>
        <v/>
      </c>
      <c r="G75" s="41">
        <f>F75^2</f>
        <v/>
      </c>
      <c r="H75" s="40" t="n"/>
      <c r="I75" s="40" t="n"/>
    </row>
    <row r="76" ht="15" customHeight="1" s="28">
      <c r="A76" s="37" t="n">
        <v>63</v>
      </c>
      <c r="B76" s="55" t="n">
        <v>62</v>
      </c>
      <c r="C76" s="55">
        <f>B76^2</f>
        <v/>
      </c>
      <c r="D76" s="38" t="n">
        <v>4559.4</v>
      </c>
      <c r="E76" s="38">
        <f>4541.138727+0.225904*B76</f>
        <v/>
      </c>
      <c r="F76" s="39">
        <f>D76-E76</f>
        <v/>
      </c>
      <c r="G76" s="38">
        <f>F76^2</f>
        <v/>
      </c>
      <c r="H76" s="37" t="n"/>
      <c r="I76" s="37" t="n"/>
    </row>
    <row r="77" ht="15" customHeight="1" s="28">
      <c r="A77" s="40" t="n">
        <v>64</v>
      </c>
      <c r="B77" s="56" t="n">
        <v>63</v>
      </c>
      <c r="C77" s="56">
        <f>B77^2</f>
        <v/>
      </c>
      <c r="D77" s="41" t="n">
        <v>4557.62</v>
      </c>
      <c r="E77" s="41">
        <f>4541.138727+0.225904*B77</f>
        <v/>
      </c>
      <c r="F77" s="42">
        <f>D77-E77</f>
        <v/>
      </c>
      <c r="G77" s="41">
        <f>F77^2</f>
        <v/>
      </c>
      <c r="H77" s="40" t="n"/>
      <c r="I77" s="40" t="n"/>
    </row>
    <row r="78" ht="15" customHeight="1" s="28">
      <c r="A78" s="37" t="n">
        <v>65</v>
      </c>
      <c r="B78" s="55" t="n">
        <v>64</v>
      </c>
      <c r="C78" s="55">
        <f>B78^2</f>
        <v/>
      </c>
      <c r="D78" s="38" t="n">
        <v>4544.9</v>
      </c>
      <c r="E78" s="38">
        <f>4541.138727+0.225904*B78</f>
        <v/>
      </c>
      <c r="F78" s="39">
        <f>D78-E78</f>
        <v/>
      </c>
      <c r="G78" s="38">
        <f>F78^2</f>
        <v/>
      </c>
      <c r="H78" s="37" t="n"/>
      <c r="I78" s="37" t="n"/>
    </row>
    <row r="79" ht="15" customHeight="1" s="28">
      <c r="A79" s="40" t="n">
        <v>66</v>
      </c>
      <c r="B79" s="56" t="n">
        <v>65</v>
      </c>
      <c r="C79" s="56">
        <f>B79^2</f>
        <v/>
      </c>
      <c r="D79" s="41" t="n">
        <v>4549.8</v>
      </c>
      <c r="E79" s="41">
        <f>4541.138727+0.225904*B79</f>
        <v/>
      </c>
      <c r="F79" s="42">
        <f>D79-E79</f>
        <v/>
      </c>
      <c r="G79" s="41">
        <f>F79^2</f>
        <v/>
      </c>
      <c r="H79" s="40" t="n"/>
      <c r="I79" s="40" t="n"/>
    </row>
    <row r="80" ht="15" customHeight="1" s="28">
      <c r="A80" s="37" t="n">
        <v>67</v>
      </c>
      <c r="B80" s="55" t="n">
        <v>66</v>
      </c>
      <c r="C80" s="55">
        <f>B80^2</f>
        <v/>
      </c>
      <c r="D80" s="38" t="n">
        <v>4537.82</v>
      </c>
      <c r="E80" s="38">
        <f>4541.138727+0.225904*B80</f>
        <v/>
      </c>
      <c r="F80" s="39">
        <f>D80-E80</f>
        <v/>
      </c>
      <c r="G80" s="38">
        <f>F80^2</f>
        <v/>
      </c>
      <c r="H80" s="37" t="n"/>
      <c r="I80" s="37" t="n"/>
    </row>
    <row r="81" ht="15" customHeight="1" s="28">
      <c r="A81" s="40" t="n">
        <v>68</v>
      </c>
      <c r="B81" s="56" t="n">
        <v>67</v>
      </c>
      <c r="C81" s="56">
        <f>B81^2</f>
        <v/>
      </c>
      <c r="D81" s="41" t="n">
        <v>4514.81</v>
      </c>
      <c r="E81" s="41">
        <f>4541.138727+0.225904*B81</f>
        <v/>
      </c>
      <c r="F81" s="42">
        <f>D81-E81</f>
        <v/>
      </c>
      <c r="G81" s="41">
        <f>F81^2</f>
        <v/>
      </c>
      <c r="H81" s="40" t="n"/>
      <c r="I81" s="40" t="n"/>
    </row>
    <row r="82" ht="15" customHeight="1" s="28">
      <c r="A82" s="37" t="n">
        <v>69</v>
      </c>
      <c r="B82" s="55" t="n">
        <v>68</v>
      </c>
      <c r="C82" s="55">
        <f>B82^2</f>
        <v/>
      </c>
      <c r="D82" s="38" t="n">
        <v>4521.71</v>
      </c>
      <c r="E82" s="38">
        <f>4541.138727+0.225904*B82</f>
        <v/>
      </c>
      <c r="F82" s="39">
        <f>D82-E82</f>
        <v/>
      </c>
      <c r="G82" s="38">
        <f>F82^2</f>
        <v/>
      </c>
      <c r="H82" s="37" t="n"/>
      <c r="I82" s="37" t="n"/>
    </row>
    <row r="83" ht="15" customHeight="1" s="28">
      <c r="A83" s="40" t="n">
        <v>70</v>
      </c>
      <c r="B83" s="56" t="n">
        <v>69</v>
      </c>
      <c r="C83" s="56">
        <f>B83^2</f>
        <v/>
      </c>
      <c r="D83" s="41" t="n">
        <v>4526.15</v>
      </c>
      <c r="E83" s="41">
        <f>4541.138727+0.225904*B83</f>
        <v/>
      </c>
      <c r="F83" s="42">
        <f>D83-E83</f>
        <v/>
      </c>
      <c r="G83" s="41">
        <f>F83^2</f>
        <v/>
      </c>
      <c r="H83" s="40" t="n"/>
      <c r="I83" s="40" t="n"/>
    </row>
    <row r="84" ht="15" customHeight="1" s="28">
      <c r="A84" s="37" t="n">
        <v>71</v>
      </c>
      <c r="B84" s="55" t="n">
        <v>70</v>
      </c>
      <c r="C84" s="55">
        <f>B84^2</f>
        <v/>
      </c>
      <c r="D84" s="38" t="n">
        <v>4533.2</v>
      </c>
      <c r="E84" s="38">
        <f>4541.138727+0.225904*B84</f>
        <v/>
      </c>
      <c r="F84" s="39">
        <f>D84-E84</f>
        <v/>
      </c>
      <c r="G84" s="38">
        <f>F84^2</f>
        <v/>
      </c>
      <c r="H84" s="37" t="n"/>
      <c r="I84" s="37" t="n"/>
    </row>
    <row r="85" ht="15" customHeight="1" s="28">
      <c r="A85" s="40" t="n">
        <v>72</v>
      </c>
      <c r="B85" s="56" t="n">
        <v>71</v>
      </c>
      <c r="C85" s="56">
        <f>B85^2</f>
        <v/>
      </c>
      <c r="D85" s="41" t="n">
        <v>4538.69</v>
      </c>
      <c r="E85" s="41">
        <f>4541.138727+0.225904*B85</f>
        <v/>
      </c>
      <c r="F85" s="42">
        <f>D85-E85</f>
        <v/>
      </c>
      <c r="G85" s="41">
        <f>F85^2</f>
        <v/>
      </c>
      <c r="H85" s="40" t="n"/>
      <c r="I85" s="40" t="n"/>
    </row>
    <row r="86" ht="15" customHeight="1" s="28">
      <c r="A86" s="37" t="n">
        <v>73</v>
      </c>
      <c r="B86" s="55" t="n">
        <v>72</v>
      </c>
      <c r="C86" s="55">
        <f>B86^2</f>
        <v/>
      </c>
      <c r="D86" s="38" t="n">
        <v>4539.25</v>
      </c>
      <c r="E86" s="38">
        <f>4541.138727+0.225904*B86</f>
        <v/>
      </c>
      <c r="F86" s="39">
        <f>D86-E86</f>
        <v/>
      </c>
      <c r="G86" s="38">
        <f>F86^2</f>
        <v/>
      </c>
      <c r="H86" s="37" t="n"/>
      <c r="I86" s="37" t="n"/>
    </row>
    <row r="87" ht="15" customHeight="1" s="28">
      <c r="A87" s="40" t="n">
        <v>74</v>
      </c>
      <c r="B87" s="56" t="n">
        <v>73</v>
      </c>
      <c r="C87" s="56">
        <f>B87^2</f>
        <v/>
      </c>
      <c r="D87" s="41" t="n">
        <v>4538.08</v>
      </c>
      <c r="E87" s="41">
        <f>4541.138727+0.225904*B87</f>
        <v/>
      </c>
      <c r="F87" s="42">
        <f>D87-E87</f>
        <v/>
      </c>
      <c r="G87" s="41">
        <f>F87^2</f>
        <v/>
      </c>
      <c r="H87" s="40" t="n"/>
      <c r="I87" s="40" t="n"/>
    </row>
    <row r="88" ht="15" customHeight="1" s="28">
      <c r="A88" s="37" t="n">
        <v>75</v>
      </c>
      <c r="B88" s="55" t="n">
        <v>74</v>
      </c>
      <c r="C88" s="55">
        <f>B88^2</f>
        <v/>
      </c>
      <c r="D88" s="38" t="n">
        <v>4543.61</v>
      </c>
      <c r="E88" s="38">
        <f>4541.138727+0.225904*B88</f>
        <v/>
      </c>
      <c r="F88" s="39">
        <f>D88-E88</f>
        <v/>
      </c>
      <c r="G88" s="38">
        <f>F88^2</f>
        <v/>
      </c>
      <c r="H88" s="37" t="n"/>
      <c r="I88" s="37" t="n"/>
    </row>
    <row r="89" ht="15" customHeight="1" s="28">
      <c r="A89" s="40" t="n">
        <v>76</v>
      </c>
      <c r="B89" s="56" t="n">
        <v>75</v>
      </c>
      <c r="C89" s="56">
        <f>B89^2</f>
        <v/>
      </c>
      <c r="D89" s="41" t="n">
        <v>4553.17</v>
      </c>
      <c r="E89" s="41">
        <f>4541.138727+0.225904*B89</f>
        <v/>
      </c>
      <c r="F89" s="42">
        <f>D89-E89</f>
        <v/>
      </c>
      <c r="G89" s="41">
        <f>F89^2</f>
        <v/>
      </c>
      <c r="H89" s="40" t="n"/>
      <c r="I89" s="40" t="n"/>
    </row>
    <row r="90" ht="15" customHeight="1" s="28">
      <c r="A90" s="37" t="n">
        <v>77</v>
      </c>
      <c r="B90" s="55" t="n">
        <v>76</v>
      </c>
      <c r="C90" s="55">
        <f>B90^2</f>
        <v/>
      </c>
      <c r="D90" s="38" t="n">
        <v>4547.48</v>
      </c>
      <c r="E90" s="38">
        <f>4541.138727+0.225904*B90</f>
        <v/>
      </c>
      <c r="F90" s="39">
        <f>D90-E90</f>
        <v/>
      </c>
      <c r="G90" s="38">
        <f>F90^2</f>
        <v/>
      </c>
      <c r="H90" s="37" t="n"/>
      <c r="I90" s="37" t="n"/>
    </row>
    <row r="91" ht="15" customHeight="1" s="28">
      <c r="A91" s="40" t="n">
        <v>78</v>
      </c>
      <c r="B91" s="56" t="n">
        <v>77</v>
      </c>
      <c r="C91" s="56">
        <f>B91^2</f>
        <v/>
      </c>
      <c r="D91" s="41" t="n">
        <v>4559.1</v>
      </c>
      <c r="E91" s="41">
        <f>4541.138727+0.225904*B91</f>
        <v/>
      </c>
      <c r="F91" s="42">
        <f>D91-E91</f>
        <v/>
      </c>
      <c r="G91" s="41">
        <f>F91^2</f>
        <v/>
      </c>
      <c r="H91" s="40" t="n"/>
      <c r="I91" s="40" t="n"/>
    </row>
    <row r="92" ht="15" customHeight="1" s="28">
      <c r="A92" s="37" t="n">
        <v>79</v>
      </c>
      <c r="B92" s="55" t="n">
        <v>78</v>
      </c>
      <c r="C92" s="55">
        <f>B92^2</f>
        <v/>
      </c>
      <c r="D92" s="38" t="n">
        <v>4560.23</v>
      </c>
      <c r="E92" s="38">
        <f>4541.138727+0.225904*B92</f>
        <v/>
      </c>
      <c r="F92" s="39">
        <f>D92-E92</f>
        <v/>
      </c>
      <c r="G92" s="38">
        <f>F92^2</f>
        <v/>
      </c>
      <c r="H92" s="37" t="n"/>
      <c r="I92" s="37" t="n"/>
    </row>
    <row r="93" ht="15" customHeight="1" s="28">
      <c r="A93" s="40" t="n">
        <v>80</v>
      </c>
      <c r="B93" s="56" t="n">
        <v>79</v>
      </c>
      <c r="C93" s="56">
        <f>B93^2</f>
        <v/>
      </c>
      <c r="D93" s="41" t="n">
        <v>4550.51</v>
      </c>
      <c r="E93" s="41">
        <f>4541.138727+0.225904*B93</f>
        <v/>
      </c>
      <c r="F93" s="42">
        <f>D93-E93</f>
        <v/>
      </c>
      <c r="G93" s="41">
        <f>F93^2</f>
        <v/>
      </c>
      <c r="H93" s="40" t="n"/>
      <c r="I93" s="40" t="n"/>
    </row>
    <row r="94" ht="15" customHeight="1" s="28">
      <c r="A94" s="37" t="n">
        <v>81</v>
      </c>
      <c r="B94" s="55" t="n">
        <v>80</v>
      </c>
      <c r="C94" s="55">
        <f>B94^2</f>
        <v/>
      </c>
      <c r="D94" s="38" t="n">
        <v>4545.36</v>
      </c>
      <c r="E94" s="38">
        <f>4541.138727+0.225904*B94</f>
        <v/>
      </c>
      <c r="F94" s="39">
        <f>D94-E94</f>
        <v/>
      </c>
      <c r="G94" s="38">
        <f>F94^2</f>
        <v/>
      </c>
      <c r="H94" s="37" t="n"/>
      <c r="I94" s="37" t="n"/>
    </row>
    <row r="95" ht="15" customHeight="1" s="28">
      <c r="A95" s="40" t="n">
        <v>82</v>
      </c>
      <c r="B95" s="56" t="n">
        <v>81</v>
      </c>
      <c r="C95" s="56">
        <f>B95^2</f>
        <v/>
      </c>
      <c r="D95" s="41" t="n">
        <v>4550.68</v>
      </c>
      <c r="E95" s="41">
        <f>4541.138727+0.225904*B95</f>
        <v/>
      </c>
      <c r="F95" s="42">
        <f>D95-E95</f>
        <v/>
      </c>
      <c r="G95" s="41">
        <f>F95^2</f>
        <v/>
      </c>
      <c r="H95" s="40" t="n"/>
      <c r="I95" s="40" t="n"/>
    </row>
    <row r="96" ht="15" customHeight="1" s="28">
      <c r="A96" s="37" t="n">
        <v>83</v>
      </c>
      <c r="B96" s="55" t="n">
        <v>82</v>
      </c>
      <c r="C96" s="55">
        <f>B96^2</f>
        <v/>
      </c>
      <c r="D96" s="38" t="n">
        <v>4547.23</v>
      </c>
      <c r="E96" s="38">
        <f>4541.138727+0.225904*B96</f>
        <v/>
      </c>
      <c r="F96" s="39">
        <f>D96-E96</f>
        <v/>
      </c>
      <c r="G96" s="38">
        <f>F96^2</f>
        <v/>
      </c>
      <c r="H96" s="37" t="n"/>
      <c r="I96" s="37" t="n"/>
    </row>
    <row r="97" ht="15" customHeight="1" s="28">
      <c r="A97" s="40" t="n">
        <v>84</v>
      </c>
      <c r="B97" s="56" t="n">
        <v>83</v>
      </c>
      <c r="C97" s="56">
        <f>B97^2</f>
        <v/>
      </c>
      <c r="D97" s="41" t="n">
        <v>4544.75</v>
      </c>
      <c r="E97" s="41">
        <f>4541.138727+0.225904*B97</f>
        <v/>
      </c>
      <c r="F97" s="42">
        <f>D97-E97</f>
        <v/>
      </c>
      <c r="G97" s="41">
        <f>F97^2</f>
        <v/>
      </c>
      <c r="H97" s="40" t="n"/>
      <c r="I97" s="40" t="n"/>
    </row>
    <row r="98" ht="15" customHeight="1" s="28">
      <c r="A98" s="37" t="n">
        <v>85</v>
      </c>
      <c r="B98" s="55" t="n">
        <v>84</v>
      </c>
      <c r="C98" s="55">
        <f>B98^2</f>
        <v/>
      </c>
      <c r="D98" s="38" t="n">
        <v>4547.33</v>
      </c>
      <c r="E98" s="38">
        <f>4541.138727+0.225904*B98</f>
        <v/>
      </c>
      <c r="F98" s="39">
        <f>D98-E98</f>
        <v/>
      </c>
      <c r="G98" s="38">
        <f>F98^2</f>
        <v/>
      </c>
      <c r="H98" s="37" t="n"/>
      <c r="I98" s="37" t="n"/>
    </row>
    <row r="99" ht="15" customHeight="1" s="28">
      <c r="A99" s="40" t="n">
        <v>86</v>
      </c>
      <c r="B99" s="56" t="n">
        <v>85</v>
      </c>
      <c r="C99" s="56">
        <f>B99^2</f>
        <v/>
      </c>
      <c r="D99" s="41" t="n">
        <v>4525.75</v>
      </c>
      <c r="E99" s="41">
        <f>4541.138727+0.225904*B99</f>
        <v/>
      </c>
      <c r="F99" s="42">
        <f>D99-E99</f>
        <v/>
      </c>
      <c r="G99" s="41">
        <f>F99^2</f>
        <v/>
      </c>
      <c r="H99" s="40" t="n"/>
      <c r="I99" s="40" t="n"/>
    </row>
    <row r="100" ht="15" customHeight="1" s="28">
      <c r="A100" s="37" t="n">
        <v>87</v>
      </c>
      <c r="B100" s="55" t="n">
        <v>86</v>
      </c>
      <c r="C100" s="55">
        <f>B100^2</f>
        <v/>
      </c>
      <c r="D100" s="38" t="n">
        <v>4532.95</v>
      </c>
      <c r="E100" s="38">
        <f>4541.138727+0.225904*B100</f>
        <v/>
      </c>
      <c r="F100" s="39">
        <f>D100-E100</f>
        <v/>
      </c>
      <c r="G100" s="38">
        <f>F100^2</f>
        <v/>
      </c>
      <c r="H100" s="37" t="n"/>
      <c r="I100" s="37" t="n"/>
    </row>
    <row r="101" ht="15" customHeight="1" s="28">
      <c r="A101" s="40" t="n">
        <v>88</v>
      </c>
      <c r="B101" s="56" t="n">
        <v>87</v>
      </c>
      <c r="C101" s="56">
        <f>B101^2</f>
        <v/>
      </c>
      <c r="D101" s="41" t="n">
        <v>4520.81</v>
      </c>
      <c r="E101" s="41">
        <f>4541.138727+0.225904*B101</f>
        <v/>
      </c>
      <c r="F101" s="42">
        <f>D101-E101</f>
        <v/>
      </c>
      <c r="G101" s="41">
        <f>F101^2</f>
        <v/>
      </c>
      <c r="H101" s="40" t="n"/>
      <c r="I101" s="40" t="n"/>
    </row>
    <row r="102" ht="15" customHeight="1" s="28">
      <c r="A102" s="37" t="n">
        <v>89</v>
      </c>
      <c r="B102" s="55" t="n">
        <v>88</v>
      </c>
      <c r="C102" s="55">
        <f>B102^2</f>
        <v/>
      </c>
      <c r="D102" s="38" t="n">
        <v>4538.19</v>
      </c>
      <c r="E102" s="38">
        <f>4541.138727+0.225904*B102</f>
        <v/>
      </c>
      <c r="F102" s="39">
        <f>D102-E102</f>
        <v/>
      </c>
      <c r="G102" s="38">
        <f>F102^2</f>
        <v/>
      </c>
      <c r="H102" s="37" t="n"/>
      <c r="I102" s="37" t="n"/>
    </row>
    <row r="103" ht="15" customHeight="1" s="28">
      <c r="A103" s="40" t="n">
        <v>90</v>
      </c>
      <c r="B103" s="56" t="n">
        <v>89</v>
      </c>
      <c r="C103" s="56">
        <f>B103^2</f>
        <v/>
      </c>
      <c r="D103" s="41" t="n">
        <v>4547.72</v>
      </c>
      <c r="E103" s="41">
        <f>4541.138727+0.225904*B103</f>
        <v/>
      </c>
      <c r="F103" s="42">
        <f>D103-E103</f>
        <v/>
      </c>
      <c r="G103" s="41">
        <f>F103^2</f>
        <v/>
      </c>
      <c r="H103" s="40" t="n"/>
      <c r="I103" s="40" t="n"/>
    </row>
    <row r="104" ht="15" customHeight="1" s="28">
      <c r="A104" s="37" t="n">
        <v>91</v>
      </c>
      <c r="B104" s="55" t="n">
        <v>90</v>
      </c>
      <c r="C104" s="55">
        <f>B104^2</f>
        <v/>
      </c>
      <c r="D104" s="38" t="n">
        <v>4542.84</v>
      </c>
      <c r="E104" s="38">
        <f>4541.138727+0.225904*B104</f>
        <v/>
      </c>
      <c r="F104" s="39">
        <f>D104-E104</f>
        <v/>
      </c>
      <c r="G104" s="38">
        <f>F104^2</f>
        <v/>
      </c>
      <c r="H104" s="37" t="n"/>
      <c r="I104" s="37" t="n"/>
    </row>
    <row r="105" ht="15" customHeight="1" s="28">
      <c r="A105" s="40" t="n">
        <v>92</v>
      </c>
      <c r="B105" s="56" t="n">
        <v>91</v>
      </c>
      <c r="C105" s="56">
        <f>B105^2</f>
        <v/>
      </c>
      <c r="D105" s="41" t="n">
        <v>4539.61</v>
      </c>
      <c r="E105" s="41">
        <f>4541.138727+0.225904*B105</f>
        <v/>
      </c>
      <c r="F105" s="42">
        <f>D105-E105</f>
        <v/>
      </c>
      <c r="G105" s="41">
        <f>F105^2</f>
        <v/>
      </c>
      <c r="H105" s="40" t="n"/>
      <c r="I105" s="40" t="n"/>
    </row>
    <row r="106" ht="15" customHeight="1" s="28">
      <c r="A106" s="37" t="n">
        <v>93</v>
      </c>
      <c r="B106" s="55" t="n">
        <v>92</v>
      </c>
      <c r="C106" s="55">
        <f>B106^2</f>
        <v/>
      </c>
      <c r="D106" s="38" t="n">
        <v>4547.05</v>
      </c>
      <c r="E106" s="38">
        <f>4541.138727+0.225904*B106</f>
        <v/>
      </c>
      <c r="F106" s="39">
        <f>D106-E106</f>
        <v/>
      </c>
      <c r="G106" s="38">
        <f>F106^2</f>
        <v/>
      </c>
      <c r="H106" s="37" t="n"/>
      <c r="I106" s="37" t="n"/>
    </row>
    <row r="107" ht="15" customHeight="1" s="28">
      <c r="A107" s="40" t="n">
        <v>94</v>
      </c>
      <c r="B107" s="56" t="n">
        <v>93</v>
      </c>
      <c r="C107" s="56">
        <f>B107^2</f>
        <v/>
      </c>
      <c r="D107" s="41" t="n">
        <v>4546.25</v>
      </c>
      <c r="E107" s="41">
        <f>4541.138727+0.225904*B107</f>
        <v/>
      </c>
      <c r="F107" s="42">
        <f>D107-E107</f>
        <v/>
      </c>
      <c r="G107" s="41">
        <f>F107^2</f>
        <v/>
      </c>
      <c r="H107" s="40" t="n"/>
      <c r="I107" s="40" t="n"/>
    </row>
    <row r="108" ht="15" customHeight="1" s="28">
      <c r="A108" s="37" t="n">
        <v>95</v>
      </c>
      <c r="B108" s="55" t="n">
        <v>94</v>
      </c>
      <c r="C108" s="55">
        <f>B108^2</f>
        <v/>
      </c>
      <c r="D108" s="38" t="n">
        <v>4543.25</v>
      </c>
      <c r="E108" s="38">
        <f>4541.138727+0.225904*B108</f>
        <v/>
      </c>
      <c r="F108" s="39">
        <f>D108-E108</f>
        <v/>
      </c>
      <c r="G108" s="38">
        <f>F108^2</f>
        <v/>
      </c>
      <c r="H108" s="37" t="n"/>
      <c r="I108" s="37" t="n"/>
    </row>
    <row r="109" ht="15" customHeight="1" s="28">
      <c r="A109" s="40" t="n">
        <v>96</v>
      </c>
      <c r="B109" s="56" t="n">
        <v>95</v>
      </c>
      <c r="C109" s="56">
        <f>B109^2</f>
        <v/>
      </c>
      <c r="D109" s="41" t="n">
        <v>4543.79</v>
      </c>
      <c r="E109" s="41">
        <f>4541.138727+0.225904*B109</f>
        <v/>
      </c>
      <c r="F109" s="42">
        <f>D109-E109</f>
        <v/>
      </c>
      <c r="G109" s="41">
        <f>F109^2</f>
        <v/>
      </c>
      <c r="H109" s="40" t="n"/>
      <c r="I109" s="40" t="n"/>
    </row>
    <row r="110" ht="15" customHeight="1" s="28">
      <c r="A110" s="37" t="n">
        <v>97</v>
      </c>
      <c r="B110" s="55" t="n">
        <v>96</v>
      </c>
      <c r="C110" s="55">
        <f>B110^2</f>
        <v/>
      </c>
      <c r="D110" s="38" t="n">
        <v>4543.57</v>
      </c>
      <c r="E110" s="38">
        <f>4541.138727+0.225904*B110</f>
        <v/>
      </c>
      <c r="F110" s="39">
        <f>D110-E110</f>
        <v/>
      </c>
      <c r="G110" s="38">
        <f>F110^2</f>
        <v/>
      </c>
      <c r="H110" s="37" t="n"/>
      <c r="I110" s="37" t="n"/>
    </row>
    <row r="111" ht="15" customHeight="1" s="28">
      <c r="A111" s="40" t="n">
        <v>98</v>
      </c>
      <c r="B111" s="56" t="n">
        <v>97</v>
      </c>
      <c r="C111" s="56">
        <f>B111^2</f>
        <v/>
      </c>
      <c r="D111" s="41" t="n">
        <v>4546.4</v>
      </c>
      <c r="E111" s="41">
        <f>4541.138727+0.225904*B111</f>
        <v/>
      </c>
      <c r="F111" s="42">
        <f>D111-E111</f>
        <v/>
      </c>
      <c r="G111" s="41">
        <f>F111^2</f>
        <v/>
      </c>
      <c r="H111" s="40" t="n"/>
      <c r="I111" s="40" t="n"/>
    </row>
    <row r="112" ht="15" customHeight="1" s="28">
      <c r="A112" s="37" t="n">
        <v>99</v>
      </c>
      <c r="B112" s="55" t="n">
        <v>98</v>
      </c>
      <c r="C112" s="55">
        <f>B112^2</f>
        <v/>
      </c>
      <c r="D112" s="38" t="n">
        <v>4549.14</v>
      </c>
      <c r="E112" s="38">
        <f>4541.138727+0.225904*B112</f>
        <v/>
      </c>
      <c r="F112" s="39">
        <f>D112-E112</f>
        <v/>
      </c>
      <c r="G112" s="38">
        <f>F112^2</f>
        <v/>
      </c>
      <c r="H112" s="37" t="n"/>
      <c r="I112" s="37" t="n"/>
    </row>
    <row r="113" ht="15" customHeight="1" s="28">
      <c r="A113" s="40" t="n">
        <v>100</v>
      </c>
      <c r="B113" s="56" t="n">
        <v>99</v>
      </c>
      <c r="C113" s="56">
        <f>B113^2</f>
        <v/>
      </c>
      <c r="D113" s="41" t="n">
        <v>4548.51</v>
      </c>
      <c r="E113" s="41">
        <f>4541.138727+0.225904*B113</f>
        <v/>
      </c>
      <c r="F113" s="42">
        <f>D113-E113</f>
        <v/>
      </c>
      <c r="G113" s="41">
        <f>F113^2</f>
        <v/>
      </c>
      <c r="H113" s="40" t="n"/>
      <c r="I113" s="40" t="n"/>
    </row>
    <row r="114" ht="15" customHeight="1" s="28">
      <c r="A114" s="37" t="n">
        <v>101</v>
      </c>
      <c r="B114" s="55" t="n">
        <v>100</v>
      </c>
      <c r="C114" s="55">
        <f>B114^2</f>
        <v/>
      </c>
      <c r="D114" s="38" t="n">
        <v>4552.08</v>
      </c>
      <c r="E114" s="38">
        <f>4541.138727+0.225904*B114</f>
        <v/>
      </c>
      <c r="F114" s="39">
        <f>D114-E114</f>
        <v/>
      </c>
      <c r="G114" s="38">
        <f>F114^2</f>
        <v/>
      </c>
      <c r="H114" s="37" t="n"/>
      <c r="I114" s="37" t="n"/>
    </row>
    <row r="115" ht="15" customHeight="1" s="28">
      <c r="A115" s="40" t="n">
        <v>102</v>
      </c>
      <c r="B115" s="56" t="n">
        <v>101</v>
      </c>
      <c r="C115" s="56">
        <f>B115^2</f>
        <v/>
      </c>
      <c r="D115" s="41" t="n">
        <v>4553.33</v>
      </c>
      <c r="E115" s="41">
        <f>4541.138727+0.225904*B115</f>
        <v/>
      </c>
      <c r="F115" s="42">
        <f>D115-E115</f>
        <v/>
      </c>
      <c r="G115" s="41">
        <f>F115^2</f>
        <v/>
      </c>
      <c r="H115" s="40" t="n"/>
      <c r="I115" s="40" t="n"/>
    </row>
    <row r="116" ht="15" customHeight="1" s="28">
      <c r="A116" s="37" t="n">
        <v>103</v>
      </c>
      <c r="B116" s="55" t="n">
        <v>102</v>
      </c>
      <c r="C116" s="55">
        <f>B116^2</f>
        <v/>
      </c>
      <c r="D116" s="38" t="n">
        <v>4551.63</v>
      </c>
      <c r="E116" s="38">
        <f>4541.138727+0.225904*B116</f>
        <v/>
      </c>
      <c r="F116" s="39">
        <f>D116-E116</f>
        <v/>
      </c>
      <c r="G116" s="38">
        <f>F116^2</f>
        <v/>
      </c>
      <c r="H116" s="37" t="n"/>
      <c r="I116" s="37" t="n"/>
    </row>
    <row r="117" ht="15" customHeight="1" s="28">
      <c r="A117" s="40" t="n">
        <v>104</v>
      </c>
      <c r="B117" s="56" t="n">
        <v>103</v>
      </c>
      <c r="C117" s="56">
        <f>B117^2</f>
        <v/>
      </c>
      <c r="D117" s="41" t="n">
        <v>4554.44</v>
      </c>
      <c r="E117" s="41">
        <f>4541.138727+0.225904*B117</f>
        <v/>
      </c>
      <c r="F117" s="42">
        <f>D117-E117</f>
        <v/>
      </c>
      <c r="G117" s="41">
        <f>F117^2</f>
        <v/>
      </c>
      <c r="H117" s="40" t="n"/>
      <c r="I117" s="40" t="n"/>
    </row>
    <row r="118" ht="15" customHeight="1" s="28">
      <c r="A118" s="37" t="n">
        <v>105</v>
      </c>
      <c r="B118" s="55" t="n">
        <v>104</v>
      </c>
      <c r="C118" s="55">
        <f>B118^2</f>
        <v/>
      </c>
      <c r="D118" s="38" t="n">
        <v>4561.66</v>
      </c>
      <c r="E118" s="38">
        <f>4541.138727+0.225904*B118</f>
        <v/>
      </c>
      <c r="F118" s="39">
        <f>D118-E118</f>
        <v/>
      </c>
      <c r="G118" s="38">
        <f>F118^2</f>
        <v/>
      </c>
      <c r="H118" s="37" t="n"/>
      <c r="I118" s="37" t="n"/>
    </row>
    <row r="119" ht="15" customHeight="1" s="28">
      <c r="A119" s="40" t="n">
        <v>106</v>
      </c>
      <c r="B119" s="56" t="n">
        <v>105</v>
      </c>
      <c r="C119" s="56">
        <f>B119^2</f>
        <v/>
      </c>
      <c r="D119" s="41" t="n">
        <v>4557.93</v>
      </c>
      <c r="E119" s="41">
        <f>4541.138727+0.225904*B119</f>
        <v/>
      </c>
      <c r="F119" s="42">
        <f>D119-E119</f>
        <v/>
      </c>
      <c r="G119" s="41">
        <f>F119^2</f>
        <v/>
      </c>
      <c r="H119" s="40" t="n"/>
      <c r="I119" s="40" t="n"/>
    </row>
    <row r="120" ht="15" customHeight="1" s="28">
      <c r="A120" s="37" t="n">
        <v>107</v>
      </c>
      <c r="B120" s="55" t="n">
        <v>106</v>
      </c>
      <c r="C120" s="55">
        <f>B120^2</f>
        <v/>
      </c>
      <c r="D120" s="38" t="n">
        <v>4563.57</v>
      </c>
      <c r="E120" s="38">
        <f>4541.138727+0.225904*B120</f>
        <v/>
      </c>
      <c r="F120" s="39">
        <f>D120-E120</f>
        <v/>
      </c>
      <c r="G120" s="38">
        <f>F120^2</f>
        <v/>
      </c>
      <c r="H120" s="37" t="n"/>
      <c r="I120" s="37" t="n"/>
    </row>
    <row r="121" ht="15" customHeight="1" s="28">
      <c r="A121" s="40" t="n">
        <v>108</v>
      </c>
      <c r="B121" s="56" t="n">
        <v>107</v>
      </c>
      <c r="C121" s="56">
        <f>B121^2</f>
        <v/>
      </c>
      <c r="D121" s="41" t="n">
        <v>4567.11</v>
      </c>
      <c r="E121" s="41">
        <f>4541.138727+0.225904*B121</f>
        <v/>
      </c>
      <c r="F121" s="42">
        <f>D121-E121</f>
        <v/>
      </c>
      <c r="G121" s="41">
        <f>F121^2</f>
        <v/>
      </c>
      <c r="H121" s="40" t="n"/>
      <c r="I121" s="40" t="n"/>
    </row>
    <row r="122" ht="15" customHeight="1" s="28">
      <c r="A122" s="37" t="n">
        <v>109</v>
      </c>
      <c r="B122" s="55" t="n">
        <v>108</v>
      </c>
      <c r="C122" s="55">
        <f>B122^2</f>
        <v/>
      </c>
      <c r="D122" s="38" t="n">
        <v>4569.83</v>
      </c>
      <c r="E122" s="38">
        <f>4541.138727+0.225904*B122</f>
        <v/>
      </c>
      <c r="F122" s="39">
        <f>D122-E122</f>
        <v/>
      </c>
      <c r="G122" s="38">
        <f>F122^2</f>
        <v/>
      </c>
      <c r="H122" s="37" t="n"/>
      <c r="I122" s="37" t="n"/>
    </row>
    <row r="123" ht="15" customHeight="1" s="28">
      <c r="A123" s="40" t="n">
        <v>110</v>
      </c>
      <c r="B123" s="56" t="n">
        <v>109</v>
      </c>
      <c r="C123" s="56">
        <f>B123^2</f>
        <v/>
      </c>
      <c r="D123" s="41" t="n">
        <v>4568.52</v>
      </c>
      <c r="E123" s="41">
        <f>4541.138727+0.225904*B123</f>
        <v/>
      </c>
      <c r="F123" s="42">
        <f>D123-E123</f>
        <v/>
      </c>
      <c r="G123" s="41">
        <f>F123^2</f>
        <v/>
      </c>
      <c r="H123" s="40" t="n"/>
      <c r="I123" s="40" t="n"/>
    </row>
    <row r="124" ht="15" customHeight="1" s="28">
      <c r="A124" s="37" t="n">
        <v>111</v>
      </c>
      <c r="B124" s="55" t="n">
        <v>110</v>
      </c>
      <c r="C124" s="55">
        <f>B124^2</f>
        <v/>
      </c>
      <c r="D124" s="38" t="n">
        <v>4579.79</v>
      </c>
      <c r="E124" s="38">
        <f>4541.138727+0.225904*B124</f>
        <v/>
      </c>
      <c r="F124" s="39">
        <f>D124-E124</f>
        <v/>
      </c>
      <c r="G124" s="38">
        <f>F124^2</f>
        <v/>
      </c>
      <c r="H124" s="37" t="n"/>
      <c r="I124" s="37" t="n"/>
    </row>
    <row r="125" ht="15" customHeight="1" s="28">
      <c r="A125" s="40" t="n">
        <v>112</v>
      </c>
      <c r="B125" s="56" t="n">
        <v>111</v>
      </c>
      <c r="C125" s="56">
        <f>B125^2</f>
        <v/>
      </c>
      <c r="D125" s="41" t="n">
        <v>4576.31</v>
      </c>
      <c r="E125" s="41">
        <f>4541.138727+0.225904*B125</f>
        <v/>
      </c>
      <c r="F125" s="42">
        <f>D125-E125</f>
        <v/>
      </c>
      <c r="G125" s="41">
        <f>F125^2</f>
        <v/>
      </c>
      <c r="H125" s="40" t="n"/>
      <c r="I125" s="40" t="n"/>
    </row>
    <row r="126" ht="15" customHeight="1" s="28">
      <c r="A126" s="37" t="n">
        <v>113</v>
      </c>
      <c r="B126" s="55" t="n">
        <v>112</v>
      </c>
      <c r="C126" s="55">
        <f>B126^2</f>
        <v/>
      </c>
      <c r="D126" s="38" t="n">
        <v>4579.13</v>
      </c>
      <c r="E126" s="38">
        <f>4541.138727+0.225904*B126</f>
        <v/>
      </c>
      <c r="F126" s="39">
        <f>D126-E126</f>
        <v/>
      </c>
      <c r="G126" s="38">
        <f>F126^2</f>
        <v/>
      </c>
      <c r="H126" s="37" t="n"/>
      <c r="I126" s="37" t="n"/>
    </row>
    <row r="127" ht="15" customHeight="1" s="28">
      <c r="A127" s="40" t="n">
        <v>114</v>
      </c>
      <c r="B127" s="56" t="n">
        <v>113</v>
      </c>
      <c r="C127" s="56">
        <f>B127^2</f>
        <v/>
      </c>
      <c r="D127" s="41" t="n">
        <v>4579.74</v>
      </c>
      <c r="E127" s="41">
        <f>4541.138727+0.225904*B127</f>
        <v/>
      </c>
      <c r="F127" s="42">
        <f>D127-E127</f>
        <v/>
      </c>
      <c r="G127" s="41">
        <f>F127^2</f>
        <v/>
      </c>
      <c r="H127" s="40" t="n"/>
      <c r="I127" s="40" t="n"/>
    </row>
    <row r="128" ht="15" customHeight="1" s="28">
      <c r="A128" s="37" t="n">
        <v>115</v>
      </c>
      <c r="B128" s="55" t="n">
        <v>114</v>
      </c>
      <c r="C128" s="55">
        <f>B128^2</f>
        <v/>
      </c>
      <c r="D128" s="38" t="n">
        <v>4573.13</v>
      </c>
      <c r="E128" s="38">
        <f>4541.138727+0.225904*B128</f>
        <v/>
      </c>
      <c r="F128" s="39">
        <f>D128-E128</f>
        <v/>
      </c>
      <c r="G128" s="38">
        <f>F128^2</f>
        <v/>
      </c>
      <c r="H128" s="37" t="n"/>
      <c r="I128" s="37" t="n"/>
    </row>
    <row r="129" ht="15" customHeight="1" s="28">
      <c r="A129" s="40" t="n">
        <v>116</v>
      </c>
      <c r="B129" s="56" t="n">
        <v>115</v>
      </c>
      <c r="C129" s="56">
        <f>B129^2</f>
        <v/>
      </c>
      <c r="D129" s="41" t="n">
        <v>4562.53</v>
      </c>
      <c r="E129" s="41">
        <f>4541.138727+0.225904*B129</f>
        <v/>
      </c>
      <c r="F129" s="42">
        <f>D129-E129</f>
        <v/>
      </c>
      <c r="G129" s="41">
        <f>F129^2</f>
        <v/>
      </c>
      <c r="H129" s="40" t="n"/>
      <c r="I129" s="40" t="n"/>
    </row>
    <row r="130" ht="15" customHeight="1" s="28">
      <c r="A130" s="37" t="n">
        <v>117</v>
      </c>
      <c r="B130" s="55" t="n">
        <v>116</v>
      </c>
      <c r="C130" s="55">
        <f>B130^2</f>
        <v/>
      </c>
      <c r="D130" s="38" t="n">
        <v>4565.02</v>
      </c>
      <c r="E130" s="38">
        <f>4541.138727+0.225904*B130</f>
        <v/>
      </c>
      <c r="F130" s="39">
        <f>D130-E130</f>
        <v/>
      </c>
      <c r="G130" s="38">
        <f>F130^2</f>
        <v/>
      </c>
      <c r="H130" s="37" t="n"/>
      <c r="I130" s="37" t="n"/>
    </row>
    <row r="131" ht="15" customHeight="1" s="28">
      <c r="A131" s="40" t="n">
        <v>118</v>
      </c>
      <c r="B131" s="56" t="n">
        <v>117</v>
      </c>
      <c r="C131" s="56">
        <f>B131^2</f>
        <v/>
      </c>
      <c r="D131" s="41" t="n">
        <v>4564.98</v>
      </c>
      <c r="E131" s="41">
        <f>4541.138727+0.225904*B131</f>
        <v/>
      </c>
      <c r="F131" s="42">
        <f>D131-E131</f>
        <v/>
      </c>
      <c r="G131" s="41">
        <f>F131^2</f>
        <v/>
      </c>
      <c r="H131" s="40" t="n"/>
      <c r="I131" s="40" t="n"/>
    </row>
    <row r="132" ht="15" customHeight="1" s="28">
      <c r="A132" s="37" t="n">
        <v>119</v>
      </c>
      <c r="B132" s="55" t="n">
        <v>118</v>
      </c>
      <c r="C132" s="55">
        <f>B132^2</f>
        <v/>
      </c>
      <c r="D132" s="38" t="n">
        <v>4563.32</v>
      </c>
      <c r="E132" s="38">
        <f>4541.138727+0.225904*B132</f>
        <v/>
      </c>
      <c r="F132" s="39">
        <f>D132-E132</f>
        <v/>
      </c>
      <c r="G132" s="38">
        <f>F132^2</f>
        <v/>
      </c>
      <c r="H132" s="37" t="n"/>
      <c r="I132" s="37" t="n"/>
    </row>
    <row r="133" ht="15" customHeight="1" s="28">
      <c r="A133" s="40" t="n">
        <v>120</v>
      </c>
      <c r="B133" s="56" t="n">
        <v>119</v>
      </c>
      <c r="C133" s="56">
        <f>B133^2</f>
        <v/>
      </c>
      <c r="D133" s="41" t="n">
        <v>4561.66</v>
      </c>
      <c r="E133" s="41">
        <f>4541.138727+0.225904*B133</f>
        <v/>
      </c>
      <c r="F133" s="42">
        <f>D133-E133</f>
        <v/>
      </c>
      <c r="G133" s="41">
        <f>F133^2</f>
        <v/>
      </c>
      <c r="H133" s="40" t="n"/>
      <c r="I133" s="40" t="n"/>
    </row>
    <row r="134" ht="15" customHeight="1" s="28">
      <c r="A134" s="37" t="n">
        <v>121</v>
      </c>
      <c r="B134" s="55" t="n">
        <v>120</v>
      </c>
      <c r="C134" s="55">
        <f>B134^2</f>
        <v/>
      </c>
      <c r="D134" s="38" t="n">
        <v>4556.09</v>
      </c>
      <c r="E134" s="38">
        <f>4541.138727+0.225904*B134</f>
        <v/>
      </c>
      <c r="F134" s="39">
        <f>D134-E134</f>
        <v/>
      </c>
      <c r="G134" s="38">
        <f>F134^2</f>
        <v/>
      </c>
      <c r="H134" s="37" t="n"/>
      <c r="I134" s="37" t="n"/>
    </row>
    <row r="135" ht="15" customHeight="1" s="28">
      <c r="A135" s="40" t="n">
        <v>122</v>
      </c>
      <c r="B135" s="56" t="n">
        <v>121</v>
      </c>
      <c r="C135" s="56">
        <f>B135^2</f>
        <v/>
      </c>
      <c r="D135" s="41" t="n">
        <v>4555.41</v>
      </c>
      <c r="E135" s="41">
        <f>4541.138727+0.225904*B135</f>
        <v/>
      </c>
      <c r="F135" s="42">
        <f>D135-E135</f>
        <v/>
      </c>
      <c r="G135" s="41">
        <f>F135^2</f>
        <v/>
      </c>
      <c r="H135" s="40" t="n"/>
      <c r="I135" s="40" t="n"/>
    </row>
    <row r="136" ht="15" customHeight="1" s="28">
      <c r="A136" s="37" t="n">
        <v>123</v>
      </c>
      <c r="B136" s="55" t="n">
        <v>122</v>
      </c>
      <c r="C136" s="55">
        <f>B136^2</f>
        <v/>
      </c>
      <c r="D136" s="38" t="n">
        <v>4547.28</v>
      </c>
      <c r="E136" s="38">
        <f>4541.138727+0.225904*B136</f>
        <v/>
      </c>
      <c r="F136" s="39">
        <f>D136-E136</f>
        <v/>
      </c>
      <c r="G136" s="38">
        <f>F136^2</f>
        <v/>
      </c>
      <c r="H136" s="37" t="n"/>
      <c r="I136" s="37" t="n"/>
    </row>
    <row r="137" ht="15" customHeight="1" s="28">
      <c r="A137" s="40" t="n">
        <v>124</v>
      </c>
      <c r="B137" s="56" t="n">
        <v>123</v>
      </c>
      <c r="C137" s="56">
        <f>B137^2</f>
        <v/>
      </c>
      <c r="D137" s="41" t="n">
        <v>4544.74</v>
      </c>
      <c r="E137" s="41">
        <f>4541.138727+0.225904*B137</f>
        <v/>
      </c>
      <c r="F137" s="42">
        <f>D137-E137</f>
        <v/>
      </c>
      <c r="G137" s="41">
        <f>F137^2</f>
        <v/>
      </c>
      <c r="H137" s="40" t="n"/>
      <c r="I137" s="40" t="n"/>
    </row>
    <row r="138" ht="15" customHeight="1" s="28">
      <c r="A138" s="37" t="n">
        <v>125</v>
      </c>
      <c r="B138" s="55" t="n">
        <v>124</v>
      </c>
      <c r="C138" s="55">
        <f>B138^2</f>
        <v/>
      </c>
      <c r="D138" s="38" t="n">
        <v>4541.91</v>
      </c>
      <c r="E138" s="38">
        <f>4541.138727+0.225904*B138</f>
        <v/>
      </c>
      <c r="F138" s="39">
        <f>D138-E138</f>
        <v/>
      </c>
      <c r="G138" s="38">
        <f>F138^2</f>
        <v/>
      </c>
      <c r="H138" s="37" t="n"/>
      <c r="I138" s="37" t="n"/>
    </row>
    <row r="139" ht="15" customHeight="1" s="28">
      <c r="A139" s="40" t="n">
        <v>126</v>
      </c>
      <c r="B139" s="56" t="n">
        <v>125</v>
      </c>
      <c r="C139" s="56">
        <f>B139^2</f>
        <v/>
      </c>
      <c r="D139" s="41" t="n">
        <v>4553.22</v>
      </c>
      <c r="E139" s="41">
        <f>4541.138727+0.225904*B139</f>
        <v/>
      </c>
      <c r="F139" s="42">
        <f>D139-E139</f>
        <v/>
      </c>
      <c r="G139" s="41">
        <f>F139^2</f>
        <v/>
      </c>
      <c r="H139" s="40" t="n"/>
      <c r="I139" s="40" t="n"/>
    </row>
    <row r="140" ht="15" customHeight="1" s="28">
      <c r="A140" s="37" t="n">
        <v>127</v>
      </c>
      <c r="B140" s="55" t="n">
        <v>126</v>
      </c>
      <c r="C140" s="55">
        <f>B140^2</f>
        <v/>
      </c>
      <c r="D140" s="38" t="n">
        <v>4555.73</v>
      </c>
      <c r="E140" s="38">
        <f>4541.138727+0.225904*B140</f>
        <v/>
      </c>
      <c r="F140" s="39">
        <f>D140-E140</f>
        <v/>
      </c>
      <c r="G140" s="38">
        <f>F140^2</f>
        <v/>
      </c>
      <c r="H140" s="37" t="n"/>
      <c r="I140" s="37" t="n"/>
    </row>
    <row r="141" ht="15" customHeight="1" s="28">
      <c r="A141" s="40" t="n">
        <v>128</v>
      </c>
      <c r="B141" s="56" t="n">
        <v>127</v>
      </c>
      <c r="C141" s="56">
        <f>B141^2</f>
        <v/>
      </c>
      <c r="D141" s="41" t="n">
        <v>4564.04</v>
      </c>
      <c r="E141" s="41">
        <f>4541.138727+0.225904*B141</f>
        <v/>
      </c>
      <c r="F141" s="42">
        <f>D141-E141</f>
        <v/>
      </c>
      <c r="G141" s="41">
        <f>F141^2</f>
        <v/>
      </c>
      <c r="H141" s="40" t="n"/>
      <c r="I141" s="40" t="n"/>
    </row>
    <row r="142" ht="15" customHeight="1" s="28">
      <c r="A142" s="37" t="n">
        <v>129</v>
      </c>
      <c r="B142" s="55" t="n">
        <v>128</v>
      </c>
      <c r="C142" s="55">
        <f>B142^2</f>
        <v/>
      </c>
      <c r="D142" s="38" t="n">
        <v>4562.71</v>
      </c>
      <c r="E142" s="38">
        <f>4541.138727+0.225904*B142</f>
        <v/>
      </c>
      <c r="F142" s="39">
        <f>D142-E142</f>
        <v/>
      </c>
      <c r="G142" s="38">
        <f>F142^2</f>
        <v/>
      </c>
      <c r="H142" s="37" t="n"/>
      <c r="I142" s="37" t="n"/>
    </row>
    <row r="143" ht="15" customHeight="1" s="28">
      <c r="A143" s="40" t="n">
        <v>130</v>
      </c>
      <c r="B143" s="56" t="n">
        <v>129</v>
      </c>
      <c r="C143" s="56">
        <f>B143^2</f>
        <v/>
      </c>
      <c r="D143" s="41" t="n">
        <v>4566.21</v>
      </c>
      <c r="E143" s="41">
        <f>4541.138727+0.225904*B143</f>
        <v/>
      </c>
      <c r="F143" s="42">
        <f>D143-E143</f>
        <v/>
      </c>
      <c r="G143" s="41">
        <f>F143^2</f>
        <v/>
      </c>
      <c r="H143" s="40" t="n"/>
      <c r="I143" s="40" t="n"/>
    </row>
    <row r="144" ht="15" customHeight="1" s="28">
      <c r="A144" s="37" t="n">
        <v>131</v>
      </c>
      <c r="B144" s="55" t="n">
        <v>130</v>
      </c>
      <c r="C144" s="55">
        <f>B144^2</f>
        <v/>
      </c>
      <c r="D144" s="38" t="n">
        <v>4569.57</v>
      </c>
      <c r="E144" s="38">
        <f>4541.138727+0.225904*B144</f>
        <v/>
      </c>
      <c r="F144" s="39">
        <f>D144-E144</f>
        <v/>
      </c>
      <c r="G144" s="38">
        <f>F144^2</f>
        <v/>
      </c>
      <c r="H144" s="37" t="n"/>
      <c r="I144" s="37" t="n"/>
    </row>
    <row r="145" ht="15" customHeight="1" s="28">
      <c r="A145" s="40" t="n">
        <v>132</v>
      </c>
      <c r="B145" s="56" t="n">
        <v>131</v>
      </c>
      <c r="C145" s="56">
        <f>B145^2</f>
        <v/>
      </c>
      <c r="D145" s="41" t="n">
        <v>4575.23</v>
      </c>
      <c r="E145" s="41">
        <f>4541.138727+0.225904*B145</f>
        <v/>
      </c>
      <c r="F145" s="42">
        <f>D145-E145</f>
        <v/>
      </c>
      <c r="G145" s="41">
        <f>F145^2</f>
        <v/>
      </c>
      <c r="H145" s="40" t="n"/>
      <c r="I145" s="40" t="n"/>
    </row>
    <row r="146" ht="15" customHeight="1" s="28">
      <c r="A146" s="37" t="n">
        <v>133</v>
      </c>
      <c r="B146" s="55" t="n">
        <v>132</v>
      </c>
      <c r="C146" s="55">
        <f>B146^2</f>
        <v/>
      </c>
      <c r="D146" s="38" t="n">
        <v>4589.44</v>
      </c>
      <c r="E146" s="38">
        <f>4541.138727+0.225904*B146</f>
        <v/>
      </c>
      <c r="F146" s="39">
        <f>D146-E146</f>
        <v/>
      </c>
      <c r="G146" s="38">
        <f>F146^2</f>
        <v/>
      </c>
      <c r="H146" s="37" t="n"/>
      <c r="I146" s="37" t="n"/>
    </row>
    <row r="147" ht="15" customHeight="1" s="28">
      <c r="A147" s="40" t="n">
        <v>134</v>
      </c>
      <c r="B147" s="56" t="n">
        <v>133</v>
      </c>
      <c r="C147" s="56">
        <f>B147^2</f>
        <v/>
      </c>
      <c r="D147" s="41" t="n">
        <v>4591.59</v>
      </c>
      <c r="E147" s="41">
        <f>4541.138727+0.225904*B147</f>
        <v/>
      </c>
      <c r="F147" s="42">
        <f>D147-E147</f>
        <v/>
      </c>
      <c r="G147" s="41">
        <f>F147^2</f>
        <v/>
      </c>
      <c r="H147" s="40" t="n"/>
      <c r="I147" s="40" t="n"/>
    </row>
    <row r="148" ht="15" customHeight="1" s="28">
      <c r="A148" s="37" t="n">
        <v>135</v>
      </c>
      <c r="B148" s="55" t="n">
        <v>134</v>
      </c>
      <c r="C148" s="55">
        <f>B148^2</f>
        <v/>
      </c>
      <c r="D148" s="38" t="n">
        <v>4591.59</v>
      </c>
      <c r="E148" s="38">
        <f>4541.138727+0.225904*B148</f>
        <v/>
      </c>
      <c r="F148" s="39">
        <f>D148-E148</f>
        <v/>
      </c>
      <c r="G148" s="38">
        <f>F148^2</f>
        <v/>
      </c>
      <c r="H148" s="37" t="n"/>
      <c r="I148" s="37" t="n"/>
    </row>
    <row r="149" ht="15" customHeight="1" s="28">
      <c r="A149" s="40" t="n">
        <v>136</v>
      </c>
      <c r="B149" s="56" t="n">
        <v>135</v>
      </c>
      <c r="C149" s="56">
        <f>B149^2</f>
        <v/>
      </c>
      <c r="D149" s="41" t="n">
        <v>4596.69</v>
      </c>
      <c r="E149" s="41">
        <f>4541.138727+0.225904*B149</f>
        <v/>
      </c>
      <c r="F149" s="42">
        <f>D149-E149</f>
        <v/>
      </c>
      <c r="G149" s="41">
        <f>F149^2</f>
        <v/>
      </c>
      <c r="H149" s="40" t="n"/>
      <c r="I149" s="40" t="n"/>
    </row>
    <row r="150" ht="15" customHeight="1" s="28">
      <c r="A150" s="37" t="n">
        <v>137</v>
      </c>
      <c r="B150" s="55" t="n">
        <v>136</v>
      </c>
      <c r="C150" s="55">
        <f>B150^2</f>
        <v/>
      </c>
      <c r="D150" s="38" t="n">
        <v>4598.44</v>
      </c>
      <c r="E150" s="38">
        <f>4541.138727+0.225904*B150</f>
        <v/>
      </c>
      <c r="F150" s="39">
        <f>D150-E150</f>
        <v/>
      </c>
      <c r="G150" s="38">
        <f>F150^2</f>
        <v/>
      </c>
      <c r="H150" s="37" t="n"/>
      <c r="I150" s="37" t="n"/>
    </row>
    <row r="151" ht="15" customHeight="1" s="28">
      <c r="A151" s="40" t="n">
        <v>138</v>
      </c>
      <c r="B151" s="56" t="n">
        <v>137</v>
      </c>
      <c r="C151" s="56">
        <f>B151^2</f>
        <v/>
      </c>
      <c r="D151" s="41" t="n">
        <v>4618.7</v>
      </c>
      <c r="E151" s="41">
        <f>4541.138727+0.225904*B151</f>
        <v/>
      </c>
      <c r="F151" s="42">
        <f>D151-E151</f>
        <v/>
      </c>
      <c r="G151" s="41">
        <f>F151^2</f>
        <v/>
      </c>
      <c r="H151" s="40" t="n"/>
      <c r="I151" s="40" t="n"/>
    </row>
    <row r="152" ht="15" customHeight="1" s="28">
      <c r="A152" s="37" t="n">
        <v>139</v>
      </c>
      <c r="B152" s="55" t="n">
        <v>138</v>
      </c>
      <c r="C152" s="55">
        <f>B152^2</f>
        <v/>
      </c>
      <c r="D152" s="38" t="n">
        <v>4617.35</v>
      </c>
      <c r="E152" s="38">
        <f>4541.138727+0.225904*B152</f>
        <v/>
      </c>
      <c r="F152" s="39">
        <f>D152-E152</f>
        <v/>
      </c>
      <c r="G152" s="38">
        <f>F152^2</f>
        <v/>
      </c>
      <c r="H152" s="37" t="n"/>
      <c r="I152" s="37" t="n"/>
    </row>
    <row r="153" ht="15" customHeight="1" s="28">
      <c r="A153" s="40" t="n">
        <v>140</v>
      </c>
      <c r="B153" s="56" t="n">
        <v>139</v>
      </c>
      <c r="C153" s="56">
        <f>B153^2</f>
        <v/>
      </c>
      <c r="D153" s="41" t="n">
        <v>4614.82</v>
      </c>
      <c r="E153" s="41">
        <f>4541.138727+0.225904*B153</f>
        <v/>
      </c>
      <c r="F153" s="42">
        <f>D153-E153</f>
        <v/>
      </c>
      <c r="G153" s="41">
        <f>F153^2</f>
        <v/>
      </c>
      <c r="H153" s="40" t="n"/>
      <c r="I153" s="40" t="n"/>
    </row>
    <row r="154" ht="15" customHeight="1" s="28">
      <c r="A154" s="37" t="n">
        <v>141</v>
      </c>
      <c r="B154" s="55" t="n">
        <v>140</v>
      </c>
      <c r="C154" s="55">
        <f>B154^2</f>
        <v/>
      </c>
      <c r="D154" s="38" t="n">
        <v>4616</v>
      </c>
      <c r="E154" s="38">
        <f>4541.138727+0.225904*B154</f>
        <v/>
      </c>
      <c r="F154" s="39">
        <f>D154-E154</f>
        <v/>
      </c>
      <c r="G154" s="38">
        <f>F154^2</f>
        <v/>
      </c>
      <c r="H154" s="37" t="n"/>
      <c r="I154" s="37" t="n"/>
    </row>
    <row r="155" ht="15" customHeight="1" s="28">
      <c r="A155" s="40" t="n">
        <v>142</v>
      </c>
      <c r="B155" s="56" t="n">
        <v>141</v>
      </c>
      <c r="C155" s="56">
        <f>B155^2</f>
        <v/>
      </c>
      <c r="D155" s="41" t="n">
        <v>4618.96</v>
      </c>
      <c r="E155" s="41">
        <f>4541.138727+0.225904*B155</f>
        <v/>
      </c>
      <c r="F155" s="42">
        <f>D155-E155</f>
        <v/>
      </c>
      <c r="G155" s="41">
        <f>F155^2</f>
        <v/>
      </c>
      <c r="H155" s="40" t="n"/>
      <c r="I155" s="40" t="n"/>
    </row>
    <row r="156" ht="15" customHeight="1" s="28">
      <c r="A156" s="37" t="n">
        <v>143</v>
      </c>
      <c r="B156" s="55" t="n">
        <v>142</v>
      </c>
      <c r="C156" s="55">
        <f>B156^2</f>
        <v/>
      </c>
      <c r="D156" s="38" t="n">
        <v>4625.41</v>
      </c>
      <c r="E156" s="38">
        <f>4541.138727+0.225904*B156</f>
        <v/>
      </c>
      <c r="F156" s="39">
        <f>D156-E156</f>
        <v/>
      </c>
      <c r="G156" s="38">
        <f>F156^2</f>
        <v/>
      </c>
      <c r="H156" s="37" t="n"/>
      <c r="I156" s="37" t="n"/>
    </row>
    <row r="157" ht="15" customHeight="1" s="28">
      <c r="A157" s="40" t="n">
        <v>144</v>
      </c>
      <c r="B157" s="56" t="n">
        <v>143</v>
      </c>
      <c r="C157" s="56">
        <f>B157^2</f>
        <v/>
      </c>
      <c r="D157" s="41" t="n">
        <v>4619.35</v>
      </c>
      <c r="E157" s="41">
        <f>4541.138727+0.225904*B157</f>
        <v/>
      </c>
      <c r="F157" s="42">
        <f>D157-E157</f>
        <v/>
      </c>
      <c r="G157" s="41">
        <f>F157^2</f>
        <v/>
      </c>
      <c r="H157" s="40" t="n"/>
      <c r="I157" s="40" t="n"/>
    </row>
    <row r="158" ht="15" customHeight="1" s="28">
      <c r="A158" s="37" t="n">
        <v>145</v>
      </c>
      <c r="B158" s="55" t="n">
        <v>144</v>
      </c>
      <c r="C158" s="55">
        <f>B158^2</f>
        <v/>
      </c>
      <c r="D158" s="38" t="n">
        <v>4624.91</v>
      </c>
      <c r="E158" s="38">
        <f>4541.138727+0.225904*B158</f>
        <v/>
      </c>
      <c r="F158" s="39">
        <f>D158-E158</f>
        <v/>
      </c>
      <c r="G158" s="38">
        <f>F158^2</f>
        <v/>
      </c>
      <c r="H158" s="37" t="n"/>
      <c r="I158" s="37" t="n"/>
    </row>
    <row r="159" ht="15" customHeight="1" s="28">
      <c r="A159" s="40" t="n">
        <v>146</v>
      </c>
      <c r="B159" s="56" t="n">
        <v>145</v>
      </c>
      <c r="C159" s="56">
        <f>B159^2</f>
        <v/>
      </c>
      <c r="D159" s="41" t="n">
        <v>4626.92</v>
      </c>
      <c r="E159" s="41">
        <f>4541.138727+0.225904*B159</f>
        <v/>
      </c>
      <c r="F159" s="42">
        <f>D159-E159</f>
        <v/>
      </c>
      <c r="G159" s="41">
        <f>F159^2</f>
        <v/>
      </c>
      <c r="H159" s="40" t="n"/>
      <c r="I159" s="40" t="n"/>
    </row>
    <row r="160" ht="15" customHeight="1" s="28">
      <c r="A160" s="37" t="n">
        <v>147</v>
      </c>
      <c r="B160" s="55" t="n">
        <v>146</v>
      </c>
      <c r="C160" s="55">
        <f>B160^2</f>
        <v/>
      </c>
      <c r="D160" s="38" t="n">
        <v>4643.78</v>
      </c>
      <c r="E160" s="38">
        <f>4541.138727+0.225904*B160</f>
        <v/>
      </c>
      <c r="F160" s="39">
        <f>D160-E160</f>
        <v/>
      </c>
      <c r="G160" s="38">
        <f>F160^2</f>
        <v/>
      </c>
      <c r="H160" s="37" t="n"/>
      <c r="I160" s="37" t="n"/>
    </row>
    <row r="161" ht="15" customHeight="1" s="28">
      <c r="A161" s="40" t="n">
        <v>148</v>
      </c>
      <c r="B161" s="56" t="n">
        <v>147</v>
      </c>
      <c r="C161" s="56">
        <f>B161^2</f>
        <v/>
      </c>
      <c r="D161" s="41" t="n">
        <v>4636.62</v>
      </c>
      <c r="E161" s="41">
        <f>4541.138727+0.225904*B161</f>
        <v/>
      </c>
      <c r="F161" s="42">
        <f>D161-E161</f>
        <v/>
      </c>
      <c r="G161" s="41">
        <f>F161^2</f>
        <v/>
      </c>
      <c r="H161" s="40" t="n"/>
      <c r="I161" s="40" t="n"/>
    </row>
    <row r="162" ht="15" customHeight="1" s="28">
      <c r="A162" s="37" t="n">
        <v>149</v>
      </c>
      <c r="B162" s="55" t="n">
        <v>148</v>
      </c>
      <c r="C162" s="55">
        <f>B162^2</f>
        <v/>
      </c>
      <c r="D162" s="38" t="n">
        <v>4639.68</v>
      </c>
      <c r="E162" s="38">
        <f>4541.138727+0.225904*B162</f>
        <v/>
      </c>
      <c r="F162" s="39">
        <f>D162-E162</f>
        <v/>
      </c>
      <c r="G162" s="38">
        <f>F162^2</f>
        <v/>
      </c>
      <c r="H162" s="37" t="n"/>
      <c r="I162" s="37" t="n"/>
    </row>
    <row r="163" ht="15" customHeight="1" s="28">
      <c r="A163" s="40" t="n">
        <v>150</v>
      </c>
      <c r="B163" s="56" t="n">
        <v>149</v>
      </c>
      <c r="C163" s="56">
        <f>B163^2</f>
        <v/>
      </c>
      <c r="D163" s="41" t="n">
        <v>4635.99</v>
      </c>
      <c r="E163" s="41">
        <f>4541.138727+0.225904*B163</f>
        <v/>
      </c>
      <c r="F163" s="42">
        <f>D163-E163</f>
        <v/>
      </c>
      <c r="G163" s="41">
        <f>F163^2</f>
        <v/>
      </c>
      <c r="H163" s="40" t="n"/>
      <c r="I163" s="40" t="n"/>
    </row>
    <row r="164" ht="15" customHeight="1" s="28">
      <c r="A164" s="37" t="n">
        <v>151</v>
      </c>
      <c r="B164" s="55" t="n">
        <v>150</v>
      </c>
      <c r="C164" s="55">
        <f>B164^2</f>
        <v/>
      </c>
      <c r="D164" s="38" t="n">
        <v>4637.7</v>
      </c>
      <c r="E164" s="38">
        <f>4541.138727+0.225904*B164</f>
        <v/>
      </c>
      <c r="F164" s="39">
        <f>D164-E164</f>
        <v/>
      </c>
      <c r="G164" s="38">
        <f>F164^2</f>
        <v/>
      </c>
      <c r="H164" s="37" t="n"/>
      <c r="I164" s="37" t="n"/>
    </row>
    <row r="165" ht="15" customHeight="1" s="28">
      <c r="A165" s="40" t="n">
        <v>152</v>
      </c>
      <c r="B165" s="56" t="n">
        <v>151</v>
      </c>
      <c r="C165" s="56">
        <f>B165^2</f>
        <v/>
      </c>
      <c r="D165" s="41" t="n">
        <v>4629.82</v>
      </c>
      <c r="E165" s="41">
        <f>4541.138727+0.225904*B165</f>
        <v/>
      </c>
      <c r="F165" s="42">
        <f>D165-E165</f>
        <v/>
      </c>
      <c r="G165" s="41">
        <f>F165^2</f>
        <v/>
      </c>
      <c r="H165" s="40" t="n"/>
      <c r="I165" s="40" t="n"/>
    </row>
    <row r="166" ht="15" customHeight="1" s="28">
      <c r="A166" s="37" t="n">
        <v>153</v>
      </c>
      <c r="B166" s="55" t="n">
        <v>152</v>
      </c>
      <c r="C166" s="55">
        <f>B166^2</f>
        <v/>
      </c>
      <c r="D166" s="38" t="n">
        <v>4630.21</v>
      </c>
      <c r="E166" s="38">
        <f>4541.138727+0.225904*B166</f>
        <v/>
      </c>
      <c r="F166" s="39">
        <f>D166-E166</f>
        <v/>
      </c>
      <c r="G166" s="38">
        <f>F166^2</f>
        <v/>
      </c>
      <c r="H166" s="37" t="n"/>
      <c r="I166" s="37" t="n"/>
    </row>
    <row r="167" ht="15" customHeight="1" s="28">
      <c r="A167" s="40" t="n">
        <v>154</v>
      </c>
      <c r="B167" s="56" t="n">
        <v>153</v>
      </c>
      <c r="C167" s="56">
        <f>B167^2</f>
        <v/>
      </c>
      <c r="D167" s="41" t="n">
        <v>4635.81</v>
      </c>
      <c r="E167" s="41">
        <f>4541.138727+0.225904*B167</f>
        <v/>
      </c>
      <c r="F167" s="42">
        <f>D167-E167</f>
        <v/>
      </c>
      <c r="G167" s="41">
        <f>F167^2</f>
        <v/>
      </c>
      <c r="H167" s="40" t="n"/>
      <c r="I167" s="40" t="n"/>
    </row>
    <row r="168" ht="15" customHeight="1" s="28">
      <c r="A168" s="37" t="n">
        <v>155</v>
      </c>
      <c r="B168" s="55" t="n">
        <v>154</v>
      </c>
      <c r="C168" s="55">
        <f>B168^2</f>
        <v/>
      </c>
      <c r="D168" s="38" t="n">
        <v>4630.51</v>
      </c>
      <c r="E168" s="38">
        <f>4541.138727+0.225904*B168</f>
        <v/>
      </c>
      <c r="F168" s="39">
        <f>D168-E168</f>
        <v/>
      </c>
      <c r="G168" s="38">
        <f>F168^2</f>
        <v/>
      </c>
      <c r="H168" s="37" t="n"/>
      <c r="I168" s="37" t="n"/>
    </row>
    <row r="169" ht="15" customHeight="1" s="28">
      <c r="A169" s="40" t="n">
        <v>156</v>
      </c>
      <c r="B169" s="56" t="n">
        <v>155</v>
      </c>
      <c r="C169" s="56">
        <f>B169^2</f>
        <v/>
      </c>
      <c r="D169" s="41" t="n">
        <v>4625.92</v>
      </c>
      <c r="E169" s="41">
        <f>4541.138727+0.225904*B169</f>
        <v/>
      </c>
      <c r="F169" s="42">
        <f>D169-E169</f>
        <v/>
      </c>
      <c r="G169" s="41">
        <f>F169^2</f>
        <v/>
      </c>
      <c r="H169" s="40" t="n"/>
      <c r="I169" s="40" t="n"/>
    </row>
    <row r="170" ht="15" customHeight="1" s="28">
      <c r="A170" s="37" t="n">
        <v>157</v>
      </c>
      <c r="B170" s="55" t="n">
        <v>156</v>
      </c>
      <c r="C170" s="55">
        <f>B170^2</f>
        <v/>
      </c>
      <c r="D170" s="38" t="n">
        <v>4639.57</v>
      </c>
      <c r="E170" s="38">
        <f>4541.138727+0.225904*B170</f>
        <v/>
      </c>
      <c r="F170" s="39">
        <f>D170-E170</f>
        <v/>
      </c>
      <c r="G170" s="38">
        <f>F170^2</f>
        <v/>
      </c>
      <c r="H170" s="37" t="n"/>
      <c r="I170" s="37" t="n"/>
    </row>
    <row r="171" ht="15" customHeight="1" s="28">
      <c r="A171" s="40" t="n">
        <v>158</v>
      </c>
      <c r="B171" s="56" t="n">
        <v>157</v>
      </c>
      <c r="C171" s="56">
        <f>B171^2</f>
        <v/>
      </c>
      <c r="D171" s="41" t="n">
        <v>4641.5</v>
      </c>
      <c r="E171" s="41">
        <f>4541.138727+0.225904*B171</f>
        <v/>
      </c>
      <c r="F171" s="42">
        <f>D171-E171</f>
        <v/>
      </c>
      <c r="G171" s="41">
        <f>F171^2</f>
        <v/>
      </c>
      <c r="H171" s="40" t="n"/>
      <c r="I171" s="40" t="n"/>
    </row>
    <row r="172" ht="15" customHeight="1" s="28">
      <c r="A172" s="37" t="n">
        <v>159</v>
      </c>
      <c r="B172" s="55" t="n">
        <v>158</v>
      </c>
      <c r="C172" s="55">
        <f>B172^2</f>
        <v/>
      </c>
      <c r="D172" s="38" t="n">
        <v>4633.5</v>
      </c>
      <c r="E172" s="38">
        <f>4541.138727+0.225904*B172</f>
        <v/>
      </c>
      <c r="F172" s="39">
        <f>D172-E172</f>
        <v/>
      </c>
      <c r="G172" s="38">
        <f>F172^2</f>
        <v/>
      </c>
      <c r="H172" s="37" t="n"/>
      <c r="I172" s="37" t="n"/>
    </row>
    <row r="173" ht="15" customHeight="1" s="28">
      <c r="A173" s="40" t="n">
        <v>160</v>
      </c>
      <c r="B173" s="56" t="n">
        <v>159</v>
      </c>
      <c r="C173" s="56">
        <f>B173^2</f>
        <v/>
      </c>
      <c r="D173" s="41" t="n">
        <v>4625.44</v>
      </c>
      <c r="E173" s="41">
        <f>4541.138727+0.225904*B173</f>
        <v/>
      </c>
      <c r="F173" s="42">
        <f>D173-E173</f>
        <v/>
      </c>
      <c r="G173" s="41">
        <f>F173^2</f>
        <v/>
      </c>
      <c r="H173" s="40" t="n"/>
      <c r="I173" s="40" t="n"/>
    </row>
    <row r="174" ht="15" customHeight="1" s="28">
      <c r="A174" s="37" t="n">
        <v>161</v>
      </c>
      <c r="B174" s="55" t="n">
        <v>160</v>
      </c>
      <c r="C174" s="55">
        <f>B174^2</f>
        <v/>
      </c>
      <c r="D174" s="38" t="n">
        <v>4610.99</v>
      </c>
      <c r="E174" s="38">
        <f>4541.138727+0.225904*B174</f>
        <v/>
      </c>
      <c r="F174" s="39">
        <f>D174-E174</f>
        <v/>
      </c>
      <c r="G174" s="38">
        <f>F174^2</f>
        <v/>
      </c>
      <c r="H174" s="37" t="n"/>
      <c r="I174" s="37" t="n"/>
    </row>
    <row r="175" ht="15" customHeight="1" s="28">
      <c r="A175" s="40" t="n">
        <v>162</v>
      </c>
      <c r="B175" s="56" t="n">
        <v>161</v>
      </c>
      <c r="C175" s="56">
        <f>B175^2</f>
        <v/>
      </c>
      <c r="D175" s="41" t="n">
        <v>4620.39</v>
      </c>
      <c r="E175" s="41">
        <f>4541.138727+0.225904*B175</f>
        <v/>
      </c>
      <c r="F175" s="42">
        <f>D175-E175</f>
        <v/>
      </c>
      <c r="G175" s="41">
        <f>F175^2</f>
        <v/>
      </c>
      <c r="H175" s="40" t="n"/>
      <c r="I175" s="40" t="n"/>
    </row>
    <row r="176" ht="15" customHeight="1" s="28">
      <c r="A176" s="37" t="n">
        <v>163</v>
      </c>
      <c r="B176" s="55" t="n">
        <v>162</v>
      </c>
      <c r="C176" s="55">
        <f>B176^2</f>
        <v/>
      </c>
      <c r="D176" s="38" t="n">
        <v>4622.81</v>
      </c>
      <c r="E176" s="38">
        <f>4541.138727+0.225904*B176</f>
        <v/>
      </c>
      <c r="F176" s="39">
        <f>D176-E176</f>
        <v/>
      </c>
      <c r="G176" s="38">
        <f>F176^2</f>
        <v/>
      </c>
      <c r="H176" s="37" t="n"/>
      <c r="I176" s="37" t="n"/>
    </row>
    <row r="177" ht="15" customHeight="1" s="28">
      <c r="A177" s="40" t="n">
        <v>164</v>
      </c>
      <c r="B177" s="56" t="n">
        <v>163</v>
      </c>
      <c r="C177" s="56">
        <f>B177^2</f>
        <v/>
      </c>
      <c r="D177" s="41" t="n">
        <v>4617.7</v>
      </c>
      <c r="E177" s="41">
        <f>4541.138727+0.225904*B177</f>
        <v/>
      </c>
      <c r="F177" s="42">
        <f>D177-E177</f>
        <v/>
      </c>
      <c r="G177" s="41">
        <f>F177^2</f>
        <v/>
      </c>
      <c r="H177" s="40" t="n"/>
      <c r="I177" s="40" t="n"/>
    </row>
    <row r="178" ht="15" customHeight="1" s="28">
      <c r="A178" s="37" t="n">
        <v>165</v>
      </c>
      <c r="B178" s="55" t="n">
        <v>164</v>
      </c>
      <c r="C178" s="55">
        <f>B178^2</f>
        <v/>
      </c>
      <c r="D178" s="38" t="n">
        <v>4619.59</v>
      </c>
      <c r="E178" s="38">
        <f>4541.138727+0.225904*B178</f>
        <v/>
      </c>
      <c r="F178" s="39">
        <f>D178-E178</f>
        <v/>
      </c>
      <c r="G178" s="38">
        <f>F178^2</f>
        <v/>
      </c>
      <c r="H178" s="37" t="n"/>
      <c r="I178" s="37" t="n"/>
    </row>
    <row r="179" ht="15" customHeight="1" s="28">
      <c r="A179" s="40" t="n">
        <v>166</v>
      </c>
      <c r="B179" s="56" t="n">
        <v>165</v>
      </c>
      <c r="C179" s="56">
        <f>B179^2</f>
        <v/>
      </c>
      <c r="D179" s="41" t="n">
        <v>4620.13</v>
      </c>
      <c r="E179" s="41">
        <f>4541.138727+0.225904*B179</f>
        <v/>
      </c>
      <c r="F179" s="42">
        <f>D179-E179</f>
        <v/>
      </c>
      <c r="G179" s="41">
        <f>F179^2</f>
        <v/>
      </c>
      <c r="H179" s="40" t="n"/>
      <c r="I179" s="40" t="n"/>
    </row>
    <row r="180" ht="15" customHeight="1" s="28">
      <c r="A180" s="37" t="n">
        <v>167</v>
      </c>
      <c r="B180" s="55" t="n">
        <v>166</v>
      </c>
      <c r="C180" s="55">
        <f>B180^2</f>
        <v/>
      </c>
      <c r="D180" s="38" t="n">
        <v>4623.09</v>
      </c>
      <c r="E180" s="38">
        <f>4541.138727+0.225904*B180</f>
        <v/>
      </c>
      <c r="F180" s="39">
        <f>D180-E180</f>
        <v/>
      </c>
      <c r="G180" s="38">
        <f>F180^2</f>
        <v/>
      </c>
      <c r="H180" s="37" t="n"/>
      <c r="I180" s="37" t="n"/>
    </row>
    <row r="181" ht="15" customHeight="1" s="28">
      <c r="A181" s="40" t="n">
        <v>168</v>
      </c>
      <c r="B181" s="56" t="n">
        <v>167</v>
      </c>
      <c r="C181" s="56">
        <f>B181^2</f>
        <v/>
      </c>
      <c r="D181" s="41" t="n">
        <v>4615.65</v>
      </c>
      <c r="E181" s="41">
        <f>4541.138727+0.225904*B181</f>
        <v/>
      </c>
      <c r="F181" s="42">
        <f>D181-E181</f>
        <v/>
      </c>
      <c r="G181" s="41">
        <f>F181^2</f>
        <v/>
      </c>
      <c r="H181" s="40" t="n"/>
      <c r="I181" s="40" t="n"/>
    </row>
    <row r="182" ht="15" customHeight="1" s="28">
      <c r="A182" s="37" t="n">
        <v>169</v>
      </c>
      <c r="B182" s="55" t="n">
        <v>168</v>
      </c>
      <c r="C182" s="55">
        <f>B182^2</f>
        <v/>
      </c>
      <c r="D182" s="38" t="n">
        <v>4615.35</v>
      </c>
      <c r="E182" s="38">
        <f>4541.138727+0.225904*B182</f>
        <v/>
      </c>
      <c r="F182" s="39">
        <f>D182-E182</f>
        <v/>
      </c>
      <c r="G182" s="38">
        <f>F182^2</f>
        <v/>
      </c>
      <c r="H182" s="37" t="n"/>
      <c r="I182" s="37" t="n"/>
    </row>
    <row r="183" ht="15" customHeight="1" s="28">
      <c r="A183" s="40" t="n">
        <v>170</v>
      </c>
      <c r="B183" s="56" t="n">
        <v>169</v>
      </c>
      <c r="C183" s="56">
        <f>B183^2</f>
        <v/>
      </c>
      <c r="D183" s="41" t="n">
        <v>4611.63</v>
      </c>
      <c r="E183" s="41">
        <f>4541.138727+0.225904*B183</f>
        <v/>
      </c>
      <c r="F183" s="42">
        <f>D183-E183</f>
        <v/>
      </c>
      <c r="G183" s="41">
        <f>F183^2</f>
        <v/>
      </c>
      <c r="H183" s="40" t="n"/>
      <c r="I183" s="40" t="n"/>
    </row>
    <row r="184" ht="15" customHeight="1" s="28">
      <c r="A184" s="37" t="n">
        <v>171</v>
      </c>
      <c r="B184" s="55" t="n">
        <v>170</v>
      </c>
      <c r="C184" s="55">
        <f>B184^2</f>
        <v/>
      </c>
      <c r="D184" s="38" t="n">
        <v>4608.08</v>
      </c>
      <c r="E184" s="38">
        <f>4541.138727+0.225904*B184</f>
        <v/>
      </c>
      <c r="F184" s="39">
        <f>D184-E184</f>
        <v/>
      </c>
      <c r="G184" s="38">
        <f>F184^2</f>
        <v/>
      </c>
      <c r="H184" s="37" t="n"/>
      <c r="I184" s="37" t="n"/>
    </row>
    <row r="185" ht="15" customHeight="1" s="28">
      <c r="A185" s="40" t="n">
        <v>172</v>
      </c>
      <c r="B185" s="56" t="n">
        <v>171</v>
      </c>
      <c r="C185" s="56">
        <f>B185^2</f>
        <v/>
      </c>
      <c r="D185" s="41" t="n">
        <v>4609.12</v>
      </c>
      <c r="E185" s="41">
        <f>4541.138727+0.225904*B185</f>
        <v/>
      </c>
      <c r="F185" s="42">
        <f>D185-E185</f>
        <v/>
      </c>
      <c r="G185" s="41">
        <f>F185^2</f>
        <v/>
      </c>
      <c r="H185" s="40" t="n"/>
      <c r="I185" s="40" t="n"/>
    </row>
    <row r="186" ht="15" customHeight="1" s="28">
      <c r="A186" s="37" t="n">
        <v>173</v>
      </c>
      <c r="B186" s="55" t="n">
        <v>172</v>
      </c>
      <c r="C186" s="55">
        <f>B186^2</f>
        <v/>
      </c>
      <c r="D186" s="38" t="n">
        <v>4607.62</v>
      </c>
      <c r="E186" s="38">
        <f>4541.138727+0.225904*B186</f>
        <v/>
      </c>
      <c r="F186" s="39">
        <f>D186-E186</f>
        <v/>
      </c>
      <c r="G186" s="38">
        <f>F186^2</f>
        <v/>
      </c>
      <c r="H186" s="37" t="n"/>
      <c r="I186" s="37" t="n"/>
    </row>
    <row r="187" ht="15" customHeight="1" s="28">
      <c r="A187" s="40" t="n">
        <v>174</v>
      </c>
      <c r="B187" s="56" t="n">
        <v>173</v>
      </c>
      <c r="C187" s="56">
        <f>B187^2</f>
        <v/>
      </c>
      <c r="D187" s="41" t="n">
        <v>4615.95</v>
      </c>
      <c r="E187" s="41">
        <f>4541.138727+0.225904*B187</f>
        <v/>
      </c>
      <c r="F187" s="42">
        <f>D187-E187</f>
        <v/>
      </c>
      <c r="G187" s="41">
        <f>F187^2</f>
        <v/>
      </c>
      <c r="H187" s="40" t="n"/>
      <c r="I187" s="40" t="n"/>
    </row>
    <row r="188" ht="15" customHeight="1" s="28">
      <c r="A188" s="37" t="n">
        <v>175</v>
      </c>
      <c r="B188" s="55" t="n">
        <v>174</v>
      </c>
      <c r="C188" s="55">
        <f>B188^2</f>
        <v/>
      </c>
      <c r="D188" s="38" t="n">
        <v>4618</v>
      </c>
      <c r="E188" s="38">
        <f>4541.138727+0.225904*B188</f>
        <v/>
      </c>
      <c r="F188" s="39">
        <f>D188-E188</f>
        <v/>
      </c>
      <c r="G188" s="38">
        <f>F188^2</f>
        <v/>
      </c>
      <c r="H188" s="37" t="n"/>
      <c r="I188" s="37" t="n"/>
    </row>
    <row r="189" ht="15" customHeight="1" s="28">
      <c r="A189" s="40" t="n">
        <v>176</v>
      </c>
      <c r="B189" s="56" t="n">
        <v>175</v>
      </c>
      <c r="C189" s="56">
        <f>B189^2</f>
        <v/>
      </c>
      <c r="D189" s="41" t="n">
        <v>4617.86</v>
      </c>
      <c r="E189" s="41">
        <f>4541.138727+0.225904*B189</f>
        <v/>
      </c>
      <c r="F189" s="42">
        <f>D189-E189</f>
        <v/>
      </c>
      <c r="G189" s="41">
        <f>F189^2</f>
        <v/>
      </c>
      <c r="H189" s="40" t="n"/>
      <c r="I189" s="40" t="n"/>
    </row>
    <row r="190" ht="15" customHeight="1" s="28">
      <c r="A190" s="37" t="n">
        <v>177</v>
      </c>
      <c r="B190" s="55" t="n">
        <v>176</v>
      </c>
      <c r="C190" s="55">
        <f>B190^2</f>
        <v/>
      </c>
      <c r="D190" s="38" t="n">
        <v>4616.86</v>
      </c>
      <c r="E190" s="38">
        <f>4541.138727+0.225904*B190</f>
        <v/>
      </c>
      <c r="F190" s="39">
        <f>D190-E190</f>
        <v/>
      </c>
      <c r="G190" s="38">
        <f>F190^2</f>
        <v/>
      </c>
      <c r="H190" s="37" t="n"/>
      <c r="I190" s="37" t="n"/>
    </row>
    <row r="191" ht="15" customHeight="1" s="28">
      <c r="A191" s="40" t="n">
        <v>178</v>
      </c>
      <c r="B191" s="56" t="n">
        <v>177</v>
      </c>
      <c r="C191" s="56">
        <f>B191^2</f>
        <v/>
      </c>
      <c r="D191" s="41" t="n">
        <v>4620.57</v>
      </c>
      <c r="E191" s="41">
        <f>4541.138727+0.225904*B191</f>
        <v/>
      </c>
      <c r="F191" s="42">
        <f>D191-E191</f>
        <v/>
      </c>
      <c r="G191" s="41">
        <f>F191^2</f>
        <v/>
      </c>
      <c r="H191" s="40" t="n"/>
      <c r="I191" s="40" t="n"/>
    </row>
    <row r="192" ht="15" customHeight="1" s="28">
      <c r="A192" s="37" t="n">
        <v>179</v>
      </c>
      <c r="B192" s="55" t="n">
        <v>178</v>
      </c>
      <c r="C192" s="55">
        <f>B192^2</f>
        <v/>
      </c>
      <c r="D192" s="38" t="n">
        <v>4620.79</v>
      </c>
      <c r="E192" s="38">
        <f>4541.138727+0.225904*B192</f>
        <v/>
      </c>
      <c r="F192" s="39">
        <f>D192-E192</f>
        <v/>
      </c>
      <c r="G192" s="38">
        <f>F192^2</f>
        <v/>
      </c>
      <c r="H192" s="37" t="n"/>
      <c r="I192" s="37" t="n"/>
    </row>
    <row r="193" ht="15" customHeight="1" s="28">
      <c r="A193" s="40" t="n">
        <v>180</v>
      </c>
      <c r="B193" s="56" t="n">
        <v>179</v>
      </c>
      <c r="C193" s="56">
        <f>B193^2</f>
        <v/>
      </c>
      <c r="D193" s="41" t="n">
        <v>4620.7</v>
      </c>
      <c r="E193" s="41">
        <f>4541.138727+0.225904*B193</f>
        <v/>
      </c>
      <c r="F193" s="42">
        <f>D193-E193</f>
        <v/>
      </c>
      <c r="G193" s="41">
        <f>F193^2</f>
        <v/>
      </c>
      <c r="H193" s="40" t="n"/>
      <c r="I193" s="40" t="n"/>
    </row>
    <row r="194" ht="15" customHeight="1" s="28">
      <c r="A194" s="37" t="n">
        <v>181</v>
      </c>
      <c r="B194" s="55" t="n">
        <v>180</v>
      </c>
      <c r="C194" s="55">
        <f>B194^2</f>
        <v/>
      </c>
      <c r="D194" s="38" t="n">
        <v>4622.48</v>
      </c>
      <c r="E194" s="38">
        <f>4541.138727+0.225904*B194</f>
        <v/>
      </c>
      <c r="F194" s="39">
        <f>D194-E194</f>
        <v/>
      </c>
      <c r="G194" s="38">
        <f>F194^2</f>
        <v/>
      </c>
      <c r="H194" s="37" t="n"/>
      <c r="I194" s="37" t="n"/>
    </row>
    <row r="195" ht="15" customHeight="1" s="28">
      <c r="A195" s="40" t="n">
        <v>182</v>
      </c>
      <c r="B195" s="56" t="n">
        <v>181</v>
      </c>
      <c r="C195" s="56">
        <f>B195^2</f>
        <v/>
      </c>
      <c r="D195" s="41" t="n">
        <v>4624.33</v>
      </c>
      <c r="E195" s="41">
        <f>4541.138727+0.225904*B195</f>
        <v/>
      </c>
      <c r="F195" s="42">
        <f>D195-E195</f>
        <v/>
      </c>
      <c r="G195" s="41">
        <f>F195^2</f>
        <v/>
      </c>
      <c r="H195" s="40" t="n"/>
      <c r="I195" s="40" t="n"/>
    </row>
    <row r="196" ht="15" customHeight="1" s="28">
      <c r="A196" s="37" t="n">
        <v>183</v>
      </c>
      <c r="B196" s="55" t="n">
        <v>182</v>
      </c>
      <c r="C196" s="55">
        <f>B196^2</f>
        <v/>
      </c>
      <c r="D196" s="38" t="n">
        <v>4617.77</v>
      </c>
      <c r="E196" s="38">
        <f>4541.138727+0.225904*B196</f>
        <v/>
      </c>
      <c r="F196" s="39">
        <f>D196-E196</f>
        <v/>
      </c>
      <c r="G196" s="38">
        <f>F196^2</f>
        <v/>
      </c>
      <c r="H196" s="37" t="n"/>
      <c r="I196" s="37" t="n"/>
    </row>
    <row r="197" ht="15" customHeight="1" s="28">
      <c r="A197" s="40" t="n">
        <v>184</v>
      </c>
      <c r="B197" s="56" t="n">
        <v>183</v>
      </c>
      <c r="C197" s="56">
        <f>B197^2</f>
        <v/>
      </c>
      <c r="D197" s="41" t="n">
        <v>4622.49</v>
      </c>
      <c r="E197" s="41">
        <f>4541.138727+0.225904*B197</f>
        <v/>
      </c>
      <c r="F197" s="42">
        <f>D197-E197</f>
        <v/>
      </c>
      <c r="G197" s="41">
        <f>F197^2</f>
        <v/>
      </c>
      <c r="H197" s="40" t="n"/>
      <c r="I197" s="40" t="n"/>
    </row>
    <row r="198" ht="15" customHeight="1" s="28">
      <c r="A198" s="37" t="n">
        <v>185</v>
      </c>
      <c r="B198" s="55" t="n">
        <v>184</v>
      </c>
      <c r="C198" s="55">
        <f>B198^2</f>
        <v/>
      </c>
      <c r="D198" s="38" t="n">
        <v>4617.07</v>
      </c>
      <c r="E198" s="38">
        <f>4541.138727+0.225904*B198</f>
        <v/>
      </c>
      <c r="F198" s="39">
        <f>D198-E198</f>
        <v/>
      </c>
      <c r="G198" s="38">
        <f>F198^2</f>
        <v/>
      </c>
      <c r="H198" s="37" t="n"/>
      <c r="I198" s="37" t="n"/>
    </row>
    <row r="199" ht="15" customHeight="1" s="28">
      <c r="A199" s="40" t="n">
        <v>186</v>
      </c>
      <c r="B199" s="56" t="n">
        <v>185</v>
      </c>
      <c r="C199" s="56">
        <f>B199^2</f>
        <v/>
      </c>
      <c r="D199" s="41" t="n">
        <v>4616.16</v>
      </c>
      <c r="E199" s="41">
        <f>4541.138727+0.225904*B199</f>
        <v/>
      </c>
      <c r="F199" s="42">
        <f>D199-E199</f>
        <v/>
      </c>
      <c r="G199" s="41">
        <f>F199^2</f>
        <v/>
      </c>
      <c r="H199" s="40" t="n"/>
      <c r="I199" s="40" t="n"/>
    </row>
    <row r="200" ht="15" customHeight="1" s="28">
      <c r="A200" s="37" t="n">
        <v>187</v>
      </c>
      <c r="B200" s="55" t="n">
        <v>186</v>
      </c>
      <c r="C200" s="55">
        <f>B200^2</f>
        <v/>
      </c>
      <c r="D200" s="38" t="n">
        <v>4616.72</v>
      </c>
      <c r="E200" s="38">
        <f>4541.138727+0.225904*B200</f>
        <v/>
      </c>
      <c r="F200" s="39">
        <f>D200-E200</f>
        <v/>
      </c>
      <c r="G200" s="38">
        <f>F200^2</f>
        <v/>
      </c>
      <c r="H200" s="37" t="n"/>
      <c r="I200" s="37" t="n"/>
    </row>
    <row r="201" ht="15" customHeight="1" s="28">
      <c r="A201" s="40" t="n">
        <v>188</v>
      </c>
      <c r="B201" s="56" t="n">
        <v>187</v>
      </c>
      <c r="C201" s="56">
        <f>B201^2</f>
        <v/>
      </c>
      <c r="D201" s="41" t="n">
        <v>4617.33</v>
      </c>
      <c r="E201" s="41">
        <f>4541.138727+0.225904*B201</f>
        <v/>
      </c>
      <c r="F201" s="42">
        <f>D201-E201</f>
        <v/>
      </c>
      <c r="G201" s="41">
        <f>F201^2</f>
        <v/>
      </c>
      <c r="H201" s="40" t="n"/>
      <c r="I201" s="40" t="n"/>
    </row>
    <row r="202" ht="15" customHeight="1" s="28">
      <c r="A202" s="37" t="n">
        <v>189</v>
      </c>
      <c r="B202" s="55" t="n">
        <v>188</v>
      </c>
      <c r="C202" s="55">
        <f>B202^2</f>
        <v/>
      </c>
      <c r="D202" s="38" t="n">
        <v>4621.81</v>
      </c>
      <c r="E202" s="38">
        <f>4541.138727+0.225904*B202</f>
        <v/>
      </c>
      <c r="F202" s="39">
        <f>D202-E202</f>
        <v/>
      </c>
      <c r="G202" s="38">
        <f>F202^2</f>
        <v/>
      </c>
      <c r="H202" s="37" t="n"/>
      <c r="I202" s="37" t="n"/>
    </row>
    <row r="203" ht="15" customHeight="1" s="28">
      <c r="A203" s="40" t="n">
        <v>190</v>
      </c>
      <c r="B203" s="56" t="n">
        <v>189</v>
      </c>
      <c r="C203" s="56">
        <f>B203^2</f>
        <v/>
      </c>
      <c r="D203" s="41" t="n">
        <v>4631.38</v>
      </c>
      <c r="E203" s="41">
        <f>4541.138727+0.225904*B203</f>
        <v/>
      </c>
      <c r="F203" s="42">
        <f>D203-E203</f>
        <v/>
      </c>
      <c r="G203" s="41">
        <f>F203^2</f>
        <v/>
      </c>
      <c r="H203" s="40" t="n"/>
      <c r="I203" s="40" t="n"/>
    </row>
    <row r="204" ht="15" customHeight="1" s="28">
      <c r="A204" s="37" t="n">
        <v>191</v>
      </c>
      <c r="B204" s="55" t="n">
        <v>190</v>
      </c>
      <c r="C204" s="55">
        <f>B204^2</f>
        <v/>
      </c>
      <c r="D204" s="38" t="n">
        <v>4631.38</v>
      </c>
      <c r="E204" s="38">
        <f>4541.138727+0.225904*B204</f>
        <v/>
      </c>
      <c r="F204" s="39">
        <f>D204-E204</f>
        <v/>
      </c>
      <c r="G204" s="38">
        <f>F204^2</f>
        <v/>
      </c>
      <c r="H204" s="37" t="n"/>
      <c r="I204" s="37" t="n"/>
    </row>
    <row r="205" ht="15" customHeight="1" s="28">
      <c r="A205" s="40" t="n">
        <v>192</v>
      </c>
      <c r="B205" s="56" t="n">
        <v>191</v>
      </c>
      <c r="C205" s="56">
        <f>B205^2</f>
        <v/>
      </c>
      <c r="D205" s="41" t="n">
        <v>4631.75</v>
      </c>
      <c r="E205" s="41">
        <f>4541.138727+0.225904*B205</f>
        <v/>
      </c>
      <c r="F205" s="42">
        <f>D205-E205</f>
        <v/>
      </c>
      <c r="G205" s="41">
        <f>F205^2</f>
        <v/>
      </c>
      <c r="H205" s="40" t="n"/>
      <c r="I205" s="40" t="n"/>
    </row>
    <row r="206" ht="15" customHeight="1" s="28">
      <c r="A206" s="37" t="n">
        <v>193</v>
      </c>
      <c r="B206" s="55" t="n">
        <v>192</v>
      </c>
      <c r="C206" s="55">
        <f>B206^2</f>
        <v/>
      </c>
      <c r="D206" s="38" t="n">
        <v>4630.51</v>
      </c>
      <c r="E206" s="38">
        <f>4541.138727+0.225904*B206</f>
        <v/>
      </c>
      <c r="F206" s="39">
        <f>D206-E206</f>
        <v/>
      </c>
      <c r="G206" s="38">
        <f>F206^2</f>
        <v/>
      </c>
      <c r="H206" s="37" t="n"/>
      <c r="I206" s="37" t="n"/>
    </row>
    <row r="207" ht="15" customHeight="1" s="28">
      <c r="A207" s="40" t="n">
        <v>194</v>
      </c>
      <c r="B207" s="56" t="n">
        <v>193</v>
      </c>
      <c r="C207" s="56">
        <f>B207^2</f>
        <v/>
      </c>
      <c r="D207" s="41" t="n">
        <v>4630.26</v>
      </c>
      <c r="E207" s="41">
        <f>4541.138727+0.225904*B207</f>
        <v/>
      </c>
      <c r="F207" s="42">
        <f>D207-E207</f>
        <v/>
      </c>
      <c r="G207" s="41">
        <f>F207^2</f>
        <v/>
      </c>
      <c r="H207" s="40" t="n"/>
      <c r="I207" s="40" t="n"/>
    </row>
    <row r="208" ht="15" customHeight="1" s="28">
      <c r="A208" s="37" t="n">
        <v>195</v>
      </c>
      <c r="B208" s="55" t="n">
        <v>194</v>
      </c>
      <c r="C208" s="55">
        <f>B208^2</f>
        <v/>
      </c>
      <c r="D208" s="38" t="n">
        <v>4630.75</v>
      </c>
      <c r="E208" s="38">
        <f>4541.138727+0.225904*B208</f>
        <v/>
      </c>
      <c r="F208" s="39">
        <f>D208-E208</f>
        <v/>
      </c>
      <c r="G208" s="38">
        <f>F208^2</f>
        <v/>
      </c>
      <c r="H208" s="37" t="n"/>
      <c r="I208" s="37" t="n"/>
    </row>
    <row r="209" ht="15" customHeight="1" s="28">
      <c r="A209" s="40" t="n">
        <v>196</v>
      </c>
      <c r="B209" s="56" t="n">
        <v>195</v>
      </c>
      <c r="C209" s="56">
        <f>B209^2</f>
        <v/>
      </c>
      <c r="D209" s="41" t="n">
        <v>4631.31</v>
      </c>
      <c r="E209" s="41">
        <f>4541.138727+0.225904*B209</f>
        <v/>
      </c>
      <c r="F209" s="42">
        <f>D209-E209</f>
        <v/>
      </c>
      <c r="G209" s="41">
        <f>F209^2</f>
        <v/>
      </c>
      <c r="H209" s="40" t="n"/>
      <c r="I209" s="40" t="n"/>
    </row>
    <row r="210" ht="15" customHeight="1" s="28">
      <c r="A210" s="37" t="n">
        <v>197</v>
      </c>
      <c r="B210" s="55" t="n">
        <v>196</v>
      </c>
      <c r="C210" s="55">
        <f>B210^2</f>
        <v/>
      </c>
      <c r="D210" s="38" t="n">
        <v>4626.71</v>
      </c>
      <c r="E210" s="38">
        <f>4541.138727+0.225904*B210</f>
        <v/>
      </c>
      <c r="F210" s="39">
        <f>D210-E210</f>
        <v/>
      </c>
      <c r="G210" s="38">
        <f>F210^2</f>
        <v/>
      </c>
      <c r="H210" s="37" t="n"/>
      <c r="I210" s="37" t="n"/>
    </row>
    <row r="211" ht="15" customHeight="1" s="28">
      <c r="A211" s="40" t="n">
        <v>198</v>
      </c>
      <c r="B211" s="56" t="n">
        <v>197</v>
      </c>
      <c r="C211" s="56">
        <f>B211^2</f>
        <v/>
      </c>
      <c r="D211" s="41" t="n">
        <v>4622.55</v>
      </c>
      <c r="E211" s="41">
        <f>4541.138727+0.225904*B211</f>
        <v/>
      </c>
      <c r="F211" s="42">
        <f>D211-E211</f>
        <v/>
      </c>
      <c r="G211" s="41">
        <f>F211^2</f>
        <v/>
      </c>
      <c r="H211" s="40" t="n"/>
      <c r="I211" s="40" t="n"/>
    </row>
    <row r="212" ht="15" customHeight="1" s="28">
      <c r="A212" s="37" t="n">
        <v>199</v>
      </c>
      <c r="B212" s="55" t="n">
        <v>198</v>
      </c>
      <c r="C212" s="55">
        <f>B212^2</f>
        <v/>
      </c>
      <c r="D212" s="38" t="n">
        <v>4623.65</v>
      </c>
      <c r="E212" s="38">
        <f>4541.138727+0.225904*B212</f>
        <v/>
      </c>
      <c r="F212" s="39">
        <f>D212-E212</f>
        <v/>
      </c>
      <c r="G212" s="38">
        <f>F212^2</f>
        <v/>
      </c>
      <c r="H212" s="37" t="n"/>
      <c r="I212" s="37" t="n"/>
    </row>
    <row r="213" ht="15" customHeight="1" s="28">
      <c r="A213" s="40" t="n">
        <v>200</v>
      </c>
      <c r="B213" s="56" t="n">
        <v>199</v>
      </c>
      <c r="C213" s="56">
        <f>B213^2</f>
        <v/>
      </c>
      <c r="D213" s="41" t="n">
        <v>4620.9</v>
      </c>
      <c r="E213" s="41">
        <f>4541.138727+0.225904*B213</f>
        <v/>
      </c>
      <c r="F213" s="42">
        <f>D213-E213</f>
        <v/>
      </c>
      <c r="G213" s="41">
        <f>F213^2</f>
        <v/>
      </c>
      <c r="H213" s="40" t="n"/>
      <c r="I213" s="40" t="n"/>
    </row>
    <row r="214" ht="15" customHeight="1" s="28">
      <c r="A214" s="37" t="n">
        <v>201</v>
      </c>
      <c r="B214" s="55" t="n">
        <v>200</v>
      </c>
      <c r="C214" s="55">
        <f>B214^2</f>
        <v/>
      </c>
      <c r="D214" s="38" t="n">
        <v>4620.02</v>
      </c>
      <c r="E214" s="38">
        <f>4541.138727+0.225904*B214</f>
        <v/>
      </c>
      <c r="F214" s="39">
        <f>D214-E214</f>
        <v/>
      </c>
      <c r="G214" s="38">
        <f>F214^2</f>
        <v/>
      </c>
      <c r="H214" s="37" t="n"/>
      <c r="I214" s="37" t="n"/>
    </row>
    <row r="215" ht="15" customHeight="1" s="28">
      <c r="A215" s="40" t="n">
        <v>202</v>
      </c>
      <c r="B215" s="56" t="n">
        <v>201</v>
      </c>
      <c r="C215" s="56">
        <f>B215^2</f>
        <v/>
      </c>
      <c r="D215" s="41" t="n">
        <v>4618.7</v>
      </c>
      <c r="E215" s="41">
        <f>4541.138727+0.225904*B215</f>
        <v/>
      </c>
      <c r="F215" s="42">
        <f>D215-E215</f>
        <v/>
      </c>
      <c r="G215" s="41">
        <f>F215^2</f>
        <v/>
      </c>
      <c r="H215" s="40" t="n"/>
      <c r="I215" s="40" t="n"/>
    </row>
    <row r="216" ht="15" customHeight="1" s="28">
      <c r="A216" s="37" t="n">
        <v>203</v>
      </c>
      <c r="B216" s="55" t="n">
        <v>202</v>
      </c>
      <c r="C216" s="55">
        <f>B216^2</f>
        <v/>
      </c>
      <c r="D216" s="38" t="n">
        <v>4616.68</v>
      </c>
      <c r="E216" s="38">
        <f>4541.138727+0.225904*B216</f>
        <v/>
      </c>
      <c r="F216" s="39">
        <f>D216-E216</f>
        <v/>
      </c>
      <c r="G216" s="38">
        <f>F216^2</f>
        <v/>
      </c>
      <c r="H216" s="37" t="n"/>
      <c r="I216" s="37" t="n"/>
    </row>
    <row r="217" ht="15" customHeight="1" s="28">
      <c r="A217" s="40" t="n">
        <v>204</v>
      </c>
      <c r="B217" s="56" t="n">
        <v>203</v>
      </c>
      <c r="C217" s="56">
        <f>B217^2</f>
        <v/>
      </c>
      <c r="D217" s="41" t="n">
        <v>4620.2</v>
      </c>
      <c r="E217" s="41">
        <f>4541.138727+0.225904*B217</f>
        <v/>
      </c>
      <c r="F217" s="42">
        <f>D217-E217</f>
        <v/>
      </c>
      <c r="G217" s="41">
        <f>F217^2</f>
        <v/>
      </c>
      <c r="H217" s="40" t="n"/>
      <c r="I217" s="40" t="n"/>
    </row>
    <row r="218" ht="15" customHeight="1" s="28">
      <c r="A218" s="37" t="n">
        <v>205</v>
      </c>
      <c r="B218" s="55" t="n">
        <v>204</v>
      </c>
      <c r="C218" s="55">
        <f>B218^2</f>
        <v/>
      </c>
      <c r="D218" s="38" t="n">
        <v>4621.05</v>
      </c>
      <c r="E218" s="38">
        <f>4541.138727+0.225904*B218</f>
        <v/>
      </c>
      <c r="F218" s="39">
        <f>D218-E218</f>
        <v/>
      </c>
      <c r="G218" s="38">
        <f>F218^2</f>
        <v/>
      </c>
      <c r="H218" s="37" t="n"/>
      <c r="I218" s="37" t="n"/>
    </row>
    <row r="219" ht="15" customHeight="1" s="28">
      <c r="A219" s="40" t="n">
        <v>206</v>
      </c>
      <c r="B219" s="56" t="n">
        <v>205</v>
      </c>
      <c r="C219" s="56">
        <f>B219^2</f>
        <v/>
      </c>
      <c r="D219" s="41" t="n">
        <v>4630.89</v>
      </c>
      <c r="E219" s="41">
        <f>4541.138727+0.225904*B219</f>
        <v/>
      </c>
      <c r="F219" s="42">
        <f>D219-E219</f>
        <v/>
      </c>
      <c r="G219" s="41">
        <f>F219^2</f>
        <v/>
      </c>
      <c r="H219" s="40" t="n"/>
      <c r="I219" s="40" t="n"/>
    </row>
    <row r="220" ht="15" customHeight="1" s="28">
      <c r="A220" s="37" t="n">
        <v>207</v>
      </c>
      <c r="B220" s="55" t="n">
        <v>206</v>
      </c>
      <c r="C220" s="55">
        <f>B220^2</f>
        <v/>
      </c>
      <c r="D220" s="38" t="n">
        <v>4629.39</v>
      </c>
      <c r="E220" s="38">
        <f>4541.138727+0.225904*B220</f>
        <v/>
      </c>
      <c r="F220" s="39">
        <f>D220-E220</f>
        <v/>
      </c>
      <c r="G220" s="38">
        <f>F220^2</f>
        <v/>
      </c>
      <c r="H220" s="37" t="n"/>
      <c r="I220" s="37" t="n"/>
    </row>
    <row r="221" ht="15" customHeight="1" s="28">
      <c r="A221" s="40" t="n">
        <v>208</v>
      </c>
      <c r="B221" s="56" t="n">
        <v>207</v>
      </c>
      <c r="C221" s="56">
        <f>B221^2</f>
        <v/>
      </c>
      <c r="D221" s="41" t="n">
        <v>4624.38</v>
      </c>
      <c r="E221" s="41">
        <f>4541.138727+0.225904*B221</f>
        <v/>
      </c>
      <c r="F221" s="42">
        <f>D221-E221</f>
        <v/>
      </c>
      <c r="G221" s="41">
        <f>F221^2</f>
        <v/>
      </c>
      <c r="H221" s="40" t="n"/>
      <c r="I221" s="40" t="n"/>
    </row>
    <row r="222" ht="15" customHeight="1" s="28">
      <c r="A222" s="37" t="n">
        <v>209</v>
      </c>
      <c r="B222" s="55" t="n">
        <v>208</v>
      </c>
      <c r="C222" s="55">
        <f>B222^2</f>
        <v/>
      </c>
      <c r="D222" s="38" t="n">
        <v>4619.15</v>
      </c>
      <c r="E222" s="38">
        <f>4541.138727+0.225904*B222</f>
        <v/>
      </c>
      <c r="F222" s="39">
        <f>D222-E222</f>
        <v/>
      </c>
      <c r="G222" s="38">
        <f>F222^2</f>
        <v/>
      </c>
      <c r="H222" s="37" t="n"/>
      <c r="I222" s="37" t="n"/>
    </row>
    <row r="223" ht="15" customHeight="1" s="28">
      <c r="A223" s="40" t="n">
        <v>210</v>
      </c>
      <c r="B223" s="56" t="n">
        <v>209</v>
      </c>
      <c r="C223" s="56">
        <f>B223^2</f>
        <v/>
      </c>
      <c r="D223" s="41" t="n">
        <v>4620.85</v>
      </c>
      <c r="E223" s="41">
        <f>4541.138727+0.225904*B223</f>
        <v/>
      </c>
      <c r="F223" s="42">
        <f>D223-E223</f>
        <v/>
      </c>
      <c r="G223" s="41">
        <f>F223^2</f>
        <v/>
      </c>
      <c r="H223" s="40" t="n"/>
      <c r="I223" s="40" t="n"/>
    </row>
    <row r="224" ht="15" customHeight="1" s="28">
      <c r="A224" s="37" t="n">
        <v>211</v>
      </c>
      <c r="B224" s="55" t="n">
        <v>210</v>
      </c>
      <c r="C224" s="55">
        <f>B224^2</f>
        <v/>
      </c>
      <c r="D224" s="38" t="n">
        <v>4626.13</v>
      </c>
      <c r="E224" s="38">
        <f>4541.138727+0.225904*B224</f>
        <v/>
      </c>
      <c r="F224" s="39">
        <f>D224-E224</f>
        <v/>
      </c>
      <c r="G224" s="38">
        <f>F224^2</f>
        <v/>
      </c>
      <c r="H224" s="37" t="n"/>
      <c r="I224" s="37" t="n"/>
    </row>
    <row r="225" ht="15" customHeight="1" s="28">
      <c r="A225" s="40" t="n">
        <v>212</v>
      </c>
      <c r="B225" s="56" t="n">
        <v>211</v>
      </c>
      <c r="C225" s="56">
        <f>B225^2</f>
        <v/>
      </c>
      <c r="D225" s="41" t="n">
        <v>4626.21</v>
      </c>
      <c r="E225" s="41">
        <f>4541.138727+0.225904*B225</f>
        <v/>
      </c>
      <c r="F225" s="42">
        <f>D225-E225</f>
        <v/>
      </c>
      <c r="G225" s="41">
        <f>F225^2</f>
        <v/>
      </c>
      <c r="H225" s="40" t="n"/>
      <c r="I225" s="40" t="n"/>
    </row>
    <row r="226" ht="15" customHeight="1" s="28">
      <c r="A226" s="37" t="n">
        <v>213</v>
      </c>
      <c r="B226" s="55" t="n">
        <v>212</v>
      </c>
      <c r="C226" s="55">
        <f>B226^2</f>
        <v/>
      </c>
      <c r="D226" s="38" t="n">
        <v>4626.67</v>
      </c>
      <c r="E226" s="38">
        <f>4541.138727+0.225904*B226</f>
        <v/>
      </c>
      <c r="F226" s="39">
        <f>D226-E226</f>
        <v/>
      </c>
      <c r="G226" s="38">
        <f>F226^2</f>
        <v/>
      </c>
      <c r="H226" s="37" t="n"/>
      <c r="I226" s="37" t="n"/>
    </row>
    <row r="227" ht="15" customHeight="1" s="28">
      <c r="A227" s="40" t="n">
        <v>214</v>
      </c>
      <c r="B227" s="56" t="n">
        <v>213</v>
      </c>
      <c r="C227" s="56">
        <f>B227^2</f>
        <v/>
      </c>
      <c r="D227" s="41" t="n">
        <v>4621.93</v>
      </c>
      <c r="E227" s="41">
        <f>4541.138727+0.225904*B227</f>
        <v/>
      </c>
      <c r="F227" s="42">
        <f>D227-E227</f>
        <v/>
      </c>
      <c r="G227" s="41">
        <f>F227^2</f>
        <v/>
      </c>
      <c r="H227" s="40" t="n"/>
      <c r="I227" s="40" t="n"/>
    </row>
    <row r="228" ht="15" customHeight="1" s="28">
      <c r="A228" s="37" t="n">
        <v>215</v>
      </c>
      <c r="B228" s="55" t="n">
        <v>214</v>
      </c>
      <c r="C228" s="55">
        <f>B228^2</f>
        <v/>
      </c>
      <c r="D228" s="38" t="n">
        <v>4617.53</v>
      </c>
      <c r="E228" s="38">
        <f>4541.138727+0.225904*B228</f>
        <v/>
      </c>
      <c r="F228" s="39">
        <f>D228-E228</f>
        <v/>
      </c>
      <c r="G228" s="38">
        <f>F228^2</f>
        <v/>
      </c>
      <c r="H228" s="37" t="n"/>
      <c r="I228" s="37" t="n"/>
    </row>
    <row r="229" ht="15" customHeight="1" s="28">
      <c r="A229" s="40" t="n">
        <v>216</v>
      </c>
      <c r="B229" s="56" t="n">
        <v>215</v>
      </c>
      <c r="C229" s="56">
        <f>B229^2</f>
        <v/>
      </c>
      <c r="D229" s="41" t="n">
        <v>4613.51</v>
      </c>
      <c r="E229" s="41">
        <f>4541.138727+0.225904*B229</f>
        <v/>
      </c>
      <c r="F229" s="42">
        <f>D229-E229</f>
        <v/>
      </c>
      <c r="G229" s="41">
        <f>F229^2</f>
        <v/>
      </c>
      <c r="H229" s="40" t="n"/>
      <c r="I229" s="40" t="n"/>
    </row>
    <row r="230" ht="15" customHeight="1" s="28">
      <c r="A230" s="37" t="n">
        <v>217</v>
      </c>
      <c r="B230" s="55" t="n">
        <v>216</v>
      </c>
      <c r="C230" s="55">
        <f>B230^2</f>
        <v/>
      </c>
      <c r="D230" s="38" t="n">
        <v>4609.18</v>
      </c>
      <c r="E230" s="38">
        <f>4541.138727+0.225904*B230</f>
        <v/>
      </c>
      <c r="F230" s="39">
        <f>D230-E230</f>
        <v/>
      </c>
      <c r="G230" s="38">
        <f>F230^2</f>
        <v/>
      </c>
      <c r="H230" s="37" t="n"/>
      <c r="I230" s="37" t="n"/>
    </row>
    <row r="231" ht="15" customHeight="1" s="28">
      <c r="A231" s="40" t="n">
        <v>218</v>
      </c>
      <c r="B231" s="56" t="n">
        <v>217</v>
      </c>
      <c r="C231" s="56">
        <f>B231^2</f>
        <v/>
      </c>
      <c r="D231" s="41" t="n">
        <v>4614.29</v>
      </c>
      <c r="E231" s="41">
        <f>4541.138727+0.225904*B231</f>
        <v/>
      </c>
      <c r="F231" s="42">
        <f>D231-E231</f>
        <v/>
      </c>
      <c r="G231" s="41">
        <f>F231^2</f>
        <v/>
      </c>
      <c r="H231" s="40" t="n"/>
      <c r="I231" s="40" t="n"/>
    </row>
    <row r="232" ht="15" customHeight="1" s="28">
      <c r="A232" s="37" t="n">
        <v>219</v>
      </c>
      <c r="B232" s="55" t="n">
        <v>218</v>
      </c>
      <c r="C232" s="55">
        <f>B232^2</f>
        <v/>
      </c>
      <c r="D232" s="38" t="n">
        <v>4614.64</v>
      </c>
      <c r="E232" s="38">
        <f>4541.138727+0.225904*B232</f>
        <v/>
      </c>
      <c r="F232" s="39">
        <f>D232-E232</f>
        <v/>
      </c>
      <c r="G232" s="38">
        <f>F232^2</f>
        <v/>
      </c>
      <c r="H232" s="37" t="n"/>
      <c r="I232" s="37" t="n"/>
    </row>
    <row r="233" ht="15" customHeight="1" s="28">
      <c r="A233" s="40" t="n">
        <v>220</v>
      </c>
      <c r="B233" s="56" t="n">
        <v>219</v>
      </c>
      <c r="C233" s="56">
        <f>B233^2</f>
        <v/>
      </c>
      <c r="D233" s="41" t="n">
        <v>4610</v>
      </c>
      <c r="E233" s="41">
        <f>4541.138727+0.225904*B233</f>
        <v/>
      </c>
      <c r="F233" s="42">
        <f>D233-E233</f>
        <v/>
      </c>
      <c r="G233" s="41">
        <f>F233^2</f>
        <v/>
      </c>
      <c r="H233" s="40" t="n"/>
      <c r="I233" s="40" t="n"/>
    </row>
    <row r="234" ht="15" customHeight="1" s="28">
      <c r="A234" s="37" t="n">
        <v>221</v>
      </c>
      <c r="B234" s="55" t="n">
        <v>220</v>
      </c>
      <c r="C234" s="55">
        <f>B234^2</f>
        <v/>
      </c>
      <c r="D234" s="38" t="n">
        <v>4605.03</v>
      </c>
      <c r="E234" s="38">
        <f>4541.138727+0.225904*B234</f>
        <v/>
      </c>
      <c r="F234" s="39">
        <f>D234-E234</f>
        <v/>
      </c>
      <c r="G234" s="38">
        <f>F234^2</f>
        <v/>
      </c>
      <c r="H234" s="37" t="n"/>
      <c r="I234" s="37" t="n"/>
    </row>
    <row r="235" ht="15" customHeight="1" s="28">
      <c r="A235" s="40" t="n">
        <v>222</v>
      </c>
      <c r="B235" s="56" t="n">
        <v>221</v>
      </c>
      <c r="C235" s="56">
        <f>B235^2</f>
        <v/>
      </c>
      <c r="D235" s="41" t="n">
        <v>4601.49</v>
      </c>
      <c r="E235" s="41">
        <f>4541.138727+0.225904*B235</f>
        <v/>
      </c>
      <c r="F235" s="42">
        <f>D235-E235</f>
        <v/>
      </c>
      <c r="G235" s="41">
        <f>F235^2</f>
        <v/>
      </c>
      <c r="H235" s="40" t="n"/>
      <c r="I235" s="40" t="n"/>
    </row>
    <row r="236" ht="15" customHeight="1" s="28">
      <c r="A236" s="37" t="n">
        <v>223</v>
      </c>
      <c r="B236" s="55" t="n">
        <v>222</v>
      </c>
      <c r="C236" s="55">
        <f>B236^2</f>
        <v/>
      </c>
      <c r="D236" s="38" t="n">
        <v>4593.44</v>
      </c>
      <c r="E236" s="38">
        <f>4541.138727+0.225904*B236</f>
        <v/>
      </c>
      <c r="F236" s="39">
        <f>D236-E236</f>
        <v/>
      </c>
      <c r="G236" s="38">
        <f>F236^2</f>
        <v/>
      </c>
      <c r="H236" s="37" t="n"/>
      <c r="I236" s="37" t="n"/>
    </row>
    <row r="237" ht="15" customHeight="1" s="28">
      <c r="A237" s="40" t="n">
        <v>224</v>
      </c>
      <c r="B237" s="56" t="n">
        <v>223</v>
      </c>
      <c r="C237" s="56">
        <f>B237^2</f>
        <v/>
      </c>
      <c r="D237" s="41" t="n">
        <v>4593.36</v>
      </c>
      <c r="E237" s="41">
        <f>4541.138727+0.225904*B237</f>
        <v/>
      </c>
      <c r="F237" s="42">
        <f>D237-E237</f>
        <v/>
      </c>
      <c r="G237" s="41">
        <f>F237^2</f>
        <v/>
      </c>
      <c r="H237" s="40" t="n"/>
      <c r="I237" s="40" t="n"/>
    </row>
    <row r="238" ht="15" customHeight="1" s="28">
      <c r="A238" s="37" t="n">
        <v>225</v>
      </c>
      <c r="B238" s="55" t="n">
        <v>224</v>
      </c>
      <c r="C238" s="55">
        <f>B238^2</f>
        <v/>
      </c>
      <c r="D238" s="38" t="n">
        <v>4594.77</v>
      </c>
      <c r="E238" s="38">
        <f>4541.138727+0.225904*B238</f>
        <v/>
      </c>
      <c r="F238" s="39">
        <f>D238-E238</f>
        <v/>
      </c>
      <c r="G238" s="38">
        <f>F238^2</f>
        <v/>
      </c>
      <c r="H238" s="37" t="n"/>
      <c r="I238" s="37" t="n"/>
    </row>
    <row r="239" ht="15" customHeight="1" s="28">
      <c r="A239" s="40" t="n">
        <v>226</v>
      </c>
      <c r="B239" s="56" t="n">
        <v>225</v>
      </c>
      <c r="C239" s="56">
        <f>B239^2</f>
        <v/>
      </c>
      <c r="D239" s="41" t="n">
        <v>4595.97</v>
      </c>
      <c r="E239" s="41">
        <f>4541.138727+0.225904*B239</f>
        <v/>
      </c>
      <c r="F239" s="42">
        <f>D239-E239</f>
        <v/>
      </c>
      <c r="G239" s="41">
        <f>F239^2</f>
        <v/>
      </c>
      <c r="H239" s="40" t="n"/>
      <c r="I239" s="40" t="n"/>
    </row>
    <row r="240" ht="15" customHeight="1" s="28">
      <c r="A240" s="37" t="n">
        <v>227</v>
      </c>
      <c r="B240" s="55" t="n">
        <v>226</v>
      </c>
      <c r="C240" s="55">
        <f>B240^2</f>
        <v/>
      </c>
      <c r="D240" s="38" t="n">
        <v>4592.32</v>
      </c>
      <c r="E240" s="38">
        <f>4541.138727+0.225904*B240</f>
        <v/>
      </c>
      <c r="F240" s="39">
        <f>D240-E240</f>
        <v/>
      </c>
      <c r="G240" s="38">
        <f>F240^2</f>
        <v/>
      </c>
      <c r="H240" s="37" t="n"/>
      <c r="I240" s="37" t="n"/>
    </row>
    <row r="241" ht="15" customHeight="1" s="28">
      <c r="A241" s="40" t="n">
        <v>228</v>
      </c>
      <c r="B241" s="56" t="n">
        <v>227</v>
      </c>
      <c r="C241" s="56">
        <f>B241^2</f>
        <v/>
      </c>
      <c r="D241" s="41" t="n">
        <v>4585.41</v>
      </c>
      <c r="E241" s="41">
        <f>4541.138727+0.225904*B241</f>
        <v/>
      </c>
      <c r="F241" s="42">
        <f>D241-E241</f>
        <v/>
      </c>
      <c r="G241" s="41">
        <f>F241^2</f>
        <v/>
      </c>
      <c r="H241" s="40" t="n"/>
      <c r="I241" s="40" t="n"/>
    </row>
    <row r="242" ht="15" customHeight="1" s="28">
      <c r="A242" s="37" t="n">
        <v>229</v>
      </c>
      <c r="B242" s="55" t="n">
        <v>228</v>
      </c>
      <c r="C242" s="55">
        <f>B242^2</f>
        <v/>
      </c>
      <c r="D242" s="38" t="n">
        <v>4578.16</v>
      </c>
      <c r="E242" s="38">
        <f>4541.138727+0.225904*B242</f>
        <v/>
      </c>
      <c r="F242" s="39">
        <f>D242-E242</f>
        <v/>
      </c>
      <c r="G242" s="38">
        <f>F242^2</f>
        <v/>
      </c>
      <c r="H242" s="37" t="n"/>
      <c r="I242" s="37" t="n"/>
    </row>
    <row r="243" ht="15" customHeight="1" s="28">
      <c r="A243" s="40" t="n">
        <v>230</v>
      </c>
      <c r="B243" s="56" t="n">
        <v>229</v>
      </c>
      <c r="C243" s="56">
        <f>B243^2</f>
        <v/>
      </c>
      <c r="D243" s="41" t="n">
        <v>4574.06</v>
      </c>
      <c r="E243" s="41">
        <f>4541.138727+0.225904*B243</f>
        <v/>
      </c>
      <c r="F243" s="42">
        <f>D243-E243</f>
        <v/>
      </c>
      <c r="G243" s="41">
        <f>F243^2</f>
        <v/>
      </c>
      <c r="H243" s="40" t="n"/>
      <c r="I243" s="40" t="n"/>
    </row>
    <row r="244" ht="15" customHeight="1" s="28">
      <c r="A244" s="37" t="n">
        <v>231</v>
      </c>
      <c r="B244" s="55" t="n">
        <v>230</v>
      </c>
      <c r="C244" s="55">
        <f>B244^2</f>
        <v/>
      </c>
      <c r="D244" s="38" t="n">
        <v>4567.37</v>
      </c>
      <c r="E244" s="38">
        <f>4541.138727+0.225904*B244</f>
        <v/>
      </c>
      <c r="F244" s="39">
        <f>D244-E244</f>
        <v/>
      </c>
      <c r="G244" s="38">
        <f>F244^2</f>
        <v/>
      </c>
      <c r="H244" s="37" t="n"/>
      <c r="I244" s="37" t="n"/>
    </row>
    <row r="245" ht="15" customHeight="1" s="28">
      <c r="A245" s="40" t="n">
        <v>232</v>
      </c>
      <c r="B245" s="56" t="n">
        <v>231</v>
      </c>
      <c r="C245" s="56">
        <f>B245^2</f>
        <v/>
      </c>
      <c r="D245" s="41" t="n">
        <v>4571.29</v>
      </c>
      <c r="E245" s="41">
        <f>4541.138727+0.225904*B245</f>
        <v/>
      </c>
      <c r="F245" s="42">
        <f>D245-E245</f>
        <v/>
      </c>
      <c r="G245" s="41">
        <f>F245^2</f>
        <v/>
      </c>
      <c r="H245" s="40" t="n"/>
      <c r="I245" s="40" t="n"/>
    </row>
    <row r="246" ht="15" customHeight="1" s="28">
      <c r="A246" s="37" t="n">
        <v>233</v>
      </c>
      <c r="B246" s="55" t="n">
        <v>232</v>
      </c>
      <c r="C246" s="55">
        <f>B246^2</f>
        <v/>
      </c>
      <c r="D246" s="38" t="n">
        <v>4568.51</v>
      </c>
      <c r="E246" s="38">
        <f>4541.138727+0.225904*B246</f>
        <v/>
      </c>
      <c r="F246" s="39">
        <f>D246-E246</f>
        <v/>
      </c>
      <c r="G246" s="38">
        <f>F246^2</f>
        <v/>
      </c>
      <c r="H246" s="37" t="n"/>
      <c r="I246" s="37" t="n"/>
    </row>
    <row r="247" ht="15" customHeight="1" s="28">
      <c r="A247" s="40" t="n">
        <v>234</v>
      </c>
      <c r="B247" s="56" t="n">
        <v>233</v>
      </c>
      <c r="C247" s="56">
        <f>B247^2</f>
        <v/>
      </c>
      <c r="D247" s="41" t="n">
        <v>4565.87</v>
      </c>
      <c r="E247" s="41">
        <f>4541.138727+0.225904*B247</f>
        <v/>
      </c>
      <c r="F247" s="42">
        <f>D247-E247</f>
        <v/>
      </c>
      <c r="G247" s="41">
        <f>F247^2</f>
        <v/>
      </c>
      <c r="H247" s="40" t="n"/>
      <c r="I247" s="40" t="n"/>
    </row>
    <row r="248" ht="15" customHeight="1" s="28">
      <c r="A248" s="37" t="n">
        <v>235</v>
      </c>
      <c r="B248" s="55" t="n">
        <v>234</v>
      </c>
      <c r="C248" s="55">
        <f>B248^2</f>
        <v/>
      </c>
      <c r="D248" s="38" t="n">
        <v>4569.29</v>
      </c>
      <c r="E248" s="38">
        <f>4541.138727+0.225904*B248</f>
        <v/>
      </c>
      <c r="F248" s="39">
        <f>D248-E248</f>
        <v/>
      </c>
      <c r="G248" s="38">
        <f>F248^2</f>
        <v/>
      </c>
      <c r="H248" s="37" t="n"/>
      <c r="I248" s="37" t="n"/>
    </row>
    <row r="249" ht="15" customHeight="1" s="28">
      <c r="A249" s="40" t="n">
        <v>236</v>
      </c>
      <c r="B249" s="56" t="n">
        <v>235</v>
      </c>
      <c r="C249" s="56">
        <f>B249^2</f>
        <v/>
      </c>
      <c r="D249" s="41" t="n">
        <v>4570.62</v>
      </c>
      <c r="E249" s="41">
        <f>4541.138727+0.225904*B249</f>
        <v/>
      </c>
      <c r="F249" s="42">
        <f>D249-E249</f>
        <v/>
      </c>
      <c r="G249" s="41">
        <f>F249^2</f>
        <v/>
      </c>
      <c r="H249" s="40" t="n"/>
      <c r="I249" s="40" t="n"/>
    </row>
    <row r="250" ht="15" customHeight="1" s="28">
      <c r="A250" s="37" t="n">
        <v>237</v>
      </c>
      <c r="B250" s="55" t="n">
        <v>236</v>
      </c>
      <c r="C250" s="55">
        <f>B250^2</f>
        <v/>
      </c>
      <c r="D250" s="38" t="n">
        <v>4563.12</v>
      </c>
      <c r="E250" s="38">
        <f>4541.138727+0.225904*B250</f>
        <v/>
      </c>
      <c r="F250" s="39">
        <f>D250-E250</f>
        <v/>
      </c>
      <c r="G250" s="38">
        <f>F250^2</f>
        <v/>
      </c>
      <c r="H250" s="37" t="n"/>
      <c r="I250" s="37" t="n"/>
    </row>
    <row r="251" ht="15" customHeight="1" s="28">
      <c r="A251" s="40" t="n">
        <v>238</v>
      </c>
      <c r="B251" s="56" t="n">
        <v>237</v>
      </c>
      <c r="C251" s="56">
        <f>B251^2</f>
        <v/>
      </c>
      <c r="D251" s="41" t="n">
        <v>4566.78</v>
      </c>
      <c r="E251" s="41">
        <f>4541.138727+0.225904*B251</f>
        <v/>
      </c>
      <c r="F251" s="42">
        <f>D251-E251</f>
        <v/>
      </c>
      <c r="G251" s="41">
        <f>F251^2</f>
        <v/>
      </c>
      <c r="H251" s="40" t="n"/>
      <c r="I251" s="40" t="n"/>
    </row>
    <row r="252" ht="15" customHeight="1" s="28">
      <c r="A252" s="37" t="n">
        <v>239</v>
      </c>
      <c r="B252" s="55" t="n">
        <v>238</v>
      </c>
      <c r="C252" s="55">
        <f>B252^2</f>
        <v/>
      </c>
      <c r="D252" s="38" t="n">
        <v>4572.18</v>
      </c>
      <c r="E252" s="38">
        <f>4541.138727+0.225904*B252</f>
        <v/>
      </c>
      <c r="F252" s="39">
        <f>D252-E252</f>
        <v/>
      </c>
      <c r="G252" s="38">
        <f>F252^2</f>
        <v/>
      </c>
      <c r="H252" s="37" t="n"/>
      <c r="I252" s="37" t="n"/>
    </row>
    <row r="253" ht="15" customHeight="1" s="28">
      <c r="A253" s="40" t="n">
        <v>240</v>
      </c>
      <c r="B253" s="56" t="n">
        <v>239</v>
      </c>
      <c r="C253" s="56">
        <f>B253^2</f>
        <v/>
      </c>
      <c r="D253" s="41" t="n">
        <v>4570.49</v>
      </c>
      <c r="E253" s="41">
        <f>4541.138727+0.225904*B253</f>
        <v/>
      </c>
      <c r="F253" s="42">
        <f>D253-E253</f>
        <v/>
      </c>
      <c r="G253" s="41">
        <f>F253^2</f>
        <v/>
      </c>
      <c r="H253" s="40" t="n"/>
      <c r="I253" s="40" t="n"/>
    </row>
    <row r="254" ht="15" customHeight="1" s="28">
      <c r="A254" s="37" t="n">
        <v>241</v>
      </c>
      <c r="B254" s="55" t="n">
        <v>240</v>
      </c>
      <c r="C254" s="55">
        <f>B254^2</f>
        <v/>
      </c>
      <c r="D254" s="38" t="n">
        <v>4566.67</v>
      </c>
      <c r="E254" s="38">
        <f>4541.138727+0.225904*B254</f>
        <v/>
      </c>
      <c r="F254" s="39">
        <f>D254-E254</f>
        <v/>
      </c>
      <c r="G254" s="38">
        <f>F254^2</f>
        <v/>
      </c>
      <c r="H254" s="37" t="n"/>
      <c r="I254" s="37" t="n"/>
    </row>
    <row r="255" ht="15" customHeight="1" s="28">
      <c r="A255" s="40" t="n">
        <v>242</v>
      </c>
      <c r="B255" s="56" t="n">
        <v>241</v>
      </c>
      <c r="C255" s="56">
        <f>B255^2</f>
        <v/>
      </c>
      <c r="D255" s="41" t="n">
        <v>4565.94</v>
      </c>
      <c r="E255" s="41">
        <f>4541.138727+0.225904*B255</f>
        <v/>
      </c>
      <c r="F255" s="42">
        <f>D255-E255</f>
        <v/>
      </c>
      <c r="G255" s="41">
        <f>F255^2</f>
        <v/>
      </c>
      <c r="H255" s="40" t="n"/>
      <c r="I255" s="40" t="n"/>
    </row>
    <row r="256" ht="15" customHeight="1" s="28">
      <c r="A256" s="37" t="n">
        <v>243</v>
      </c>
      <c r="B256" s="55" t="n">
        <v>242</v>
      </c>
      <c r="C256" s="55">
        <f>B256^2</f>
        <v/>
      </c>
      <c r="D256" s="38" t="n">
        <v>4572.03</v>
      </c>
      <c r="E256" s="38">
        <f>4541.138727+0.225904*B256</f>
        <v/>
      </c>
      <c r="F256" s="39">
        <f>D256-E256</f>
        <v/>
      </c>
      <c r="G256" s="38">
        <f>F256^2</f>
        <v/>
      </c>
      <c r="H256" s="37" t="n"/>
      <c r="I256" s="37" t="n"/>
    </row>
    <row r="257" ht="15" customHeight="1" s="28">
      <c r="A257" s="40" t="n">
        <v>244</v>
      </c>
      <c r="B257" s="56" t="n">
        <v>243</v>
      </c>
      <c r="C257" s="56">
        <f>B257^2</f>
        <v/>
      </c>
      <c r="D257" s="41" t="n">
        <v>4575.75</v>
      </c>
      <c r="E257" s="41">
        <f>4541.138727+0.225904*B257</f>
        <v/>
      </c>
      <c r="F257" s="42">
        <f>D257-E257</f>
        <v/>
      </c>
      <c r="G257" s="41">
        <f>F257^2</f>
        <v/>
      </c>
      <c r="H257" s="40" t="n"/>
      <c r="I257" s="40" t="n"/>
    </row>
    <row r="258" ht="15" customHeight="1" s="28">
      <c r="A258" s="37" t="n">
        <v>245</v>
      </c>
      <c r="B258" s="55" t="n">
        <v>244</v>
      </c>
      <c r="C258" s="55">
        <f>B258^2</f>
        <v/>
      </c>
      <c r="D258" s="38" t="n">
        <v>4578.84</v>
      </c>
      <c r="E258" s="38">
        <f>4541.138727+0.225904*B258</f>
        <v/>
      </c>
      <c r="F258" s="39">
        <f>D258-E258</f>
        <v/>
      </c>
      <c r="G258" s="38">
        <f>F258^2</f>
        <v/>
      </c>
      <c r="H258" s="37" t="n"/>
      <c r="I258" s="37" t="n"/>
    </row>
    <row r="259" ht="15" customHeight="1" s="28">
      <c r="A259" s="40" t="n">
        <v>246</v>
      </c>
      <c r="B259" s="56" t="n">
        <v>245</v>
      </c>
      <c r="C259" s="56">
        <f>B259^2</f>
        <v/>
      </c>
      <c r="D259" s="41" t="n">
        <v>4584.86</v>
      </c>
      <c r="E259" s="41">
        <f>4541.138727+0.225904*B259</f>
        <v/>
      </c>
      <c r="F259" s="42">
        <f>D259-E259</f>
        <v/>
      </c>
      <c r="G259" s="41">
        <f>F259^2</f>
        <v/>
      </c>
      <c r="H259" s="40" t="n"/>
      <c r="I259" s="40" t="n"/>
    </row>
    <row r="260" ht="15" customHeight="1" s="28">
      <c r="A260" s="37" t="n">
        <v>247</v>
      </c>
      <c r="B260" s="55" t="n">
        <v>246</v>
      </c>
      <c r="C260" s="55">
        <f>B260^2</f>
        <v/>
      </c>
      <c r="D260" s="38" t="n">
        <v>4602.95</v>
      </c>
      <c r="E260" s="38">
        <f>4541.138727+0.225904*B260</f>
        <v/>
      </c>
      <c r="F260" s="39">
        <f>D260-E260</f>
        <v/>
      </c>
      <c r="G260" s="38">
        <f>F260^2</f>
        <v/>
      </c>
      <c r="H260" s="37" t="n"/>
      <c r="I260" s="37" t="n"/>
    </row>
    <row r="261" ht="15" customHeight="1" s="28">
      <c r="A261" s="40" t="n">
        <v>248</v>
      </c>
      <c r="B261" s="56" t="n">
        <v>247</v>
      </c>
      <c r="C261" s="56">
        <f>B261^2</f>
        <v/>
      </c>
      <c r="D261" s="41" t="n">
        <v>4591.95</v>
      </c>
      <c r="E261" s="41">
        <f>4541.138727+0.225904*B261</f>
        <v/>
      </c>
      <c r="F261" s="42">
        <f>D261-E261</f>
        <v/>
      </c>
      <c r="G261" s="41">
        <f>F261^2</f>
        <v/>
      </c>
      <c r="H261" s="40" t="n"/>
      <c r="I261" s="40" t="n"/>
    </row>
    <row r="262" ht="15" customHeight="1" s="28">
      <c r="A262" s="37" t="n">
        <v>249</v>
      </c>
      <c r="B262" s="55" t="n">
        <v>248</v>
      </c>
      <c r="C262" s="55">
        <f>B262^2</f>
        <v/>
      </c>
      <c r="D262" s="38" t="n">
        <v>4591.18</v>
      </c>
      <c r="E262" s="38">
        <f>4541.138727+0.225904*B262</f>
        <v/>
      </c>
      <c r="F262" s="39">
        <f>D262-E262</f>
        <v/>
      </c>
      <c r="G262" s="38">
        <f>F262^2</f>
        <v/>
      </c>
      <c r="H262" s="37" t="n"/>
      <c r="I262" s="37" t="n"/>
    </row>
    <row r="263" ht="15" customHeight="1" s="28">
      <c r="A263" s="40" t="n">
        <v>250</v>
      </c>
      <c r="B263" s="56" t="n">
        <v>249</v>
      </c>
      <c r="C263" s="56">
        <f>B263^2</f>
        <v/>
      </c>
      <c r="D263" s="41" t="n">
        <v>4591.32</v>
      </c>
      <c r="E263" s="41">
        <f>4541.138727+0.225904*B263</f>
        <v/>
      </c>
      <c r="F263" s="42">
        <f>D263-E263</f>
        <v/>
      </c>
      <c r="G263" s="41">
        <f>F263^2</f>
        <v/>
      </c>
      <c r="H263" s="40" t="n"/>
      <c r="I263" s="40" t="n"/>
    </row>
    <row r="264" ht="15" customHeight="1" s="28">
      <c r="A264" s="37" t="n">
        <v>251</v>
      </c>
      <c r="B264" s="55" t="n">
        <v>250</v>
      </c>
      <c r="C264" s="55">
        <f>B264^2</f>
        <v/>
      </c>
      <c r="D264" s="38" t="n">
        <v>4589.2</v>
      </c>
      <c r="E264" s="38">
        <f>4541.138727+0.225904*B264</f>
        <v/>
      </c>
      <c r="F264" s="39">
        <f>D264-E264</f>
        <v/>
      </c>
      <c r="G264" s="38">
        <f>F264^2</f>
        <v/>
      </c>
      <c r="H264" s="37" t="n"/>
      <c r="I264" s="37" t="n"/>
    </row>
    <row r="265" ht="15" customHeight="1" s="28">
      <c r="A265" s="40" t="n">
        <v>252</v>
      </c>
      <c r="B265" s="56" t="n">
        <v>251</v>
      </c>
      <c r="C265" s="56">
        <f>B265^2</f>
        <v/>
      </c>
      <c r="D265" s="41" t="n">
        <v>4608.07</v>
      </c>
      <c r="E265" s="41">
        <f>4541.138727+0.225904*B265</f>
        <v/>
      </c>
      <c r="F265" s="42">
        <f>D265-E265</f>
        <v/>
      </c>
      <c r="G265" s="41">
        <f>F265^2</f>
        <v/>
      </c>
      <c r="H265" s="40" t="n"/>
      <c r="I265" s="40" t="n"/>
    </row>
    <row r="266" ht="15" customHeight="1" s="28">
      <c r="A266" s="37" t="n">
        <v>253</v>
      </c>
      <c r="B266" s="55" t="n">
        <v>252</v>
      </c>
      <c r="C266" s="55">
        <f>B266^2</f>
        <v/>
      </c>
      <c r="D266" s="38" t="n">
        <v>4625.7</v>
      </c>
      <c r="E266" s="38">
        <f>4541.138727+0.225904*B266</f>
        <v/>
      </c>
      <c r="F266" s="39">
        <f>D266-E266</f>
        <v/>
      </c>
      <c r="G266" s="38">
        <f>F266^2</f>
        <v/>
      </c>
      <c r="H266" s="37" t="n"/>
      <c r="I266" s="37" t="n"/>
    </row>
    <row r="267" ht="15" customHeight="1" s="28">
      <c r="A267" s="40" t="n">
        <v>254</v>
      </c>
      <c r="B267" s="56" t="n">
        <v>253</v>
      </c>
      <c r="C267" s="56">
        <f>B267^2</f>
        <v/>
      </c>
      <c r="D267" s="41" t="n">
        <v>4656.06</v>
      </c>
      <c r="E267" s="41">
        <f>4541.138727+0.225904*B267</f>
        <v/>
      </c>
      <c r="F267" s="42">
        <f>D267-E267</f>
        <v/>
      </c>
      <c r="G267" s="41">
        <f>F267^2</f>
        <v/>
      </c>
      <c r="H267" s="40" t="n"/>
      <c r="I267" s="40" t="n"/>
    </row>
    <row r="268" ht="15" customHeight="1" s="28">
      <c r="A268" s="37" t="n">
        <v>255</v>
      </c>
      <c r="B268" s="55" t="n">
        <v>254</v>
      </c>
      <c r="C268" s="55">
        <f>B268^2</f>
        <v/>
      </c>
      <c r="D268" s="38" t="n">
        <v>4644.67</v>
      </c>
      <c r="E268" s="38">
        <f>4541.138727+0.225904*B268</f>
        <v/>
      </c>
      <c r="F268" s="39">
        <f>D268-E268</f>
        <v/>
      </c>
      <c r="G268" s="38">
        <f>F268^2</f>
        <v/>
      </c>
      <c r="H268" s="37" t="n"/>
      <c r="I268" s="37" t="n"/>
    </row>
    <row r="269" ht="15" customHeight="1" s="28">
      <c r="A269" s="40" t="n">
        <v>256</v>
      </c>
      <c r="B269" s="56" t="n">
        <v>255</v>
      </c>
      <c r="C269" s="56">
        <f>B269^2</f>
        <v/>
      </c>
      <c r="D269" s="41" t="n">
        <v>4633.23</v>
      </c>
      <c r="E269" s="41">
        <f>4541.138727+0.225904*B269</f>
        <v/>
      </c>
      <c r="F269" s="42">
        <f>D269-E269</f>
        <v/>
      </c>
      <c r="G269" s="41">
        <f>F269^2</f>
        <v/>
      </c>
      <c r="H269" s="40" t="n"/>
      <c r="I269" s="40" t="n"/>
    </row>
    <row r="270" ht="15" customHeight="1" s="28">
      <c r="A270" s="37" t="n">
        <v>257</v>
      </c>
      <c r="B270" s="55" t="n">
        <v>256</v>
      </c>
      <c r="C270" s="55">
        <f>B270^2</f>
        <v/>
      </c>
      <c r="D270" s="38" t="n">
        <v>4632.21</v>
      </c>
      <c r="E270" s="38">
        <f>4541.138727+0.225904*B270</f>
        <v/>
      </c>
      <c r="F270" s="39">
        <f>D270-E270</f>
        <v/>
      </c>
      <c r="G270" s="38">
        <f>F270^2</f>
        <v/>
      </c>
      <c r="H270" s="37" t="n"/>
      <c r="I270" s="37" t="n"/>
    </row>
    <row r="271" ht="15" customHeight="1" s="28">
      <c r="A271" s="40" t="n">
        <v>258</v>
      </c>
      <c r="B271" s="56" t="n">
        <v>257</v>
      </c>
      <c r="C271" s="56">
        <f>B271^2</f>
        <v/>
      </c>
      <c r="D271" s="41" t="n">
        <v>4636.58</v>
      </c>
      <c r="E271" s="41">
        <f>4541.138727+0.225904*B271</f>
        <v/>
      </c>
      <c r="F271" s="42">
        <f>D271-E271</f>
        <v/>
      </c>
      <c r="G271" s="41">
        <f>F271^2</f>
        <v/>
      </c>
      <c r="H271" s="40" t="n"/>
      <c r="I271" s="40" t="n"/>
    </row>
    <row r="272" ht="15" customHeight="1" s="28">
      <c r="A272" s="37" t="n">
        <v>259</v>
      </c>
      <c r="B272" s="55" t="n">
        <v>258</v>
      </c>
      <c r="C272" s="55">
        <f>B272^2</f>
        <v/>
      </c>
      <c r="D272" s="38" t="n">
        <v>4636.46</v>
      </c>
      <c r="E272" s="38">
        <f>4541.138727+0.225904*B272</f>
        <v/>
      </c>
      <c r="F272" s="39">
        <f>D272-E272</f>
        <v/>
      </c>
      <c r="G272" s="38">
        <f>F272^2</f>
        <v/>
      </c>
      <c r="H272" s="37" t="n"/>
      <c r="I272" s="37" t="n"/>
    </row>
    <row r="273" ht="15" customHeight="1" s="28">
      <c r="A273" s="40" t="n">
        <v>260</v>
      </c>
      <c r="B273" s="56" t="n">
        <v>259</v>
      </c>
      <c r="C273" s="56">
        <f>B273^2</f>
        <v/>
      </c>
      <c r="D273" s="41" t="n">
        <v>4643.6</v>
      </c>
      <c r="E273" s="41">
        <f>4541.138727+0.225904*B273</f>
        <v/>
      </c>
      <c r="F273" s="42">
        <f>D273-E273</f>
        <v/>
      </c>
      <c r="G273" s="41">
        <f>F273^2</f>
        <v/>
      </c>
      <c r="H273" s="40" t="n"/>
      <c r="I273" s="40" t="n"/>
    </row>
    <row r="274" ht="15" customHeight="1" s="28">
      <c r="A274" s="37" t="n">
        <v>261</v>
      </c>
      <c r="B274" s="55" t="n">
        <v>260</v>
      </c>
      <c r="C274" s="55">
        <f>B274^2</f>
        <v/>
      </c>
      <c r="D274" s="38" t="n">
        <v>4643.3</v>
      </c>
      <c r="E274" s="38">
        <f>4541.138727+0.225904*B274</f>
        <v/>
      </c>
      <c r="F274" s="39">
        <f>D274-E274</f>
        <v/>
      </c>
      <c r="G274" s="38">
        <f>F274^2</f>
        <v/>
      </c>
      <c r="H274" s="37" t="n"/>
      <c r="I274" s="37" t="n"/>
    </row>
    <row r="275" ht="15" customHeight="1" s="28">
      <c r="A275" s="40" t="n">
        <v>262</v>
      </c>
      <c r="B275" s="56" t="n">
        <v>261</v>
      </c>
      <c r="C275" s="56">
        <f>B275^2</f>
        <v/>
      </c>
      <c r="D275" s="41" t="n">
        <v>4642.75</v>
      </c>
      <c r="E275" s="41">
        <f>4541.138727+0.225904*B275</f>
        <v/>
      </c>
      <c r="F275" s="42">
        <f>D275-E275</f>
        <v/>
      </c>
      <c r="G275" s="41">
        <f>F275^2</f>
        <v/>
      </c>
      <c r="H275" s="40" t="n"/>
      <c r="I275" s="40" t="n"/>
    </row>
    <row r="276" ht="15" customHeight="1" s="28">
      <c r="A276" s="37" t="n">
        <v>263</v>
      </c>
      <c r="B276" s="55" t="n">
        <v>262</v>
      </c>
      <c r="C276" s="55">
        <f>B276^2</f>
        <v/>
      </c>
      <c r="D276" s="38" t="n">
        <v>4637.96</v>
      </c>
      <c r="E276" s="38">
        <f>4541.138727+0.225904*B276</f>
        <v/>
      </c>
      <c r="F276" s="39">
        <f>D276-E276</f>
        <v/>
      </c>
      <c r="G276" s="38">
        <f>F276^2</f>
        <v/>
      </c>
      <c r="H276" s="37" t="n"/>
      <c r="I276" s="37" t="n"/>
    </row>
    <row r="277" ht="15" customHeight="1" s="28">
      <c r="A277" s="40" t="n">
        <v>264</v>
      </c>
      <c r="B277" s="56" t="n">
        <v>263</v>
      </c>
      <c r="C277" s="56">
        <f>B277^2</f>
        <v/>
      </c>
      <c r="D277" s="41" t="n">
        <v>4638.86</v>
      </c>
      <c r="E277" s="41">
        <f>4541.138727+0.225904*B277</f>
        <v/>
      </c>
      <c r="F277" s="42">
        <f>D277-E277</f>
        <v/>
      </c>
      <c r="G277" s="41">
        <f>F277^2</f>
        <v/>
      </c>
      <c r="H277" s="40" t="n"/>
      <c r="I277" s="40" t="n"/>
    </row>
    <row r="278" ht="15" customHeight="1" s="28">
      <c r="A278" s="37" t="n">
        <v>265</v>
      </c>
      <c r="B278" s="55" t="n">
        <v>264</v>
      </c>
      <c r="C278" s="55">
        <f>B278^2</f>
        <v/>
      </c>
      <c r="D278" s="38" t="n">
        <v>4638.72</v>
      </c>
      <c r="E278" s="38">
        <f>4541.138727+0.225904*B278</f>
        <v/>
      </c>
      <c r="F278" s="39">
        <f>D278-E278</f>
        <v/>
      </c>
      <c r="G278" s="38">
        <f>F278^2</f>
        <v/>
      </c>
      <c r="H278" s="37" t="n"/>
      <c r="I278" s="37" t="n"/>
    </row>
    <row r="279" ht="15" customHeight="1" s="28">
      <c r="A279" s="40" t="n">
        <v>266</v>
      </c>
      <c r="B279" s="56" t="n">
        <v>265</v>
      </c>
      <c r="C279" s="56">
        <f>B279^2</f>
        <v/>
      </c>
      <c r="D279" s="41" t="n">
        <v>4639.73</v>
      </c>
      <c r="E279" s="41">
        <f>4541.138727+0.225904*B279</f>
        <v/>
      </c>
      <c r="F279" s="42">
        <f>D279-E279</f>
        <v/>
      </c>
      <c r="G279" s="41">
        <f>F279^2</f>
        <v/>
      </c>
      <c r="H279" s="40" t="n"/>
      <c r="I279" s="40" t="n"/>
    </row>
    <row r="280" ht="15" customHeight="1" s="28">
      <c r="A280" s="37" t="n">
        <v>267</v>
      </c>
      <c r="B280" s="55" t="n">
        <v>266</v>
      </c>
      <c r="C280" s="55">
        <f>B280^2</f>
        <v/>
      </c>
      <c r="D280" s="38" t="n">
        <v>4631.67</v>
      </c>
      <c r="E280" s="38">
        <f>4541.138727+0.225904*B280</f>
        <v/>
      </c>
      <c r="F280" s="39">
        <f>D280-E280</f>
        <v/>
      </c>
      <c r="G280" s="38">
        <f>F280^2</f>
        <v/>
      </c>
      <c r="H280" s="37" t="n"/>
      <c r="I280" s="37" t="n"/>
    </row>
    <row r="281" ht="15" customHeight="1" s="28">
      <c r="A281" s="40" t="n">
        <v>268</v>
      </c>
      <c r="B281" s="56" t="n">
        <v>267</v>
      </c>
      <c r="C281" s="56">
        <f>B281^2</f>
        <v/>
      </c>
      <c r="D281" s="41" t="n">
        <v>4628</v>
      </c>
      <c r="E281" s="41">
        <f>4541.138727+0.225904*B281</f>
        <v/>
      </c>
      <c r="F281" s="42">
        <f>D281-E281</f>
        <v/>
      </c>
      <c r="G281" s="41">
        <f>F281^2</f>
        <v/>
      </c>
      <c r="H281" s="40" t="n"/>
      <c r="I281" s="40" t="n"/>
    </row>
    <row r="282" ht="15" customHeight="1" s="28">
      <c r="A282" s="37" t="n">
        <v>269</v>
      </c>
      <c r="B282" s="55" t="n">
        <v>268</v>
      </c>
      <c r="C282" s="55">
        <f>B282^2</f>
        <v/>
      </c>
      <c r="D282" s="38" t="n">
        <v>4629.43</v>
      </c>
      <c r="E282" s="38">
        <f>4541.138727+0.225904*B282</f>
        <v/>
      </c>
      <c r="F282" s="39">
        <f>D282-E282</f>
        <v/>
      </c>
      <c r="G282" s="38">
        <f>F282^2</f>
        <v/>
      </c>
      <c r="H282" s="37" t="n"/>
      <c r="I282" s="37" t="n"/>
    </row>
    <row r="283" ht="15" customHeight="1" s="28">
      <c r="A283" s="40" t="n">
        <v>270</v>
      </c>
      <c r="B283" s="56" t="n">
        <v>269</v>
      </c>
      <c r="C283" s="56">
        <f>B283^2</f>
        <v/>
      </c>
      <c r="D283" s="41" t="n">
        <v>4615.72</v>
      </c>
      <c r="E283" s="41">
        <f>4541.138727+0.225904*B283</f>
        <v/>
      </c>
      <c r="F283" s="42">
        <f>D283-E283</f>
        <v/>
      </c>
      <c r="G283" s="41">
        <f>F283^2</f>
        <v/>
      </c>
      <c r="H283" s="40" t="n"/>
      <c r="I283" s="40" t="n"/>
    </row>
    <row r="284" ht="15" customHeight="1" s="28">
      <c r="A284" s="37" t="n">
        <v>271</v>
      </c>
      <c r="B284" s="55" t="n">
        <v>270</v>
      </c>
      <c r="C284" s="55">
        <f>B284^2</f>
        <v/>
      </c>
      <c r="D284" s="38" t="n">
        <v>4623.48</v>
      </c>
      <c r="E284" s="38">
        <f>4541.138727+0.225904*B284</f>
        <v/>
      </c>
      <c r="F284" s="39">
        <f>D284-E284</f>
        <v/>
      </c>
      <c r="G284" s="38">
        <f>F284^2</f>
        <v/>
      </c>
      <c r="H284" s="37" t="n"/>
      <c r="I284" s="37" t="n"/>
    </row>
    <row r="285" ht="15" customHeight="1" s="28">
      <c r="A285" s="40" t="n">
        <v>272</v>
      </c>
      <c r="B285" s="56" t="n">
        <v>271</v>
      </c>
      <c r="C285" s="56">
        <f>B285^2</f>
        <v/>
      </c>
      <c r="D285" s="41" t="n">
        <v>4622.32</v>
      </c>
      <c r="E285" s="41">
        <f>4541.138727+0.225904*B285</f>
        <v/>
      </c>
      <c r="F285" s="42">
        <f>D285-E285</f>
        <v/>
      </c>
      <c r="G285" s="41">
        <f>F285^2</f>
        <v/>
      </c>
      <c r="H285" s="40" t="n"/>
      <c r="I285" s="40" t="n"/>
    </row>
    <row r="286" ht="15" customHeight="1" s="28">
      <c r="A286" s="37" t="n">
        <v>273</v>
      </c>
      <c r="B286" s="55" t="n">
        <v>272</v>
      </c>
      <c r="C286" s="55">
        <f>B286^2</f>
        <v/>
      </c>
      <c r="D286" s="38" t="n">
        <v>4624.35</v>
      </c>
      <c r="E286" s="38">
        <f>4541.138727+0.225904*B286</f>
        <v/>
      </c>
      <c r="F286" s="39">
        <f>D286-E286</f>
        <v/>
      </c>
      <c r="G286" s="38">
        <f>F286^2</f>
        <v/>
      </c>
      <c r="H286" s="37" t="n"/>
      <c r="I286" s="37" t="n"/>
    </row>
    <row r="287" ht="15" customHeight="1" s="28">
      <c r="A287" s="40" t="n">
        <v>274</v>
      </c>
      <c r="B287" s="56" t="n">
        <v>273</v>
      </c>
      <c r="C287" s="56">
        <f>B287^2</f>
        <v/>
      </c>
      <c r="D287" s="41" t="n">
        <v>4626.3</v>
      </c>
      <c r="E287" s="41">
        <f>4541.138727+0.225904*B287</f>
        <v/>
      </c>
      <c r="F287" s="42">
        <f>D287-E287</f>
        <v/>
      </c>
      <c r="G287" s="41">
        <f>F287^2</f>
        <v/>
      </c>
      <c r="H287" s="40" t="n"/>
      <c r="I287" s="40" t="n"/>
    </row>
    <row r="288" ht="15" customHeight="1" s="28">
      <c r="A288" s="37" t="n">
        <v>275</v>
      </c>
      <c r="B288" s="55" t="n">
        <v>274</v>
      </c>
      <c r="C288" s="55">
        <f>B288^2</f>
        <v/>
      </c>
      <c r="D288" s="38" t="n">
        <v>4624.4</v>
      </c>
      <c r="E288" s="38">
        <f>4541.138727+0.225904*B288</f>
        <v/>
      </c>
      <c r="F288" s="39">
        <f>D288-E288</f>
        <v/>
      </c>
      <c r="G288" s="38">
        <f>F288^2</f>
        <v/>
      </c>
      <c r="H288" s="37" t="n"/>
      <c r="I288" s="37" t="n"/>
    </row>
    <row r="289" ht="15" customHeight="1" s="28">
      <c r="A289" s="40" t="n">
        <v>276</v>
      </c>
      <c r="B289" s="56" t="n">
        <v>275</v>
      </c>
      <c r="C289" s="56">
        <f>B289^2</f>
        <v/>
      </c>
      <c r="D289" s="41" t="n">
        <v>4611.78</v>
      </c>
      <c r="E289" s="41">
        <f>4541.138727+0.225904*B289</f>
        <v/>
      </c>
      <c r="F289" s="42">
        <f>D289-E289</f>
        <v/>
      </c>
      <c r="G289" s="41">
        <f>F289^2</f>
        <v/>
      </c>
      <c r="H289" s="40" t="n"/>
      <c r="I289" s="40" t="n"/>
    </row>
    <row r="290" ht="15" customHeight="1" s="28">
      <c r="A290" s="37" t="n">
        <v>277</v>
      </c>
      <c r="B290" s="55" t="n">
        <v>276</v>
      </c>
      <c r="C290" s="55">
        <f>B290^2</f>
        <v/>
      </c>
      <c r="D290" s="38" t="n">
        <v>4610.06</v>
      </c>
      <c r="E290" s="38">
        <f>4541.138727+0.225904*B290</f>
        <v/>
      </c>
      <c r="F290" s="39">
        <f>D290-E290</f>
        <v/>
      </c>
      <c r="G290" s="38">
        <f>F290^2</f>
        <v/>
      </c>
      <c r="H290" s="37" t="n"/>
      <c r="I290" s="37" t="n"/>
    </row>
    <row r="291" ht="15" customHeight="1" s="28">
      <c r="A291" s="40" t="n">
        <v>278</v>
      </c>
      <c r="B291" s="56" t="n">
        <v>277</v>
      </c>
      <c r="C291" s="56">
        <f>B291^2</f>
        <v/>
      </c>
      <c r="D291" s="41" t="n">
        <v>4611.41</v>
      </c>
      <c r="E291" s="41">
        <f>4541.138727+0.225904*B291</f>
        <v/>
      </c>
      <c r="F291" s="42">
        <f>D291-E291</f>
        <v/>
      </c>
      <c r="G291" s="41">
        <f>F291^2</f>
        <v/>
      </c>
      <c r="H291" s="40" t="n"/>
      <c r="I291" s="40" t="n"/>
    </row>
    <row r="292" ht="15" customHeight="1" s="28">
      <c r="A292" s="37" t="n">
        <v>279</v>
      </c>
      <c r="B292" s="55" t="n">
        <v>278</v>
      </c>
      <c r="C292" s="55">
        <f>B292^2</f>
        <v/>
      </c>
      <c r="D292" s="38" t="n">
        <v>4613.3</v>
      </c>
      <c r="E292" s="38">
        <f>4541.138727+0.225904*B292</f>
        <v/>
      </c>
      <c r="F292" s="39">
        <f>D292-E292</f>
        <v/>
      </c>
      <c r="G292" s="38">
        <f>F292^2</f>
        <v/>
      </c>
      <c r="H292" s="37" t="n"/>
      <c r="I292" s="37" t="n"/>
    </row>
    <row r="293" ht="15" customHeight="1" s="28">
      <c r="A293" s="40" t="n">
        <v>280</v>
      </c>
      <c r="B293" s="56" t="n">
        <v>279</v>
      </c>
      <c r="C293" s="56">
        <f>B293^2</f>
        <v/>
      </c>
      <c r="D293" s="41" t="n">
        <v>4613.77</v>
      </c>
      <c r="E293" s="41">
        <f>4541.138727+0.225904*B293</f>
        <v/>
      </c>
      <c r="F293" s="42">
        <f>D293-E293</f>
        <v/>
      </c>
      <c r="G293" s="41">
        <f>F293^2</f>
        <v/>
      </c>
      <c r="H293" s="40" t="n"/>
      <c r="I293" s="40" t="n"/>
    </row>
    <row r="294" ht="15" customHeight="1" s="28">
      <c r="A294" s="37" t="n">
        <v>281</v>
      </c>
      <c r="B294" s="55" t="n">
        <v>280</v>
      </c>
      <c r="C294" s="55">
        <f>B294^2</f>
        <v/>
      </c>
      <c r="D294" s="38" t="n">
        <v>4613.98</v>
      </c>
      <c r="E294" s="38">
        <f>4541.138727+0.225904*B294</f>
        <v/>
      </c>
      <c r="F294" s="39">
        <f>D294-E294</f>
        <v/>
      </c>
      <c r="G294" s="38">
        <f>F294^2</f>
        <v/>
      </c>
      <c r="H294" s="37" t="n"/>
      <c r="I294" s="37" t="n"/>
    </row>
    <row r="295" ht="15" customHeight="1" s="28">
      <c r="A295" s="40" t="n">
        <v>282</v>
      </c>
      <c r="B295" s="56" t="n">
        <v>281</v>
      </c>
      <c r="C295" s="56">
        <f>B295^2</f>
        <v/>
      </c>
      <c r="D295" s="41" t="n">
        <v>4623.11</v>
      </c>
      <c r="E295" s="41">
        <f>4541.138727+0.225904*B295</f>
        <v/>
      </c>
      <c r="F295" s="42">
        <f>D295-E295</f>
        <v/>
      </c>
      <c r="G295" s="41">
        <f>F295^2</f>
        <v/>
      </c>
      <c r="H295" s="40" t="n"/>
      <c r="I295" s="40" t="n"/>
    </row>
    <row r="296" ht="15" customHeight="1" s="28">
      <c r="A296" s="37" t="n">
        <v>283</v>
      </c>
      <c r="B296" s="55" t="n">
        <v>282</v>
      </c>
      <c r="C296" s="55">
        <f>B296^2</f>
        <v/>
      </c>
      <c r="D296" s="38" t="n">
        <v>4620.91</v>
      </c>
      <c r="E296" s="38">
        <f>4541.138727+0.225904*B296</f>
        <v/>
      </c>
      <c r="F296" s="39">
        <f>D296-E296</f>
        <v/>
      </c>
      <c r="G296" s="38">
        <f>F296^2</f>
        <v/>
      </c>
      <c r="H296" s="37" t="n"/>
      <c r="I296" s="37" t="n"/>
    </row>
    <row r="297" ht="15" customHeight="1" s="28">
      <c r="A297" s="40" t="n">
        <v>284</v>
      </c>
      <c r="B297" s="56" t="n">
        <v>283</v>
      </c>
      <c r="C297" s="56">
        <f>B297^2</f>
        <v/>
      </c>
      <c r="D297" s="41" t="n">
        <v>4628.2</v>
      </c>
      <c r="E297" s="41">
        <f>4541.138727+0.225904*B297</f>
        <v/>
      </c>
      <c r="F297" s="42">
        <f>D297-E297</f>
        <v/>
      </c>
      <c r="G297" s="41">
        <f>F297^2</f>
        <v/>
      </c>
      <c r="H297" s="40" t="n"/>
      <c r="I297" s="40" t="n"/>
    </row>
    <row r="298" ht="15" customHeight="1" s="28">
      <c r="A298" s="37" t="n">
        <v>285</v>
      </c>
      <c r="B298" s="55" t="n">
        <v>284</v>
      </c>
      <c r="C298" s="55">
        <f>B298^2</f>
        <v/>
      </c>
      <c r="D298" s="38" t="n">
        <v>4618.95</v>
      </c>
      <c r="E298" s="38">
        <f>4541.138727+0.225904*B298</f>
        <v/>
      </c>
      <c r="F298" s="39">
        <f>D298-E298</f>
        <v/>
      </c>
      <c r="G298" s="38">
        <f>F298^2</f>
        <v/>
      </c>
      <c r="H298" s="37" t="n"/>
      <c r="I298" s="37" t="n"/>
    </row>
    <row r="299" ht="15" customHeight="1" s="28">
      <c r="A299" s="40" t="n">
        <v>286</v>
      </c>
      <c r="B299" s="56" t="n">
        <v>285</v>
      </c>
      <c r="C299" s="56">
        <f>B299^2</f>
        <v/>
      </c>
      <c r="D299" s="41" t="n">
        <v>4615.08</v>
      </c>
      <c r="E299" s="41">
        <f>4541.138727+0.225904*B299</f>
        <v/>
      </c>
      <c r="F299" s="42">
        <f>D299-E299</f>
        <v/>
      </c>
      <c r="G299" s="41">
        <f>F299^2</f>
        <v/>
      </c>
      <c r="H299" s="40" t="n"/>
      <c r="I299" s="40" t="n"/>
    </row>
    <row r="300" ht="15" customHeight="1" s="28">
      <c r="A300" s="37" t="n">
        <v>287</v>
      </c>
      <c r="B300" s="55" t="n">
        <v>286</v>
      </c>
      <c r="C300" s="55">
        <f>B300^2</f>
        <v/>
      </c>
      <c r="D300" s="38" t="n">
        <v>4617.09</v>
      </c>
      <c r="E300" s="38">
        <f>4541.138727+0.225904*B300</f>
        <v/>
      </c>
      <c r="F300" s="39">
        <f>D300-E300</f>
        <v/>
      </c>
      <c r="G300" s="38">
        <f>F300^2</f>
        <v/>
      </c>
      <c r="H300" s="37" t="n"/>
      <c r="I300" s="37" t="n"/>
    </row>
    <row r="301" ht="15" customHeight="1" s="28">
      <c r="A301" s="40" t="n">
        <v>288</v>
      </c>
      <c r="B301" s="56" t="n">
        <v>287</v>
      </c>
      <c r="C301" s="56">
        <f>B301^2</f>
        <v/>
      </c>
      <c r="D301" s="41" t="n">
        <v>4613.63</v>
      </c>
      <c r="E301" s="41">
        <f>4541.138727+0.225904*B301</f>
        <v/>
      </c>
      <c r="F301" s="42">
        <f>D301-E301</f>
        <v/>
      </c>
      <c r="G301" s="41">
        <f>F301^2</f>
        <v/>
      </c>
      <c r="H301" s="40" t="n"/>
      <c r="I301" s="40" t="n"/>
    </row>
    <row r="302" ht="15" customHeight="1" s="28">
      <c r="A302" s="37" t="n">
        <v>289</v>
      </c>
      <c r="B302" s="55" t="n">
        <v>288</v>
      </c>
      <c r="C302" s="55">
        <f>B302^2</f>
        <v/>
      </c>
      <c r="D302" s="38" t="n">
        <v>4613.86</v>
      </c>
      <c r="E302" s="38">
        <f>4541.138727+0.225904*B302</f>
        <v/>
      </c>
      <c r="F302" s="39">
        <f>D302-E302</f>
        <v/>
      </c>
      <c r="G302" s="38">
        <f>F302^2</f>
        <v/>
      </c>
      <c r="H302" s="37" t="n"/>
      <c r="I302" s="37" t="n"/>
    </row>
    <row r="303" ht="15" customHeight="1" s="28">
      <c r="A303" s="40" t="n">
        <v>290</v>
      </c>
      <c r="B303" s="56" t="n">
        <v>289</v>
      </c>
      <c r="C303" s="56">
        <f>B303^2</f>
        <v/>
      </c>
      <c r="D303" s="41" t="n">
        <v>4612.3</v>
      </c>
      <c r="E303" s="41">
        <f>4541.138727+0.225904*B303</f>
        <v/>
      </c>
      <c r="F303" s="42">
        <f>D303-E303</f>
        <v/>
      </c>
      <c r="G303" s="41">
        <f>F303^2</f>
        <v/>
      </c>
      <c r="H303" s="40" t="n"/>
      <c r="I303" s="40" t="n"/>
    </row>
    <row r="304" ht="15" customHeight="1" s="28">
      <c r="A304" s="37" t="n">
        <v>291</v>
      </c>
      <c r="B304" s="55" t="n">
        <v>290</v>
      </c>
      <c r="C304" s="55">
        <f>B304^2</f>
        <v/>
      </c>
      <c r="D304" s="38" t="n">
        <v>4606.13</v>
      </c>
      <c r="E304" s="38">
        <f>4541.138727+0.225904*B304</f>
        <v/>
      </c>
      <c r="F304" s="39">
        <f>D304-E304</f>
        <v/>
      </c>
      <c r="G304" s="38">
        <f>F304^2</f>
        <v/>
      </c>
      <c r="H304" s="37" t="n"/>
      <c r="I304" s="37" t="n"/>
    </row>
    <row r="305" ht="15" customHeight="1" s="28">
      <c r="A305" s="40" t="n">
        <v>292</v>
      </c>
      <c r="B305" s="56" t="n">
        <v>291</v>
      </c>
      <c r="C305" s="56">
        <f>B305^2</f>
        <v/>
      </c>
      <c r="D305" s="41" t="n">
        <v>4605.86</v>
      </c>
      <c r="E305" s="41">
        <f>4541.138727+0.225904*B305</f>
        <v/>
      </c>
      <c r="F305" s="42">
        <f>D305-E305</f>
        <v/>
      </c>
      <c r="G305" s="41">
        <f>F305^2</f>
        <v/>
      </c>
      <c r="H305" s="40" t="n"/>
      <c r="I305" s="40" t="n"/>
    </row>
    <row r="306" ht="15" customHeight="1" s="28">
      <c r="A306" s="37" t="n">
        <v>293</v>
      </c>
      <c r="B306" s="55" t="n">
        <v>292</v>
      </c>
      <c r="C306" s="55">
        <f>B306^2</f>
        <v/>
      </c>
      <c r="D306" s="38" t="n">
        <v>4613.01</v>
      </c>
      <c r="E306" s="38">
        <f>4541.138727+0.225904*B306</f>
        <v/>
      </c>
      <c r="F306" s="39">
        <f>D306-E306</f>
        <v/>
      </c>
      <c r="G306" s="38">
        <f>F306^2</f>
        <v/>
      </c>
      <c r="H306" s="37" t="n"/>
      <c r="I306" s="37" t="n"/>
    </row>
    <row r="307" ht="15" customHeight="1" s="28">
      <c r="A307" s="40" t="n">
        <v>294</v>
      </c>
      <c r="B307" s="56" t="n">
        <v>293</v>
      </c>
      <c r="C307" s="56">
        <f>B307^2</f>
        <v/>
      </c>
      <c r="D307" s="41" t="n">
        <v>4600.58</v>
      </c>
      <c r="E307" s="41">
        <f>4541.138727+0.225904*B307</f>
        <v/>
      </c>
      <c r="F307" s="42">
        <f>D307-E307</f>
        <v/>
      </c>
      <c r="G307" s="41">
        <f>F307^2</f>
        <v/>
      </c>
      <c r="H307" s="40" t="n"/>
      <c r="I307" s="40" t="n"/>
    </row>
    <row r="308" ht="15" customHeight="1" s="28">
      <c r="A308" s="37" t="n">
        <v>295</v>
      </c>
      <c r="B308" s="55" t="n">
        <v>294</v>
      </c>
      <c r="C308" s="55">
        <f>B308^2</f>
        <v/>
      </c>
      <c r="D308" s="38" t="n">
        <v>4594.65</v>
      </c>
      <c r="E308" s="38">
        <f>4541.138727+0.225904*B308</f>
        <v/>
      </c>
      <c r="F308" s="39">
        <f>D308-E308</f>
        <v/>
      </c>
      <c r="G308" s="38">
        <f>F308^2</f>
        <v/>
      </c>
      <c r="H308" s="37" t="n"/>
      <c r="I308" s="37" t="n"/>
    </row>
    <row r="309" ht="15" customHeight="1" s="28">
      <c r="A309" s="40" t="n">
        <v>296</v>
      </c>
      <c r="B309" s="56" t="n">
        <v>295</v>
      </c>
      <c r="C309" s="56">
        <f>B309^2</f>
        <v/>
      </c>
      <c r="D309" s="41" t="n">
        <v>4601.59</v>
      </c>
      <c r="E309" s="41">
        <f>4541.138727+0.225904*B309</f>
        <v/>
      </c>
      <c r="F309" s="42">
        <f>D309-E309</f>
        <v/>
      </c>
      <c r="G309" s="41">
        <f>F309^2</f>
        <v/>
      </c>
      <c r="H309" s="40" t="n"/>
      <c r="I309" s="40" t="n"/>
    </row>
    <row r="310" ht="15" customHeight="1" s="28">
      <c r="A310" s="37" t="n">
        <v>297</v>
      </c>
      <c r="B310" s="55" t="n">
        <v>296</v>
      </c>
      <c r="C310" s="55">
        <f>B310^2</f>
        <v/>
      </c>
      <c r="D310" s="38" t="n">
        <v>4613.14</v>
      </c>
      <c r="E310" s="38">
        <f>4541.138727+0.225904*B310</f>
        <v/>
      </c>
      <c r="F310" s="39">
        <f>D310-E310</f>
        <v/>
      </c>
      <c r="G310" s="38">
        <f>F310^2</f>
        <v/>
      </c>
      <c r="H310" s="37" t="n"/>
      <c r="I310" s="37" t="n"/>
    </row>
    <row r="311" ht="15" customHeight="1" s="28">
      <c r="A311" s="40" t="n">
        <v>298</v>
      </c>
      <c r="B311" s="56" t="n">
        <v>297</v>
      </c>
      <c r="C311" s="56">
        <f>B311^2</f>
        <v/>
      </c>
      <c r="D311" s="41" t="n">
        <v>4608.34</v>
      </c>
      <c r="E311" s="41">
        <f>4541.138727+0.225904*B311</f>
        <v/>
      </c>
      <c r="F311" s="42">
        <f>D311-E311</f>
        <v/>
      </c>
      <c r="G311" s="41">
        <f>F311^2</f>
        <v/>
      </c>
      <c r="H311" s="40" t="n"/>
      <c r="I311" s="40" t="n"/>
    </row>
    <row r="312" ht="15" customHeight="1" s="28">
      <c r="A312" s="37" t="n">
        <v>299</v>
      </c>
      <c r="B312" s="55" t="n">
        <v>298</v>
      </c>
      <c r="C312" s="55">
        <f>B312^2</f>
        <v/>
      </c>
      <c r="D312" s="38" t="n">
        <v>4593.09</v>
      </c>
      <c r="E312" s="38">
        <f>4541.138727+0.225904*B312</f>
        <v/>
      </c>
      <c r="F312" s="39">
        <f>D312-E312</f>
        <v/>
      </c>
      <c r="G312" s="38">
        <f>F312^2</f>
        <v/>
      </c>
      <c r="H312" s="37" t="n"/>
      <c r="I312" s="37" t="n"/>
    </row>
    <row r="313" ht="15" customHeight="1" s="28">
      <c r="A313" s="40" t="n">
        <v>300</v>
      </c>
      <c r="B313" s="56" t="n">
        <v>299</v>
      </c>
      <c r="C313" s="56">
        <f>B313^2</f>
        <v/>
      </c>
      <c r="D313" s="41" t="n">
        <v>4603.32</v>
      </c>
      <c r="E313" s="41">
        <f>4541.138727+0.225904*B313</f>
        <v/>
      </c>
      <c r="F313" s="42">
        <f>D313-E313</f>
        <v/>
      </c>
      <c r="G313" s="41">
        <f>F313^2</f>
        <v/>
      </c>
      <c r="H313" s="40" t="n"/>
      <c r="I313" s="40" t="n"/>
    </row>
    <row r="314" ht="15" customHeight="1" s="28">
      <c r="A314" s="37" t="n">
        <v>301</v>
      </c>
      <c r="B314" s="55" t="n">
        <v>300</v>
      </c>
      <c r="C314" s="55">
        <f>B314^2</f>
        <v/>
      </c>
      <c r="D314" s="38" t="n">
        <v>4605.77</v>
      </c>
      <c r="E314" s="38">
        <f>4541.138727+0.225904*B314</f>
        <v/>
      </c>
      <c r="F314" s="39">
        <f>D314-E314</f>
        <v/>
      </c>
      <c r="G314" s="38">
        <f>F314^2</f>
        <v/>
      </c>
      <c r="H314" s="37" t="n"/>
      <c r="I314" s="37" t="n"/>
    </row>
    <row r="315" ht="15" customHeight="1" s="28">
      <c r="A315" s="40" t="n">
        <v>302</v>
      </c>
      <c r="B315" s="56" t="n">
        <v>301</v>
      </c>
      <c r="C315" s="56">
        <f>B315^2</f>
        <v/>
      </c>
      <c r="D315" s="41" t="n">
        <v>4610.07</v>
      </c>
      <c r="E315" s="41">
        <f>4541.138727+0.225904*B315</f>
        <v/>
      </c>
      <c r="F315" s="42">
        <f>D315-E315</f>
        <v/>
      </c>
      <c r="G315" s="41">
        <f>F315^2</f>
        <v/>
      </c>
      <c r="H315" s="40" t="n"/>
      <c r="I315" s="40" t="n"/>
    </row>
    <row r="316" ht="15" customHeight="1" s="28">
      <c r="A316" s="37" t="n">
        <v>303</v>
      </c>
      <c r="B316" s="55" t="n">
        <v>302</v>
      </c>
      <c r="C316" s="55">
        <f>B316^2</f>
        <v/>
      </c>
      <c r="D316" s="38" t="n">
        <v>4610.27</v>
      </c>
      <c r="E316" s="38">
        <f>4541.138727+0.225904*B316</f>
        <v/>
      </c>
      <c r="F316" s="39">
        <f>D316-E316</f>
        <v/>
      </c>
      <c r="G316" s="38">
        <f>F316^2</f>
        <v/>
      </c>
      <c r="H316" s="37" t="n"/>
      <c r="I316" s="37" t="n"/>
    </row>
    <row r="317" ht="15" customHeight="1" s="28">
      <c r="A317" s="40" t="n">
        <v>304</v>
      </c>
      <c r="B317" s="56" t="n">
        <v>303</v>
      </c>
      <c r="C317" s="56">
        <f>B317^2</f>
        <v/>
      </c>
      <c r="D317" s="41" t="n">
        <v>4605.07</v>
      </c>
      <c r="E317" s="41">
        <f>4541.138727+0.225904*B317</f>
        <v/>
      </c>
      <c r="F317" s="42">
        <f>D317-E317</f>
        <v/>
      </c>
      <c r="G317" s="41">
        <f>F317^2</f>
        <v/>
      </c>
      <c r="H317" s="40" t="n"/>
      <c r="I317" s="40" t="n"/>
    </row>
    <row r="318" ht="15" customHeight="1" s="28">
      <c r="A318" s="37" t="n">
        <v>305</v>
      </c>
      <c r="B318" s="55" t="n">
        <v>304</v>
      </c>
      <c r="C318" s="55">
        <f>B318^2</f>
        <v/>
      </c>
      <c r="D318" s="38" t="n">
        <v>4615.09</v>
      </c>
      <c r="E318" s="38">
        <f>4541.138727+0.225904*B318</f>
        <v/>
      </c>
      <c r="F318" s="39">
        <f>D318-E318</f>
        <v/>
      </c>
      <c r="G318" s="38">
        <f>F318^2</f>
        <v/>
      </c>
      <c r="H318" s="37" t="n"/>
      <c r="I318" s="37" t="n"/>
    </row>
    <row r="319" ht="15" customHeight="1" s="28">
      <c r="A319" s="40" t="n">
        <v>306</v>
      </c>
      <c r="B319" s="56" t="n">
        <v>305</v>
      </c>
      <c r="C319" s="56">
        <f>B319^2</f>
        <v/>
      </c>
      <c r="D319" s="41" t="n">
        <v>4611.19</v>
      </c>
      <c r="E319" s="41">
        <f>4541.138727+0.225904*B319</f>
        <v/>
      </c>
      <c r="F319" s="42">
        <f>D319-E319</f>
        <v/>
      </c>
      <c r="G319" s="41">
        <f>F319^2</f>
        <v/>
      </c>
      <c r="H319" s="40" t="n"/>
      <c r="I319" s="40" t="n"/>
    </row>
    <row r="320" ht="15" customHeight="1" s="28">
      <c r="A320" s="37" t="n">
        <v>307</v>
      </c>
      <c r="B320" s="55" t="n">
        <v>306</v>
      </c>
      <c r="C320" s="55">
        <f>B320^2</f>
        <v/>
      </c>
      <c r="D320" s="38" t="n">
        <v>4608.12</v>
      </c>
      <c r="E320" s="38">
        <f>4541.138727+0.225904*B320</f>
        <v/>
      </c>
      <c r="F320" s="39">
        <f>D320-E320</f>
        <v/>
      </c>
      <c r="G320" s="38">
        <f>F320^2</f>
        <v/>
      </c>
      <c r="H320" s="37" t="n"/>
      <c r="I320" s="37" t="n"/>
    </row>
    <row r="321" ht="15" customHeight="1" s="28">
      <c r="A321" s="40" t="n">
        <v>308</v>
      </c>
      <c r="B321" s="56" t="n">
        <v>307</v>
      </c>
      <c r="C321" s="56">
        <f>B321^2</f>
        <v/>
      </c>
      <c r="D321" s="41" t="n">
        <v>4609.32</v>
      </c>
      <c r="E321" s="41">
        <f>4541.138727+0.225904*B321</f>
        <v/>
      </c>
      <c r="F321" s="42">
        <f>D321-E321</f>
        <v/>
      </c>
      <c r="G321" s="41">
        <f>F321^2</f>
        <v/>
      </c>
      <c r="H321" s="40" t="n"/>
      <c r="I321" s="40" t="n"/>
    </row>
    <row r="322" ht="15" customHeight="1" s="28">
      <c r="A322" s="37" t="n">
        <v>309</v>
      </c>
      <c r="B322" s="55" t="n">
        <v>308</v>
      </c>
      <c r="C322" s="55">
        <f>B322^2</f>
        <v/>
      </c>
      <c r="D322" s="38" t="n">
        <v>4606</v>
      </c>
      <c r="E322" s="38">
        <f>4541.138727+0.225904*B322</f>
        <v/>
      </c>
      <c r="F322" s="39">
        <f>D322-E322</f>
        <v/>
      </c>
      <c r="G322" s="38">
        <f>F322^2</f>
        <v/>
      </c>
      <c r="H322" s="37" t="n"/>
      <c r="I322" s="37" t="n"/>
    </row>
    <row r="323" ht="15" customHeight="1" s="28">
      <c r="A323" s="40" t="n">
        <v>310</v>
      </c>
      <c r="B323" s="56" t="n">
        <v>309</v>
      </c>
      <c r="C323" s="56">
        <f>B323^2</f>
        <v/>
      </c>
      <c r="D323" s="41" t="n">
        <v>4603.74</v>
      </c>
      <c r="E323" s="41">
        <f>4541.138727+0.225904*B323</f>
        <v/>
      </c>
      <c r="F323" s="42">
        <f>D323-E323</f>
        <v/>
      </c>
      <c r="G323" s="41">
        <f>F323^2</f>
        <v/>
      </c>
      <c r="H323" s="40" t="n"/>
      <c r="I323" s="40" t="n"/>
    </row>
    <row r="324" ht="15" customHeight="1" s="28">
      <c r="A324" s="37" t="n">
        <v>311</v>
      </c>
      <c r="B324" s="55" t="n">
        <v>310</v>
      </c>
      <c r="C324" s="55">
        <f>B324^2</f>
        <v/>
      </c>
      <c r="D324" s="38" t="n">
        <v>4596.32</v>
      </c>
      <c r="E324" s="38">
        <f>4541.138727+0.225904*B324</f>
        <v/>
      </c>
      <c r="F324" s="39">
        <f>D324-E324</f>
        <v/>
      </c>
      <c r="G324" s="38">
        <f>F324^2</f>
        <v/>
      </c>
      <c r="H324" s="37" t="n"/>
      <c r="I324" s="37" t="n"/>
    </row>
    <row r="325" ht="15" customHeight="1" s="28">
      <c r="A325" s="40" t="n">
        <v>312</v>
      </c>
      <c r="B325" s="56" t="n">
        <v>311</v>
      </c>
      <c r="C325" s="56">
        <f>B325^2</f>
        <v/>
      </c>
      <c r="D325" s="41" t="n">
        <v>4598.85</v>
      </c>
      <c r="E325" s="41">
        <f>4541.138727+0.225904*B325</f>
        <v/>
      </c>
      <c r="F325" s="42">
        <f>D325-E325</f>
        <v/>
      </c>
      <c r="G325" s="41">
        <f>F325^2</f>
        <v/>
      </c>
      <c r="H325" s="40" t="n"/>
      <c r="I325" s="40" t="n"/>
    </row>
    <row r="326" ht="15" customHeight="1" s="28">
      <c r="A326" s="37" t="n">
        <v>313</v>
      </c>
      <c r="B326" s="55" t="n">
        <v>312</v>
      </c>
      <c r="C326" s="55">
        <f>B326^2</f>
        <v/>
      </c>
      <c r="D326" s="38" t="n">
        <v>4599.12</v>
      </c>
      <c r="E326" s="38">
        <f>4541.138727+0.225904*B326</f>
        <v/>
      </c>
      <c r="F326" s="39">
        <f>D326-E326</f>
        <v/>
      </c>
      <c r="G326" s="38">
        <f>F326^2</f>
        <v/>
      </c>
      <c r="H326" s="37" t="n"/>
      <c r="I326" s="37" t="n"/>
    </row>
    <row r="327" ht="15" customHeight="1" s="28">
      <c r="A327" s="40" t="n">
        <v>314</v>
      </c>
      <c r="B327" s="56" t="n">
        <v>313</v>
      </c>
      <c r="C327" s="56">
        <f>B327^2</f>
        <v/>
      </c>
      <c r="D327" s="41" t="n">
        <v>4597.44</v>
      </c>
      <c r="E327" s="41">
        <f>4541.138727+0.225904*B327</f>
        <v/>
      </c>
      <c r="F327" s="42">
        <f>D327-E327</f>
        <v/>
      </c>
      <c r="G327" s="41">
        <f>F327^2</f>
        <v/>
      </c>
      <c r="H327" s="40" t="n"/>
      <c r="I327" s="40" t="n"/>
    </row>
    <row r="328" ht="15" customHeight="1" s="28">
      <c r="A328" s="37" t="n">
        <v>315</v>
      </c>
      <c r="B328" s="55" t="n">
        <v>314</v>
      </c>
      <c r="C328" s="55">
        <f>B328^2</f>
        <v/>
      </c>
      <c r="D328" s="38" t="n">
        <v>4594.08</v>
      </c>
      <c r="E328" s="38">
        <f>4541.138727+0.225904*B328</f>
        <v/>
      </c>
      <c r="F328" s="39">
        <f>D328-E328</f>
        <v/>
      </c>
      <c r="G328" s="38">
        <f>F328^2</f>
        <v/>
      </c>
      <c r="H328" s="37" t="n"/>
      <c r="I328" s="37" t="n"/>
    </row>
    <row r="329" ht="15" customHeight="1" s="28">
      <c r="A329" s="40" t="n">
        <v>316</v>
      </c>
      <c r="B329" s="56" t="n">
        <v>315</v>
      </c>
      <c r="C329" s="56">
        <f>B329^2</f>
        <v/>
      </c>
      <c r="D329" s="41" t="n">
        <v>4585.46</v>
      </c>
      <c r="E329" s="41">
        <f>4541.138727+0.225904*B329</f>
        <v/>
      </c>
      <c r="F329" s="42">
        <f>D329-E329</f>
        <v/>
      </c>
      <c r="G329" s="41">
        <f>F329^2</f>
        <v/>
      </c>
      <c r="H329" s="40" t="n"/>
      <c r="I329" s="40" t="n"/>
    </row>
    <row r="330" ht="15" customHeight="1" s="28">
      <c r="A330" s="37" t="n">
        <v>317</v>
      </c>
      <c r="B330" s="55" t="n">
        <v>316</v>
      </c>
      <c r="C330" s="55">
        <f>B330^2</f>
        <v/>
      </c>
      <c r="D330" s="38" t="n">
        <v>4588.54</v>
      </c>
      <c r="E330" s="38">
        <f>4541.138727+0.225904*B330</f>
        <v/>
      </c>
      <c r="F330" s="39">
        <f>D330-E330</f>
        <v/>
      </c>
      <c r="G330" s="38">
        <f>F330^2</f>
        <v/>
      </c>
      <c r="H330" s="37" t="n"/>
      <c r="I330" s="37" t="n"/>
    </row>
    <row r="331" ht="15" customHeight="1" s="28">
      <c r="A331" s="40" t="n">
        <v>318</v>
      </c>
      <c r="B331" s="56" t="n">
        <v>317</v>
      </c>
      <c r="C331" s="56">
        <f>B331^2</f>
        <v/>
      </c>
      <c r="D331" s="41" t="n">
        <v>4592.16</v>
      </c>
      <c r="E331" s="41">
        <f>4541.138727+0.225904*B331</f>
        <v/>
      </c>
      <c r="F331" s="42">
        <f>D331-E331</f>
        <v/>
      </c>
      <c r="G331" s="41">
        <f>F331^2</f>
        <v/>
      </c>
      <c r="H331" s="40" t="n"/>
      <c r="I331" s="40" t="n"/>
    </row>
    <row r="332" ht="15" customHeight="1" s="28">
      <c r="A332" s="37" t="n">
        <v>319</v>
      </c>
      <c r="B332" s="55" t="n">
        <v>318</v>
      </c>
      <c r="C332" s="55">
        <f>B332^2</f>
        <v/>
      </c>
      <c r="D332" s="38" t="n">
        <v>4585.82</v>
      </c>
      <c r="E332" s="38">
        <f>4541.138727+0.225904*B332</f>
        <v/>
      </c>
      <c r="F332" s="39">
        <f>D332-E332</f>
        <v/>
      </c>
      <c r="G332" s="38">
        <f>F332^2</f>
        <v/>
      </c>
      <c r="H332" s="37" t="n"/>
      <c r="I332" s="37" t="n"/>
    </row>
    <row r="333" ht="15" customHeight="1" s="28">
      <c r="A333" s="40" t="n">
        <v>320</v>
      </c>
      <c r="B333" s="56" t="n">
        <v>319</v>
      </c>
      <c r="C333" s="56">
        <f>B333^2</f>
        <v/>
      </c>
      <c r="D333" s="41" t="n">
        <v>4587.99</v>
      </c>
      <c r="E333" s="41">
        <f>4541.138727+0.225904*B333</f>
        <v/>
      </c>
      <c r="F333" s="42">
        <f>D333-E333</f>
        <v/>
      </c>
      <c r="G333" s="41">
        <f>F333^2</f>
        <v/>
      </c>
      <c r="H333" s="40" t="n"/>
      <c r="I333" s="40" t="n"/>
    </row>
    <row r="334" ht="15" customHeight="1" s="28">
      <c r="A334" s="37" t="n">
        <v>321</v>
      </c>
      <c r="B334" s="55" t="n">
        <v>320</v>
      </c>
      <c r="C334" s="55">
        <f>B334^2</f>
        <v/>
      </c>
      <c r="D334" s="38" t="n">
        <v>4579.06</v>
      </c>
      <c r="E334" s="38">
        <f>4541.138727+0.225904*B334</f>
        <v/>
      </c>
      <c r="F334" s="39">
        <f>D334-E334</f>
        <v/>
      </c>
      <c r="G334" s="38">
        <f>F334^2</f>
        <v/>
      </c>
      <c r="H334" s="37" t="n"/>
      <c r="I334" s="37" t="n"/>
    </row>
    <row r="335" ht="15" customHeight="1" s="28">
      <c r="A335" s="40" t="n">
        <v>322</v>
      </c>
      <c r="B335" s="56" t="n">
        <v>321</v>
      </c>
      <c r="C335" s="56">
        <f>B335^2</f>
        <v/>
      </c>
      <c r="D335" s="41" t="n">
        <v>4580.25</v>
      </c>
      <c r="E335" s="41">
        <f>4541.138727+0.225904*B335</f>
        <v/>
      </c>
      <c r="F335" s="42">
        <f>D335-E335</f>
        <v/>
      </c>
      <c r="G335" s="41">
        <f>F335^2</f>
        <v/>
      </c>
      <c r="H335" s="40" t="n"/>
      <c r="I335" s="40" t="n"/>
    </row>
    <row r="336" ht="15" customHeight="1" s="28">
      <c r="A336" s="37" t="n">
        <v>323</v>
      </c>
      <c r="B336" s="55" t="n">
        <v>322</v>
      </c>
      <c r="C336" s="55">
        <f>B336^2</f>
        <v/>
      </c>
      <c r="D336" s="38" t="n">
        <v>4575.07</v>
      </c>
      <c r="E336" s="38">
        <f>4541.138727+0.225904*B336</f>
        <v/>
      </c>
      <c r="F336" s="39">
        <f>D336-E336</f>
        <v/>
      </c>
      <c r="G336" s="38">
        <f>F336^2</f>
        <v/>
      </c>
      <c r="H336" s="37" t="n"/>
      <c r="I336" s="37" t="n"/>
    </row>
    <row r="337" ht="15" customHeight="1" s="28">
      <c r="A337" s="40" t="n">
        <v>324</v>
      </c>
      <c r="B337" s="56" t="n">
        <v>323</v>
      </c>
      <c r="C337" s="56">
        <f>B337^2</f>
        <v/>
      </c>
      <c r="D337" s="41" t="n">
        <v>4578.09</v>
      </c>
      <c r="E337" s="41">
        <f>4541.138727+0.225904*B337</f>
        <v/>
      </c>
      <c r="F337" s="42">
        <f>D337-E337</f>
        <v/>
      </c>
      <c r="G337" s="41">
        <f>F337^2</f>
        <v/>
      </c>
      <c r="H337" s="40" t="n"/>
      <c r="I337" s="40" t="n"/>
    </row>
    <row r="338" ht="15" customHeight="1" s="28">
      <c r="A338" s="37" t="n">
        <v>325</v>
      </c>
      <c r="B338" s="55" t="n">
        <v>324</v>
      </c>
      <c r="C338" s="55">
        <f>B338^2</f>
        <v/>
      </c>
      <c r="D338" s="38" t="n">
        <v>4577.11</v>
      </c>
      <c r="E338" s="38">
        <f>4541.138727+0.225904*B338</f>
        <v/>
      </c>
      <c r="F338" s="39">
        <f>D338-E338</f>
        <v/>
      </c>
      <c r="G338" s="38">
        <f>F338^2</f>
        <v/>
      </c>
      <c r="H338" s="37" t="n"/>
      <c r="I338" s="37" t="n"/>
    </row>
    <row r="339" ht="15" customHeight="1" s="28">
      <c r="A339" s="40" t="n">
        <v>326</v>
      </c>
      <c r="B339" s="56" t="n">
        <v>325</v>
      </c>
      <c r="C339" s="56">
        <f>B339^2</f>
        <v/>
      </c>
      <c r="D339" s="41" t="n">
        <v>4584.21</v>
      </c>
      <c r="E339" s="41">
        <f>4541.138727+0.225904*B339</f>
        <v/>
      </c>
      <c r="F339" s="42">
        <f>D339-E339</f>
        <v/>
      </c>
      <c r="G339" s="41">
        <f>F339^2</f>
        <v/>
      </c>
      <c r="H339" s="40" t="n"/>
      <c r="I339" s="40" t="n"/>
    </row>
    <row r="340" ht="15" customHeight="1" s="28">
      <c r="A340" s="37" t="n">
        <v>327</v>
      </c>
      <c r="B340" s="55" t="n">
        <v>326</v>
      </c>
      <c r="C340" s="55">
        <f>B340^2</f>
        <v/>
      </c>
      <c r="D340" s="38" t="n">
        <v>4581.15</v>
      </c>
      <c r="E340" s="38">
        <f>4541.138727+0.225904*B340</f>
        <v/>
      </c>
      <c r="F340" s="39">
        <f>D340-E340</f>
        <v/>
      </c>
      <c r="G340" s="38">
        <f>F340^2</f>
        <v/>
      </c>
      <c r="H340" s="37" t="n"/>
      <c r="I340" s="37" t="n"/>
    </row>
    <row r="341" ht="15" customHeight="1" s="28">
      <c r="A341" s="40" t="n">
        <v>328</v>
      </c>
      <c r="B341" s="56" t="n">
        <v>327</v>
      </c>
      <c r="C341" s="56">
        <f>B341^2</f>
        <v/>
      </c>
      <c r="D341" s="41" t="n">
        <v>4581.26</v>
      </c>
      <c r="E341" s="41">
        <f>4541.138727+0.225904*B341</f>
        <v/>
      </c>
      <c r="F341" s="42">
        <f>D341-E341</f>
        <v/>
      </c>
      <c r="G341" s="41">
        <f>F341^2</f>
        <v/>
      </c>
      <c r="H341" s="40" t="n"/>
      <c r="I341" s="40" t="n"/>
    </row>
    <row r="342" ht="15" customHeight="1" s="28">
      <c r="A342" s="37" t="n">
        <v>329</v>
      </c>
      <c r="B342" s="55" t="n">
        <v>328</v>
      </c>
      <c r="C342" s="55">
        <f>B342^2</f>
        <v/>
      </c>
      <c r="D342" s="38" t="n">
        <v>4575.47</v>
      </c>
      <c r="E342" s="38">
        <f>4541.138727+0.225904*B342</f>
        <v/>
      </c>
      <c r="F342" s="39">
        <f>D342-E342</f>
        <v/>
      </c>
      <c r="G342" s="38">
        <f>F342^2</f>
        <v/>
      </c>
      <c r="H342" s="37" t="n"/>
      <c r="I342" s="37" t="n"/>
    </row>
    <row r="343" ht="15" customHeight="1" s="28">
      <c r="A343" s="40" t="n">
        <v>330</v>
      </c>
      <c r="B343" s="56" t="n">
        <v>329</v>
      </c>
      <c r="C343" s="56">
        <f>B343^2</f>
        <v/>
      </c>
      <c r="D343" s="41" t="n">
        <v>4541.79</v>
      </c>
      <c r="E343" s="41">
        <f>4541.138727+0.225904*B343</f>
        <v/>
      </c>
      <c r="F343" s="42">
        <f>D343-E343</f>
        <v/>
      </c>
      <c r="G343" s="41">
        <f>F343^2</f>
        <v/>
      </c>
      <c r="H343" s="40" t="n"/>
      <c r="I343" s="40" t="n"/>
    </row>
    <row r="344" ht="15" customHeight="1" s="28">
      <c r="A344" s="37" t="n">
        <v>331</v>
      </c>
      <c r="B344" s="55" t="n">
        <v>330</v>
      </c>
      <c r="C344" s="55">
        <f>B344^2</f>
        <v/>
      </c>
      <c r="D344" s="38" t="n">
        <v>4545</v>
      </c>
      <c r="E344" s="38">
        <f>4541.138727+0.225904*B344</f>
        <v/>
      </c>
      <c r="F344" s="39">
        <f>D344-E344</f>
        <v/>
      </c>
      <c r="G344" s="38">
        <f>F344^2</f>
        <v/>
      </c>
      <c r="H344" s="37" t="n"/>
      <c r="I344" s="37" t="n"/>
    </row>
    <row r="345" ht="15" customHeight="1" s="28">
      <c r="A345" s="40" t="n">
        <v>332</v>
      </c>
      <c r="B345" s="56" t="n">
        <v>331</v>
      </c>
      <c r="C345" s="56">
        <f>B345^2</f>
        <v/>
      </c>
      <c r="D345" s="41" t="n">
        <v>4558.64</v>
      </c>
      <c r="E345" s="41">
        <f>4541.138727+0.225904*B345</f>
        <v/>
      </c>
      <c r="F345" s="42">
        <f>D345-E345</f>
        <v/>
      </c>
      <c r="G345" s="41">
        <f>F345^2</f>
        <v/>
      </c>
      <c r="H345" s="40" t="n"/>
      <c r="I345" s="40" t="n"/>
    </row>
    <row r="346" ht="15" customHeight="1" s="28">
      <c r="A346" s="37" t="n">
        <v>333</v>
      </c>
      <c r="B346" s="55" t="n">
        <v>332</v>
      </c>
      <c r="C346" s="55">
        <f>B346^2</f>
        <v/>
      </c>
      <c r="D346" s="38" t="n">
        <v>4562.67</v>
      </c>
      <c r="E346" s="38">
        <f>4541.138727+0.225904*B346</f>
        <v/>
      </c>
      <c r="F346" s="39">
        <f>D346-E346</f>
        <v/>
      </c>
      <c r="G346" s="38">
        <f>F346^2</f>
        <v/>
      </c>
      <c r="H346" s="37" t="n"/>
      <c r="I346" s="37" t="n"/>
    </row>
    <row r="347" ht="15" customHeight="1" s="28">
      <c r="A347" s="40" t="n">
        <v>334</v>
      </c>
      <c r="B347" s="56" t="n">
        <v>333</v>
      </c>
      <c r="C347" s="56">
        <f>B347^2</f>
        <v/>
      </c>
      <c r="D347" s="41" t="n">
        <v>4565.34</v>
      </c>
      <c r="E347" s="41">
        <f>4541.138727+0.225904*B347</f>
        <v/>
      </c>
      <c r="F347" s="42">
        <f>D347-E347</f>
        <v/>
      </c>
      <c r="G347" s="41">
        <f>F347^2</f>
        <v/>
      </c>
      <c r="H347" s="40" t="n"/>
      <c r="I347" s="40" t="n"/>
    </row>
    <row r="348" ht="15" customHeight="1" s="28">
      <c r="A348" s="37" t="n">
        <v>335</v>
      </c>
      <c r="B348" s="55" t="n">
        <v>334</v>
      </c>
      <c r="C348" s="55">
        <f>B348^2</f>
        <v/>
      </c>
      <c r="D348" s="38" t="n">
        <v>4562.26</v>
      </c>
      <c r="E348" s="38">
        <f>4541.138727+0.225904*B348</f>
        <v/>
      </c>
      <c r="F348" s="39">
        <f>D348-E348</f>
        <v/>
      </c>
      <c r="G348" s="38">
        <f>F348^2</f>
        <v/>
      </c>
      <c r="H348" s="37" t="n"/>
      <c r="I348" s="37" t="n"/>
    </row>
    <row r="349" ht="15" customHeight="1" s="28">
      <c r="A349" s="40" t="n">
        <v>336</v>
      </c>
      <c r="B349" s="56" t="n">
        <v>335</v>
      </c>
      <c r="C349" s="56">
        <f>B349^2</f>
        <v/>
      </c>
      <c r="D349" s="41" t="n">
        <v>4553.65</v>
      </c>
      <c r="E349" s="41">
        <f>4541.138727+0.225904*B349</f>
        <v/>
      </c>
      <c r="F349" s="42">
        <f>D349-E349</f>
        <v/>
      </c>
      <c r="G349" s="41">
        <f>F349^2</f>
        <v/>
      </c>
      <c r="H349" s="40" t="n"/>
      <c r="I349" s="40" t="n"/>
    </row>
    <row r="350" ht="15" customHeight="1" s="28">
      <c r="A350" s="37" t="n">
        <v>337</v>
      </c>
      <c r="B350" s="55" t="n">
        <v>336</v>
      </c>
      <c r="C350" s="55">
        <f>B350^2</f>
        <v/>
      </c>
      <c r="D350" s="38" t="n">
        <v>4559.94</v>
      </c>
      <c r="E350" s="38">
        <f>4541.138727+0.225904*B350</f>
        <v/>
      </c>
      <c r="F350" s="39">
        <f>D350-E350</f>
        <v/>
      </c>
      <c r="G350" s="38">
        <f>F350^2</f>
        <v/>
      </c>
      <c r="H350" s="37" t="n"/>
      <c r="I350" s="37" t="n"/>
    </row>
    <row r="351" ht="15" customHeight="1" s="28">
      <c r="A351" s="40" t="n">
        <v>338</v>
      </c>
      <c r="B351" s="56" t="n">
        <v>337</v>
      </c>
      <c r="C351" s="56">
        <f>B351^2</f>
        <v/>
      </c>
      <c r="D351" s="41" t="n">
        <v>4563.67</v>
      </c>
      <c r="E351" s="41">
        <f>4541.138727+0.225904*B351</f>
        <v/>
      </c>
      <c r="F351" s="42">
        <f>D351-E351</f>
        <v/>
      </c>
      <c r="G351" s="41">
        <f>F351^2</f>
        <v/>
      </c>
      <c r="H351" s="40" t="n"/>
      <c r="I351" s="40" t="n"/>
    </row>
    <row r="352" ht="15" customHeight="1" s="28">
      <c r="A352" s="37" t="n">
        <v>339</v>
      </c>
      <c r="B352" s="55" t="n">
        <v>338</v>
      </c>
      <c r="C352" s="55">
        <f>B352^2</f>
        <v/>
      </c>
      <c r="D352" s="38" t="n">
        <v>4568.68</v>
      </c>
      <c r="E352" s="38">
        <f>4541.138727+0.225904*B352</f>
        <v/>
      </c>
      <c r="F352" s="39">
        <f>D352-E352</f>
        <v/>
      </c>
      <c r="G352" s="38">
        <f>F352^2</f>
        <v/>
      </c>
      <c r="H352" s="37" t="n"/>
      <c r="I352" s="37" t="n"/>
    </row>
    <row r="353" ht="15" customHeight="1" s="28">
      <c r="A353" s="40" t="n">
        <v>340</v>
      </c>
      <c r="B353" s="56" t="n">
        <v>339</v>
      </c>
      <c r="C353" s="56">
        <f>B353^2</f>
        <v/>
      </c>
      <c r="D353" s="41" t="n">
        <v>4570.1</v>
      </c>
      <c r="E353" s="41">
        <f>4541.138727+0.225904*B353</f>
        <v/>
      </c>
      <c r="F353" s="42">
        <f>D353-E353</f>
        <v/>
      </c>
      <c r="G353" s="41">
        <f>F353^2</f>
        <v/>
      </c>
      <c r="H353" s="40" t="n"/>
      <c r="I353" s="40" t="n"/>
    </row>
    <row r="354" ht="15" customHeight="1" s="28">
      <c r="A354" s="37" t="n">
        <v>341</v>
      </c>
      <c r="B354" s="55" t="n">
        <v>340</v>
      </c>
      <c r="C354" s="55">
        <f>B354^2</f>
        <v/>
      </c>
      <c r="D354" s="38" t="n">
        <v>4568.79</v>
      </c>
      <c r="E354" s="38">
        <f>4541.138727+0.225904*B354</f>
        <v/>
      </c>
      <c r="F354" s="39">
        <f>D354-E354</f>
        <v/>
      </c>
      <c r="G354" s="38">
        <f>F354^2</f>
        <v/>
      </c>
      <c r="H354" s="37" t="n"/>
      <c r="I354" s="37" t="n"/>
    </row>
    <row r="355" ht="15" customHeight="1" s="28">
      <c r="A355" s="40" t="n">
        <v>342</v>
      </c>
      <c r="B355" s="56" t="n">
        <v>341</v>
      </c>
      <c r="C355" s="56">
        <f>B355^2</f>
        <v/>
      </c>
      <c r="D355" s="41" t="n">
        <v>4565.98</v>
      </c>
      <c r="E355" s="41">
        <f>4541.138727+0.225904*B355</f>
        <v/>
      </c>
      <c r="F355" s="42">
        <f>D355-E355</f>
        <v/>
      </c>
      <c r="G355" s="41">
        <f>F355^2</f>
        <v/>
      </c>
      <c r="H355" s="40" t="n"/>
      <c r="I355" s="40" t="n"/>
    </row>
    <row r="356" ht="15" customHeight="1" s="28">
      <c r="A356" s="37" t="n">
        <v>343</v>
      </c>
      <c r="B356" s="55" t="n">
        <v>342</v>
      </c>
      <c r="C356" s="55">
        <f>B356^2</f>
        <v/>
      </c>
      <c r="D356" s="38" t="n">
        <v>4561.09</v>
      </c>
      <c r="E356" s="38">
        <f>4541.138727+0.225904*B356</f>
        <v/>
      </c>
      <c r="F356" s="39">
        <f>D356-E356</f>
        <v/>
      </c>
      <c r="G356" s="38">
        <f>F356^2</f>
        <v/>
      </c>
      <c r="H356" s="37" t="n"/>
      <c r="I356" s="37" t="n"/>
    </row>
    <row r="357" ht="15" customHeight="1" s="28">
      <c r="A357" s="40" t="n">
        <v>344</v>
      </c>
      <c r="B357" s="56" t="n">
        <v>343</v>
      </c>
      <c r="C357" s="56">
        <f>B357^2</f>
        <v/>
      </c>
      <c r="D357" s="41" t="n">
        <v>4565.51</v>
      </c>
      <c r="E357" s="41">
        <f>4541.138727+0.225904*B357</f>
        <v/>
      </c>
      <c r="F357" s="42">
        <f>D357-E357</f>
        <v/>
      </c>
      <c r="G357" s="41">
        <f>F357^2</f>
        <v/>
      </c>
      <c r="H357" s="40" t="n"/>
      <c r="I357" s="40" t="n"/>
    </row>
    <row r="358" ht="15" customHeight="1" s="28">
      <c r="A358" s="37" t="n">
        <v>345</v>
      </c>
      <c r="B358" s="55" t="n">
        <v>344</v>
      </c>
      <c r="C358" s="55">
        <f>B358^2</f>
        <v/>
      </c>
      <c r="D358" s="38" t="n">
        <v>4563.85</v>
      </c>
      <c r="E358" s="38">
        <f>4541.138727+0.225904*B358</f>
        <v/>
      </c>
      <c r="F358" s="39">
        <f>D358-E358</f>
        <v/>
      </c>
      <c r="G358" s="38">
        <f>F358^2</f>
        <v/>
      </c>
      <c r="H358" s="37" t="n"/>
      <c r="I358" s="37" t="n"/>
    </row>
    <row r="359" ht="15" customHeight="1" s="28">
      <c r="A359" s="40" t="n">
        <v>346</v>
      </c>
      <c r="B359" s="56" t="n">
        <v>345</v>
      </c>
      <c r="C359" s="56">
        <f>B359^2</f>
        <v/>
      </c>
      <c r="D359" s="41" t="n">
        <v>4560.18</v>
      </c>
      <c r="E359" s="41">
        <f>4541.138727+0.225904*B359</f>
        <v/>
      </c>
      <c r="F359" s="42">
        <f>D359-E359</f>
        <v/>
      </c>
      <c r="G359" s="41">
        <f>F359^2</f>
        <v/>
      </c>
      <c r="H359" s="40" t="n"/>
      <c r="I359" s="40" t="n"/>
    </row>
    <row r="360" ht="15" customHeight="1" s="28">
      <c r="A360" s="37" t="n">
        <v>347</v>
      </c>
      <c r="B360" s="55" t="n">
        <v>346</v>
      </c>
      <c r="C360" s="55">
        <f>B360^2</f>
        <v/>
      </c>
      <c r="D360" s="38" t="n">
        <v>4571.2</v>
      </c>
      <c r="E360" s="38">
        <f>4541.138727+0.225904*B360</f>
        <v/>
      </c>
      <c r="F360" s="39">
        <f>D360-E360</f>
        <v/>
      </c>
      <c r="G360" s="38">
        <f>F360^2</f>
        <v/>
      </c>
      <c r="H360" s="37" t="n"/>
      <c r="I360" s="37" t="n"/>
    </row>
    <row r="361" ht="15" customHeight="1" s="28">
      <c r="A361" s="40" t="n">
        <v>348</v>
      </c>
      <c r="B361" s="56" t="n">
        <v>347</v>
      </c>
      <c r="C361" s="56">
        <f>B361^2</f>
        <v/>
      </c>
      <c r="D361" s="41" t="n">
        <v>4574.38</v>
      </c>
      <c r="E361" s="41">
        <f>4541.138727+0.225904*B361</f>
        <v/>
      </c>
      <c r="F361" s="42">
        <f>D361-E361</f>
        <v/>
      </c>
      <c r="G361" s="41">
        <f>F361^2</f>
        <v/>
      </c>
      <c r="H361" s="40" t="n"/>
      <c r="I361" s="40" t="n"/>
    </row>
    <row r="362" ht="15" customHeight="1" s="28">
      <c r="A362" s="37" t="n">
        <v>349</v>
      </c>
      <c r="B362" s="55" t="n">
        <v>348</v>
      </c>
      <c r="C362" s="55">
        <f>B362^2</f>
        <v/>
      </c>
      <c r="D362" s="38" t="n">
        <v>4561.26</v>
      </c>
      <c r="E362" s="38">
        <f>4541.138727+0.225904*B362</f>
        <v/>
      </c>
      <c r="F362" s="39">
        <f>D362-E362</f>
        <v/>
      </c>
      <c r="G362" s="38">
        <f>F362^2</f>
        <v/>
      </c>
      <c r="H362" s="37" t="n"/>
      <c r="I362" s="37" t="n"/>
    </row>
    <row r="363" ht="15" customHeight="1" s="28">
      <c r="A363" s="40" t="n">
        <v>350</v>
      </c>
      <c r="B363" s="56" t="n">
        <v>349</v>
      </c>
      <c r="C363" s="56">
        <f>B363^2</f>
        <v/>
      </c>
      <c r="D363" s="41" t="n">
        <v>4548.46</v>
      </c>
      <c r="E363" s="41">
        <f>4541.138727+0.225904*B363</f>
        <v/>
      </c>
      <c r="F363" s="42">
        <f>D363-E363</f>
        <v/>
      </c>
      <c r="G363" s="41">
        <f>F363^2</f>
        <v/>
      </c>
      <c r="H363" s="40" t="n"/>
      <c r="I363" s="40" t="n"/>
    </row>
    <row r="364" ht="15" customHeight="1" s="28">
      <c r="A364" s="37" t="n">
        <v>351</v>
      </c>
      <c r="B364" s="55" t="n">
        <v>350</v>
      </c>
      <c r="C364" s="55">
        <f>B364^2</f>
        <v/>
      </c>
      <c r="D364" s="38" t="n">
        <v>4537.95</v>
      </c>
      <c r="E364" s="38">
        <f>4541.138727+0.225904*B364</f>
        <v/>
      </c>
      <c r="F364" s="39">
        <f>D364-E364</f>
        <v/>
      </c>
      <c r="G364" s="38">
        <f>F364^2</f>
        <v/>
      </c>
      <c r="H364" s="37" t="n"/>
      <c r="I364" s="37" t="n"/>
    </row>
    <row r="365" ht="15" customHeight="1" s="28">
      <c r="A365" s="40" t="n">
        <v>352</v>
      </c>
      <c r="B365" s="56" t="n">
        <v>351</v>
      </c>
      <c r="C365" s="56">
        <f>B365^2</f>
        <v/>
      </c>
      <c r="D365" s="41" t="n">
        <v>4535.1</v>
      </c>
      <c r="E365" s="41">
        <f>4541.138727+0.225904*B365</f>
        <v/>
      </c>
      <c r="F365" s="42">
        <f>D365-E365</f>
        <v/>
      </c>
      <c r="G365" s="41">
        <f>F365^2</f>
        <v/>
      </c>
      <c r="H365" s="40" t="n"/>
      <c r="I365" s="40" t="n"/>
    </row>
    <row r="366" ht="15" customHeight="1" s="28">
      <c r="A366" s="37" t="n">
        <v>353</v>
      </c>
      <c r="B366" s="55" t="n">
        <v>352</v>
      </c>
      <c r="C366" s="55">
        <f>B366^2</f>
        <v/>
      </c>
      <c r="D366" s="38" t="n">
        <v>4521.33</v>
      </c>
      <c r="E366" s="38">
        <f>4541.138727+0.225904*B366</f>
        <v/>
      </c>
      <c r="F366" s="39">
        <f>D366-E366</f>
        <v/>
      </c>
      <c r="G366" s="38">
        <f>F366^2</f>
        <v/>
      </c>
      <c r="H366" s="37" t="n"/>
      <c r="I366" s="37" t="n"/>
    </row>
    <row r="367" ht="15" customHeight="1" s="28">
      <c r="A367" s="40" t="n">
        <v>354</v>
      </c>
      <c r="B367" s="56" t="n">
        <v>353</v>
      </c>
      <c r="C367" s="56">
        <f>B367^2</f>
        <v/>
      </c>
      <c r="D367" s="41" t="n">
        <v>4509.88</v>
      </c>
      <c r="E367" s="41">
        <f>4541.138727+0.225904*B367</f>
        <v/>
      </c>
      <c r="F367" s="42">
        <f>D367-E367</f>
        <v/>
      </c>
      <c r="G367" s="41">
        <f>F367^2</f>
        <v/>
      </c>
      <c r="H367" s="40" t="n"/>
      <c r="I367" s="40" t="n"/>
    </row>
    <row r="368" ht="15" customHeight="1" s="28">
      <c r="A368" s="37" t="n">
        <v>355</v>
      </c>
      <c r="B368" s="55" t="n">
        <v>354</v>
      </c>
      <c r="C368" s="55">
        <f>B368^2</f>
        <v/>
      </c>
      <c r="D368" s="38" t="n">
        <v>4515.03</v>
      </c>
      <c r="E368" s="38">
        <f>4541.138727+0.225904*B368</f>
        <v/>
      </c>
      <c r="F368" s="39">
        <f>D368-E368</f>
        <v/>
      </c>
      <c r="G368" s="38">
        <f>F368^2</f>
        <v/>
      </c>
      <c r="H368" s="37" t="n"/>
      <c r="I368" s="37" t="n"/>
    </row>
    <row r="369" ht="15" customHeight="1" s="28">
      <c r="A369" s="40" t="n">
        <v>356</v>
      </c>
      <c r="B369" s="56" t="n">
        <v>355</v>
      </c>
      <c r="C369" s="56">
        <f>B369^2</f>
        <v/>
      </c>
      <c r="D369" s="41" t="n">
        <v>4512.59</v>
      </c>
      <c r="E369" s="41">
        <f>4541.138727+0.225904*B369</f>
        <v/>
      </c>
      <c r="F369" s="42">
        <f>D369-E369</f>
        <v/>
      </c>
      <c r="G369" s="41">
        <f>F369^2</f>
        <v/>
      </c>
      <c r="H369" s="40" t="n"/>
      <c r="I369" s="40" t="n"/>
    </row>
    <row r="370" ht="15" customHeight="1" s="28">
      <c r="A370" s="37" t="n">
        <v>357</v>
      </c>
      <c r="B370" s="55" t="n">
        <v>356</v>
      </c>
      <c r="C370" s="55">
        <f>B370^2</f>
        <v/>
      </c>
      <c r="D370" s="38" t="n">
        <v>4510.69</v>
      </c>
      <c r="E370" s="38">
        <f>4541.138727+0.225904*B370</f>
        <v/>
      </c>
      <c r="F370" s="39">
        <f>D370-E370</f>
        <v/>
      </c>
      <c r="G370" s="38">
        <f>F370^2</f>
        <v/>
      </c>
      <c r="H370" s="37" t="n"/>
      <c r="I370" s="37" t="n"/>
    </row>
    <row r="371" ht="15" customHeight="1" s="28">
      <c r="A371" s="40" t="n">
        <v>358</v>
      </c>
      <c r="B371" s="56" t="n">
        <v>357</v>
      </c>
      <c r="C371" s="56">
        <f>B371^2</f>
        <v/>
      </c>
      <c r="D371" s="41" t="n">
        <v>4522.39</v>
      </c>
      <c r="E371" s="41">
        <f>4541.138727+0.225904*B371</f>
        <v/>
      </c>
      <c r="F371" s="42">
        <f>D371-E371</f>
        <v/>
      </c>
      <c r="G371" s="41">
        <f>F371^2</f>
        <v/>
      </c>
      <c r="H371" s="40" t="n"/>
      <c r="I371" s="40" t="n"/>
    </row>
    <row r="372" ht="15" customHeight="1" s="28">
      <c r="A372" s="37" t="n">
        <v>359</v>
      </c>
      <c r="B372" s="55" t="n">
        <v>358</v>
      </c>
      <c r="C372" s="55">
        <f>B372^2</f>
        <v/>
      </c>
      <c r="D372" s="38" t="n">
        <v>4524.38</v>
      </c>
      <c r="E372" s="38">
        <f>4541.138727+0.225904*B372</f>
        <v/>
      </c>
      <c r="F372" s="39">
        <f>D372-E372</f>
        <v/>
      </c>
      <c r="G372" s="38">
        <f>F372^2</f>
        <v/>
      </c>
      <c r="H372" s="37" t="n"/>
      <c r="I372" s="37" t="n"/>
    </row>
    <row r="373" ht="15" customHeight="1" s="28">
      <c r="A373" s="40" t="n">
        <v>360</v>
      </c>
      <c r="B373" s="56" t="n">
        <v>359</v>
      </c>
      <c r="C373" s="56">
        <f>B373^2</f>
        <v/>
      </c>
      <c r="D373" s="41" t="n">
        <v>4526.1</v>
      </c>
      <c r="E373" s="41">
        <f>4541.138727+0.225904*B373</f>
        <v/>
      </c>
      <c r="F373" s="42">
        <f>D373-E373</f>
        <v/>
      </c>
      <c r="G373" s="41">
        <f>F373^2</f>
        <v/>
      </c>
      <c r="H373" s="40" t="n"/>
      <c r="I373" s="40" t="n"/>
    </row>
    <row r="374" ht="15" customHeight="1" s="28">
      <c r="A374" s="37" t="n">
        <v>361</v>
      </c>
      <c r="B374" s="55" t="n">
        <v>360</v>
      </c>
      <c r="C374" s="55">
        <f>B374^2</f>
        <v/>
      </c>
      <c r="D374" s="38" t="n">
        <v>4522.35</v>
      </c>
      <c r="E374" s="38">
        <f>4541.138727+0.225904*B374</f>
        <v/>
      </c>
      <c r="F374" s="39">
        <f>D374-E374</f>
        <v/>
      </c>
      <c r="G374" s="38">
        <f>F374^2</f>
        <v/>
      </c>
      <c r="H374" s="37" t="n"/>
      <c r="I374" s="37" t="n"/>
    </row>
    <row r="375" ht="15" customHeight="1" s="28">
      <c r="A375" s="40" t="n">
        <v>362</v>
      </c>
      <c r="B375" s="56" t="n">
        <v>361</v>
      </c>
      <c r="C375" s="56">
        <f>B375^2</f>
        <v/>
      </c>
      <c r="D375" s="41" t="n">
        <v>4520.01</v>
      </c>
      <c r="E375" s="41">
        <f>4541.138727+0.225904*B375</f>
        <v/>
      </c>
      <c r="F375" s="42">
        <f>D375-E375</f>
        <v/>
      </c>
      <c r="G375" s="41">
        <f>F375^2</f>
        <v/>
      </c>
      <c r="H375" s="40" t="n"/>
      <c r="I375" s="40" t="n"/>
    </row>
    <row r="376" ht="15" customHeight="1" s="28">
      <c r="A376" s="37" t="n">
        <v>363</v>
      </c>
      <c r="B376" s="55" t="n">
        <v>362</v>
      </c>
      <c r="C376" s="55">
        <f>B376^2</f>
        <v/>
      </c>
      <c r="D376" s="38" t="n">
        <v>4511.95</v>
      </c>
      <c r="E376" s="38">
        <f>4541.138727+0.225904*B376</f>
        <v/>
      </c>
      <c r="F376" s="39">
        <f>D376-E376</f>
        <v/>
      </c>
      <c r="G376" s="38">
        <f>F376^2</f>
        <v/>
      </c>
      <c r="H376" s="37" t="n"/>
      <c r="I376" s="37" t="n"/>
    </row>
    <row r="377" ht="15" customHeight="1" s="28">
      <c r="A377" s="40" t="n">
        <v>364</v>
      </c>
      <c r="B377" s="56" t="n">
        <v>363</v>
      </c>
      <c r="C377" s="56">
        <f>B377^2</f>
        <v/>
      </c>
      <c r="D377" s="41" t="n">
        <v>4511.86</v>
      </c>
      <c r="E377" s="41">
        <f>4541.138727+0.225904*B377</f>
        <v/>
      </c>
      <c r="F377" s="42">
        <f>D377-E377</f>
        <v/>
      </c>
      <c r="G377" s="41">
        <f>F377^2</f>
        <v/>
      </c>
      <c r="H377" s="40" t="n"/>
      <c r="I377" s="40" t="n"/>
    </row>
    <row r="378" ht="15" customHeight="1" s="28">
      <c r="A378" s="37" t="n">
        <v>365</v>
      </c>
      <c r="B378" s="55" t="n">
        <v>364</v>
      </c>
      <c r="C378" s="55">
        <f>B378^2</f>
        <v/>
      </c>
      <c r="D378" s="38" t="n">
        <v>4516.4</v>
      </c>
      <c r="E378" s="38">
        <f>4541.138727+0.225904*B378</f>
        <v/>
      </c>
      <c r="F378" s="39">
        <f>D378-E378</f>
        <v/>
      </c>
      <c r="G378" s="38">
        <f>F378^2</f>
        <v/>
      </c>
      <c r="H378" s="37" t="n"/>
      <c r="I378" s="37" t="n"/>
    </row>
    <row r="379" ht="15" customHeight="1" s="28">
      <c r="A379" s="40" t="n">
        <v>366</v>
      </c>
      <c r="B379" s="56" t="n">
        <v>365</v>
      </c>
      <c r="C379" s="56">
        <f>B379^2</f>
        <v/>
      </c>
      <c r="D379" s="41" t="n">
        <v>4519.05</v>
      </c>
      <c r="E379" s="41">
        <f>4541.138727+0.225904*B379</f>
        <v/>
      </c>
      <c r="F379" s="42">
        <f>D379-E379</f>
        <v/>
      </c>
      <c r="G379" s="41">
        <f>F379^2</f>
        <v/>
      </c>
      <c r="H379" s="40" t="n"/>
      <c r="I379" s="40" t="n"/>
    </row>
    <row r="380" ht="15" customHeight="1" s="28">
      <c r="A380" s="37" t="n">
        <v>367</v>
      </c>
      <c r="B380" s="55" t="n">
        <v>366</v>
      </c>
      <c r="C380" s="55">
        <f>B380^2</f>
        <v/>
      </c>
      <c r="D380" s="38" t="n">
        <v>4522.42</v>
      </c>
      <c r="E380" s="38">
        <f>4541.138727+0.225904*B380</f>
        <v/>
      </c>
      <c r="F380" s="39">
        <f>D380-E380</f>
        <v/>
      </c>
      <c r="G380" s="38">
        <f>F380^2</f>
        <v/>
      </c>
      <c r="H380" s="37" t="n"/>
      <c r="I380" s="37" t="n"/>
    </row>
    <row r="381" ht="15" customHeight="1" s="28">
      <c r="A381" s="40" t="n">
        <v>368</v>
      </c>
      <c r="B381" s="56" t="n">
        <v>367</v>
      </c>
      <c r="C381" s="56">
        <f>B381^2</f>
        <v/>
      </c>
      <c r="D381" s="41" t="n">
        <v>4521.16</v>
      </c>
      <c r="E381" s="41">
        <f>4541.138727+0.225904*B381</f>
        <v/>
      </c>
      <c r="F381" s="42">
        <f>D381-E381</f>
        <v/>
      </c>
      <c r="G381" s="41">
        <f>F381^2</f>
        <v/>
      </c>
      <c r="H381" s="40" t="n"/>
      <c r="I381" s="40" t="n"/>
    </row>
    <row r="382" ht="15" customHeight="1" s="28">
      <c r="A382" s="37" t="n">
        <v>369</v>
      </c>
      <c r="B382" s="55" t="n">
        <v>368</v>
      </c>
      <c r="C382" s="55">
        <f>B382^2</f>
        <v/>
      </c>
      <c r="D382" s="38" t="n">
        <v>4517.46</v>
      </c>
      <c r="E382" s="38">
        <f>4541.138727+0.225904*B382</f>
        <v/>
      </c>
      <c r="F382" s="39">
        <f>D382-E382</f>
        <v/>
      </c>
      <c r="G382" s="38">
        <f>F382^2</f>
        <v/>
      </c>
      <c r="H382" s="37" t="n"/>
      <c r="I382" s="37" t="n"/>
    </row>
    <row r="383" ht="15" customHeight="1" s="28">
      <c r="A383" s="40" t="n">
        <v>370</v>
      </c>
      <c r="B383" s="56" t="n">
        <v>369</v>
      </c>
      <c r="C383" s="56">
        <f>B383^2</f>
        <v/>
      </c>
      <c r="D383" s="41" t="n">
        <v>4514.74</v>
      </c>
      <c r="E383" s="41">
        <f>4541.138727+0.225904*B383</f>
        <v/>
      </c>
      <c r="F383" s="42">
        <f>D383-E383</f>
        <v/>
      </c>
      <c r="G383" s="41">
        <f>F383^2</f>
        <v/>
      </c>
      <c r="H383" s="40" t="n"/>
      <c r="I383" s="40" t="n"/>
    </row>
    <row r="384" ht="15" customHeight="1" s="28">
      <c r="A384" s="37" t="n">
        <v>371</v>
      </c>
      <c r="B384" s="55" t="n">
        <v>370</v>
      </c>
      <c r="C384" s="55">
        <f>B384^2</f>
        <v/>
      </c>
      <c r="D384" s="38" t="n">
        <v>4515.21</v>
      </c>
      <c r="E384" s="38">
        <f>4541.138727+0.225904*B384</f>
        <v/>
      </c>
      <c r="F384" s="39">
        <f>D384-E384</f>
        <v/>
      </c>
      <c r="G384" s="38">
        <f>F384^2</f>
        <v/>
      </c>
      <c r="H384" s="37" t="n"/>
      <c r="I384" s="37" t="n"/>
    </row>
    <row r="385" ht="15" customHeight="1" s="28">
      <c r="A385" s="40" t="n">
        <v>372</v>
      </c>
      <c r="B385" s="56" t="n">
        <v>371</v>
      </c>
      <c r="C385" s="56">
        <f>B385^2</f>
        <v/>
      </c>
      <c r="D385" s="41" t="n">
        <v>4518.75</v>
      </c>
      <c r="E385" s="41">
        <f>4541.138727+0.225904*B385</f>
        <v/>
      </c>
      <c r="F385" s="42">
        <f>D385-E385</f>
        <v/>
      </c>
      <c r="G385" s="41">
        <f>F385^2</f>
        <v/>
      </c>
      <c r="H385" s="40" t="n"/>
      <c r="I385" s="40" t="n"/>
    </row>
    <row r="386" ht="15" customHeight="1" s="28">
      <c r="A386" s="37" t="n">
        <v>373</v>
      </c>
      <c r="B386" s="55" t="n">
        <v>372</v>
      </c>
      <c r="C386" s="55">
        <f>B386^2</f>
        <v/>
      </c>
      <c r="D386" s="38" t="n">
        <v>4523.84</v>
      </c>
      <c r="E386" s="38">
        <f>4541.138727+0.225904*B386</f>
        <v/>
      </c>
      <c r="F386" s="39">
        <f>D386-E386</f>
        <v/>
      </c>
      <c r="G386" s="38">
        <f>F386^2</f>
        <v/>
      </c>
      <c r="H386" s="37" t="n"/>
      <c r="I386" s="37" t="n"/>
    </row>
    <row r="387" ht="15" customHeight="1" s="28">
      <c r="A387" s="40" t="n">
        <v>374</v>
      </c>
      <c r="B387" s="56" t="n">
        <v>373</v>
      </c>
      <c r="C387" s="56">
        <f>B387^2</f>
        <v/>
      </c>
      <c r="D387" s="41" t="n">
        <v>4521.1</v>
      </c>
      <c r="E387" s="41">
        <f>4541.138727+0.225904*B387</f>
        <v/>
      </c>
      <c r="F387" s="42">
        <f>D387-E387</f>
        <v/>
      </c>
      <c r="G387" s="41">
        <f>F387^2</f>
        <v/>
      </c>
      <c r="H387" s="40" t="n"/>
      <c r="I387" s="40" t="n"/>
    </row>
    <row r="388" ht="15" customHeight="1" s="28">
      <c r="A388" s="37" t="n">
        <v>375</v>
      </c>
      <c r="B388" s="55" t="n">
        <v>374</v>
      </c>
      <c r="C388" s="55">
        <f>B388^2</f>
        <v/>
      </c>
      <c r="D388" s="38" t="n">
        <v>4519.66</v>
      </c>
      <c r="E388" s="38">
        <f>4541.138727+0.225904*B388</f>
        <v/>
      </c>
      <c r="F388" s="39">
        <f>D388-E388</f>
        <v/>
      </c>
      <c r="G388" s="38">
        <f>F388^2</f>
        <v/>
      </c>
      <c r="H388" s="37" t="n"/>
      <c r="I388" s="37" t="n"/>
    </row>
    <row r="389" ht="15" customHeight="1" s="28">
      <c r="A389" s="40" t="n">
        <v>376</v>
      </c>
      <c r="B389" s="56" t="n">
        <v>375</v>
      </c>
      <c r="C389" s="56">
        <f>B389^2</f>
        <v/>
      </c>
      <c r="D389" s="41" t="n">
        <v>4519.02</v>
      </c>
      <c r="E389" s="41">
        <f>4541.138727+0.225904*B389</f>
        <v/>
      </c>
      <c r="F389" s="42">
        <f>D389-E389</f>
        <v/>
      </c>
      <c r="G389" s="41">
        <f>F389^2</f>
        <v/>
      </c>
      <c r="H389" s="40" t="n"/>
      <c r="I389" s="40" t="n"/>
    </row>
    <row r="390" ht="15" customHeight="1" s="28">
      <c r="A390" s="37" t="n">
        <v>377</v>
      </c>
      <c r="B390" s="55" t="n">
        <v>376</v>
      </c>
      <c r="C390" s="55">
        <f>B390^2</f>
        <v/>
      </c>
      <c r="D390" s="38" t="n">
        <v>4517.52</v>
      </c>
      <c r="E390" s="38">
        <f>4541.138727+0.225904*B390</f>
        <v/>
      </c>
      <c r="F390" s="39">
        <f>D390-E390</f>
        <v/>
      </c>
      <c r="G390" s="38">
        <f>F390^2</f>
        <v/>
      </c>
      <c r="H390" s="37" t="n"/>
      <c r="I390" s="37" t="n"/>
    </row>
    <row r="391" ht="15" customHeight="1" s="28">
      <c r="A391" s="40" t="n">
        <v>378</v>
      </c>
      <c r="B391" s="56" t="n">
        <v>377</v>
      </c>
      <c r="C391" s="56">
        <f>B391^2</f>
        <v/>
      </c>
      <c r="D391" s="41" t="n">
        <v>4520.44</v>
      </c>
      <c r="E391" s="41">
        <f>4541.138727+0.225904*B391</f>
        <v/>
      </c>
      <c r="F391" s="42">
        <f>D391-E391</f>
        <v/>
      </c>
      <c r="G391" s="41">
        <f>F391^2</f>
        <v/>
      </c>
      <c r="H391" s="40" t="n"/>
      <c r="I391" s="40" t="n"/>
    </row>
    <row r="392" ht="15" customHeight="1" s="28">
      <c r="A392" s="37" t="n">
        <v>379</v>
      </c>
      <c r="B392" s="55" t="n">
        <v>378</v>
      </c>
      <c r="C392" s="55">
        <f>B392^2</f>
        <v/>
      </c>
      <c r="D392" s="38" t="n">
        <v>4521.13</v>
      </c>
      <c r="E392" s="38">
        <f>4541.138727+0.225904*B392</f>
        <v/>
      </c>
      <c r="F392" s="39">
        <f>D392-E392</f>
        <v/>
      </c>
      <c r="G392" s="38">
        <f>F392^2</f>
        <v/>
      </c>
      <c r="H392" s="37" t="n"/>
      <c r="I392" s="37" t="n"/>
    </row>
    <row r="393" ht="15" customHeight="1" s="28">
      <c r="A393" s="40" t="n">
        <v>380</v>
      </c>
      <c r="B393" s="56" t="n">
        <v>379</v>
      </c>
      <c r="C393" s="56">
        <f>B393^2</f>
        <v/>
      </c>
      <c r="D393" s="41" t="n">
        <v>4518.52</v>
      </c>
      <c r="E393" s="41">
        <f>4541.138727+0.225904*B393</f>
        <v/>
      </c>
      <c r="F393" s="42">
        <f>D393-E393</f>
        <v/>
      </c>
      <c r="G393" s="41">
        <f>F393^2</f>
        <v/>
      </c>
      <c r="H393" s="40" t="n"/>
      <c r="I393" s="40" t="n"/>
    </row>
    <row r="394" ht="15" customHeight="1" s="28">
      <c r="A394" s="37" t="n">
        <v>381</v>
      </c>
      <c r="B394" s="55" t="n">
        <v>380</v>
      </c>
      <c r="C394" s="55">
        <f>B394^2</f>
        <v/>
      </c>
      <c r="D394" s="38" t="n">
        <v>4519.04</v>
      </c>
      <c r="E394" s="38">
        <f>4541.138727+0.225904*B394</f>
        <v/>
      </c>
      <c r="F394" s="39">
        <f>D394-E394</f>
        <v/>
      </c>
      <c r="G394" s="38">
        <f>F394^2</f>
        <v/>
      </c>
      <c r="H394" s="37" t="n"/>
      <c r="I394" s="37" t="n"/>
    </row>
    <row r="395" ht="15" customHeight="1" s="28">
      <c r="A395" s="40" t="n">
        <v>382</v>
      </c>
      <c r="B395" s="56" t="n">
        <v>381</v>
      </c>
      <c r="C395" s="56">
        <f>B395^2</f>
        <v/>
      </c>
      <c r="D395" s="41" t="n">
        <v>4527.77</v>
      </c>
      <c r="E395" s="41">
        <f>4541.138727+0.225904*B395</f>
        <v/>
      </c>
      <c r="F395" s="42">
        <f>D395-E395</f>
        <v/>
      </c>
      <c r="G395" s="41">
        <f>F395^2</f>
        <v/>
      </c>
      <c r="H395" s="40" t="n"/>
      <c r="I395" s="40" t="n"/>
    </row>
    <row r="396" ht="15" customHeight="1" s="28">
      <c r="A396" s="37" t="n">
        <v>383</v>
      </c>
      <c r="B396" s="55" t="n">
        <v>382</v>
      </c>
      <c r="C396" s="55">
        <f>B396^2</f>
        <v/>
      </c>
      <c r="D396" s="38" t="n">
        <v>4517.12</v>
      </c>
      <c r="E396" s="38">
        <f>4541.138727+0.225904*B396</f>
        <v/>
      </c>
      <c r="F396" s="39">
        <f>D396-E396</f>
        <v/>
      </c>
      <c r="G396" s="38">
        <f>F396^2</f>
        <v/>
      </c>
      <c r="H396" s="37" t="n"/>
      <c r="I396" s="37" t="n"/>
    </row>
    <row r="397" ht="15" customHeight="1" s="28">
      <c r="A397" s="40" t="n">
        <v>384</v>
      </c>
      <c r="B397" s="56" t="n">
        <v>383</v>
      </c>
      <c r="C397" s="56">
        <f>B397^2</f>
        <v/>
      </c>
      <c r="D397" s="41" t="n">
        <v>4523.87</v>
      </c>
      <c r="E397" s="41">
        <f>4541.138727+0.225904*B397</f>
        <v/>
      </c>
      <c r="F397" s="42">
        <f>D397-E397</f>
        <v/>
      </c>
      <c r="G397" s="41">
        <f>F397^2</f>
        <v/>
      </c>
      <c r="H397" s="40" t="n"/>
      <c r="I397" s="40" t="n"/>
    </row>
    <row r="398" ht="15" customHeight="1" s="28">
      <c r="A398" s="37" t="n">
        <v>385</v>
      </c>
      <c r="B398" s="55" t="n">
        <v>384</v>
      </c>
      <c r="C398" s="55">
        <f>B398^2</f>
        <v/>
      </c>
      <c r="D398" s="38" t="n">
        <v>4530.12</v>
      </c>
      <c r="E398" s="38">
        <f>4541.138727+0.225904*B398</f>
        <v/>
      </c>
      <c r="F398" s="39">
        <f>D398-E398</f>
        <v/>
      </c>
      <c r="G398" s="38">
        <f>F398^2</f>
        <v/>
      </c>
      <c r="H398" s="37" t="n"/>
      <c r="I398" s="37" t="n"/>
    </row>
    <row r="399" ht="15" customHeight="1" s="28">
      <c r="A399" s="40" t="n">
        <v>386</v>
      </c>
      <c r="B399" s="56" t="n">
        <v>385</v>
      </c>
      <c r="C399" s="56">
        <f>B399^2</f>
        <v/>
      </c>
      <c r="D399" s="41" t="n">
        <v>4538.86</v>
      </c>
      <c r="E399" s="41">
        <f>4541.138727+0.225904*B399</f>
        <v/>
      </c>
      <c r="F399" s="42">
        <f>D399-E399</f>
        <v/>
      </c>
      <c r="G399" s="41">
        <f>F399^2</f>
        <v/>
      </c>
      <c r="H399" s="40" t="n"/>
      <c r="I399" s="40" t="n"/>
    </row>
    <row r="400" ht="15" customHeight="1" s="28">
      <c r="A400" s="37" t="n">
        <v>387</v>
      </c>
      <c r="B400" s="55" t="n">
        <v>386</v>
      </c>
      <c r="C400" s="55">
        <f>B400^2</f>
        <v/>
      </c>
      <c r="D400" s="38" t="n">
        <v>4537.8</v>
      </c>
      <c r="E400" s="38">
        <f>4541.138727+0.225904*B400</f>
        <v/>
      </c>
      <c r="F400" s="39">
        <f>D400-E400</f>
        <v/>
      </c>
      <c r="G400" s="38">
        <f>F400^2</f>
        <v/>
      </c>
      <c r="H400" s="37" t="n"/>
      <c r="I400" s="37" t="n"/>
    </row>
    <row r="401" ht="15" customHeight="1" s="28">
      <c r="A401" s="40" t="n">
        <v>388</v>
      </c>
      <c r="B401" s="56" t="n">
        <v>387</v>
      </c>
      <c r="C401" s="56">
        <f>B401^2</f>
        <v/>
      </c>
      <c r="D401" s="41" t="n">
        <v>4536.92</v>
      </c>
      <c r="E401" s="41">
        <f>4541.138727+0.225904*B401</f>
        <v/>
      </c>
      <c r="F401" s="42">
        <f>D401-E401</f>
        <v/>
      </c>
      <c r="G401" s="41">
        <f>F401^2</f>
        <v/>
      </c>
      <c r="H401" s="40" t="n"/>
      <c r="I401" s="40" t="n"/>
    </row>
    <row r="402" ht="15" customHeight="1" s="28">
      <c r="A402" s="37" t="n">
        <v>389</v>
      </c>
      <c r="B402" s="55" t="n">
        <v>388</v>
      </c>
      <c r="C402" s="55">
        <f>B402^2</f>
        <v/>
      </c>
      <c r="D402" s="38" t="n">
        <v>4541.02</v>
      </c>
      <c r="E402" s="38">
        <f>4541.138727+0.225904*B402</f>
        <v/>
      </c>
      <c r="F402" s="39">
        <f>D402-E402</f>
        <v/>
      </c>
      <c r="G402" s="38">
        <f>F402^2</f>
        <v/>
      </c>
      <c r="H402" s="37" t="n"/>
      <c r="I402" s="37" t="n"/>
    </row>
    <row r="403" ht="15" customHeight="1" s="28">
      <c r="A403" s="40" t="n">
        <v>390</v>
      </c>
      <c r="B403" s="56" t="n">
        <v>389</v>
      </c>
      <c r="C403" s="56">
        <f>B403^2</f>
        <v/>
      </c>
      <c r="D403" s="41" t="n">
        <v>4538.55</v>
      </c>
      <c r="E403" s="41">
        <f>4541.138727+0.225904*B403</f>
        <v/>
      </c>
      <c r="F403" s="42">
        <f>D403-E403</f>
        <v/>
      </c>
      <c r="G403" s="41">
        <f>F403^2</f>
        <v/>
      </c>
      <c r="H403" s="40" t="n"/>
      <c r="I403" s="40" t="n"/>
    </row>
    <row r="404" ht="15" customHeight="1" s="28">
      <c r="A404" s="37" t="n">
        <v>391</v>
      </c>
      <c r="B404" s="55" t="n">
        <v>390</v>
      </c>
      <c r="C404" s="55">
        <f>B404^2</f>
        <v/>
      </c>
      <c r="D404" s="38" t="n">
        <v>4541.49</v>
      </c>
      <c r="E404" s="38">
        <f>4541.138727+0.225904*B404</f>
        <v/>
      </c>
      <c r="F404" s="39">
        <f>D404-E404</f>
        <v/>
      </c>
      <c r="G404" s="38">
        <f>F404^2</f>
        <v/>
      </c>
      <c r="H404" s="37" t="n"/>
      <c r="I404" s="37" t="n"/>
    </row>
    <row r="405" ht="15" customHeight="1" s="28">
      <c r="A405" s="40" t="n">
        <v>392</v>
      </c>
      <c r="B405" s="56" t="n">
        <v>391</v>
      </c>
      <c r="C405" s="56">
        <f>B405^2</f>
        <v/>
      </c>
      <c r="D405" s="41" t="n">
        <v>4544.58</v>
      </c>
      <c r="E405" s="41">
        <f>4541.138727+0.225904*B405</f>
        <v/>
      </c>
      <c r="F405" s="42">
        <f>D405-E405</f>
        <v/>
      </c>
      <c r="G405" s="41">
        <f>F405^2</f>
        <v/>
      </c>
      <c r="H405" s="40" t="n"/>
      <c r="I405" s="40" t="n"/>
    </row>
    <row r="406" ht="15" customHeight="1" s="28">
      <c r="A406" s="37" t="n">
        <v>393</v>
      </c>
      <c r="B406" s="55" t="n">
        <v>392</v>
      </c>
      <c r="C406" s="55">
        <f>B406^2</f>
        <v/>
      </c>
      <c r="D406" s="38" t="n">
        <v>4539.17</v>
      </c>
      <c r="E406" s="38">
        <f>4541.138727+0.225904*B406</f>
        <v/>
      </c>
      <c r="F406" s="39">
        <f>D406-E406</f>
        <v/>
      </c>
      <c r="G406" s="38">
        <f>F406^2</f>
        <v/>
      </c>
      <c r="H406" s="37" t="n"/>
      <c r="I406" s="37" t="n"/>
    </row>
    <row r="407" ht="15" customHeight="1" s="28">
      <c r="A407" s="40" t="n">
        <v>394</v>
      </c>
      <c r="B407" s="56" t="n">
        <v>393</v>
      </c>
      <c r="C407" s="56">
        <f>B407^2</f>
        <v/>
      </c>
      <c r="D407" s="41" t="n">
        <v>4542.12</v>
      </c>
      <c r="E407" s="41">
        <f>4541.138727+0.225904*B407</f>
        <v/>
      </c>
      <c r="F407" s="42">
        <f>D407-E407</f>
        <v/>
      </c>
      <c r="G407" s="41">
        <f>F407^2</f>
        <v/>
      </c>
      <c r="H407" s="40" t="n"/>
      <c r="I407" s="40" t="n"/>
    </row>
    <row r="408" ht="15" customHeight="1" s="28">
      <c r="A408" s="37" t="n">
        <v>395</v>
      </c>
      <c r="B408" s="55" t="n">
        <v>394</v>
      </c>
      <c r="C408" s="55">
        <f>B408^2</f>
        <v/>
      </c>
      <c r="D408" s="38" t="n">
        <v>4538.07</v>
      </c>
      <c r="E408" s="38">
        <f>4541.138727+0.225904*B408</f>
        <v/>
      </c>
      <c r="F408" s="39">
        <f>D408-E408</f>
        <v/>
      </c>
      <c r="G408" s="38">
        <f>F408^2</f>
        <v/>
      </c>
      <c r="H408" s="37" t="n"/>
      <c r="I408" s="37" t="n"/>
    </row>
    <row r="409" ht="15" customHeight="1" s="28">
      <c r="A409" s="40" t="n">
        <v>396</v>
      </c>
      <c r="B409" s="56" t="n">
        <v>395</v>
      </c>
      <c r="C409" s="56">
        <f>B409^2</f>
        <v/>
      </c>
      <c r="D409" s="41" t="n">
        <v>4535.98</v>
      </c>
      <c r="E409" s="41">
        <f>4541.138727+0.225904*B409</f>
        <v/>
      </c>
      <c r="F409" s="42">
        <f>D409-E409</f>
        <v/>
      </c>
      <c r="G409" s="41">
        <f>F409^2</f>
        <v/>
      </c>
      <c r="H409" s="40" t="n"/>
      <c r="I409" s="40" t="n"/>
    </row>
    <row r="410" ht="15" customHeight="1" s="28">
      <c r="A410" s="37" t="n">
        <v>397</v>
      </c>
      <c r="B410" s="55" t="n">
        <v>396</v>
      </c>
      <c r="C410" s="55">
        <f>B410^2</f>
        <v/>
      </c>
      <c r="D410" s="38" t="n">
        <v>4534.67</v>
      </c>
      <c r="E410" s="38">
        <f>4541.138727+0.225904*B410</f>
        <v/>
      </c>
      <c r="F410" s="39">
        <f>D410-E410</f>
        <v/>
      </c>
      <c r="G410" s="38">
        <f>F410^2</f>
        <v/>
      </c>
      <c r="H410" s="37" t="n"/>
      <c r="I410" s="37" t="n"/>
    </row>
    <row r="411" ht="15" customHeight="1" s="28">
      <c r="A411" s="40" t="n">
        <v>398</v>
      </c>
      <c r="B411" s="56" t="n">
        <v>397</v>
      </c>
      <c r="C411" s="56">
        <f>B411^2</f>
        <v/>
      </c>
      <c r="D411" s="41" t="n">
        <v>4532.97</v>
      </c>
      <c r="E411" s="41">
        <f>4541.138727+0.225904*B411</f>
        <v/>
      </c>
      <c r="F411" s="42">
        <f>D411-E411</f>
        <v/>
      </c>
      <c r="G411" s="41">
        <f>F411^2</f>
        <v/>
      </c>
      <c r="H411" s="40" t="n"/>
      <c r="I411" s="40" t="n"/>
    </row>
    <row r="412" ht="15" customHeight="1" s="28">
      <c r="A412" s="37" t="n">
        <v>399</v>
      </c>
      <c r="B412" s="55" t="n">
        <v>398</v>
      </c>
      <c r="C412" s="55">
        <f>B412^2</f>
        <v/>
      </c>
      <c r="D412" s="38" t="n">
        <v>4529.71</v>
      </c>
      <c r="E412" s="38">
        <f>4541.138727+0.225904*B412</f>
        <v/>
      </c>
      <c r="F412" s="39">
        <f>D412-E412</f>
        <v/>
      </c>
      <c r="G412" s="38">
        <f>F412^2</f>
        <v/>
      </c>
      <c r="H412" s="37" t="n"/>
      <c r="I412" s="37" t="n"/>
    </row>
    <row r="413" ht="15" customHeight="1" s="28">
      <c r="A413" s="40" t="n">
        <v>400</v>
      </c>
      <c r="B413" s="56" t="n">
        <v>399</v>
      </c>
      <c r="C413" s="56">
        <f>B413^2</f>
        <v/>
      </c>
      <c r="D413" s="41" t="n">
        <v>4531.71</v>
      </c>
      <c r="E413" s="41">
        <f>4541.138727+0.225904*B413</f>
        <v/>
      </c>
      <c r="F413" s="42">
        <f>D413-E413</f>
        <v/>
      </c>
      <c r="G413" s="41">
        <f>F413^2</f>
        <v/>
      </c>
      <c r="H413" s="40" t="n"/>
      <c r="I413" s="40" t="n"/>
    </row>
    <row r="414" ht="15" customHeight="1" s="28">
      <c r="A414" s="37" t="n">
        <v>401</v>
      </c>
      <c r="B414" s="55" t="n">
        <v>400</v>
      </c>
      <c r="C414" s="55">
        <f>B414^2</f>
        <v/>
      </c>
      <c r="D414" s="38" t="n">
        <v>4533.58</v>
      </c>
      <c r="E414" s="38">
        <f>4541.138727+0.225904*B414</f>
        <v/>
      </c>
      <c r="F414" s="39">
        <f>D414-E414</f>
        <v/>
      </c>
      <c r="G414" s="38">
        <f>F414^2</f>
        <v/>
      </c>
      <c r="H414" s="37" t="n"/>
      <c r="I414" s="37" t="n"/>
    </row>
    <row r="415" ht="15" customHeight="1" s="28">
      <c r="A415" s="40" t="n">
        <v>402</v>
      </c>
      <c r="B415" s="56" t="n">
        <v>401</v>
      </c>
      <c r="C415" s="56">
        <f>B415^2</f>
        <v/>
      </c>
      <c r="D415" s="41" t="n">
        <v>4540.2</v>
      </c>
      <c r="E415" s="41">
        <f>4541.138727+0.225904*B415</f>
        <v/>
      </c>
      <c r="F415" s="42">
        <f>D415-E415</f>
        <v/>
      </c>
      <c r="G415" s="41">
        <f>F415^2</f>
        <v/>
      </c>
      <c r="H415" s="40" t="n"/>
      <c r="I415" s="40" t="n"/>
    </row>
    <row r="416" ht="15" customHeight="1" s="28">
      <c r="A416" s="37" t="n">
        <v>403</v>
      </c>
      <c r="B416" s="55" t="n">
        <v>402</v>
      </c>
      <c r="C416" s="55">
        <f>B416^2</f>
        <v/>
      </c>
      <c r="D416" s="38" t="n">
        <v>4540.11</v>
      </c>
      <c r="E416" s="38">
        <f>4541.138727+0.225904*B416</f>
        <v/>
      </c>
      <c r="F416" s="39">
        <f>D416-E416</f>
        <v/>
      </c>
      <c r="G416" s="38">
        <f>F416^2</f>
        <v/>
      </c>
      <c r="H416" s="37" t="n"/>
      <c r="I416" s="37" t="n"/>
    </row>
    <row r="417" ht="15" customHeight="1" s="28">
      <c r="A417" s="40" t="n">
        <v>404</v>
      </c>
      <c r="B417" s="56" t="n">
        <v>403</v>
      </c>
      <c r="C417" s="56">
        <f>B417^2</f>
        <v/>
      </c>
      <c r="D417" s="41" t="n">
        <v>4545.86</v>
      </c>
      <c r="E417" s="41">
        <f>4541.138727+0.225904*B417</f>
        <v/>
      </c>
      <c r="F417" s="42">
        <f>D417-E417</f>
        <v/>
      </c>
      <c r="G417" s="41">
        <f>F417^2</f>
        <v/>
      </c>
      <c r="H417" s="40" t="n"/>
      <c r="I417" s="40" t="n"/>
    </row>
    <row r="418" ht="15" customHeight="1" s="28">
      <c r="A418" s="37" t="n">
        <v>405</v>
      </c>
      <c r="B418" s="55" t="n">
        <v>404</v>
      </c>
      <c r="C418" s="55">
        <f>B418^2</f>
        <v/>
      </c>
      <c r="D418" s="38" t="n">
        <v>4545.73</v>
      </c>
      <c r="E418" s="38">
        <f>4541.138727+0.225904*B418</f>
        <v/>
      </c>
      <c r="F418" s="39">
        <f>D418-E418</f>
        <v/>
      </c>
      <c r="G418" s="38">
        <f>F418^2</f>
        <v/>
      </c>
      <c r="H418" s="37" t="n"/>
      <c r="I418" s="37" t="n"/>
    </row>
    <row r="419" ht="15" customHeight="1" s="28">
      <c r="A419" s="40" t="n">
        <v>406</v>
      </c>
      <c r="B419" s="56" t="n">
        <v>405</v>
      </c>
      <c r="C419" s="56">
        <f>B419^2</f>
        <v/>
      </c>
      <c r="D419" s="41" t="n">
        <v>4543.66</v>
      </c>
      <c r="E419" s="41">
        <f>4541.138727+0.225904*B419</f>
        <v/>
      </c>
      <c r="F419" s="42">
        <f>D419-E419</f>
        <v/>
      </c>
      <c r="G419" s="41">
        <f>F419^2</f>
        <v/>
      </c>
      <c r="H419" s="40" t="n"/>
      <c r="I419" s="40" t="n"/>
    </row>
    <row r="420" ht="15" customHeight="1" s="28">
      <c r="A420" s="37" t="n">
        <v>407</v>
      </c>
      <c r="B420" s="55" t="n">
        <v>406</v>
      </c>
      <c r="C420" s="55">
        <f>B420^2</f>
        <v/>
      </c>
      <c r="D420" s="38" t="n">
        <v>4536.86</v>
      </c>
      <c r="E420" s="38">
        <f>4541.138727+0.225904*B420</f>
        <v/>
      </c>
      <c r="F420" s="39">
        <f>D420-E420</f>
        <v/>
      </c>
      <c r="G420" s="38">
        <f>F420^2</f>
        <v/>
      </c>
      <c r="H420" s="37" t="n"/>
      <c r="I420" s="37" t="n"/>
    </row>
    <row r="421" ht="15" customHeight="1" s="28">
      <c r="A421" s="40" t="n">
        <v>408</v>
      </c>
      <c r="B421" s="56" t="n">
        <v>407</v>
      </c>
      <c r="C421" s="56">
        <f>B421^2</f>
        <v/>
      </c>
      <c r="D421" s="41" t="n">
        <v>4546.17</v>
      </c>
      <c r="E421" s="41">
        <f>4541.138727+0.225904*B421</f>
        <v/>
      </c>
      <c r="F421" s="42">
        <f>D421-E421</f>
        <v/>
      </c>
      <c r="G421" s="41">
        <f>F421^2</f>
        <v/>
      </c>
      <c r="H421" s="40" t="n"/>
      <c r="I421" s="40" t="n"/>
    </row>
    <row r="422" ht="15" customHeight="1" s="28">
      <c r="A422" s="37" t="n">
        <v>409</v>
      </c>
      <c r="B422" s="55" t="n">
        <v>408</v>
      </c>
      <c r="C422" s="55">
        <f>B422^2</f>
        <v/>
      </c>
      <c r="D422" s="38" t="n">
        <v>4548.12</v>
      </c>
      <c r="E422" s="38">
        <f>4541.138727+0.225904*B422</f>
        <v/>
      </c>
      <c r="F422" s="39">
        <f>D422-E422</f>
        <v/>
      </c>
      <c r="G422" s="38">
        <f>F422^2</f>
        <v/>
      </c>
      <c r="H422" s="37" t="n"/>
      <c r="I422" s="37" t="n"/>
    </row>
    <row r="423" ht="15" customHeight="1" s="28">
      <c r="A423" s="40" t="n">
        <v>410</v>
      </c>
      <c r="B423" s="56" t="n">
        <v>409</v>
      </c>
      <c r="C423" s="56">
        <f>B423^2</f>
        <v/>
      </c>
      <c r="D423" s="41" t="n">
        <v>4554.04</v>
      </c>
      <c r="E423" s="41">
        <f>4541.138727+0.225904*B423</f>
        <v/>
      </c>
      <c r="F423" s="42">
        <f>D423-E423</f>
        <v/>
      </c>
      <c r="G423" s="41">
        <f>F423^2</f>
        <v/>
      </c>
      <c r="H423" s="40" t="n"/>
      <c r="I423" s="40" t="n"/>
    </row>
    <row r="424" ht="15" customHeight="1" s="28">
      <c r="A424" s="37" t="n">
        <v>411</v>
      </c>
      <c r="B424" s="55" t="n">
        <v>410</v>
      </c>
      <c r="C424" s="55">
        <f>B424^2</f>
        <v/>
      </c>
      <c r="D424" s="38" t="n">
        <v>4548.94</v>
      </c>
      <c r="E424" s="38">
        <f>4541.138727+0.225904*B424</f>
        <v/>
      </c>
      <c r="F424" s="39">
        <f>D424-E424</f>
        <v/>
      </c>
      <c r="G424" s="38">
        <f>F424^2</f>
        <v/>
      </c>
      <c r="H424" s="37" t="n"/>
      <c r="I424" s="37" t="n"/>
    </row>
    <row r="425" ht="15" customHeight="1" s="28">
      <c r="A425" s="40" t="n">
        <v>412</v>
      </c>
      <c r="B425" s="56" t="n">
        <v>411</v>
      </c>
      <c r="C425" s="56">
        <f>B425^2</f>
        <v/>
      </c>
      <c r="D425" s="41" t="n">
        <v>4551.29</v>
      </c>
      <c r="E425" s="41">
        <f>4541.138727+0.225904*B425</f>
        <v/>
      </c>
      <c r="F425" s="42">
        <f>D425-E425</f>
        <v/>
      </c>
      <c r="G425" s="41">
        <f>F425^2</f>
        <v/>
      </c>
      <c r="H425" s="40" t="n"/>
      <c r="I425" s="40" t="n"/>
    </row>
    <row r="426" ht="15" customHeight="1" s="28">
      <c r="A426" s="37" t="n">
        <v>413</v>
      </c>
      <c r="B426" s="55" t="n">
        <v>412</v>
      </c>
      <c r="C426" s="55">
        <f>B426^2</f>
        <v/>
      </c>
      <c r="D426" s="38" t="n">
        <v>4545.57</v>
      </c>
      <c r="E426" s="38">
        <f>4541.138727+0.225904*B426</f>
        <v/>
      </c>
      <c r="F426" s="39">
        <f>D426-E426</f>
        <v/>
      </c>
      <c r="G426" s="38">
        <f>F426^2</f>
        <v/>
      </c>
      <c r="H426" s="37" t="n"/>
      <c r="I426" s="37" t="n"/>
    </row>
    <row r="427" ht="15" customHeight="1" s="28">
      <c r="A427" s="40" t="n">
        <v>414</v>
      </c>
      <c r="B427" s="56" t="n">
        <v>413</v>
      </c>
      <c r="C427" s="56">
        <f>B427^2</f>
        <v/>
      </c>
      <c r="D427" s="41" t="n">
        <v>4551.12</v>
      </c>
      <c r="E427" s="41">
        <f>4541.138727+0.225904*B427</f>
        <v/>
      </c>
      <c r="F427" s="42">
        <f>D427-E427</f>
        <v/>
      </c>
      <c r="G427" s="41">
        <f>F427^2</f>
        <v/>
      </c>
      <c r="H427" s="40" t="n"/>
      <c r="I427" s="40" t="n"/>
    </row>
    <row r="428" ht="15" customHeight="1" s="28">
      <c r="A428" s="37" t="n">
        <v>415</v>
      </c>
      <c r="B428" s="55" t="n">
        <v>414</v>
      </c>
      <c r="C428" s="55">
        <f>B428^2</f>
        <v/>
      </c>
      <c r="D428" s="38" t="n">
        <v>4551.48</v>
      </c>
      <c r="E428" s="38">
        <f>4541.138727+0.225904*B428</f>
        <v/>
      </c>
      <c r="F428" s="39">
        <f>D428-E428</f>
        <v/>
      </c>
      <c r="G428" s="38">
        <f>F428^2</f>
        <v/>
      </c>
      <c r="H428" s="37" t="n"/>
      <c r="I428" s="37" t="n"/>
    </row>
    <row r="429" ht="15" customHeight="1" s="28">
      <c r="A429" s="40" t="n">
        <v>416</v>
      </c>
      <c r="B429" s="56" t="n">
        <v>415</v>
      </c>
      <c r="C429" s="56">
        <f>B429^2</f>
        <v/>
      </c>
      <c r="D429" s="41" t="n">
        <v>4550.32</v>
      </c>
      <c r="E429" s="41">
        <f>4541.138727+0.225904*B429</f>
        <v/>
      </c>
      <c r="F429" s="42">
        <f>D429-E429</f>
        <v/>
      </c>
      <c r="G429" s="41">
        <f>F429^2</f>
        <v/>
      </c>
      <c r="H429" s="40" t="n"/>
      <c r="I429" s="40" t="n"/>
    </row>
    <row r="430" ht="15" customHeight="1" s="28">
      <c r="A430" s="37" t="n">
        <v>417</v>
      </c>
      <c r="B430" s="55" t="n">
        <v>416</v>
      </c>
      <c r="C430" s="55">
        <f>B430^2</f>
        <v/>
      </c>
      <c r="D430" s="38" t="n">
        <v>4558.34</v>
      </c>
      <c r="E430" s="38">
        <f>4541.138727+0.225904*B430</f>
        <v/>
      </c>
      <c r="F430" s="39">
        <f>D430-E430</f>
        <v/>
      </c>
      <c r="G430" s="38">
        <f>F430^2</f>
        <v/>
      </c>
      <c r="H430" s="37" t="n"/>
      <c r="I430" s="37" t="n"/>
    </row>
    <row r="431" ht="15" customHeight="1" s="28">
      <c r="A431" s="40" t="n">
        <v>418</v>
      </c>
      <c r="B431" s="56" t="n">
        <v>417</v>
      </c>
      <c r="C431" s="56">
        <f>B431^2</f>
        <v/>
      </c>
      <c r="D431" s="41" t="n">
        <v>4557.61</v>
      </c>
      <c r="E431" s="41">
        <f>4541.138727+0.225904*B431</f>
        <v/>
      </c>
      <c r="F431" s="42">
        <f>D431-E431</f>
        <v/>
      </c>
      <c r="G431" s="41">
        <f>F431^2</f>
        <v/>
      </c>
      <c r="H431" s="40" t="n"/>
      <c r="I431" s="40" t="n"/>
    </row>
    <row r="432" ht="15" customHeight="1" s="28">
      <c r="A432" s="37" t="n">
        <v>419</v>
      </c>
      <c r="B432" s="55" t="n">
        <v>418</v>
      </c>
      <c r="C432" s="55">
        <f>B432^2</f>
        <v/>
      </c>
      <c r="D432" s="38" t="n">
        <v>4552.3</v>
      </c>
      <c r="E432" s="38">
        <f>4541.138727+0.225904*B432</f>
        <v/>
      </c>
      <c r="F432" s="39">
        <f>D432-E432</f>
        <v/>
      </c>
      <c r="G432" s="38">
        <f>F432^2</f>
        <v/>
      </c>
      <c r="H432" s="37" t="n"/>
      <c r="I432" s="37" t="n"/>
    </row>
    <row r="433" ht="15" customHeight="1" s="28">
      <c r="A433" s="40" t="n">
        <v>420</v>
      </c>
      <c r="B433" s="56" t="n">
        <v>419</v>
      </c>
      <c r="C433" s="56">
        <f>B433^2</f>
        <v/>
      </c>
      <c r="D433" s="41" t="n">
        <v>4555.5</v>
      </c>
      <c r="E433" s="41">
        <f>4541.138727+0.225904*B433</f>
        <v/>
      </c>
      <c r="F433" s="42">
        <f>D433-E433</f>
        <v/>
      </c>
      <c r="G433" s="41">
        <f>F433^2</f>
        <v/>
      </c>
      <c r="H433" s="40" t="n"/>
      <c r="I433" s="40" t="n"/>
    </row>
    <row r="434" ht="15" customHeight="1" s="28">
      <c r="A434" s="37" t="n">
        <v>421</v>
      </c>
      <c r="B434" s="55" t="n">
        <v>420</v>
      </c>
      <c r="C434" s="55">
        <f>B434^2</f>
        <v/>
      </c>
      <c r="D434" s="38" t="n">
        <v>4556.21</v>
      </c>
      <c r="E434" s="38">
        <f>4541.138727+0.225904*B434</f>
        <v/>
      </c>
      <c r="F434" s="39">
        <f>D434-E434</f>
        <v/>
      </c>
      <c r="G434" s="38">
        <f>F434^2</f>
        <v/>
      </c>
      <c r="H434" s="37" t="n"/>
      <c r="I434" s="37" t="n"/>
    </row>
    <row r="435" ht="15" customHeight="1" s="28">
      <c r="A435" s="40" t="n">
        <v>422</v>
      </c>
      <c r="B435" s="56" t="n">
        <v>421</v>
      </c>
      <c r="C435" s="56">
        <f>B435^2</f>
        <v/>
      </c>
      <c r="D435" s="41" t="n">
        <v>4553.01</v>
      </c>
      <c r="E435" s="41">
        <f>4541.138727+0.225904*B435</f>
        <v/>
      </c>
      <c r="F435" s="42">
        <f>D435-E435</f>
        <v/>
      </c>
      <c r="G435" s="41">
        <f>F435^2</f>
        <v/>
      </c>
      <c r="H435" s="40" t="n"/>
      <c r="I435" s="40" t="n"/>
    </row>
    <row r="436" ht="15" customHeight="1" s="28">
      <c r="A436" s="37" t="n">
        <v>423</v>
      </c>
      <c r="B436" s="55" t="n">
        <v>422</v>
      </c>
      <c r="C436" s="55">
        <f>B436^2</f>
        <v/>
      </c>
      <c r="D436" s="38" t="n">
        <v>4547.92</v>
      </c>
      <c r="E436" s="38">
        <f>4541.138727+0.225904*B436</f>
        <v/>
      </c>
      <c r="F436" s="39">
        <f>D436-E436</f>
        <v/>
      </c>
      <c r="G436" s="38">
        <f>F436^2</f>
        <v/>
      </c>
      <c r="H436" s="37" t="n"/>
      <c r="I436" s="37" t="n"/>
    </row>
    <row r="437" ht="15" customHeight="1" s="28">
      <c r="A437" s="40" t="n">
        <v>424</v>
      </c>
      <c r="B437" s="56" t="n">
        <v>423</v>
      </c>
      <c r="C437" s="56">
        <f>B437^2</f>
        <v/>
      </c>
      <c r="D437" s="41" t="n">
        <v>4545.13</v>
      </c>
      <c r="E437" s="41">
        <f>4541.138727+0.225904*B437</f>
        <v/>
      </c>
      <c r="F437" s="42">
        <f>D437-E437</f>
        <v/>
      </c>
      <c r="G437" s="41">
        <f>F437^2</f>
        <v/>
      </c>
      <c r="H437" s="40" t="n"/>
      <c r="I437" s="40" t="n"/>
    </row>
    <row r="438" ht="15" customHeight="1" s="28">
      <c r="A438" s="37" t="n">
        <v>425</v>
      </c>
      <c r="B438" s="55" t="n">
        <v>424</v>
      </c>
      <c r="C438" s="55">
        <f>B438^2</f>
        <v/>
      </c>
      <c r="D438" s="38" t="n">
        <v>4543.73</v>
      </c>
      <c r="E438" s="38">
        <f>4541.138727+0.225904*B438</f>
        <v/>
      </c>
      <c r="F438" s="39">
        <f>D438-E438</f>
        <v/>
      </c>
      <c r="G438" s="38">
        <f>F438^2</f>
        <v/>
      </c>
      <c r="H438" s="37" t="n"/>
      <c r="I438" s="37" t="n"/>
    </row>
    <row r="439" ht="15" customHeight="1" s="28">
      <c r="A439" s="40" t="n">
        <v>426</v>
      </c>
      <c r="B439" s="56" t="n">
        <v>425</v>
      </c>
      <c r="C439" s="56">
        <f>B439^2</f>
        <v/>
      </c>
      <c r="D439" s="41" t="n">
        <v>4552.62</v>
      </c>
      <c r="E439" s="41">
        <f>4541.138727+0.225904*B439</f>
        <v/>
      </c>
      <c r="F439" s="42">
        <f>D439-E439</f>
        <v/>
      </c>
      <c r="G439" s="41">
        <f>F439^2</f>
        <v/>
      </c>
      <c r="H439" s="40" t="n"/>
      <c r="I439" s="40" t="n"/>
    </row>
    <row r="440" ht="15" customHeight="1" s="28">
      <c r="A440" s="37" t="n">
        <v>427</v>
      </c>
      <c r="B440" s="55" t="n">
        <v>426</v>
      </c>
      <c r="C440" s="55">
        <f>B440^2</f>
        <v/>
      </c>
      <c r="D440" s="38" t="n">
        <v>4556.17</v>
      </c>
      <c r="E440" s="38">
        <f>4541.138727+0.225904*B440</f>
        <v/>
      </c>
      <c r="F440" s="39">
        <f>D440-E440</f>
        <v/>
      </c>
      <c r="G440" s="38">
        <f>F440^2</f>
        <v/>
      </c>
      <c r="H440" s="37" t="n"/>
      <c r="I440" s="37" t="n"/>
    </row>
    <row r="441" ht="15" customHeight="1" s="28">
      <c r="A441" s="40" t="n">
        <v>428</v>
      </c>
      <c r="B441" s="56" t="n">
        <v>427</v>
      </c>
      <c r="C441" s="56">
        <f>B441^2</f>
        <v/>
      </c>
      <c r="D441" s="41" t="n">
        <v>4563.32</v>
      </c>
      <c r="E441" s="41">
        <f>4541.138727+0.225904*B441</f>
        <v/>
      </c>
      <c r="F441" s="42">
        <f>D441-E441</f>
        <v/>
      </c>
      <c r="G441" s="41">
        <f>F441^2</f>
        <v/>
      </c>
      <c r="H441" s="40" t="n"/>
      <c r="I441" s="40" t="n"/>
    </row>
    <row r="442" ht="15" customHeight="1" s="28">
      <c r="A442" s="37" t="n">
        <v>429</v>
      </c>
      <c r="B442" s="55" t="n">
        <v>428</v>
      </c>
      <c r="C442" s="55">
        <f>B442^2</f>
        <v/>
      </c>
      <c r="D442" s="38" t="n">
        <v>4562.6</v>
      </c>
      <c r="E442" s="38">
        <f>4541.138727+0.225904*B442</f>
        <v/>
      </c>
      <c r="F442" s="39">
        <f>D442-E442</f>
        <v/>
      </c>
      <c r="G442" s="38">
        <f>F442^2</f>
        <v/>
      </c>
      <c r="H442" s="37" t="n"/>
      <c r="I442" s="37" t="n"/>
    </row>
    <row r="443" ht="15" customHeight="1" s="28">
      <c r="A443" s="40" t="n">
        <v>430</v>
      </c>
      <c r="B443" s="56" t="n">
        <v>429</v>
      </c>
      <c r="C443" s="56">
        <f>B443^2</f>
        <v/>
      </c>
      <c r="D443" s="41" t="n">
        <v>4565</v>
      </c>
      <c r="E443" s="41">
        <f>4541.138727+0.225904*B443</f>
        <v/>
      </c>
      <c r="F443" s="42">
        <f>D443-E443</f>
        <v/>
      </c>
      <c r="G443" s="41">
        <f>F443^2</f>
        <v/>
      </c>
      <c r="H443" s="40" t="n"/>
      <c r="I443" s="40" t="n"/>
    </row>
    <row r="444" ht="15" customHeight="1" s="28">
      <c r="A444" s="37" t="n">
        <v>431</v>
      </c>
      <c r="B444" s="55" t="n">
        <v>430</v>
      </c>
      <c r="C444" s="55">
        <f>B444^2</f>
        <v/>
      </c>
      <c r="D444" s="38" t="n">
        <v>4573.81</v>
      </c>
      <c r="E444" s="38">
        <f>4541.138727+0.225904*B444</f>
        <v/>
      </c>
      <c r="F444" s="39">
        <f>D444-E444</f>
        <v/>
      </c>
      <c r="G444" s="38">
        <f>F444^2</f>
        <v/>
      </c>
      <c r="H444" s="37" t="n"/>
      <c r="I444" s="37" t="n"/>
    </row>
    <row r="445" ht="15" customHeight="1" s="28">
      <c r="A445" s="40" t="n">
        <v>432</v>
      </c>
      <c r="B445" s="56" t="n">
        <v>431</v>
      </c>
      <c r="C445" s="56">
        <f>B445^2</f>
        <v/>
      </c>
      <c r="D445" s="41" t="n">
        <v>4567.11</v>
      </c>
      <c r="E445" s="41">
        <f>4541.138727+0.225904*B445</f>
        <v/>
      </c>
      <c r="F445" s="42">
        <f>D445-E445</f>
        <v/>
      </c>
      <c r="G445" s="41">
        <f>F445^2</f>
        <v/>
      </c>
      <c r="H445" s="40" t="n"/>
      <c r="I445" s="40" t="n"/>
    </row>
    <row r="446" ht="15" customHeight="1" s="28">
      <c r="A446" s="37" t="n">
        <v>433</v>
      </c>
      <c r="B446" s="55" t="n">
        <v>432</v>
      </c>
      <c r="C446" s="55">
        <f>B446^2</f>
        <v/>
      </c>
      <c r="D446" s="38" t="n">
        <v>4564.68</v>
      </c>
      <c r="E446" s="38">
        <f>4541.138727+0.225904*B446</f>
        <v/>
      </c>
      <c r="F446" s="39">
        <f>D446-E446</f>
        <v/>
      </c>
      <c r="G446" s="38">
        <f>F446^2</f>
        <v/>
      </c>
      <c r="H446" s="37" t="n"/>
      <c r="I446" s="37" t="n"/>
    </row>
    <row r="447" ht="15" customHeight="1" s="28">
      <c r="A447" s="40" t="n">
        <v>434</v>
      </c>
      <c r="B447" s="56" t="n">
        <v>433</v>
      </c>
      <c r="C447" s="56">
        <f>B447^2</f>
        <v/>
      </c>
      <c r="D447" s="41" t="n">
        <v>4578.78</v>
      </c>
      <c r="E447" s="41">
        <f>4541.138727+0.225904*B447</f>
        <v/>
      </c>
      <c r="F447" s="42">
        <f>D447-E447</f>
        <v/>
      </c>
      <c r="G447" s="41">
        <f>F447^2</f>
        <v/>
      </c>
      <c r="H447" s="40" t="n"/>
      <c r="I447" s="40" t="n"/>
    </row>
    <row r="448" ht="15" customHeight="1" s="28">
      <c r="A448" s="37" t="n">
        <v>435</v>
      </c>
      <c r="B448" s="55" t="n">
        <v>434</v>
      </c>
      <c r="C448" s="55">
        <f>B448^2</f>
        <v/>
      </c>
      <c r="D448" s="38" t="n">
        <v>4576.85</v>
      </c>
      <c r="E448" s="38">
        <f>4541.138727+0.225904*B448</f>
        <v/>
      </c>
      <c r="F448" s="39">
        <f>D448-E448</f>
        <v/>
      </c>
      <c r="G448" s="38">
        <f>F448^2</f>
        <v/>
      </c>
      <c r="H448" s="37" t="n"/>
      <c r="I448" s="37" t="n"/>
    </row>
    <row r="449" ht="15" customHeight="1" s="28">
      <c r="A449" s="40" t="n">
        <v>436</v>
      </c>
      <c r="B449" s="56" t="n">
        <v>435</v>
      </c>
      <c r="C449" s="56">
        <f>B449^2</f>
        <v/>
      </c>
      <c r="D449" s="41" t="n">
        <v>4574.12</v>
      </c>
      <c r="E449" s="41">
        <f>4541.138727+0.225904*B449</f>
        <v/>
      </c>
      <c r="F449" s="42">
        <f>D449-E449</f>
        <v/>
      </c>
      <c r="G449" s="41">
        <f>F449^2</f>
        <v/>
      </c>
      <c r="H449" s="40" t="n"/>
      <c r="I449" s="40" t="n"/>
    </row>
    <row r="450" ht="15" customHeight="1" s="28">
      <c r="A450" s="37" t="n">
        <v>437</v>
      </c>
      <c r="B450" s="55" t="n">
        <v>436</v>
      </c>
      <c r="C450" s="55">
        <f>B450^2</f>
        <v/>
      </c>
      <c r="D450" s="38" t="n">
        <v>4579.4</v>
      </c>
      <c r="E450" s="38">
        <f>4541.138727+0.225904*B450</f>
        <v/>
      </c>
      <c r="F450" s="39">
        <f>D450-E450</f>
        <v/>
      </c>
      <c r="G450" s="38">
        <f>F450^2</f>
        <v/>
      </c>
      <c r="H450" s="37" t="n"/>
      <c r="I450" s="37" t="n"/>
    </row>
    <row r="451" ht="15" customHeight="1" s="28">
      <c r="A451" s="40" t="n">
        <v>438</v>
      </c>
      <c r="B451" s="56" t="n">
        <v>437</v>
      </c>
      <c r="C451" s="56">
        <f>B451^2</f>
        <v/>
      </c>
      <c r="D451" s="41" t="n">
        <v>4573.57</v>
      </c>
      <c r="E451" s="41">
        <f>4541.138727+0.225904*B451</f>
        <v/>
      </c>
      <c r="F451" s="42">
        <f>D451-E451</f>
        <v/>
      </c>
      <c r="G451" s="41">
        <f>F451^2</f>
        <v/>
      </c>
      <c r="H451" s="40" t="n"/>
      <c r="I451" s="40" t="n"/>
    </row>
    <row r="452" ht="15" customHeight="1" s="28">
      <c r="A452" s="37" t="n">
        <v>439</v>
      </c>
      <c r="B452" s="55" t="n">
        <v>438</v>
      </c>
      <c r="C452" s="55">
        <f>B452^2</f>
        <v/>
      </c>
      <c r="D452" s="38" t="n">
        <v>4584.37</v>
      </c>
      <c r="E452" s="38">
        <f>4541.138727+0.225904*B452</f>
        <v/>
      </c>
      <c r="F452" s="39">
        <f>D452-E452</f>
        <v/>
      </c>
      <c r="G452" s="38">
        <f>F452^2</f>
        <v/>
      </c>
      <c r="H452" s="37" t="n"/>
      <c r="I452" s="37" t="n"/>
    </row>
    <row r="453" ht="15" customHeight="1" s="28">
      <c r="A453" s="40" t="n">
        <v>440</v>
      </c>
      <c r="B453" s="56" t="n">
        <v>439</v>
      </c>
      <c r="C453" s="56">
        <f>B453^2</f>
        <v/>
      </c>
      <c r="D453" s="41" t="n">
        <v>4582.96</v>
      </c>
      <c r="E453" s="41">
        <f>4541.138727+0.225904*B453</f>
        <v/>
      </c>
      <c r="F453" s="42">
        <f>D453-E453</f>
        <v/>
      </c>
      <c r="G453" s="41">
        <f>F453^2</f>
        <v/>
      </c>
      <c r="H453" s="40" t="n"/>
      <c r="I453" s="40" t="n"/>
    </row>
    <row r="454" ht="15" customHeight="1" s="28">
      <c r="A454" s="37" t="n">
        <v>441</v>
      </c>
      <c r="B454" s="55" t="n">
        <v>440</v>
      </c>
      <c r="C454" s="55">
        <f>B454^2</f>
        <v/>
      </c>
      <c r="D454" s="38" t="n">
        <v>4582.46</v>
      </c>
      <c r="E454" s="38">
        <f>4541.138727+0.225904*B454</f>
        <v/>
      </c>
      <c r="F454" s="39">
        <f>D454-E454</f>
        <v/>
      </c>
      <c r="G454" s="38">
        <f>F454^2</f>
        <v/>
      </c>
      <c r="H454" s="37" t="n"/>
      <c r="I454" s="37" t="n"/>
    </row>
    <row r="455" ht="15" customHeight="1" s="28">
      <c r="A455" s="40" t="n">
        <v>442</v>
      </c>
      <c r="B455" s="56" t="n">
        <v>441</v>
      </c>
      <c r="C455" s="56">
        <f>B455^2</f>
        <v/>
      </c>
      <c r="D455" s="41" t="n">
        <v>4580.89</v>
      </c>
      <c r="E455" s="41">
        <f>4541.138727+0.225904*B455</f>
        <v/>
      </c>
      <c r="F455" s="42">
        <f>D455-E455</f>
        <v/>
      </c>
      <c r="G455" s="41">
        <f>F455^2</f>
        <v/>
      </c>
      <c r="H455" s="40" t="n"/>
      <c r="I455" s="40" t="n"/>
    </row>
    <row r="456" ht="15" customHeight="1" s="28">
      <c r="A456" s="37" t="n">
        <v>443</v>
      </c>
      <c r="B456" s="55" t="n">
        <v>442</v>
      </c>
      <c r="C456" s="55">
        <f>B456^2</f>
        <v/>
      </c>
      <c r="D456" s="38" t="n">
        <v>4578.99</v>
      </c>
      <c r="E456" s="38">
        <f>4541.138727+0.225904*B456</f>
        <v/>
      </c>
      <c r="F456" s="39">
        <f>D456-E456</f>
        <v/>
      </c>
      <c r="G456" s="38">
        <f>F456^2</f>
        <v/>
      </c>
      <c r="H456" s="37" t="n"/>
      <c r="I456" s="37" t="n"/>
    </row>
    <row r="457" ht="15" customHeight="1" s="28">
      <c r="A457" s="40" t="n">
        <v>444</v>
      </c>
      <c r="B457" s="56" t="n">
        <v>443</v>
      </c>
      <c r="C457" s="56">
        <f>B457^2</f>
        <v/>
      </c>
      <c r="D457" s="41" t="n">
        <v>4572.95</v>
      </c>
      <c r="E457" s="41">
        <f>4541.138727+0.225904*B457</f>
        <v/>
      </c>
      <c r="F457" s="42">
        <f>D457-E457</f>
        <v/>
      </c>
      <c r="G457" s="41">
        <f>F457^2</f>
        <v/>
      </c>
      <c r="H457" s="40" t="n"/>
      <c r="I457" s="40" t="n"/>
    </row>
    <row r="458" ht="15" customHeight="1" s="28">
      <c r="A458" s="37" t="n">
        <v>445</v>
      </c>
      <c r="B458" s="55" t="n">
        <v>444</v>
      </c>
      <c r="C458" s="55">
        <f>B458^2</f>
        <v/>
      </c>
      <c r="D458" s="38" t="n">
        <v>4568.49</v>
      </c>
      <c r="E458" s="38">
        <f>4541.138727+0.225904*B458</f>
        <v/>
      </c>
      <c r="F458" s="39">
        <f>D458-E458</f>
        <v/>
      </c>
      <c r="G458" s="38">
        <f>F458^2</f>
        <v/>
      </c>
      <c r="H458" s="37" t="n"/>
      <c r="I458" s="37" t="n"/>
    </row>
    <row r="459" ht="15" customHeight="1" s="28">
      <c r="A459" s="40" t="n">
        <v>446</v>
      </c>
      <c r="B459" s="56" t="n">
        <v>445</v>
      </c>
      <c r="C459" s="56">
        <f>B459^2</f>
        <v/>
      </c>
      <c r="D459" s="41" t="n">
        <v>4566.28</v>
      </c>
      <c r="E459" s="41">
        <f>4541.138727+0.225904*B459</f>
        <v/>
      </c>
      <c r="F459" s="42">
        <f>D459-E459</f>
        <v/>
      </c>
      <c r="G459" s="41">
        <f>F459^2</f>
        <v/>
      </c>
      <c r="H459" s="40" t="n"/>
      <c r="I459" s="40" t="n"/>
    </row>
    <row r="460" ht="15" customHeight="1" s="28">
      <c r="A460" s="37" t="n">
        <v>447</v>
      </c>
      <c r="B460" s="55" t="n">
        <v>446</v>
      </c>
      <c r="C460" s="55">
        <f>B460^2</f>
        <v/>
      </c>
      <c r="D460" s="38" t="n">
        <v>4559.7</v>
      </c>
      <c r="E460" s="38">
        <f>4541.138727+0.225904*B460</f>
        <v/>
      </c>
      <c r="F460" s="39">
        <f>D460-E460</f>
        <v/>
      </c>
      <c r="G460" s="38">
        <f>F460^2</f>
        <v/>
      </c>
      <c r="H460" s="37" t="n"/>
      <c r="I460" s="37" t="n"/>
    </row>
    <row r="461" ht="15" customHeight="1" s="28">
      <c r="A461" s="40" t="n">
        <v>448</v>
      </c>
      <c r="B461" s="56" t="n">
        <v>447</v>
      </c>
      <c r="C461" s="56">
        <f>B461^2</f>
        <v/>
      </c>
      <c r="D461" s="41" t="n">
        <v>4556.78</v>
      </c>
      <c r="E461" s="41">
        <f>4541.138727+0.225904*B461</f>
        <v/>
      </c>
      <c r="F461" s="42">
        <f>D461-E461</f>
        <v/>
      </c>
      <c r="G461" s="41">
        <f>F461^2</f>
        <v/>
      </c>
      <c r="H461" s="40" t="n"/>
      <c r="I461" s="40" t="n"/>
    </row>
    <row r="462" ht="15" customHeight="1" s="28">
      <c r="A462" s="37" t="n">
        <v>449</v>
      </c>
      <c r="B462" s="55" t="n">
        <v>448</v>
      </c>
      <c r="C462" s="55">
        <f>B462^2</f>
        <v/>
      </c>
      <c r="D462" s="38" t="n">
        <v>4561.35</v>
      </c>
      <c r="E462" s="38">
        <f>4541.138727+0.225904*B462</f>
        <v/>
      </c>
      <c r="F462" s="39">
        <f>D462-E462</f>
        <v/>
      </c>
      <c r="G462" s="38">
        <f>F462^2</f>
        <v/>
      </c>
      <c r="H462" s="37" t="n"/>
      <c r="I462" s="37" t="n"/>
    </row>
    <row r="463" ht="15" customHeight="1" s="28">
      <c r="A463" s="40" t="n">
        <v>450</v>
      </c>
      <c r="B463" s="56" t="n">
        <v>449</v>
      </c>
      <c r="C463" s="56">
        <f>B463^2</f>
        <v/>
      </c>
      <c r="D463" s="41" t="n">
        <v>4556.2</v>
      </c>
      <c r="E463" s="41">
        <f>4541.138727+0.225904*B463</f>
        <v/>
      </c>
      <c r="F463" s="42">
        <f>D463-E463</f>
        <v/>
      </c>
      <c r="G463" s="41">
        <f>F463^2</f>
        <v/>
      </c>
      <c r="H463" s="40" t="n"/>
      <c r="I463" s="40" t="n"/>
    </row>
    <row r="464" ht="15" customHeight="1" s="28">
      <c r="A464" s="37" t="n">
        <v>451</v>
      </c>
      <c r="B464" s="55" t="n">
        <v>450</v>
      </c>
      <c r="C464" s="55">
        <f>B464^2</f>
        <v/>
      </c>
      <c r="D464" s="38" t="n">
        <v>4558.57</v>
      </c>
      <c r="E464" s="38">
        <f>4541.138727+0.225904*B464</f>
        <v/>
      </c>
      <c r="F464" s="39">
        <f>D464-E464</f>
        <v/>
      </c>
      <c r="G464" s="38">
        <f>F464^2</f>
        <v/>
      </c>
      <c r="H464" s="37" t="n"/>
      <c r="I464" s="37" t="n"/>
    </row>
    <row r="465" ht="15" customHeight="1" s="28">
      <c r="A465" s="40" t="n">
        <v>452</v>
      </c>
      <c r="B465" s="56" t="n">
        <v>451</v>
      </c>
      <c r="C465" s="56">
        <f>B465^2</f>
        <v/>
      </c>
      <c r="D465" s="41" t="n">
        <v>4560.43</v>
      </c>
      <c r="E465" s="41">
        <f>4541.138727+0.225904*B465</f>
        <v/>
      </c>
      <c r="F465" s="42">
        <f>D465-E465</f>
        <v/>
      </c>
      <c r="G465" s="41">
        <f>F465^2</f>
        <v/>
      </c>
      <c r="H465" s="40" t="n"/>
      <c r="I465" s="40" t="n"/>
    </row>
    <row r="466" ht="15" customHeight="1" s="28">
      <c r="A466" s="37" t="n">
        <v>453</v>
      </c>
      <c r="B466" s="55" t="n">
        <v>452</v>
      </c>
      <c r="C466" s="55">
        <f>B466^2</f>
        <v/>
      </c>
      <c r="D466" s="38" t="n">
        <v>4559.93</v>
      </c>
      <c r="E466" s="38">
        <f>4541.138727+0.225904*B466</f>
        <v/>
      </c>
      <c r="F466" s="39">
        <f>D466-E466</f>
        <v/>
      </c>
      <c r="G466" s="38">
        <f>F466^2</f>
        <v/>
      </c>
      <c r="H466" s="37" t="n"/>
      <c r="I466" s="37" t="n"/>
    </row>
    <row r="467" ht="15" customHeight="1" s="28">
      <c r="A467" s="40" t="n">
        <v>454</v>
      </c>
      <c r="B467" s="56" t="n">
        <v>453</v>
      </c>
      <c r="C467" s="56">
        <f>B467^2</f>
        <v/>
      </c>
      <c r="D467" s="41" t="n">
        <v>4564.29</v>
      </c>
      <c r="E467" s="41">
        <f>4541.138727+0.225904*B467</f>
        <v/>
      </c>
      <c r="F467" s="42">
        <f>D467-E467</f>
        <v/>
      </c>
      <c r="G467" s="41">
        <f>F467^2</f>
        <v/>
      </c>
      <c r="H467" s="40" t="n"/>
      <c r="I467" s="40" t="n"/>
    </row>
    <row r="468" ht="15" customHeight="1" s="28">
      <c r="A468" s="37" t="n">
        <v>455</v>
      </c>
      <c r="B468" s="55" t="n">
        <v>454</v>
      </c>
      <c r="C468" s="55">
        <f>B468^2</f>
        <v/>
      </c>
      <c r="D468" s="38" t="n">
        <v>4562.18</v>
      </c>
      <c r="E468" s="38">
        <f>4541.138727+0.225904*B468</f>
        <v/>
      </c>
      <c r="F468" s="39">
        <f>D468-E468</f>
        <v/>
      </c>
      <c r="G468" s="38">
        <f>F468^2</f>
        <v/>
      </c>
      <c r="H468" s="37" t="n"/>
      <c r="I468" s="37" t="n"/>
    </row>
    <row r="469" ht="15" customHeight="1" s="28">
      <c r="A469" s="40" t="n">
        <v>456</v>
      </c>
      <c r="B469" s="56" t="n">
        <v>455</v>
      </c>
      <c r="C469" s="56">
        <f>B469^2</f>
        <v/>
      </c>
      <c r="D469" s="41" t="n">
        <v>4561.56</v>
      </c>
      <c r="E469" s="41">
        <f>4541.138727+0.225904*B469</f>
        <v/>
      </c>
      <c r="F469" s="42">
        <f>D469-E469</f>
        <v/>
      </c>
      <c r="G469" s="41">
        <f>F469^2</f>
        <v/>
      </c>
      <c r="H469" s="40" t="n"/>
      <c r="I469" s="40" t="n"/>
    </row>
    <row r="470" ht="15" customHeight="1" s="28">
      <c r="A470" s="37" t="n">
        <v>457</v>
      </c>
      <c r="B470" s="55" t="n">
        <v>456</v>
      </c>
      <c r="C470" s="55">
        <f>B470^2</f>
        <v/>
      </c>
      <c r="D470" s="38" t="n">
        <v>4561.04</v>
      </c>
      <c r="E470" s="38">
        <f>4541.138727+0.225904*B470</f>
        <v/>
      </c>
      <c r="F470" s="39">
        <f>D470-E470</f>
        <v/>
      </c>
      <c r="G470" s="38">
        <f>F470^2</f>
        <v/>
      </c>
      <c r="H470" s="37" t="n"/>
      <c r="I470" s="37" t="n"/>
    </row>
    <row r="471" ht="15" customHeight="1" s="28">
      <c r="A471" s="40" t="n">
        <v>458</v>
      </c>
      <c r="B471" s="56" t="n">
        <v>457</v>
      </c>
      <c r="C471" s="56">
        <f>B471^2</f>
        <v/>
      </c>
      <c r="D471" s="41" t="n">
        <v>4557.24</v>
      </c>
      <c r="E471" s="41">
        <f>4541.138727+0.225904*B471</f>
        <v/>
      </c>
      <c r="F471" s="42">
        <f>D471-E471</f>
        <v/>
      </c>
      <c r="G471" s="41">
        <f>F471^2</f>
        <v/>
      </c>
      <c r="H471" s="40" t="n"/>
      <c r="I471" s="40" t="n"/>
    </row>
    <row r="472" ht="15" customHeight="1" s="28">
      <c r="A472" s="37" t="n">
        <v>459</v>
      </c>
      <c r="B472" s="55" t="n">
        <v>458</v>
      </c>
      <c r="C472" s="55">
        <f>B472^2</f>
        <v/>
      </c>
      <c r="D472" s="38" t="n">
        <v>4556.32</v>
      </c>
      <c r="E472" s="38">
        <f>4541.138727+0.225904*B472</f>
        <v/>
      </c>
      <c r="F472" s="39">
        <f>D472-E472</f>
        <v/>
      </c>
      <c r="G472" s="38">
        <f>F472^2</f>
        <v/>
      </c>
      <c r="H472" s="37" t="n"/>
      <c r="I472" s="37" t="n"/>
    </row>
    <row r="473" ht="15" customHeight="1" s="28">
      <c r="A473" s="40" t="n">
        <v>460</v>
      </c>
      <c r="B473" s="56" t="n">
        <v>459</v>
      </c>
      <c r="C473" s="56">
        <f>B473^2</f>
        <v/>
      </c>
      <c r="D473" s="41" t="n">
        <v>4555.64</v>
      </c>
      <c r="E473" s="41">
        <f>4541.138727+0.225904*B473</f>
        <v/>
      </c>
      <c r="F473" s="42">
        <f>D473-E473</f>
        <v/>
      </c>
      <c r="G473" s="41">
        <f>F473^2</f>
        <v/>
      </c>
      <c r="H473" s="40" t="n"/>
      <c r="I473" s="40" t="n"/>
    </row>
    <row r="474" ht="15" customHeight="1" s="28">
      <c r="A474" s="37" t="n">
        <v>461</v>
      </c>
      <c r="B474" s="55" t="n">
        <v>460</v>
      </c>
      <c r="C474" s="55">
        <f>B474^2</f>
        <v/>
      </c>
      <c r="D474" s="38" t="n">
        <v>4554.64</v>
      </c>
      <c r="E474" s="38">
        <f>4541.138727+0.225904*B474</f>
        <v/>
      </c>
      <c r="F474" s="39">
        <f>D474-E474</f>
        <v/>
      </c>
      <c r="G474" s="38">
        <f>F474^2</f>
        <v/>
      </c>
      <c r="H474" s="37" t="n"/>
      <c r="I474" s="37" t="n"/>
    </row>
    <row r="475" ht="15" customHeight="1" s="28">
      <c r="A475" s="40" t="n">
        <v>462</v>
      </c>
      <c r="B475" s="56" t="n">
        <v>461</v>
      </c>
      <c r="C475" s="56">
        <f>B475^2</f>
        <v/>
      </c>
      <c r="D475" s="41" t="n">
        <v>4557.01</v>
      </c>
      <c r="E475" s="41">
        <f>4541.138727+0.225904*B475</f>
        <v/>
      </c>
      <c r="F475" s="42">
        <f>D475-E475</f>
        <v/>
      </c>
      <c r="G475" s="41">
        <f>F475^2</f>
        <v/>
      </c>
      <c r="H475" s="40" t="n"/>
      <c r="I475" s="40" t="n"/>
    </row>
    <row r="476" ht="15" customHeight="1" s="28">
      <c r="A476" s="37" t="n">
        <v>463</v>
      </c>
      <c r="B476" s="55" t="n">
        <v>462</v>
      </c>
      <c r="C476" s="55">
        <f>B476^2</f>
        <v/>
      </c>
      <c r="D476" s="38" t="n">
        <v>4559.18</v>
      </c>
      <c r="E476" s="38">
        <f>4541.138727+0.225904*B476</f>
        <v/>
      </c>
      <c r="F476" s="39">
        <f>D476-E476</f>
        <v/>
      </c>
      <c r="G476" s="38">
        <f>F476^2</f>
        <v/>
      </c>
      <c r="H476" s="37" t="n"/>
      <c r="I476" s="37" t="n"/>
    </row>
    <row r="477" ht="15" customHeight="1" s="28">
      <c r="A477" s="40" t="n">
        <v>464</v>
      </c>
      <c r="B477" s="56" t="n">
        <v>463</v>
      </c>
      <c r="C477" s="56">
        <f>B477^2</f>
        <v/>
      </c>
      <c r="D477" s="41" t="n">
        <v>4555.63</v>
      </c>
      <c r="E477" s="41">
        <f>4541.138727+0.225904*B477</f>
        <v/>
      </c>
      <c r="F477" s="42">
        <f>D477-E477</f>
        <v/>
      </c>
      <c r="G477" s="41">
        <f>F477^2</f>
        <v/>
      </c>
      <c r="H477" s="40" t="n"/>
      <c r="I477" s="40" t="n"/>
    </row>
    <row r="478" ht="15" customHeight="1" s="28">
      <c r="A478" s="37" t="n">
        <v>465</v>
      </c>
      <c r="B478" s="55" t="n">
        <v>464</v>
      </c>
      <c r="C478" s="55">
        <f>B478^2</f>
        <v/>
      </c>
      <c r="D478" s="38" t="n">
        <v>4557.58</v>
      </c>
      <c r="E478" s="38">
        <f>4541.138727+0.225904*B478</f>
        <v/>
      </c>
      <c r="F478" s="39">
        <f>D478-E478</f>
        <v/>
      </c>
      <c r="G478" s="38">
        <f>F478^2</f>
        <v/>
      </c>
      <c r="H478" s="37" t="n"/>
      <c r="I478" s="37" t="n"/>
    </row>
    <row r="479" ht="15" customHeight="1" s="28">
      <c r="A479" s="40" t="n">
        <v>466</v>
      </c>
      <c r="B479" s="56" t="n">
        <v>465</v>
      </c>
      <c r="C479" s="56">
        <f>B479^2</f>
        <v/>
      </c>
      <c r="D479" s="41" t="n">
        <v>4550.67</v>
      </c>
      <c r="E479" s="41">
        <f>4541.138727+0.225904*B479</f>
        <v/>
      </c>
      <c r="F479" s="42">
        <f>D479-E479</f>
        <v/>
      </c>
      <c r="G479" s="41">
        <f>F479^2</f>
        <v/>
      </c>
      <c r="H479" s="40" t="n"/>
      <c r="I479" s="40" t="n"/>
    </row>
    <row r="480" ht="15" customHeight="1" s="28">
      <c r="A480" s="37" t="n">
        <v>467</v>
      </c>
      <c r="B480" s="55" t="n">
        <v>466</v>
      </c>
      <c r="C480" s="55">
        <f>B480^2</f>
        <v/>
      </c>
      <c r="D480" s="38" t="n">
        <v>4546.68</v>
      </c>
      <c r="E480" s="38">
        <f>4541.138727+0.225904*B480</f>
        <v/>
      </c>
      <c r="F480" s="39">
        <f>D480-E480</f>
        <v/>
      </c>
      <c r="G480" s="38">
        <f>F480^2</f>
        <v/>
      </c>
      <c r="H480" s="37" t="n"/>
      <c r="I480" s="37" t="n"/>
    </row>
    <row r="481" ht="15" customHeight="1" s="28">
      <c r="A481" s="40" t="n">
        <v>468</v>
      </c>
      <c r="B481" s="56" t="n">
        <v>467</v>
      </c>
      <c r="C481" s="56">
        <f>B481^2</f>
        <v/>
      </c>
      <c r="D481" s="41" t="n">
        <v>4548.82</v>
      </c>
      <c r="E481" s="41">
        <f>4541.138727+0.225904*B481</f>
        <v/>
      </c>
      <c r="F481" s="42">
        <f>D481-E481</f>
        <v/>
      </c>
      <c r="G481" s="41">
        <f>F481^2</f>
        <v/>
      </c>
      <c r="H481" s="40" t="n"/>
      <c r="I481" s="40" t="n"/>
    </row>
    <row r="482" ht="15" customHeight="1" s="28">
      <c r="A482" s="37" t="n">
        <v>469</v>
      </c>
      <c r="B482" s="55" t="n">
        <v>468</v>
      </c>
      <c r="C482" s="55">
        <f>B482^2</f>
        <v/>
      </c>
      <c r="D482" s="38" t="n">
        <v>4573.43</v>
      </c>
      <c r="E482" s="38">
        <f>4541.138727+0.225904*B482</f>
        <v/>
      </c>
      <c r="F482" s="39">
        <f>D482-E482</f>
        <v/>
      </c>
      <c r="G482" s="38">
        <f>F482^2</f>
        <v/>
      </c>
      <c r="H482" s="37" t="n"/>
      <c r="I482" s="37" t="n"/>
    </row>
    <row r="483" ht="15" customHeight="1" s="28">
      <c r="A483" s="40" t="n">
        <v>470</v>
      </c>
      <c r="B483" s="56" t="n">
        <v>469</v>
      </c>
      <c r="C483" s="56">
        <f>B483^2</f>
        <v/>
      </c>
      <c r="D483" s="41" t="n">
        <v>4588.62</v>
      </c>
      <c r="E483" s="41">
        <f>4541.138727+0.225904*B483</f>
        <v/>
      </c>
      <c r="F483" s="42">
        <f>D483-E483</f>
        <v/>
      </c>
      <c r="G483" s="41">
        <f>F483^2</f>
        <v/>
      </c>
      <c r="H483" s="40" t="n"/>
      <c r="I483" s="40" t="n"/>
    </row>
    <row r="484" ht="15" customHeight="1" s="28">
      <c r="A484" s="37" t="n">
        <v>471</v>
      </c>
      <c r="B484" s="55" t="n">
        <v>470</v>
      </c>
      <c r="C484" s="55">
        <f>B484^2</f>
        <v/>
      </c>
      <c r="D484" s="38" t="n">
        <v>4582.1</v>
      </c>
      <c r="E484" s="38">
        <f>4541.138727+0.225904*B484</f>
        <v/>
      </c>
      <c r="F484" s="39">
        <f>D484-E484</f>
        <v/>
      </c>
      <c r="G484" s="38">
        <f>F484^2</f>
        <v/>
      </c>
      <c r="H484" s="37" t="n"/>
      <c r="I484" s="37" t="n"/>
    </row>
    <row r="485" ht="15" customHeight="1" s="28">
      <c r="A485" s="40" t="n">
        <v>472</v>
      </c>
      <c r="B485" s="56" t="n">
        <v>471</v>
      </c>
      <c r="C485" s="56">
        <f>B485^2</f>
        <v/>
      </c>
      <c r="D485" s="41" t="n">
        <v>4584.84</v>
      </c>
      <c r="E485" s="41">
        <f>4541.138727+0.225904*B485</f>
        <v/>
      </c>
      <c r="F485" s="42">
        <f>D485-E485</f>
        <v/>
      </c>
      <c r="G485" s="41">
        <f>F485^2</f>
        <v/>
      </c>
      <c r="H485" s="40" t="n"/>
      <c r="I485" s="40" t="n"/>
    </row>
    <row r="486" ht="15" customHeight="1" s="28">
      <c r="A486" s="37" t="n">
        <v>473</v>
      </c>
      <c r="B486" s="55" t="n">
        <v>472</v>
      </c>
      <c r="C486" s="55">
        <f>B486^2</f>
        <v/>
      </c>
      <c r="D486" s="38" t="n">
        <v>4593.92</v>
      </c>
      <c r="E486" s="38">
        <f>4541.138727+0.225904*B486</f>
        <v/>
      </c>
      <c r="F486" s="39">
        <f>D486-E486</f>
        <v/>
      </c>
      <c r="G486" s="38">
        <f>F486^2</f>
        <v/>
      </c>
      <c r="H486" s="37" t="n"/>
      <c r="I486" s="37" t="n"/>
    </row>
    <row r="487" ht="15" customHeight="1" s="28">
      <c r="A487" s="40" t="n">
        <v>474</v>
      </c>
      <c r="B487" s="56" t="n">
        <v>473</v>
      </c>
      <c r="C487" s="56">
        <f>B487^2</f>
        <v/>
      </c>
      <c r="D487" s="41" t="n">
        <v>4591.76</v>
      </c>
      <c r="E487" s="41">
        <f>4541.138727+0.225904*B487</f>
        <v/>
      </c>
      <c r="F487" s="42">
        <f>D487-E487</f>
        <v/>
      </c>
      <c r="G487" s="41">
        <f>F487^2</f>
        <v/>
      </c>
      <c r="H487" s="40" t="n"/>
      <c r="I487" s="40" t="n"/>
    </row>
    <row r="488" ht="15" customHeight="1" s="28">
      <c r="A488" s="37" t="n">
        <v>475</v>
      </c>
      <c r="B488" s="55" t="n">
        <v>474</v>
      </c>
      <c r="C488" s="55">
        <f>B488^2</f>
        <v/>
      </c>
      <c r="D488" s="38" t="n">
        <v>4602.23</v>
      </c>
      <c r="E488" s="38">
        <f>4541.138727+0.225904*B488</f>
        <v/>
      </c>
      <c r="F488" s="39">
        <f>D488-E488</f>
        <v/>
      </c>
      <c r="G488" s="38">
        <f>F488^2</f>
        <v/>
      </c>
      <c r="H488" s="37" t="n"/>
      <c r="I488" s="37" t="n"/>
    </row>
    <row r="489" ht="15" customHeight="1" s="28">
      <c r="A489" s="40" t="n">
        <v>476</v>
      </c>
      <c r="B489" s="56" t="n">
        <v>475</v>
      </c>
      <c r="C489" s="56">
        <f>B489^2</f>
        <v/>
      </c>
      <c r="D489" s="41" t="n">
        <v>4610.32</v>
      </c>
      <c r="E489" s="41">
        <f>4541.138727+0.225904*B489</f>
        <v/>
      </c>
      <c r="F489" s="42">
        <f>D489-E489</f>
        <v/>
      </c>
      <c r="G489" s="41">
        <f>F489^2</f>
        <v/>
      </c>
      <c r="H489" s="40" t="n"/>
      <c r="I489" s="40" t="n"/>
    </row>
    <row r="490" ht="15" customHeight="1" s="28">
      <c r="A490" s="37" t="n">
        <v>477</v>
      </c>
      <c r="B490" s="55" t="n">
        <v>476</v>
      </c>
      <c r="C490" s="55">
        <f>B490^2</f>
        <v/>
      </c>
      <c r="D490" s="38" t="n">
        <v>4618.87</v>
      </c>
      <c r="E490" s="38">
        <f>4541.138727+0.225904*B490</f>
        <v/>
      </c>
      <c r="F490" s="39">
        <f>D490-E490</f>
        <v/>
      </c>
      <c r="G490" s="38">
        <f>F490^2</f>
        <v/>
      </c>
      <c r="H490" s="37" t="n"/>
      <c r="I490" s="37" t="n"/>
    </row>
    <row r="491" ht="15" customHeight="1" s="28">
      <c r="A491" s="40" t="n">
        <v>478</v>
      </c>
      <c r="B491" s="56" t="n">
        <v>477</v>
      </c>
      <c r="C491" s="56">
        <f>B491^2</f>
        <v/>
      </c>
      <c r="D491" s="41" t="n">
        <v>4611.55</v>
      </c>
      <c r="E491" s="41">
        <f>4541.138727+0.225904*B491</f>
        <v/>
      </c>
      <c r="F491" s="42">
        <f>D491-E491</f>
        <v/>
      </c>
      <c r="G491" s="41">
        <f>F491^2</f>
        <v/>
      </c>
      <c r="H491" s="40" t="n"/>
      <c r="I491" s="40" t="n"/>
    </row>
    <row r="492" ht="15" customHeight="1" s="28">
      <c r="A492" s="37" t="n">
        <v>479</v>
      </c>
      <c r="B492" s="55" t="n">
        <v>478</v>
      </c>
      <c r="C492" s="55">
        <f>B492^2</f>
        <v/>
      </c>
      <c r="D492" s="38" t="n">
        <v>4625</v>
      </c>
      <c r="E492" s="38">
        <f>4541.138727+0.225904*B492</f>
        <v/>
      </c>
      <c r="F492" s="39">
        <f>D492-E492</f>
        <v/>
      </c>
      <c r="G492" s="38">
        <f>F492^2</f>
        <v/>
      </c>
      <c r="H492" s="37" t="n"/>
      <c r="I492" s="37" t="n"/>
    </row>
    <row r="493" ht="15" customHeight="1" s="28">
      <c r="A493" s="40" t="n">
        <v>480</v>
      </c>
      <c r="B493" s="56" t="n">
        <v>479</v>
      </c>
      <c r="C493" s="56">
        <f>B493^2</f>
        <v/>
      </c>
      <c r="D493" s="41" t="n">
        <v>4624.12</v>
      </c>
      <c r="E493" s="41">
        <f>4541.138727+0.225904*B493</f>
        <v/>
      </c>
      <c r="F493" s="42">
        <f>D493-E493</f>
        <v/>
      </c>
      <c r="G493" s="41">
        <f>F493^2</f>
        <v/>
      </c>
      <c r="H493" s="40" t="n"/>
      <c r="I493" s="40" t="n"/>
    </row>
    <row r="494" ht="15" customHeight="1" s="28">
      <c r="A494" s="37" t="n">
        <v>481</v>
      </c>
      <c r="B494" s="55" t="n">
        <v>480</v>
      </c>
      <c r="C494" s="55">
        <f>B494^2</f>
        <v/>
      </c>
      <c r="D494" s="38" t="n">
        <v>4626.18</v>
      </c>
      <c r="E494" s="38">
        <f>4541.138727+0.225904*B494</f>
        <v/>
      </c>
      <c r="F494" s="39">
        <f>D494-E494</f>
        <v/>
      </c>
      <c r="G494" s="38">
        <f>F494^2</f>
        <v/>
      </c>
      <c r="H494" s="37" t="n"/>
      <c r="I494" s="37" t="n"/>
    </row>
    <row r="495" ht="15" customHeight="1" s="28">
      <c r="A495" s="40" t="n">
        <v>482</v>
      </c>
      <c r="B495" s="56" t="n">
        <v>481</v>
      </c>
      <c r="C495" s="56">
        <f>B495^2</f>
        <v/>
      </c>
      <c r="D495" s="41" t="n">
        <v>4633.69</v>
      </c>
      <c r="E495" s="41">
        <f>4541.138727+0.225904*B495</f>
        <v/>
      </c>
      <c r="F495" s="42">
        <f>D495-E495</f>
        <v/>
      </c>
      <c r="G495" s="41">
        <f>F495^2</f>
        <v/>
      </c>
      <c r="H495" s="40" t="n"/>
      <c r="I495" s="40" t="n"/>
    </row>
    <row r="496" ht="15" customHeight="1" s="28">
      <c r="A496" s="37" t="n">
        <v>483</v>
      </c>
      <c r="B496" s="55" t="n">
        <v>482</v>
      </c>
      <c r="C496" s="55">
        <f>B496^2</f>
        <v/>
      </c>
      <c r="D496" s="38" t="n">
        <v>4630.22</v>
      </c>
      <c r="E496" s="38">
        <f>4541.138727+0.225904*B496</f>
        <v/>
      </c>
      <c r="F496" s="39">
        <f>D496-E496</f>
        <v/>
      </c>
      <c r="G496" s="38">
        <f>F496^2</f>
        <v/>
      </c>
      <c r="H496" s="37" t="n"/>
      <c r="I496" s="37" t="n"/>
    </row>
    <row r="497" ht="15" customHeight="1" s="28">
      <c r="A497" s="40" t="n">
        <v>484</v>
      </c>
      <c r="B497" s="56" t="n">
        <v>483</v>
      </c>
      <c r="C497" s="56">
        <f>B497^2</f>
        <v/>
      </c>
      <c r="D497" s="41" t="n">
        <v>4635.01</v>
      </c>
      <c r="E497" s="41">
        <f>4541.138727+0.225904*B497</f>
        <v/>
      </c>
      <c r="F497" s="42">
        <f>D497-E497</f>
        <v/>
      </c>
      <c r="G497" s="41">
        <f>F497^2</f>
        <v/>
      </c>
      <c r="H497" s="40" t="n"/>
      <c r="I497" s="40" t="n"/>
    </row>
    <row r="498" ht="15" customHeight="1" s="28">
      <c r="A498" s="37" t="n">
        <v>485</v>
      </c>
      <c r="B498" s="55" t="n">
        <v>484</v>
      </c>
      <c r="C498" s="55">
        <f>B498^2</f>
        <v/>
      </c>
      <c r="D498" s="38" t="n">
        <v>4640.94</v>
      </c>
      <c r="E498" s="38">
        <f>4541.138727+0.225904*B498</f>
        <v/>
      </c>
      <c r="F498" s="39">
        <f>D498-E498</f>
        <v/>
      </c>
      <c r="G498" s="38">
        <f>F498^2</f>
        <v/>
      </c>
      <c r="H498" s="37" t="n"/>
      <c r="I498" s="37" t="n"/>
    </row>
    <row r="499" ht="15" customHeight="1" s="28">
      <c r="A499" s="40" t="n">
        <v>486</v>
      </c>
      <c r="B499" s="56" t="n">
        <v>485</v>
      </c>
      <c r="C499" s="56">
        <f>B499^2</f>
        <v/>
      </c>
      <c r="D499" s="41" t="n">
        <v>4647.89</v>
      </c>
      <c r="E499" s="41">
        <f>4541.138727+0.225904*B499</f>
        <v/>
      </c>
      <c r="F499" s="42">
        <f>D499-E499</f>
        <v/>
      </c>
      <c r="G499" s="41">
        <f>F499^2</f>
        <v/>
      </c>
      <c r="H499" s="40" t="n"/>
      <c r="I499" s="40" t="n"/>
    </row>
    <row r="500" ht="15" customHeight="1" s="28">
      <c r="A500" s="37" t="n">
        <v>487</v>
      </c>
      <c r="B500" s="55" t="n">
        <v>486</v>
      </c>
      <c r="C500" s="55">
        <f>B500^2</f>
        <v/>
      </c>
      <c r="D500" s="38" t="n">
        <v>4645.81</v>
      </c>
      <c r="E500" s="38">
        <f>4541.138727+0.225904*B500</f>
        <v/>
      </c>
      <c r="F500" s="39">
        <f>D500-E500</f>
        <v/>
      </c>
      <c r="G500" s="38">
        <f>F500^2</f>
        <v/>
      </c>
      <c r="H500" s="37" t="n"/>
      <c r="I500" s="37" t="n"/>
    </row>
    <row r="501" ht="15" customHeight="1" s="28">
      <c r="A501" s="40" t="n">
        <v>488</v>
      </c>
      <c r="B501" s="56" t="n">
        <v>487</v>
      </c>
      <c r="C501" s="56">
        <f>B501^2</f>
        <v/>
      </c>
      <c r="D501" s="41" t="n">
        <v>4647.74</v>
      </c>
      <c r="E501" s="41">
        <f>4541.138727+0.225904*B501</f>
        <v/>
      </c>
      <c r="F501" s="42">
        <f>D501-E501</f>
        <v/>
      </c>
      <c r="G501" s="41">
        <f>F501^2</f>
        <v/>
      </c>
      <c r="H501" s="40" t="n"/>
      <c r="I501" s="40" t="n"/>
    </row>
    <row r="502" ht="15" customHeight="1" s="28">
      <c r="A502" s="37" t="n">
        <v>489</v>
      </c>
      <c r="B502" s="55" t="n">
        <v>488</v>
      </c>
      <c r="C502" s="55">
        <f>B502^2</f>
        <v/>
      </c>
      <c r="D502" s="38" t="n">
        <v>4643.84</v>
      </c>
      <c r="E502" s="38">
        <f>4541.138727+0.225904*B502</f>
        <v/>
      </c>
      <c r="F502" s="39">
        <f>D502-E502</f>
        <v/>
      </c>
      <c r="G502" s="38">
        <f>F502^2</f>
        <v/>
      </c>
      <c r="H502" s="37" t="n"/>
      <c r="I502" s="37" t="n"/>
    </row>
    <row r="503" ht="15" customHeight="1" s="28">
      <c r="A503" s="40" t="n">
        <v>490</v>
      </c>
      <c r="B503" s="56" t="n">
        <v>489</v>
      </c>
      <c r="C503" s="56">
        <f>B503^2</f>
        <v/>
      </c>
      <c r="D503" s="41" t="n">
        <v>4647.59</v>
      </c>
      <c r="E503" s="41">
        <f>4541.138727+0.225904*B503</f>
        <v/>
      </c>
      <c r="F503" s="42">
        <f>D503-E503</f>
        <v/>
      </c>
      <c r="G503" s="41">
        <f>F503^2</f>
        <v/>
      </c>
      <c r="H503" s="40" t="n"/>
      <c r="I503" s="40" t="n"/>
    </row>
    <row r="504" ht="15" customHeight="1" s="28">
      <c r="A504" s="37" t="n">
        <v>491</v>
      </c>
      <c r="B504" s="55" t="n">
        <v>490</v>
      </c>
      <c r="C504" s="55">
        <f>B504^2</f>
        <v/>
      </c>
      <c r="D504" s="38" t="n">
        <v>4653.19</v>
      </c>
      <c r="E504" s="38">
        <f>4541.138727+0.225904*B504</f>
        <v/>
      </c>
      <c r="F504" s="39">
        <f>D504-E504</f>
        <v/>
      </c>
      <c r="G504" s="38">
        <f>F504^2</f>
        <v/>
      </c>
      <c r="H504" s="37" t="n"/>
      <c r="I504" s="37" t="n"/>
    </row>
    <row r="505" ht="15" customHeight="1" s="28">
      <c r="A505" s="40" t="n">
        <v>492</v>
      </c>
      <c r="B505" s="56" t="n">
        <v>491</v>
      </c>
      <c r="C505" s="56">
        <f>B505^2</f>
        <v/>
      </c>
      <c r="D505" s="41" t="n">
        <v>4647.47</v>
      </c>
      <c r="E505" s="41">
        <f>4541.138727+0.225904*B505</f>
        <v/>
      </c>
      <c r="F505" s="42">
        <f>D505-E505</f>
        <v/>
      </c>
      <c r="G505" s="41">
        <f>F505^2</f>
        <v/>
      </c>
      <c r="H505" s="40" t="n"/>
      <c r="I505" s="40" t="n"/>
    </row>
    <row r="506" ht="15" customHeight="1" s="28">
      <c r="A506" s="37" t="n">
        <v>493</v>
      </c>
      <c r="B506" s="55" t="n">
        <v>492</v>
      </c>
      <c r="C506" s="55">
        <f>B506^2</f>
        <v/>
      </c>
      <c r="D506" s="38" t="n">
        <v>4648.72</v>
      </c>
      <c r="E506" s="38">
        <f>4541.138727+0.225904*B506</f>
        <v/>
      </c>
      <c r="F506" s="39">
        <f>D506-E506</f>
        <v/>
      </c>
      <c r="G506" s="38">
        <f>F506^2</f>
        <v/>
      </c>
      <c r="H506" s="37" t="n"/>
      <c r="I506" s="37" t="n"/>
    </row>
    <row r="507" ht="15" customHeight="1" s="28">
      <c r="A507" s="40" t="n">
        <v>494</v>
      </c>
      <c r="B507" s="56" t="n">
        <v>493</v>
      </c>
      <c r="C507" s="56">
        <f>B507^2</f>
        <v/>
      </c>
      <c r="D507" s="41" t="n">
        <v>4654.64</v>
      </c>
      <c r="E507" s="41">
        <f>4541.138727+0.225904*B507</f>
        <v/>
      </c>
      <c r="F507" s="42">
        <f>D507-E507</f>
        <v/>
      </c>
      <c r="G507" s="41">
        <f>F507^2</f>
        <v/>
      </c>
      <c r="H507" s="40" t="n"/>
      <c r="I507" s="40" t="n"/>
    </row>
    <row r="508" ht="15" customHeight="1" s="28">
      <c r="A508" s="37" t="n">
        <v>495</v>
      </c>
      <c r="B508" s="55" t="n">
        <v>494</v>
      </c>
      <c r="C508" s="55">
        <f>B508^2</f>
        <v/>
      </c>
      <c r="D508" s="38" t="n">
        <v>4650.4</v>
      </c>
      <c r="E508" s="38">
        <f>4541.138727+0.225904*B508</f>
        <v/>
      </c>
      <c r="F508" s="39">
        <f>D508-E508</f>
        <v/>
      </c>
      <c r="G508" s="38">
        <f>F508^2</f>
        <v/>
      </c>
      <c r="H508" s="37" t="n"/>
      <c r="I508" s="37" t="n"/>
    </row>
    <row r="509" ht="15" customHeight="1" s="28">
      <c r="A509" s="40" t="n">
        <v>496</v>
      </c>
      <c r="B509" s="56" t="n">
        <v>495</v>
      </c>
      <c r="C509" s="56">
        <f>B509^2</f>
        <v/>
      </c>
      <c r="D509" s="41" t="n">
        <v>4650.19</v>
      </c>
      <c r="E509" s="41">
        <f>4541.138727+0.225904*B509</f>
        <v/>
      </c>
      <c r="F509" s="42">
        <f>D509-E509</f>
        <v/>
      </c>
      <c r="G509" s="41">
        <f>F509^2</f>
        <v/>
      </c>
      <c r="H509" s="40" t="n"/>
      <c r="I509" s="40" t="n"/>
    </row>
    <row r="510" ht="15" customHeight="1" s="28">
      <c r="A510" s="37" t="n">
        <v>497</v>
      </c>
      <c r="B510" s="55" t="n">
        <v>496</v>
      </c>
      <c r="C510" s="55">
        <f>B510^2</f>
        <v/>
      </c>
      <c r="D510" s="38" t="n">
        <v>4663.2</v>
      </c>
      <c r="E510" s="38">
        <f>4541.138727+0.225904*B510</f>
        <v/>
      </c>
      <c r="F510" s="39">
        <f>D510-E510</f>
        <v/>
      </c>
      <c r="G510" s="38">
        <f>F510^2</f>
        <v/>
      </c>
      <c r="H510" s="37" t="n"/>
      <c r="I510" s="37" t="n"/>
    </row>
    <row r="511" ht="15" customHeight="1" s="28">
      <c r="A511" s="40" t="n">
        <v>498</v>
      </c>
      <c r="B511" s="56" t="n">
        <v>497</v>
      </c>
      <c r="C511" s="56">
        <f>B511^2</f>
        <v/>
      </c>
      <c r="D511" s="41" t="n">
        <v>4660.55</v>
      </c>
      <c r="E511" s="41">
        <f>4541.138727+0.225904*B511</f>
        <v/>
      </c>
      <c r="F511" s="42">
        <f>D511-E511</f>
        <v/>
      </c>
      <c r="G511" s="41">
        <f>F511^2</f>
        <v/>
      </c>
      <c r="H511" s="40" t="n"/>
      <c r="I511" s="40" t="n"/>
    </row>
    <row r="512" ht="15" customHeight="1" s="28">
      <c r="A512" s="37" t="n">
        <v>499</v>
      </c>
      <c r="B512" s="55" t="n">
        <v>498</v>
      </c>
      <c r="C512" s="55">
        <f>B512^2</f>
        <v/>
      </c>
      <c r="D512" s="38" t="n">
        <v>4666.15</v>
      </c>
      <c r="E512" s="38">
        <f>4541.138727+0.225904*B512</f>
        <v/>
      </c>
      <c r="F512" s="39">
        <f>D512-E512</f>
        <v/>
      </c>
      <c r="G512" s="38">
        <f>F512^2</f>
        <v/>
      </c>
      <c r="H512" s="37" t="n"/>
      <c r="I512" s="37" t="n"/>
    </row>
    <row r="513" ht="15" customHeight="1" s="28">
      <c r="A513" s="40" t="n">
        <v>500</v>
      </c>
      <c r="B513" s="56" t="n">
        <v>499</v>
      </c>
      <c r="C513" s="56">
        <f>B513^2</f>
        <v/>
      </c>
      <c r="D513" s="41" t="n">
        <v>4664.33</v>
      </c>
      <c r="E513" s="41">
        <f>4541.138727+0.225904*B513</f>
        <v/>
      </c>
      <c r="F513" s="42">
        <f>D513-E513</f>
        <v/>
      </c>
      <c r="G513" s="41">
        <f>F513^2</f>
        <v/>
      </c>
      <c r="H513" s="40" t="n"/>
      <c r="I513" s="40" t="n"/>
    </row>
    <row r="514" ht="15" customHeight="1" s="28">
      <c r="A514" s="37" t="n">
        <v>501</v>
      </c>
      <c r="B514" s="55" t="n">
        <v>500</v>
      </c>
      <c r="C514" s="55">
        <f>B514^2</f>
        <v/>
      </c>
      <c r="D514" s="38" t="n">
        <v>4669.38</v>
      </c>
      <c r="E514" s="38">
        <f>4541.138727+0.225904*B514</f>
        <v/>
      </c>
      <c r="F514" s="39">
        <f>D514-E514</f>
        <v/>
      </c>
      <c r="G514" s="38">
        <f>F514^2</f>
        <v/>
      </c>
      <c r="H514" s="37" t="n"/>
      <c r="I514" s="37" t="n"/>
    </row>
    <row r="515" ht="15" customHeight="1" s="28">
      <c r="A515" s="40" t="n">
        <v>502</v>
      </c>
      <c r="B515" s="56" t="n">
        <v>501</v>
      </c>
      <c r="C515" s="56">
        <f>B515^2</f>
        <v/>
      </c>
      <c r="D515" s="41" t="n">
        <v>4658.43</v>
      </c>
      <c r="E515" s="41">
        <f>4541.138727+0.225904*B515</f>
        <v/>
      </c>
      <c r="F515" s="42">
        <f>D515-E515</f>
        <v/>
      </c>
      <c r="G515" s="41">
        <f>F515^2</f>
        <v/>
      </c>
      <c r="H515" s="40" t="n"/>
      <c r="I515" s="40" t="n"/>
    </row>
    <row r="516" ht="15" customHeight="1" s="28">
      <c r="A516" s="37" t="n">
        <v>503</v>
      </c>
      <c r="B516" s="55" t="n">
        <v>502</v>
      </c>
      <c r="C516" s="55">
        <f>B516^2</f>
        <v/>
      </c>
      <c r="D516" s="38" t="n">
        <v>4667.5</v>
      </c>
      <c r="E516" s="38">
        <f>4541.138727+0.225904*B516</f>
        <v/>
      </c>
      <c r="F516" s="39">
        <f>D516-E516</f>
        <v/>
      </c>
      <c r="G516" s="38">
        <f>F516^2</f>
        <v/>
      </c>
      <c r="H516" s="37" t="n"/>
      <c r="I516" s="37" t="n"/>
    </row>
    <row r="517" ht="15" customHeight="1" s="28">
      <c r="A517" s="40" t="n">
        <v>504</v>
      </c>
      <c r="B517" s="56" t="n">
        <v>503</v>
      </c>
      <c r="C517" s="56">
        <f>B517^2</f>
        <v/>
      </c>
      <c r="D517" s="41" t="n">
        <v>4670.18</v>
      </c>
      <c r="E517" s="41">
        <f>4541.138727+0.225904*B517</f>
        <v/>
      </c>
      <c r="F517" s="42">
        <f>D517-E517</f>
        <v/>
      </c>
      <c r="G517" s="41">
        <f>F517^2</f>
        <v/>
      </c>
      <c r="H517" s="40" t="n"/>
      <c r="I517" s="40" t="n"/>
    </row>
    <row r="518" ht="15" customHeight="1" s="28">
      <c r="A518" s="37" t="n">
        <v>505</v>
      </c>
      <c r="B518" s="55" t="n">
        <v>504</v>
      </c>
      <c r="C518" s="55">
        <f>B518^2</f>
        <v/>
      </c>
      <c r="D518" s="38" t="n">
        <v>4681.72</v>
      </c>
      <c r="E518" s="38">
        <f>4541.138727+0.225904*B518</f>
        <v/>
      </c>
      <c r="F518" s="39">
        <f>D518-E518</f>
        <v/>
      </c>
      <c r="G518" s="38">
        <f>F518^2</f>
        <v/>
      </c>
      <c r="H518" s="37" t="n"/>
      <c r="I518" s="37" t="n"/>
    </row>
    <row r="519" ht="15" customHeight="1" s="28">
      <c r="A519" s="40" t="n">
        <v>506</v>
      </c>
      <c r="B519" s="56" t="n">
        <v>505</v>
      </c>
      <c r="C519" s="56">
        <f>B519^2</f>
        <v/>
      </c>
      <c r="D519" s="41" t="n">
        <v>4679.57</v>
      </c>
      <c r="E519" s="41">
        <f>4541.138727+0.225904*B519</f>
        <v/>
      </c>
      <c r="F519" s="42">
        <f>D519-E519</f>
        <v/>
      </c>
      <c r="G519" s="41">
        <f>F519^2</f>
        <v/>
      </c>
      <c r="H519" s="40" t="n"/>
      <c r="I519" s="40" t="n"/>
    </row>
    <row r="520" ht="15" customHeight="1" s="28">
      <c r="A520" s="37" t="n">
        <v>507</v>
      </c>
      <c r="B520" s="55" t="n">
        <v>506</v>
      </c>
      <c r="C520" s="55">
        <f>B520^2</f>
        <v/>
      </c>
      <c r="D520" s="38" t="n">
        <v>4677</v>
      </c>
      <c r="E520" s="38">
        <f>4541.138727+0.225904*B520</f>
        <v/>
      </c>
      <c r="F520" s="39">
        <f>D520-E520</f>
        <v/>
      </c>
      <c r="G520" s="38">
        <f>F520^2</f>
        <v/>
      </c>
      <c r="H520" s="37" t="n"/>
      <c r="I520" s="37" t="n"/>
    </row>
    <row r="521" ht="15" customHeight="1" s="28">
      <c r="A521" s="40" t="n">
        <v>508</v>
      </c>
      <c r="B521" s="56" t="n">
        <v>507</v>
      </c>
      <c r="C521" s="56">
        <f>B521^2</f>
        <v/>
      </c>
      <c r="D521" s="41" t="n">
        <v>4677.27</v>
      </c>
      <c r="E521" s="41">
        <f>4541.138727+0.225904*B521</f>
        <v/>
      </c>
      <c r="F521" s="42">
        <f>D521-E521</f>
        <v/>
      </c>
      <c r="G521" s="41">
        <f>F521^2</f>
        <v/>
      </c>
      <c r="H521" s="40" t="n"/>
      <c r="I521" s="40" t="n"/>
    </row>
    <row r="522" ht="15" customHeight="1" s="28">
      <c r="A522" s="37" t="n">
        <v>509</v>
      </c>
      <c r="B522" s="55" t="n">
        <v>508</v>
      </c>
      <c r="C522" s="55">
        <f>B522^2</f>
        <v/>
      </c>
      <c r="D522" s="38" t="n">
        <v>4700.09</v>
      </c>
      <c r="E522" s="38">
        <f>4541.138727+0.225904*B522</f>
        <v/>
      </c>
      <c r="F522" s="39">
        <f>D522-E522</f>
        <v/>
      </c>
      <c r="G522" s="38">
        <f>F522^2</f>
        <v/>
      </c>
      <c r="H522" s="37" t="n"/>
      <c r="I522" s="37" t="n"/>
    </row>
    <row r="523" ht="15" customHeight="1" s="28">
      <c r="A523" s="40" t="n">
        <v>510</v>
      </c>
      <c r="B523" s="56" t="n">
        <v>509</v>
      </c>
      <c r="C523" s="56">
        <f>B523^2</f>
        <v/>
      </c>
      <c r="D523" s="41" t="n">
        <v>4695.69</v>
      </c>
      <c r="E523" s="41">
        <f>4541.138727+0.225904*B523</f>
        <v/>
      </c>
      <c r="F523" s="42">
        <f>D523-E523</f>
        <v/>
      </c>
      <c r="G523" s="41">
        <f>F523^2</f>
        <v/>
      </c>
      <c r="H523" s="40" t="n"/>
      <c r="I523" s="40" t="n"/>
    </row>
    <row r="524" ht="15" customHeight="1" s="28">
      <c r="A524" s="37" t="n">
        <v>511</v>
      </c>
      <c r="B524" s="55" t="n">
        <v>510</v>
      </c>
      <c r="C524" s="55">
        <f>B524^2</f>
        <v/>
      </c>
      <c r="D524" s="38" t="n">
        <v>4700.12</v>
      </c>
      <c r="E524" s="38">
        <f>4541.138727+0.225904*B524</f>
        <v/>
      </c>
      <c r="F524" s="39">
        <f>D524-E524</f>
        <v/>
      </c>
      <c r="G524" s="38">
        <f>F524^2</f>
        <v/>
      </c>
      <c r="H524" s="37" t="n"/>
      <c r="I524" s="37" t="n"/>
    </row>
    <row r="525" ht="15" customHeight="1" s="28">
      <c r="A525" s="40" t="n">
        <v>512</v>
      </c>
      <c r="B525" s="56" t="n">
        <v>511</v>
      </c>
      <c r="C525" s="56">
        <f>B525^2</f>
        <v/>
      </c>
      <c r="D525" s="41" t="n">
        <v>4696.04</v>
      </c>
      <c r="E525" s="41">
        <f>4541.138727+0.225904*B525</f>
        <v/>
      </c>
      <c r="F525" s="42">
        <f>D525-E525</f>
        <v/>
      </c>
      <c r="G525" s="41">
        <f>F525^2</f>
        <v/>
      </c>
      <c r="H525" s="40" t="n"/>
      <c r="I525" s="40" t="n"/>
    </row>
    <row r="526" ht="15" customHeight="1" s="28">
      <c r="A526" s="37" t="n">
        <v>513</v>
      </c>
      <c r="B526" s="55" t="n">
        <v>512</v>
      </c>
      <c r="C526" s="55">
        <f>B526^2</f>
        <v/>
      </c>
      <c r="D526" s="38" t="n">
        <v>4701.75</v>
      </c>
      <c r="E526" s="38">
        <f>4541.138727+0.225904*B526</f>
        <v/>
      </c>
      <c r="F526" s="39">
        <f>D526-E526</f>
        <v/>
      </c>
      <c r="G526" s="38">
        <f>F526^2</f>
        <v/>
      </c>
      <c r="H526" s="37" t="n"/>
      <c r="I526" s="37" t="n"/>
    </row>
    <row r="527" ht="15" customHeight="1" s="28">
      <c r="A527" s="40" t="n">
        <v>514</v>
      </c>
      <c r="B527" s="56" t="n">
        <v>513</v>
      </c>
      <c r="C527" s="56">
        <f>B527^2</f>
        <v/>
      </c>
      <c r="D527" s="41" t="n">
        <v>4698.2</v>
      </c>
      <c r="E527" s="41">
        <f>4541.138727+0.225904*B527</f>
        <v/>
      </c>
      <c r="F527" s="42">
        <f>D527-E527</f>
        <v/>
      </c>
      <c r="G527" s="41">
        <f>F527^2</f>
        <v/>
      </c>
      <c r="H527" s="40" t="n"/>
      <c r="I527" s="40" t="n"/>
    </row>
    <row r="528" ht="15" customHeight="1" s="28">
      <c r="A528" s="37" t="n">
        <v>515</v>
      </c>
      <c r="B528" s="55" t="n">
        <v>514</v>
      </c>
      <c r="C528" s="55">
        <f>B528^2</f>
        <v/>
      </c>
      <c r="D528" s="38" t="n">
        <v>4704.64</v>
      </c>
      <c r="E528" s="38">
        <f>4541.138727+0.225904*B528</f>
        <v/>
      </c>
      <c r="F528" s="39">
        <f>D528-E528</f>
        <v/>
      </c>
      <c r="G528" s="38">
        <f>F528^2</f>
        <v/>
      </c>
      <c r="H528" s="37" t="n"/>
      <c r="I528" s="37" t="n"/>
    </row>
    <row r="529" ht="15" customHeight="1" s="28">
      <c r="A529" s="40" t="n">
        <v>516</v>
      </c>
      <c r="B529" s="56" t="n">
        <v>515</v>
      </c>
      <c r="C529" s="56">
        <f>B529^2</f>
        <v/>
      </c>
      <c r="D529" s="41" t="n">
        <v>4714.15</v>
      </c>
      <c r="E529" s="41">
        <f>4541.138727+0.225904*B529</f>
        <v/>
      </c>
      <c r="F529" s="42">
        <f>D529-E529</f>
        <v/>
      </c>
      <c r="G529" s="41">
        <f>F529^2</f>
        <v/>
      </c>
      <c r="H529" s="40" t="n"/>
      <c r="I529" s="40" t="n"/>
    </row>
    <row r="530" ht="15" customHeight="1" s="28">
      <c r="A530" s="37" t="n">
        <v>517</v>
      </c>
      <c r="B530" s="55" t="n">
        <v>516</v>
      </c>
      <c r="C530" s="55">
        <f>B530^2</f>
        <v/>
      </c>
      <c r="D530" s="38" t="n">
        <v>4718.25</v>
      </c>
      <c r="E530" s="38">
        <f>4541.138727+0.225904*B530</f>
        <v/>
      </c>
      <c r="F530" s="39">
        <f>D530-E530</f>
        <v/>
      </c>
      <c r="G530" s="38">
        <f>F530^2</f>
        <v/>
      </c>
      <c r="H530" s="37" t="n"/>
      <c r="I530" s="37" t="n"/>
    </row>
    <row r="531" ht="15" customHeight="1" s="28">
      <c r="A531" s="40" t="n">
        <v>518</v>
      </c>
      <c r="B531" s="56" t="n">
        <v>517</v>
      </c>
      <c r="C531" s="56">
        <f>B531^2</f>
        <v/>
      </c>
      <c r="D531" s="41" t="n">
        <v>4711.97</v>
      </c>
      <c r="E531" s="41">
        <f>4541.138727+0.225904*B531</f>
        <v/>
      </c>
      <c r="F531" s="42">
        <f>D531-E531</f>
        <v/>
      </c>
      <c r="G531" s="41">
        <f>F531^2</f>
        <v/>
      </c>
      <c r="H531" s="40" t="n"/>
      <c r="I531" s="40" t="n"/>
    </row>
    <row r="532" ht="15" customHeight="1" s="28">
      <c r="A532" s="37" t="n">
        <v>519</v>
      </c>
      <c r="B532" s="55" t="n">
        <v>518</v>
      </c>
      <c r="C532" s="55">
        <f>B532^2</f>
        <v/>
      </c>
      <c r="D532" s="38" t="n">
        <v>4705.6</v>
      </c>
      <c r="E532" s="38">
        <f>4541.138727+0.225904*B532</f>
        <v/>
      </c>
      <c r="F532" s="39">
        <f>D532-E532</f>
        <v/>
      </c>
      <c r="G532" s="38">
        <f>F532^2</f>
        <v/>
      </c>
      <c r="H532" s="37" t="n"/>
      <c r="I532" s="37" t="n"/>
    </row>
    <row r="533" ht="15" customHeight="1" s="28">
      <c r="A533" s="40" t="n">
        <v>520</v>
      </c>
      <c r="B533" s="56" t="n">
        <v>519</v>
      </c>
      <c r="C533" s="56">
        <f>B533^2</f>
        <v/>
      </c>
      <c r="D533" s="41" t="n">
        <v>4699.65</v>
      </c>
      <c r="E533" s="41">
        <f>4541.138727+0.225904*B533</f>
        <v/>
      </c>
      <c r="F533" s="42">
        <f>D533-E533</f>
        <v/>
      </c>
      <c r="G533" s="41">
        <f>F533^2</f>
        <v/>
      </c>
      <c r="H533" s="40" t="n"/>
      <c r="I533" s="40" t="n"/>
    </row>
    <row r="534" ht="15" customHeight="1" s="28">
      <c r="A534" s="37" t="n">
        <v>521</v>
      </c>
      <c r="B534" s="55" t="n">
        <v>520</v>
      </c>
      <c r="C534" s="55">
        <f>B534^2</f>
        <v/>
      </c>
      <c r="D534" s="38" t="n">
        <v>4692.11</v>
      </c>
      <c r="E534" s="38">
        <f>4541.138727+0.225904*B534</f>
        <v/>
      </c>
      <c r="F534" s="39">
        <f>D534-E534</f>
        <v/>
      </c>
      <c r="G534" s="38">
        <f>F534^2</f>
        <v/>
      </c>
      <c r="H534" s="37" t="n"/>
      <c r="I534" s="37" t="n"/>
    </row>
    <row r="535" ht="15" customHeight="1" s="28">
      <c r="A535" s="40" t="n">
        <v>522</v>
      </c>
      <c r="B535" s="56" t="n">
        <v>521</v>
      </c>
      <c r="C535" s="56">
        <f>B535^2</f>
        <v/>
      </c>
      <c r="D535" s="41" t="n">
        <v>4672.94</v>
      </c>
      <c r="E535" s="41">
        <f>4541.138727+0.225904*B535</f>
        <v/>
      </c>
      <c r="F535" s="42">
        <f>D535-E535</f>
        <v/>
      </c>
      <c r="G535" s="41">
        <f>F535^2</f>
        <v/>
      </c>
      <c r="H535" s="40" t="n"/>
      <c r="I535" s="40" t="n"/>
    </row>
    <row r="536" ht="15" customHeight="1" s="28">
      <c r="A536" s="37" t="n">
        <v>523</v>
      </c>
      <c r="B536" s="55" t="n">
        <v>522</v>
      </c>
      <c r="C536" s="55">
        <f>B536^2</f>
        <v/>
      </c>
      <c r="D536" s="38" t="n">
        <v>4683.36</v>
      </c>
      <c r="E536" s="38">
        <f>4541.138727+0.225904*B536</f>
        <v/>
      </c>
      <c r="F536" s="39">
        <f>D536-E536</f>
        <v/>
      </c>
      <c r="G536" s="38">
        <f>F536^2</f>
        <v/>
      </c>
      <c r="H536" s="37" t="n"/>
      <c r="I536" s="37" t="n"/>
    </row>
    <row r="537" ht="15" customHeight="1" s="28">
      <c r="A537" s="40" t="n">
        <v>524</v>
      </c>
      <c r="B537" s="56" t="n">
        <v>523</v>
      </c>
      <c r="C537" s="56">
        <f>B537^2</f>
        <v/>
      </c>
      <c r="D537" s="41" t="n">
        <v>4682.83</v>
      </c>
      <c r="E537" s="41">
        <f>4541.138727+0.225904*B537</f>
        <v/>
      </c>
      <c r="F537" s="42">
        <f>D537-E537</f>
        <v/>
      </c>
      <c r="G537" s="41">
        <f>F537^2</f>
        <v/>
      </c>
      <c r="H537" s="40" t="n"/>
      <c r="I537" s="40" t="n"/>
    </row>
    <row r="538" ht="15" customHeight="1" s="28">
      <c r="A538" s="37" t="n">
        <v>525</v>
      </c>
      <c r="B538" s="55" t="n">
        <v>524</v>
      </c>
      <c r="C538" s="55">
        <f>B538^2</f>
        <v/>
      </c>
      <c r="D538" s="38" t="n">
        <v>4683.36</v>
      </c>
      <c r="E538" s="38">
        <f>4541.138727+0.225904*B538</f>
        <v/>
      </c>
      <c r="F538" s="39">
        <f>D538-E538</f>
        <v/>
      </c>
      <c r="G538" s="38">
        <f>F538^2</f>
        <v/>
      </c>
      <c r="H538" s="37" t="n"/>
      <c r="I538" s="37" t="n"/>
    </row>
    <row r="539" ht="15" customHeight="1" s="28">
      <c r="A539" s="40" t="n">
        <v>526</v>
      </c>
      <c r="B539" s="56" t="n">
        <v>525</v>
      </c>
      <c r="C539" s="56">
        <f>B539^2</f>
        <v/>
      </c>
      <c r="D539" s="41" t="n">
        <v>4683.63</v>
      </c>
      <c r="E539" s="41">
        <f>4541.138727+0.225904*B539</f>
        <v/>
      </c>
      <c r="F539" s="42">
        <f>D539-E539</f>
        <v/>
      </c>
      <c r="G539" s="41">
        <f>F539^2</f>
        <v/>
      </c>
      <c r="H539" s="40" t="n"/>
      <c r="I539" s="40" t="n"/>
    </row>
    <row r="540" ht="15" customHeight="1" s="28">
      <c r="A540" s="37" t="n">
        <v>527</v>
      </c>
      <c r="B540" s="55" t="n">
        <v>526</v>
      </c>
      <c r="C540" s="55">
        <f>B540^2</f>
        <v/>
      </c>
      <c r="D540" s="38" t="n">
        <v>4685.16</v>
      </c>
      <c r="E540" s="38">
        <f>4541.138727+0.225904*B540</f>
        <v/>
      </c>
      <c r="F540" s="39">
        <f>D540-E540</f>
        <v/>
      </c>
      <c r="G540" s="38">
        <f>F540^2</f>
        <v/>
      </c>
      <c r="H540" s="37" t="n"/>
      <c r="I540" s="37" t="n"/>
    </row>
    <row r="541" ht="15" customHeight="1" s="28">
      <c r="A541" s="40" t="n">
        <v>528</v>
      </c>
      <c r="B541" s="56" t="n">
        <v>527</v>
      </c>
      <c r="C541" s="56">
        <f>B541^2</f>
        <v/>
      </c>
      <c r="D541" s="41" t="n">
        <v>4695.33</v>
      </c>
      <c r="E541" s="41">
        <f>4541.138727+0.225904*B541</f>
        <v/>
      </c>
      <c r="F541" s="42">
        <f>D541-E541</f>
        <v/>
      </c>
      <c r="G541" s="41">
        <f>F541^2</f>
        <v/>
      </c>
      <c r="H541" s="40" t="n"/>
      <c r="I541" s="40" t="n"/>
    </row>
    <row r="542" ht="15" customHeight="1" s="28">
      <c r="A542" s="37" t="n">
        <v>529</v>
      </c>
      <c r="B542" s="55" t="n">
        <v>528</v>
      </c>
      <c r="C542" s="55">
        <f>B542^2</f>
        <v/>
      </c>
      <c r="D542" s="38" t="n">
        <v>4702.21</v>
      </c>
      <c r="E542" s="38">
        <f>4541.138727+0.225904*B542</f>
        <v/>
      </c>
      <c r="F542" s="39">
        <f>D542-E542</f>
        <v/>
      </c>
      <c r="G542" s="38">
        <f>F542^2</f>
        <v/>
      </c>
      <c r="H542" s="37" t="n"/>
      <c r="I542" s="37" t="n"/>
    </row>
    <row r="543" ht="15" customHeight="1" s="28">
      <c r="A543" s="40" t="n">
        <v>530</v>
      </c>
      <c r="B543" s="56" t="n">
        <v>529</v>
      </c>
      <c r="C543" s="56">
        <f>B543^2</f>
        <v/>
      </c>
      <c r="D543" s="41" t="n">
        <v>4711.04</v>
      </c>
      <c r="E543" s="41">
        <f>4541.138727+0.225904*B543</f>
        <v/>
      </c>
      <c r="F543" s="42">
        <f>D543-E543</f>
        <v/>
      </c>
      <c r="G543" s="41">
        <f>F543^2</f>
        <v/>
      </c>
      <c r="H543" s="40" t="n"/>
      <c r="I543" s="40" t="n"/>
    </row>
    <row r="544" ht="15" customHeight="1" s="28">
      <c r="A544" s="37" t="n">
        <v>531</v>
      </c>
      <c r="B544" s="55" t="n">
        <v>530</v>
      </c>
      <c r="C544" s="55">
        <f>B544^2</f>
        <v/>
      </c>
      <c r="D544" s="38" t="n">
        <v>4705.66</v>
      </c>
      <c r="E544" s="38">
        <f>4541.138727+0.225904*B544</f>
        <v/>
      </c>
      <c r="F544" s="39">
        <f>D544-E544</f>
        <v/>
      </c>
      <c r="G544" s="38">
        <f>F544^2</f>
        <v/>
      </c>
      <c r="H544" s="37" t="n"/>
      <c r="I544" s="37" t="n"/>
    </row>
    <row r="545" ht="15" customHeight="1" s="28">
      <c r="A545" s="40" t="n">
        <v>532</v>
      </c>
      <c r="B545" s="56" t="n">
        <v>531</v>
      </c>
      <c r="C545" s="56">
        <f>B545^2</f>
        <v/>
      </c>
      <c r="D545" s="41" t="n">
        <v>4713.4</v>
      </c>
      <c r="E545" s="41">
        <f>4541.138727+0.225904*B545</f>
        <v/>
      </c>
      <c r="F545" s="42">
        <f>D545-E545</f>
        <v/>
      </c>
      <c r="G545" s="41">
        <f>F545^2</f>
        <v/>
      </c>
      <c r="H545" s="40" t="n"/>
      <c r="I545" s="40" t="n"/>
    </row>
    <row r="546" ht="15" customHeight="1" s="28">
      <c r="A546" s="37" t="n">
        <v>533</v>
      </c>
      <c r="B546" s="55" t="n">
        <v>532</v>
      </c>
      <c r="C546" s="55">
        <f>B546^2</f>
        <v/>
      </c>
      <c r="D546" s="38" t="n">
        <v>4703.14</v>
      </c>
      <c r="E546" s="38">
        <f>4541.138727+0.225904*B546</f>
        <v/>
      </c>
      <c r="F546" s="39">
        <f>D546-E546</f>
        <v/>
      </c>
      <c r="G546" s="38">
        <f>F546^2</f>
        <v/>
      </c>
      <c r="H546" s="37" t="n"/>
      <c r="I546" s="37" t="n"/>
    </row>
    <row r="547" ht="15" customHeight="1" s="28">
      <c r="A547" s="40" t="n">
        <v>534</v>
      </c>
      <c r="B547" s="56" t="n">
        <v>533</v>
      </c>
      <c r="C547" s="56">
        <f>B547^2</f>
        <v/>
      </c>
      <c r="D547" s="41" t="n">
        <v>4696.47</v>
      </c>
      <c r="E547" s="41">
        <f>4541.138727+0.225904*B547</f>
        <v/>
      </c>
      <c r="F547" s="42">
        <f>D547-E547</f>
        <v/>
      </c>
      <c r="G547" s="41">
        <f>F547^2</f>
        <v/>
      </c>
      <c r="H547" s="40" t="n"/>
      <c r="I547" s="40" t="n"/>
    </row>
    <row r="548" ht="15" customHeight="1" s="28">
      <c r="A548" s="37" t="n">
        <v>535</v>
      </c>
      <c r="B548" s="55" t="n">
        <v>534</v>
      </c>
      <c r="C548" s="55">
        <f>B548^2</f>
        <v/>
      </c>
      <c r="D548" s="38" t="n">
        <v>4695.45</v>
      </c>
      <c r="E548" s="38">
        <f>4541.138727+0.225904*B548</f>
        <v/>
      </c>
      <c r="F548" s="39">
        <f>D548-E548</f>
        <v/>
      </c>
      <c r="G548" s="38">
        <f>F548^2</f>
        <v/>
      </c>
      <c r="H548" s="37" t="n"/>
      <c r="I548" s="37" t="n"/>
    </row>
    <row r="549" ht="15" customHeight="1" s="28">
      <c r="A549" s="40" t="n">
        <v>536</v>
      </c>
      <c r="B549" s="56" t="n">
        <v>535</v>
      </c>
      <c r="C549" s="56">
        <f>B549^2</f>
        <v/>
      </c>
      <c r="D549" s="41" t="n">
        <v>4692.77</v>
      </c>
      <c r="E549" s="41">
        <f>4541.138727+0.225904*B549</f>
        <v/>
      </c>
      <c r="F549" s="42">
        <f>D549-E549</f>
        <v/>
      </c>
      <c r="G549" s="41">
        <f>F549^2</f>
        <v/>
      </c>
      <c r="H549" s="40" t="n"/>
      <c r="I549" s="40" t="n"/>
    </row>
    <row r="550" ht="15" customHeight="1" s="28">
      <c r="A550" s="37" t="n">
        <v>537</v>
      </c>
      <c r="B550" s="55" t="n">
        <v>536</v>
      </c>
      <c r="C550" s="55">
        <f>B550^2</f>
        <v/>
      </c>
      <c r="D550" s="38" t="n">
        <v>4687.96</v>
      </c>
      <c r="E550" s="38">
        <f>4541.138727+0.225904*B550</f>
        <v/>
      </c>
      <c r="F550" s="39">
        <f>D550-E550</f>
        <v/>
      </c>
      <c r="G550" s="38">
        <f>F550^2</f>
        <v/>
      </c>
      <c r="H550" s="37" t="n"/>
      <c r="I550" s="37" t="n"/>
    </row>
    <row r="551" ht="15" customHeight="1" s="28">
      <c r="A551" s="40" t="n">
        <v>538</v>
      </c>
      <c r="B551" s="56" t="n">
        <v>537</v>
      </c>
      <c r="C551" s="56">
        <f>B551^2</f>
        <v/>
      </c>
      <c r="D551" s="41" t="n">
        <v>4683.69</v>
      </c>
      <c r="E551" s="41">
        <f>4541.138727+0.225904*B551</f>
        <v/>
      </c>
      <c r="F551" s="42">
        <f>D551-E551</f>
        <v/>
      </c>
      <c r="G551" s="41">
        <f>F551^2</f>
        <v/>
      </c>
      <c r="H551" s="40" t="n"/>
      <c r="I551" s="40" t="n"/>
    </row>
    <row r="552" ht="15" customHeight="1" s="28">
      <c r="A552" s="37" t="n">
        <v>539</v>
      </c>
      <c r="B552" s="55" t="n">
        <v>538</v>
      </c>
      <c r="C552" s="55">
        <f>B552^2</f>
        <v/>
      </c>
      <c r="D552" s="38" t="n">
        <v>4688.15</v>
      </c>
      <c r="E552" s="38">
        <f>4541.138727+0.225904*B552</f>
        <v/>
      </c>
      <c r="F552" s="39">
        <f>D552-E552</f>
        <v/>
      </c>
      <c r="G552" s="38">
        <f>F552^2</f>
        <v/>
      </c>
      <c r="H552" s="37" t="n"/>
      <c r="I552" s="37" t="n"/>
    </row>
    <row r="553" ht="15" customHeight="1" s="28">
      <c r="A553" s="40" t="n">
        <v>540</v>
      </c>
      <c r="B553" s="56" t="n">
        <v>539</v>
      </c>
      <c r="C553" s="56">
        <f>B553^2</f>
        <v/>
      </c>
      <c r="D553" s="41" t="n">
        <v>4688.73</v>
      </c>
      <c r="E553" s="41">
        <f>4541.138727+0.225904*B553</f>
        <v/>
      </c>
      <c r="F553" s="42">
        <f>D553-E553</f>
        <v/>
      </c>
      <c r="G553" s="41">
        <f>F553^2</f>
        <v/>
      </c>
      <c r="H553" s="40" t="n"/>
      <c r="I553" s="40" t="n"/>
    </row>
    <row r="554" ht="15" customHeight="1" s="28">
      <c r="A554" s="37" t="n">
        <v>541</v>
      </c>
      <c r="B554" s="55" t="n">
        <v>540</v>
      </c>
      <c r="C554" s="55">
        <f>B554^2</f>
        <v/>
      </c>
      <c r="D554" s="38" t="n">
        <v>4683.1</v>
      </c>
      <c r="E554" s="38">
        <f>4541.138727+0.225904*B554</f>
        <v/>
      </c>
      <c r="F554" s="39">
        <f>D554-E554</f>
        <v/>
      </c>
      <c r="G554" s="38">
        <f>F554^2</f>
        <v/>
      </c>
      <c r="H554" s="37" t="n"/>
      <c r="I554" s="37" t="n"/>
    </row>
    <row r="555" ht="15" customHeight="1" s="28">
      <c r="A555" s="40" t="n">
        <v>542</v>
      </c>
      <c r="B555" s="56" t="n">
        <v>541</v>
      </c>
      <c r="C555" s="56">
        <f>B555^2</f>
        <v/>
      </c>
      <c r="D555" s="41" t="n">
        <v>4685.62</v>
      </c>
      <c r="E555" s="41">
        <f>4541.138727+0.225904*B555</f>
        <v/>
      </c>
      <c r="F555" s="42">
        <f>D555-E555</f>
        <v/>
      </c>
      <c r="G555" s="41">
        <f>F555^2</f>
        <v/>
      </c>
      <c r="H555" s="40" t="n"/>
      <c r="I555" s="40" t="n"/>
    </row>
    <row r="556" ht="15" customHeight="1" s="28">
      <c r="A556" s="37" t="n">
        <v>543</v>
      </c>
      <c r="B556" s="55" t="n">
        <v>542</v>
      </c>
      <c r="C556" s="55">
        <f>B556^2</f>
        <v/>
      </c>
      <c r="D556" s="38" t="n">
        <v>4683.1</v>
      </c>
      <c r="E556" s="38">
        <f>4541.138727+0.225904*B556</f>
        <v/>
      </c>
      <c r="F556" s="39">
        <f>D556-E556</f>
        <v/>
      </c>
      <c r="G556" s="38">
        <f>F556^2</f>
        <v/>
      </c>
      <c r="H556" s="37" t="n"/>
      <c r="I556" s="37" t="n"/>
    </row>
    <row r="557" ht="15" customHeight="1" s="28">
      <c r="A557" s="40" t="n">
        <v>544</v>
      </c>
      <c r="B557" s="56" t="n">
        <v>543</v>
      </c>
      <c r="C557" s="56">
        <f>B557^2</f>
        <v/>
      </c>
      <c r="D557" s="41" t="n">
        <v>4680.64</v>
      </c>
      <c r="E557" s="41">
        <f>4541.138727+0.225904*B557</f>
        <v/>
      </c>
      <c r="F557" s="42">
        <f>D557-E557</f>
        <v/>
      </c>
      <c r="G557" s="41">
        <f>F557^2</f>
        <v/>
      </c>
      <c r="H557" s="40" t="n"/>
      <c r="I557" s="40" t="n"/>
    </row>
    <row r="558" ht="15" customHeight="1" s="28">
      <c r="A558" s="37" t="n">
        <v>545</v>
      </c>
      <c r="B558" s="55" t="n">
        <v>544</v>
      </c>
      <c r="C558" s="55">
        <f>B558^2</f>
        <v/>
      </c>
      <c r="D558" s="38" t="n">
        <v>4684.13</v>
      </c>
      <c r="E558" s="38">
        <f>4541.138727+0.225904*B558</f>
        <v/>
      </c>
      <c r="F558" s="39">
        <f>D558-E558</f>
        <v/>
      </c>
      <c r="G558" s="38">
        <f>F558^2</f>
        <v/>
      </c>
      <c r="H558" s="37" t="n"/>
      <c r="I558" s="37" t="n"/>
    </row>
    <row r="559" ht="15" customHeight="1" s="28">
      <c r="A559" s="40" t="n">
        <v>546</v>
      </c>
      <c r="B559" s="56" t="n">
        <v>545</v>
      </c>
      <c r="C559" s="56">
        <f>B559^2</f>
        <v/>
      </c>
      <c r="D559" s="41" t="n">
        <v>4686.79</v>
      </c>
      <c r="E559" s="41">
        <f>4541.138727+0.225904*B559</f>
        <v/>
      </c>
      <c r="F559" s="42">
        <f>D559-E559</f>
        <v/>
      </c>
      <c r="G559" s="41">
        <f>F559^2</f>
        <v/>
      </c>
      <c r="H559" s="40" t="n"/>
      <c r="I559" s="40" t="n"/>
    </row>
    <row r="560" ht="15" customHeight="1" s="28">
      <c r="A560" s="37" t="n">
        <v>547</v>
      </c>
      <c r="B560" s="55" t="n">
        <v>546</v>
      </c>
      <c r="C560" s="55">
        <f>B560^2</f>
        <v/>
      </c>
      <c r="D560" s="38" t="n">
        <v>4687.85</v>
      </c>
      <c r="E560" s="38">
        <f>4541.138727+0.225904*B560</f>
        <v/>
      </c>
      <c r="F560" s="39">
        <f>D560-E560</f>
        <v/>
      </c>
      <c r="G560" s="38">
        <f>F560^2</f>
        <v/>
      </c>
      <c r="H560" s="37" t="n"/>
      <c r="I560" s="37" t="n"/>
    </row>
    <row r="561" ht="15" customHeight="1" s="28">
      <c r="A561" s="40" t="n">
        <v>548</v>
      </c>
      <c r="B561" s="56" t="n">
        <v>547</v>
      </c>
      <c r="C561" s="56">
        <f>B561^2</f>
        <v/>
      </c>
      <c r="D561" s="41" t="n">
        <v>4686.27</v>
      </c>
      <c r="E561" s="41">
        <f>4541.138727+0.225904*B561</f>
        <v/>
      </c>
      <c r="F561" s="42">
        <f>D561-E561</f>
        <v/>
      </c>
      <c r="G561" s="41">
        <f>F561^2</f>
        <v/>
      </c>
      <c r="H561" s="40" t="n"/>
      <c r="I561" s="40" t="n"/>
    </row>
    <row r="562" ht="15" customHeight="1" s="28">
      <c r="A562" s="37" t="n">
        <v>549</v>
      </c>
      <c r="B562" s="55" t="n">
        <v>548</v>
      </c>
      <c r="C562" s="55">
        <f>B562^2</f>
        <v/>
      </c>
      <c r="D562" s="38" t="n">
        <v>4686.1</v>
      </c>
      <c r="E562" s="38">
        <f>4541.138727+0.225904*B562</f>
        <v/>
      </c>
      <c r="F562" s="39">
        <f>D562-E562</f>
        <v/>
      </c>
      <c r="G562" s="38">
        <f>F562^2</f>
        <v/>
      </c>
      <c r="H562" s="37" t="n"/>
      <c r="I562" s="37" t="n"/>
    </row>
    <row r="563" ht="15" customHeight="1" s="28">
      <c r="A563" s="40" t="n">
        <v>550</v>
      </c>
      <c r="B563" s="56" t="n">
        <v>549</v>
      </c>
      <c r="C563" s="56">
        <f>B563^2</f>
        <v/>
      </c>
      <c r="D563" s="41" t="n">
        <v>4695.28</v>
      </c>
      <c r="E563" s="41">
        <f>4541.138727+0.225904*B563</f>
        <v/>
      </c>
      <c r="F563" s="42">
        <f>D563-E563</f>
        <v/>
      </c>
      <c r="G563" s="41">
        <f>F563^2</f>
        <v/>
      </c>
      <c r="H563" s="40" t="n"/>
      <c r="I563" s="40" t="n"/>
    </row>
    <row r="564" ht="15" customHeight="1" s="28">
      <c r="A564" s="37" t="n">
        <v>551</v>
      </c>
      <c r="B564" s="55" t="n">
        <v>550</v>
      </c>
      <c r="C564" s="55">
        <f>B564^2</f>
        <v/>
      </c>
      <c r="D564" s="38" t="n">
        <v>4698.51</v>
      </c>
      <c r="E564" s="38">
        <f>4541.138727+0.225904*B564</f>
        <v/>
      </c>
      <c r="F564" s="39">
        <f>D564-E564</f>
        <v/>
      </c>
      <c r="G564" s="38">
        <f>F564^2</f>
        <v/>
      </c>
      <c r="H564" s="37" t="n"/>
      <c r="I564" s="37" t="n"/>
    </row>
    <row r="565" ht="15" customHeight="1" s="28">
      <c r="A565" s="40" t="n">
        <v>552</v>
      </c>
      <c r="B565" s="56" t="n">
        <v>551</v>
      </c>
      <c r="C565" s="56">
        <f>B565^2</f>
        <v/>
      </c>
      <c r="D565" s="41" t="n">
        <v>4695.4</v>
      </c>
      <c r="E565" s="41">
        <f>4541.138727+0.225904*B565</f>
        <v/>
      </c>
      <c r="F565" s="42">
        <f>D565-E565</f>
        <v/>
      </c>
      <c r="G565" s="41">
        <f>F565^2</f>
        <v/>
      </c>
      <c r="H565" s="40" t="n"/>
      <c r="I565" s="40" t="n"/>
    </row>
    <row r="566" ht="15" customHeight="1" s="28">
      <c r="A566" s="37" t="n">
        <v>553</v>
      </c>
      <c r="B566" s="55" t="n">
        <v>552</v>
      </c>
      <c r="C566" s="55">
        <f>B566^2</f>
        <v/>
      </c>
      <c r="D566" s="38" t="n">
        <v>4692.6</v>
      </c>
      <c r="E566" s="38">
        <f>4541.138727+0.225904*B566</f>
        <v/>
      </c>
      <c r="F566" s="39">
        <f>D566-E566</f>
        <v/>
      </c>
      <c r="G566" s="38">
        <f>F566^2</f>
        <v/>
      </c>
      <c r="H566" s="37" t="n"/>
      <c r="I566" s="37" t="n"/>
    </row>
    <row r="567" ht="15" customHeight="1" s="28">
      <c r="A567" s="40" t="n">
        <v>554</v>
      </c>
      <c r="B567" s="56" t="n">
        <v>553</v>
      </c>
      <c r="C567" s="56">
        <f>B567^2</f>
        <v/>
      </c>
      <c r="D567" s="41" t="n">
        <v>4698.99</v>
      </c>
      <c r="E567" s="41">
        <f>4541.138727+0.225904*B567</f>
        <v/>
      </c>
      <c r="F567" s="42">
        <f>D567-E567</f>
        <v/>
      </c>
      <c r="G567" s="41">
        <f>F567^2</f>
        <v/>
      </c>
      <c r="H567" s="40" t="n"/>
      <c r="I567" s="40" t="n"/>
    </row>
    <row r="568" ht="15" customHeight="1" s="28">
      <c r="A568" s="37" t="n">
        <v>555</v>
      </c>
      <c r="B568" s="55" t="n">
        <v>554</v>
      </c>
      <c r="C568" s="55">
        <f>B568^2</f>
        <v/>
      </c>
      <c r="D568" s="38" t="n">
        <v>4692.65</v>
      </c>
      <c r="E568" s="38">
        <f>4541.138727+0.225904*B568</f>
        <v/>
      </c>
      <c r="F568" s="39">
        <f>D568-E568</f>
        <v/>
      </c>
      <c r="G568" s="38">
        <f>F568^2</f>
        <v/>
      </c>
      <c r="H568" s="37" t="n"/>
      <c r="I568" s="37" t="n"/>
    </row>
    <row r="569" ht="15" customHeight="1" s="28">
      <c r="A569" s="40" t="n">
        <v>556</v>
      </c>
      <c r="B569" s="56" t="n">
        <v>555</v>
      </c>
      <c r="C569" s="56">
        <f>B569^2</f>
        <v/>
      </c>
      <c r="D569" s="41" t="n">
        <v>4689.09</v>
      </c>
      <c r="E569" s="41">
        <f>4541.138727+0.225904*B569</f>
        <v/>
      </c>
      <c r="F569" s="42">
        <f>D569-E569</f>
        <v/>
      </c>
      <c r="G569" s="41">
        <f>F569^2</f>
        <v/>
      </c>
      <c r="H569" s="40" t="n"/>
      <c r="I569" s="40" t="n"/>
    </row>
    <row r="570" ht="15" customHeight="1" s="28">
      <c r="A570" s="37" t="n">
        <v>557</v>
      </c>
      <c r="B570" s="55" t="n">
        <v>556</v>
      </c>
      <c r="C570" s="55">
        <f>B570^2</f>
        <v/>
      </c>
      <c r="D570" s="38" t="n">
        <v>4690.95</v>
      </c>
      <c r="E570" s="38">
        <f>4541.138727+0.225904*B570</f>
        <v/>
      </c>
      <c r="F570" s="39">
        <f>D570-E570</f>
        <v/>
      </c>
      <c r="G570" s="38">
        <f>F570^2</f>
        <v/>
      </c>
      <c r="H570" s="37" t="n"/>
      <c r="I570" s="37" t="n"/>
    </row>
    <row r="571" ht="15" customHeight="1" s="28">
      <c r="A571" s="40" t="n">
        <v>558</v>
      </c>
      <c r="B571" s="56" t="n">
        <v>557</v>
      </c>
      <c r="C571" s="56">
        <f>B571^2</f>
        <v/>
      </c>
      <c r="D571" s="41" t="n">
        <v>4697.18</v>
      </c>
      <c r="E571" s="41">
        <f>4541.138727+0.225904*B571</f>
        <v/>
      </c>
      <c r="F571" s="42">
        <f>D571-E571</f>
        <v/>
      </c>
      <c r="G571" s="41">
        <f>F571^2</f>
        <v/>
      </c>
      <c r="H571" s="40" t="n"/>
      <c r="I571" s="40" t="n"/>
    </row>
    <row r="572" ht="15" customHeight="1" s="28">
      <c r="A572" s="37" t="n">
        <v>559</v>
      </c>
      <c r="B572" s="55" t="n">
        <v>558</v>
      </c>
      <c r="C572" s="55">
        <f>B572^2</f>
        <v/>
      </c>
      <c r="D572" s="38" t="n">
        <v>4695.42</v>
      </c>
      <c r="E572" s="38">
        <f>4541.138727+0.225904*B572</f>
        <v/>
      </c>
      <c r="F572" s="39">
        <f>D572-E572</f>
        <v/>
      </c>
      <c r="G572" s="38">
        <f>F572^2</f>
        <v/>
      </c>
      <c r="H572" s="37" t="n"/>
      <c r="I572" s="37" t="n"/>
    </row>
    <row r="573" ht="15" customHeight="1" s="28">
      <c r="A573" s="40" t="n">
        <v>560</v>
      </c>
      <c r="B573" s="56" t="n">
        <v>559</v>
      </c>
      <c r="C573" s="56">
        <f>B573^2</f>
        <v/>
      </c>
      <c r="D573" s="41" t="n">
        <v>4698.63</v>
      </c>
      <c r="E573" s="41">
        <f>4541.138727+0.225904*B573</f>
        <v/>
      </c>
      <c r="F573" s="42">
        <f>D573-E573</f>
        <v/>
      </c>
      <c r="G573" s="41">
        <f>F573^2</f>
        <v/>
      </c>
      <c r="H573" s="40" t="n"/>
      <c r="I573" s="40" t="n"/>
    </row>
    <row r="574" ht="15" customHeight="1" s="28">
      <c r="A574" s="37" t="n">
        <v>561</v>
      </c>
      <c r="B574" s="55" t="n">
        <v>560</v>
      </c>
      <c r="C574" s="55">
        <f>B574^2</f>
        <v/>
      </c>
      <c r="D574" s="38" t="n">
        <v>4694.94</v>
      </c>
      <c r="E574" s="38">
        <f>4541.138727+0.225904*B574</f>
        <v/>
      </c>
      <c r="F574" s="39">
        <f>D574-E574</f>
        <v/>
      </c>
      <c r="G574" s="38">
        <f>F574^2</f>
        <v/>
      </c>
      <c r="H574" s="37" t="n"/>
      <c r="I574" s="37" t="n"/>
    </row>
    <row r="575" ht="15" customHeight="1" s="28">
      <c r="A575" s="40" t="n">
        <v>562</v>
      </c>
      <c r="B575" s="56" t="n">
        <v>561</v>
      </c>
      <c r="C575" s="56">
        <f>B575^2</f>
        <v/>
      </c>
      <c r="D575" s="41" t="n">
        <v>4694.41</v>
      </c>
      <c r="E575" s="41">
        <f>4541.138727+0.225904*B575</f>
        <v/>
      </c>
      <c r="F575" s="42">
        <f>D575-E575</f>
        <v/>
      </c>
      <c r="G575" s="41">
        <f>F575^2</f>
        <v/>
      </c>
      <c r="H575" s="40" t="n"/>
      <c r="I575" s="40" t="n"/>
    </row>
    <row r="576" ht="15" customHeight="1" s="28">
      <c r="A576" s="37" t="n">
        <v>563</v>
      </c>
      <c r="B576" s="55" t="n">
        <v>562</v>
      </c>
      <c r="C576" s="55">
        <f>B576^2</f>
        <v/>
      </c>
      <c r="D576" s="38" t="n">
        <v>4693.6</v>
      </c>
      <c r="E576" s="38">
        <f>4541.138727+0.225904*B576</f>
        <v/>
      </c>
      <c r="F576" s="39">
        <f>D576-E576</f>
        <v/>
      </c>
      <c r="G576" s="38">
        <f>F576^2</f>
        <v/>
      </c>
      <c r="H576" s="37" t="n"/>
      <c r="I576" s="37" t="n"/>
    </row>
    <row r="577" ht="15" customHeight="1" s="28">
      <c r="A577" s="40" t="n">
        <v>564</v>
      </c>
      <c r="B577" s="56" t="n">
        <v>563</v>
      </c>
      <c r="C577" s="56">
        <f>B577^2</f>
        <v/>
      </c>
      <c r="D577" s="41" t="n">
        <v>4693.6</v>
      </c>
      <c r="E577" s="41">
        <f>4541.138727+0.225904*B577</f>
        <v/>
      </c>
      <c r="F577" s="42">
        <f>D577-E577</f>
        <v/>
      </c>
      <c r="G577" s="41">
        <f>F577^2</f>
        <v/>
      </c>
      <c r="H577" s="40" t="n"/>
      <c r="I577" s="40" t="n"/>
    </row>
    <row r="578" ht="15" customHeight="1" s="28">
      <c r="A578" s="37" t="n">
        <v>565</v>
      </c>
      <c r="B578" s="55" t="n">
        <v>564</v>
      </c>
      <c r="C578" s="55">
        <f>B578^2</f>
        <v/>
      </c>
      <c r="D578" s="38" t="n">
        <v>4699</v>
      </c>
      <c r="E578" s="38">
        <f>4541.138727+0.225904*B578</f>
        <v/>
      </c>
      <c r="F578" s="39">
        <f>D578-E578</f>
        <v/>
      </c>
      <c r="G578" s="38">
        <f>F578^2</f>
        <v/>
      </c>
      <c r="H578" s="37" t="n"/>
      <c r="I578" s="37" t="n"/>
    </row>
    <row r="579" ht="15" customHeight="1" s="28">
      <c r="A579" s="40" t="n">
        <v>566</v>
      </c>
      <c r="B579" s="56" t="n">
        <v>565</v>
      </c>
      <c r="C579" s="56">
        <f>B579^2</f>
        <v/>
      </c>
      <c r="D579" s="41" t="n">
        <v>4699.88</v>
      </c>
      <c r="E579" s="41">
        <f>4541.138727+0.225904*B579</f>
        <v/>
      </c>
      <c r="F579" s="42">
        <f>D579-E579</f>
        <v/>
      </c>
      <c r="G579" s="41">
        <f>F579^2</f>
        <v/>
      </c>
      <c r="H579" s="40" t="n"/>
      <c r="I579" s="40" t="n"/>
    </row>
    <row r="580" ht="15" customHeight="1" s="28">
      <c r="A580" s="37" t="n">
        <v>567</v>
      </c>
      <c r="B580" s="55" t="n">
        <v>566</v>
      </c>
      <c r="C580" s="55">
        <f>B580^2</f>
        <v/>
      </c>
      <c r="D580" s="38" t="n">
        <v>4692.51</v>
      </c>
      <c r="E580" s="38">
        <f>4541.138727+0.225904*B580</f>
        <v/>
      </c>
      <c r="F580" s="39">
        <f>D580-E580</f>
        <v/>
      </c>
      <c r="G580" s="38">
        <f>F580^2</f>
        <v/>
      </c>
      <c r="H580" s="37" t="n"/>
      <c r="I580" s="37" t="n"/>
    </row>
    <row r="581" ht="15" customHeight="1" s="28">
      <c r="A581" s="40" t="n">
        <v>568</v>
      </c>
      <c r="B581" s="56" t="n">
        <v>567</v>
      </c>
      <c r="C581" s="56">
        <f>B581^2</f>
        <v/>
      </c>
      <c r="D581" s="41" t="n">
        <v>4688.45</v>
      </c>
      <c r="E581" s="41">
        <f>4541.138727+0.225904*B581</f>
        <v/>
      </c>
      <c r="F581" s="42">
        <f>D581-E581</f>
        <v/>
      </c>
      <c r="G581" s="41">
        <f>F581^2</f>
        <v/>
      </c>
      <c r="H581" s="40" t="n"/>
      <c r="I581" s="40" t="n"/>
    </row>
    <row r="582" ht="15" customHeight="1" s="28">
      <c r="A582" s="37" t="n">
        <v>569</v>
      </c>
      <c r="B582" s="55" t="n">
        <v>568</v>
      </c>
      <c r="C582" s="55">
        <f>B582^2</f>
        <v/>
      </c>
      <c r="D582" s="38" t="n">
        <v>4688.57</v>
      </c>
      <c r="E582" s="38">
        <f>4541.138727+0.225904*B582</f>
        <v/>
      </c>
      <c r="F582" s="39">
        <f>D582-E582</f>
        <v/>
      </c>
      <c r="G582" s="38">
        <f>F582^2</f>
        <v/>
      </c>
      <c r="H582" s="37" t="n"/>
      <c r="I582" s="37" t="n"/>
    </row>
    <row r="583" ht="15" customHeight="1" s="28">
      <c r="A583" s="40" t="n">
        <v>570</v>
      </c>
      <c r="B583" s="56" t="n">
        <v>569</v>
      </c>
      <c r="C583" s="56">
        <f>B583^2</f>
        <v/>
      </c>
      <c r="D583" s="41" t="n">
        <v>4709.88</v>
      </c>
      <c r="E583" s="41">
        <f>4541.138727+0.225904*B583</f>
        <v/>
      </c>
      <c r="F583" s="42">
        <f>D583-E583</f>
        <v/>
      </c>
      <c r="G583" s="41">
        <f>F583^2</f>
        <v/>
      </c>
      <c r="H583" s="40" t="n"/>
      <c r="I583" s="40" t="n"/>
    </row>
    <row r="584" ht="15" customHeight="1" s="28">
      <c r="A584" s="37" t="n">
        <v>571</v>
      </c>
      <c r="B584" s="55" t="n">
        <v>570</v>
      </c>
      <c r="C584" s="55">
        <f>B584^2</f>
        <v/>
      </c>
      <c r="D584" s="38" t="n">
        <v>4704.22</v>
      </c>
      <c r="E584" s="38">
        <f>4541.138727+0.225904*B584</f>
        <v/>
      </c>
      <c r="F584" s="39">
        <f>D584-E584</f>
        <v/>
      </c>
      <c r="G584" s="38">
        <f>F584^2</f>
        <v/>
      </c>
      <c r="H584" s="37" t="n"/>
      <c r="I584" s="37" t="n"/>
    </row>
    <row r="585" ht="15" customHeight="1" s="28">
      <c r="A585" s="40" t="n">
        <v>572</v>
      </c>
      <c r="B585" s="56" t="n">
        <v>571</v>
      </c>
      <c r="C585" s="56">
        <f>B585^2</f>
        <v/>
      </c>
      <c r="D585" s="41" t="n">
        <v>4712.93</v>
      </c>
      <c r="E585" s="41">
        <f>4541.138727+0.225904*B585</f>
        <v/>
      </c>
      <c r="F585" s="42">
        <f>D585-E585</f>
        <v/>
      </c>
      <c r="G585" s="41">
        <f>F585^2</f>
        <v/>
      </c>
      <c r="H585" s="40" t="n"/>
      <c r="I585" s="40" t="n"/>
    </row>
    <row r="586" ht="15" customHeight="1" s="28">
      <c r="A586" s="37" t="n">
        <v>573</v>
      </c>
      <c r="B586" s="55" t="n">
        <v>572</v>
      </c>
      <c r="C586" s="55">
        <f>B586^2</f>
        <v/>
      </c>
      <c r="D586" s="38" t="n">
        <v>4714.86</v>
      </c>
      <c r="E586" s="38">
        <f>4541.138727+0.225904*B586</f>
        <v/>
      </c>
      <c r="F586" s="39">
        <f>D586-E586</f>
        <v/>
      </c>
      <c r="G586" s="38">
        <f>F586^2</f>
        <v/>
      </c>
      <c r="H586" s="37" t="n"/>
      <c r="I586" s="37" t="n"/>
    </row>
    <row r="587" ht="15" customHeight="1" s="28">
      <c r="A587" s="40" t="n">
        <v>574</v>
      </c>
      <c r="B587" s="56" t="n">
        <v>573</v>
      </c>
      <c r="C587" s="56">
        <f>B587^2</f>
        <v/>
      </c>
      <c r="D587" s="41" t="n">
        <v>4704.21</v>
      </c>
      <c r="E587" s="41">
        <f>4541.138727+0.225904*B587</f>
        <v/>
      </c>
      <c r="F587" s="42">
        <f>D587-E587</f>
        <v/>
      </c>
      <c r="G587" s="41">
        <f>F587^2</f>
        <v/>
      </c>
      <c r="H587" s="40" t="n"/>
      <c r="I587" s="40" t="n"/>
    </row>
    <row r="588" ht="15" customHeight="1" s="28">
      <c r="A588" s="37" t="n">
        <v>575</v>
      </c>
      <c r="B588" s="55" t="n">
        <v>574</v>
      </c>
      <c r="C588" s="55">
        <f>B588^2</f>
        <v/>
      </c>
      <c r="D588" s="38" t="n">
        <v>4702.84</v>
      </c>
      <c r="E588" s="38">
        <f>4541.138727+0.225904*B588</f>
        <v/>
      </c>
      <c r="F588" s="39">
        <f>D588-E588</f>
        <v/>
      </c>
      <c r="G588" s="38">
        <f>F588^2</f>
        <v/>
      </c>
      <c r="H588" s="37" t="n"/>
      <c r="I588" s="37" t="n"/>
    </row>
    <row r="589" ht="15" customHeight="1" s="28">
      <c r="A589" s="40" t="n">
        <v>576</v>
      </c>
      <c r="B589" s="56" t="n">
        <v>575</v>
      </c>
      <c r="C589" s="56">
        <f>B589^2</f>
        <v/>
      </c>
      <c r="D589" s="41" t="n">
        <v>4704.24</v>
      </c>
      <c r="E589" s="41">
        <f>4541.138727+0.225904*B589</f>
        <v/>
      </c>
      <c r="F589" s="42">
        <f>D589-E589</f>
        <v/>
      </c>
      <c r="G589" s="41">
        <f>F589^2</f>
        <v/>
      </c>
      <c r="H589" s="40" t="n"/>
      <c r="I589" s="40" t="n"/>
    </row>
    <row r="590" ht="15" customHeight="1" s="28">
      <c r="A590" s="37" t="n">
        <v>577</v>
      </c>
      <c r="B590" s="55" t="n">
        <v>576</v>
      </c>
      <c r="C590" s="55">
        <f>B590^2</f>
        <v/>
      </c>
      <c r="D590" s="38" t="n">
        <v>4707.22</v>
      </c>
      <c r="E590" s="38">
        <f>4541.138727+0.225904*B590</f>
        <v/>
      </c>
      <c r="F590" s="39">
        <f>D590-E590</f>
        <v/>
      </c>
      <c r="G590" s="38">
        <f>F590^2</f>
        <v/>
      </c>
      <c r="H590" s="37" t="n"/>
      <c r="I590" s="37" t="n"/>
    </row>
    <row r="591" ht="15" customHeight="1" s="28">
      <c r="A591" s="40" t="n">
        <v>578</v>
      </c>
      <c r="B591" s="56" t="n">
        <v>577</v>
      </c>
      <c r="C591" s="56">
        <f>B591^2</f>
        <v/>
      </c>
      <c r="D591" s="41" t="n">
        <v>4705.93</v>
      </c>
      <c r="E591" s="41">
        <f>4541.138727+0.225904*B591</f>
        <v/>
      </c>
      <c r="F591" s="42">
        <f>D591-E591</f>
        <v/>
      </c>
      <c r="G591" s="41">
        <f>F591^2</f>
        <v/>
      </c>
      <c r="H591" s="40" t="n"/>
      <c r="I591" s="40" t="n"/>
    </row>
    <row r="592" ht="15" customHeight="1" s="28">
      <c r="A592" s="37" t="n">
        <v>579</v>
      </c>
      <c r="B592" s="55" t="n">
        <v>578</v>
      </c>
      <c r="C592" s="55">
        <f>B592^2</f>
        <v/>
      </c>
      <c r="D592" s="38" t="n">
        <v>4704.6</v>
      </c>
      <c r="E592" s="38">
        <f>4541.138727+0.225904*B592</f>
        <v/>
      </c>
      <c r="F592" s="39">
        <f>D592-E592</f>
        <v/>
      </c>
      <c r="G592" s="38">
        <f>F592^2</f>
        <v/>
      </c>
      <c r="H592" s="37" t="n"/>
      <c r="I592" s="37" t="n"/>
    </row>
    <row r="593" ht="15" customHeight="1" s="28">
      <c r="A593" s="40" t="n">
        <v>580</v>
      </c>
      <c r="B593" s="56" t="n">
        <v>579</v>
      </c>
      <c r="C593" s="56">
        <f>B593^2</f>
        <v/>
      </c>
      <c r="D593" s="41" t="n">
        <v>4703.96</v>
      </c>
      <c r="E593" s="41">
        <f>4541.138727+0.225904*B593</f>
        <v/>
      </c>
      <c r="F593" s="42">
        <f>D593-E593</f>
        <v/>
      </c>
      <c r="G593" s="41">
        <f>F593^2</f>
        <v/>
      </c>
      <c r="H593" s="40" t="n"/>
      <c r="I593" s="40" t="n"/>
    </row>
    <row r="594" ht="15" customHeight="1" s="28">
      <c r="A594" s="37" t="n">
        <v>581</v>
      </c>
      <c r="B594" s="55" t="n">
        <v>580</v>
      </c>
      <c r="C594" s="55">
        <f>B594^2</f>
        <v/>
      </c>
      <c r="D594" s="38" t="n">
        <v>4699.11</v>
      </c>
      <c r="E594" s="38">
        <f>4541.138727+0.225904*B594</f>
        <v/>
      </c>
      <c r="F594" s="39">
        <f>D594-E594</f>
        <v/>
      </c>
      <c r="G594" s="38">
        <f>F594^2</f>
        <v/>
      </c>
      <c r="H594" s="37" t="n"/>
      <c r="I594" s="37" t="n"/>
    </row>
    <row r="595" ht="15" customHeight="1" s="28">
      <c r="A595" s="40" t="n">
        <v>582</v>
      </c>
      <c r="B595" s="56" t="n">
        <v>581</v>
      </c>
      <c r="C595" s="56">
        <f>B595^2</f>
        <v/>
      </c>
      <c r="D595" s="41" t="n">
        <v>4696.87</v>
      </c>
      <c r="E595" s="41">
        <f>4541.138727+0.225904*B595</f>
        <v/>
      </c>
      <c r="F595" s="42">
        <f>D595-E595</f>
        <v/>
      </c>
      <c r="G595" s="41">
        <f>F595^2</f>
        <v/>
      </c>
      <c r="H595" s="40" t="n"/>
      <c r="I595" s="40" t="n"/>
    </row>
    <row r="596" ht="15" customHeight="1" s="28">
      <c r="A596" s="37" t="n">
        <v>583</v>
      </c>
      <c r="B596" s="55" t="n">
        <v>582</v>
      </c>
      <c r="C596" s="55">
        <f>B596^2</f>
        <v/>
      </c>
      <c r="D596" s="38" t="n">
        <v>4696.79</v>
      </c>
      <c r="E596" s="38">
        <f>4541.138727+0.225904*B596</f>
        <v/>
      </c>
      <c r="F596" s="39">
        <f>D596-E596</f>
        <v/>
      </c>
      <c r="G596" s="38">
        <f>F596^2</f>
        <v/>
      </c>
      <c r="H596" s="37" t="n"/>
      <c r="I596" s="37" t="n"/>
    </row>
    <row r="597" ht="15" customHeight="1" s="28">
      <c r="A597" s="40" t="n">
        <v>584</v>
      </c>
      <c r="B597" s="56" t="n">
        <v>583</v>
      </c>
      <c r="C597" s="56">
        <f>B597^2</f>
        <v/>
      </c>
      <c r="D597" s="41" t="n">
        <v>4698.15</v>
      </c>
      <c r="E597" s="41">
        <f>4541.138727+0.225904*B597</f>
        <v/>
      </c>
      <c r="F597" s="42">
        <f>D597-E597</f>
        <v/>
      </c>
      <c r="G597" s="41">
        <f>F597^2</f>
        <v/>
      </c>
      <c r="H597" s="40" t="n"/>
      <c r="I597" s="40" t="n"/>
    </row>
    <row r="598" ht="15" customHeight="1" s="28">
      <c r="A598" s="37" t="n">
        <v>585</v>
      </c>
      <c r="B598" s="55" t="n">
        <v>584</v>
      </c>
      <c r="C598" s="55">
        <f>B598^2</f>
        <v/>
      </c>
      <c r="D598" s="38" t="n">
        <v>4696.48</v>
      </c>
      <c r="E598" s="38">
        <f>4541.138727+0.225904*B598</f>
        <v/>
      </c>
      <c r="F598" s="39">
        <f>D598-E598</f>
        <v/>
      </c>
      <c r="G598" s="38">
        <f>F598^2</f>
        <v/>
      </c>
      <c r="H598" s="37" t="n"/>
      <c r="I598" s="37" t="n"/>
    </row>
    <row r="599" ht="15" customHeight="1" s="28">
      <c r="A599" s="40" t="n">
        <v>586</v>
      </c>
      <c r="B599" s="56" t="n">
        <v>585</v>
      </c>
      <c r="C599" s="56">
        <f>B599^2</f>
        <v/>
      </c>
      <c r="D599" s="41" t="n">
        <v>4700.45</v>
      </c>
      <c r="E599" s="41">
        <f>4541.138727+0.225904*B599</f>
        <v/>
      </c>
      <c r="F599" s="42">
        <f>D599-E599</f>
        <v/>
      </c>
      <c r="G599" s="41">
        <f>F599^2</f>
        <v/>
      </c>
      <c r="H599" s="40" t="n"/>
      <c r="I599" s="40" t="n"/>
    </row>
    <row r="600" ht="15" customHeight="1" s="28">
      <c r="A600" s="37" t="n">
        <v>587</v>
      </c>
      <c r="B600" s="55" t="n">
        <v>586</v>
      </c>
      <c r="C600" s="55">
        <f>B600^2</f>
        <v/>
      </c>
      <c r="D600" s="38" t="n">
        <v>4696.05</v>
      </c>
      <c r="E600" s="38">
        <f>4541.138727+0.225904*B600</f>
        <v/>
      </c>
      <c r="F600" s="39">
        <f>D600-E600</f>
        <v/>
      </c>
      <c r="G600" s="38">
        <f>F600^2</f>
        <v/>
      </c>
      <c r="H600" s="37" t="n"/>
      <c r="I600" s="37" t="n"/>
    </row>
    <row r="601" ht="15" customHeight="1" s="28">
      <c r="A601" s="40" t="n">
        <v>588</v>
      </c>
      <c r="B601" s="56" t="n">
        <v>587</v>
      </c>
      <c r="C601" s="56">
        <f>B601^2</f>
        <v/>
      </c>
      <c r="D601" s="41" t="n">
        <v>4703.63</v>
      </c>
      <c r="E601" s="41">
        <f>4541.138727+0.225904*B601</f>
        <v/>
      </c>
      <c r="F601" s="42">
        <f>D601-E601</f>
        <v/>
      </c>
      <c r="G601" s="41">
        <f>F601^2</f>
        <v/>
      </c>
      <c r="H601" s="40" t="n"/>
      <c r="I601" s="40" t="n"/>
    </row>
    <row r="602" ht="15" customHeight="1" s="28">
      <c r="A602" s="37" t="n">
        <v>589</v>
      </c>
      <c r="B602" s="55" t="n">
        <v>588</v>
      </c>
      <c r="C602" s="55">
        <f>B602^2</f>
        <v/>
      </c>
      <c r="D602" s="38" t="n">
        <v>4701.22</v>
      </c>
      <c r="E602" s="38">
        <f>4541.138727+0.225904*B602</f>
        <v/>
      </c>
      <c r="F602" s="39">
        <f>D602-E602</f>
        <v/>
      </c>
      <c r="G602" s="38">
        <f>F602^2</f>
        <v/>
      </c>
      <c r="H602" s="37" t="n"/>
      <c r="I602" s="37" t="n"/>
    </row>
    <row r="603" ht="15" customHeight="1" s="28">
      <c r="A603" s="40" t="n">
        <v>590</v>
      </c>
      <c r="B603" s="56" t="n">
        <v>589</v>
      </c>
      <c r="C603" s="56">
        <f>B603^2</f>
        <v/>
      </c>
      <c r="D603" s="41" t="n">
        <v>4708.23</v>
      </c>
      <c r="E603" s="41">
        <f>4541.138727+0.225904*B603</f>
        <v/>
      </c>
      <c r="F603" s="42">
        <f>D603-E603</f>
        <v/>
      </c>
      <c r="G603" s="41">
        <f>F603^2</f>
        <v/>
      </c>
      <c r="H603" s="40" t="n"/>
      <c r="I603" s="40" t="n"/>
    </row>
    <row r="604" ht="15" customHeight="1" s="28">
      <c r="A604" s="37" t="n">
        <v>591</v>
      </c>
      <c r="B604" s="55" t="n">
        <v>590</v>
      </c>
      <c r="C604" s="55">
        <f>B604^2</f>
        <v/>
      </c>
      <c r="D604" s="38" t="n">
        <v>4717.42</v>
      </c>
      <c r="E604" s="38">
        <f>4541.138727+0.225904*B604</f>
        <v/>
      </c>
      <c r="F604" s="39">
        <f>D604-E604</f>
        <v/>
      </c>
      <c r="G604" s="38">
        <f>F604^2</f>
        <v/>
      </c>
      <c r="H604" s="37" t="n"/>
      <c r="I604" s="37" t="n"/>
    </row>
    <row r="605" ht="15" customHeight="1" s="28">
      <c r="A605" s="40" t="n">
        <v>592</v>
      </c>
      <c r="B605" s="56" t="n">
        <v>591</v>
      </c>
      <c r="C605" s="56">
        <f>B605^2</f>
        <v/>
      </c>
      <c r="D605" s="41" t="n">
        <v>4746.02</v>
      </c>
      <c r="E605" s="41">
        <f>4541.138727+0.225904*B605</f>
        <v/>
      </c>
      <c r="F605" s="42">
        <f>D605-E605</f>
        <v/>
      </c>
      <c r="G605" s="41">
        <f>F605^2</f>
        <v/>
      </c>
      <c r="H605" s="40" t="n"/>
      <c r="I605" s="40" t="n"/>
    </row>
    <row r="606" ht="15" customHeight="1" s="28">
      <c r="A606" s="37" t="n">
        <v>593</v>
      </c>
      <c r="B606" s="55" t="n">
        <v>592</v>
      </c>
      <c r="C606" s="55">
        <f>B606^2</f>
        <v/>
      </c>
      <c r="D606" s="38" t="n">
        <v>4739.12</v>
      </c>
      <c r="E606" s="38">
        <f>4541.138727+0.225904*B606</f>
        <v/>
      </c>
      <c r="F606" s="39">
        <f>D606-E606</f>
        <v/>
      </c>
      <c r="G606" s="38">
        <f>F606^2</f>
        <v/>
      </c>
      <c r="H606" s="37" t="n"/>
      <c r="I606" s="37" t="n"/>
    </row>
    <row r="607" ht="15" customHeight="1" s="28">
      <c r="A607" s="40" t="n">
        <v>594</v>
      </c>
      <c r="B607" s="56" t="n">
        <v>593</v>
      </c>
      <c r="C607" s="56">
        <f>B607^2</f>
        <v/>
      </c>
      <c r="D607" s="41" t="n">
        <v>4749.05</v>
      </c>
      <c r="E607" s="41">
        <f>4541.138727+0.225904*B607</f>
        <v/>
      </c>
      <c r="F607" s="42">
        <f>D607-E607</f>
        <v/>
      </c>
      <c r="G607" s="41">
        <f>F607^2</f>
        <v/>
      </c>
      <c r="H607" s="40" t="n"/>
      <c r="I607" s="40" t="n"/>
    </row>
    <row r="608" ht="15" customHeight="1" s="28">
      <c r="A608" s="37" t="n">
        <v>595</v>
      </c>
      <c r="B608" s="55" t="n">
        <v>594</v>
      </c>
      <c r="C608" s="55">
        <f>B608^2</f>
        <v/>
      </c>
      <c r="D608" s="38" t="n">
        <v>4739.5</v>
      </c>
      <c r="E608" s="38">
        <f>4541.138727+0.225904*B608</f>
        <v/>
      </c>
      <c r="F608" s="39">
        <f>D608-E608</f>
        <v/>
      </c>
      <c r="G608" s="38">
        <f>F608^2</f>
        <v/>
      </c>
      <c r="H608" s="37" t="n"/>
      <c r="I608" s="37" t="n"/>
    </row>
    <row r="609" ht="15" customHeight="1" s="28">
      <c r="A609" s="40" t="n">
        <v>596</v>
      </c>
      <c r="B609" s="56" t="n">
        <v>595</v>
      </c>
      <c r="C609" s="56">
        <f>B609^2</f>
        <v/>
      </c>
      <c r="D609" s="41" t="n">
        <v>4742.88</v>
      </c>
      <c r="E609" s="41">
        <f>4541.138727+0.225904*B609</f>
        <v/>
      </c>
      <c r="F609" s="42">
        <f>D609-E609</f>
        <v/>
      </c>
      <c r="G609" s="41">
        <f>F609^2</f>
        <v/>
      </c>
      <c r="H609" s="40" t="n"/>
      <c r="I609" s="40" t="n"/>
    </row>
    <row r="610" ht="15" customHeight="1" s="28">
      <c r="A610" s="37" t="n">
        <v>597</v>
      </c>
      <c r="B610" s="55" t="n">
        <v>596</v>
      </c>
      <c r="C610" s="55">
        <f>B610^2</f>
        <v/>
      </c>
      <c r="D610" s="38" t="n">
        <v>4743.06</v>
      </c>
      <c r="E610" s="38">
        <f>4541.138727+0.225904*B610</f>
        <v/>
      </c>
      <c r="F610" s="39">
        <f>D610-E610</f>
        <v/>
      </c>
      <c r="G610" s="38">
        <f>F610^2</f>
        <v/>
      </c>
      <c r="H610" s="37" t="n"/>
      <c r="I610" s="37" t="n"/>
    </row>
    <row r="611" ht="15" customHeight="1" s="28">
      <c r="A611" s="40" t="n">
        <v>598</v>
      </c>
      <c r="B611" s="56" t="n">
        <v>597</v>
      </c>
      <c r="C611" s="56">
        <f>B611^2</f>
        <v/>
      </c>
      <c r="D611" s="41" t="n">
        <v>4742.66</v>
      </c>
      <c r="E611" s="41">
        <f>4541.138727+0.225904*B611</f>
        <v/>
      </c>
      <c r="F611" s="42">
        <f>D611-E611</f>
        <v/>
      </c>
      <c r="G611" s="41">
        <f>F611^2</f>
        <v/>
      </c>
      <c r="H611" s="40" t="n"/>
      <c r="I611" s="40" t="n"/>
    </row>
    <row r="612" ht="15" customHeight="1" s="28">
      <c r="A612" s="37" t="n">
        <v>599</v>
      </c>
      <c r="B612" s="55" t="n">
        <v>598</v>
      </c>
      <c r="C612" s="55">
        <f>B612^2</f>
        <v/>
      </c>
      <c r="D612" s="38" t="n">
        <v>4739.74</v>
      </c>
      <c r="E612" s="38">
        <f>4541.138727+0.225904*B612</f>
        <v/>
      </c>
      <c r="F612" s="39">
        <f>D612-E612</f>
        <v/>
      </c>
      <c r="G612" s="38">
        <f>F612^2</f>
        <v/>
      </c>
      <c r="H612" s="37" t="n"/>
      <c r="I612" s="37" t="n"/>
    </row>
    <row r="613" ht="15" customHeight="1" s="28">
      <c r="A613" s="40" t="n">
        <v>600</v>
      </c>
      <c r="B613" s="56" t="n">
        <v>599</v>
      </c>
      <c r="C613" s="56">
        <f>B613^2</f>
        <v/>
      </c>
      <c r="D613" s="41" t="n">
        <v>4735.34</v>
      </c>
      <c r="E613" s="41">
        <f>4541.138727+0.225904*B613</f>
        <v/>
      </c>
      <c r="F613" s="42">
        <f>D613-E613</f>
        <v/>
      </c>
      <c r="G613" s="41">
        <f>F613^2</f>
        <v/>
      </c>
      <c r="H613" s="40" t="n"/>
      <c r="I613" s="40" t="n"/>
    </row>
    <row r="614" ht="15" customHeight="1" s="28">
      <c r="A614" s="37" t="n">
        <v>601</v>
      </c>
      <c r="B614" s="55" t="n">
        <v>600</v>
      </c>
      <c r="C614" s="55">
        <f>B614^2</f>
        <v/>
      </c>
      <c r="D614" s="38" t="n">
        <v>4731.02</v>
      </c>
      <c r="E614" s="38">
        <f>4541.138727+0.225904*B614</f>
        <v/>
      </c>
      <c r="F614" s="39">
        <f>D614-E614</f>
        <v/>
      </c>
      <c r="G614" s="38">
        <f>F614^2</f>
        <v/>
      </c>
      <c r="H614" s="37" t="n"/>
      <c r="I614" s="37" t="n"/>
    </row>
    <row r="615" ht="15" customHeight="1" s="28">
      <c r="A615" s="40" t="n">
        <v>602</v>
      </c>
      <c r="B615" s="56" t="n">
        <v>601</v>
      </c>
      <c r="C615" s="56">
        <f>B615^2</f>
        <v/>
      </c>
      <c r="D615" s="41" t="n">
        <v>4734.22</v>
      </c>
      <c r="E615" s="41">
        <f>4541.138727+0.225904*B615</f>
        <v/>
      </c>
      <c r="F615" s="42">
        <f>D615-E615</f>
        <v/>
      </c>
      <c r="G615" s="41">
        <f>F615^2</f>
        <v/>
      </c>
      <c r="H615" s="40" t="n"/>
      <c r="I615" s="40" t="n"/>
    </row>
    <row r="616" ht="15" customHeight="1" s="28">
      <c r="A616" s="37" t="n">
        <v>603</v>
      </c>
      <c r="B616" s="55" t="n">
        <v>602</v>
      </c>
      <c r="C616" s="55">
        <f>B616^2</f>
        <v/>
      </c>
      <c r="D616" s="38" t="n">
        <v>4735.64</v>
      </c>
      <c r="E616" s="38">
        <f>4541.138727+0.225904*B616</f>
        <v/>
      </c>
      <c r="F616" s="39">
        <f>D616-E616</f>
        <v/>
      </c>
      <c r="G616" s="38">
        <f>F616^2</f>
        <v/>
      </c>
      <c r="H616" s="37" t="n"/>
      <c r="I616" s="37" t="n"/>
    </row>
    <row r="617" ht="15" customHeight="1" s="28">
      <c r="A617" s="40" t="n">
        <v>604</v>
      </c>
      <c r="B617" s="56" t="n">
        <v>603</v>
      </c>
      <c r="C617" s="56">
        <f>B617^2</f>
        <v/>
      </c>
      <c r="D617" s="41" t="n">
        <v>4737.77</v>
      </c>
      <c r="E617" s="41">
        <f>4541.138727+0.225904*B617</f>
        <v/>
      </c>
      <c r="F617" s="42">
        <f>D617-E617</f>
        <v/>
      </c>
      <c r="G617" s="41">
        <f>F617^2</f>
        <v/>
      </c>
      <c r="H617" s="40" t="n"/>
      <c r="I617" s="40" t="n"/>
    </row>
    <row r="618" ht="15" customHeight="1" s="28">
      <c r="A618" s="37" t="n">
        <v>605</v>
      </c>
      <c r="B618" s="55" t="n">
        <v>604</v>
      </c>
      <c r="C618" s="55">
        <f>B618^2</f>
        <v/>
      </c>
      <c r="D618" s="38" t="n">
        <v>4729.06</v>
      </c>
      <c r="E618" s="38">
        <f>4541.138727+0.225904*B618</f>
        <v/>
      </c>
      <c r="F618" s="39">
        <f>D618-E618</f>
        <v/>
      </c>
      <c r="G618" s="38">
        <f>F618^2</f>
        <v/>
      </c>
      <c r="H618" s="37" t="n"/>
      <c r="I618" s="37" t="n"/>
    </row>
    <row r="619" ht="15" customHeight="1" s="28">
      <c r="A619" s="40" t="n">
        <v>606</v>
      </c>
      <c r="B619" s="56" t="n">
        <v>605</v>
      </c>
      <c r="C619" s="56">
        <f>B619^2</f>
        <v/>
      </c>
      <c r="D619" s="41" t="n">
        <v>4734.98</v>
      </c>
      <c r="E619" s="41">
        <f>4541.138727+0.225904*B619</f>
        <v/>
      </c>
      <c r="F619" s="42">
        <f>D619-E619</f>
        <v/>
      </c>
      <c r="G619" s="41">
        <f>F619^2</f>
        <v/>
      </c>
      <c r="H619" s="40" t="n"/>
      <c r="I619" s="40" t="n"/>
    </row>
    <row r="620" ht="15" customHeight="1" s="28">
      <c r="A620" s="37" t="n">
        <v>607</v>
      </c>
      <c r="B620" s="55" t="n">
        <v>606</v>
      </c>
      <c r="C620" s="55">
        <f>B620^2</f>
        <v/>
      </c>
      <c r="D620" s="38" t="n">
        <v>4732.57</v>
      </c>
      <c r="E620" s="38">
        <f>4541.138727+0.225904*B620</f>
        <v/>
      </c>
      <c r="F620" s="39">
        <f>D620-E620</f>
        <v/>
      </c>
      <c r="G620" s="38">
        <f>F620^2</f>
        <v/>
      </c>
      <c r="H620" s="37" t="n"/>
      <c r="I620" s="37" t="n"/>
    </row>
    <row r="621" ht="15" customHeight="1" s="28">
      <c r="A621" s="40" t="n">
        <v>608</v>
      </c>
      <c r="B621" s="56" t="n">
        <v>607</v>
      </c>
      <c r="C621" s="56">
        <f>B621^2</f>
        <v/>
      </c>
      <c r="D621" s="41" t="n">
        <v>4739.17</v>
      </c>
      <c r="E621" s="41">
        <f>4541.138727+0.225904*B621</f>
        <v/>
      </c>
      <c r="F621" s="42">
        <f>D621-E621</f>
        <v/>
      </c>
      <c r="G621" s="41">
        <f>F621^2</f>
        <v/>
      </c>
      <c r="H621" s="40" t="n"/>
      <c r="I621" s="40" t="n"/>
    </row>
    <row r="622" ht="15" customHeight="1" s="28">
      <c r="A622" s="37" t="n">
        <v>609</v>
      </c>
      <c r="B622" s="55" t="n">
        <v>608</v>
      </c>
      <c r="C622" s="55">
        <f>B622^2</f>
        <v/>
      </c>
      <c r="D622" s="38" t="n">
        <v>4735.69</v>
      </c>
      <c r="E622" s="38">
        <f>4541.138727+0.225904*B622</f>
        <v/>
      </c>
      <c r="F622" s="39">
        <f>D622-E622</f>
        <v/>
      </c>
      <c r="G622" s="38">
        <f>F622^2</f>
        <v/>
      </c>
      <c r="H622" s="37" t="n"/>
      <c r="I622" s="37" t="n"/>
    </row>
    <row r="623" ht="15" customHeight="1" s="28">
      <c r="A623" s="40" t="n">
        <v>610</v>
      </c>
      <c r="B623" s="56" t="n">
        <v>609</v>
      </c>
      <c r="C623" s="56">
        <f>B623^2</f>
        <v/>
      </c>
      <c r="D623" s="41" t="n">
        <v>4730.38</v>
      </c>
      <c r="E623" s="41">
        <f>4541.138727+0.225904*B623</f>
        <v/>
      </c>
      <c r="F623" s="42">
        <f>D623-E623</f>
        <v/>
      </c>
      <c r="G623" s="41">
        <f>F623^2</f>
        <v/>
      </c>
      <c r="H623" s="40" t="n"/>
      <c r="I623" s="40" t="n"/>
    </row>
    <row r="624" ht="15" customHeight="1" s="28">
      <c r="A624" s="37" t="n">
        <v>611</v>
      </c>
      <c r="B624" s="55" t="n">
        <v>610</v>
      </c>
      <c r="C624" s="55">
        <f>B624^2</f>
        <v/>
      </c>
      <c r="D624" s="38" t="n">
        <v>4732.68</v>
      </c>
      <c r="E624" s="38">
        <f>4541.138727+0.225904*B624</f>
        <v/>
      </c>
      <c r="F624" s="39">
        <f>D624-E624</f>
        <v/>
      </c>
      <c r="G624" s="38">
        <f>F624^2</f>
        <v/>
      </c>
      <c r="H624" s="37" t="n"/>
      <c r="I624" s="37" t="n"/>
    </row>
    <row r="625" ht="15" customHeight="1" s="28">
      <c r="A625" s="40" t="n">
        <v>612</v>
      </c>
      <c r="B625" s="56" t="n">
        <v>611</v>
      </c>
      <c r="C625" s="56">
        <f>B625^2</f>
        <v/>
      </c>
      <c r="D625" s="41" t="n">
        <v>4736.98</v>
      </c>
      <c r="E625" s="41">
        <f>4541.138727+0.225904*B625</f>
        <v/>
      </c>
      <c r="F625" s="42">
        <f>D625-E625</f>
        <v/>
      </c>
      <c r="G625" s="41">
        <f>F625^2</f>
        <v/>
      </c>
      <c r="H625" s="40" t="n"/>
      <c r="I625" s="40" t="n"/>
    </row>
    <row r="626" ht="15" customHeight="1" s="28">
      <c r="A626" s="37" t="n">
        <v>613</v>
      </c>
      <c r="B626" s="55" t="n">
        <v>612</v>
      </c>
      <c r="C626" s="55">
        <f>B626^2</f>
        <v/>
      </c>
      <c r="D626" s="38" t="n">
        <v>4742.8</v>
      </c>
      <c r="E626" s="38">
        <f>4541.138727+0.225904*B626</f>
        <v/>
      </c>
      <c r="F626" s="39">
        <f>D626-E626</f>
        <v/>
      </c>
      <c r="G626" s="38">
        <f>F626^2</f>
        <v/>
      </c>
      <c r="H626" s="37" t="n"/>
      <c r="I626" s="37" t="n"/>
    </row>
    <row r="627" ht="15" customHeight="1" s="28">
      <c r="A627" s="40" t="n">
        <v>614</v>
      </c>
      <c r="B627" s="56" t="n">
        <v>613</v>
      </c>
      <c r="C627" s="56">
        <f>B627^2</f>
        <v/>
      </c>
      <c r="D627" s="41" t="n">
        <v>4744.19</v>
      </c>
      <c r="E627" s="41">
        <f>4541.138727+0.225904*B627</f>
        <v/>
      </c>
      <c r="F627" s="42">
        <f>D627-E627</f>
        <v/>
      </c>
      <c r="G627" s="41">
        <f>F627^2</f>
        <v/>
      </c>
      <c r="H627" s="40" t="n"/>
      <c r="I627" s="40" t="n"/>
    </row>
    <row r="628" ht="15" customHeight="1" s="28">
      <c r="A628" s="37" t="n">
        <v>615</v>
      </c>
      <c r="B628" s="55" t="n">
        <v>614</v>
      </c>
      <c r="C628" s="55">
        <f>B628^2</f>
        <v/>
      </c>
      <c r="D628" s="38" t="n">
        <v>4738.16</v>
      </c>
      <c r="E628" s="38">
        <f>4541.138727+0.225904*B628</f>
        <v/>
      </c>
      <c r="F628" s="39">
        <f>D628-E628</f>
        <v/>
      </c>
      <c r="G628" s="38">
        <f>F628^2</f>
        <v/>
      </c>
      <c r="H628" s="37" t="n"/>
      <c r="I628" s="37" t="n"/>
    </row>
    <row r="629" ht="15" customHeight="1" s="28">
      <c r="A629" s="40" t="n">
        <v>616</v>
      </c>
      <c r="B629" s="56" t="n">
        <v>615</v>
      </c>
      <c r="C629" s="56">
        <f>B629^2</f>
        <v/>
      </c>
      <c r="D629" s="41" t="n">
        <v>4751.15</v>
      </c>
      <c r="E629" s="41">
        <f>4541.138727+0.225904*B629</f>
        <v/>
      </c>
      <c r="F629" s="42">
        <f>D629-E629</f>
        <v/>
      </c>
      <c r="G629" s="41">
        <f>F629^2</f>
        <v/>
      </c>
      <c r="H629" s="40" t="n"/>
      <c r="I629" s="40" t="n"/>
    </row>
    <row r="630" ht="15" customHeight="1" s="28">
      <c r="A630" s="37" t="n">
        <v>617</v>
      </c>
      <c r="B630" s="55" t="n">
        <v>616</v>
      </c>
      <c r="C630" s="55">
        <f>B630^2</f>
        <v/>
      </c>
      <c r="D630" s="38" t="n">
        <v>4749.99</v>
      </c>
      <c r="E630" s="38">
        <f>4541.138727+0.225904*B630</f>
        <v/>
      </c>
      <c r="F630" s="39">
        <f>D630-E630</f>
        <v/>
      </c>
      <c r="G630" s="38">
        <f>F630^2</f>
        <v/>
      </c>
      <c r="H630" s="37" t="n"/>
      <c r="I630" s="37" t="n"/>
    </row>
    <row r="631" ht="15" customHeight="1" s="28">
      <c r="A631" s="40" t="n">
        <v>618</v>
      </c>
      <c r="B631" s="56" t="n">
        <v>617</v>
      </c>
      <c r="C631" s="56">
        <f>B631^2</f>
        <v/>
      </c>
      <c r="D631" s="41" t="n">
        <v>4733.46</v>
      </c>
      <c r="E631" s="41">
        <f>4541.138727+0.225904*B631</f>
        <v/>
      </c>
      <c r="F631" s="42">
        <f>D631-E631</f>
        <v/>
      </c>
      <c r="G631" s="41">
        <f>F631^2</f>
        <v/>
      </c>
      <c r="H631" s="40" t="n"/>
      <c r="I631" s="40" t="n"/>
    </row>
    <row r="632" ht="15" customHeight="1" s="28">
      <c r="A632" s="37" t="n">
        <v>619</v>
      </c>
      <c r="B632" s="55" t="n">
        <v>618</v>
      </c>
      <c r="C632" s="55">
        <f>B632^2</f>
        <v/>
      </c>
      <c r="D632" s="38" t="n">
        <v>4745.53</v>
      </c>
      <c r="E632" s="38">
        <f>4541.138727+0.225904*B632</f>
        <v/>
      </c>
      <c r="F632" s="39">
        <f>D632-E632</f>
        <v/>
      </c>
      <c r="G632" s="38">
        <f>F632^2</f>
        <v/>
      </c>
      <c r="H632" s="37" t="n"/>
      <c r="I632" s="37" t="n"/>
    </row>
    <row r="633" ht="15" customHeight="1" s="28">
      <c r="A633" s="40" t="n">
        <v>620</v>
      </c>
      <c r="B633" s="56" t="n">
        <v>619</v>
      </c>
      <c r="C633" s="56">
        <f>B633^2</f>
        <v/>
      </c>
      <c r="D633" s="41" t="n">
        <v>4748.49</v>
      </c>
      <c r="E633" s="41">
        <f>4541.138727+0.225904*B633</f>
        <v/>
      </c>
      <c r="F633" s="42">
        <f>D633-E633</f>
        <v/>
      </c>
      <c r="G633" s="41">
        <f>F633^2</f>
        <v/>
      </c>
      <c r="H633" s="40" t="n"/>
      <c r="I633" s="40" t="n"/>
    </row>
    <row r="634" ht="15" customHeight="1" s="28">
      <c r="A634" s="37" t="n">
        <v>621</v>
      </c>
      <c r="B634" s="55" t="n">
        <v>620</v>
      </c>
      <c r="C634" s="55">
        <f>B634^2</f>
        <v/>
      </c>
      <c r="D634" s="38" t="n">
        <v>4746.18</v>
      </c>
      <c r="E634" s="38">
        <f>4541.138727+0.225904*B634</f>
        <v/>
      </c>
      <c r="F634" s="39">
        <f>D634-E634</f>
        <v/>
      </c>
      <c r="G634" s="38">
        <f>F634^2</f>
        <v/>
      </c>
      <c r="H634" s="37" t="n"/>
      <c r="I634" s="37" t="n"/>
    </row>
    <row r="635" ht="15" customHeight="1" s="28">
      <c r="A635" s="40" t="n">
        <v>622</v>
      </c>
      <c r="B635" s="56" t="n">
        <v>621</v>
      </c>
      <c r="C635" s="56">
        <f>B635^2</f>
        <v/>
      </c>
      <c r="D635" s="41" t="n">
        <v>4752.05</v>
      </c>
      <c r="E635" s="41">
        <f>4541.138727+0.225904*B635</f>
        <v/>
      </c>
      <c r="F635" s="42">
        <f>D635-E635</f>
        <v/>
      </c>
      <c r="G635" s="41">
        <f>F635^2</f>
        <v/>
      </c>
      <c r="H635" s="40" t="n"/>
      <c r="I635" s="40" t="n"/>
    </row>
    <row r="636" ht="15" customHeight="1" s="28">
      <c r="A636" s="37" t="n">
        <v>623</v>
      </c>
      <c r="B636" s="55" t="n">
        <v>622</v>
      </c>
      <c r="C636" s="55">
        <f>B636^2</f>
        <v/>
      </c>
      <c r="D636" s="38" t="n">
        <v>4756.66</v>
      </c>
      <c r="E636" s="38">
        <f>4541.138727+0.225904*B636</f>
        <v/>
      </c>
      <c r="F636" s="39">
        <f>D636-E636</f>
        <v/>
      </c>
      <c r="G636" s="38">
        <f>F636^2</f>
        <v/>
      </c>
      <c r="H636" s="37" t="n"/>
      <c r="I636" s="37" t="n"/>
    </row>
    <row r="637" ht="15" customHeight="1" s="28">
      <c r="A637" s="40" t="n">
        <v>624</v>
      </c>
      <c r="B637" s="56" t="n">
        <v>623</v>
      </c>
      <c r="C637" s="56">
        <f>B637^2</f>
        <v/>
      </c>
      <c r="D637" s="41" t="n">
        <v>4751.91</v>
      </c>
      <c r="E637" s="41">
        <f>4541.138727+0.225904*B637</f>
        <v/>
      </c>
      <c r="F637" s="42">
        <f>D637-E637</f>
        <v/>
      </c>
      <c r="G637" s="41">
        <f>F637^2</f>
        <v/>
      </c>
      <c r="H637" s="40" t="n"/>
      <c r="I637" s="40" t="n"/>
    </row>
    <row r="638" ht="15" customHeight="1" s="28">
      <c r="A638" s="37" t="n">
        <v>625</v>
      </c>
      <c r="B638" s="55" t="n">
        <v>624</v>
      </c>
      <c r="C638" s="55">
        <f>B638^2</f>
        <v/>
      </c>
      <c r="D638" s="38" t="n">
        <v>4762.74</v>
      </c>
      <c r="E638" s="38">
        <f>4541.138727+0.225904*B638</f>
        <v/>
      </c>
      <c r="F638" s="39">
        <f>D638-E638</f>
        <v/>
      </c>
      <c r="G638" s="38">
        <f>F638^2</f>
        <v/>
      </c>
      <c r="H638" s="37" t="n"/>
      <c r="I638" s="37" t="n"/>
    </row>
    <row r="639" ht="15" customHeight="1" s="28">
      <c r="A639" s="40" t="n">
        <v>626</v>
      </c>
      <c r="B639" s="56" t="n">
        <v>625</v>
      </c>
      <c r="C639" s="56">
        <f>B639^2</f>
        <v/>
      </c>
      <c r="D639" s="41" t="n">
        <v>4754.77</v>
      </c>
      <c r="E639" s="41">
        <f>4541.138727+0.225904*B639</f>
        <v/>
      </c>
      <c r="F639" s="42">
        <f>D639-E639</f>
        <v/>
      </c>
      <c r="G639" s="41">
        <f>F639^2</f>
        <v/>
      </c>
      <c r="H639" s="40" t="n"/>
      <c r="I639" s="40" t="n"/>
    </row>
    <row r="640" ht="15" customHeight="1" s="28">
      <c r="A640" s="37" t="n">
        <v>627</v>
      </c>
      <c r="B640" s="55" t="n">
        <v>626</v>
      </c>
      <c r="C640" s="55">
        <f>B640^2</f>
        <v/>
      </c>
      <c r="D640" s="38" t="n">
        <v>4740.18</v>
      </c>
      <c r="E640" s="38">
        <f>4541.138727+0.225904*B640</f>
        <v/>
      </c>
      <c r="F640" s="39">
        <f>D640-E640</f>
        <v/>
      </c>
      <c r="G640" s="38">
        <f>F640^2</f>
        <v/>
      </c>
      <c r="H640" s="37" t="n"/>
      <c r="I640" s="37" t="n"/>
    </row>
    <row r="641" ht="15" customHeight="1" s="28">
      <c r="A641" s="40" t="n">
        <v>628</v>
      </c>
      <c r="B641" s="56" t="n">
        <v>627</v>
      </c>
      <c r="C641" s="56">
        <f>B641^2</f>
        <v/>
      </c>
      <c r="D641" s="41" t="n">
        <v>4738.92</v>
      </c>
      <c r="E641" s="41">
        <f>4541.138727+0.225904*B641</f>
        <v/>
      </c>
      <c r="F641" s="42">
        <f>D641-E641</f>
        <v/>
      </c>
      <c r="G641" s="41">
        <f>F641^2</f>
        <v/>
      </c>
      <c r="H641" s="40" t="n"/>
      <c r="I641" s="40" t="n"/>
    </row>
    <row r="642" ht="15" customHeight="1" s="28">
      <c r="A642" s="37" t="n">
        <v>629</v>
      </c>
      <c r="B642" s="55" t="n">
        <v>628</v>
      </c>
      <c r="C642" s="55">
        <f>B642^2</f>
        <v/>
      </c>
      <c r="D642" s="38" t="n">
        <v>4729.17</v>
      </c>
      <c r="E642" s="38">
        <f>4541.138727+0.225904*B642</f>
        <v/>
      </c>
      <c r="F642" s="39">
        <f>D642-E642</f>
        <v/>
      </c>
      <c r="G642" s="38">
        <f>F642^2</f>
        <v/>
      </c>
      <c r="H642" s="37" t="n"/>
      <c r="I642" s="37" t="n"/>
    </row>
    <row r="643" ht="15" customHeight="1" s="28">
      <c r="A643" s="40" t="n">
        <v>630</v>
      </c>
      <c r="B643" s="56" t="n">
        <v>629</v>
      </c>
      <c r="C643" s="56">
        <f>B643^2</f>
        <v/>
      </c>
      <c r="D643" s="41" t="n">
        <v>4714.99</v>
      </c>
      <c r="E643" s="41">
        <f>4541.138727+0.225904*B643</f>
        <v/>
      </c>
      <c r="F643" s="42">
        <f>D643-E643</f>
        <v/>
      </c>
      <c r="G643" s="41">
        <f>F643^2</f>
        <v/>
      </c>
      <c r="H643" s="40" t="n"/>
      <c r="I643" s="40" t="n"/>
    </row>
    <row r="644" ht="15" customHeight="1" s="28">
      <c r="A644" s="37" t="n">
        <v>631</v>
      </c>
      <c r="B644" s="55" t="n">
        <v>630</v>
      </c>
      <c r="C644" s="55">
        <f>B644^2</f>
        <v/>
      </c>
      <c r="D644" s="38" t="n">
        <v>4719.84</v>
      </c>
      <c r="E644" s="38">
        <f>4541.138727+0.225904*B644</f>
        <v/>
      </c>
      <c r="F644" s="39">
        <f>D644-E644</f>
        <v/>
      </c>
      <c r="G644" s="38">
        <f>F644^2</f>
        <v/>
      </c>
      <c r="H644" s="37" t="n"/>
      <c r="I644" s="37" t="n"/>
    </row>
    <row r="645" ht="15" customHeight="1" s="28">
      <c r="A645" s="40" t="n">
        <v>632</v>
      </c>
      <c r="B645" s="56" t="n">
        <v>631</v>
      </c>
      <c r="C645" s="56">
        <f>B645^2</f>
        <v/>
      </c>
      <c r="D645" s="41" t="n">
        <v>4711.23</v>
      </c>
      <c r="E645" s="41">
        <f>4541.138727+0.225904*B645</f>
        <v/>
      </c>
      <c r="F645" s="42">
        <f>D645-E645</f>
        <v/>
      </c>
      <c r="G645" s="41">
        <f>F645^2</f>
        <v/>
      </c>
      <c r="H645" s="40" t="n"/>
      <c r="I645" s="40" t="n"/>
    </row>
    <row r="646" ht="15" customHeight="1" s="28">
      <c r="A646" s="37" t="n">
        <v>633</v>
      </c>
      <c r="B646" s="55" t="n">
        <v>632</v>
      </c>
      <c r="C646" s="55">
        <f>B646^2</f>
        <v/>
      </c>
      <c r="D646" s="38" t="n">
        <v>4715</v>
      </c>
      <c r="E646" s="38">
        <f>4541.138727+0.225904*B646</f>
        <v/>
      </c>
      <c r="F646" s="39">
        <f>D646-E646</f>
        <v/>
      </c>
      <c r="G646" s="38">
        <f>F646^2</f>
        <v/>
      </c>
      <c r="H646" s="37" t="n"/>
      <c r="I646" s="37" t="n"/>
    </row>
    <row r="647" ht="15" customHeight="1" s="28">
      <c r="A647" s="40" t="n">
        <v>634</v>
      </c>
      <c r="B647" s="56" t="n">
        <v>633</v>
      </c>
      <c r="C647" s="56">
        <f>B647^2</f>
        <v/>
      </c>
      <c r="D647" s="41" t="n">
        <v>4714.61</v>
      </c>
      <c r="E647" s="41">
        <f>4541.138727+0.225904*B647</f>
        <v/>
      </c>
      <c r="F647" s="42">
        <f>D647-E647</f>
        <v/>
      </c>
      <c r="G647" s="41">
        <f>F647^2</f>
        <v/>
      </c>
      <c r="H647" s="40" t="n"/>
      <c r="I647" s="40" t="n"/>
    </row>
    <row r="648" ht="15" customHeight="1" s="28">
      <c r="A648" s="37" t="n">
        <v>635</v>
      </c>
      <c r="B648" s="55" t="n">
        <v>634</v>
      </c>
      <c r="C648" s="55">
        <f>B648^2</f>
        <v/>
      </c>
      <c r="D648" s="38" t="n">
        <v>4699.29</v>
      </c>
      <c r="E648" s="38">
        <f>4541.138727+0.225904*B648</f>
        <v/>
      </c>
      <c r="F648" s="39">
        <f>D648-E648</f>
        <v/>
      </c>
      <c r="G648" s="38">
        <f>F648^2</f>
        <v/>
      </c>
      <c r="H648" s="37" t="n"/>
      <c r="I648" s="37" t="n"/>
    </row>
    <row r="649" ht="15" customHeight="1" s="28">
      <c r="A649" s="40" t="n">
        <v>636</v>
      </c>
      <c r="B649" s="56" t="n">
        <v>635</v>
      </c>
      <c r="C649" s="56">
        <f>B649^2</f>
        <v/>
      </c>
      <c r="D649" s="41" t="n">
        <v>4699.72</v>
      </c>
      <c r="E649" s="41">
        <f>4541.138727+0.225904*B649</f>
        <v/>
      </c>
      <c r="F649" s="42">
        <f>D649-E649</f>
        <v/>
      </c>
      <c r="G649" s="41">
        <f>F649^2</f>
        <v/>
      </c>
      <c r="H649" s="40" t="n"/>
      <c r="I649" s="40" t="n"/>
    </row>
    <row r="650" ht="15" customHeight="1" s="28">
      <c r="A650" s="37" t="n">
        <v>637</v>
      </c>
      <c r="B650" s="55" t="n">
        <v>636</v>
      </c>
      <c r="C650" s="55">
        <f>B650^2</f>
        <v/>
      </c>
      <c r="D650" s="38" t="n">
        <v>4711.45</v>
      </c>
      <c r="E650" s="38">
        <f>4541.138727+0.225904*B650</f>
        <v/>
      </c>
      <c r="F650" s="39">
        <f>D650-E650</f>
        <v/>
      </c>
      <c r="G650" s="38">
        <f>F650^2</f>
        <v/>
      </c>
      <c r="H650" s="37" t="n"/>
      <c r="I650" s="37" t="n"/>
    </row>
    <row r="651" ht="15" customHeight="1" s="28">
      <c r="A651" s="40" t="n">
        <v>638</v>
      </c>
      <c r="B651" s="56" t="n">
        <v>637</v>
      </c>
      <c r="C651" s="56">
        <f>B651^2</f>
        <v/>
      </c>
      <c r="D651" s="41" t="n">
        <v>4708.08</v>
      </c>
      <c r="E651" s="41">
        <f>4541.138727+0.225904*B651</f>
        <v/>
      </c>
      <c r="F651" s="42">
        <f>D651-E651</f>
        <v/>
      </c>
      <c r="G651" s="41">
        <f>F651^2</f>
        <v/>
      </c>
      <c r="H651" s="40" t="n"/>
      <c r="I651" s="40" t="n"/>
    </row>
    <row r="652" ht="15" customHeight="1" s="28">
      <c r="A652" s="37" t="n">
        <v>639</v>
      </c>
      <c r="B652" s="55" t="n">
        <v>638</v>
      </c>
      <c r="C652" s="55">
        <f>B652^2</f>
        <v/>
      </c>
      <c r="D652" s="38" t="n">
        <v>4712.9</v>
      </c>
      <c r="E652" s="38">
        <f>4541.138727+0.225904*B652</f>
        <v/>
      </c>
      <c r="F652" s="39">
        <f>D652-E652</f>
        <v/>
      </c>
      <c r="G652" s="38">
        <f>F652^2</f>
        <v/>
      </c>
      <c r="H652" s="37" t="n"/>
      <c r="I652" s="37" t="n"/>
    </row>
    <row r="653" ht="15" customHeight="1" s="28">
      <c r="A653" s="40" t="n">
        <v>640</v>
      </c>
      <c r="B653" s="56" t="n">
        <v>639</v>
      </c>
      <c r="C653" s="56">
        <f>B653^2</f>
        <v/>
      </c>
      <c r="D653" s="41" t="n">
        <v>4705.96</v>
      </c>
      <c r="E653" s="41">
        <f>4541.138727+0.225904*B653</f>
        <v/>
      </c>
      <c r="F653" s="42">
        <f>D653-E653</f>
        <v/>
      </c>
      <c r="G653" s="41">
        <f>F653^2</f>
        <v/>
      </c>
      <c r="H653" s="40" t="n"/>
      <c r="I653" s="40" t="n"/>
    </row>
    <row r="654" ht="15" customHeight="1" s="28">
      <c r="A654" s="37" t="n">
        <v>641</v>
      </c>
      <c r="B654" s="55" t="n">
        <v>640</v>
      </c>
      <c r="C654" s="55">
        <f>B654^2</f>
        <v/>
      </c>
      <c r="D654" s="38" t="n">
        <v>4709.55</v>
      </c>
      <c r="E654" s="38">
        <f>4541.138727+0.225904*B654</f>
        <v/>
      </c>
      <c r="F654" s="39">
        <f>D654-E654</f>
        <v/>
      </c>
      <c r="G654" s="38">
        <f>F654^2</f>
        <v/>
      </c>
      <c r="H654" s="37" t="n"/>
      <c r="I654" s="37" t="n"/>
    </row>
    <row r="655" ht="15" customHeight="1" s="28">
      <c r="A655" s="40" t="n">
        <v>642</v>
      </c>
      <c r="B655" s="56" t="n">
        <v>641</v>
      </c>
      <c r="C655" s="56">
        <f>B655^2</f>
        <v/>
      </c>
      <c r="D655" s="41" t="n">
        <v>4710.04</v>
      </c>
      <c r="E655" s="41">
        <f>4541.138727+0.225904*B655</f>
        <v/>
      </c>
      <c r="F655" s="42">
        <f>D655-E655</f>
        <v/>
      </c>
      <c r="G655" s="41">
        <f>F655^2</f>
        <v/>
      </c>
      <c r="H655" s="40" t="n"/>
      <c r="I655" s="40" t="n"/>
    </row>
    <row r="656" ht="15" customHeight="1" s="28">
      <c r="A656" s="37" t="n">
        <v>643</v>
      </c>
      <c r="B656" s="55" t="n">
        <v>642</v>
      </c>
      <c r="C656" s="55">
        <f>B656^2</f>
        <v/>
      </c>
      <c r="D656" s="38" t="n">
        <v>4705.05</v>
      </c>
      <c r="E656" s="38">
        <f>4541.138727+0.225904*B656</f>
        <v/>
      </c>
      <c r="F656" s="39">
        <f>D656-E656</f>
        <v/>
      </c>
      <c r="G656" s="38">
        <f>F656^2</f>
        <v/>
      </c>
      <c r="H656" s="37" t="n"/>
      <c r="I656" s="37" t="n"/>
    </row>
    <row r="657" ht="15" customHeight="1" s="28">
      <c r="A657" s="40" t="n">
        <v>644</v>
      </c>
      <c r="B657" s="56" t="n">
        <v>643</v>
      </c>
      <c r="C657" s="56">
        <f>B657^2</f>
        <v/>
      </c>
      <c r="D657" s="41" t="n">
        <v>4709.69</v>
      </c>
      <c r="E657" s="41">
        <f>4541.138727+0.225904*B657</f>
        <v/>
      </c>
      <c r="F657" s="42">
        <f>D657-E657</f>
        <v/>
      </c>
      <c r="G657" s="41">
        <f>F657^2</f>
        <v/>
      </c>
      <c r="H657" s="40" t="n"/>
      <c r="I657" s="40" t="n"/>
    </row>
    <row r="658" ht="15" customHeight="1" s="28">
      <c r="A658" s="37" t="n">
        <v>645</v>
      </c>
      <c r="B658" s="55" t="n">
        <v>644</v>
      </c>
      <c r="C658" s="55">
        <f>B658^2</f>
        <v/>
      </c>
      <c r="D658" s="38" t="n">
        <v>4702.9</v>
      </c>
      <c r="E658" s="38">
        <f>4541.138727+0.225904*B658</f>
        <v/>
      </c>
      <c r="F658" s="39">
        <f>D658-E658</f>
        <v/>
      </c>
      <c r="G658" s="38">
        <f>F658^2</f>
        <v/>
      </c>
      <c r="H658" s="37" t="n"/>
      <c r="I658" s="37" t="n"/>
    </row>
    <row r="659" ht="15" customHeight="1" s="28">
      <c r="A659" s="40" t="n">
        <v>646</v>
      </c>
      <c r="B659" s="56" t="n">
        <v>645</v>
      </c>
      <c r="C659" s="56">
        <f>B659^2</f>
        <v/>
      </c>
      <c r="D659" s="41" t="n">
        <v>4711.55</v>
      </c>
      <c r="E659" s="41">
        <f>4541.138727+0.225904*B659</f>
        <v/>
      </c>
      <c r="F659" s="42">
        <f>D659-E659</f>
        <v/>
      </c>
      <c r="G659" s="41">
        <f>F659^2</f>
        <v/>
      </c>
      <c r="H659" s="40" t="n"/>
      <c r="I659" s="40" t="n"/>
    </row>
    <row r="660" ht="15" customHeight="1" s="28">
      <c r="A660" s="37" t="n">
        <v>647</v>
      </c>
      <c r="B660" s="55" t="n">
        <v>646</v>
      </c>
      <c r="C660" s="55">
        <f>B660^2</f>
        <v/>
      </c>
      <c r="D660" s="38" t="n">
        <v>4712.98</v>
      </c>
      <c r="E660" s="38">
        <f>4541.138727+0.225904*B660</f>
        <v/>
      </c>
      <c r="F660" s="39">
        <f>D660-E660</f>
        <v/>
      </c>
      <c r="G660" s="38">
        <f>F660^2</f>
        <v/>
      </c>
      <c r="H660" s="37" t="n"/>
      <c r="I660" s="37" t="n"/>
    </row>
    <row r="661" ht="15" customHeight="1" s="28">
      <c r="A661" s="40" t="n">
        <v>648</v>
      </c>
      <c r="B661" s="56" t="n">
        <v>647</v>
      </c>
      <c r="C661" s="56">
        <f>B661^2</f>
        <v/>
      </c>
      <c r="D661" s="41" t="n">
        <v>4703.9</v>
      </c>
      <c r="E661" s="41">
        <f>4541.138727+0.225904*B661</f>
        <v/>
      </c>
      <c r="F661" s="42">
        <f>D661-E661</f>
        <v/>
      </c>
      <c r="G661" s="41">
        <f>F661^2</f>
        <v/>
      </c>
      <c r="H661" s="40" t="n"/>
      <c r="I661" s="40" t="n"/>
    </row>
    <row r="662" ht="15" customHeight="1" s="28">
      <c r="A662" s="37" t="n">
        <v>649</v>
      </c>
      <c r="B662" s="55" t="n">
        <v>648</v>
      </c>
      <c r="C662" s="55">
        <f>B662^2</f>
        <v/>
      </c>
      <c r="D662" s="38" t="n">
        <v>4687.24</v>
      </c>
      <c r="E662" s="38">
        <f>4541.138727+0.225904*B662</f>
        <v/>
      </c>
      <c r="F662" s="39">
        <f>D662-E662</f>
        <v/>
      </c>
      <c r="G662" s="38">
        <f>F662^2</f>
        <v/>
      </c>
      <c r="H662" s="37" t="n"/>
      <c r="I662" s="37" t="n"/>
    </row>
    <row r="663" ht="15" customHeight="1" s="28">
      <c r="A663" s="40" t="n">
        <v>650</v>
      </c>
      <c r="B663" s="56" t="n">
        <v>649</v>
      </c>
      <c r="C663" s="56">
        <f>B663^2</f>
        <v/>
      </c>
      <c r="D663" s="41" t="n">
        <v>4691.37</v>
      </c>
      <c r="E663" s="41">
        <f>4541.138727+0.225904*B663</f>
        <v/>
      </c>
      <c r="F663" s="42">
        <f>D663-E663</f>
        <v/>
      </c>
      <c r="G663" s="41">
        <f>F663^2</f>
        <v/>
      </c>
      <c r="H663" s="40" t="n"/>
      <c r="I663" s="40" t="n"/>
    </row>
    <row r="664" ht="15" customHeight="1" s="28">
      <c r="A664" s="37" t="n">
        <v>651</v>
      </c>
      <c r="B664" s="55" t="n">
        <v>650</v>
      </c>
      <c r="C664" s="55">
        <f>B664^2</f>
        <v/>
      </c>
      <c r="D664" s="38" t="n">
        <v>4693.91</v>
      </c>
      <c r="E664" s="38">
        <f>4541.138727+0.225904*B664</f>
        <v/>
      </c>
      <c r="F664" s="39">
        <f>D664-E664</f>
        <v/>
      </c>
      <c r="G664" s="38">
        <f>F664^2</f>
        <v/>
      </c>
      <c r="H664" s="37" t="n"/>
      <c r="I664" s="37" t="n"/>
    </row>
    <row r="665" ht="15" customHeight="1" s="28">
      <c r="A665" s="40" t="n">
        <v>652</v>
      </c>
      <c r="B665" s="56" t="n">
        <v>651</v>
      </c>
      <c r="C665" s="56">
        <f>B665^2</f>
        <v/>
      </c>
      <c r="D665" s="41" t="n">
        <v>4687.16</v>
      </c>
      <c r="E665" s="41">
        <f>4541.138727+0.225904*B665</f>
        <v/>
      </c>
      <c r="F665" s="42">
        <f>D665-E665</f>
        <v/>
      </c>
      <c r="G665" s="41">
        <f>F665^2</f>
        <v/>
      </c>
      <c r="H665" s="40" t="n"/>
      <c r="I665" s="40" t="n"/>
    </row>
    <row r="666" ht="15" customHeight="1" s="28">
      <c r="A666" s="37" t="n">
        <v>653</v>
      </c>
      <c r="B666" s="55" t="n">
        <v>652</v>
      </c>
      <c r="C666" s="55">
        <f>B666^2</f>
        <v/>
      </c>
      <c r="D666" s="38" t="n">
        <v>4686.04</v>
      </c>
      <c r="E666" s="38">
        <f>4541.138727+0.225904*B666</f>
        <v/>
      </c>
      <c r="F666" s="39">
        <f>D666-E666</f>
        <v/>
      </c>
      <c r="G666" s="38">
        <f>F666^2</f>
        <v/>
      </c>
      <c r="H666" s="37" t="n"/>
      <c r="I666" s="37" t="n"/>
    </row>
    <row r="667" ht="15" customHeight="1" s="28">
      <c r="A667" s="40" t="n">
        <v>654</v>
      </c>
      <c r="B667" s="56" t="n">
        <v>653</v>
      </c>
      <c r="C667" s="56">
        <f>B667^2</f>
        <v/>
      </c>
      <c r="D667" s="41" t="n">
        <v>4691.8</v>
      </c>
      <c r="E667" s="41">
        <f>4541.138727+0.225904*B667</f>
        <v/>
      </c>
      <c r="F667" s="42">
        <f>D667-E667</f>
        <v/>
      </c>
      <c r="G667" s="41">
        <f>F667^2</f>
        <v/>
      </c>
      <c r="H667" s="40" t="n"/>
      <c r="I667" s="40" t="n"/>
    </row>
    <row r="668" ht="15" customHeight="1" s="28">
      <c r="A668" s="37" t="n">
        <v>655</v>
      </c>
      <c r="B668" s="55" t="n">
        <v>654</v>
      </c>
      <c r="C668" s="55">
        <f>B668^2</f>
        <v/>
      </c>
      <c r="D668" s="38" t="n">
        <v>4696.57</v>
      </c>
      <c r="E668" s="38">
        <f>4541.138727+0.225904*B668</f>
        <v/>
      </c>
      <c r="F668" s="39">
        <f>D668-E668</f>
        <v/>
      </c>
      <c r="G668" s="38">
        <f>F668^2</f>
        <v/>
      </c>
      <c r="H668" s="37" t="n"/>
      <c r="I668" s="37" t="n"/>
    </row>
    <row r="669" ht="15" customHeight="1" s="28">
      <c r="A669" s="40" t="n">
        <v>656</v>
      </c>
      <c r="B669" s="56" t="n">
        <v>655</v>
      </c>
      <c r="C669" s="56">
        <f>B669^2</f>
        <v/>
      </c>
      <c r="D669" s="41" t="n">
        <v>4697.81</v>
      </c>
      <c r="E669" s="41">
        <f>4541.138727+0.225904*B669</f>
        <v/>
      </c>
      <c r="F669" s="42">
        <f>D669-E669</f>
        <v/>
      </c>
      <c r="G669" s="41">
        <f>F669^2</f>
        <v/>
      </c>
      <c r="H669" s="40" t="n"/>
      <c r="I669" s="40" t="n"/>
    </row>
    <row r="670" ht="15" customHeight="1" s="28">
      <c r="A670" s="37" t="n">
        <v>657</v>
      </c>
      <c r="B670" s="55" t="n">
        <v>656</v>
      </c>
      <c r="C670" s="55">
        <f>B670^2</f>
        <v/>
      </c>
      <c r="D670" s="38" t="n">
        <v>4704.54</v>
      </c>
      <c r="E670" s="38">
        <f>4541.138727+0.225904*B670</f>
        <v/>
      </c>
      <c r="F670" s="39">
        <f>D670-E670</f>
        <v/>
      </c>
      <c r="G670" s="38">
        <f>F670^2</f>
        <v/>
      </c>
      <c r="H670" s="37" t="n"/>
      <c r="I670" s="37" t="n"/>
    </row>
    <row r="671" ht="15" customHeight="1" s="28">
      <c r="A671" s="40" t="n">
        <v>658</v>
      </c>
      <c r="B671" s="56" t="n">
        <v>657</v>
      </c>
      <c r="C671" s="56">
        <f>B671^2</f>
        <v/>
      </c>
      <c r="D671" s="41" t="n">
        <v>4702.79</v>
      </c>
      <c r="E671" s="41">
        <f>4541.138727+0.225904*B671</f>
        <v/>
      </c>
      <c r="F671" s="42">
        <f>D671-E671</f>
        <v/>
      </c>
      <c r="G671" s="41">
        <f>F671^2</f>
        <v/>
      </c>
      <c r="H671" s="40" t="n"/>
      <c r="I671" s="40" t="n"/>
    </row>
    <row r="672" ht="15" customHeight="1" s="28">
      <c r="A672" s="37" t="n">
        <v>659</v>
      </c>
      <c r="B672" s="55" t="n">
        <v>658</v>
      </c>
      <c r="C672" s="55">
        <f>B672^2</f>
        <v/>
      </c>
      <c r="D672" s="38" t="n">
        <v>4697.35</v>
      </c>
      <c r="E672" s="38">
        <f>4541.138727+0.225904*B672</f>
        <v/>
      </c>
      <c r="F672" s="39">
        <f>D672-E672</f>
        <v/>
      </c>
      <c r="G672" s="38">
        <f>F672^2</f>
        <v/>
      </c>
      <c r="H672" s="37" t="n"/>
      <c r="I672" s="37" t="n"/>
    </row>
    <row r="673" ht="15" customHeight="1" s="28">
      <c r="A673" s="40" t="n">
        <v>660</v>
      </c>
      <c r="B673" s="56" t="n">
        <v>659</v>
      </c>
      <c r="C673" s="56">
        <f>B673^2</f>
        <v/>
      </c>
      <c r="D673" s="41" t="n">
        <v>4705.16</v>
      </c>
      <c r="E673" s="41">
        <f>4541.138727+0.225904*B673</f>
        <v/>
      </c>
      <c r="F673" s="42">
        <f>D673-E673</f>
        <v/>
      </c>
      <c r="G673" s="41">
        <f>F673^2</f>
        <v/>
      </c>
      <c r="H673" s="40" t="n"/>
      <c r="I673" s="40" t="n"/>
    </row>
    <row r="674" ht="15" customHeight="1" s="28">
      <c r="A674" s="37" t="n">
        <v>661</v>
      </c>
      <c r="B674" s="55" t="n">
        <v>660</v>
      </c>
      <c r="C674" s="55">
        <f>B674^2</f>
        <v/>
      </c>
      <c r="D674" s="38" t="n">
        <v>4701.44</v>
      </c>
      <c r="E674" s="38">
        <f>4541.138727+0.225904*B674</f>
        <v/>
      </c>
      <c r="F674" s="39">
        <f>D674-E674</f>
        <v/>
      </c>
      <c r="G674" s="38">
        <f>F674^2</f>
        <v/>
      </c>
      <c r="H674" s="37" t="n"/>
      <c r="I674" s="37" t="n"/>
    </row>
    <row r="675" ht="15" customHeight="1" s="28">
      <c r="A675" s="40" t="n">
        <v>662</v>
      </c>
      <c r="B675" s="56" t="n">
        <v>661</v>
      </c>
      <c r="C675" s="56">
        <f>B675^2</f>
        <v/>
      </c>
      <c r="D675" s="41" t="n">
        <v>4714.05</v>
      </c>
      <c r="E675" s="41">
        <f>4541.138727+0.225904*B675</f>
        <v/>
      </c>
      <c r="F675" s="42">
        <f>D675-E675</f>
        <v/>
      </c>
      <c r="G675" s="41">
        <f>F675^2</f>
        <v/>
      </c>
      <c r="H675" s="40" t="n"/>
      <c r="I675" s="40" t="n"/>
    </row>
    <row r="676" ht="15" customHeight="1" s="28">
      <c r="A676" s="37" t="n">
        <v>663</v>
      </c>
      <c r="B676" s="55" t="n">
        <v>662</v>
      </c>
      <c r="C676" s="55">
        <f>B676^2</f>
        <v/>
      </c>
      <c r="D676" s="38" t="n">
        <v>4712.82</v>
      </c>
      <c r="E676" s="38">
        <f>4541.138727+0.225904*B676</f>
        <v/>
      </c>
      <c r="F676" s="39">
        <f>D676-E676</f>
        <v/>
      </c>
      <c r="G676" s="38">
        <f>F676^2</f>
        <v/>
      </c>
      <c r="H676" s="37" t="n"/>
      <c r="I676" s="37" t="n"/>
    </row>
    <row r="677" ht="15" customHeight="1" s="28">
      <c r="A677" s="40" t="n">
        <v>664</v>
      </c>
      <c r="B677" s="56" t="n">
        <v>663</v>
      </c>
      <c r="C677" s="56">
        <f>B677^2</f>
        <v/>
      </c>
      <c r="D677" s="41" t="n">
        <v>4711.08</v>
      </c>
      <c r="E677" s="41">
        <f>4541.138727+0.225904*B677</f>
        <v/>
      </c>
      <c r="F677" s="42">
        <f>D677-E677</f>
        <v/>
      </c>
      <c r="G677" s="41">
        <f>F677^2</f>
        <v/>
      </c>
      <c r="H677" s="40" t="n"/>
      <c r="I677" s="40" t="n"/>
    </row>
    <row r="678" ht="15" customHeight="1" s="28">
      <c r="A678" s="37" t="n">
        <v>665</v>
      </c>
      <c r="B678" s="55" t="n">
        <v>664</v>
      </c>
      <c r="C678" s="55">
        <f>B678^2</f>
        <v/>
      </c>
      <c r="D678" s="38" t="n">
        <v>4722.98</v>
      </c>
      <c r="E678" s="38">
        <f>4541.138727+0.225904*B678</f>
        <v/>
      </c>
      <c r="F678" s="39">
        <f>D678-E678</f>
        <v/>
      </c>
      <c r="G678" s="38">
        <f>F678^2</f>
        <v/>
      </c>
      <c r="H678" s="37" t="n"/>
      <c r="I678" s="37" t="n"/>
    </row>
    <row r="679" ht="15" customHeight="1" s="28">
      <c r="A679" s="40" t="n">
        <v>666</v>
      </c>
      <c r="B679" s="56" t="n">
        <v>665</v>
      </c>
      <c r="C679" s="56">
        <f>B679^2</f>
        <v/>
      </c>
      <c r="D679" s="41" t="n">
        <v>4723.99</v>
      </c>
      <c r="E679" s="41">
        <f>4541.138727+0.225904*B679</f>
        <v/>
      </c>
      <c r="F679" s="42">
        <f>D679-E679</f>
        <v/>
      </c>
      <c r="G679" s="41">
        <f>F679^2</f>
        <v/>
      </c>
      <c r="H679" s="40" t="n"/>
      <c r="I679" s="40" t="n"/>
    </row>
    <row r="680" ht="15" customHeight="1" s="28">
      <c r="A680" s="37" t="n">
        <v>667</v>
      </c>
      <c r="B680" s="55" t="n">
        <v>666</v>
      </c>
      <c r="C680" s="55">
        <f>B680^2</f>
        <v/>
      </c>
      <c r="D680" s="38" t="n">
        <v>4721.39</v>
      </c>
      <c r="E680" s="38">
        <f>4541.138727+0.225904*B680</f>
        <v/>
      </c>
      <c r="F680" s="39">
        <f>D680-E680</f>
        <v/>
      </c>
      <c r="G680" s="38">
        <f>F680^2</f>
        <v/>
      </c>
      <c r="H680" s="37" t="n"/>
      <c r="I680" s="37" t="n"/>
    </row>
    <row r="681" ht="15" customHeight="1" s="28">
      <c r="A681" s="40" t="n">
        <v>668</v>
      </c>
      <c r="B681" s="56" t="n">
        <v>667</v>
      </c>
      <c r="C681" s="56">
        <f>B681^2</f>
        <v/>
      </c>
      <c r="D681" s="41" t="n">
        <v>4710.27</v>
      </c>
      <c r="E681" s="41">
        <f>4541.138727+0.225904*B681</f>
        <v/>
      </c>
      <c r="F681" s="42">
        <f>D681-E681</f>
        <v/>
      </c>
      <c r="G681" s="41">
        <f>F681^2</f>
        <v/>
      </c>
      <c r="H681" s="40" t="n"/>
      <c r="I681" s="40" t="n"/>
    </row>
    <row r="682" ht="15" customHeight="1" s="28">
      <c r="A682" s="37" t="n">
        <v>669</v>
      </c>
      <c r="B682" s="55" t="n">
        <v>668</v>
      </c>
      <c r="C682" s="55">
        <f>B682^2</f>
        <v/>
      </c>
      <c r="D682" s="38" t="n">
        <v>4713.68</v>
      </c>
      <c r="E682" s="38">
        <f>4541.138727+0.225904*B682</f>
        <v/>
      </c>
      <c r="F682" s="39">
        <f>D682-E682</f>
        <v/>
      </c>
      <c r="G682" s="38">
        <f>F682^2</f>
        <v/>
      </c>
      <c r="H682" s="37" t="n"/>
      <c r="I682" s="37" t="n"/>
    </row>
    <row r="683" ht="15" customHeight="1" s="28">
      <c r="A683" s="40" t="n">
        <v>670</v>
      </c>
      <c r="B683" s="56" t="n">
        <v>669</v>
      </c>
      <c r="C683" s="56">
        <f>B683^2</f>
        <v/>
      </c>
      <c r="D683" s="41" t="n">
        <v>4720.15</v>
      </c>
      <c r="E683" s="41">
        <f>4541.138727+0.225904*B683</f>
        <v/>
      </c>
      <c r="F683" s="42">
        <f>D683-E683</f>
        <v/>
      </c>
      <c r="G683" s="41">
        <f>F683^2</f>
        <v/>
      </c>
      <c r="H683" s="40" t="n"/>
      <c r="I683" s="40" t="n"/>
    </row>
    <row r="684" ht="15" customHeight="1" s="28">
      <c r="A684" s="37" t="n">
        <v>671</v>
      </c>
      <c r="B684" s="55" t="n">
        <v>670</v>
      </c>
      <c r="C684" s="55">
        <f>B684^2</f>
        <v/>
      </c>
      <c r="D684" s="38" t="n">
        <v>4720.44</v>
      </c>
      <c r="E684" s="38">
        <f>4541.138727+0.225904*B684</f>
        <v/>
      </c>
      <c r="F684" s="39">
        <f>D684-E684</f>
        <v/>
      </c>
      <c r="G684" s="38">
        <f>F684^2</f>
        <v/>
      </c>
      <c r="H684" s="37" t="n"/>
      <c r="I684" s="37" t="n"/>
    </row>
    <row r="685" ht="15" customHeight="1" s="28">
      <c r="A685" s="40" t="n">
        <v>672</v>
      </c>
      <c r="B685" s="56" t="n">
        <v>671</v>
      </c>
      <c r="C685" s="56">
        <f>B685^2</f>
        <v/>
      </c>
      <c r="D685" s="41" t="n">
        <v>4724.99</v>
      </c>
      <c r="E685" s="41">
        <f>4541.138727+0.225904*B685</f>
        <v/>
      </c>
      <c r="F685" s="42">
        <f>D685-E685</f>
        <v/>
      </c>
      <c r="G685" s="41">
        <f>F685^2</f>
        <v/>
      </c>
      <c r="H685" s="40" t="n"/>
      <c r="I685" s="40" t="n"/>
    </row>
    <row r="686" ht="15" customHeight="1" s="28">
      <c r="A686" s="37" t="n">
        <v>673</v>
      </c>
      <c r="B686" s="55" t="n">
        <v>672</v>
      </c>
      <c r="C686" s="55">
        <f>B686^2</f>
        <v/>
      </c>
      <c r="D686" s="38" t="n">
        <v>4719.62</v>
      </c>
      <c r="E686" s="38">
        <f>4541.138727+0.225904*B686</f>
        <v/>
      </c>
      <c r="F686" s="39">
        <f>D686-E686</f>
        <v/>
      </c>
      <c r="G686" s="38">
        <f>F686^2</f>
        <v/>
      </c>
      <c r="H686" s="37" t="n"/>
      <c r="I686" s="37" t="n"/>
    </row>
    <row r="687" ht="15" customHeight="1" s="28">
      <c r="A687" s="40" t="n">
        <v>674</v>
      </c>
      <c r="B687" s="56" t="n">
        <v>673</v>
      </c>
      <c r="C687" s="56">
        <f>B687^2</f>
        <v/>
      </c>
      <c r="D687" s="41" t="n">
        <v>4715.08</v>
      </c>
      <c r="E687" s="41">
        <f>4541.138727+0.225904*B687</f>
        <v/>
      </c>
      <c r="F687" s="42">
        <f>D687-E687</f>
        <v/>
      </c>
      <c r="G687" s="41">
        <f>F687^2</f>
        <v/>
      </c>
      <c r="H687" s="40" t="n"/>
      <c r="I687" s="40" t="n"/>
    </row>
    <row r="688" ht="15" customHeight="1" s="28">
      <c r="A688" s="37" t="n">
        <v>675</v>
      </c>
      <c r="B688" s="55" t="n">
        <v>674</v>
      </c>
      <c r="C688" s="55">
        <f>B688^2</f>
        <v/>
      </c>
      <c r="D688" s="38" t="n">
        <v>4717.4</v>
      </c>
      <c r="E688" s="38">
        <f>4541.138727+0.225904*B688</f>
        <v/>
      </c>
      <c r="F688" s="39">
        <f>D688-E688</f>
        <v/>
      </c>
      <c r="G688" s="38">
        <f>F688^2</f>
        <v/>
      </c>
      <c r="H688" s="37" t="n"/>
      <c r="I688" s="37" t="n"/>
    </row>
    <row r="689" ht="15" customHeight="1" s="28">
      <c r="A689" s="40" t="n">
        <v>676</v>
      </c>
      <c r="B689" s="56" t="n">
        <v>675</v>
      </c>
      <c r="C689" s="56">
        <f>B689^2</f>
        <v/>
      </c>
      <c r="D689" s="41" t="n">
        <v>4712.14</v>
      </c>
      <c r="E689" s="41">
        <f>4541.138727+0.225904*B689</f>
        <v/>
      </c>
      <c r="F689" s="42">
        <f>D689-E689</f>
        <v/>
      </c>
      <c r="G689" s="41">
        <f>F689^2</f>
        <v/>
      </c>
      <c r="H689" s="40" t="n"/>
      <c r="I689" s="40" t="n"/>
    </row>
    <row r="690" ht="15" customHeight="1" s="28">
      <c r="A690" s="37" t="n">
        <v>677</v>
      </c>
      <c r="B690" s="55" t="n">
        <v>676</v>
      </c>
      <c r="C690" s="55">
        <f>B690^2</f>
        <v/>
      </c>
      <c r="D690" s="38" t="n">
        <v>4711.09</v>
      </c>
      <c r="E690" s="38">
        <f>4541.138727+0.225904*B690</f>
        <v/>
      </c>
      <c r="F690" s="39">
        <f>D690-E690</f>
        <v/>
      </c>
      <c r="G690" s="38">
        <f>F690^2</f>
        <v/>
      </c>
      <c r="H690" s="37" t="n"/>
      <c r="I690" s="37" t="n"/>
    </row>
    <row r="691" ht="15" customHeight="1" s="28">
      <c r="A691" s="40" t="n">
        <v>678</v>
      </c>
      <c r="B691" s="56" t="n">
        <v>677</v>
      </c>
      <c r="C691" s="56">
        <f>B691^2</f>
        <v/>
      </c>
      <c r="D691" s="41" t="n">
        <v>4712.09</v>
      </c>
      <c r="E691" s="41">
        <f>4541.138727+0.225904*B691</f>
        <v/>
      </c>
      <c r="F691" s="42">
        <f>D691-E691</f>
        <v/>
      </c>
      <c r="G691" s="41">
        <f>F691^2</f>
        <v/>
      </c>
      <c r="H691" s="40" t="n"/>
      <c r="I691" s="40" t="n"/>
    </row>
    <row r="692" ht="15" customHeight="1" s="28">
      <c r="A692" s="37" t="n">
        <v>679</v>
      </c>
      <c r="B692" s="55" t="n">
        <v>678</v>
      </c>
      <c r="C692" s="55">
        <f>B692^2</f>
        <v/>
      </c>
      <c r="D692" s="38" t="n">
        <v>4719.37</v>
      </c>
      <c r="E692" s="38">
        <f>4541.138727+0.225904*B692</f>
        <v/>
      </c>
      <c r="F692" s="39">
        <f>D692-E692</f>
        <v/>
      </c>
      <c r="G692" s="38">
        <f>F692^2</f>
        <v/>
      </c>
      <c r="H692" s="37" t="n"/>
      <c r="I692" s="37" t="n"/>
    </row>
    <row r="693" ht="15" customHeight="1" s="28">
      <c r="A693" s="40" t="n">
        <v>680</v>
      </c>
      <c r="B693" s="56" t="n">
        <v>679</v>
      </c>
      <c r="C693" s="56">
        <f>B693^2</f>
        <v/>
      </c>
      <c r="D693" s="41" t="n">
        <v>4724.62</v>
      </c>
      <c r="E693" s="41">
        <f>4541.138727+0.225904*B693</f>
        <v/>
      </c>
      <c r="F693" s="42">
        <f>D693-E693</f>
        <v/>
      </c>
      <c r="G693" s="41">
        <f>F693^2</f>
        <v/>
      </c>
      <c r="H693" s="40" t="n"/>
      <c r="I693" s="40" t="n"/>
    </row>
    <row r="694" ht="15" customHeight="1" s="28">
      <c r="A694" s="37" t="n">
        <v>681</v>
      </c>
      <c r="B694" s="55" t="n">
        <v>680</v>
      </c>
      <c r="C694" s="55">
        <f>B694^2</f>
        <v/>
      </c>
      <c r="D694" s="38" t="n">
        <v>4727.43</v>
      </c>
      <c r="E694" s="38">
        <f>4541.138727+0.225904*B694</f>
        <v/>
      </c>
      <c r="F694" s="39">
        <f>D694-E694</f>
        <v/>
      </c>
      <c r="G694" s="38">
        <f>F694^2</f>
        <v/>
      </c>
      <c r="H694" s="37" t="n"/>
      <c r="I694" s="37" t="n"/>
    </row>
    <row r="695" ht="15" customHeight="1" s="28">
      <c r="A695" s="40" t="n">
        <v>682</v>
      </c>
      <c r="B695" s="56" t="n">
        <v>681</v>
      </c>
      <c r="C695" s="56">
        <f>B695^2</f>
        <v/>
      </c>
      <c r="D695" s="41" t="n">
        <v>4723.03</v>
      </c>
      <c r="E695" s="41">
        <f>4541.138727+0.225904*B695</f>
        <v/>
      </c>
      <c r="F695" s="42">
        <f>D695-E695</f>
        <v/>
      </c>
      <c r="G695" s="41">
        <f>F695^2</f>
        <v/>
      </c>
      <c r="H695" s="40" t="n"/>
      <c r="I695" s="40" t="n"/>
    </row>
    <row r="696" ht="15" customHeight="1" s="28">
      <c r="A696" s="37" t="n">
        <v>683</v>
      </c>
      <c r="B696" s="55" t="n">
        <v>682</v>
      </c>
      <c r="C696" s="55">
        <f>B696^2</f>
        <v/>
      </c>
      <c r="D696" s="38" t="n">
        <v>4733.47</v>
      </c>
      <c r="E696" s="38">
        <f>4541.138727+0.225904*B696</f>
        <v/>
      </c>
      <c r="F696" s="39">
        <f>D696-E696</f>
        <v/>
      </c>
      <c r="G696" s="38">
        <f>F696^2</f>
        <v/>
      </c>
      <c r="H696" s="37" t="n"/>
      <c r="I696" s="37" t="n"/>
    </row>
    <row r="697" ht="15" customHeight="1" s="28">
      <c r="A697" s="40" t="n">
        <v>684</v>
      </c>
      <c r="B697" s="56" t="n">
        <v>683</v>
      </c>
      <c r="C697" s="56">
        <f>B697^2</f>
        <v/>
      </c>
      <c r="D697" s="41" t="n">
        <v>4728.52</v>
      </c>
      <c r="E697" s="41">
        <f>4541.138727+0.225904*B697</f>
        <v/>
      </c>
      <c r="F697" s="42">
        <f>D697-E697</f>
        <v/>
      </c>
      <c r="G697" s="41">
        <f>F697^2</f>
        <v/>
      </c>
      <c r="H697" s="40" t="n"/>
      <c r="I697" s="40" t="n"/>
    </row>
    <row r="698" ht="15" customHeight="1" s="28">
      <c r="A698" s="37" t="n">
        <v>685</v>
      </c>
      <c r="B698" s="55" t="n">
        <v>684</v>
      </c>
      <c r="C698" s="55">
        <f>B698^2</f>
        <v/>
      </c>
      <c r="D698" s="38" t="n">
        <v>4725.67</v>
      </c>
      <c r="E698" s="38">
        <f>4541.138727+0.225904*B698</f>
        <v/>
      </c>
      <c r="F698" s="39">
        <f>D698-E698</f>
        <v/>
      </c>
      <c r="G698" s="38">
        <f>F698^2</f>
        <v/>
      </c>
      <c r="H698" s="37" t="n"/>
      <c r="I698" s="37" t="n"/>
    </row>
    <row r="699" ht="15" customHeight="1" s="28">
      <c r="A699" s="40" t="n">
        <v>686</v>
      </c>
      <c r="B699" s="56" t="n">
        <v>685</v>
      </c>
      <c r="C699" s="56">
        <f>B699^2</f>
        <v/>
      </c>
      <c r="D699" s="41" t="n">
        <v>4715.31</v>
      </c>
      <c r="E699" s="41">
        <f>4541.138727+0.225904*B699</f>
        <v/>
      </c>
      <c r="F699" s="42">
        <f>D699-E699</f>
        <v/>
      </c>
      <c r="G699" s="41">
        <f>F699^2</f>
        <v/>
      </c>
      <c r="H699" s="40" t="n"/>
      <c r="I699" s="40" t="n"/>
    </row>
    <row r="700" ht="15" customHeight="1" s="28">
      <c r="A700" s="37" t="n">
        <v>687</v>
      </c>
      <c r="B700" s="55" t="n">
        <v>686</v>
      </c>
      <c r="C700" s="55">
        <f>B700^2</f>
        <v/>
      </c>
      <c r="D700" s="38" t="n">
        <v>4706.67</v>
      </c>
      <c r="E700" s="38">
        <f>4541.138727+0.225904*B700</f>
        <v/>
      </c>
      <c r="F700" s="39">
        <f>D700-E700</f>
        <v/>
      </c>
      <c r="G700" s="38">
        <f>F700^2</f>
        <v/>
      </c>
      <c r="H700" s="37" t="n"/>
      <c r="I700" s="37" t="n"/>
    </row>
    <row r="701" ht="15" customHeight="1" s="28">
      <c r="A701" s="40" t="n">
        <v>688</v>
      </c>
      <c r="B701" s="56" t="n">
        <v>687</v>
      </c>
      <c r="C701" s="56">
        <f>B701^2</f>
        <v/>
      </c>
      <c r="D701" s="41" t="n">
        <v>4708.14</v>
      </c>
      <c r="E701" s="41">
        <f>4541.138727+0.225904*B701</f>
        <v/>
      </c>
      <c r="F701" s="42">
        <f>D701-E701</f>
        <v/>
      </c>
      <c r="G701" s="41">
        <f>F701^2</f>
        <v/>
      </c>
      <c r="H701" s="40" t="n"/>
      <c r="I701" s="40" t="n"/>
    </row>
    <row r="702" ht="15" customHeight="1" s="28">
      <c r="A702" s="37" t="n">
        <v>689</v>
      </c>
      <c r="B702" s="55" t="n">
        <v>688</v>
      </c>
      <c r="C702" s="55">
        <f>B702^2</f>
        <v/>
      </c>
      <c r="D702" s="38" t="n">
        <v>4707.87</v>
      </c>
      <c r="E702" s="38">
        <f>4541.138727+0.225904*B702</f>
        <v/>
      </c>
      <c r="F702" s="39">
        <f>D702-E702</f>
        <v/>
      </c>
      <c r="G702" s="38">
        <f>F702^2</f>
        <v/>
      </c>
      <c r="H702" s="37" t="n"/>
      <c r="I702" s="37" t="n"/>
    </row>
    <row r="703" ht="15" customHeight="1" s="28">
      <c r="A703" s="40" t="n">
        <v>690</v>
      </c>
      <c r="B703" s="56" t="n">
        <v>689</v>
      </c>
      <c r="C703" s="56">
        <f>B703^2</f>
        <v/>
      </c>
      <c r="D703" s="41" t="n">
        <v>4711.45</v>
      </c>
      <c r="E703" s="41">
        <f>4541.138727+0.225904*B703</f>
        <v/>
      </c>
      <c r="F703" s="42">
        <f>D703-E703</f>
        <v/>
      </c>
      <c r="G703" s="41">
        <f>F703^2</f>
        <v/>
      </c>
      <c r="H703" s="40" t="n"/>
      <c r="I703" s="40" t="n"/>
    </row>
    <row r="704" ht="15" customHeight="1" s="28">
      <c r="A704" s="37" t="n">
        <v>691</v>
      </c>
      <c r="B704" s="55" t="n">
        <v>690</v>
      </c>
      <c r="C704" s="55">
        <f>B704^2</f>
        <v/>
      </c>
      <c r="D704" s="38" t="n">
        <v>4716.82</v>
      </c>
      <c r="E704" s="38">
        <f>4541.138727+0.225904*B704</f>
        <v/>
      </c>
      <c r="F704" s="39">
        <f>D704-E704</f>
        <v/>
      </c>
      <c r="G704" s="38">
        <f>F704^2</f>
        <v/>
      </c>
      <c r="H704" s="37" t="n"/>
      <c r="I704" s="37" t="n"/>
    </row>
    <row r="705" ht="15" customHeight="1" s="28">
      <c r="A705" s="40" t="n">
        <v>692</v>
      </c>
      <c r="B705" s="56" t="n">
        <v>691</v>
      </c>
      <c r="C705" s="56">
        <f>B705^2</f>
        <v/>
      </c>
      <c r="D705" s="41" t="n">
        <v>4716.85</v>
      </c>
      <c r="E705" s="41">
        <f>4541.138727+0.225904*B705</f>
        <v/>
      </c>
      <c r="F705" s="42">
        <f>D705-E705</f>
        <v/>
      </c>
      <c r="G705" s="41">
        <f>F705^2</f>
        <v/>
      </c>
      <c r="H705" s="40" t="n"/>
      <c r="I705" s="40" t="n"/>
    </row>
    <row r="706" ht="15" customHeight="1" s="28">
      <c r="A706" s="37" t="n">
        <v>693</v>
      </c>
      <c r="B706" s="55" t="n">
        <v>692</v>
      </c>
      <c r="C706" s="55">
        <f>B706^2</f>
        <v/>
      </c>
      <c r="D706" s="38" t="n">
        <v>4715.7</v>
      </c>
      <c r="E706" s="38">
        <f>4541.138727+0.225904*B706</f>
        <v/>
      </c>
      <c r="F706" s="39">
        <f>D706-E706</f>
        <v/>
      </c>
      <c r="G706" s="38">
        <f>F706^2</f>
        <v/>
      </c>
      <c r="H706" s="37" t="n"/>
      <c r="I706" s="37" t="n"/>
    </row>
    <row r="707" ht="15" customHeight="1" s="28">
      <c r="A707" s="40" t="n">
        <v>694</v>
      </c>
      <c r="B707" s="56" t="n">
        <v>693</v>
      </c>
      <c r="C707" s="56">
        <f>B707^2</f>
        <v/>
      </c>
      <c r="D707" s="41" t="n">
        <v>4718.38</v>
      </c>
      <c r="E707" s="41">
        <f>4541.138727+0.225904*B707</f>
        <v/>
      </c>
      <c r="F707" s="42">
        <f>D707-E707</f>
        <v/>
      </c>
      <c r="G707" s="41">
        <f>F707^2</f>
        <v/>
      </c>
      <c r="H707" s="40" t="n"/>
      <c r="I707" s="40" t="n"/>
    </row>
    <row r="708" ht="15" customHeight="1" s="28">
      <c r="A708" s="37" t="n">
        <v>695</v>
      </c>
      <c r="B708" s="55" t="n">
        <v>694</v>
      </c>
      <c r="C708" s="55">
        <f>B708^2</f>
        <v/>
      </c>
      <c r="D708" s="38" t="n">
        <v>4717.81</v>
      </c>
      <c r="E708" s="38">
        <f>4541.138727+0.225904*B708</f>
        <v/>
      </c>
      <c r="F708" s="39">
        <f>D708-E708</f>
        <v/>
      </c>
      <c r="G708" s="38">
        <f>F708^2</f>
        <v/>
      </c>
      <c r="H708" s="37" t="n"/>
      <c r="I708" s="37" t="n"/>
    </row>
    <row r="709" ht="15" customHeight="1" s="28">
      <c r="A709" s="40" t="n">
        <v>696</v>
      </c>
      <c r="B709" s="56" t="n">
        <v>695</v>
      </c>
      <c r="C709" s="56">
        <f>B709^2</f>
        <v/>
      </c>
      <c r="D709" s="41" t="n">
        <v>4713.35</v>
      </c>
      <c r="E709" s="41">
        <f>4541.138727+0.225904*B709</f>
        <v/>
      </c>
      <c r="F709" s="42">
        <f>D709-E709</f>
        <v/>
      </c>
      <c r="G709" s="41">
        <f>F709^2</f>
        <v/>
      </c>
      <c r="H709" s="40" t="n"/>
      <c r="I709" s="40" t="n"/>
    </row>
    <row r="710" ht="15" customHeight="1" s="28">
      <c r="A710" s="37" t="n">
        <v>697</v>
      </c>
      <c r="B710" s="55" t="n">
        <v>696</v>
      </c>
      <c r="C710" s="55">
        <f>B710^2</f>
        <v/>
      </c>
      <c r="D710" s="38" t="n">
        <v>4711.79</v>
      </c>
      <c r="E710" s="38">
        <f>4541.138727+0.225904*B710</f>
        <v/>
      </c>
      <c r="F710" s="39">
        <f>D710-E710</f>
        <v/>
      </c>
      <c r="G710" s="38">
        <f>F710^2</f>
        <v/>
      </c>
      <c r="H710" s="37" t="n"/>
      <c r="I710" s="37" t="n"/>
    </row>
    <row r="711" ht="15" customHeight="1" s="28">
      <c r="A711" s="40" t="n">
        <v>698</v>
      </c>
      <c r="B711" s="56" t="n">
        <v>697</v>
      </c>
      <c r="C711" s="56">
        <f>B711^2</f>
        <v/>
      </c>
      <c r="D711" s="41" t="n">
        <v>4718.94</v>
      </c>
      <c r="E711" s="41">
        <f>4541.138727+0.225904*B711</f>
        <v/>
      </c>
      <c r="F711" s="42">
        <f>D711-E711</f>
        <v/>
      </c>
      <c r="G711" s="41">
        <f>F711^2</f>
        <v/>
      </c>
      <c r="H711" s="40" t="n"/>
      <c r="I711" s="40" t="n"/>
    </row>
    <row r="712" ht="15" customHeight="1" s="28">
      <c r="A712" s="37" t="n">
        <v>699</v>
      </c>
      <c r="B712" s="55" t="n">
        <v>698</v>
      </c>
      <c r="C712" s="55">
        <f>B712^2</f>
        <v/>
      </c>
      <c r="D712" s="38" t="n">
        <v>4720.38</v>
      </c>
      <c r="E712" s="38">
        <f>4541.138727+0.225904*B712</f>
        <v/>
      </c>
      <c r="F712" s="39">
        <f>D712-E712</f>
        <v/>
      </c>
      <c r="G712" s="38">
        <f>F712^2</f>
        <v/>
      </c>
      <c r="H712" s="37" t="n"/>
      <c r="I712" s="37" t="n"/>
    </row>
    <row r="713" ht="15" customHeight="1" s="28">
      <c r="A713" s="40" t="n">
        <v>700</v>
      </c>
      <c r="B713" s="56" t="n">
        <v>699</v>
      </c>
      <c r="C713" s="56">
        <f>B713^2</f>
        <v/>
      </c>
      <c r="D713" s="41" t="n">
        <v>4724.48</v>
      </c>
      <c r="E713" s="41">
        <f>4541.138727+0.225904*B713</f>
        <v/>
      </c>
      <c r="F713" s="42">
        <f>D713-E713</f>
        <v/>
      </c>
      <c r="G713" s="41">
        <f>F713^2</f>
        <v/>
      </c>
      <c r="H713" s="40" t="n"/>
      <c r="I713" s="40" t="n"/>
    </row>
    <row r="714" ht="15" customHeight="1" s="28">
      <c r="A714" s="37" t="n">
        <v>701</v>
      </c>
      <c r="B714" s="55" t="n">
        <v>700</v>
      </c>
      <c r="C714" s="55">
        <f>B714^2</f>
        <v/>
      </c>
      <c r="D714" s="38" t="n">
        <v>4719.94</v>
      </c>
      <c r="E714" s="38">
        <f>4541.138727+0.225904*B714</f>
        <v/>
      </c>
      <c r="F714" s="39">
        <f>D714-E714</f>
        <v/>
      </c>
      <c r="G714" s="38">
        <f>F714^2</f>
        <v/>
      </c>
      <c r="H714" s="37" t="n"/>
      <c r="I714" s="37" t="n"/>
    </row>
    <row r="715" ht="15" customHeight="1" s="28">
      <c r="A715" s="40" t="n">
        <v>702</v>
      </c>
      <c r="B715" s="56" t="n">
        <v>701</v>
      </c>
      <c r="C715" s="56">
        <f>B715^2</f>
        <v/>
      </c>
      <c r="D715" s="41" t="n">
        <v>4722.05</v>
      </c>
      <c r="E715" s="41">
        <f>4541.138727+0.225904*B715</f>
        <v/>
      </c>
      <c r="F715" s="42">
        <f>D715-E715</f>
        <v/>
      </c>
      <c r="G715" s="41">
        <f>F715^2</f>
        <v/>
      </c>
      <c r="H715" s="40" t="n"/>
      <c r="I715" s="40" t="n"/>
    </row>
    <row r="716" ht="15" customHeight="1" s="28">
      <c r="A716" s="37" t="n">
        <v>703</v>
      </c>
      <c r="B716" s="55" t="n">
        <v>702</v>
      </c>
      <c r="C716" s="55">
        <f>B716^2</f>
        <v/>
      </c>
      <c r="D716" s="38" t="n">
        <v>4724.08</v>
      </c>
      <c r="E716" s="38">
        <f>4541.138727+0.225904*B716</f>
        <v/>
      </c>
      <c r="F716" s="39">
        <f>D716-E716</f>
        <v/>
      </c>
      <c r="G716" s="38">
        <f>F716^2</f>
        <v/>
      </c>
      <c r="H716" s="37" t="n"/>
      <c r="I716" s="37" t="n"/>
    </row>
    <row r="717" ht="15" customHeight="1" s="28">
      <c r="A717" s="40" t="n">
        <v>704</v>
      </c>
      <c r="B717" s="56" t="n">
        <v>703</v>
      </c>
      <c r="C717" s="56">
        <f>B717^2</f>
        <v/>
      </c>
      <c r="D717" s="41" t="n">
        <v>4721.18</v>
      </c>
      <c r="E717" s="41">
        <f>4541.138727+0.225904*B717</f>
        <v/>
      </c>
      <c r="F717" s="42">
        <f>D717-E717</f>
        <v/>
      </c>
      <c r="G717" s="41">
        <f>F717^2</f>
        <v/>
      </c>
      <c r="H717" s="40" t="n"/>
      <c r="I717" s="40" t="n"/>
    </row>
    <row r="718" ht="15" customHeight="1" s="28">
      <c r="A718" s="37" t="n">
        <v>705</v>
      </c>
      <c r="B718" s="55" t="n">
        <v>704</v>
      </c>
      <c r="C718" s="55">
        <f>B718^2</f>
        <v/>
      </c>
      <c r="D718" s="38" t="n">
        <v>4717.8</v>
      </c>
      <c r="E718" s="38">
        <f>4541.138727+0.225904*B718</f>
        <v/>
      </c>
      <c r="F718" s="39">
        <f>D718-E718</f>
        <v/>
      </c>
      <c r="G718" s="38">
        <f>F718^2</f>
        <v/>
      </c>
      <c r="H718" s="37" t="n"/>
      <c r="I718" s="37" t="n"/>
    </row>
    <row r="719" ht="15" customHeight="1" s="28">
      <c r="A719" s="40" t="n">
        <v>706</v>
      </c>
      <c r="B719" s="56" t="n">
        <v>705</v>
      </c>
      <c r="C719" s="56">
        <f>B719^2</f>
        <v/>
      </c>
      <c r="D719" s="41" t="n">
        <v>4704.7</v>
      </c>
      <c r="E719" s="41">
        <f>4541.138727+0.225904*B719</f>
        <v/>
      </c>
      <c r="F719" s="42">
        <f>D719-E719</f>
        <v/>
      </c>
      <c r="G719" s="41">
        <f>F719^2</f>
        <v/>
      </c>
      <c r="H719" s="40" t="n"/>
      <c r="I719" s="40" t="n"/>
    </row>
    <row r="720" ht="15" customHeight="1" s="28">
      <c r="A720" s="37" t="n">
        <v>707</v>
      </c>
      <c r="B720" s="55" t="n">
        <v>706</v>
      </c>
      <c r="C720" s="55">
        <f>B720^2</f>
        <v/>
      </c>
      <c r="D720" s="38" t="n">
        <v>4710.4</v>
      </c>
      <c r="E720" s="38">
        <f>4541.138727+0.225904*B720</f>
        <v/>
      </c>
      <c r="F720" s="39">
        <f>D720-E720</f>
        <v/>
      </c>
      <c r="G720" s="38">
        <f>F720^2</f>
        <v/>
      </c>
      <c r="H720" s="37" t="n"/>
      <c r="I720" s="37" t="n"/>
    </row>
    <row r="721" ht="15" customHeight="1" s="28">
      <c r="A721" s="40" t="n">
        <v>708</v>
      </c>
      <c r="B721" s="56" t="n">
        <v>707</v>
      </c>
      <c r="C721" s="56">
        <f>B721^2</f>
        <v/>
      </c>
      <c r="D721" s="41" t="n">
        <v>4723.84</v>
      </c>
      <c r="E721" s="41">
        <f>4541.138727+0.225904*B721</f>
        <v/>
      </c>
      <c r="F721" s="42">
        <f>D721-E721</f>
        <v/>
      </c>
      <c r="G721" s="41">
        <f>F721^2</f>
        <v/>
      </c>
      <c r="H721" s="40" t="n"/>
      <c r="I721" s="40" t="n"/>
    </row>
    <row r="722" ht="15" customHeight="1" s="28">
      <c r="A722" s="37" t="n">
        <v>709</v>
      </c>
      <c r="B722" s="55" t="n">
        <v>708</v>
      </c>
      <c r="C722" s="55">
        <f>B722^2</f>
        <v/>
      </c>
      <c r="D722" s="38" t="n">
        <v>4724.41</v>
      </c>
      <c r="E722" s="38">
        <f>4541.138727+0.225904*B722</f>
        <v/>
      </c>
      <c r="F722" s="39">
        <f>D722-E722</f>
        <v/>
      </c>
      <c r="G722" s="38">
        <f>F722^2</f>
        <v/>
      </c>
      <c r="H722" s="37" t="n"/>
      <c r="I722" s="37" t="n"/>
    </row>
    <row r="723" ht="15" customHeight="1" s="28">
      <c r="A723" s="40" t="n">
        <v>710</v>
      </c>
      <c r="B723" s="56" t="n">
        <v>709</v>
      </c>
      <c r="C723" s="56">
        <f>B723^2</f>
        <v/>
      </c>
      <c r="D723" s="41" t="n">
        <v>4720.41</v>
      </c>
      <c r="E723" s="41">
        <f>4541.138727+0.225904*B723</f>
        <v/>
      </c>
      <c r="F723" s="42">
        <f>D723-E723</f>
        <v/>
      </c>
      <c r="G723" s="41">
        <f>F723^2</f>
        <v/>
      </c>
      <c r="H723" s="40" t="n"/>
      <c r="I723" s="40" t="n"/>
    </row>
    <row r="724" ht="15" customHeight="1" s="28">
      <c r="A724" s="37" t="n">
        <v>711</v>
      </c>
      <c r="B724" s="55" t="n">
        <v>710</v>
      </c>
      <c r="C724" s="55">
        <f>B724^2</f>
        <v/>
      </c>
      <c r="D724" s="38" t="n">
        <v>4727.11</v>
      </c>
      <c r="E724" s="38">
        <f>4541.138727+0.225904*B724</f>
        <v/>
      </c>
      <c r="F724" s="39">
        <f>D724-E724</f>
        <v/>
      </c>
      <c r="G724" s="38">
        <f>F724^2</f>
        <v/>
      </c>
      <c r="H724" s="37" t="n"/>
      <c r="I724" s="37" t="n"/>
    </row>
    <row r="725" ht="15" customHeight="1" s="28">
      <c r="A725" s="40" t="n">
        <v>712</v>
      </c>
      <c r="B725" s="56" t="n">
        <v>711</v>
      </c>
      <c r="C725" s="56">
        <f>B725^2</f>
        <v/>
      </c>
      <c r="D725" s="41" t="n">
        <v>4738.02</v>
      </c>
      <c r="E725" s="41">
        <f>4541.138727+0.225904*B725</f>
        <v/>
      </c>
      <c r="F725" s="42">
        <f>D725-E725</f>
        <v/>
      </c>
      <c r="G725" s="41">
        <f>F725^2</f>
        <v/>
      </c>
      <c r="H725" s="40" t="n"/>
      <c r="I725" s="40" t="n"/>
    </row>
    <row r="726" ht="15" customHeight="1" s="28">
      <c r="A726" s="37" t="n">
        <v>713</v>
      </c>
      <c r="B726" s="55" t="n">
        <v>712</v>
      </c>
      <c r="C726" s="55">
        <f>B726^2</f>
        <v/>
      </c>
      <c r="D726" s="38" t="n">
        <v>4747.9</v>
      </c>
      <c r="E726" s="38">
        <f>4541.138727+0.225904*B726</f>
        <v/>
      </c>
      <c r="F726" s="39">
        <f>D726-E726</f>
        <v/>
      </c>
      <c r="G726" s="38">
        <f>F726^2</f>
        <v/>
      </c>
      <c r="H726" s="37" t="n"/>
      <c r="I726" s="37" t="n"/>
    </row>
    <row r="727" ht="15" customHeight="1" s="28">
      <c r="A727" s="40" t="n">
        <v>714</v>
      </c>
      <c r="B727" s="56" t="n">
        <v>713</v>
      </c>
      <c r="C727" s="56">
        <f>B727^2</f>
        <v/>
      </c>
      <c r="D727" s="41" t="n">
        <v>4731.78</v>
      </c>
      <c r="E727" s="41">
        <f>4541.138727+0.225904*B727</f>
        <v/>
      </c>
      <c r="F727" s="42">
        <f>D727-E727</f>
        <v/>
      </c>
      <c r="G727" s="41">
        <f>F727^2</f>
        <v/>
      </c>
      <c r="H727" s="40" t="n"/>
      <c r="I727" s="40" t="n"/>
    </row>
    <row r="728" ht="15" customHeight="1" s="28">
      <c r="A728" s="37" t="n">
        <v>715</v>
      </c>
      <c r="B728" s="55" t="n">
        <v>714</v>
      </c>
      <c r="C728" s="55">
        <f>B728^2</f>
        <v/>
      </c>
      <c r="D728" s="38" t="n">
        <v>4719.14</v>
      </c>
      <c r="E728" s="38">
        <f>4541.138727+0.225904*B728</f>
        <v/>
      </c>
      <c r="F728" s="39">
        <f>D728-E728</f>
        <v/>
      </c>
      <c r="G728" s="38">
        <f>F728^2</f>
        <v/>
      </c>
      <c r="H728" s="37" t="n"/>
      <c r="I728" s="37" t="n"/>
    </row>
    <row r="729" ht="15" customHeight="1" s="28">
      <c r="A729" s="40" t="n">
        <v>716</v>
      </c>
      <c r="B729" s="56" t="n">
        <v>715</v>
      </c>
      <c r="C729" s="56">
        <f>B729^2</f>
        <v/>
      </c>
      <c r="D729" s="41" t="n">
        <v>4722.71</v>
      </c>
      <c r="E729" s="41">
        <f>4541.138727+0.225904*B729</f>
        <v/>
      </c>
      <c r="F729" s="42">
        <f>D729-E729</f>
        <v/>
      </c>
      <c r="G729" s="41">
        <f>F729^2</f>
        <v/>
      </c>
      <c r="H729" s="40" t="n"/>
      <c r="I729" s="40" t="n"/>
    </row>
    <row r="730" ht="15" customHeight="1" s="28">
      <c r="A730" s="37" t="n">
        <v>717</v>
      </c>
      <c r="B730" s="55" t="n">
        <v>716</v>
      </c>
      <c r="C730" s="55">
        <f>B730^2</f>
        <v/>
      </c>
      <c r="D730" s="38" t="n">
        <v>4716.02</v>
      </c>
      <c r="E730" s="38">
        <f>4541.138727+0.225904*B730</f>
        <v/>
      </c>
      <c r="F730" s="39">
        <f>D730-E730</f>
        <v/>
      </c>
      <c r="G730" s="38">
        <f>F730^2</f>
        <v/>
      </c>
      <c r="H730" s="37" t="n"/>
      <c r="I730" s="37" t="n"/>
    </row>
    <row r="731" ht="15" customHeight="1" s="28">
      <c r="A731" s="40" t="n">
        <v>718</v>
      </c>
      <c r="B731" s="56" t="n">
        <v>717</v>
      </c>
      <c r="C731" s="56">
        <f>B731^2</f>
        <v/>
      </c>
      <c r="D731" s="41" t="n">
        <v>4707.62</v>
      </c>
      <c r="E731" s="41">
        <f>4541.138727+0.225904*B731</f>
        <v/>
      </c>
      <c r="F731" s="42">
        <f>D731-E731</f>
        <v/>
      </c>
      <c r="G731" s="41">
        <f>F731^2</f>
        <v/>
      </c>
      <c r="H731" s="40" t="n"/>
      <c r="I731" s="40" t="n"/>
    </row>
    <row r="732" ht="15" customHeight="1" s="28">
      <c r="A732" s="37" t="n">
        <v>719</v>
      </c>
      <c r="B732" s="55" t="n">
        <v>718</v>
      </c>
      <c r="C732" s="55">
        <f>B732^2</f>
        <v/>
      </c>
      <c r="D732" s="38" t="n">
        <v>4713.43</v>
      </c>
      <c r="E732" s="38">
        <f>4541.138727+0.225904*B732</f>
        <v/>
      </c>
      <c r="F732" s="39">
        <f>D732-E732</f>
        <v/>
      </c>
      <c r="G732" s="38">
        <f>F732^2</f>
        <v/>
      </c>
      <c r="H732" s="37" t="n"/>
      <c r="I732" s="37" t="n"/>
    </row>
    <row r="733" ht="15" customHeight="1" s="28">
      <c r="A733" s="40" t="n">
        <v>720</v>
      </c>
      <c r="B733" s="56" t="n">
        <v>719</v>
      </c>
      <c r="C733" s="56">
        <f>B733^2</f>
        <v/>
      </c>
      <c r="D733" s="41" t="n">
        <v>4705.96</v>
      </c>
      <c r="E733" s="41">
        <f>4541.138727+0.225904*B733</f>
        <v/>
      </c>
      <c r="F733" s="42">
        <f>D733-E733</f>
        <v/>
      </c>
      <c r="G733" s="41">
        <f>F733^2</f>
        <v/>
      </c>
      <c r="H733" s="40" t="n"/>
      <c r="I733" s="40" t="n"/>
    </row>
    <row r="734" ht="15" customHeight="1" s="28">
      <c r="A734" s="37" t="n">
        <v>721</v>
      </c>
      <c r="B734" s="55" t="n">
        <v>720</v>
      </c>
      <c r="C734" s="55">
        <f>B734^2</f>
        <v/>
      </c>
      <c r="D734" s="38" t="n">
        <v>4707.13</v>
      </c>
      <c r="E734" s="38">
        <f>4541.138727+0.225904*B734</f>
        <v/>
      </c>
      <c r="F734" s="39">
        <f>D734-E734</f>
        <v/>
      </c>
      <c r="G734" s="38">
        <f>F734^2</f>
        <v/>
      </c>
      <c r="H734" s="37" t="n"/>
      <c r="I734" s="37" t="n"/>
    </row>
    <row r="735" ht="15" customHeight="1" s="28">
      <c r="A735" s="40" t="n">
        <v>722</v>
      </c>
      <c r="B735" s="56" t="n">
        <v>721</v>
      </c>
      <c r="C735" s="56">
        <f>B735^2</f>
        <v/>
      </c>
      <c r="D735" s="41" t="n">
        <v>4711.49</v>
      </c>
      <c r="E735" s="41">
        <f>4541.138727+0.225904*B735</f>
        <v/>
      </c>
      <c r="F735" s="42">
        <f>D735-E735</f>
        <v/>
      </c>
      <c r="G735" s="41">
        <f>F735^2</f>
        <v/>
      </c>
      <c r="H735" s="40" t="n"/>
      <c r="I735" s="40" t="n"/>
    </row>
    <row r="736" ht="15" customHeight="1" s="28">
      <c r="A736" s="37" t="n">
        <v>723</v>
      </c>
      <c r="B736" s="55" t="n">
        <v>722</v>
      </c>
      <c r="C736" s="55">
        <f>B736^2</f>
        <v/>
      </c>
      <c r="D736" s="38" t="n">
        <v>4717.67</v>
      </c>
      <c r="E736" s="38">
        <f>4541.138727+0.225904*B736</f>
        <v/>
      </c>
      <c r="F736" s="39">
        <f>D736-E736</f>
        <v/>
      </c>
      <c r="G736" s="38">
        <f>F736^2</f>
        <v/>
      </c>
      <c r="H736" s="37" t="n"/>
      <c r="I736" s="37" t="n"/>
    </row>
    <row r="737" ht="15" customHeight="1" s="28">
      <c r="A737" s="40" t="n">
        <v>724</v>
      </c>
      <c r="B737" s="56" t="n">
        <v>723</v>
      </c>
      <c r="C737" s="56">
        <f>B737^2</f>
        <v/>
      </c>
      <c r="D737" s="41" t="n">
        <v>4713.4</v>
      </c>
      <c r="E737" s="41">
        <f>4541.138727+0.225904*B737</f>
        <v/>
      </c>
      <c r="F737" s="42">
        <f>D737-E737</f>
        <v/>
      </c>
      <c r="G737" s="41">
        <f>F737^2</f>
        <v/>
      </c>
      <c r="H737" s="40" t="n"/>
      <c r="I737" s="40" t="n"/>
    </row>
    <row r="738" ht="15" customHeight="1" s="28">
      <c r="A738" s="37" t="n">
        <v>725</v>
      </c>
      <c r="B738" s="55" t="n">
        <v>724</v>
      </c>
      <c r="C738" s="55">
        <f>B738^2</f>
        <v/>
      </c>
      <c r="D738" s="38" t="n">
        <v>4712.52</v>
      </c>
      <c r="E738" s="38">
        <f>4541.138727+0.225904*B738</f>
        <v/>
      </c>
      <c r="F738" s="39">
        <f>D738-E738</f>
        <v/>
      </c>
      <c r="G738" s="38">
        <f>F738^2</f>
        <v/>
      </c>
      <c r="H738" s="37" t="n"/>
      <c r="I738" s="37" t="n"/>
    </row>
    <row r="739" ht="15" customHeight="1" s="28">
      <c r="A739" s="40" t="n">
        <v>726</v>
      </c>
      <c r="B739" s="56" t="n">
        <v>725</v>
      </c>
      <c r="C739" s="56">
        <f>B739^2</f>
        <v/>
      </c>
      <c r="D739" s="41" t="n">
        <v>4715.4</v>
      </c>
      <c r="E739" s="41">
        <f>4541.138727+0.225904*B739</f>
        <v/>
      </c>
      <c r="F739" s="42">
        <f>D739-E739</f>
        <v/>
      </c>
      <c r="G739" s="41">
        <f>F739^2</f>
        <v/>
      </c>
      <c r="H739" s="40" t="n"/>
      <c r="I739" s="40" t="n"/>
    </row>
    <row r="740" ht="15" customHeight="1" s="28">
      <c r="A740" s="37" t="n">
        <v>727</v>
      </c>
      <c r="B740" s="55" t="n">
        <v>726</v>
      </c>
      <c r="C740" s="55">
        <f>B740^2</f>
        <v/>
      </c>
      <c r="D740" s="38" t="n">
        <v>4720.64</v>
      </c>
      <c r="E740" s="38">
        <f>4541.138727+0.225904*B740</f>
        <v/>
      </c>
      <c r="F740" s="39">
        <f>D740-E740</f>
        <v/>
      </c>
      <c r="G740" s="38">
        <f>F740^2</f>
        <v/>
      </c>
      <c r="H740" s="37" t="n"/>
      <c r="I740" s="37" t="n"/>
    </row>
    <row r="741" ht="15" customHeight="1" s="28">
      <c r="A741" s="40" t="n">
        <v>728</v>
      </c>
      <c r="B741" s="56" t="n">
        <v>727</v>
      </c>
      <c r="C741" s="56">
        <f>B741^2</f>
        <v/>
      </c>
      <c r="D741" s="41" t="n">
        <v>4720.74</v>
      </c>
      <c r="E741" s="41">
        <f>4541.138727+0.225904*B741</f>
        <v/>
      </c>
      <c r="F741" s="42">
        <f>D741-E741</f>
        <v/>
      </c>
      <c r="G741" s="41">
        <f>F741^2</f>
        <v/>
      </c>
      <c r="H741" s="40" t="n"/>
      <c r="I741" s="40" t="n"/>
    </row>
    <row r="742" ht="15" customHeight="1" s="28">
      <c r="A742" s="37" t="n">
        <v>729</v>
      </c>
      <c r="B742" s="55" t="n">
        <v>728</v>
      </c>
      <c r="C742" s="55">
        <f>B742^2</f>
        <v/>
      </c>
      <c r="D742" s="38" t="n">
        <v>4720.99</v>
      </c>
      <c r="E742" s="38">
        <f>4541.138727+0.225904*B742</f>
        <v/>
      </c>
      <c r="F742" s="39">
        <f>D742-E742</f>
        <v/>
      </c>
      <c r="G742" s="38">
        <f>F742^2</f>
        <v/>
      </c>
      <c r="H742" s="37" t="n"/>
      <c r="I742" s="37" t="n"/>
    </row>
    <row r="743" ht="15" customHeight="1" s="28">
      <c r="A743" s="40" t="n">
        <v>730</v>
      </c>
      <c r="B743" s="56" t="n">
        <v>729</v>
      </c>
      <c r="C743" s="56">
        <f>B743^2</f>
        <v/>
      </c>
      <c r="D743" s="41" t="n">
        <v>4727.48</v>
      </c>
      <c r="E743" s="41">
        <f>4541.138727+0.225904*B743</f>
        <v/>
      </c>
      <c r="F743" s="42">
        <f>D743-E743</f>
        <v/>
      </c>
      <c r="G743" s="41">
        <f>F743^2</f>
        <v/>
      </c>
      <c r="H743" s="40" t="n"/>
      <c r="I743" s="40" t="n"/>
    </row>
    <row r="744" ht="15" customHeight="1" s="28">
      <c r="A744" s="37" t="n">
        <v>731</v>
      </c>
      <c r="B744" s="55" t="n">
        <v>730</v>
      </c>
      <c r="C744" s="55">
        <f>B744^2</f>
        <v/>
      </c>
      <c r="D744" s="38" t="n">
        <v>4725.66</v>
      </c>
      <c r="E744" s="38">
        <f>4541.138727+0.225904*B744</f>
        <v/>
      </c>
      <c r="F744" s="39">
        <f>D744-E744</f>
        <v/>
      </c>
      <c r="G744" s="38">
        <f>F744^2</f>
        <v/>
      </c>
      <c r="H744" s="37" t="n"/>
      <c r="I744" s="37" t="n"/>
    </row>
    <row r="745" ht="15" customHeight="1" s="28">
      <c r="A745" s="40" t="n">
        <v>732</v>
      </c>
      <c r="B745" s="56" t="n">
        <v>731</v>
      </c>
      <c r="C745" s="56">
        <f>B745^2</f>
        <v/>
      </c>
      <c r="D745" s="41" t="n">
        <v>4724.59</v>
      </c>
      <c r="E745" s="41">
        <f>4541.138727+0.225904*B745</f>
        <v/>
      </c>
      <c r="F745" s="42">
        <f>D745-E745</f>
        <v/>
      </c>
      <c r="G745" s="41">
        <f>F745^2</f>
        <v/>
      </c>
      <c r="H745" s="40" t="n"/>
      <c r="I745" s="40" t="n"/>
    </row>
    <row r="746" ht="15" customHeight="1" s="28">
      <c r="A746" s="37" t="n">
        <v>733</v>
      </c>
      <c r="B746" s="55" t="n">
        <v>732</v>
      </c>
      <c r="C746" s="55">
        <f>B746^2</f>
        <v/>
      </c>
      <c r="D746" s="38" t="n">
        <v>4721.83</v>
      </c>
      <c r="E746" s="38">
        <f>4541.138727+0.225904*B746</f>
        <v/>
      </c>
      <c r="F746" s="39">
        <f>D746-E746</f>
        <v/>
      </c>
      <c r="G746" s="38">
        <f>F746^2</f>
        <v/>
      </c>
      <c r="H746" s="37" t="n"/>
      <c r="I746" s="37" t="n"/>
    </row>
    <row r="747" ht="15" customHeight="1" s="28">
      <c r="A747" s="40" t="n">
        <v>734</v>
      </c>
      <c r="B747" s="56" t="n">
        <v>733</v>
      </c>
      <c r="C747" s="56">
        <f>B747^2</f>
        <v/>
      </c>
      <c r="D747" s="41" t="n">
        <v>4723.57</v>
      </c>
      <c r="E747" s="41">
        <f>4541.138727+0.225904*B747</f>
        <v/>
      </c>
      <c r="F747" s="42">
        <f>D747-E747</f>
        <v/>
      </c>
      <c r="G747" s="41">
        <f>F747^2</f>
        <v/>
      </c>
      <c r="H747" s="40" t="n"/>
      <c r="I747" s="40" t="n"/>
    </row>
    <row r="748" ht="15" customHeight="1" s="28">
      <c r="A748" s="37" t="n">
        <v>735</v>
      </c>
      <c r="B748" s="55" t="n">
        <v>734</v>
      </c>
      <c r="C748" s="55">
        <f>B748^2</f>
        <v/>
      </c>
      <c r="D748" s="38" t="n">
        <v>4723.71</v>
      </c>
      <c r="E748" s="38">
        <f>4541.138727+0.225904*B748</f>
        <v/>
      </c>
      <c r="F748" s="39">
        <f>D748-E748</f>
        <v/>
      </c>
      <c r="G748" s="38">
        <f>F748^2</f>
        <v/>
      </c>
      <c r="H748" s="37" t="n"/>
      <c r="I748" s="37" t="n"/>
    </row>
    <row r="749" ht="15" customHeight="1" s="28">
      <c r="A749" s="40" t="n">
        <v>736</v>
      </c>
      <c r="B749" s="56" t="n">
        <v>735</v>
      </c>
      <c r="C749" s="56">
        <f>B749^2</f>
        <v/>
      </c>
      <c r="D749" s="41" t="n">
        <v>4725.3</v>
      </c>
      <c r="E749" s="41">
        <f>4541.138727+0.225904*B749</f>
        <v/>
      </c>
      <c r="F749" s="42">
        <f>D749-E749</f>
        <v/>
      </c>
      <c r="G749" s="41">
        <f>F749^2</f>
        <v/>
      </c>
      <c r="H749" s="40" t="n"/>
      <c r="I749" s="40" t="n"/>
    </row>
    <row r="750" ht="15" customHeight="1" s="28">
      <c r="A750" s="37" t="n">
        <v>737</v>
      </c>
      <c r="B750" s="55" t="n">
        <v>736</v>
      </c>
      <c r="C750" s="55">
        <f>B750^2</f>
        <v/>
      </c>
      <c r="D750" s="38" t="n">
        <v>4724.02</v>
      </c>
      <c r="E750" s="38">
        <f>4541.138727+0.225904*B750</f>
        <v/>
      </c>
      <c r="F750" s="39">
        <f>D750-E750</f>
        <v/>
      </c>
      <c r="G750" s="38">
        <f>F750^2</f>
        <v/>
      </c>
      <c r="H750" s="37" t="n"/>
      <c r="I750" s="37" t="n"/>
    </row>
    <row r="751" ht="15" customHeight="1" s="28">
      <c r="A751" s="40" t="n">
        <v>738</v>
      </c>
      <c r="B751" s="56" t="n">
        <v>737</v>
      </c>
      <c r="C751" s="56">
        <f>B751^2</f>
        <v/>
      </c>
      <c r="D751" s="41" t="n">
        <v>4718.85</v>
      </c>
      <c r="E751" s="41">
        <f>4541.138727+0.225904*B751</f>
        <v/>
      </c>
      <c r="F751" s="42">
        <f>D751-E751</f>
        <v/>
      </c>
      <c r="G751" s="41">
        <f>F751^2</f>
        <v/>
      </c>
      <c r="H751" s="40" t="n"/>
      <c r="I751" s="40" t="n"/>
    </row>
    <row r="752" ht="15" customHeight="1" s="28">
      <c r="A752" s="37" t="n">
        <v>739</v>
      </c>
      <c r="B752" s="55" t="n">
        <v>738</v>
      </c>
      <c r="C752" s="55">
        <f>B752^2</f>
        <v/>
      </c>
      <c r="D752" s="38" t="n">
        <v>4717.38</v>
      </c>
      <c r="E752" s="38">
        <f>4541.138727+0.225904*B752</f>
        <v/>
      </c>
      <c r="F752" s="39">
        <f>D752-E752</f>
        <v/>
      </c>
      <c r="G752" s="38">
        <f>F752^2</f>
        <v/>
      </c>
      <c r="H752" s="37" t="n"/>
      <c r="I752" s="37" t="n"/>
    </row>
    <row r="753" ht="15" customHeight="1" s="28">
      <c r="A753" s="40" t="n">
        <v>740</v>
      </c>
      <c r="B753" s="56" t="n">
        <v>739</v>
      </c>
      <c r="C753" s="56">
        <f>B753^2</f>
        <v/>
      </c>
      <c r="D753" s="41" t="n">
        <v>4716.4</v>
      </c>
      <c r="E753" s="41">
        <f>4541.138727+0.225904*B753</f>
        <v/>
      </c>
      <c r="F753" s="42">
        <f>D753-E753</f>
        <v/>
      </c>
      <c r="G753" s="41">
        <f>F753^2</f>
        <v/>
      </c>
      <c r="H753" s="40" t="n"/>
      <c r="I753" s="40" t="n"/>
    </row>
    <row r="754" ht="15" customHeight="1" s="28">
      <c r="A754" s="37" t="n">
        <v>741</v>
      </c>
      <c r="B754" s="55" t="n">
        <v>740</v>
      </c>
      <c r="C754" s="55">
        <f>B754^2</f>
        <v/>
      </c>
      <c r="D754" s="38" t="n">
        <v>4715.36</v>
      </c>
      <c r="E754" s="38">
        <f>4541.138727+0.225904*B754</f>
        <v/>
      </c>
      <c r="F754" s="39">
        <f>D754-E754</f>
        <v/>
      </c>
      <c r="G754" s="38">
        <f>F754^2</f>
        <v/>
      </c>
      <c r="H754" s="37" t="n"/>
      <c r="I754" s="37" t="n"/>
    </row>
    <row r="756" ht="18" customHeight="1" s="28">
      <c r="A756" s="33" t="inlineStr">
        <is>
          <t>STEP 2 — Auxiliary OLS via LINEST:  eᵢ² = γ₀ + γ₁·X + γ₂·X²   (two-column predictor range B:C passed to LINEST)</t>
        </is>
      </c>
    </row>
    <row r="757" ht="21.75" customHeight="1" s="28">
      <c r="A757" s="51" t="inlineStr">
        <is>
          <t>LINEST with 2 predictors: slopes listed RIGHT→LEFT in Row 1  →  col1=γ₂(X²), col2=γ₁(X), col3=γ₀(intercept).  R²_aux is always at INDEX(LINEST(…),3,1) regardless of number of predictors.</t>
        </is>
      </c>
    </row>
    <row r="758" ht="15" customHeight="1" s="28">
      <c r="A758" s="44" t="inlineStr">
        <is>
          <t>γ₂  — slope of X²  in aux. reg.  [INDEX(LINEST(…),1,1)]</t>
        </is>
      </c>
      <c r="B758" s="35" t="n"/>
      <c r="C758" s="35" t="n"/>
      <c r="D758" s="35" t="n"/>
      <c r="E758" s="35" t="n"/>
      <c r="F758" s="47">
        <f>INDEX(LINEST(G14:G754,B14:C754,TRUE(),TRUE()),1,1)</f>
        <v/>
      </c>
      <c r="G758" s="35" t="n"/>
      <c r="H758" s="35" t="n"/>
      <c r="I758" s="35" t="n"/>
    </row>
    <row r="759" ht="15" customHeight="1" s="28">
      <c r="A759" s="44" t="inlineStr">
        <is>
          <t>γ₁  — slope of X   in aux. reg.  [INDEX(LINEST(…),1,2)]</t>
        </is>
      </c>
      <c r="B759" s="35" t="n"/>
      <c r="C759" s="35" t="n"/>
      <c r="D759" s="35" t="n"/>
      <c r="E759" s="35" t="n"/>
      <c r="F759" s="47">
        <f>INDEX(LINEST(G14:G754,B14:C754,TRUE(),TRUE()),1,2)</f>
        <v/>
      </c>
      <c r="G759" s="35" t="n"/>
      <c r="H759" s="35" t="n"/>
      <c r="I759" s="35" t="n"/>
    </row>
    <row r="760" ht="15" customHeight="1" s="28">
      <c r="A760" s="44" t="inlineStr">
        <is>
          <t>γ₀  — intercept    of aux. reg.  [INDEX(LINEST(…),1,3)]</t>
        </is>
      </c>
      <c r="B760" s="35" t="n"/>
      <c r="C760" s="35" t="n"/>
      <c r="D760" s="35" t="n"/>
      <c r="E760" s="35" t="n"/>
      <c r="F760" s="47">
        <f>INDEX(LINEST(G14:G754,B14:C754,TRUE(),TRUE()),1,3)</f>
        <v/>
      </c>
      <c r="G760" s="35" t="n"/>
      <c r="H760" s="35" t="n"/>
      <c r="I760" s="35" t="n"/>
    </row>
    <row r="761" ht="15" customHeight="1" s="28">
      <c r="A761" s="44" t="inlineStr">
        <is>
          <t>R²_aux  =  INDEX(LINEST(eᵢ², {X,X²}, TRUE, TRUE), 3, 1)</t>
        </is>
      </c>
      <c r="B761" s="35" t="n"/>
      <c r="C761" s="35" t="n"/>
      <c r="D761" s="35" t="n"/>
      <c r="E761" s="35" t="n"/>
      <c r="F761" s="47">
        <f>INDEX(LINEST(G14:G754,B14:C754,TRUE(),TRUE()),3,1)</f>
        <v/>
      </c>
      <c r="G761" s="35" t="n"/>
      <c r="H761" s="35" t="n"/>
      <c r="I761" s="35" t="n"/>
    </row>
    <row r="762" ht="15" customHeight="1" s="28">
      <c r="A762" s="44" t="inlineStr">
        <is>
          <t>SE of auxiliary regression  [INDEX(LINEST(…),3,2)]</t>
        </is>
      </c>
      <c r="B762" s="35" t="n"/>
      <c r="C762" s="35" t="n"/>
      <c r="D762" s="35" t="n"/>
      <c r="E762" s="35" t="n"/>
      <c r="F762" s="49">
        <f>INDEX(LINEST(G14:G754,B14:C754,TRUE(),TRUE()),3,2)</f>
        <v/>
      </c>
      <c r="G762" s="35" t="n"/>
      <c r="H762" s="35" t="n"/>
      <c r="I762" s="35" t="n"/>
    </row>
    <row r="763" ht="15" customHeight="1" s="28">
      <c r="A763" s="44" t="inlineStr">
        <is>
          <t>F-statistic  [INDEX(LINEST(…),4,1)]</t>
        </is>
      </c>
      <c r="B763" s="35" t="n"/>
      <c r="C763" s="35" t="n"/>
      <c r="D763" s="35" t="n"/>
      <c r="E763" s="35" t="n"/>
      <c r="F763" s="52">
        <f>INDEX(LINEST(G14:G754,B14:C754,TRUE(),TRUE()),4,1)</f>
        <v/>
      </c>
      <c r="G763" s="35" t="n"/>
      <c r="H763" s="35" t="n"/>
      <c r="I763" s="35" t="n"/>
    </row>
    <row r="764" ht="15" customHeight="1" s="28">
      <c r="A764" s="44" t="inlineStr">
        <is>
          <t>df residual  [INDEX(LINEST(…),4,2)]</t>
        </is>
      </c>
      <c r="B764" s="35" t="n"/>
      <c r="C764" s="35" t="n"/>
      <c r="D764" s="35" t="n"/>
      <c r="E764" s="35" t="n"/>
      <c r="F764" s="45">
        <f>INDEX(LINEST(G14:G754,B14:C754,TRUE(),TRUE()),4,2)</f>
        <v/>
      </c>
      <c r="G764" s="35" t="n"/>
      <c r="H764" s="35" t="n"/>
      <c r="I764" s="35" t="n"/>
    </row>
    <row r="766" ht="18" customHeight="1" s="28">
      <c r="A766" s="33" t="inlineStr">
        <is>
          <t>STEP 3 — LM Test Statistic  =  n · R²_aux   ~  χ²(2)</t>
        </is>
      </c>
    </row>
    <row r="767" ht="15" customHeight="1" s="28">
      <c r="A767" s="44" t="inlineStr">
        <is>
          <t>n  (sample size)</t>
        </is>
      </c>
      <c r="B767" s="35" t="n"/>
      <c r="C767" s="35" t="n"/>
      <c r="D767" s="35" t="n"/>
      <c r="E767" s="35" t="n"/>
      <c r="F767" s="45" t="n">
        <v>741</v>
      </c>
      <c r="G767" s="35" t="n"/>
      <c r="H767" s="35" t="n"/>
      <c r="I767" s="35" t="n"/>
    </row>
    <row r="768" ht="15" customHeight="1" s="28">
      <c r="A768" s="44" t="inlineStr">
        <is>
          <t>k  (predictors in aux. reg.  = X + X²)</t>
        </is>
      </c>
      <c r="B768" s="35" t="n"/>
      <c r="C768" s="35" t="n"/>
      <c r="D768" s="35" t="n"/>
      <c r="E768" s="35" t="n"/>
      <c r="F768" s="45" t="n">
        <v>2</v>
      </c>
      <c r="G768" s="35" t="n"/>
      <c r="H768" s="35" t="n"/>
      <c r="I768" s="35" t="n"/>
    </row>
    <row r="769" ht="15" customHeight="1" s="28">
      <c r="A769" s="44" t="inlineStr">
        <is>
          <t>R²_aux  (from LINEST Step 2)</t>
        </is>
      </c>
      <c r="B769" s="35" t="n"/>
      <c r="C769" s="35" t="n"/>
      <c r="D769" s="35" t="n"/>
      <c r="E769" s="35" t="n"/>
      <c r="F769" s="47">
        <f>F761</f>
        <v/>
      </c>
      <c r="G769" s="35" t="n"/>
      <c r="H769" s="35" t="n"/>
      <c r="I769" s="35" t="n"/>
    </row>
    <row r="770" ht="15" customHeight="1" s="28">
      <c r="A770" s="44" t="inlineStr">
        <is>
          <t>LM  =  n · R²_aux</t>
        </is>
      </c>
      <c r="B770" s="35" t="n"/>
      <c r="C770" s="35" t="n"/>
      <c r="D770" s="35" t="n"/>
      <c r="E770" s="35" t="n"/>
      <c r="F770" s="47">
        <f>F767*F769</f>
        <v/>
      </c>
      <c r="G770" s="35" t="n"/>
      <c r="H770" s="35" t="n"/>
      <c r="I770" s="35" t="n"/>
    </row>
    <row r="771" ht="15" customHeight="1" s="28">
      <c r="A771" s="44" t="inlineStr">
        <is>
          <t>p-value  =  CHISQ.DIST.RT(LM, k)</t>
        </is>
      </c>
      <c r="B771" s="35" t="n"/>
      <c r="C771" s="35" t="n"/>
      <c r="D771" s="35" t="n"/>
      <c r="E771" s="35" t="n"/>
      <c r="F771" s="53">
        <f>CHIDIST(F770,F768)</f>
        <v/>
      </c>
      <c r="G771" s="35" t="n"/>
      <c r="H771" s="35" t="n"/>
      <c r="I771" s="35" t="n"/>
    </row>
    <row r="772" ht="15" customHeight="1" s="28">
      <c r="A772" s="44" t="inlineStr">
        <is>
          <t>Reference LM  (statsmodels)</t>
        </is>
      </c>
      <c r="B772" s="35" t="n"/>
      <c r="C772" s="35" t="n"/>
      <c r="D772" s="35" t="n"/>
      <c r="E772" s="35" t="n"/>
      <c r="F772" s="47" t="n">
        <v>127.51295</v>
      </c>
      <c r="G772" s="35" t="n"/>
      <c r="H772" s="35" t="n"/>
      <c r="I772" s="35" t="n"/>
    </row>
    <row r="773" ht="15" customHeight="1" s="28">
      <c r="A773" s="44" t="inlineStr">
        <is>
          <t>Reference p-value  (statsmodels)</t>
        </is>
      </c>
      <c r="B773" s="35" t="n"/>
      <c r="C773" s="35" t="n"/>
      <c r="D773" s="35" t="n"/>
      <c r="E773" s="35" t="n"/>
      <c r="F773" s="57" t="n">
        <v>0</v>
      </c>
      <c r="G773" s="35" t="n"/>
      <c r="H773" s="35" t="n"/>
      <c r="I773" s="35" t="n"/>
    </row>
    <row r="774" ht="15" customHeight="1" s="28">
      <c r="A774" s="44" t="inlineStr">
        <is>
          <t>α  (significance level)</t>
        </is>
      </c>
      <c r="B774" s="35" t="n"/>
      <c r="C774" s="35" t="n"/>
      <c r="D774" s="35" t="n"/>
      <c r="E774" s="35" t="n"/>
      <c r="F774" s="49" t="n">
        <v>0.05</v>
      </c>
      <c r="G774" s="35" t="n"/>
      <c r="H774" s="35" t="n"/>
      <c r="I774" s="35" t="n"/>
    </row>
    <row r="775" ht="21.75" customHeight="1" s="28">
      <c r="A775" s="50" t="inlineStr">
        <is>
          <t>DECISION:  p-value ≈ 2.05e-28 &lt; α (0.05)  ⟹  REJECT H₀  →  Significant HETEROSCEDASTICITY detected  [LM ≈ 127.51 | Residual variance changes with bar_index — consider Robust Standard Errors or WLS]</t>
        </is>
      </c>
    </row>
  </sheetData>
  <mergeCells count="46">
    <mergeCell ref="A769:E769"/>
    <mergeCell ref="F764:I764"/>
    <mergeCell ref="B7:I7"/>
    <mergeCell ref="A760:E760"/>
    <mergeCell ref="F761:I761"/>
    <mergeCell ref="B3:I3"/>
    <mergeCell ref="F770:I770"/>
    <mergeCell ref="A12:I12"/>
    <mergeCell ref="F769:I769"/>
    <mergeCell ref="F760:I760"/>
    <mergeCell ref="A762:E762"/>
    <mergeCell ref="A775:I775"/>
    <mergeCell ref="B2:I2"/>
    <mergeCell ref="F771:I771"/>
    <mergeCell ref="F762:I762"/>
    <mergeCell ref="B8:I8"/>
    <mergeCell ref="A758:E758"/>
    <mergeCell ref="A773:E773"/>
    <mergeCell ref="A767:E767"/>
    <mergeCell ref="A763:E763"/>
    <mergeCell ref="A772:E772"/>
    <mergeCell ref="F758:I758"/>
    <mergeCell ref="F767:I767"/>
    <mergeCell ref="B10:I10"/>
    <mergeCell ref="F759:I759"/>
    <mergeCell ref="H13:I13"/>
    <mergeCell ref="A768:E768"/>
    <mergeCell ref="F773:I773"/>
    <mergeCell ref="A759:E759"/>
    <mergeCell ref="B9:I9"/>
    <mergeCell ref="A766:I766"/>
    <mergeCell ref="F772:I772"/>
    <mergeCell ref="A771:E771"/>
    <mergeCell ref="A757:I757"/>
    <mergeCell ref="F763:I763"/>
    <mergeCell ref="B6:I6"/>
    <mergeCell ref="A756:I756"/>
    <mergeCell ref="F768:I768"/>
    <mergeCell ref="A1:I1"/>
    <mergeCell ref="A770:E770"/>
    <mergeCell ref="A774:E774"/>
    <mergeCell ref="B5:I5"/>
    <mergeCell ref="A761:E761"/>
    <mergeCell ref="F774:I774"/>
    <mergeCell ref="A764:E764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6" customWidth="1" style="28" min="2" max="2"/>
    <col width="16" customWidth="1" style="28" min="3" max="3"/>
    <col width="16" customWidth="1" style="28" min="4" max="4"/>
    <col width="26" customWidth="1" style="28" min="5" max="5"/>
    <col width="16" customWidth="1" style="28" min="6" max="6"/>
    <col width="8" customWidth="1" style="28" min="7" max="7"/>
    <col width="6" customWidth="1" style="28" min="8" max="8"/>
    <col width="6" customWidth="1" style="28" min="9" max="9"/>
  </cols>
  <sheetData>
    <row r="1" ht="26" customHeight="1" s="28">
      <c r="A1" s="58" t="inlineStr">
        <is>
          <t>BREUSCH-PAGAN HOMOSCEDASTICITY TEST  |  MODEL A  |  n = 65  |  Residual = ssa − Base_FL  (crossing == 1)</t>
        </is>
      </c>
    </row>
    <row r="2" ht="16" customHeight="1" s="28">
      <c r="A2" s="59" t="inlineStr">
        <is>
          <t>H₀:</t>
        </is>
      </c>
      <c r="B2" s="60" t="inlineStr">
        <is>
          <t>Variance of residuals is constant (homoscedastic)   |   H₁: Variance depends on bar_index (heteroscedastic)</t>
        </is>
      </c>
    </row>
    <row r="3" ht="16" customHeight="1" s="28">
      <c r="A3" s="59" t="inlineStr">
        <is>
          <t>PURPOSE:</t>
        </is>
      </c>
      <c r="B3" s="60" t="inlineStr">
        <is>
          <t>Tests whether the variance of (ssa − Base_FL) changes as bar_index increases, by regressing squared residuals on bar_index.</t>
        </is>
      </c>
    </row>
    <row r="4" ht="16" customHeight="1" s="28">
      <c r="A4" s="59" t="inlineStr">
        <is>
          <t>RESIDUAL:</t>
        </is>
      </c>
      <c r="B4" s="60" t="inlineStr">
        <is>
          <t>eᵢ  =  ssaᵢ  −  Base_FLᵢ   [ssa = SSA signal at crossing bar  (col AB);  Base_FL = MQL5 regression baseline  (col Q);  Filter: crossing == 1  (col AD)]</t>
        </is>
      </c>
    </row>
    <row r="5" ht="16" customHeight="1" s="28">
      <c r="A5" s="59" t="inlineStr">
        <is>
          <t>STEPS:</t>
        </is>
      </c>
      <c r="B5" s="60" t="inlineStr">
        <is>
          <t>1. Compute eᵢ = ssaᵢ − Base_FLᵢ   (Base_FL IS the fitted regression line — no OLS needed)</t>
        </is>
      </c>
    </row>
    <row r="6" ht="16" customHeight="1" s="28">
      <c r="A6" s="59" t="inlineStr"/>
      <c r="B6" s="60" t="inlineStr">
        <is>
          <t>2. Square the residuals:  eᵢ²   (auxiliary dependent variable)</t>
        </is>
      </c>
    </row>
    <row r="7" ht="16" customHeight="1" s="28">
      <c r="A7" s="59" t="inlineStr"/>
      <c r="B7" s="60" t="inlineStr">
        <is>
          <t>3. Auxiliary OLS:  eᵢ²  =  γ₀ + γ₁·bar_index + u   →   R²_aux</t>
        </is>
      </c>
    </row>
    <row r="8" ht="16" customHeight="1" s="28">
      <c r="A8" s="59" t="inlineStr"/>
      <c r="B8" s="60" t="inlineStr">
        <is>
          <t>4. LM  =  n · R²_aux   ~  χ²(k),   k = 1</t>
        </is>
      </c>
    </row>
    <row r="9" ht="16" customHeight="1" s="28">
      <c r="A9" s="59" t="inlineStr">
        <is>
          <t>p-value:</t>
        </is>
      </c>
      <c r="B9" s="60" t="inlineStr">
        <is>
          <t>CHIDIST(LM, k)</t>
        </is>
      </c>
    </row>
    <row r="10" ht="16" customHeight="1" s="28">
      <c r="A10" s="59" t="inlineStr">
        <is>
          <t>DECISION:</t>
        </is>
      </c>
      <c r="B10" s="60" t="inlineStr">
        <is>
          <t>Reject H₀ if  p-value &lt; α = 0.05</t>
        </is>
      </c>
    </row>
    <row r="12" ht="18" customHeight="1" s="28">
      <c r="A12" s="61" t="inlineStr">
        <is>
          <t>STEP 1 — Residuals  eᵢ = ssaᵢ − Base_FLᵢ  and  eᵢ²   (65 bars where crossing = 1)</t>
        </is>
      </c>
    </row>
    <row r="13" ht="32" customHeight="1" s="28">
      <c r="A13" s="62" t="inlineStr">
        <is>
          <t>i</t>
        </is>
      </c>
      <c r="B13" s="62" t="inlineStr">
        <is>
          <t>Bar Index (X)</t>
        </is>
      </c>
      <c r="C13" s="62" t="inlineStr">
        <is>
          <t>ssa  (col AB)</t>
        </is>
      </c>
      <c r="D13" s="62" t="inlineStr">
        <is>
          <t>Base_FL  (col Q)</t>
        </is>
      </c>
      <c r="E13" s="62" t="inlineStr">
        <is>
          <t>Residual  eᵢ = ssa − Base_FL</t>
        </is>
      </c>
      <c r="F13" s="62" t="inlineStr">
        <is>
          <t>eᵢ²  (aux. Y)</t>
        </is>
      </c>
      <c r="G13" s="62" t="inlineStr"/>
      <c r="H13" s="63" t="n"/>
      <c r="I13" s="64" t="n"/>
    </row>
    <row r="14">
      <c r="A14" s="65" t="n">
        <v>1</v>
      </c>
      <c r="B14" s="65" t="n">
        <v>0</v>
      </c>
      <c r="C14" s="66" t="n">
        <v>4596.59339</v>
      </c>
      <c r="D14" s="66" t="n">
        <v>4548.56437</v>
      </c>
      <c r="E14" s="67">
        <f>C14-D14</f>
        <v/>
      </c>
      <c r="F14" s="66">
        <f>E14^2</f>
        <v/>
      </c>
      <c r="G14" s="65" t="inlineStr"/>
      <c r="H14" s="65" t="inlineStr"/>
      <c r="I14" s="65" t="inlineStr"/>
    </row>
    <row r="15">
      <c r="A15" s="68" t="n">
        <v>2</v>
      </c>
      <c r="B15" s="68" t="n">
        <v>1</v>
      </c>
      <c r="C15" s="69" t="n">
        <v>4594.17653</v>
      </c>
      <c r="D15" s="69" t="n">
        <v>4550.38638</v>
      </c>
      <c r="E15" s="70">
        <f>C15-D15</f>
        <v/>
      </c>
      <c r="F15" s="69">
        <f>E15^2</f>
        <v/>
      </c>
      <c r="G15" s="68" t="inlineStr"/>
      <c r="H15" s="68" t="inlineStr"/>
      <c r="I15" s="68" t="inlineStr"/>
    </row>
    <row r="16">
      <c r="A16" s="65" t="n">
        <v>3</v>
      </c>
      <c r="B16" s="65" t="n">
        <v>2</v>
      </c>
      <c r="C16" s="66" t="n">
        <v>4596.43241</v>
      </c>
      <c r="D16" s="66" t="n">
        <v>4551.60106</v>
      </c>
      <c r="E16" s="67">
        <f>C16-D16</f>
        <v/>
      </c>
      <c r="F16" s="66">
        <f>E16^2</f>
        <v/>
      </c>
      <c r="G16" s="65" t="inlineStr"/>
      <c r="H16" s="65" t="inlineStr"/>
      <c r="I16" s="65" t="inlineStr"/>
    </row>
    <row r="17">
      <c r="A17" s="68" t="n">
        <v>4</v>
      </c>
      <c r="B17" s="68" t="n">
        <v>3</v>
      </c>
      <c r="C17" s="69" t="n">
        <v>4592.23227</v>
      </c>
      <c r="D17" s="69" t="n">
        <v>4552.81573</v>
      </c>
      <c r="E17" s="70">
        <f>C17-D17</f>
        <v/>
      </c>
      <c r="F17" s="69">
        <f>E17^2</f>
        <v/>
      </c>
      <c r="G17" s="68" t="inlineStr"/>
      <c r="H17" s="68" t="inlineStr"/>
      <c r="I17" s="68" t="inlineStr"/>
    </row>
    <row r="18">
      <c r="A18" s="65" t="n">
        <v>5</v>
      </c>
      <c r="B18" s="65" t="n">
        <v>4</v>
      </c>
      <c r="C18" s="66" t="n">
        <v>4600.84516</v>
      </c>
      <c r="D18" s="66" t="n">
        <v>4555.24508</v>
      </c>
      <c r="E18" s="67">
        <f>C18-D18</f>
        <v/>
      </c>
      <c r="F18" s="66">
        <f>E18^2</f>
        <v/>
      </c>
      <c r="G18" s="65" t="inlineStr"/>
      <c r="H18" s="65" t="inlineStr"/>
      <c r="I18" s="65" t="inlineStr"/>
    </row>
    <row r="19">
      <c r="A19" s="68" t="n">
        <v>6</v>
      </c>
      <c r="B19" s="68" t="n">
        <v>5</v>
      </c>
      <c r="C19" s="69" t="n">
        <v>4565.60789</v>
      </c>
      <c r="D19" s="69" t="n">
        <v>4559.49644</v>
      </c>
      <c r="E19" s="70">
        <f>C19-D19</f>
        <v/>
      </c>
      <c r="F19" s="69">
        <f>E19^2</f>
        <v/>
      </c>
      <c r="G19" s="68" t="inlineStr"/>
      <c r="H19" s="68" t="inlineStr"/>
      <c r="I19" s="68" t="inlineStr"/>
    </row>
    <row r="20">
      <c r="A20" s="65" t="n">
        <v>7</v>
      </c>
      <c r="B20" s="65" t="n">
        <v>6</v>
      </c>
      <c r="C20" s="66" t="n">
        <v>4566.10145</v>
      </c>
      <c r="D20" s="66" t="n">
        <v>4560.71111</v>
      </c>
      <c r="E20" s="67">
        <f>C20-D20</f>
        <v/>
      </c>
      <c r="F20" s="66">
        <f>E20^2</f>
        <v/>
      </c>
      <c r="G20" s="65" t="inlineStr"/>
      <c r="H20" s="65" t="inlineStr"/>
      <c r="I20" s="65" t="inlineStr"/>
    </row>
    <row r="21">
      <c r="A21" s="68" t="n">
        <v>8</v>
      </c>
      <c r="B21" s="68" t="n">
        <v>7</v>
      </c>
      <c r="C21" s="69" t="n">
        <v>4532.06776</v>
      </c>
      <c r="D21" s="69" t="n">
        <v>4562.93802</v>
      </c>
      <c r="E21" s="70">
        <f>C21-D21</f>
        <v/>
      </c>
      <c r="F21" s="69">
        <f>E21^2</f>
        <v/>
      </c>
      <c r="G21" s="68" t="inlineStr"/>
      <c r="H21" s="68" t="inlineStr"/>
      <c r="I21" s="68" t="inlineStr"/>
    </row>
    <row r="22">
      <c r="A22" s="65" t="n">
        <v>9</v>
      </c>
      <c r="B22" s="65" t="n">
        <v>8</v>
      </c>
      <c r="C22" s="66" t="n">
        <v>4551.6611</v>
      </c>
      <c r="D22" s="66" t="n">
        <v>4564.76003</v>
      </c>
      <c r="E22" s="67">
        <f>C22-D22</f>
        <v/>
      </c>
      <c r="F22" s="66">
        <f>E22^2</f>
        <v/>
      </c>
      <c r="G22" s="65" t="inlineStr"/>
      <c r="H22" s="65" t="inlineStr"/>
      <c r="I22" s="65" t="inlineStr"/>
    </row>
    <row r="23">
      <c r="A23" s="68" t="n">
        <v>10</v>
      </c>
      <c r="B23" s="68" t="n">
        <v>9</v>
      </c>
      <c r="C23" s="69" t="n">
        <v>4535.96113</v>
      </c>
      <c r="D23" s="69" t="n">
        <v>4566.37959</v>
      </c>
      <c r="E23" s="70">
        <f>C23-D23</f>
        <v/>
      </c>
      <c r="F23" s="69">
        <f>E23^2</f>
        <v/>
      </c>
      <c r="G23" s="68" t="inlineStr"/>
      <c r="H23" s="68" t="inlineStr"/>
      <c r="I23" s="68" t="inlineStr"/>
    </row>
    <row r="24">
      <c r="A24" s="65" t="n">
        <v>11</v>
      </c>
      <c r="B24" s="65" t="n">
        <v>10</v>
      </c>
      <c r="C24" s="66" t="n">
        <v>4573.70372</v>
      </c>
      <c r="D24" s="66" t="n">
        <v>4571.64318</v>
      </c>
      <c r="E24" s="67">
        <f>C24-D24</f>
        <v/>
      </c>
      <c r="F24" s="66">
        <f>E24^2</f>
        <v/>
      </c>
      <c r="G24" s="65" t="inlineStr"/>
      <c r="H24" s="65" t="inlineStr"/>
      <c r="I24" s="65" t="inlineStr"/>
    </row>
    <row r="25">
      <c r="A25" s="68" t="n">
        <v>12</v>
      </c>
      <c r="B25" s="68" t="n">
        <v>11</v>
      </c>
      <c r="C25" s="69" t="n">
        <v>4551.23411</v>
      </c>
      <c r="D25" s="69" t="n">
        <v>4573.87008</v>
      </c>
      <c r="E25" s="70">
        <f>C25-D25</f>
        <v/>
      </c>
      <c r="F25" s="69">
        <f>E25^2</f>
        <v/>
      </c>
      <c r="G25" s="68" t="inlineStr"/>
      <c r="H25" s="68" t="inlineStr"/>
      <c r="I25" s="68" t="inlineStr"/>
    </row>
    <row r="26">
      <c r="A26" s="65" t="n">
        <v>13</v>
      </c>
      <c r="B26" s="65" t="n">
        <v>12</v>
      </c>
      <c r="C26" s="66" t="n">
        <v>4635.23039</v>
      </c>
      <c r="D26" s="66" t="n">
        <v>4579.13367</v>
      </c>
      <c r="E26" s="67">
        <f>C26-D26</f>
        <v/>
      </c>
      <c r="F26" s="66">
        <f>E26^2</f>
        <v/>
      </c>
      <c r="G26" s="65" t="inlineStr"/>
      <c r="H26" s="65" t="inlineStr"/>
      <c r="I26" s="65" t="inlineStr"/>
    </row>
    <row r="27">
      <c r="A27" s="68" t="n">
        <v>14</v>
      </c>
      <c r="B27" s="68" t="n">
        <v>13</v>
      </c>
      <c r="C27" s="69" t="n">
        <v>4612.47026</v>
      </c>
      <c r="D27" s="69" t="n">
        <v>4583.58748</v>
      </c>
      <c r="E27" s="70">
        <f>C27-D27</f>
        <v/>
      </c>
      <c r="F27" s="69">
        <f>E27^2</f>
        <v/>
      </c>
      <c r="G27" s="68" t="inlineStr"/>
      <c r="H27" s="68" t="inlineStr"/>
      <c r="I27" s="68" t="inlineStr"/>
    </row>
    <row r="28">
      <c r="A28" s="65" t="n">
        <v>15</v>
      </c>
      <c r="B28" s="65" t="n">
        <v>14</v>
      </c>
      <c r="C28" s="66" t="n">
        <v>4621.3179</v>
      </c>
      <c r="D28" s="66" t="n">
        <v>4585.20704</v>
      </c>
      <c r="E28" s="67">
        <f>C28-D28</f>
        <v/>
      </c>
      <c r="F28" s="66">
        <f>E28^2</f>
        <v/>
      </c>
      <c r="G28" s="65" t="inlineStr"/>
      <c r="H28" s="65" t="inlineStr"/>
      <c r="I28" s="65" t="inlineStr"/>
    </row>
    <row r="29">
      <c r="A29" s="68" t="n">
        <v>16</v>
      </c>
      <c r="B29" s="68" t="n">
        <v>15</v>
      </c>
      <c r="C29" s="69" t="n">
        <v>4618.42066</v>
      </c>
      <c r="D29" s="69" t="n">
        <v>4586.21927</v>
      </c>
      <c r="E29" s="70">
        <f>C29-D29</f>
        <v/>
      </c>
      <c r="F29" s="69">
        <f>E29^2</f>
        <v/>
      </c>
      <c r="G29" s="68" t="inlineStr"/>
      <c r="H29" s="68" t="inlineStr"/>
      <c r="I29" s="68" t="inlineStr"/>
    </row>
    <row r="30">
      <c r="A30" s="65" t="n">
        <v>17</v>
      </c>
      <c r="B30" s="65" t="n">
        <v>16</v>
      </c>
      <c r="C30" s="66" t="n">
        <v>4631.18623</v>
      </c>
      <c r="D30" s="66" t="n">
        <v>4587.83884</v>
      </c>
      <c r="E30" s="67">
        <f>C30-D30</f>
        <v/>
      </c>
      <c r="F30" s="66">
        <f>E30^2</f>
        <v/>
      </c>
      <c r="G30" s="65" t="inlineStr"/>
      <c r="H30" s="65" t="inlineStr"/>
      <c r="I30" s="65" t="inlineStr"/>
    </row>
    <row r="31">
      <c r="A31" s="68" t="n">
        <v>18</v>
      </c>
      <c r="B31" s="68" t="n">
        <v>17</v>
      </c>
      <c r="C31" s="69" t="n">
        <v>4621.17664</v>
      </c>
      <c r="D31" s="69" t="n">
        <v>4589.66085</v>
      </c>
      <c r="E31" s="70">
        <f>C31-D31</f>
        <v/>
      </c>
      <c r="F31" s="69">
        <f>E31^2</f>
        <v/>
      </c>
      <c r="G31" s="68" t="inlineStr"/>
      <c r="H31" s="68" t="inlineStr"/>
      <c r="I31" s="68" t="inlineStr"/>
    </row>
    <row r="32">
      <c r="A32" s="65" t="n">
        <v>19</v>
      </c>
      <c r="B32" s="65" t="n">
        <v>18</v>
      </c>
      <c r="C32" s="66" t="n">
        <v>4624.70187</v>
      </c>
      <c r="D32" s="66" t="n">
        <v>4591.07797</v>
      </c>
      <c r="E32" s="67">
        <f>C32-D32</f>
        <v/>
      </c>
      <c r="F32" s="66">
        <f>E32^2</f>
        <v/>
      </c>
      <c r="G32" s="65" t="inlineStr"/>
      <c r="H32" s="65" t="inlineStr"/>
      <c r="I32" s="65" t="inlineStr"/>
    </row>
    <row r="33">
      <c r="A33" s="68" t="n">
        <v>20</v>
      </c>
      <c r="B33" s="68" t="n">
        <v>19</v>
      </c>
      <c r="C33" s="69" t="n">
        <v>4566.93363</v>
      </c>
      <c r="D33" s="69" t="n">
        <v>4596.544</v>
      </c>
      <c r="E33" s="70">
        <f>C33-D33</f>
        <v/>
      </c>
      <c r="F33" s="69">
        <f>E33^2</f>
        <v/>
      </c>
      <c r="G33" s="68" t="inlineStr"/>
      <c r="H33" s="68" t="inlineStr"/>
      <c r="I33" s="68" t="inlineStr"/>
    </row>
    <row r="34">
      <c r="A34" s="65" t="n">
        <v>21</v>
      </c>
      <c r="B34" s="65" t="n">
        <v>20</v>
      </c>
      <c r="C34" s="66" t="n">
        <v>4640.41346</v>
      </c>
      <c r="D34" s="66" t="n">
        <v>4601.4027</v>
      </c>
      <c r="E34" s="67">
        <f>C34-D34</f>
        <v/>
      </c>
      <c r="F34" s="66">
        <f>E34^2</f>
        <v/>
      </c>
      <c r="G34" s="65" t="inlineStr"/>
      <c r="H34" s="65" t="inlineStr"/>
      <c r="I34" s="65" t="inlineStr"/>
    </row>
    <row r="35">
      <c r="A35" s="68" t="n">
        <v>22</v>
      </c>
      <c r="B35" s="68" t="n">
        <v>21</v>
      </c>
      <c r="C35" s="69" t="n">
        <v>4615.19343</v>
      </c>
      <c r="D35" s="69" t="n">
        <v>4605.04672</v>
      </c>
      <c r="E35" s="70">
        <f>C35-D35</f>
        <v/>
      </c>
      <c r="F35" s="69">
        <f>E35^2</f>
        <v/>
      </c>
      <c r="G35" s="68" t="inlineStr"/>
      <c r="H35" s="68" t="inlineStr"/>
      <c r="I35" s="68" t="inlineStr"/>
    </row>
    <row r="36">
      <c r="A36" s="65" t="n">
        <v>23</v>
      </c>
      <c r="B36" s="65" t="n">
        <v>22</v>
      </c>
      <c r="C36" s="66" t="n">
        <v>4619.52983</v>
      </c>
      <c r="D36" s="66" t="n">
        <v>4606.26139</v>
      </c>
      <c r="E36" s="67">
        <f>C36-D36</f>
        <v/>
      </c>
      <c r="F36" s="66">
        <f>E36^2</f>
        <v/>
      </c>
      <c r="G36" s="65" t="inlineStr"/>
      <c r="H36" s="65" t="inlineStr"/>
      <c r="I36" s="65" t="inlineStr"/>
    </row>
    <row r="37">
      <c r="A37" s="68" t="n">
        <v>24</v>
      </c>
      <c r="B37" s="68" t="n">
        <v>23</v>
      </c>
      <c r="C37" s="69" t="n">
        <v>4603.46313</v>
      </c>
      <c r="D37" s="69" t="n">
        <v>4608.89319</v>
      </c>
      <c r="E37" s="70">
        <f>C37-D37</f>
        <v/>
      </c>
      <c r="F37" s="69">
        <f>E37^2</f>
        <v/>
      </c>
      <c r="G37" s="68" t="inlineStr"/>
      <c r="H37" s="68" t="inlineStr"/>
      <c r="I37" s="68" t="inlineStr"/>
    </row>
    <row r="38">
      <c r="A38" s="65" t="n">
        <v>25</v>
      </c>
      <c r="B38" s="65" t="n">
        <v>24</v>
      </c>
      <c r="C38" s="66" t="n">
        <v>4609.17869</v>
      </c>
      <c r="D38" s="66" t="n">
        <v>4610.51275</v>
      </c>
      <c r="E38" s="67">
        <f>C38-D38</f>
        <v/>
      </c>
      <c r="F38" s="66">
        <f>E38^2</f>
        <v/>
      </c>
      <c r="G38" s="65" t="inlineStr"/>
      <c r="H38" s="65" t="inlineStr"/>
      <c r="I38" s="65" t="inlineStr"/>
    </row>
    <row r="39">
      <c r="A39" s="68" t="n">
        <v>26</v>
      </c>
      <c r="B39" s="68" t="n">
        <v>25</v>
      </c>
      <c r="C39" s="69" t="n">
        <v>4559.26237</v>
      </c>
      <c r="D39" s="69" t="n">
        <v>4616.18123</v>
      </c>
      <c r="E39" s="70">
        <f>C39-D39</f>
        <v/>
      </c>
      <c r="F39" s="69">
        <f>E39^2</f>
        <v/>
      </c>
      <c r="G39" s="68" t="inlineStr"/>
      <c r="H39" s="68" t="inlineStr"/>
      <c r="I39" s="68" t="inlineStr"/>
    </row>
    <row r="40">
      <c r="A40" s="65" t="n">
        <v>27</v>
      </c>
      <c r="B40" s="65" t="n">
        <v>26</v>
      </c>
      <c r="C40" s="66" t="n">
        <v>4566.55373</v>
      </c>
      <c r="D40" s="66" t="n">
        <v>4618.61058</v>
      </c>
      <c r="E40" s="67">
        <f>C40-D40</f>
        <v/>
      </c>
      <c r="F40" s="66">
        <f>E40^2</f>
        <v/>
      </c>
      <c r="G40" s="65" t="inlineStr"/>
      <c r="H40" s="65" t="inlineStr"/>
      <c r="I40" s="65" t="inlineStr"/>
    </row>
    <row r="41">
      <c r="A41" s="68" t="n">
        <v>28</v>
      </c>
      <c r="B41" s="68" t="n">
        <v>27</v>
      </c>
      <c r="C41" s="69" t="n">
        <v>4516.79679</v>
      </c>
      <c r="D41" s="69" t="n">
        <v>4620.83748</v>
      </c>
      <c r="E41" s="70">
        <f>C41-D41</f>
        <v/>
      </c>
      <c r="F41" s="69">
        <f>E41^2</f>
        <v/>
      </c>
      <c r="G41" s="68" t="inlineStr"/>
      <c r="H41" s="68" t="inlineStr"/>
      <c r="I41" s="68" t="inlineStr"/>
    </row>
    <row r="42">
      <c r="A42" s="65" t="n">
        <v>29</v>
      </c>
      <c r="B42" s="65" t="n">
        <v>28</v>
      </c>
      <c r="C42" s="66" t="n">
        <v>4519.79381</v>
      </c>
      <c r="D42" s="66" t="n">
        <v>4621.84971</v>
      </c>
      <c r="E42" s="67">
        <f>C42-D42</f>
        <v/>
      </c>
      <c r="F42" s="66">
        <f>E42^2</f>
        <v/>
      </c>
      <c r="G42" s="65" t="inlineStr"/>
      <c r="H42" s="65" t="inlineStr"/>
      <c r="I42" s="65" t="inlineStr"/>
    </row>
    <row r="43">
      <c r="A43" s="68" t="n">
        <v>30</v>
      </c>
      <c r="B43" s="68" t="n">
        <v>29</v>
      </c>
      <c r="C43" s="69" t="n">
        <v>4517.16653</v>
      </c>
      <c r="D43" s="69" t="n">
        <v>4623.06439</v>
      </c>
      <c r="E43" s="70">
        <f>C43-D43</f>
        <v/>
      </c>
      <c r="F43" s="69">
        <f>E43^2</f>
        <v/>
      </c>
      <c r="G43" s="68" t="inlineStr"/>
      <c r="H43" s="68" t="inlineStr"/>
      <c r="I43" s="68" t="inlineStr"/>
    </row>
    <row r="44">
      <c r="A44" s="65" t="n">
        <v>31</v>
      </c>
      <c r="B44" s="65" t="n">
        <v>30</v>
      </c>
      <c r="C44" s="66" t="n">
        <v>4519.7573</v>
      </c>
      <c r="D44" s="66" t="n">
        <v>4624.48151</v>
      </c>
      <c r="E44" s="67">
        <f>C44-D44</f>
        <v/>
      </c>
      <c r="F44" s="66">
        <f>E44^2</f>
        <v/>
      </c>
      <c r="G44" s="65" t="inlineStr"/>
      <c r="H44" s="65" t="inlineStr"/>
      <c r="I44" s="65" t="inlineStr"/>
    </row>
    <row r="45">
      <c r="A45" s="68" t="n">
        <v>32</v>
      </c>
      <c r="B45" s="68" t="n">
        <v>31</v>
      </c>
      <c r="C45" s="69" t="n">
        <v>4519.44966</v>
      </c>
      <c r="D45" s="69" t="n">
        <v>4625.29129</v>
      </c>
      <c r="E45" s="70">
        <f>C45-D45</f>
        <v/>
      </c>
      <c r="F45" s="69">
        <f>E45^2</f>
        <v/>
      </c>
      <c r="G45" s="68" t="inlineStr"/>
      <c r="H45" s="68" t="inlineStr"/>
      <c r="I45" s="68" t="inlineStr"/>
    </row>
    <row r="46">
      <c r="A46" s="65" t="n">
        <v>33</v>
      </c>
      <c r="B46" s="65" t="n">
        <v>32</v>
      </c>
      <c r="C46" s="66" t="n">
        <v>4541.01117</v>
      </c>
      <c r="D46" s="66" t="n">
        <v>4627.92308</v>
      </c>
      <c r="E46" s="67">
        <f>C46-D46</f>
        <v/>
      </c>
      <c r="F46" s="66">
        <f>E46^2</f>
        <v/>
      </c>
      <c r="G46" s="65" t="inlineStr"/>
      <c r="H46" s="65" t="inlineStr"/>
      <c r="I46" s="65" t="inlineStr"/>
    </row>
    <row r="47">
      <c r="A47" s="68" t="n">
        <v>34</v>
      </c>
      <c r="B47" s="68" t="n">
        <v>33</v>
      </c>
      <c r="C47" s="69" t="n">
        <v>4533.58094</v>
      </c>
      <c r="D47" s="69" t="n">
        <v>4629.3402</v>
      </c>
      <c r="E47" s="70">
        <f>C47-D47</f>
        <v/>
      </c>
      <c r="F47" s="69">
        <f>E47^2</f>
        <v/>
      </c>
      <c r="G47" s="68" t="inlineStr"/>
      <c r="H47" s="68" t="inlineStr"/>
      <c r="I47" s="68" t="inlineStr"/>
    </row>
    <row r="48">
      <c r="A48" s="65" t="n">
        <v>35</v>
      </c>
      <c r="B48" s="65" t="n">
        <v>34</v>
      </c>
      <c r="C48" s="66" t="n">
        <v>4553.80154</v>
      </c>
      <c r="D48" s="66" t="n">
        <v>4633.38912</v>
      </c>
      <c r="E48" s="67">
        <f>C48-D48</f>
        <v/>
      </c>
      <c r="F48" s="66">
        <f>E48^2</f>
        <v/>
      </c>
      <c r="G48" s="65" t="inlineStr"/>
      <c r="H48" s="65" t="inlineStr"/>
      <c r="I48" s="65" t="inlineStr"/>
    </row>
    <row r="49">
      <c r="A49" s="68" t="n">
        <v>36</v>
      </c>
      <c r="B49" s="68" t="n">
        <v>35</v>
      </c>
      <c r="C49" s="69" t="n">
        <v>4549.87029</v>
      </c>
      <c r="D49" s="69" t="n">
        <v>4634.40135</v>
      </c>
      <c r="E49" s="70">
        <f>C49-D49</f>
        <v/>
      </c>
      <c r="F49" s="69">
        <f>E49^2</f>
        <v/>
      </c>
      <c r="G49" s="68" t="inlineStr"/>
      <c r="H49" s="68" t="inlineStr"/>
      <c r="I49" s="68" t="inlineStr"/>
    </row>
    <row r="50">
      <c r="A50" s="65" t="n">
        <v>37</v>
      </c>
      <c r="B50" s="65" t="n">
        <v>36</v>
      </c>
      <c r="C50" s="66" t="n">
        <v>4580.00739</v>
      </c>
      <c r="D50" s="66" t="n">
        <v>4637.84292</v>
      </c>
      <c r="E50" s="67">
        <f>C50-D50</f>
        <v/>
      </c>
      <c r="F50" s="66">
        <f>E50^2</f>
        <v/>
      </c>
      <c r="G50" s="65" t="inlineStr"/>
      <c r="H50" s="65" t="inlineStr"/>
      <c r="I50" s="65" t="inlineStr"/>
    </row>
    <row r="51">
      <c r="A51" s="68" t="n">
        <v>38</v>
      </c>
      <c r="B51" s="68" t="n">
        <v>37</v>
      </c>
      <c r="C51" s="69" t="n">
        <v>4559.29976</v>
      </c>
      <c r="D51" s="69" t="n">
        <v>4639.86738</v>
      </c>
      <c r="E51" s="70">
        <f>C51-D51</f>
        <v/>
      </c>
      <c r="F51" s="69">
        <f>E51^2</f>
        <v/>
      </c>
      <c r="G51" s="68" t="inlineStr"/>
      <c r="H51" s="68" t="inlineStr"/>
      <c r="I51" s="68" t="inlineStr"/>
    </row>
    <row r="52">
      <c r="A52" s="65" t="n">
        <v>39</v>
      </c>
      <c r="B52" s="65" t="n">
        <v>38</v>
      </c>
      <c r="C52" s="66" t="n">
        <v>4561.04124</v>
      </c>
      <c r="D52" s="66" t="n">
        <v>4640.87961</v>
      </c>
      <c r="E52" s="67">
        <f>C52-D52</f>
        <v/>
      </c>
      <c r="F52" s="66">
        <f>E52^2</f>
        <v/>
      </c>
      <c r="G52" s="65" t="inlineStr"/>
      <c r="H52" s="65" t="inlineStr"/>
      <c r="I52" s="65" t="inlineStr"/>
    </row>
    <row r="53">
      <c r="A53" s="68" t="n">
        <v>40</v>
      </c>
      <c r="B53" s="68" t="n">
        <v>39</v>
      </c>
      <c r="C53" s="69" t="n">
        <v>4554.18067</v>
      </c>
      <c r="D53" s="69" t="n">
        <v>4642.70162</v>
      </c>
      <c r="E53" s="70">
        <f>C53-D53</f>
        <v/>
      </c>
      <c r="F53" s="69">
        <f>E53^2</f>
        <v/>
      </c>
      <c r="G53" s="68" t="inlineStr"/>
      <c r="H53" s="68" t="inlineStr"/>
      <c r="I53" s="68" t="inlineStr"/>
    </row>
    <row r="54">
      <c r="A54" s="65" t="n">
        <v>41</v>
      </c>
      <c r="B54" s="65" t="n">
        <v>40</v>
      </c>
      <c r="C54" s="66" t="n">
        <v>4708.41988</v>
      </c>
      <c r="D54" s="66" t="n">
        <v>4653.2288</v>
      </c>
      <c r="E54" s="67">
        <f>C54-D54</f>
        <v/>
      </c>
      <c r="F54" s="66">
        <f>E54^2</f>
        <v/>
      </c>
      <c r="G54" s="65" t="inlineStr"/>
      <c r="H54" s="65" t="inlineStr"/>
      <c r="I54" s="65" t="inlineStr"/>
    </row>
    <row r="55">
      <c r="A55" s="68" t="n">
        <v>42</v>
      </c>
      <c r="B55" s="68" t="n">
        <v>41</v>
      </c>
      <c r="C55" s="69" t="n">
        <v>4684.60591</v>
      </c>
      <c r="D55" s="69" t="n">
        <v>4654.84836</v>
      </c>
      <c r="E55" s="70">
        <f>C55-D55</f>
        <v/>
      </c>
      <c r="F55" s="69">
        <f>E55^2</f>
        <v/>
      </c>
      <c r="G55" s="68" t="inlineStr"/>
      <c r="H55" s="68" t="inlineStr"/>
      <c r="I55" s="68" t="inlineStr"/>
    </row>
    <row r="56">
      <c r="A56" s="65" t="n">
        <v>43</v>
      </c>
      <c r="B56" s="65" t="n">
        <v>42</v>
      </c>
      <c r="C56" s="66" t="n">
        <v>4704.83665</v>
      </c>
      <c r="D56" s="66" t="n">
        <v>4656.26548</v>
      </c>
      <c r="E56" s="67">
        <f>C56-D56</f>
        <v/>
      </c>
      <c r="F56" s="66">
        <f>E56^2</f>
        <v/>
      </c>
      <c r="G56" s="65" t="inlineStr"/>
      <c r="H56" s="65" t="inlineStr"/>
      <c r="I56" s="65" t="inlineStr"/>
    </row>
    <row r="57">
      <c r="A57" s="68" t="n">
        <v>44</v>
      </c>
      <c r="B57" s="68" t="n">
        <v>43</v>
      </c>
      <c r="C57" s="69" t="n">
        <v>4683.92437</v>
      </c>
      <c r="D57" s="69" t="n">
        <v>4658.49238</v>
      </c>
      <c r="E57" s="70">
        <f>C57-D57</f>
        <v/>
      </c>
      <c r="F57" s="69">
        <f>E57^2</f>
        <v/>
      </c>
      <c r="G57" s="68" t="inlineStr"/>
      <c r="H57" s="68" t="inlineStr"/>
      <c r="I57" s="68" t="inlineStr"/>
    </row>
    <row r="58">
      <c r="A58" s="65" t="n">
        <v>45</v>
      </c>
      <c r="B58" s="65" t="n">
        <v>44</v>
      </c>
      <c r="C58" s="66" t="n">
        <v>4694.06466</v>
      </c>
      <c r="D58" s="66" t="n">
        <v>4660.92173</v>
      </c>
      <c r="E58" s="67">
        <f>C58-D58</f>
        <v/>
      </c>
      <c r="F58" s="66">
        <f>E58^2</f>
        <v/>
      </c>
      <c r="G58" s="65" t="inlineStr"/>
      <c r="H58" s="65" t="inlineStr"/>
      <c r="I58" s="65" t="inlineStr"/>
    </row>
    <row r="59">
      <c r="A59" s="68" t="n">
        <v>46</v>
      </c>
      <c r="B59" s="68" t="n">
        <v>45</v>
      </c>
      <c r="C59" s="69" t="n">
        <v>4694.181</v>
      </c>
      <c r="D59" s="69" t="n">
        <v>4661.12418</v>
      </c>
      <c r="E59" s="70">
        <f>C59-D59</f>
        <v/>
      </c>
      <c r="F59" s="69">
        <f>E59^2</f>
        <v/>
      </c>
      <c r="G59" s="68" t="inlineStr"/>
      <c r="H59" s="68" t="inlineStr"/>
      <c r="I59" s="68" t="inlineStr"/>
    </row>
    <row r="60">
      <c r="A60" s="65" t="n">
        <v>47</v>
      </c>
      <c r="B60" s="65" t="n">
        <v>46</v>
      </c>
      <c r="C60" s="66" t="n">
        <v>4694.94249</v>
      </c>
      <c r="D60" s="66" t="n">
        <v>4662.33885</v>
      </c>
      <c r="E60" s="67">
        <f>C60-D60</f>
        <v/>
      </c>
      <c r="F60" s="66">
        <f>E60^2</f>
        <v/>
      </c>
      <c r="G60" s="65" t="inlineStr"/>
      <c r="H60" s="65" t="inlineStr"/>
      <c r="I60" s="65" t="inlineStr"/>
    </row>
    <row r="61">
      <c r="A61" s="68" t="n">
        <v>48</v>
      </c>
      <c r="B61" s="68" t="n">
        <v>47</v>
      </c>
      <c r="C61" s="69" t="n">
        <v>4694.99582</v>
      </c>
      <c r="D61" s="69" t="n">
        <v>4663.14863</v>
      </c>
      <c r="E61" s="70">
        <f>C61-D61</f>
        <v/>
      </c>
      <c r="F61" s="69">
        <f>E61^2</f>
        <v/>
      </c>
      <c r="G61" s="68" t="inlineStr"/>
      <c r="H61" s="68" t="inlineStr"/>
      <c r="I61" s="68" t="inlineStr"/>
    </row>
    <row r="62">
      <c r="A62" s="65" t="n">
        <v>49</v>
      </c>
      <c r="B62" s="65" t="n">
        <v>48</v>
      </c>
      <c r="C62" s="66" t="n">
        <v>4707.31271</v>
      </c>
      <c r="D62" s="66" t="n">
        <v>4664.97065</v>
      </c>
      <c r="E62" s="67">
        <f>C62-D62</f>
        <v/>
      </c>
      <c r="F62" s="66">
        <f>E62^2</f>
        <v/>
      </c>
      <c r="G62" s="65" t="inlineStr"/>
      <c r="H62" s="65" t="inlineStr"/>
      <c r="I62" s="65" t="inlineStr"/>
    </row>
    <row r="63">
      <c r="A63" s="68" t="n">
        <v>50</v>
      </c>
      <c r="B63" s="68" t="n">
        <v>49</v>
      </c>
      <c r="C63" s="69" t="n">
        <v>4698.03002</v>
      </c>
      <c r="D63" s="69" t="n">
        <v>4667.19755</v>
      </c>
      <c r="E63" s="70">
        <f>C63-D63</f>
        <v/>
      </c>
      <c r="F63" s="69">
        <f>E63^2</f>
        <v/>
      </c>
      <c r="G63" s="68" t="inlineStr"/>
      <c r="H63" s="68" t="inlineStr"/>
      <c r="I63" s="68" t="inlineStr"/>
    </row>
    <row r="64">
      <c r="A64" s="65" t="n">
        <v>51</v>
      </c>
      <c r="B64" s="65" t="n">
        <v>50</v>
      </c>
      <c r="C64" s="66" t="n">
        <v>4741.8388</v>
      </c>
      <c r="D64" s="66" t="n">
        <v>4669.42445</v>
      </c>
      <c r="E64" s="67">
        <f>C64-D64</f>
        <v/>
      </c>
      <c r="F64" s="66">
        <f>E64^2</f>
        <v/>
      </c>
      <c r="G64" s="65" t="inlineStr"/>
      <c r="H64" s="65" t="inlineStr"/>
      <c r="I64" s="65" t="inlineStr"/>
    </row>
    <row r="65">
      <c r="A65" s="68" t="n">
        <v>52</v>
      </c>
      <c r="B65" s="68" t="n">
        <v>51</v>
      </c>
      <c r="C65" s="69" t="n">
        <v>4733.37555</v>
      </c>
      <c r="D65" s="69" t="n">
        <v>4671.04402</v>
      </c>
      <c r="E65" s="70">
        <f>C65-D65</f>
        <v/>
      </c>
      <c r="F65" s="69">
        <f>E65^2</f>
        <v/>
      </c>
      <c r="G65" s="68" t="inlineStr"/>
      <c r="H65" s="68" t="inlineStr"/>
      <c r="I65" s="68" t="inlineStr"/>
    </row>
    <row r="66">
      <c r="A66" s="65" t="n">
        <v>53</v>
      </c>
      <c r="B66" s="65" t="n">
        <v>52</v>
      </c>
      <c r="C66" s="66" t="n">
        <v>4753.57583</v>
      </c>
      <c r="D66" s="66" t="n">
        <v>4674.89049</v>
      </c>
      <c r="E66" s="67">
        <f>C66-D66</f>
        <v/>
      </c>
      <c r="F66" s="66">
        <f>E66^2</f>
        <v/>
      </c>
      <c r="G66" s="65" t="inlineStr"/>
      <c r="H66" s="65" t="inlineStr"/>
      <c r="I66" s="65" t="inlineStr"/>
    </row>
    <row r="67">
      <c r="A67" s="68" t="n">
        <v>54</v>
      </c>
      <c r="B67" s="68" t="n">
        <v>53</v>
      </c>
      <c r="C67" s="69" t="n">
        <v>4707.40678</v>
      </c>
      <c r="D67" s="69" t="n">
        <v>4677.52228</v>
      </c>
      <c r="E67" s="70">
        <f>C67-D67</f>
        <v/>
      </c>
      <c r="F67" s="69">
        <f>E67^2</f>
        <v/>
      </c>
      <c r="G67" s="68" t="inlineStr"/>
      <c r="H67" s="68" t="inlineStr"/>
      <c r="I67" s="68" t="inlineStr"/>
    </row>
    <row r="68">
      <c r="A68" s="65" t="n">
        <v>55</v>
      </c>
      <c r="B68" s="65" t="n">
        <v>54</v>
      </c>
      <c r="C68" s="66" t="n">
        <v>4709.3224</v>
      </c>
      <c r="D68" s="66" t="n">
        <v>4678.73695</v>
      </c>
      <c r="E68" s="67">
        <f>C68-D68</f>
        <v/>
      </c>
      <c r="F68" s="66">
        <f>E68^2</f>
        <v/>
      </c>
      <c r="G68" s="65" t="inlineStr"/>
      <c r="H68" s="65" t="inlineStr"/>
      <c r="I68" s="65" t="inlineStr"/>
    </row>
    <row r="69">
      <c r="A69" s="68" t="n">
        <v>56</v>
      </c>
      <c r="B69" s="68" t="n">
        <v>55</v>
      </c>
      <c r="C69" s="69" t="n">
        <v>4691.44385</v>
      </c>
      <c r="D69" s="69" t="n">
        <v>4680.76141</v>
      </c>
      <c r="E69" s="70">
        <f>C69-D69</f>
        <v/>
      </c>
      <c r="F69" s="69">
        <f>E69^2</f>
        <v/>
      </c>
      <c r="G69" s="68" t="inlineStr"/>
      <c r="H69" s="68" t="inlineStr"/>
      <c r="I69" s="68" t="inlineStr"/>
    </row>
    <row r="70">
      <c r="A70" s="65" t="n">
        <v>57</v>
      </c>
      <c r="B70" s="65" t="n">
        <v>56</v>
      </c>
      <c r="C70" s="66" t="n">
        <v>4719.66898</v>
      </c>
      <c r="D70" s="66" t="n">
        <v>4684.20299</v>
      </c>
      <c r="E70" s="67">
        <f>C70-D70</f>
        <v/>
      </c>
      <c r="F70" s="66">
        <f>E70^2</f>
        <v/>
      </c>
      <c r="G70" s="65" t="inlineStr"/>
      <c r="H70" s="65" t="inlineStr"/>
      <c r="I70" s="65" t="inlineStr"/>
    </row>
    <row r="71">
      <c r="A71" s="68" t="n">
        <v>58</v>
      </c>
      <c r="B71" s="68" t="n">
        <v>57</v>
      </c>
      <c r="C71" s="69" t="n">
        <v>4715.17825</v>
      </c>
      <c r="D71" s="69" t="n">
        <v>4685.41766</v>
      </c>
      <c r="E71" s="70">
        <f>C71-D71</f>
        <v/>
      </c>
      <c r="F71" s="69">
        <f>E71^2</f>
        <v/>
      </c>
      <c r="G71" s="68" t="inlineStr"/>
      <c r="H71" s="68" t="inlineStr"/>
      <c r="I71" s="68" t="inlineStr"/>
    </row>
    <row r="72">
      <c r="A72" s="65" t="n">
        <v>59</v>
      </c>
      <c r="B72" s="65" t="n">
        <v>58</v>
      </c>
      <c r="C72" s="66" t="n">
        <v>4724.48288</v>
      </c>
      <c r="D72" s="66" t="n">
        <v>4686.83478</v>
      </c>
      <c r="E72" s="67">
        <f>C72-D72</f>
        <v/>
      </c>
      <c r="F72" s="66">
        <f>E72^2</f>
        <v/>
      </c>
      <c r="G72" s="65" t="inlineStr"/>
      <c r="H72" s="65" t="inlineStr"/>
      <c r="I72" s="65" t="inlineStr"/>
    </row>
    <row r="73">
      <c r="A73" s="68" t="n">
        <v>60</v>
      </c>
      <c r="B73" s="68" t="n">
        <v>59</v>
      </c>
      <c r="C73" s="69" t="n">
        <v>4712.49391</v>
      </c>
      <c r="D73" s="69" t="n">
        <v>4688.45435</v>
      </c>
      <c r="E73" s="70">
        <f>C73-D73</f>
        <v/>
      </c>
      <c r="F73" s="69">
        <f>E73^2</f>
        <v/>
      </c>
      <c r="G73" s="68" t="inlineStr"/>
      <c r="H73" s="68" t="inlineStr"/>
      <c r="I73" s="68" t="inlineStr"/>
    </row>
    <row r="74">
      <c r="A74" s="65" t="n">
        <v>61</v>
      </c>
      <c r="B74" s="65" t="n">
        <v>60</v>
      </c>
      <c r="C74" s="66" t="n">
        <v>4719.94675</v>
      </c>
      <c r="D74" s="66" t="n">
        <v>4690.4788</v>
      </c>
      <c r="E74" s="67">
        <f>C74-D74</f>
        <v/>
      </c>
      <c r="F74" s="66">
        <f>E74^2</f>
        <v/>
      </c>
      <c r="G74" s="65" t="inlineStr"/>
      <c r="H74" s="65" t="inlineStr"/>
      <c r="I74" s="65" t="inlineStr"/>
    </row>
    <row r="75">
      <c r="A75" s="68" t="n">
        <v>62</v>
      </c>
      <c r="B75" s="68" t="n">
        <v>61</v>
      </c>
      <c r="C75" s="69" t="n">
        <v>4716.45207</v>
      </c>
      <c r="D75" s="69" t="n">
        <v>4691.49103</v>
      </c>
      <c r="E75" s="70">
        <f>C75-D75</f>
        <v/>
      </c>
      <c r="F75" s="69">
        <f>E75^2</f>
        <v/>
      </c>
      <c r="G75" s="68" t="inlineStr"/>
      <c r="H75" s="68" t="inlineStr"/>
      <c r="I75" s="68" t="inlineStr"/>
    </row>
    <row r="76">
      <c r="A76" s="65" t="n">
        <v>63</v>
      </c>
      <c r="B76" s="65" t="n">
        <v>62</v>
      </c>
      <c r="C76" s="66" t="n">
        <v>4731.53002</v>
      </c>
      <c r="D76" s="66" t="n">
        <v>4692.90815</v>
      </c>
      <c r="E76" s="67">
        <f>C76-D76</f>
        <v/>
      </c>
      <c r="F76" s="66">
        <f>E76^2</f>
        <v/>
      </c>
      <c r="G76" s="65" t="inlineStr"/>
      <c r="H76" s="65" t="inlineStr"/>
      <c r="I76" s="65" t="inlineStr"/>
    </row>
    <row r="77">
      <c r="A77" s="68" t="n">
        <v>64</v>
      </c>
      <c r="B77" s="68" t="n">
        <v>63</v>
      </c>
      <c r="C77" s="69" t="n">
        <v>4710.6159</v>
      </c>
      <c r="D77" s="69" t="n">
        <v>4694.73016</v>
      </c>
      <c r="E77" s="70">
        <f>C77-D77</f>
        <v/>
      </c>
      <c r="F77" s="69">
        <f>E77^2</f>
        <v/>
      </c>
      <c r="G77" s="68" t="inlineStr"/>
      <c r="H77" s="68" t="inlineStr"/>
      <c r="I77" s="68" t="inlineStr"/>
    </row>
    <row r="78">
      <c r="A78" s="65" t="n">
        <v>65</v>
      </c>
      <c r="B78" s="65" t="n">
        <v>64</v>
      </c>
      <c r="C78" s="66" t="n">
        <v>4723.51311</v>
      </c>
      <c r="D78" s="66" t="n">
        <v>4697.36196</v>
      </c>
      <c r="E78" s="67">
        <f>C78-D78</f>
        <v/>
      </c>
      <c r="F78" s="66">
        <f>E78^2</f>
        <v/>
      </c>
      <c r="G78" s="65" t="inlineStr"/>
      <c r="H78" s="65" t="inlineStr"/>
      <c r="I78" s="65" t="inlineStr"/>
    </row>
    <row r="80" ht="18" customHeight="1" s="28">
      <c r="A80" s="61" t="inlineStr">
        <is>
          <t>STEP 2 — Auxiliary OLS via LINEST:  eᵢ²  =  γ₀ + γ₁·bar_index + u   →   R²_aux</t>
        </is>
      </c>
    </row>
    <row r="81">
      <c r="A81" s="79" t="inlineStr">
        <is>
          <t>LINEST(y, x, TRUE, TRUE) → 5×2 array:  Row1=[slope, intercept]  Row2=[SE_slope, SE_int]  Row3=[R², SE_y]  Row4=[F, df_resid]  Row5=[SS_reg, SS_resid]</t>
        </is>
      </c>
    </row>
    <row r="82">
      <c r="A82" s="72" t="inlineStr">
        <is>
          <t>γ₁  — slope of bar_index in auxiliary regression</t>
        </is>
      </c>
      <c r="B82" s="63" t="n"/>
      <c r="C82" s="63" t="n"/>
      <c r="D82" s="63" t="n"/>
      <c r="E82" s="64" t="n"/>
      <c r="F82" s="75">
        <f>INDEX(LINEST(F14:F78,B14:B78,TRUE,TRUE),1,1)</f>
        <v/>
      </c>
      <c r="G82" s="63" t="n"/>
      <c r="H82" s="63" t="n"/>
      <c r="I82" s="64" t="n"/>
    </row>
    <row r="83">
      <c r="A83" s="72" t="inlineStr">
        <is>
          <t>γ₀  — intercept of auxiliary regression</t>
        </is>
      </c>
      <c r="B83" s="63" t="n"/>
      <c r="C83" s="63" t="n"/>
      <c r="D83" s="63" t="n"/>
      <c r="E83" s="64" t="n"/>
      <c r="F83" s="75">
        <f>INDEX(LINEST(F14:F78,B14:B78,TRUE,TRUE),1,2)</f>
        <v/>
      </c>
      <c r="G83" s="63" t="n"/>
      <c r="H83" s="63" t="n"/>
      <c r="I83" s="64" t="n"/>
    </row>
    <row r="84">
      <c r="A84" s="72" t="inlineStr">
        <is>
          <t>R²_aux  =  INDEX(LINEST(eᵢ², X, TRUE, TRUE), 3, 1)</t>
        </is>
      </c>
      <c r="B84" s="63" t="n"/>
      <c r="C84" s="63" t="n"/>
      <c r="D84" s="63" t="n"/>
      <c r="E84" s="64" t="n"/>
      <c r="F84" s="75">
        <f>INDEX(LINEST(F14:F78,B14:B78,TRUE,TRUE),3,1)</f>
        <v/>
      </c>
      <c r="G84" s="63" t="n"/>
      <c r="H84" s="63" t="n"/>
      <c r="I84" s="64" t="n"/>
    </row>
    <row r="85">
      <c r="A85" s="72" t="inlineStr">
        <is>
          <t>SE of auxiliary regression</t>
        </is>
      </c>
      <c r="B85" s="63" t="n"/>
      <c r="C85" s="63" t="n"/>
      <c r="D85" s="63" t="n"/>
      <c r="E85" s="64" t="n"/>
      <c r="F85" s="77">
        <f>INDEX(LINEST(F14:F78,B14:B78,TRUE,TRUE),3,2)</f>
        <v/>
      </c>
      <c r="G85" s="63" t="n"/>
      <c r="H85" s="63" t="n"/>
      <c r="I85" s="64" t="n"/>
    </row>
    <row r="86">
      <c r="A86" s="72" t="inlineStr">
        <is>
          <t>F-statistic  (auxiliary regression)</t>
        </is>
      </c>
      <c r="B86" s="63" t="n"/>
      <c r="C86" s="63" t="n"/>
      <c r="D86" s="63" t="n"/>
      <c r="E86" s="64" t="n"/>
      <c r="F86" s="74">
        <f>INDEX(LINEST(F14:F78,B14:B78,TRUE,TRUE),4,1)</f>
        <v/>
      </c>
      <c r="G86" s="63" t="n"/>
      <c r="H86" s="63" t="n"/>
      <c r="I86" s="64" t="n"/>
    </row>
    <row r="87">
      <c r="A87" s="72" t="inlineStr">
        <is>
          <t>df residual  (auxiliary regression)</t>
        </is>
      </c>
      <c r="B87" s="63" t="n"/>
      <c r="C87" s="63" t="n"/>
      <c r="D87" s="63" t="n"/>
      <c r="E87" s="64" t="n"/>
      <c r="F87" s="73">
        <f>INDEX(LINEST(F14:F78,B14:B78,TRUE,TRUE),4,2)</f>
        <v/>
      </c>
      <c r="G87" s="63" t="n"/>
      <c r="H87" s="63" t="n"/>
      <c r="I87" s="64" t="n"/>
    </row>
    <row r="89" ht="18" customHeight="1" s="28">
      <c r="A89" s="61" t="inlineStr">
        <is>
          <t>STEP 3 — LM Test Statistic  =  n · R²_aux   ~  χ²(1)</t>
        </is>
      </c>
    </row>
    <row r="90">
      <c r="A90" s="72" t="inlineStr">
        <is>
          <t>n  (sample size)</t>
        </is>
      </c>
      <c r="B90" s="63" t="n"/>
      <c r="C90" s="63" t="n"/>
      <c r="D90" s="63" t="n"/>
      <c r="E90" s="64" t="n"/>
      <c r="F90" s="73" t="n">
        <v>65</v>
      </c>
      <c r="G90" s="63" t="n"/>
      <c r="H90" s="63" t="n"/>
      <c r="I90" s="64" t="n"/>
    </row>
    <row r="91">
      <c r="A91" s="72" t="inlineStr">
        <is>
          <t>k  (predictors in aux. reg.)</t>
        </is>
      </c>
      <c r="B91" s="63" t="n"/>
      <c r="C91" s="63" t="n"/>
      <c r="D91" s="63" t="n"/>
      <c r="E91" s="64" t="n"/>
      <c r="F91" s="73" t="n">
        <v>1</v>
      </c>
      <c r="G91" s="63" t="n"/>
      <c r="H91" s="63" t="n"/>
      <c r="I91" s="64" t="n"/>
    </row>
    <row r="92">
      <c r="A92" s="72" t="inlineStr">
        <is>
          <t>R²_aux  (from LINEST Step 2)</t>
        </is>
      </c>
      <c r="B92" s="63" t="n"/>
      <c r="C92" s="63" t="n"/>
      <c r="D92" s="63" t="n"/>
      <c r="E92" s="64" t="n"/>
      <c r="F92" s="75">
        <f>F84</f>
        <v/>
      </c>
      <c r="G92" s="63" t="n"/>
      <c r="H92" s="63" t="n"/>
      <c r="I92" s="64" t="n"/>
    </row>
    <row r="93">
      <c r="A93" s="72" t="inlineStr">
        <is>
          <t>LM  =  n · R²_aux</t>
        </is>
      </c>
      <c r="B93" s="63" t="n"/>
      <c r="C93" s="63" t="n"/>
      <c r="D93" s="63" t="n"/>
      <c r="E93" s="64" t="n"/>
      <c r="F93" s="75">
        <f>F90*F92</f>
        <v/>
      </c>
      <c r="G93" s="63" t="n"/>
      <c r="H93" s="63" t="n"/>
      <c r="I93" s="64" t="n"/>
    </row>
    <row r="94">
      <c r="A94" s="72" t="inlineStr">
        <is>
          <t>p-value  =  CHIDIST(LM, k)</t>
        </is>
      </c>
      <c r="B94" s="63" t="n"/>
      <c r="C94" s="63" t="n"/>
      <c r="D94" s="63" t="n"/>
      <c r="E94" s="64" t="n"/>
      <c r="F94" s="75">
        <f>CHIDIST(F93,F91)</f>
        <v/>
      </c>
      <c r="G94" s="63" t="n"/>
      <c r="H94" s="63" t="n"/>
      <c r="I94" s="64" t="n"/>
    </row>
    <row r="95">
      <c r="A95" s="72" t="inlineStr">
        <is>
          <t>Reference LM  (statsmodels)</t>
        </is>
      </c>
      <c r="B95" s="63" t="n"/>
      <c r="C95" s="63" t="n"/>
      <c r="D95" s="63" t="n"/>
      <c r="E95" s="64" t="n"/>
      <c r="F95" s="75" t="n">
        <v>0.071509</v>
      </c>
      <c r="G95" s="63" t="n"/>
      <c r="H95" s="63" t="n"/>
      <c r="I95" s="64" t="n"/>
    </row>
    <row r="96">
      <c r="A96" s="72" t="inlineStr">
        <is>
          <t>Reference p-value  (statsmodels)</t>
        </is>
      </c>
      <c r="B96" s="63" t="n"/>
      <c r="C96" s="63" t="n"/>
      <c r="D96" s="63" t="n"/>
      <c r="E96" s="64" t="n"/>
      <c r="F96" s="75" t="n">
        <v>0.789153</v>
      </c>
      <c r="G96" s="63" t="n"/>
      <c r="H96" s="63" t="n"/>
      <c r="I96" s="64" t="n"/>
    </row>
    <row r="97">
      <c r="A97" s="72" t="inlineStr">
        <is>
          <t>α  (significance level)</t>
        </is>
      </c>
      <c r="B97" s="63" t="n"/>
      <c r="C97" s="63" t="n"/>
      <c r="D97" s="63" t="n"/>
      <c r="E97" s="64" t="n"/>
      <c r="F97" s="77" t="n">
        <v>0.05</v>
      </c>
      <c r="G97" s="63" t="n"/>
      <c r="H97" s="63" t="n"/>
      <c r="I97" s="64" t="n"/>
    </row>
    <row r="98" ht="22" customHeight="1" s="28">
      <c r="A98" s="81" t="inlineStr">
        <is>
          <t>DECISION:  p-value (0.7892) &gt; α (0.05)  ⟹  FAIL TO REJECT H₀  →  No significant heteroscedasticity in ssa − Base_FL (MODEL A) residuals  [LM = 0.0715 | Variance appears stable across bar_index]</t>
        </is>
      </c>
    </row>
  </sheetData>
  <mergeCells count="44">
    <mergeCell ref="F93:I93"/>
    <mergeCell ref="A83:E83"/>
    <mergeCell ref="F96:I96"/>
    <mergeCell ref="B7:I7"/>
    <mergeCell ref="G13:I13"/>
    <mergeCell ref="A82:E82"/>
    <mergeCell ref="A89:I89"/>
    <mergeCell ref="A80:I80"/>
    <mergeCell ref="B3:I3"/>
    <mergeCell ref="F92:I92"/>
    <mergeCell ref="A94:E94"/>
    <mergeCell ref="F82:I82"/>
    <mergeCell ref="A12:I12"/>
    <mergeCell ref="A87:E87"/>
    <mergeCell ref="B2:I2"/>
    <mergeCell ref="A90:E90"/>
    <mergeCell ref="F87:I87"/>
    <mergeCell ref="A84:E84"/>
    <mergeCell ref="B8:I8"/>
    <mergeCell ref="F84:I84"/>
    <mergeCell ref="A81:I81"/>
    <mergeCell ref="A95:E95"/>
    <mergeCell ref="A86:E86"/>
    <mergeCell ref="F83:I83"/>
    <mergeCell ref="B10:I10"/>
    <mergeCell ref="A85:E85"/>
    <mergeCell ref="F86:I86"/>
    <mergeCell ref="F95:I95"/>
    <mergeCell ref="A97:E97"/>
    <mergeCell ref="F85:I85"/>
    <mergeCell ref="B9:I9"/>
    <mergeCell ref="A91:E91"/>
    <mergeCell ref="F94:I94"/>
    <mergeCell ref="A98:I98"/>
    <mergeCell ref="A96:E96"/>
    <mergeCell ref="B6:I6"/>
    <mergeCell ref="F91:I91"/>
    <mergeCell ref="F97:I97"/>
    <mergeCell ref="A1:I1"/>
    <mergeCell ref="B5:I5"/>
    <mergeCell ref="A93:E93"/>
    <mergeCell ref="F90:I90"/>
    <mergeCell ref="B4:I4"/>
    <mergeCell ref="A92:E9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6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0" customWidth="1" style="28" min="2" max="2"/>
    <col width="12" customWidth="1" style="28" min="3" max="3"/>
    <col width="14" customWidth="1" style="28" min="4" max="4"/>
    <col width="14" customWidth="1" style="28" min="5" max="5"/>
    <col width="16" customWidth="1" style="28" min="6" max="6"/>
    <col width="16" customWidth="1" style="28" min="7" max="7"/>
    <col width="16" customWidth="1" style="28" min="8" max="8"/>
    <col width="6" customWidth="1" style="28" min="9" max="9"/>
  </cols>
  <sheetData>
    <row r="1" ht="26" customHeight="1" s="28">
      <c r="A1" s="58" t="inlineStr">
        <is>
          <t>JARQUE-BERA NORMALITY TEST  |  MODEL B  |  n = 741  |  Residual = close − Base_FL</t>
        </is>
      </c>
    </row>
    <row r="2" ht="16" customHeight="1" s="28">
      <c r="A2" s="59" t="inlineStr">
        <is>
          <t>H₀:</t>
        </is>
      </c>
      <c r="B2" s="60" t="inlineStr">
        <is>
          <t>Residuals are normally distributed (Skewness=0 and Kurtosis=3)</t>
        </is>
      </c>
    </row>
    <row r="3" ht="16" customHeight="1" s="28">
      <c r="A3" s="59" t="inlineStr">
        <is>
          <t>PURPOSE:</t>
        </is>
      </c>
      <c r="B3" s="60" t="inlineStr">
        <is>
          <t>Combines Skewness and Excess Kurtosis into one χ²(2) statistic.  Industry standard for large-sample financial / econometric data.</t>
        </is>
      </c>
    </row>
    <row r="4" ht="16" customHeight="1" s="28">
      <c r="A4" s="59" t="inlineStr">
        <is>
          <t>RESIDUAL:</t>
        </is>
      </c>
      <c r="B4" s="60" t="inlineStr">
        <is>
          <t>eᵢ  =  closeᵢ  −  Base_FLᵢ     [Base_FL = MQL5 EDT-Centroid regression baseline, not Excel OLS]</t>
        </is>
      </c>
    </row>
    <row r="5" ht="16" customHeight="1" s="28">
      <c r="A5" s="59" t="inlineStr">
        <is>
          <t>FORMULA:</t>
        </is>
      </c>
      <c r="B5" s="60" t="inlineStr">
        <is>
          <t>JB  =  (n / 6) · [ S²  +  (K − 3)² / 4 ]</t>
        </is>
      </c>
    </row>
    <row r="6" ht="16" customHeight="1" s="28">
      <c r="A6" s="59" t="inlineStr">
        <is>
          <t>Skewness:</t>
        </is>
      </c>
      <c r="B6" s="60" t="inlineStr">
        <is>
          <t>S  =  [n⁻¹·Σ(eᵢ−ē)³] / [n⁻¹·Σ(eᵢ−ē)²]^(3/2)   — asymmetry of distribution</t>
        </is>
      </c>
    </row>
    <row r="7" ht="16" customHeight="1" s="28">
      <c r="A7" s="59" t="inlineStr">
        <is>
          <t>Kurtosis:</t>
        </is>
      </c>
      <c r="B7" s="60" t="inlineStr">
        <is>
          <t>K  =  [n⁻¹·Σ(eᵢ−ē)⁴] / [n⁻¹·Σ(eᵢ−ē)²]²   — tail-heaviness; normal has K = 3</t>
        </is>
      </c>
    </row>
    <row r="8" ht="16" customHeight="1" s="28">
      <c r="A8" s="59" t="inlineStr">
        <is>
          <t>p-value:</t>
        </is>
      </c>
      <c r="B8" s="60" t="inlineStr">
        <is>
          <t>CHIDIST(JB, 2)   [2 degrees of freedom]</t>
        </is>
      </c>
    </row>
    <row r="9" ht="16" customHeight="1" s="28">
      <c r="A9" s="59" t="inlineStr">
        <is>
          <t>DECISION:</t>
        </is>
      </c>
      <c r="B9" s="60" t="inlineStr">
        <is>
          <t>Reject H₀ if  p-value &lt; α = 0.05</t>
        </is>
      </c>
    </row>
    <row r="11" ht="18" customHeight="1" s="28">
      <c r="A11" s="61" t="inlineStr">
        <is>
          <t>STEP 1 — Residuals &amp; Moment Columns  (eᵢ = closeᵢ − Base_FLᵢ,  all 741 bars)</t>
        </is>
      </c>
    </row>
    <row r="12" ht="32" customHeight="1" s="28">
      <c r="A12" s="62" t="inlineStr">
        <is>
          <t>i</t>
        </is>
      </c>
      <c r="B12" s="62" t="inlineStr">
        <is>
          <t>Bar Index</t>
        </is>
      </c>
      <c r="C12" s="62" t="inlineStr">
        <is>
          <t>Close Price</t>
        </is>
      </c>
      <c r="D12" s="62" t="inlineStr">
        <is>
          <t>Base_FL  (MQL5)</t>
        </is>
      </c>
      <c r="E12" s="62" t="inlineStr">
        <is>
          <t>Residual  eᵢ</t>
        </is>
      </c>
      <c r="F12" s="62" t="inlineStr">
        <is>
          <t>(eᵢ−ē)²</t>
        </is>
      </c>
      <c r="G12" s="62" t="inlineStr">
        <is>
          <t>(eᵢ−ē)³</t>
        </is>
      </c>
      <c r="H12" s="62" t="inlineStr">
        <is>
          <t>(eᵢ−ē)⁴</t>
        </is>
      </c>
      <c r="I12" s="62" t="inlineStr"/>
    </row>
    <row r="13">
      <c r="A13" s="65" t="n">
        <v>1</v>
      </c>
      <c r="B13" s="65" t="n">
        <v>0</v>
      </c>
      <c r="C13" s="66" t="n">
        <v>4595.7</v>
      </c>
      <c r="D13" s="66" t="n">
        <v>4548.56437</v>
      </c>
      <c r="E13" s="67">
        <f>C13-D13</f>
        <v/>
      </c>
      <c r="F13" s="67">
        <f>(E13-F757)^2</f>
        <v/>
      </c>
      <c r="G13" s="66">
        <f>(E13-F757)^3</f>
        <v/>
      </c>
      <c r="H13" s="66">
        <f>(E13-F757)^4</f>
        <v/>
      </c>
      <c r="I13" s="65" t="inlineStr"/>
    </row>
    <row r="14">
      <c r="A14" s="68" t="n">
        <v>2</v>
      </c>
      <c r="B14" s="68" t="n">
        <v>1</v>
      </c>
      <c r="C14" s="69" t="n">
        <v>4597.28</v>
      </c>
      <c r="D14" s="69" t="n">
        <v>4548.76682</v>
      </c>
      <c r="E14" s="70">
        <f>C14-D14</f>
        <v/>
      </c>
      <c r="F14" s="70">
        <f>(E14-F757)^2</f>
        <v/>
      </c>
      <c r="G14" s="69">
        <f>(E14-F757)^3</f>
        <v/>
      </c>
      <c r="H14" s="69">
        <f>(E14-F757)^4</f>
        <v/>
      </c>
      <c r="I14" s="68" t="inlineStr"/>
    </row>
    <row r="15">
      <c r="A15" s="65" t="n">
        <v>3</v>
      </c>
      <c r="B15" s="65" t="n">
        <v>2</v>
      </c>
      <c r="C15" s="66" t="n">
        <v>4592.85</v>
      </c>
      <c r="D15" s="66" t="n">
        <v>4548.96926</v>
      </c>
      <c r="E15" s="67">
        <f>C15-D15</f>
        <v/>
      </c>
      <c r="F15" s="67">
        <f>(E15-F757)^2</f>
        <v/>
      </c>
      <c r="G15" s="66">
        <f>(E15-F757)^3</f>
        <v/>
      </c>
      <c r="H15" s="66">
        <f>(E15-F757)^4</f>
        <v/>
      </c>
      <c r="I15" s="65" t="inlineStr"/>
    </row>
    <row r="16">
      <c r="A16" s="68" t="n">
        <v>4</v>
      </c>
      <c r="B16" s="68" t="n">
        <v>3</v>
      </c>
      <c r="C16" s="69" t="n">
        <v>4593.44</v>
      </c>
      <c r="D16" s="69" t="n">
        <v>4549.17171</v>
      </c>
      <c r="E16" s="70">
        <f>C16-D16</f>
        <v/>
      </c>
      <c r="F16" s="70">
        <f>(E16-F757)^2</f>
        <v/>
      </c>
      <c r="G16" s="69">
        <f>(E16-F757)^3</f>
        <v/>
      </c>
      <c r="H16" s="69">
        <f>(E16-F757)^4</f>
        <v/>
      </c>
      <c r="I16" s="68" t="inlineStr"/>
    </row>
    <row r="17">
      <c r="A17" s="65" t="n">
        <v>5</v>
      </c>
      <c r="B17" s="65" t="n">
        <v>4</v>
      </c>
      <c r="C17" s="66" t="n">
        <v>4597.18</v>
      </c>
      <c r="D17" s="66" t="n">
        <v>4549.37415</v>
      </c>
      <c r="E17" s="67">
        <f>C17-D17</f>
        <v/>
      </c>
      <c r="F17" s="67">
        <f>(E17-F757)^2</f>
        <v/>
      </c>
      <c r="G17" s="66">
        <f>(E17-F757)^3</f>
        <v/>
      </c>
      <c r="H17" s="66">
        <f>(E17-F757)^4</f>
        <v/>
      </c>
      <c r="I17" s="65" t="inlineStr"/>
    </row>
    <row r="18">
      <c r="A18" s="68" t="n">
        <v>6</v>
      </c>
      <c r="B18" s="68" t="n">
        <v>5</v>
      </c>
      <c r="C18" s="69" t="n">
        <v>4596.42</v>
      </c>
      <c r="D18" s="69" t="n">
        <v>4549.5766</v>
      </c>
      <c r="E18" s="70">
        <f>C18-D18</f>
        <v/>
      </c>
      <c r="F18" s="70">
        <f>(E18-F757)^2</f>
        <v/>
      </c>
      <c r="G18" s="69">
        <f>(E18-F757)^3</f>
        <v/>
      </c>
      <c r="H18" s="69">
        <f>(E18-F757)^4</f>
        <v/>
      </c>
      <c r="I18" s="68" t="inlineStr"/>
    </row>
    <row r="19">
      <c r="A19" s="65" t="n">
        <v>7</v>
      </c>
      <c r="B19" s="65" t="n">
        <v>6</v>
      </c>
      <c r="C19" s="66" t="n">
        <v>4595.82</v>
      </c>
      <c r="D19" s="66" t="n">
        <v>4549.77905</v>
      </c>
      <c r="E19" s="67">
        <f>C19-D19</f>
        <v/>
      </c>
      <c r="F19" s="67">
        <f>(E19-F757)^2</f>
        <v/>
      </c>
      <c r="G19" s="66">
        <f>(E19-F757)^3</f>
        <v/>
      </c>
      <c r="H19" s="66">
        <f>(E19-F757)^4</f>
        <v/>
      </c>
      <c r="I19" s="65" t="inlineStr"/>
    </row>
    <row r="20">
      <c r="A20" s="68" t="n">
        <v>8</v>
      </c>
      <c r="B20" s="68" t="n">
        <v>7</v>
      </c>
      <c r="C20" s="69" t="n">
        <v>4593.71</v>
      </c>
      <c r="D20" s="69" t="n">
        <v>4549.98149</v>
      </c>
      <c r="E20" s="70">
        <f>C20-D20</f>
        <v/>
      </c>
      <c r="F20" s="70">
        <f>(E20-F757)^2</f>
        <v/>
      </c>
      <c r="G20" s="69">
        <f>(E20-F757)^3</f>
        <v/>
      </c>
      <c r="H20" s="69">
        <f>(E20-F757)^4</f>
        <v/>
      </c>
      <c r="I20" s="68" t="inlineStr"/>
    </row>
    <row r="21">
      <c r="A21" s="65" t="n">
        <v>9</v>
      </c>
      <c r="B21" s="65" t="n">
        <v>8</v>
      </c>
      <c r="C21" s="66" t="n">
        <v>4594.16</v>
      </c>
      <c r="D21" s="66" t="n">
        <v>4550.18394</v>
      </c>
      <c r="E21" s="67">
        <f>C21-D21</f>
        <v/>
      </c>
      <c r="F21" s="67">
        <f>(E21-F757)^2</f>
        <v/>
      </c>
      <c r="G21" s="66">
        <f>(E21-F757)^3</f>
        <v/>
      </c>
      <c r="H21" s="66">
        <f>(E21-F757)^4</f>
        <v/>
      </c>
      <c r="I21" s="65" t="inlineStr"/>
    </row>
    <row r="22">
      <c r="A22" s="68" t="n">
        <v>10</v>
      </c>
      <c r="B22" s="68" t="n">
        <v>9</v>
      </c>
      <c r="C22" s="69" t="n">
        <v>4590.84</v>
      </c>
      <c r="D22" s="69" t="n">
        <v>4550.38638</v>
      </c>
      <c r="E22" s="70">
        <f>C22-D22</f>
        <v/>
      </c>
      <c r="F22" s="70">
        <f>(E22-F757)^2</f>
        <v/>
      </c>
      <c r="G22" s="69">
        <f>(E22-F757)^3</f>
        <v/>
      </c>
      <c r="H22" s="69">
        <f>(E22-F757)^4</f>
        <v/>
      </c>
      <c r="I22" s="68" t="inlineStr"/>
    </row>
    <row r="23">
      <c r="A23" s="65" t="n">
        <v>11</v>
      </c>
      <c r="B23" s="65" t="n">
        <v>10</v>
      </c>
      <c r="C23" s="66" t="n">
        <v>4592.2</v>
      </c>
      <c r="D23" s="66" t="n">
        <v>4550.58883</v>
      </c>
      <c r="E23" s="67">
        <f>C23-D23</f>
        <v/>
      </c>
      <c r="F23" s="67">
        <f>(E23-F757)^2</f>
        <v/>
      </c>
      <c r="G23" s="66">
        <f>(E23-F757)^3</f>
        <v/>
      </c>
      <c r="H23" s="66">
        <f>(E23-F757)^4</f>
        <v/>
      </c>
      <c r="I23" s="65" t="inlineStr"/>
    </row>
    <row r="24">
      <c r="A24" s="68" t="n">
        <v>12</v>
      </c>
      <c r="B24" s="68" t="n">
        <v>11</v>
      </c>
      <c r="C24" s="69" t="n">
        <v>4589.91</v>
      </c>
      <c r="D24" s="69" t="n">
        <v>4550.79127</v>
      </c>
      <c r="E24" s="70">
        <f>C24-D24</f>
        <v/>
      </c>
      <c r="F24" s="70">
        <f>(E24-F757)^2</f>
        <v/>
      </c>
      <c r="G24" s="69">
        <f>(E24-F757)^3</f>
        <v/>
      </c>
      <c r="H24" s="69">
        <f>(E24-F757)^4</f>
        <v/>
      </c>
      <c r="I24" s="68" t="inlineStr"/>
    </row>
    <row r="25">
      <c r="A25" s="65" t="n">
        <v>13</v>
      </c>
      <c r="B25" s="65" t="n">
        <v>12</v>
      </c>
      <c r="C25" s="66" t="n">
        <v>4595.51</v>
      </c>
      <c r="D25" s="66" t="n">
        <v>4550.99372</v>
      </c>
      <c r="E25" s="67">
        <f>C25-D25</f>
        <v/>
      </c>
      <c r="F25" s="67">
        <f>(E25-F757)^2</f>
        <v/>
      </c>
      <c r="G25" s="66">
        <f>(E25-F757)^3</f>
        <v/>
      </c>
      <c r="H25" s="66">
        <f>(E25-F757)^4</f>
        <v/>
      </c>
      <c r="I25" s="65" t="inlineStr"/>
    </row>
    <row r="26">
      <c r="A26" s="68" t="n">
        <v>14</v>
      </c>
      <c r="B26" s="68" t="n">
        <v>13</v>
      </c>
      <c r="C26" s="69" t="n">
        <v>4607.37</v>
      </c>
      <c r="D26" s="69" t="n">
        <v>4551.19617</v>
      </c>
      <c r="E26" s="70">
        <f>C26-D26</f>
        <v/>
      </c>
      <c r="F26" s="70">
        <f>(E26-F757)^2</f>
        <v/>
      </c>
      <c r="G26" s="69">
        <f>(E26-F757)^3</f>
        <v/>
      </c>
      <c r="H26" s="69">
        <f>(E26-F757)^4</f>
        <v/>
      </c>
      <c r="I26" s="68" t="inlineStr"/>
    </row>
    <row r="27">
      <c r="A27" s="65" t="n">
        <v>15</v>
      </c>
      <c r="B27" s="65" t="n">
        <v>14</v>
      </c>
      <c r="C27" s="66" t="n">
        <v>4600.13</v>
      </c>
      <c r="D27" s="66" t="n">
        <v>4551.39861</v>
      </c>
      <c r="E27" s="67">
        <f>C27-D27</f>
        <v/>
      </c>
      <c r="F27" s="67">
        <f>(E27-F757)^2</f>
        <v/>
      </c>
      <c r="G27" s="66">
        <f>(E27-F757)^3</f>
        <v/>
      </c>
      <c r="H27" s="66">
        <f>(E27-F757)^4</f>
        <v/>
      </c>
      <c r="I27" s="65" t="inlineStr"/>
    </row>
    <row r="28">
      <c r="A28" s="68" t="n">
        <v>16</v>
      </c>
      <c r="B28" s="68" t="n">
        <v>15</v>
      </c>
      <c r="C28" s="69" t="n">
        <v>4603.88</v>
      </c>
      <c r="D28" s="69" t="n">
        <v>4551.60106</v>
      </c>
      <c r="E28" s="70">
        <f>C28-D28</f>
        <v/>
      </c>
      <c r="F28" s="70">
        <f>(E28-F757)^2</f>
        <v/>
      </c>
      <c r="G28" s="69">
        <f>(E28-F757)^3</f>
        <v/>
      </c>
      <c r="H28" s="69">
        <f>(E28-F757)^4</f>
        <v/>
      </c>
      <c r="I28" s="68" t="inlineStr"/>
    </row>
    <row r="29">
      <c r="A29" s="65" t="n">
        <v>17</v>
      </c>
      <c r="B29" s="65" t="n">
        <v>16</v>
      </c>
      <c r="C29" s="66" t="n">
        <v>4600.27</v>
      </c>
      <c r="D29" s="66" t="n">
        <v>4551.8035</v>
      </c>
      <c r="E29" s="67">
        <f>C29-D29</f>
        <v/>
      </c>
      <c r="F29" s="67">
        <f>(E29-F757)^2</f>
        <v/>
      </c>
      <c r="G29" s="66">
        <f>(E29-F757)^3</f>
        <v/>
      </c>
      <c r="H29" s="66">
        <f>(E29-F757)^4</f>
        <v/>
      </c>
      <c r="I29" s="65" t="inlineStr"/>
    </row>
    <row r="30">
      <c r="A30" s="68" t="n">
        <v>18</v>
      </c>
      <c r="B30" s="68" t="n">
        <v>17</v>
      </c>
      <c r="C30" s="69" t="n">
        <v>4582.65</v>
      </c>
      <c r="D30" s="69" t="n">
        <v>4552.00595</v>
      </c>
      <c r="E30" s="70">
        <f>C30-D30</f>
        <v/>
      </c>
      <c r="F30" s="70">
        <f>(E30-F757)^2</f>
        <v/>
      </c>
      <c r="G30" s="69">
        <f>(E30-F757)^3</f>
        <v/>
      </c>
      <c r="H30" s="69">
        <f>(E30-F757)^4</f>
        <v/>
      </c>
      <c r="I30" s="68" t="inlineStr"/>
    </row>
    <row r="31">
      <c r="A31" s="65" t="n">
        <v>19</v>
      </c>
      <c r="B31" s="65" t="n">
        <v>18</v>
      </c>
      <c r="C31" s="66" t="n">
        <v>4580.48</v>
      </c>
      <c r="D31" s="66" t="n">
        <v>4552.20839</v>
      </c>
      <c r="E31" s="67">
        <f>C31-D31</f>
        <v/>
      </c>
      <c r="F31" s="67">
        <f>(E31-F757)^2</f>
        <v/>
      </c>
      <c r="G31" s="66">
        <f>(E31-F757)^3</f>
        <v/>
      </c>
      <c r="H31" s="66">
        <f>(E31-F757)^4</f>
        <v/>
      </c>
      <c r="I31" s="65" t="inlineStr"/>
    </row>
    <row r="32">
      <c r="A32" s="68" t="n">
        <v>20</v>
      </c>
      <c r="B32" s="68" t="n">
        <v>19</v>
      </c>
      <c r="C32" s="69" t="n">
        <v>4590.56</v>
      </c>
      <c r="D32" s="69" t="n">
        <v>4552.41084</v>
      </c>
      <c r="E32" s="70">
        <f>C32-D32</f>
        <v/>
      </c>
      <c r="F32" s="70">
        <f>(E32-F757)^2</f>
        <v/>
      </c>
      <c r="G32" s="69">
        <f>(E32-F757)^3</f>
        <v/>
      </c>
      <c r="H32" s="69">
        <f>(E32-F757)^4</f>
        <v/>
      </c>
      <c r="I32" s="68" t="inlineStr"/>
    </row>
    <row r="33">
      <c r="A33" s="65" t="n">
        <v>21</v>
      </c>
      <c r="B33" s="65" t="n">
        <v>20</v>
      </c>
      <c r="C33" s="66" t="n">
        <v>4584.98</v>
      </c>
      <c r="D33" s="66" t="n">
        <v>4552.61328</v>
      </c>
      <c r="E33" s="67">
        <f>C33-D33</f>
        <v/>
      </c>
      <c r="F33" s="67">
        <f>(E33-F757)^2</f>
        <v/>
      </c>
      <c r="G33" s="66">
        <f>(E33-F757)^3</f>
        <v/>
      </c>
      <c r="H33" s="66">
        <f>(E33-F757)^4</f>
        <v/>
      </c>
      <c r="I33" s="65" t="inlineStr"/>
    </row>
    <row r="34">
      <c r="A34" s="68" t="n">
        <v>22</v>
      </c>
      <c r="B34" s="68" t="n">
        <v>21</v>
      </c>
      <c r="C34" s="69" t="n">
        <v>4600.87</v>
      </c>
      <c r="D34" s="69" t="n">
        <v>4552.81573</v>
      </c>
      <c r="E34" s="70">
        <f>C34-D34</f>
        <v/>
      </c>
      <c r="F34" s="70">
        <f>(E34-F757)^2</f>
        <v/>
      </c>
      <c r="G34" s="69">
        <f>(E34-F757)^3</f>
        <v/>
      </c>
      <c r="H34" s="69">
        <f>(E34-F757)^4</f>
        <v/>
      </c>
      <c r="I34" s="68" t="inlineStr"/>
    </row>
    <row r="35">
      <c r="A35" s="65" t="n">
        <v>23</v>
      </c>
      <c r="B35" s="65" t="n">
        <v>22</v>
      </c>
      <c r="C35" s="66" t="n">
        <v>4598.93</v>
      </c>
      <c r="D35" s="66" t="n">
        <v>4553.01818</v>
      </c>
      <c r="E35" s="67">
        <f>C35-D35</f>
        <v/>
      </c>
      <c r="F35" s="67">
        <f>(E35-F757)^2</f>
        <v/>
      </c>
      <c r="G35" s="66">
        <f>(E35-F757)^3</f>
        <v/>
      </c>
      <c r="H35" s="66">
        <f>(E35-F757)^4</f>
        <v/>
      </c>
      <c r="I35" s="65" t="inlineStr"/>
    </row>
    <row r="36">
      <c r="A36" s="68" t="n">
        <v>24</v>
      </c>
      <c r="B36" s="68" t="n">
        <v>23</v>
      </c>
      <c r="C36" s="69" t="n">
        <v>4596.92</v>
      </c>
      <c r="D36" s="69" t="n">
        <v>4553.22062</v>
      </c>
      <c r="E36" s="70">
        <f>C36-D36</f>
        <v/>
      </c>
      <c r="F36" s="70">
        <f>(E36-F757)^2</f>
        <v/>
      </c>
      <c r="G36" s="69">
        <f>(E36-F757)^3</f>
        <v/>
      </c>
      <c r="H36" s="69">
        <f>(E36-F757)^4</f>
        <v/>
      </c>
      <c r="I36" s="68" t="inlineStr"/>
    </row>
    <row r="37">
      <c r="A37" s="65" t="n">
        <v>25</v>
      </c>
      <c r="B37" s="65" t="n">
        <v>24</v>
      </c>
      <c r="C37" s="66" t="n">
        <v>4593.75</v>
      </c>
      <c r="D37" s="66" t="n">
        <v>4553.42307</v>
      </c>
      <c r="E37" s="67">
        <f>C37-D37</f>
        <v/>
      </c>
      <c r="F37" s="67">
        <f>(E37-F757)^2</f>
        <v/>
      </c>
      <c r="G37" s="66">
        <f>(E37-F757)^3</f>
        <v/>
      </c>
      <c r="H37" s="66">
        <f>(E37-F757)^4</f>
        <v/>
      </c>
      <c r="I37" s="65" t="inlineStr"/>
    </row>
    <row r="38">
      <c r="A38" s="68" t="n">
        <v>26</v>
      </c>
      <c r="B38" s="68" t="n">
        <v>25</v>
      </c>
      <c r="C38" s="69" t="n">
        <v>4601.89</v>
      </c>
      <c r="D38" s="69" t="n">
        <v>4553.62551</v>
      </c>
      <c r="E38" s="70">
        <f>C38-D38</f>
        <v/>
      </c>
      <c r="F38" s="70">
        <f>(E38-F757)^2</f>
        <v/>
      </c>
      <c r="G38" s="69">
        <f>(E38-F757)^3</f>
        <v/>
      </c>
      <c r="H38" s="69">
        <f>(E38-F757)^4</f>
        <v/>
      </c>
      <c r="I38" s="68" t="inlineStr"/>
    </row>
    <row r="39">
      <c r="A39" s="65" t="n">
        <v>27</v>
      </c>
      <c r="B39" s="65" t="n">
        <v>26</v>
      </c>
      <c r="C39" s="66" t="n">
        <v>4598.67</v>
      </c>
      <c r="D39" s="66" t="n">
        <v>4553.82796</v>
      </c>
      <c r="E39" s="67">
        <f>C39-D39</f>
        <v/>
      </c>
      <c r="F39" s="67">
        <f>(E39-F757)^2</f>
        <v/>
      </c>
      <c r="G39" s="66">
        <f>(E39-F757)^3</f>
        <v/>
      </c>
      <c r="H39" s="66">
        <f>(E39-F757)^4</f>
        <v/>
      </c>
      <c r="I39" s="65" t="inlineStr"/>
    </row>
    <row r="40">
      <c r="A40" s="68" t="n">
        <v>28</v>
      </c>
      <c r="B40" s="68" t="n">
        <v>27</v>
      </c>
      <c r="C40" s="69" t="n">
        <v>4593.91</v>
      </c>
      <c r="D40" s="69" t="n">
        <v>4554.0304</v>
      </c>
      <c r="E40" s="70">
        <f>C40-D40</f>
        <v/>
      </c>
      <c r="F40" s="70">
        <f>(E40-F757)^2</f>
        <v/>
      </c>
      <c r="G40" s="69">
        <f>(E40-F757)^3</f>
        <v/>
      </c>
      <c r="H40" s="69">
        <f>(E40-F757)^4</f>
        <v/>
      </c>
      <c r="I40" s="68" t="inlineStr"/>
    </row>
    <row r="41">
      <c r="A41" s="65" t="n">
        <v>29</v>
      </c>
      <c r="B41" s="65" t="n">
        <v>28</v>
      </c>
      <c r="C41" s="66" t="n">
        <v>4595.48</v>
      </c>
      <c r="D41" s="66" t="n">
        <v>4554.23285</v>
      </c>
      <c r="E41" s="67">
        <f>C41-D41</f>
        <v/>
      </c>
      <c r="F41" s="67">
        <f>(E41-F757)^2</f>
        <v/>
      </c>
      <c r="G41" s="66">
        <f>(E41-F757)^3</f>
        <v/>
      </c>
      <c r="H41" s="66">
        <f>(E41-F757)^4</f>
        <v/>
      </c>
      <c r="I41" s="65" t="inlineStr"/>
    </row>
    <row r="42">
      <c r="A42" s="68" t="n">
        <v>30</v>
      </c>
      <c r="B42" s="68" t="n">
        <v>29</v>
      </c>
      <c r="C42" s="69" t="n">
        <v>4600.68</v>
      </c>
      <c r="D42" s="69" t="n">
        <v>4554.4353</v>
      </c>
      <c r="E42" s="70">
        <f>C42-D42</f>
        <v/>
      </c>
      <c r="F42" s="70">
        <f>(E42-F757)^2</f>
        <v/>
      </c>
      <c r="G42" s="69">
        <f>(E42-F757)^3</f>
        <v/>
      </c>
      <c r="H42" s="69">
        <f>(E42-F757)^4</f>
        <v/>
      </c>
      <c r="I42" s="68" t="inlineStr"/>
    </row>
    <row r="43">
      <c r="A43" s="65" t="n">
        <v>31</v>
      </c>
      <c r="B43" s="65" t="n">
        <v>30</v>
      </c>
      <c r="C43" s="66" t="n">
        <v>4601.86</v>
      </c>
      <c r="D43" s="66" t="n">
        <v>4554.63774</v>
      </c>
      <c r="E43" s="67">
        <f>C43-D43</f>
        <v/>
      </c>
      <c r="F43" s="67">
        <f>(E43-F757)^2</f>
        <v/>
      </c>
      <c r="G43" s="66">
        <f>(E43-F757)^3</f>
        <v/>
      </c>
      <c r="H43" s="66">
        <f>(E43-F757)^4</f>
        <v/>
      </c>
      <c r="I43" s="65" t="inlineStr"/>
    </row>
    <row r="44">
      <c r="A44" s="68" t="n">
        <v>32</v>
      </c>
      <c r="B44" s="68" t="n">
        <v>31</v>
      </c>
      <c r="C44" s="69" t="n">
        <v>4602.15</v>
      </c>
      <c r="D44" s="69" t="n">
        <v>4554.84019</v>
      </c>
      <c r="E44" s="70">
        <f>C44-D44</f>
        <v/>
      </c>
      <c r="F44" s="70">
        <f>(E44-F757)^2</f>
        <v/>
      </c>
      <c r="G44" s="69">
        <f>(E44-F757)^3</f>
        <v/>
      </c>
      <c r="H44" s="69">
        <f>(E44-F757)^4</f>
        <v/>
      </c>
      <c r="I44" s="68" t="inlineStr"/>
    </row>
    <row r="45">
      <c r="A45" s="65" t="n">
        <v>33</v>
      </c>
      <c r="B45" s="65" t="n">
        <v>32</v>
      </c>
      <c r="C45" s="66" t="n">
        <v>4604.85</v>
      </c>
      <c r="D45" s="66" t="n">
        <v>4555.04263</v>
      </c>
      <c r="E45" s="67">
        <f>C45-D45</f>
        <v/>
      </c>
      <c r="F45" s="67">
        <f>(E45-F757)^2</f>
        <v/>
      </c>
      <c r="G45" s="66">
        <f>(E45-F757)^3</f>
        <v/>
      </c>
      <c r="H45" s="66">
        <f>(E45-F757)^4</f>
        <v/>
      </c>
      <c r="I45" s="65" t="inlineStr"/>
    </row>
    <row r="46">
      <c r="A46" s="68" t="n">
        <v>34</v>
      </c>
      <c r="B46" s="68" t="n">
        <v>33</v>
      </c>
      <c r="C46" s="69" t="n">
        <v>4601.15</v>
      </c>
      <c r="D46" s="69" t="n">
        <v>4555.24508</v>
      </c>
      <c r="E46" s="70">
        <f>C46-D46</f>
        <v/>
      </c>
      <c r="F46" s="70">
        <f>(E46-F757)^2</f>
        <v/>
      </c>
      <c r="G46" s="69">
        <f>(E46-F757)^3</f>
        <v/>
      </c>
      <c r="H46" s="69">
        <f>(E46-F757)^4</f>
        <v/>
      </c>
      <c r="I46" s="68" t="inlineStr"/>
    </row>
    <row r="47">
      <c r="A47" s="65" t="n">
        <v>35</v>
      </c>
      <c r="B47" s="65" t="n">
        <v>34</v>
      </c>
      <c r="C47" s="66" t="n">
        <v>4600.72</v>
      </c>
      <c r="D47" s="66" t="n">
        <v>4555.44752</v>
      </c>
      <c r="E47" s="67">
        <f>C47-D47</f>
        <v/>
      </c>
      <c r="F47" s="67">
        <f>(E47-F757)^2</f>
        <v/>
      </c>
      <c r="G47" s="66">
        <f>(E47-F757)^3</f>
        <v/>
      </c>
      <c r="H47" s="66">
        <f>(E47-F757)^4</f>
        <v/>
      </c>
      <c r="I47" s="65" t="inlineStr"/>
    </row>
    <row r="48">
      <c r="A48" s="68" t="n">
        <v>36</v>
      </c>
      <c r="B48" s="68" t="n">
        <v>35</v>
      </c>
      <c r="C48" s="69" t="n">
        <v>4599.05</v>
      </c>
      <c r="D48" s="69" t="n">
        <v>4555.64997</v>
      </c>
      <c r="E48" s="70">
        <f>C48-D48</f>
        <v/>
      </c>
      <c r="F48" s="70">
        <f>(E48-F757)^2</f>
        <v/>
      </c>
      <c r="G48" s="69">
        <f>(E48-F757)^3</f>
        <v/>
      </c>
      <c r="H48" s="69">
        <f>(E48-F757)^4</f>
        <v/>
      </c>
      <c r="I48" s="68" t="inlineStr"/>
    </row>
    <row r="49">
      <c r="A49" s="65" t="n">
        <v>37</v>
      </c>
      <c r="B49" s="65" t="n">
        <v>36</v>
      </c>
      <c r="C49" s="66" t="n">
        <v>4590.9</v>
      </c>
      <c r="D49" s="66" t="n">
        <v>4555.85242</v>
      </c>
      <c r="E49" s="67">
        <f>C49-D49</f>
        <v/>
      </c>
      <c r="F49" s="67">
        <f>(E49-F757)^2</f>
        <v/>
      </c>
      <c r="G49" s="66">
        <f>(E49-F757)^3</f>
        <v/>
      </c>
      <c r="H49" s="66">
        <f>(E49-F757)^4</f>
        <v/>
      </c>
      <c r="I49" s="65" t="inlineStr"/>
    </row>
    <row r="50">
      <c r="A50" s="68" t="n">
        <v>38</v>
      </c>
      <c r="B50" s="68" t="n">
        <v>37</v>
      </c>
      <c r="C50" s="69" t="n">
        <v>4588.73</v>
      </c>
      <c r="D50" s="69" t="n">
        <v>4556.05486</v>
      </c>
      <c r="E50" s="70">
        <f>C50-D50</f>
        <v/>
      </c>
      <c r="F50" s="70">
        <f>(E50-F757)^2</f>
        <v/>
      </c>
      <c r="G50" s="69">
        <f>(E50-F757)^3</f>
        <v/>
      </c>
      <c r="H50" s="69">
        <f>(E50-F757)^4</f>
        <v/>
      </c>
      <c r="I50" s="68" t="inlineStr"/>
    </row>
    <row r="51">
      <c r="A51" s="65" t="n">
        <v>39</v>
      </c>
      <c r="B51" s="65" t="n">
        <v>38</v>
      </c>
      <c r="C51" s="66" t="n">
        <v>4585.04</v>
      </c>
      <c r="D51" s="66" t="n">
        <v>4556.25731</v>
      </c>
      <c r="E51" s="67">
        <f>C51-D51</f>
        <v/>
      </c>
      <c r="F51" s="67">
        <f>(E51-F757)^2</f>
        <v/>
      </c>
      <c r="G51" s="66">
        <f>(E51-F757)^3</f>
        <v/>
      </c>
      <c r="H51" s="66">
        <f>(E51-F757)^4</f>
        <v/>
      </c>
      <c r="I51" s="65" t="inlineStr"/>
    </row>
    <row r="52">
      <c r="A52" s="68" t="n">
        <v>40</v>
      </c>
      <c r="B52" s="68" t="n">
        <v>39</v>
      </c>
      <c r="C52" s="69" t="n">
        <v>4585.03</v>
      </c>
      <c r="D52" s="69" t="n">
        <v>4556.45975</v>
      </c>
      <c r="E52" s="70">
        <f>C52-D52</f>
        <v/>
      </c>
      <c r="F52" s="70">
        <f>(E52-F757)^2</f>
        <v/>
      </c>
      <c r="G52" s="69">
        <f>(E52-F757)^3</f>
        <v/>
      </c>
      <c r="H52" s="69">
        <f>(E52-F757)^4</f>
        <v/>
      </c>
      <c r="I52" s="68" t="inlineStr"/>
    </row>
    <row r="53">
      <c r="A53" s="65" t="n">
        <v>41</v>
      </c>
      <c r="B53" s="65" t="n">
        <v>40</v>
      </c>
      <c r="C53" s="66" t="n">
        <v>4584.52</v>
      </c>
      <c r="D53" s="66" t="n">
        <v>4556.6622</v>
      </c>
      <c r="E53" s="67">
        <f>C53-D53</f>
        <v/>
      </c>
      <c r="F53" s="67">
        <f>(E53-F757)^2</f>
        <v/>
      </c>
      <c r="G53" s="66">
        <f>(E53-F757)^3</f>
        <v/>
      </c>
      <c r="H53" s="66">
        <f>(E53-F757)^4</f>
        <v/>
      </c>
      <c r="I53" s="65" t="inlineStr"/>
    </row>
    <row r="54">
      <c r="A54" s="68" t="n">
        <v>42</v>
      </c>
      <c r="B54" s="68" t="n">
        <v>41</v>
      </c>
      <c r="C54" s="69" t="n">
        <v>4578.72</v>
      </c>
      <c r="D54" s="69" t="n">
        <v>4556.86464</v>
      </c>
      <c r="E54" s="70">
        <f>C54-D54</f>
        <v/>
      </c>
      <c r="F54" s="70">
        <f>(E54-F757)^2</f>
        <v/>
      </c>
      <c r="G54" s="69">
        <f>(E54-F757)^3</f>
        <v/>
      </c>
      <c r="H54" s="69">
        <f>(E54-F757)^4</f>
        <v/>
      </c>
      <c r="I54" s="68" t="inlineStr"/>
    </row>
    <row r="55">
      <c r="A55" s="65" t="n">
        <v>43</v>
      </c>
      <c r="B55" s="65" t="n">
        <v>42</v>
      </c>
      <c r="C55" s="66" t="n">
        <v>4575.11</v>
      </c>
      <c r="D55" s="66" t="n">
        <v>4557.06709</v>
      </c>
      <c r="E55" s="67">
        <f>C55-D55</f>
        <v/>
      </c>
      <c r="F55" s="67">
        <f>(E55-F757)^2</f>
        <v/>
      </c>
      <c r="G55" s="66">
        <f>(E55-F757)^3</f>
        <v/>
      </c>
      <c r="H55" s="66">
        <f>(E55-F757)^4</f>
        <v/>
      </c>
      <c r="I55" s="65" t="inlineStr"/>
    </row>
    <row r="56">
      <c r="A56" s="68" t="n">
        <v>44</v>
      </c>
      <c r="B56" s="68" t="n">
        <v>43</v>
      </c>
      <c r="C56" s="69" t="n">
        <v>4570.56</v>
      </c>
      <c r="D56" s="69" t="n">
        <v>4557.26954</v>
      </c>
      <c r="E56" s="70">
        <f>C56-D56</f>
        <v/>
      </c>
      <c r="F56" s="70">
        <f>(E56-F757)^2</f>
        <v/>
      </c>
      <c r="G56" s="69">
        <f>(E56-F757)^3</f>
        <v/>
      </c>
      <c r="H56" s="69">
        <f>(E56-F757)^4</f>
        <v/>
      </c>
      <c r="I56" s="68" t="inlineStr"/>
    </row>
    <row r="57">
      <c r="A57" s="65" t="n">
        <v>45</v>
      </c>
      <c r="B57" s="65" t="n">
        <v>44</v>
      </c>
      <c r="C57" s="66" t="n">
        <v>4567.92</v>
      </c>
      <c r="D57" s="66" t="n">
        <v>4557.47198</v>
      </c>
      <c r="E57" s="67">
        <f>C57-D57</f>
        <v/>
      </c>
      <c r="F57" s="67">
        <f>(E57-F757)^2</f>
        <v/>
      </c>
      <c r="G57" s="66">
        <f>(E57-F757)^3</f>
        <v/>
      </c>
      <c r="H57" s="66">
        <f>(E57-F757)^4</f>
        <v/>
      </c>
      <c r="I57" s="65" t="inlineStr"/>
    </row>
    <row r="58">
      <c r="A58" s="68" t="n">
        <v>46</v>
      </c>
      <c r="B58" s="68" t="n">
        <v>45</v>
      </c>
      <c r="C58" s="69" t="n">
        <v>4565.44</v>
      </c>
      <c r="D58" s="69" t="n">
        <v>4557.67443</v>
      </c>
      <c r="E58" s="70">
        <f>C58-D58</f>
        <v/>
      </c>
      <c r="F58" s="70">
        <f>(E58-F757)^2</f>
        <v/>
      </c>
      <c r="G58" s="69">
        <f>(E58-F757)^3</f>
        <v/>
      </c>
      <c r="H58" s="69">
        <f>(E58-F757)^4</f>
        <v/>
      </c>
      <c r="I58" s="68" t="inlineStr"/>
    </row>
    <row r="59">
      <c r="A59" s="65" t="n">
        <v>47</v>
      </c>
      <c r="B59" s="65" t="n">
        <v>46</v>
      </c>
      <c r="C59" s="66" t="n">
        <v>4566.65</v>
      </c>
      <c r="D59" s="66" t="n">
        <v>4557.87687</v>
      </c>
      <c r="E59" s="67">
        <f>C59-D59</f>
        <v/>
      </c>
      <c r="F59" s="67">
        <f>(E59-F757)^2</f>
        <v/>
      </c>
      <c r="G59" s="66">
        <f>(E59-F757)^3</f>
        <v/>
      </c>
      <c r="H59" s="66">
        <f>(E59-F757)^4</f>
        <v/>
      </c>
      <c r="I59" s="65" t="inlineStr"/>
    </row>
    <row r="60">
      <c r="A60" s="68" t="n">
        <v>48</v>
      </c>
      <c r="B60" s="68" t="n">
        <v>47</v>
      </c>
      <c r="C60" s="69" t="n">
        <v>4568.37</v>
      </c>
      <c r="D60" s="69" t="n">
        <v>4558.07932</v>
      </c>
      <c r="E60" s="70">
        <f>C60-D60</f>
        <v/>
      </c>
      <c r="F60" s="70">
        <f>(E60-F757)^2</f>
        <v/>
      </c>
      <c r="G60" s="69">
        <f>(E60-F757)^3</f>
        <v/>
      </c>
      <c r="H60" s="69">
        <f>(E60-F757)^4</f>
        <v/>
      </c>
      <c r="I60" s="68" t="inlineStr"/>
    </row>
    <row r="61">
      <c r="A61" s="65" t="n">
        <v>49</v>
      </c>
      <c r="B61" s="65" t="n">
        <v>48</v>
      </c>
      <c r="C61" s="66" t="n">
        <v>4573.2</v>
      </c>
      <c r="D61" s="66" t="n">
        <v>4558.28176</v>
      </c>
      <c r="E61" s="67">
        <f>C61-D61</f>
        <v/>
      </c>
      <c r="F61" s="67">
        <f>(E61-F757)^2</f>
        <v/>
      </c>
      <c r="G61" s="66">
        <f>(E61-F757)^3</f>
        <v/>
      </c>
      <c r="H61" s="66">
        <f>(E61-F757)^4</f>
        <v/>
      </c>
      <c r="I61" s="65" t="inlineStr"/>
    </row>
    <row r="62">
      <c r="A62" s="68" t="n">
        <v>50</v>
      </c>
      <c r="B62" s="68" t="n">
        <v>49</v>
      </c>
      <c r="C62" s="69" t="n">
        <v>4574.2</v>
      </c>
      <c r="D62" s="69" t="n">
        <v>4558.48421</v>
      </c>
      <c r="E62" s="70">
        <f>C62-D62</f>
        <v/>
      </c>
      <c r="F62" s="70">
        <f>(E62-F757)^2</f>
        <v/>
      </c>
      <c r="G62" s="69">
        <f>(E62-F757)^3</f>
        <v/>
      </c>
      <c r="H62" s="69">
        <f>(E62-F757)^4</f>
        <v/>
      </c>
      <c r="I62" s="68" t="inlineStr"/>
    </row>
    <row r="63">
      <c r="A63" s="65" t="n">
        <v>51</v>
      </c>
      <c r="B63" s="65" t="n">
        <v>50</v>
      </c>
      <c r="C63" s="66" t="n">
        <v>4565.69</v>
      </c>
      <c r="D63" s="66" t="n">
        <v>4558.68666</v>
      </c>
      <c r="E63" s="67">
        <f>C63-D63</f>
        <v/>
      </c>
      <c r="F63" s="67">
        <f>(E63-F757)^2</f>
        <v/>
      </c>
      <c r="G63" s="66">
        <f>(E63-F757)^3</f>
        <v/>
      </c>
      <c r="H63" s="66">
        <f>(E63-F757)^4</f>
        <v/>
      </c>
      <c r="I63" s="65" t="inlineStr"/>
    </row>
    <row r="64">
      <c r="A64" s="68" t="n">
        <v>52</v>
      </c>
      <c r="B64" s="68" t="n">
        <v>51</v>
      </c>
      <c r="C64" s="69" t="n">
        <v>4558.86</v>
      </c>
      <c r="D64" s="69" t="n">
        <v>4558.8891</v>
      </c>
      <c r="E64" s="70">
        <f>C64-D64</f>
        <v/>
      </c>
      <c r="F64" s="70">
        <f>(E64-F757)^2</f>
        <v/>
      </c>
      <c r="G64" s="69">
        <f>(E64-F757)^3</f>
        <v/>
      </c>
      <c r="H64" s="69">
        <f>(E64-F757)^4</f>
        <v/>
      </c>
      <c r="I64" s="68" t="inlineStr"/>
    </row>
    <row r="65">
      <c r="A65" s="65" t="n">
        <v>53</v>
      </c>
      <c r="B65" s="65" t="n">
        <v>52</v>
      </c>
      <c r="C65" s="66" t="n">
        <v>4555.94</v>
      </c>
      <c r="D65" s="66" t="n">
        <v>4559.09155</v>
      </c>
      <c r="E65" s="67">
        <f>C65-D65</f>
        <v/>
      </c>
      <c r="F65" s="67">
        <f>(E65-F757)^2</f>
        <v/>
      </c>
      <c r="G65" s="66">
        <f>(E65-F757)^3</f>
        <v/>
      </c>
      <c r="H65" s="66">
        <f>(E65-F757)^4</f>
        <v/>
      </c>
      <c r="I65" s="65" t="inlineStr"/>
    </row>
    <row r="66">
      <c r="A66" s="68" t="n">
        <v>54</v>
      </c>
      <c r="B66" s="68" t="n">
        <v>53</v>
      </c>
      <c r="C66" s="69" t="n">
        <v>4568.04</v>
      </c>
      <c r="D66" s="69" t="n">
        <v>4559.29399</v>
      </c>
      <c r="E66" s="70">
        <f>C66-D66</f>
        <v/>
      </c>
      <c r="F66" s="70">
        <f>(E66-F757)^2</f>
        <v/>
      </c>
      <c r="G66" s="69">
        <f>(E66-F757)^3</f>
        <v/>
      </c>
      <c r="H66" s="69">
        <f>(E66-F757)^4</f>
        <v/>
      </c>
      <c r="I66" s="68" t="inlineStr"/>
    </row>
    <row r="67">
      <c r="A67" s="65" t="n">
        <v>55</v>
      </c>
      <c r="B67" s="65" t="n">
        <v>54</v>
      </c>
      <c r="C67" s="66" t="n">
        <v>4571.78</v>
      </c>
      <c r="D67" s="66" t="n">
        <v>4559.49644</v>
      </c>
      <c r="E67" s="67">
        <f>C67-D67</f>
        <v/>
      </c>
      <c r="F67" s="67">
        <f>(E67-F757)^2</f>
        <v/>
      </c>
      <c r="G67" s="66">
        <f>(E67-F757)^3</f>
        <v/>
      </c>
      <c r="H67" s="66">
        <f>(E67-F757)^4</f>
        <v/>
      </c>
      <c r="I67" s="65" t="inlineStr"/>
    </row>
    <row r="68">
      <c r="A68" s="68" t="n">
        <v>56</v>
      </c>
      <c r="B68" s="68" t="n">
        <v>55</v>
      </c>
      <c r="C68" s="69" t="n">
        <v>4566.36</v>
      </c>
      <c r="D68" s="69" t="n">
        <v>4559.69888</v>
      </c>
      <c r="E68" s="70">
        <f>C68-D68</f>
        <v/>
      </c>
      <c r="F68" s="70">
        <f>(E68-F757)^2</f>
        <v/>
      </c>
      <c r="G68" s="69">
        <f>(E68-F757)^3</f>
        <v/>
      </c>
      <c r="H68" s="69">
        <f>(E68-F757)^4</f>
        <v/>
      </c>
      <c r="I68" s="68" t="inlineStr"/>
    </row>
    <row r="69">
      <c r="A69" s="65" t="n">
        <v>57</v>
      </c>
      <c r="B69" s="65" t="n">
        <v>56</v>
      </c>
      <c r="C69" s="66" t="n">
        <v>4569.98</v>
      </c>
      <c r="D69" s="66" t="n">
        <v>4559.90133</v>
      </c>
      <c r="E69" s="67">
        <f>C69-D69</f>
        <v/>
      </c>
      <c r="F69" s="67">
        <f>(E69-F757)^2</f>
        <v/>
      </c>
      <c r="G69" s="66">
        <f>(E69-F757)^3</f>
        <v/>
      </c>
      <c r="H69" s="66">
        <f>(E69-F757)^4</f>
        <v/>
      </c>
      <c r="I69" s="65" t="inlineStr"/>
    </row>
    <row r="70">
      <c r="A70" s="68" t="n">
        <v>58</v>
      </c>
      <c r="B70" s="68" t="n">
        <v>57</v>
      </c>
      <c r="C70" s="69" t="n">
        <v>4568.02</v>
      </c>
      <c r="D70" s="69" t="n">
        <v>4560.10378</v>
      </c>
      <c r="E70" s="70">
        <f>C70-D70</f>
        <v/>
      </c>
      <c r="F70" s="70">
        <f>(E70-F757)^2</f>
        <v/>
      </c>
      <c r="G70" s="69">
        <f>(E70-F757)^3</f>
        <v/>
      </c>
      <c r="H70" s="69">
        <f>(E70-F757)^4</f>
        <v/>
      </c>
      <c r="I70" s="68" t="inlineStr"/>
    </row>
    <row r="71">
      <c r="A71" s="65" t="n">
        <v>59</v>
      </c>
      <c r="B71" s="65" t="n">
        <v>58</v>
      </c>
      <c r="C71" s="66" t="n">
        <v>4564.76</v>
      </c>
      <c r="D71" s="66" t="n">
        <v>4560.30622</v>
      </c>
      <c r="E71" s="67">
        <f>C71-D71</f>
        <v/>
      </c>
      <c r="F71" s="67">
        <f>(E71-F757)^2</f>
        <v/>
      </c>
      <c r="G71" s="66">
        <f>(E71-F757)^3</f>
        <v/>
      </c>
      <c r="H71" s="66">
        <f>(E71-F757)^4</f>
        <v/>
      </c>
      <c r="I71" s="65" t="inlineStr"/>
    </row>
    <row r="72">
      <c r="A72" s="68" t="n">
        <v>60</v>
      </c>
      <c r="B72" s="68" t="n">
        <v>59</v>
      </c>
      <c r="C72" s="69" t="n">
        <v>4567.03</v>
      </c>
      <c r="D72" s="69" t="n">
        <v>4560.50867</v>
      </c>
      <c r="E72" s="70">
        <f>C72-D72</f>
        <v/>
      </c>
      <c r="F72" s="70">
        <f>(E72-F757)^2</f>
        <v/>
      </c>
      <c r="G72" s="69">
        <f>(E72-F757)^3</f>
        <v/>
      </c>
      <c r="H72" s="69">
        <f>(E72-F757)^4</f>
        <v/>
      </c>
      <c r="I72" s="68" t="inlineStr"/>
    </row>
    <row r="73">
      <c r="A73" s="65" t="n">
        <v>61</v>
      </c>
      <c r="B73" s="65" t="n">
        <v>60</v>
      </c>
      <c r="C73" s="66" t="n">
        <v>4561.87</v>
      </c>
      <c r="D73" s="66" t="n">
        <v>4560.71111</v>
      </c>
      <c r="E73" s="67">
        <f>C73-D73</f>
        <v/>
      </c>
      <c r="F73" s="67">
        <f>(E73-F757)^2</f>
        <v/>
      </c>
      <c r="G73" s="66">
        <f>(E73-F757)^3</f>
        <v/>
      </c>
      <c r="H73" s="66">
        <f>(E73-F757)^4</f>
        <v/>
      </c>
      <c r="I73" s="65" t="inlineStr"/>
    </row>
    <row r="74">
      <c r="A74" s="68" t="n">
        <v>62</v>
      </c>
      <c r="B74" s="68" t="n">
        <v>61</v>
      </c>
      <c r="C74" s="69" t="n">
        <v>4564.41</v>
      </c>
      <c r="D74" s="69" t="n">
        <v>4560.91356</v>
      </c>
      <c r="E74" s="70">
        <f>C74-D74</f>
        <v/>
      </c>
      <c r="F74" s="70">
        <f>(E74-F757)^2</f>
        <v/>
      </c>
      <c r="G74" s="69">
        <f>(E74-F757)^3</f>
        <v/>
      </c>
      <c r="H74" s="69">
        <f>(E74-F757)^4</f>
        <v/>
      </c>
      <c r="I74" s="68" t="inlineStr"/>
    </row>
    <row r="75">
      <c r="A75" s="65" t="n">
        <v>63</v>
      </c>
      <c r="B75" s="65" t="n">
        <v>62</v>
      </c>
      <c r="C75" s="66" t="n">
        <v>4559.4</v>
      </c>
      <c r="D75" s="66" t="n">
        <v>4561.116</v>
      </c>
      <c r="E75" s="67">
        <f>C75-D75</f>
        <v/>
      </c>
      <c r="F75" s="67">
        <f>(E75-F757)^2</f>
        <v/>
      </c>
      <c r="G75" s="66">
        <f>(E75-F757)^3</f>
        <v/>
      </c>
      <c r="H75" s="66">
        <f>(E75-F757)^4</f>
        <v/>
      </c>
      <c r="I75" s="65" t="inlineStr"/>
    </row>
    <row r="76">
      <c r="A76" s="68" t="n">
        <v>64</v>
      </c>
      <c r="B76" s="68" t="n">
        <v>63</v>
      </c>
      <c r="C76" s="69" t="n">
        <v>4557.62</v>
      </c>
      <c r="D76" s="69" t="n">
        <v>4561.31845</v>
      </c>
      <c r="E76" s="70">
        <f>C76-D76</f>
        <v/>
      </c>
      <c r="F76" s="70">
        <f>(E76-F757)^2</f>
        <v/>
      </c>
      <c r="G76" s="69">
        <f>(E76-F757)^3</f>
        <v/>
      </c>
      <c r="H76" s="69">
        <f>(E76-F757)^4</f>
        <v/>
      </c>
      <c r="I76" s="68" t="inlineStr"/>
    </row>
    <row r="77">
      <c r="A77" s="65" t="n">
        <v>65</v>
      </c>
      <c r="B77" s="65" t="n">
        <v>64</v>
      </c>
      <c r="C77" s="66" t="n">
        <v>4544.9</v>
      </c>
      <c r="D77" s="66" t="n">
        <v>4561.5209</v>
      </c>
      <c r="E77" s="67">
        <f>C77-D77</f>
        <v/>
      </c>
      <c r="F77" s="67">
        <f>(E77-F757)^2</f>
        <v/>
      </c>
      <c r="G77" s="66">
        <f>(E77-F757)^3</f>
        <v/>
      </c>
      <c r="H77" s="66">
        <f>(E77-F757)^4</f>
        <v/>
      </c>
      <c r="I77" s="65" t="inlineStr"/>
    </row>
    <row r="78">
      <c r="A78" s="68" t="n">
        <v>66</v>
      </c>
      <c r="B78" s="68" t="n">
        <v>65</v>
      </c>
      <c r="C78" s="69" t="n">
        <v>4549.8</v>
      </c>
      <c r="D78" s="69" t="n">
        <v>4561.72334</v>
      </c>
      <c r="E78" s="70">
        <f>C78-D78</f>
        <v/>
      </c>
      <c r="F78" s="70">
        <f>(E78-F757)^2</f>
        <v/>
      </c>
      <c r="G78" s="69">
        <f>(E78-F757)^3</f>
        <v/>
      </c>
      <c r="H78" s="69">
        <f>(E78-F757)^4</f>
        <v/>
      </c>
      <c r="I78" s="68" t="inlineStr"/>
    </row>
    <row r="79">
      <c r="A79" s="65" t="n">
        <v>67</v>
      </c>
      <c r="B79" s="65" t="n">
        <v>66</v>
      </c>
      <c r="C79" s="66" t="n">
        <v>4537.82</v>
      </c>
      <c r="D79" s="66" t="n">
        <v>4561.92579</v>
      </c>
      <c r="E79" s="67">
        <f>C79-D79</f>
        <v/>
      </c>
      <c r="F79" s="67">
        <f>(E79-F757)^2</f>
        <v/>
      </c>
      <c r="G79" s="66">
        <f>(E79-F757)^3</f>
        <v/>
      </c>
      <c r="H79" s="66">
        <f>(E79-F757)^4</f>
        <v/>
      </c>
      <c r="I79" s="65" t="inlineStr"/>
    </row>
    <row r="80">
      <c r="A80" s="68" t="n">
        <v>68</v>
      </c>
      <c r="B80" s="68" t="n">
        <v>67</v>
      </c>
      <c r="C80" s="69" t="n">
        <v>4514.81</v>
      </c>
      <c r="D80" s="69" t="n">
        <v>4562.12823</v>
      </c>
      <c r="E80" s="70">
        <f>C80-D80</f>
        <v/>
      </c>
      <c r="F80" s="70">
        <f>(E80-F757)^2</f>
        <v/>
      </c>
      <c r="G80" s="69">
        <f>(E80-F757)^3</f>
        <v/>
      </c>
      <c r="H80" s="69">
        <f>(E80-F757)^4</f>
        <v/>
      </c>
      <c r="I80" s="68" t="inlineStr"/>
    </row>
    <row r="81">
      <c r="A81" s="65" t="n">
        <v>69</v>
      </c>
      <c r="B81" s="65" t="n">
        <v>68</v>
      </c>
      <c r="C81" s="66" t="n">
        <v>4521.71</v>
      </c>
      <c r="D81" s="66" t="n">
        <v>4562.33068</v>
      </c>
      <c r="E81" s="67">
        <f>C81-D81</f>
        <v/>
      </c>
      <c r="F81" s="67">
        <f>(E81-F757)^2</f>
        <v/>
      </c>
      <c r="G81" s="66">
        <f>(E81-F757)^3</f>
        <v/>
      </c>
      <c r="H81" s="66">
        <f>(E81-F757)^4</f>
        <v/>
      </c>
      <c r="I81" s="65" t="inlineStr"/>
    </row>
    <row r="82">
      <c r="A82" s="68" t="n">
        <v>70</v>
      </c>
      <c r="B82" s="68" t="n">
        <v>69</v>
      </c>
      <c r="C82" s="69" t="n">
        <v>4526.15</v>
      </c>
      <c r="D82" s="69" t="n">
        <v>4562.53312</v>
      </c>
      <c r="E82" s="70">
        <f>C82-D82</f>
        <v/>
      </c>
      <c r="F82" s="70">
        <f>(E82-F757)^2</f>
        <v/>
      </c>
      <c r="G82" s="69">
        <f>(E82-F757)^3</f>
        <v/>
      </c>
      <c r="H82" s="69">
        <f>(E82-F757)^4</f>
        <v/>
      </c>
      <c r="I82" s="68" t="inlineStr"/>
    </row>
    <row r="83">
      <c r="A83" s="65" t="n">
        <v>71</v>
      </c>
      <c r="B83" s="65" t="n">
        <v>70</v>
      </c>
      <c r="C83" s="66" t="n">
        <v>4533.2</v>
      </c>
      <c r="D83" s="66" t="n">
        <v>4562.73557</v>
      </c>
      <c r="E83" s="67">
        <f>C83-D83</f>
        <v/>
      </c>
      <c r="F83" s="67">
        <f>(E83-F757)^2</f>
        <v/>
      </c>
      <c r="G83" s="66">
        <f>(E83-F757)^3</f>
        <v/>
      </c>
      <c r="H83" s="66">
        <f>(E83-F757)^4</f>
        <v/>
      </c>
      <c r="I83" s="65" t="inlineStr"/>
    </row>
    <row r="84">
      <c r="A84" s="68" t="n">
        <v>72</v>
      </c>
      <c r="B84" s="68" t="n">
        <v>71</v>
      </c>
      <c r="C84" s="69" t="n">
        <v>4538.69</v>
      </c>
      <c r="D84" s="69" t="n">
        <v>4562.93802</v>
      </c>
      <c r="E84" s="70">
        <f>C84-D84</f>
        <v/>
      </c>
      <c r="F84" s="70">
        <f>(E84-F757)^2</f>
        <v/>
      </c>
      <c r="G84" s="69">
        <f>(E84-F757)^3</f>
        <v/>
      </c>
      <c r="H84" s="69">
        <f>(E84-F757)^4</f>
        <v/>
      </c>
      <c r="I84" s="68" t="inlineStr"/>
    </row>
    <row r="85">
      <c r="A85" s="65" t="n">
        <v>73</v>
      </c>
      <c r="B85" s="65" t="n">
        <v>72</v>
      </c>
      <c r="C85" s="66" t="n">
        <v>4539.25</v>
      </c>
      <c r="D85" s="66" t="n">
        <v>4563.14046</v>
      </c>
      <c r="E85" s="67">
        <f>C85-D85</f>
        <v/>
      </c>
      <c r="F85" s="67">
        <f>(E85-F757)^2</f>
        <v/>
      </c>
      <c r="G85" s="66">
        <f>(E85-F757)^3</f>
        <v/>
      </c>
      <c r="H85" s="66">
        <f>(E85-F757)^4</f>
        <v/>
      </c>
      <c r="I85" s="65" t="inlineStr"/>
    </row>
    <row r="86">
      <c r="A86" s="68" t="n">
        <v>74</v>
      </c>
      <c r="B86" s="68" t="n">
        <v>73</v>
      </c>
      <c r="C86" s="69" t="n">
        <v>4538.08</v>
      </c>
      <c r="D86" s="69" t="n">
        <v>4563.34291</v>
      </c>
      <c r="E86" s="70">
        <f>C86-D86</f>
        <v/>
      </c>
      <c r="F86" s="70">
        <f>(E86-F757)^2</f>
        <v/>
      </c>
      <c r="G86" s="69">
        <f>(E86-F757)^3</f>
        <v/>
      </c>
      <c r="H86" s="69">
        <f>(E86-F757)^4</f>
        <v/>
      </c>
      <c r="I86" s="68" t="inlineStr"/>
    </row>
    <row r="87">
      <c r="A87" s="65" t="n">
        <v>75</v>
      </c>
      <c r="B87" s="65" t="n">
        <v>74</v>
      </c>
      <c r="C87" s="66" t="n">
        <v>4543.61</v>
      </c>
      <c r="D87" s="66" t="n">
        <v>4563.54535</v>
      </c>
      <c r="E87" s="67">
        <f>C87-D87</f>
        <v/>
      </c>
      <c r="F87" s="67">
        <f>(E87-F757)^2</f>
        <v/>
      </c>
      <c r="G87" s="66">
        <f>(E87-F757)^3</f>
        <v/>
      </c>
      <c r="H87" s="66">
        <f>(E87-F757)^4</f>
        <v/>
      </c>
      <c r="I87" s="65" t="inlineStr"/>
    </row>
    <row r="88">
      <c r="A88" s="68" t="n">
        <v>76</v>
      </c>
      <c r="B88" s="68" t="n">
        <v>75</v>
      </c>
      <c r="C88" s="69" t="n">
        <v>4553.17</v>
      </c>
      <c r="D88" s="69" t="n">
        <v>4563.7478</v>
      </c>
      <c r="E88" s="70">
        <f>C88-D88</f>
        <v/>
      </c>
      <c r="F88" s="70">
        <f>(E88-F757)^2</f>
        <v/>
      </c>
      <c r="G88" s="69">
        <f>(E88-F757)^3</f>
        <v/>
      </c>
      <c r="H88" s="69">
        <f>(E88-F757)^4</f>
        <v/>
      </c>
      <c r="I88" s="68" t="inlineStr"/>
    </row>
    <row r="89">
      <c r="A89" s="65" t="n">
        <v>77</v>
      </c>
      <c r="B89" s="65" t="n">
        <v>76</v>
      </c>
      <c r="C89" s="66" t="n">
        <v>4547.48</v>
      </c>
      <c r="D89" s="66" t="n">
        <v>4563.95024</v>
      </c>
      <c r="E89" s="67">
        <f>C89-D89</f>
        <v/>
      </c>
      <c r="F89" s="67">
        <f>(E89-F757)^2</f>
        <v/>
      </c>
      <c r="G89" s="66">
        <f>(E89-F757)^3</f>
        <v/>
      </c>
      <c r="H89" s="66">
        <f>(E89-F757)^4</f>
        <v/>
      </c>
      <c r="I89" s="65" t="inlineStr"/>
    </row>
    <row r="90">
      <c r="A90" s="68" t="n">
        <v>78</v>
      </c>
      <c r="B90" s="68" t="n">
        <v>77</v>
      </c>
      <c r="C90" s="69" t="n">
        <v>4559.1</v>
      </c>
      <c r="D90" s="69" t="n">
        <v>4564.15269</v>
      </c>
      <c r="E90" s="70">
        <f>C90-D90</f>
        <v/>
      </c>
      <c r="F90" s="70">
        <f>(E90-F757)^2</f>
        <v/>
      </c>
      <c r="G90" s="69">
        <f>(E90-F757)^3</f>
        <v/>
      </c>
      <c r="H90" s="69">
        <f>(E90-F757)^4</f>
        <v/>
      </c>
      <c r="I90" s="68" t="inlineStr"/>
    </row>
    <row r="91">
      <c r="A91" s="65" t="n">
        <v>79</v>
      </c>
      <c r="B91" s="65" t="n">
        <v>78</v>
      </c>
      <c r="C91" s="66" t="n">
        <v>4560.23</v>
      </c>
      <c r="D91" s="66" t="n">
        <v>4564.35514</v>
      </c>
      <c r="E91" s="67">
        <f>C91-D91</f>
        <v/>
      </c>
      <c r="F91" s="67">
        <f>(E91-F757)^2</f>
        <v/>
      </c>
      <c r="G91" s="66">
        <f>(E91-F757)^3</f>
        <v/>
      </c>
      <c r="H91" s="66">
        <f>(E91-F757)^4</f>
        <v/>
      </c>
      <c r="I91" s="65" t="inlineStr"/>
    </row>
    <row r="92">
      <c r="A92" s="68" t="n">
        <v>80</v>
      </c>
      <c r="B92" s="68" t="n">
        <v>79</v>
      </c>
      <c r="C92" s="69" t="n">
        <v>4550.51</v>
      </c>
      <c r="D92" s="69" t="n">
        <v>4564.55758</v>
      </c>
      <c r="E92" s="70">
        <f>C92-D92</f>
        <v/>
      </c>
      <c r="F92" s="70">
        <f>(E92-F757)^2</f>
        <v/>
      </c>
      <c r="G92" s="69">
        <f>(E92-F757)^3</f>
        <v/>
      </c>
      <c r="H92" s="69">
        <f>(E92-F757)^4</f>
        <v/>
      </c>
      <c r="I92" s="68" t="inlineStr"/>
    </row>
    <row r="93">
      <c r="A93" s="65" t="n">
        <v>81</v>
      </c>
      <c r="B93" s="65" t="n">
        <v>80</v>
      </c>
      <c r="C93" s="66" t="n">
        <v>4545.36</v>
      </c>
      <c r="D93" s="66" t="n">
        <v>4564.76003</v>
      </c>
      <c r="E93" s="67">
        <f>C93-D93</f>
        <v/>
      </c>
      <c r="F93" s="67">
        <f>(E93-F757)^2</f>
        <v/>
      </c>
      <c r="G93" s="66">
        <f>(E93-F757)^3</f>
        <v/>
      </c>
      <c r="H93" s="66">
        <f>(E93-F757)^4</f>
        <v/>
      </c>
      <c r="I93" s="65" t="inlineStr"/>
    </row>
    <row r="94">
      <c r="A94" s="68" t="n">
        <v>82</v>
      </c>
      <c r="B94" s="68" t="n">
        <v>81</v>
      </c>
      <c r="C94" s="69" t="n">
        <v>4550.68</v>
      </c>
      <c r="D94" s="69" t="n">
        <v>4564.96247</v>
      </c>
      <c r="E94" s="70">
        <f>C94-D94</f>
        <v/>
      </c>
      <c r="F94" s="70">
        <f>(E94-F757)^2</f>
        <v/>
      </c>
      <c r="G94" s="69">
        <f>(E94-F757)^3</f>
        <v/>
      </c>
      <c r="H94" s="69">
        <f>(E94-F757)^4</f>
        <v/>
      </c>
      <c r="I94" s="68" t="inlineStr"/>
    </row>
    <row r="95">
      <c r="A95" s="65" t="n">
        <v>83</v>
      </c>
      <c r="B95" s="65" t="n">
        <v>82</v>
      </c>
      <c r="C95" s="66" t="n">
        <v>4547.23</v>
      </c>
      <c r="D95" s="66" t="n">
        <v>4565.16492</v>
      </c>
      <c r="E95" s="67">
        <f>C95-D95</f>
        <v/>
      </c>
      <c r="F95" s="67">
        <f>(E95-F757)^2</f>
        <v/>
      </c>
      <c r="G95" s="66">
        <f>(E95-F757)^3</f>
        <v/>
      </c>
      <c r="H95" s="66">
        <f>(E95-F757)^4</f>
        <v/>
      </c>
      <c r="I95" s="65" t="inlineStr"/>
    </row>
    <row r="96">
      <c r="A96" s="68" t="n">
        <v>84</v>
      </c>
      <c r="B96" s="68" t="n">
        <v>83</v>
      </c>
      <c r="C96" s="69" t="n">
        <v>4544.75</v>
      </c>
      <c r="D96" s="69" t="n">
        <v>4565.36736</v>
      </c>
      <c r="E96" s="70">
        <f>C96-D96</f>
        <v/>
      </c>
      <c r="F96" s="70">
        <f>(E96-F757)^2</f>
        <v/>
      </c>
      <c r="G96" s="69">
        <f>(E96-F757)^3</f>
        <v/>
      </c>
      <c r="H96" s="69">
        <f>(E96-F757)^4</f>
        <v/>
      </c>
      <c r="I96" s="68" t="inlineStr"/>
    </row>
    <row r="97">
      <c r="A97" s="65" t="n">
        <v>85</v>
      </c>
      <c r="B97" s="65" t="n">
        <v>84</v>
      </c>
      <c r="C97" s="66" t="n">
        <v>4547.33</v>
      </c>
      <c r="D97" s="66" t="n">
        <v>4565.56981</v>
      </c>
      <c r="E97" s="67">
        <f>C97-D97</f>
        <v/>
      </c>
      <c r="F97" s="67">
        <f>(E97-F757)^2</f>
        <v/>
      </c>
      <c r="G97" s="66">
        <f>(E97-F757)^3</f>
        <v/>
      </c>
      <c r="H97" s="66">
        <f>(E97-F757)^4</f>
        <v/>
      </c>
      <c r="I97" s="65" t="inlineStr"/>
    </row>
    <row r="98">
      <c r="A98" s="68" t="n">
        <v>86</v>
      </c>
      <c r="B98" s="68" t="n">
        <v>85</v>
      </c>
      <c r="C98" s="69" t="n">
        <v>4525.75</v>
      </c>
      <c r="D98" s="69" t="n">
        <v>4565.77226</v>
      </c>
      <c r="E98" s="70">
        <f>C98-D98</f>
        <v/>
      </c>
      <c r="F98" s="70">
        <f>(E98-F757)^2</f>
        <v/>
      </c>
      <c r="G98" s="69">
        <f>(E98-F757)^3</f>
        <v/>
      </c>
      <c r="H98" s="69">
        <f>(E98-F757)^4</f>
        <v/>
      </c>
      <c r="I98" s="68" t="inlineStr"/>
    </row>
    <row r="99">
      <c r="A99" s="65" t="n">
        <v>87</v>
      </c>
      <c r="B99" s="65" t="n">
        <v>86</v>
      </c>
      <c r="C99" s="66" t="n">
        <v>4532.95</v>
      </c>
      <c r="D99" s="66" t="n">
        <v>4565.9747</v>
      </c>
      <c r="E99" s="67">
        <f>C99-D99</f>
        <v/>
      </c>
      <c r="F99" s="67">
        <f>(E99-F757)^2</f>
        <v/>
      </c>
      <c r="G99" s="66">
        <f>(E99-F757)^3</f>
        <v/>
      </c>
      <c r="H99" s="66">
        <f>(E99-F757)^4</f>
        <v/>
      </c>
      <c r="I99" s="65" t="inlineStr"/>
    </row>
    <row r="100">
      <c r="A100" s="68" t="n">
        <v>88</v>
      </c>
      <c r="B100" s="68" t="n">
        <v>87</v>
      </c>
      <c r="C100" s="69" t="n">
        <v>4520.81</v>
      </c>
      <c r="D100" s="69" t="n">
        <v>4566.17715</v>
      </c>
      <c r="E100" s="70">
        <f>C100-D100</f>
        <v/>
      </c>
      <c r="F100" s="70">
        <f>(E100-F757)^2</f>
        <v/>
      </c>
      <c r="G100" s="69">
        <f>(E100-F757)^3</f>
        <v/>
      </c>
      <c r="H100" s="69">
        <f>(E100-F757)^4</f>
        <v/>
      </c>
      <c r="I100" s="68" t="inlineStr"/>
    </row>
    <row r="101">
      <c r="A101" s="65" t="n">
        <v>89</v>
      </c>
      <c r="B101" s="65" t="n">
        <v>88</v>
      </c>
      <c r="C101" s="66" t="n">
        <v>4538.19</v>
      </c>
      <c r="D101" s="66" t="n">
        <v>4566.37959</v>
      </c>
      <c r="E101" s="67">
        <f>C101-D101</f>
        <v/>
      </c>
      <c r="F101" s="67">
        <f>(E101-F757)^2</f>
        <v/>
      </c>
      <c r="G101" s="66">
        <f>(E101-F757)^3</f>
        <v/>
      </c>
      <c r="H101" s="66">
        <f>(E101-F757)^4</f>
        <v/>
      </c>
      <c r="I101" s="65" t="inlineStr"/>
    </row>
    <row r="102">
      <c r="A102" s="68" t="n">
        <v>90</v>
      </c>
      <c r="B102" s="68" t="n">
        <v>89</v>
      </c>
      <c r="C102" s="69" t="n">
        <v>4547.72</v>
      </c>
      <c r="D102" s="69" t="n">
        <v>4566.58204</v>
      </c>
      <c r="E102" s="70">
        <f>C102-D102</f>
        <v/>
      </c>
      <c r="F102" s="70">
        <f>(E102-F757)^2</f>
        <v/>
      </c>
      <c r="G102" s="69">
        <f>(E102-F757)^3</f>
        <v/>
      </c>
      <c r="H102" s="69">
        <f>(E102-F757)^4</f>
        <v/>
      </c>
      <c r="I102" s="68" t="inlineStr"/>
    </row>
    <row r="103">
      <c r="A103" s="65" t="n">
        <v>91</v>
      </c>
      <c r="B103" s="65" t="n">
        <v>90</v>
      </c>
      <c r="C103" s="66" t="n">
        <v>4542.84</v>
      </c>
      <c r="D103" s="66" t="n">
        <v>4566.78448</v>
      </c>
      <c r="E103" s="67">
        <f>C103-D103</f>
        <v/>
      </c>
      <c r="F103" s="67">
        <f>(E103-F757)^2</f>
        <v/>
      </c>
      <c r="G103" s="66">
        <f>(E103-F757)^3</f>
        <v/>
      </c>
      <c r="H103" s="66">
        <f>(E103-F757)^4</f>
        <v/>
      </c>
      <c r="I103" s="65" t="inlineStr"/>
    </row>
    <row r="104">
      <c r="A104" s="68" t="n">
        <v>92</v>
      </c>
      <c r="B104" s="68" t="n">
        <v>91</v>
      </c>
      <c r="C104" s="69" t="n">
        <v>4539.61</v>
      </c>
      <c r="D104" s="69" t="n">
        <v>4566.98693</v>
      </c>
      <c r="E104" s="70">
        <f>C104-D104</f>
        <v/>
      </c>
      <c r="F104" s="70">
        <f>(E104-F757)^2</f>
        <v/>
      </c>
      <c r="G104" s="69">
        <f>(E104-F757)^3</f>
        <v/>
      </c>
      <c r="H104" s="69">
        <f>(E104-F757)^4</f>
        <v/>
      </c>
      <c r="I104" s="68" t="inlineStr"/>
    </row>
    <row r="105">
      <c r="A105" s="65" t="n">
        <v>93</v>
      </c>
      <c r="B105" s="65" t="n">
        <v>92</v>
      </c>
      <c r="C105" s="66" t="n">
        <v>4547.05</v>
      </c>
      <c r="D105" s="66" t="n">
        <v>4567.18938</v>
      </c>
      <c r="E105" s="67">
        <f>C105-D105</f>
        <v/>
      </c>
      <c r="F105" s="67">
        <f>(E105-F757)^2</f>
        <v/>
      </c>
      <c r="G105" s="66">
        <f>(E105-F757)^3</f>
        <v/>
      </c>
      <c r="H105" s="66">
        <f>(E105-F757)^4</f>
        <v/>
      </c>
      <c r="I105" s="65" t="inlineStr"/>
    </row>
    <row r="106">
      <c r="A106" s="68" t="n">
        <v>94</v>
      </c>
      <c r="B106" s="68" t="n">
        <v>93</v>
      </c>
      <c r="C106" s="69" t="n">
        <v>4546.25</v>
      </c>
      <c r="D106" s="69" t="n">
        <v>4567.39182</v>
      </c>
      <c r="E106" s="70">
        <f>C106-D106</f>
        <v/>
      </c>
      <c r="F106" s="70">
        <f>(E106-F757)^2</f>
        <v/>
      </c>
      <c r="G106" s="69">
        <f>(E106-F757)^3</f>
        <v/>
      </c>
      <c r="H106" s="69">
        <f>(E106-F757)^4</f>
        <v/>
      </c>
      <c r="I106" s="68" t="inlineStr"/>
    </row>
    <row r="107">
      <c r="A107" s="65" t="n">
        <v>95</v>
      </c>
      <c r="B107" s="65" t="n">
        <v>94</v>
      </c>
      <c r="C107" s="66" t="n">
        <v>4543.25</v>
      </c>
      <c r="D107" s="66" t="n">
        <v>4567.59427</v>
      </c>
      <c r="E107" s="67">
        <f>C107-D107</f>
        <v/>
      </c>
      <c r="F107" s="67">
        <f>(E107-F757)^2</f>
        <v/>
      </c>
      <c r="G107" s="66">
        <f>(E107-F757)^3</f>
        <v/>
      </c>
      <c r="H107" s="66">
        <f>(E107-F757)^4</f>
        <v/>
      </c>
      <c r="I107" s="65" t="inlineStr"/>
    </row>
    <row r="108">
      <c r="A108" s="68" t="n">
        <v>96</v>
      </c>
      <c r="B108" s="68" t="n">
        <v>95</v>
      </c>
      <c r="C108" s="69" t="n">
        <v>4543.79</v>
      </c>
      <c r="D108" s="69" t="n">
        <v>4567.79671</v>
      </c>
      <c r="E108" s="70">
        <f>C108-D108</f>
        <v/>
      </c>
      <c r="F108" s="70">
        <f>(E108-F757)^2</f>
        <v/>
      </c>
      <c r="G108" s="69">
        <f>(E108-F757)^3</f>
        <v/>
      </c>
      <c r="H108" s="69">
        <f>(E108-F757)^4</f>
        <v/>
      </c>
      <c r="I108" s="68" t="inlineStr"/>
    </row>
    <row r="109">
      <c r="A109" s="65" t="n">
        <v>97</v>
      </c>
      <c r="B109" s="65" t="n">
        <v>96</v>
      </c>
      <c r="C109" s="66" t="n">
        <v>4543.57</v>
      </c>
      <c r="D109" s="66" t="n">
        <v>4567.99916</v>
      </c>
      <c r="E109" s="67">
        <f>C109-D109</f>
        <v/>
      </c>
      <c r="F109" s="67">
        <f>(E109-F757)^2</f>
        <v/>
      </c>
      <c r="G109" s="66">
        <f>(E109-F757)^3</f>
        <v/>
      </c>
      <c r="H109" s="66">
        <f>(E109-F757)^4</f>
        <v/>
      </c>
      <c r="I109" s="65" t="inlineStr"/>
    </row>
    <row r="110">
      <c r="A110" s="68" t="n">
        <v>98</v>
      </c>
      <c r="B110" s="68" t="n">
        <v>97</v>
      </c>
      <c r="C110" s="69" t="n">
        <v>4546.4</v>
      </c>
      <c r="D110" s="69" t="n">
        <v>4568.2016</v>
      </c>
      <c r="E110" s="70">
        <f>C110-D110</f>
        <v/>
      </c>
      <c r="F110" s="70">
        <f>(E110-F757)^2</f>
        <v/>
      </c>
      <c r="G110" s="69">
        <f>(E110-F757)^3</f>
        <v/>
      </c>
      <c r="H110" s="69">
        <f>(E110-F757)^4</f>
        <v/>
      </c>
      <c r="I110" s="68" t="inlineStr"/>
    </row>
    <row r="111">
      <c r="A111" s="65" t="n">
        <v>99</v>
      </c>
      <c r="B111" s="65" t="n">
        <v>98</v>
      </c>
      <c r="C111" s="66" t="n">
        <v>4549.14</v>
      </c>
      <c r="D111" s="66" t="n">
        <v>4568.40405</v>
      </c>
      <c r="E111" s="67">
        <f>C111-D111</f>
        <v/>
      </c>
      <c r="F111" s="67">
        <f>(E111-F757)^2</f>
        <v/>
      </c>
      <c r="G111" s="66">
        <f>(E111-F757)^3</f>
        <v/>
      </c>
      <c r="H111" s="66">
        <f>(E111-F757)^4</f>
        <v/>
      </c>
      <c r="I111" s="65" t="inlineStr"/>
    </row>
    <row r="112">
      <c r="A112" s="68" t="n">
        <v>100</v>
      </c>
      <c r="B112" s="68" t="n">
        <v>99</v>
      </c>
      <c r="C112" s="69" t="n">
        <v>4548.51</v>
      </c>
      <c r="D112" s="69" t="n">
        <v>4568.60649</v>
      </c>
      <c r="E112" s="70">
        <f>C112-D112</f>
        <v/>
      </c>
      <c r="F112" s="70">
        <f>(E112-F757)^2</f>
        <v/>
      </c>
      <c r="G112" s="69">
        <f>(E112-F757)^3</f>
        <v/>
      </c>
      <c r="H112" s="69">
        <f>(E112-F757)^4</f>
        <v/>
      </c>
      <c r="I112" s="68" t="inlineStr"/>
    </row>
    <row r="113">
      <c r="A113" s="65" t="n">
        <v>101</v>
      </c>
      <c r="B113" s="65" t="n">
        <v>100</v>
      </c>
      <c r="C113" s="66" t="n">
        <v>4552.08</v>
      </c>
      <c r="D113" s="66" t="n">
        <v>4568.80894</v>
      </c>
      <c r="E113" s="67">
        <f>C113-D113</f>
        <v/>
      </c>
      <c r="F113" s="67">
        <f>(E113-F757)^2</f>
        <v/>
      </c>
      <c r="G113" s="66">
        <f>(E113-F757)^3</f>
        <v/>
      </c>
      <c r="H113" s="66">
        <f>(E113-F757)^4</f>
        <v/>
      </c>
      <c r="I113" s="65" t="inlineStr"/>
    </row>
    <row r="114">
      <c r="A114" s="68" t="n">
        <v>102</v>
      </c>
      <c r="B114" s="68" t="n">
        <v>101</v>
      </c>
      <c r="C114" s="69" t="n">
        <v>4553.33</v>
      </c>
      <c r="D114" s="69" t="n">
        <v>4569.01139</v>
      </c>
      <c r="E114" s="70">
        <f>C114-D114</f>
        <v/>
      </c>
      <c r="F114" s="70">
        <f>(E114-F757)^2</f>
        <v/>
      </c>
      <c r="G114" s="69">
        <f>(E114-F757)^3</f>
        <v/>
      </c>
      <c r="H114" s="69">
        <f>(E114-F757)^4</f>
        <v/>
      </c>
      <c r="I114" s="68" t="inlineStr"/>
    </row>
    <row r="115">
      <c r="A115" s="65" t="n">
        <v>103</v>
      </c>
      <c r="B115" s="65" t="n">
        <v>102</v>
      </c>
      <c r="C115" s="66" t="n">
        <v>4551.63</v>
      </c>
      <c r="D115" s="66" t="n">
        <v>4569.21383</v>
      </c>
      <c r="E115" s="67">
        <f>C115-D115</f>
        <v/>
      </c>
      <c r="F115" s="67">
        <f>(E115-F757)^2</f>
        <v/>
      </c>
      <c r="G115" s="66">
        <f>(E115-F757)^3</f>
        <v/>
      </c>
      <c r="H115" s="66">
        <f>(E115-F757)^4</f>
        <v/>
      </c>
      <c r="I115" s="65" t="inlineStr"/>
    </row>
    <row r="116">
      <c r="A116" s="68" t="n">
        <v>104</v>
      </c>
      <c r="B116" s="68" t="n">
        <v>103</v>
      </c>
      <c r="C116" s="69" t="n">
        <v>4554.44</v>
      </c>
      <c r="D116" s="69" t="n">
        <v>4569.41628</v>
      </c>
      <c r="E116" s="70">
        <f>C116-D116</f>
        <v/>
      </c>
      <c r="F116" s="70">
        <f>(E116-F757)^2</f>
        <v/>
      </c>
      <c r="G116" s="69">
        <f>(E116-F757)^3</f>
        <v/>
      </c>
      <c r="H116" s="69">
        <f>(E116-F757)^4</f>
        <v/>
      </c>
      <c r="I116" s="68" t="inlineStr"/>
    </row>
    <row r="117">
      <c r="A117" s="65" t="n">
        <v>105</v>
      </c>
      <c r="B117" s="65" t="n">
        <v>104</v>
      </c>
      <c r="C117" s="66" t="n">
        <v>4561.66</v>
      </c>
      <c r="D117" s="66" t="n">
        <v>4569.61872</v>
      </c>
      <c r="E117" s="67">
        <f>C117-D117</f>
        <v/>
      </c>
      <c r="F117" s="67">
        <f>(E117-F757)^2</f>
        <v/>
      </c>
      <c r="G117" s="66">
        <f>(E117-F757)^3</f>
        <v/>
      </c>
      <c r="H117" s="66">
        <f>(E117-F757)^4</f>
        <v/>
      </c>
      <c r="I117" s="65" t="inlineStr"/>
    </row>
    <row r="118">
      <c r="A118" s="68" t="n">
        <v>106</v>
      </c>
      <c r="B118" s="68" t="n">
        <v>105</v>
      </c>
      <c r="C118" s="69" t="n">
        <v>4557.93</v>
      </c>
      <c r="D118" s="69" t="n">
        <v>4569.82117</v>
      </c>
      <c r="E118" s="70">
        <f>C118-D118</f>
        <v/>
      </c>
      <c r="F118" s="70">
        <f>(E118-F757)^2</f>
        <v/>
      </c>
      <c r="G118" s="69">
        <f>(E118-F757)^3</f>
        <v/>
      </c>
      <c r="H118" s="69">
        <f>(E118-F757)^4</f>
        <v/>
      </c>
      <c r="I118" s="68" t="inlineStr"/>
    </row>
    <row r="119">
      <c r="A119" s="65" t="n">
        <v>107</v>
      </c>
      <c r="B119" s="65" t="n">
        <v>106</v>
      </c>
      <c r="C119" s="66" t="n">
        <v>4563.57</v>
      </c>
      <c r="D119" s="66" t="n">
        <v>4570.02361</v>
      </c>
      <c r="E119" s="67">
        <f>C119-D119</f>
        <v/>
      </c>
      <c r="F119" s="67">
        <f>(E119-F757)^2</f>
        <v/>
      </c>
      <c r="G119" s="66">
        <f>(E119-F757)^3</f>
        <v/>
      </c>
      <c r="H119" s="66">
        <f>(E119-F757)^4</f>
        <v/>
      </c>
      <c r="I119" s="65" t="inlineStr"/>
    </row>
    <row r="120">
      <c r="A120" s="68" t="n">
        <v>108</v>
      </c>
      <c r="B120" s="68" t="n">
        <v>107</v>
      </c>
      <c r="C120" s="69" t="n">
        <v>4567.11</v>
      </c>
      <c r="D120" s="69" t="n">
        <v>4570.22606</v>
      </c>
      <c r="E120" s="70">
        <f>C120-D120</f>
        <v/>
      </c>
      <c r="F120" s="70">
        <f>(E120-F757)^2</f>
        <v/>
      </c>
      <c r="G120" s="69">
        <f>(E120-F757)^3</f>
        <v/>
      </c>
      <c r="H120" s="69">
        <f>(E120-F757)^4</f>
        <v/>
      </c>
      <c r="I120" s="68" t="inlineStr"/>
    </row>
    <row r="121">
      <c r="A121" s="65" t="n">
        <v>109</v>
      </c>
      <c r="B121" s="65" t="n">
        <v>108</v>
      </c>
      <c r="C121" s="66" t="n">
        <v>4569.83</v>
      </c>
      <c r="D121" s="66" t="n">
        <v>4570.42851</v>
      </c>
      <c r="E121" s="67">
        <f>C121-D121</f>
        <v/>
      </c>
      <c r="F121" s="67">
        <f>(E121-F757)^2</f>
        <v/>
      </c>
      <c r="G121" s="66">
        <f>(E121-F757)^3</f>
        <v/>
      </c>
      <c r="H121" s="66">
        <f>(E121-F757)^4</f>
        <v/>
      </c>
      <c r="I121" s="65" t="inlineStr"/>
    </row>
    <row r="122">
      <c r="A122" s="68" t="n">
        <v>110</v>
      </c>
      <c r="B122" s="68" t="n">
        <v>109</v>
      </c>
      <c r="C122" s="69" t="n">
        <v>4568.52</v>
      </c>
      <c r="D122" s="69" t="n">
        <v>4570.63095</v>
      </c>
      <c r="E122" s="70">
        <f>C122-D122</f>
        <v/>
      </c>
      <c r="F122" s="70">
        <f>(E122-F757)^2</f>
        <v/>
      </c>
      <c r="G122" s="69">
        <f>(E122-F757)^3</f>
        <v/>
      </c>
      <c r="H122" s="69">
        <f>(E122-F757)^4</f>
        <v/>
      </c>
      <c r="I122" s="68" t="inlineStr"/>
    </row>
    <row r="123">
      <c r="A123" s="65" t="n">
        <v>111</v>
      </c>
      <c r="B123" s="65" t="n">
        <v>110</v>
      </c>
      <c r="C123" s="66" t="n">
        <v>4579.79</v>
      </c>
      <c r="D123" s="66" t="n">
        <v>4570.8334</v>
      </c>
      <c r="E123" s="67">
        <f>C123-D123</f>
        <v/>
      </c>
      <c r="F123" s="67">
        <f>(E123-F757)^2</f>
        <v/>
      </c>
      <c r="G123" s="66">
        <f>(E123-F757)^3</f>
        <v/>
      </c>
      <c r="H123" s="66">
        <f>(E123-F757)^4</f>
        <v/>
      </c>
      <c r="I123" s="65" t="inlineStr"/>
    </row>
    <row r="124">
      <c r="A124" s="68" t="n">
        <v>112</v>
      </c>
      <c r="B124" s="68" t="n">
        <v>111</v>
      </c>
      <c r="C124" s="69" t="n">
        <v>4576.31</v>
      </c>
      <c r="D124" s="69" t="n">
        <v>4571.03584</v>
      </c>
      <c r="E124" s="70">
        <f>C124-D124</f>
        <v/>
      </c>
      <c r="F124" s="70">
        <f>(E124-F757)^2</f>
        <v/>
      </c>
      <c r="G124" s="69">
        <f>(E124-F757)^3</f>
        <v/>
      </c>
      <c r="H124" s="69">
        <f>(E124-F757)^4</f>
        <v/>
      </c>
      <c r="I124" s="68" t="inlineStr"/>
    </row>
    <row r="125">
      <c r="A125" s="65" t="n">
        <v>113</v>
      </c>
      <c r="B125" s="65" t="n">
        <v>112</v>
      </c>
      <c r="C125" s="66" t="n">
        <v>4579.13</v>
      </c>
      <c r="D125" s="66" t="n">
        <v>4571.23829</v>
      </c>
      <c r="E125" s="67">
        <f>C125-D125</f>
        <v/>
      </c>
      <c r="F125" s="67">
        <f>(E125-F757)^2</f>
        <v/>
      </c>
      <c r="G125" s="66">
        <f>(E125-F757)^3</f>
        <v/>
      </c>
      <c r="H125" s="66">
        <f>(E125-F757)^4</f>
        <v/>
      </c>
      <c r="I125" s="65" t="inlineStr"/>
    </row>
    <row r="126">
      <c r="A126" s="68" t="n">
        <v>114</v>
      </c>
      <c r="B126" s="68" t="n">
        <v>113</v>
      </c>
      <c r="C126" s="69" t="n">
        <v>4579.74</v>
      </c>
      <c r="D126" s="69" t="n">
        <v>4571.44073</v>
      </c>
      <c r="E126" s="70">
        <f>C126-D126</f>
        <v/>
      </c>
      <c r="F126" s="70">
        <f>(E126-F757)^2</f>
        <v/>
      </c>
      <c r="G126" s="69">
        <f>(E126-F757)^3</f>
        <v/>
      </c>
      <c r="H126" s="69">
        <f>(E126-F757)^4</f>
        <v/>
      </c>
      <c r="I126" s="68" t="inlineStr"/>
    </row>
    <row r="127">
      <c r="A127" s="65" t="n">
        <v>115</v>
      </c>
      <c r="B127" s="65" t="n">
        <v>114</v>
      </c>
      <c r="C127" s="66" t="n">
        <v>4573.13</v>
      </c>
      <c r="D127" s="66" t="n">
        <v>4571.64318</v>
      </c>
      <c r="E127" s="67">
        <f>C127-D127</f>
        <v/>
      </c>
      <c r="F127" s="67">
        <f>(E127-F757)^2</f>
        <v/>
      </c>
      <c r="G127" s="66">
        <f>(E127-F757)^3</f>
        <v/>
      </c>
      <c r="H127" s="66">
        <f>(E127-F757)^4</f>
        <v/>
      </c>
      <c r="I127" s="65" t="inlineStr"/>
    </row>
    <row r="128">
      <c r="A128" s="68" t="n">
        <v>116</v>
      </c>
      <c r="B128" s="68" t="n">
        <v>115</v>
      </c>
      <c r="C128" s="69" t="n">
        <v>4562.53</v>
      </c>
      <c r="D128" s="69" t="n">
        <v>4571.84563</v>
      </c>
      <c r="E128" s="70">
        <f>C128-D128</f>
        <v/>
      </c>
      <c r="F128" s="70">
        <f>(E128-F757)^2</f>
        <v/>
      </c>
      <c r="G128" s="69">
        <f>(E128-F757)^3</f>
        <v/>
      </c>
      <c r="H128" s="69">
        <f>(E128-F757)^4</f>
        <v/>
      </c>
      <c r="I128" s="68" t="inlineStr"/>
    </row>
    <row r="129">
      <c r="A129" s="65" t="n">
        <v>117</v>
      </c>
      <c r="B129" s="65" t="n">
        <v>116</v>
      </c>
      <c r="C129" s="66" t="n">
        <v>4565.02</v>
      </c>
      <c r="D129" s="66" t="n">
        <v>4572.04807</v>
      </c>
      <c r="E129" s="67">
        <f>C129-D129</f>
        <v/>
      </c>
      <c r="F129" s="67">
        <f>(E129-F757)^2</f>
        <v/>
      </c>
      <c r="G129" s="66">
        <f>(E129-F757)^3</f>
        <v/>
      </c>
      <c r="H129" s="66">
        <f>(E129-F757)^4</f>
        <v/>
      </c>
      <c r="I129" s="65" t="inlineStr"/>
    </row>
    <row r="130">
      <c r="A130" s="68" t="n">
        <v>118</v>
      </c>
      <c r="B130" s="68" t="n">
        <v>117</v>
      </c>
      <c r="C130" s="69" t="n">
        <v>4564.98</v>
      </c>
      <c r="D130" s="69" t="n">
        <v>4572.25052</v>
      </c>
      <c r="E130" s="70">
        <f>C130-D130</f>
        <v/>
      </c>
      <c r="F130" s="70">
        <f>(E130-F757)^2</f>
        <v/>
      </c>
      <c r="G130" s="69">
        <f>(E130-F757)^3</f>
        <v/>
      </c>
      <c r="H130" s="69">
        <f>(E130-F757)^4</f>
        <v/>
      </c>
      <c r="I130" s="68" t="inlineStr"/>
    </row>
    <row r="131">
      <c r="A131" s="65" t="n">
        <v>119</v>
      </c>
      <c r="B131" s="65" t="n">
        <v>118</v>
      </c>
      <c r="C131" s="66" t="n">
        <v>4563.32</v>
      </c>
      <c r="D131" s="66" t="n">
        <v>4572.45296</v>
      </c>
      <c r="E131" s="67">
        <f>C131-D131</f>
        <v/>
      </c>
      <c r="F131" s="67">
        <f>(E131-F757)^2</f>
        <v/>
      </c>
      <c r="G131" s="66">
        <f>(E131-F757)^3</f>
        <v/>
      </c>
      <c r="H131" s="66">
        <f>(E131-F757)^4</f>
        <v/>
      </c>
      <c r="I131" s="65" t="inlineStr"/>
    </row>
    <row r="132">
      <c r="A132" s="68" t="n">
        <v>120</v>
      </c>
      <c r="B132" s="68" t="n">
        <v>119</v>
      </c>
      <c r="C132" s="69" t="n">
        <v>4561.66</v>
      </c>
      <c r="D132" s="69" t="n">
        <v>4572.65541</v>
      </c>
      <c r="E132" s="70">
        <f>C132-D132</f>
        <v/>
      </c>
      <c r="F132" s="70">
        <f>(E132-F757)^2</f>
        <v/>
      </c>
      <c r="G132" s="69">
        <f>(E132-F757)^3</f>
        <v/>
      </c>
      <c r="H132" s="69">
        <f>(E132-F757)^4</f>
        <v/>
      </c>
      <c r="I132" s="68" t="inlineStr"/>
    </row>
    <row r="133">
      <c r="A133" s="65" t="n">
        <v>121</v>
      </c>
      <c r="B133" s="65" t="n">
        <v>120</v>
      </c>
      <c r="C133" s="66" t="n">
        <v>4556.09</v>
      </c>
      <c r="D133" s="66" t="n">
        <v>4572.85785</v>
      </c>
      <c r="E133" s="67">
        <f>C133-D133</f>
        <v/>
      </c>
      <c r="F133" s="67">
        <f>(E133-F757)^2</f>
        <v/>
      </c>
      <c r="G133" s="66">
        <f>(E133-F757)^3</f>
        <v/>
      </c>
      <c r="H133" s="66">
        <f>(E133-F757)^4</f>
        <v/>
      </c>
      <c r="I133" s="65" t="inlineStr"/>
    </row>
    <row r="134">
      <c r="A134" s="68" t="n">
        <v>122</v>
      </c>
      <c r="B134" s="68" t="n">
        <v>121</v>
      </c>
      <c r="C134" s="69" t="n">
        <v>4555.41</v>
      </c>
      <c r="D134" s="69" t="n">
        <v>4573.0603</v>
      </c>
      <c r="E134" s="70">
        <f>C134-D134</f>
        <v/>
      </c>
      <c r="F134" s="70">
        <f>(E134-F757)^2</f>
        <v/>
      </c>
      <c r="G134" s="69">
        <f>(E134-F757)^3</f>
        <v/>
      </c>
      <c r="H134" s="69">
        <f>(E134-F757)^4</f>
        <v/>
      </c>
      <c r="I134" s="68" t="inlineStr"/>
    </row>
    <row r="135">
      <c r="A135" s="65" t="n">
        <v>123</v>
      </c>
      <c r="B135" s="65" t="n">
        <v>122</v>
      </c>
      <c r="C135" s="66" t="n">
        <v>4547.28</v>
      </c>
      <c r="D135" s="66" t="n">
        <v>4573.26275</v>
      </c>
      <c r="E135" s="67">
        <f>C135-D135</f>
        <v/>
      </c>
      <c r="F135" s="67">
        <f>(E135-F757)^2</f>
        <v/>
      </c>
      <c r="G135" s="66">
        <f>(E135-F757)^3</f>
        <v/>
      </c>
      <c r="H135" s="66">
        <f>(E135-F757)^4</f>
        <v/>
      </c>
      <c r="I135" s="65" t="inlineStr"/>
    </row>
    <row r="136">
      <c r="A136" s="68" t="n">
        <v>124</v>
      </c>
      <c r="B136" s="68" t="n">
        <v>123</v>
      </c>
      <c r="C136" s="69" t="n">
        <v>4544.74</v>
      </c>
      <c r="D136" s="69" t="n">
        <v>4573.46519</v>
      </c>
      <c r="E136" s="70">
        <f>C136-D136</f>
        <v/>
      </c>
      <c r="F136" s="70">
        <f>(E136-F757)^2</f>
        <v/>
      </c>
      <c r="G136" s="69">
        <f>(E136-F757)^3</f>
        <v/>
      </c>
      <c r="H136" s="69">
        <f>(E136-F757)^4</f>
        <v/>
      </c>
      <c r="I136" s="68" t="inlineStr"/>
    </row>
    <row r="137">
      <c r="A137" s="65" t="n">
        <v>125</v>
      </c>
      <c r="B137" s="65" t="n">
        <v>124</v>
      </c>
      <c r="C137" s="66" t="n">
        <v>4541.91</v>
      </c>
      <c r="D137" s="66" t="n">
        <v>4573.66764</v>
      </c>
      <c r="E137" s="67">
        <f>C137-D137</f>
        <v/>
      </c>
      <c r="F137" s="67">
        <f>(E137-F757)^2</f>
        <v/>
      </c>
      <c r="G137" s="66">
        <f>(E137-F757)^3</f>
        <v/>
      </c>
      <c r="H137" s="66">
        <f>(E137-F757)^4</f>
        <v/>
      </c>
      <c r="I137" s="65" t="inlineStr"/>
    </row>
    <row r="138">
      <c r="A138" s="68" t="n">
        <v>126</v>
      </c>
      <c r="B138" s="68" t="n">
        <v>125</v>
      </c>
      <c r="C138" s="69" t="n">
        <v>4553.22</v>
      </c>
      <c r="D138" s="69" t="n">
        <v>4573.87008</v>
      </c>
      <c r="E138" s="70">
        <f>C138-D138</f>
        <v/>
      </c>
      <c r="F138" s="70">
        <f>(E138-F757)^2</f>
        <v/>
      </c>
      <c r="G138" s="69">
        <f>(E138-F757)^3</f>
        <v/>
      </c>
      <c r="H138" s="69">
        <f>(E138-F757)^4</f>
        <v/>
      </c>
      <c r="I138" s="68" t="inlineStr"/>
    </row>
    <row r="139">
      <c r="A139" s="65" t="n">
        <v>127</v>
      </c>
      <c r="B139" s="65" t="n">
        <v>126</v>
      </c>
      <c r="C139" s="66" t="n">
        <v>4555.73</v>
      </c>
      <c r="D139" s="66" t="n">
        <v>4574.07253</v>
      </c>
      <c r="E139" s="67">
        <f>C139-D139</f>
        <v/>
      </c>
      <c r="F139" s="67">
        <f>(E139-F757)^2</f>
        <v/>
      </c>
      <c r="G139" s="66">
        <f>(E139-F757)^3</f>
        <v/>
      </c>
      <c r="H139" s="66">
        <f>(E139-F757)^4</f>
        <v/>
      </c>
      <c r="I139" s="65" t="inlineStr"/>
    </row>
    <row r="140">
      <c r="A140" s="68" t="n">
        <v>128</v>
      </c>
      <c r="B140" s="68" t="n">
        <v>127</v>
      </c>
      <c r="C140" s="69" t="n">
        <v>4564.04</v>
      </c>
      <c r="D140" s="69" t="n">
        <v>4574.27497</v>
      </c>
      <c r="E140" s="70">
        <f>C140-D140</f>
        <v/>
      </c>
      <c r="F140" s="70">
        <f>(E140-F757)^2</f>
        <v/>
      </c>
      <c r="G140" s="69">
        <f>(E140-F757)^3</f>
        <v/>
      </c>
      <c r="H140" s="69">
        <f>(E140-F757)^4</f>
        <v/>
      </c>
      <c r="I140" s="68" t="inlineStr"/>
    </row>
    <row r="141">
      <c r="A141" s="65" t="n">
        <v>129</v>
      </c>
      <c r="B141" s="65" t="n">
        <v>128</v>
      </c>
      <c r="C141" s="66" t="n">
        <v>4562.71</v>
      </c>
      <c r="D141" s="66" t="n">
        <v>4574.47742</v>
      </c>
      <c r="E141" s="67">
        <f>C141-D141</f>
        <v/>
      </c>
      <c r="F141" s="67">
        <f>(E141-F757)^2</f>
        <v/>
      </c>
      <c r="G141" s="66">
        <f>(E141-F757)^3</f>
        <v/>
      </c>
      <c r="H141" s="66">
        <f>(E141-F757)^4</f>
        <v/>
      </c>
      <c r="I141" s="65" t="inlineStr"/>
    </row>
    <row r="142">
      <c r="A142" s="68" t="n">
        <v>130</v>
      </c>
      <c r="B142" s="68" t="n">
        <v>129</v>
      </c>
      <c r="C142" s="69" t="n">
        <v>4566.21</v>
      </c>
      <c r="D142" s="69" t="n">
        <v>4574.67987</v>
      </c>
      <c r="E142" s="70">
        <f>C142-D142</f>
        <v/>
      </c>
      <c r="F142" s="70">
        <f>(E142-F757)^2</f>
        <v/>
      </c>
      <c r="G142" s="69">
        <f>(E142-F757)^3</f>
        <v/>
      </c>
      <c r="H142" s="69">
        <f>(E142-F757)^4</f>
        <v/>
      </c>
      <c r="I142" s="68" t="inlineStr"/>
    </row>
    <row r="143">
      <c r="A143" s="65" t="n">
        <v>131</v>
      </c>
      <c r="B143" s="65" t="n">
        <v>130</v>
      </c>
      <c r="C143" s="66" t="n">
        <v>4569.57</v>
      </c>
      <c r="D143" s="66" t="n">
        <v>4574.88231</v>
      </c>
      <c r="E143" s="67">
        <f>C143-D143</f>
        <v/>
      </c>
      <c r="F143" s="67">
        <f>(E143-F757)^2</f>
        <v/>
      </c>
      <c r="G143" s="66">
        <f>(E143-F757)^3</f>
        <v/>
      </c>
      <c r="H143" s="66">
        <f>(E143-F757)^4</f>
        <v/>
      </c>
      <c r="I143" s="65" t="inlineStr"/>
    </row>
    <row r="144">
      <c r="A144" s="68" t="n">
        <v>132</v>
      </c>
      <c r="B144" s="68" t="n">
        <v>131</v>
      </c>
      <c r="C144" s="69" t="n">
        <v>4575.23</v>
      </c>
      <c r="D144" s="69" t="n">
        <v>4575.08476</v>
      </c>
      <c r="E144" s="70">
        <f>C144-D144</f>
        <v/>
      </c>
      <c r="F144" s="70">
        <f>(E144-F757)^2</f>
        <v/>
      </c>
      <c r="G144" s="69">
        <f>(E144-F757)^3</f>
        <v/>
      </c>
      <c r="H144" s="69">
        <f>(E144-F757)^4</f>
        <v/>
      </c>
      <c r="I144" s="68" t="inlineStr"/>
    </row>
    <row r="145">
      <c r="A145" s="65" t="n">
        <v>133</v>
      </c>
      <c r="B145" s="65" t="n">
        <v>132</v>
      </c>
      <c r="C145" s="66" t="n">
        <v>4589.44</v>
      </c>
      <c r="D145" s="66" t="n">
        <v>4575.2872</v>
      </c>
      <c r="E145" s="67">
        <f>C145-D145</f>
        <v/>
      </c>
      <c r="F145" s="67">
        <f>(E145-F757)^2</f>
        <v/>
      </c>
      <c r="G145" s="66">
        <f>(E145-F757)^3</f>
        <v/>
      </c>
      <c r="H145" s="66">
        <f>(E145-F757)^4</f>
        <v/>
      </c>
      <c r="I145" s="65" t="inlineStr"/>
    </row>
    <row r="146">
      <c r="A146" s="68" t="n">
        <v>134</v>
      </c>
      <c r="B146" s="68" t="n">
        <v>133</v>
      </c>
      <c r="C146" s="69" t="n">
        <v>4591.59</v>
      </c>
      <c r="D146" s="69" t="n">
        <v>4575.48965</v>
      </c>
      <c r="E146" s="70">
        <f>C146-D146</f>
        <v/>
      </c>
      <c r="F146" s="70">
        <f>(E146-F757)^2</f>
        <v/>
      </c>
      <c r="G146" s="69">
        <f>(E146-F757)^3</f>
        <v/>
      </c>
      <c r="H146" s="69">
        <f>(E146-F757)^4</f>
        <v/>
      </c>
      <c r="I146" s="68" t="inlineStr"/>
    </row>
    <row r="147">
      <c r="A147" s="65" t="n">
        <v>135</v>
      </c>
      <c r="B147" s="65" t="n">
        <v>134</v>
      </c>
      <c r="C147" s="66" t="n">
        <v>4591.59</v>
      </c>
      <c r="D147" s="66" t="n">
        <v>4575.69209</v>
      </c>
      <c r="E147" s="67">
        <f>C147-D147</f>
        <v/>
      </c>
      <c r="F147" s="67">
        <f>(E147-F757)^2</f>
        <v/>
      </c>
      <c r="G147" s="66">
        <f>(E147-F757)^3</f>
        <v/>
      </c>
      <c r="H147" s="66">
        <f>(E147-F757)^4</f>
        <v/>
      </c>
      <c r="I147" s="65" t="inlineStr"/>
    </row>
    <row r="148">
      <c r="A148" s="68" t="n">
        <v>136</v>
      </c>
      <c r="B148" s="68" t="n">
        <v>135</v>
      </c>
      <c r="C148" s="69" t="n">
        <v>4596.69</v>
      </c>
      <c r="D148" s="69" t="n">
        <v>4575.89454</v>
      </c>
      <c r="E148" s="70">
        <f>C148-D148</f>
        <v/>
      </c>
      <c r="F148" s="70">
        <f>(E148-F757)^2</f>
        <v/>
      </c>
      <c r="G148" s="69">
        <f>(E148-F757)^3</f>
        <v/>
      </c>
      <c r="H148" s="69">
        <f>(E148-F757)^4</f>
        <v/>
      </c>
      <c r="I148" s="68" t="inlineStr"/>
    </row>
    <row r="149">
      <c r="A149" s="65" t="n">
        <v>137</v>
      </c>
      <c r="B149" s="65" t="n">
        <v>136</v>
      </c>
      <c r="C149" s="66" t="n">
        <v>4598.44</v>
      </c>
      <c r="D149" s="66" t="n">
        <v>4576.09699</v>
      </c>
      <c r="E149" s="67">
        <f>C149-D149</f>
        <v/>
      </c>
      <c r="F149" s="67">
        <f>(E149-F757)^2</f>
        <v/>
      </c>
      <c r="G149" s="66">
        <f>(E149-F757)^3</f>
        <v/>
      </c>
      <c r="H149" s="66">
        <f>(E149-F757)^4</f>
        <v/>
      </c>
      <c r="I149" s="65" t="inlineStr"/>
    </row>
    <row r="150">
      <c r="A150" s="68" t="n">
        <v>138</v>
      </c>
      <c r="B150" s="68" t="n">
        <v>137</v>
      </c>
      <c r="C150" s="69" t="n">
        <v>4618.7</v>
      </c>
      <c r="D150" s="69" t="n">
        <v>4576.29943</v>
      </c>
      <c r="E150" s="70">
        <f>C150-D150</f>
        <v/>
      </c>
      <c r="F150" s="70">
        <f>(E150-F757)^2</f>
        <v/>
      </c>
      <c r="G150" s="69">
        <f>(E150-F757)^3</f>
        <v/>
      </c>
      <c r="H150" s="69">
        <f>(E150-F757)^4</f>
        <v/>
      </c>
      <c r="I150" s="68" t="inlineStr"/>
    </row>
    <row r="151">
      <c r="A151" s="65" t="n">
        <v>139</v>
      </c>
      <c r="B151" s="65" t="n">
        <v>138</v>
      </c>
      <c r="C151" s="66" t="n">
        <v>4617.35</v>
      </c>
      <c r="D151" s="66" t="n">
        <v>4576.50188</v>
      </c>
      <c r="E151" s="67">
        <f>C151-D151</f>
        <v/>
      </c>
      <c r="F151" s="67">
        <f>(E151-F757)^2</f>
        <v/>
      </c>
      <c r="G151" s="66">
        <f>(E151-F757)^3</f>
        <v/>
      </c>
      <c r="H151" s="66">
        <f>(E151-F757)^4</f>
        <v/>
      </c>
      <c r="I151" s="65" t="inlineStr"/>
    </row>
    <row r="152">
      <c r="A152" s="68" t="n">
        <v>140</v>
      </c>
      <c r="B152" s="68" t="n">
        <v>139</v>
      </c>
      <c r="C152" s="69" t="n">
        <v>4614.82</v>
      </c>
      <c r="D152" s="69" t="n">
        <v>4576.70432</v>
      </c>
      <c r="E152" s="70">
        <f>C152-D152</f>
        <v/>
      </c>
      <c r="F152" s="70">
        <f>(E152-F757)^2</f>
        <v/>
      </c>
      <c r="G152" s="69">
        <f>(E152-F757)^3</f>
        <v/>
      </c>
      <c r="H152" s="69">
        <f>(E152-F757)^4</f>
        <v/>
      </c>
      <c r="I152" s="68" t="inlineStr"/>
    </row>
    <row r="153">
      <c r="A153" s="65" t="n">
        <v>141</v>
      </c>
      <c r="B153" s="65" t="n">
        <v>140</v>
      </c>
      <c r="C153" s="66" t="n">
        <v>4616</v>
      </c>
      <c r="D153" s="66" t="n">
        <v>4576.90677</v>
      </c>
      <c r="E153" s="67">
        <f>C153-D153</f>
        <v/>
      </c>
      <c r="F153" s="67">
        <f>(E153-F757)^2</f>
        <v/>
      </c>
      <c r="G153" s="66">
        <f>(E153-F757)^3</f>
        <v/>
      </c>
      <c r="H153" s="66">
        <f>(E153-F757)^4</f>
        <v/>
      </c>
      <c r="I153" s="65" t="inlineStr"/>
    </row>
    <row r="154">
      <c r="A154" s="68" t="n">
        <v>142</v>
      </c>
      <c r="B154" s="68" t="n">
        <v>141</v>
      </c>
      <c r="C154" s="69" t="n">
        <v>4618.96</v>
      </c>
      <c r="D154" s="69" t="n">
        <v>4577.10921</v>
      </c>
      <c r="E154" s="70">
        <f>C154-D154</f>
        <v/>
      </c>
      <c r="F154" s="70">
        <f>(E154-F757)^2</f>
        <v/>
      </c>
      <c r="G154" s="69">
        <f>(E154-F757)^3</f>
        <v/>
      </c>
      <c r="H154" s="69">
        <f>(E154-F757)^4</f>
        <v/>
      </c>
      <c r="I154" s="68" t="inlineStr"/>
    </row>
    <row r="155">
      <c r="A155" s="65" t="n">
        <v>143</v>
      </c>
      <c r="B155" s="65" t="n">
        <v>142</v>
      </c>
      <c r="C155" s="66" t="n">
        <v>4625.41</v>
      </c>
      <c r="D155" s="66" t="n">
        <v>4577.31166</v>
      </c>
      <c r="E155" s="67">
        <f>C155-D155</f>
        <v/>
      </c>
      <c r="F155" s="67">
        <f>(E155-F757)^2</f>
        <v/>
      </c>
      <c r="G155" s="66">
        <f>(E155-F757)^3</f>
        <v/>
      </c>
      <c r="H155" s="66">
        <f>(E155-F757)^4</f>
        <v/>
      </c>
      <c r="I155" s="65" t="inlineStr"/>
    </row>
    <row r="156">
      <c r="A156" s="68" t="n">
        <v>144</v>
      </c>
      <c r="B156" s="68" t="n">
        <v>143</v>
      </c>
      <c r="C156" s="69" t="n">
        <v>4619.35</v>
      </c>
      <c r="D156" s="69" t="n">
        <v>4577.51411</v>
      </c>
      <c r="E156" s="70">
        <f>C156-D156</f>
        <v/>
      </c>
      <c r="F156" s="70">
        <f>(E156-F757)^2</f>
        <v/>
      </c>
      <c r="G156" s="69">
        <f>(E156-F757)^3</f>
        <v/>
      </c>
      <c r="H156" s="69">
        <f>(E156-F757)^4</f>
        <v/>
      </c>
      <c r="I156" s="68" t="inlineStr"/>
    </row>
    <row r="157">
      <c r="A157" s="65" t="n">
        <v>145</v>
      </c>
      <c r="B157" s="65" t="n">
        <v>144</v>
      </c>
      <c r="C157" s="66" t="n">
        <v>4624.91</v>
      </c>
      <c r="D157" s="66" t="n">
        <v>4577.71655</v>
      </c>
      <c r="E157" s="67">
        <f>C157-D157</f>
        <v/>
      </c>
      <c r="F157" s="67">
        <f>(E157-F757)^2</f>
        <v/>
      </c>
      <c r="G157" s="66">
        <f>(E157-F757)^3</f>
        <v/>
      </c>
      <c r="H157" s="66">
        <f>(E157-F757)^4</f>
        <v/>
      </c>
      <c r="I157" s="65" t="inlineStr"/>
    </row>
    <row r="158">
      <c r="A158" s="68" t="n">
        <v>146</v>
      </c>
      <c r="B158" s="68" t="n">
        <v>145</v>
      </c>
      <c r="C158" s="69" t="n">
        <v>4626.92</v>
      </c>
      <c r="D158" s="69" t="n">
        <v>4577.919</v>
      </c>
      <c r="E158" s="70">
        <f>C158-D158</f>
        <v/>
      </c>
      <c r="F158" s="70">
        <f>(E158-F757)^2</f>
        <v/>
      </c>
      <c r="G158" s="69">
        <f>(E158-F757)^3</f>
        <v/>
      </c>
      <c r="H158" s="69">
        <f>(E158-F757)^4</f>
        <v/>
      </c>
      <c r="I158" s="68" t="inlineStr"/>
    </row>
    <row r="159">
      <c r="A159" s="65" t="n">
        <v>147</v>
      </c>
      <c r="B159" s="65" t="n">
        <v>146</v>
      </c>
      <c r="C159" s="66" t="n">
        <v>4643.78</v>
      </c>
      <c r="D159" s="66" t="n">
        <v>4578.12144</v>
      </c>
      <c r="E159" s="67">
        <f>C159-D159</f>
        <v/>
      </c>
      <c r="F159" s="67">
        <f>(E159-F757)^2</f>
        <v/>
      </c>
      <c r="G159" s="66">
        <f>(E159-F757)^3</f>
        <v/>
      </c>
      <c r="H159" s="66">
        <f>(E159-F757)^4</f>
        <v/>
      </c>
      <c r="I159" s="65" t="inlineStr"/>
    </row>
    <row r="160">
      <c r="A160" s="68" t="n">
        <v>148</v>
      </c>
      <c r="B160" s="68" t="n">
        <v>147</v>
      </c>
      <c r="C160" s="69" t="n">
        <v>4636.62</v>
      </c>
      <c r="D160" s="69" t="n">
        <v>4578.32389</v>
      </c>
      <c r="E160" s="70">
        <f>C160-D160</f>
        <v/>
      </c>
      <c r="F160" s="70">
        <f>(E160-F757)^2</f>
        <v/>
      </c>
      <c r="G160" s="69">
        <f>(E160-F757)^3</f>
        <v/>
      </c>
      <c r="H160" s="69">
        <f>(E160-F757)^4</f>
        <v/>
      </c>
      <c r="I160" s="68" t="inlineStr"/>
    </row>
    <row r="161">
      <c r="A161" s="65" t="n">
        <v>149</v>
      </c>
      <c r="B161" s="65" t="n">
        <v>148</v>
      </c>
      <c r="C161" s="66" t="n">
        <v>4639.68</v>
      </c>
      <c r="D161" s="66" t="n">
        <v>4578.52633</v>
      </c>
      <c r="E161" s="67">
        <f>C161-D161</f>
        <v/>
      </c>
      <c r="F161" s="67">
        <f>(E161-F757)^2</f>
        <v/>
      </c>
      <c r="G161" s="66">
        <f>(E161-F757)^3</f>
        <v/>
      </c>
      <c r="H161" s="66">
        <f>(E161-F757)^4</f>
        <v/>
      </c>
      <c r="I161" s="65" t="inlineStr"/>
    </row>
    <row r="162">
      <c r="A162" s="68" t="n">
        <v>150</v>
      </c>
      <c r="B162" s="68" t="n">
        <v>149</v>
      </c>
      <c r="C162" s="69" t="n">
        <v>4635.99</v>
      </c>
      <c r="D162" s="69" t="n">
        <v>4578.72878</v>
      </c>
      <c r="E162" s="70">
        <f>C162-D162</f>
        <v/>
      </c>
      <c r="F162" s="70">
        <f>(E162-F757)^2</f>
        <v/>
      </c>
      <c r="G162" s="69">
        <f>(E162-F757)^3</f>
        <v/>
      </c>
      <c r="H162" s="69">
        <f>(E162-F757)^4</f>
        <v/>
      </c>
      <c r="I162" s="68" t="inlineStr"/>
    </row>
    <row r="163">
      <c r="A163" s="65" t="n">
        <v>151</v>
      </c>
      <c r="B163" s="65" t="n">
        <v>150</v>
      </c>
      <c r="C163" s="66" t="n">
        <v>4637.7</v>
      </c>
      <c r="D163" s="66" t="n">
        <v>4578.93123</v>
      </c>
      <c r="E163" s="67">
        <f>C163-D163</f>
        <v/>
      </c>
      <c r="F163" s="67">
        <f>(E163-F757)^2</f>
        <v/>
      </c>
      <c r="G163" s="66">
        <f>(E163-F757)^3</f>
        <v/>
      </c>
      <c r="H163" s="66">
        <f>(E163-F757)^4</f>
        <v/>
      </c>
      <c r="I163" s="65" t="inlineStr"/>
    </row>
    <row r="164">
      <c r="A164" s="68" t="n">
        <v>152</v>
      </c>
      <c r="B164" s="68" t="n">
        <v>151</v>
      </c>
      <c r="C164" s="69" t="n">
        <v>4629.82</v>
      </c>
      <c r="D164" s="69" t="n">
        <v>4579.13367</v>
      </c>
      <c r="E164" s="70">
        <f>C164-D164</f>
        <v/>
      </c>
      <c r="F164" s="70">
        <f>(E164-F757)^2</f>
        <v/>
      </c>
      <c r="G164" s="69">
        <f>(E164-F757)^3</f>
        <v/>
      </c>
      <c r="H164" s="69">
        <f>(E164-F757)^4</f>
        <v/>
      </c>
      <c r="I164" s="68" t="inlineStr"/>
    </row>
    <row r="165">
      <c r="A165" s="65" t="n">
        <v>153</v>
      </c>
      <c r="B165" s="65" t="n">
        <v>152</v>
      </c>
      <c r="C165" s="66" t="n">
        <v>4630.21</v>
      </c>
      <c r="D165" s="66" t="n">
        <v>4579.33612</v>
      </c>
      <c r="E165" s="67">
        <f>C165-D165</f>
        <v/>
      </c>
      <c r="F165" s="67">
        <f>(E165-F757)^2</f>
        <v/>
      </c>
      <c r="G165" s="66">
        <f>(E165-F757)^3</f>
        <v/>
      </c>
      <c r="H165" s="66">
        <f>(E165-F757)^4</f>
        <v/>
      </c>
      <c r="I165" s="65" t="inlineStr"/>
    </row>
    <row r="166">
      <c r="A166" s="68" t="n">
        <v>154</v>
      </c>
      <c r="B166" s="68" t="n">
        <v>153</v>
      </c>
      <c r="C166" s="69" t="n">
        <v>4635.81</v>
      </c>
      <c r="D166" s="69" t="n">
        <v>4579.53856</v>
      </c>
      <c r="E166" s="70">
        <f>C166-D166</f>
        <v/>
      </c>
      <c r="F166" s="70">
        <f>(E166-F757)^2</f>
        <v/>
      </c>
      <c r="G166" s="69">
        <f>(E166-F757)^3</f>
        <v/>
      </c>
      <c r="H166" s="69">
        <f>(E166-F757)^4</f>
        <v/>
      </c>
      <c r="I166" s="68" t="inlineStr"/>
    </row>
    <row r="167">
      <c r="A167" s="65" t="n">
        <v>155</v>
      </c>
      <c r="B167" s="65" t="n">
        <v>154</v>
      </c>
      <c r="C167" s="66" t="n">
        <v>4630.51</v>
      </c>
      <c r="D167" s="66" t="n">
        <v>4579.74101</v>
      </c>
      <c r="E167" s="67">
        <f>C167-D167</f>
        <v/>
      </c>
      <c r="F167" s="67">
        <f>(E167-F757)^2</f>
        <v/>
      </c>
      <c r="G167" s="66">
        <f>(E167-F757)^3</f>
        <v/>
      </c>
      <c r="H167" s="66">
        <f>(E167-F757)^4</f>
        <v/>
      </c>
      <c r="I167" s="65" t="inlineStr"/>
    </row>
    <row r="168">
      <c r="A168" s="68" t="n">
        <v>156</v>
      </c>
      <c r="B168" s="68" t="n">
        <v>155</v>
      </c>
      <c r="C168" s="69" t="n">
        <v>4625.92</v>
      </c>
      <c r="D168" s="69" t="n">
        <v>4579.94345</v>
      </c>
      <c r="E168" s="70">
        <f>C168-D168</f>
        <v/>
      </c>
      <c r="F168" s="70">
        <f>(E168-F757)^2</f>
        <v/>
      </c>
      <c r="G168" s="69">
        <f>(E168-F757)^3</f>
        <v/>
      </c>
      <c r="H168" s="69">
        <f>(E168-F757)^4</f>
        <v/>
      </c>
      <c r="I168" s="68" t="inlineStr"/>
    </row>
    <row r="169">
      <c r="A169" s="65" t="n">
        <v>157</v>
      </c>
      <c r="B169" s="65" t="n">
        <v>156</v>
      </c>
      <c r="C169" s="66" t="n">
        <v>4639.57</v>
      </c>
      <c r="D169" s="66" t="n">
        <v>4580.1459</v>
      </c>
      <c r="E169" s="67">
        <f>C169-D169</f>
        <v/>
      </c>
      <c r="F169" s="67">
        <f>(E169-F757)^2</f>
        <v/>
      </c>
      <c r="G169" s="66">
        <f>(E169-F757)^3</f>
        <v/>
      </c>
      <c r="H169" s="66">
        <f>(E169-F757)^4</f>
        <v/>
      </c>
      <c r="I169" s="65" t="inlineStr"/>
    </row>
    <row r="170">
      <c r="A170" s="68" t="n">
        <v>158</v>
      </c>
      <c r="B170" s="68" t="n">
        <v>157</v>
      </c>
      <c r="C170" s="69" t="n">
        <v>4641.5</v>
      </c>
      <c r="D170" s="69" t="n">
        <v>4580.34835</v>
      </c>
      <c r="E170" s="70">
        <f>C170-D170</f>
        <v/>
      </c>
      <c r="F170" s="70">
        <f>(E170-F757)^2</f>
        <v/>
      </c>
      <c r="G170" s="69">
        <f>(E170-F757)^3</f>
        <v/>
      </c>
      <c r="H170" s="69">
        <f>(E170-F757)^4</f>
        <v/>
      </c>
      <c r="I170" s="68" t="inlineStr"/>
    </row>
    <row r="171">
      <c r="A171" s="65" t="n">
        <v>159</v>
      </c>
      <c r="B171" s="65" t="n">
        <v>158</v>
      </c>
      <c r="C171" s="66" t="n">
        <v>4633.5</v>
      </c>
      <c r="D171" s="66" t="n">
        <v>4580.55079</v>
      </c>
      <c r="E171" s="67">
        <f>C171-D171</f>
        <v/>
      </c>
      <c r="F171" s="67">
        <f>(E171-F757)^2</f>
        <v/>
      </c>
      <c r="G171" s="66">
        <f>(E171-F757)^3</f>
        <v/>
      </c>
      <c r="H171" s="66">
        <f>(E171-F757)^4</f>
        <v/>
      </c>
      <c r="I171" s="65" t="inlineStr"/>
    </row>
    <row r="172">
      <c r="A172" s="68" t="n">
        <v>160</v>
      </c>
      <c r="B172" s="68" t="n">
        <v>159</v>
      </c>
      <c r="C172" s="69" t="n">
        <v>4625.44</v>
      </c>
      <c r="D172" s="69" t="n">
        <v>4580.75324</v>
      </c>
      <c r="E172" s="70">
        <f>C172-D172</f>
        <v/>
      </c>
      <c r="F172" s="70">
        <f>(E172-F757)^2</f>
        <v/>
      </c>
      <c r="G172" s="69">
        <f>(E172-F757)^3</f>
        <v/>
      </c>
      <c r="H172" s="69">
        <f>(E172-F757)^4</f>
        <v/>
      </c>
      <c r="I172" s="68" t="inlineStr"/>
    </row>
    <row r="173">
      <c r="A173" s="65" t="n">
        <v>161</v>
      </c>
      <c r="B173" s="65" t="n">
        <v>160</v>
      </c>
      <c r="C173" s="66" t="n">
        <v>4610.99</v>
      </c>
      <c r="D173" s="66" t="n">
        <v>4580.95568</v>
      </c>
      <c r="E173" s="67">
        <f>C173-D173</f>
        <v/>
      </c>
      <c r="F173" s="67">
        <f>(E173-F757)^2</f>
        <v/>
      </c>
      <c r="G173" s="66">
        <f>(E173-F757)^3</f>
        <v/>
      </c>
      <c r="H173" s="66">
        <f>(E173-F757)^4</f>
        <v/>
      </c>
      <c r="I173" s="65" t="inlineStr"/>
    </row>
    <row r="174">
      <c r="A174" s="68" t="n">
        <v>162</v>
      </c>
      <c r="B174" s="68" t="n">
        <v>161</v>
      </c>
      <c r="C174" s="69" t="n">
        <v>4620.39</v>
      </c>
      <c r="D174" s="69" t="n">
        <v>4581.15813</v>
      </c>
      <c r="E174" s="70">
        <f>C174-D174</f>
        <v/>
      </c>
      <c r="F174" s="70">
        <f>(E174-F757)^2</f>
        <v/>
      </c>
      <c r="G174" s="69">
        <f>(E174-F757)^3</f>
        <v/>
      </c>
      <c r="H174" s="69">
        <f>(E174-F757)^4</f>
        <v/>
      </c>
      <c r="I174" s="68" t="inlineStr"/>
    </row>
    <row r="175">
      <c r="A175" s="65" t="n">
        <v>163</v>
      </c>
      <c r="B175" s="65" t="n">
        <v>162</v>
      </c>
      <c r="C175" s="66" t="n">
        <v>4622.81</v>
      </c>
      <c r="D175" s="66" t="n">
        <v>4581.36057</v>
      </c>
      <c r="E175" s="67">
        <f>C175-D175</f>
        <v/>
      </c>
      <c r="F175" s="67">
        <f>(E175-F757)^2</f>
        <v/>
      </c>
      <c r="G175" s="66">
        <f>(E175-F757)^3</f>
        <v/>
      </c>
      <c r="H175" s="66">
        <f>(E175-F757)^4</f>
        <v/>
      </c>
      <c r="I175" s="65" t="inlineStr"/>
    </row>
    <row r="176">
      <c r="A176" s="68" t="n">
        <v>164</v>
      </c>
      <c r="B176" s="68" t="n">
        <v>163</v>
      </c>
      <c r="C176" s="69" t="n">
        <v>4617.7</v>
      </c>
      <c r="D176" s="69" t="n">
        <v>4581.56302</v>
      </c>
      <c r="E176" s="70">
        <f>C176-D176</f>
        <v/>
      </c>
      <c r="F176" s="70">
        <f>(E176-F757)^2</f>
        <v/>
      </c>
      <c r="G176" s="69">
        <f>(E176-F757)^3</f>
        <v/>
      </c>
      <c r="H176" s="69">
        <f>(E176-F757)^4</f>
        <v/>
      </c>
      <c r="I176" s="68" t="inlineStr"/>
    </row>
    <row r="177">
      <c r="A177" s="65" t="n">
        <v>165</v>
      </c>
      <c r="B177" s="65" t="n">
        <v>164</v>
      </c>
      <c r="C177" s="66" t="n">
        <v>4619.59</v>
      </c>
      <c r="D177" s="66" t="n">
        <v>4581.76547</v>
      </c>
      <c r="E177" s="67">
        <f>C177-D177</f>
        <v/>
      </c>
      <c r="F177" s="67">
        <f>(E177-F757)^2</f>
        <v/>
      </c>
      <c r="G177" s="66">
        <f>(E177-F757)^3</f>
        <v/>
      </c>
      <c r="H177" s="66">
        <f>(E177-F757)^4</f>
        <v/>
      </c>
      <c r="I177" s="65" t="inlineStr"/>
    </row>
    <row r="178">
      <c r="A178" s="68" t="n">
        <v>166</v>
      </c>
      <c r="B178" s="68" t="n">
        <v>165</v>
      </c>
      <c r="C178" s="69" t="n">
        <v>4620.13</v>
      </c>
      <c r="D178" s="69" t="n">
        <v>4581.96791</v>
      </c>
      <c r="E178" s="70">
        <f>C178-D178</f>
        <v/>
      </c>
      <c r="F178" s="70">
        <f>(E178-F757)^2</f>
        <v/>
      </c>
      <c r="G178" s="69">
        <f>(E178-F757)^3</f>
        <v/>
      </c>
      <c r="H178" s="69">
        <f>(E178-F757)^4</f>
        <v/>
      </c>
      <c r="I178" s="68" t="inlineStr"/>
    </row>
    <row r="179">
      <c r="A179" s="65" t="n">
        <v>167</v>
      </c>
      <c r="B179" s="65" t="n">
        <v>166</v>
      </c>
      <c r="C179" s="66" t="n">
        <v>4623.09</v>
      </c>
      <c r="D179" s="66" t="n">
        <v>4582.17036</v>
      </c>
      <c r="E179" s="67">
        <f>C179-D179</f>
        <v/>
      </c>
      <c r="F179" s="67">
        <f>(E179-F757)^2</f>
        <v/>
      </c>
      <c r="G179" s="66">
        <f>(E179-F757)^3</f>
        <v/>
      </c>
      <c r="H179" s="66">
        <f>(E179-F757)^4</f>
        <v/>
      </c>
      <c r="I179" s="65" t="inlineStr"/>
    </row>
    <row r="180">
      <c r="A180" s="68" t="n">
        <v>168</v>
      </c>
      <c r="B180" s="68" t="n">
        <v>167</v>
      </c>
      <c r="C180" s="69" t="n">
        <v>4615.65</v>
      </c>
      <c r="D180" s="69" t="n">
        <v>4582.3728</v>
      </c>
      <c r="E180" s="70">
        <f>C180-D180</f>
        <v/>
      </c>
      <c r="F180" s="70">
        <f>(E180-F757)^2</f>
        <v/>
      </c>
      <c r="G180" s="69">
        <f>(E180-F757)^3</f>
        <v/>
      </c>
      <c r="H180" s="69">
        <f>(E180-F757)^4</f>
        <v/>
      </c>
      <c r="I180" s="68" t="inlineStr"/>
    </row>
    <row r="181">
      <c r="A181" s="65" t="n">
        <v>169</v>
      </c>
      <c r="B181" s="65" t="n">
        <v>168</v>
      </c>
      <c r="C181" s="66" t="n">
        <v>4615.35</v>
      </c>
      <c r="D181" s="66" t="n">
        <v>4582.57525</v>
      </c>
      <c r="E181" s="67">
        <f>C181-D181</f>
        <v/>
      </c>
      <c r="F181" s="67">
        <f>(E181-F757)^2</f>
        <v/>
      </c>
      <c r="G181" s="66">
        <f>(E181-F757)^3</f>
        <v/>
      </c>
      <c r="H181" s="66">
        <f>(E181-F757)^4</f>
        <v/>
      </c>
      <c r="I181" s="65" t="inlineStr"/>
    </row>
    <row r="182">
      <c r="A182" s="68" t="n">
        <v>170</v>
      </c>
      <c r="B182" s="68" t="n">
        <v>169</v>
      </c>
      <c r="C182" s="69" t="n">
        <v>4611.63</v>
      </c>
      <c r="D182" s="69" t="n">
        <v>4582.77769</v>
      </c>
      <c r="E182" s="70">
        <f>C182-D182</f>
        <v/>
      </c>
      <c r="F182" s="70">
        <f>(E182-F757)^2</f>
        <v/>
      </c>
      <c r="G182" s="69">
        <f>(E182-F757)^3</f>
        <v/>
      </c>
      <c r="H182" s="69">
        <f>(E182-F757)^4</f>
        <v/>
      </c>
      <c r="I182" s="68" t="inlineStr"/>
    </row>
    <row r="183">
      <c r="A183" s="65" t="n">
        <v>171</v>
      </c>
      <c r="B183" s="65" t="n">
        <v>170</v>
      </c>
      <c r="C183" s="66" t="n">
        <v>4608.08</v>
      </c>
      <c r="D183" s="66" t="n">
        <v>4582.98014</v>
      </c>
      <c r="E183" s="67">
        <f>C183-D183</f>
        <v/>
      </c>
      <c r="F183" s="67">
        <f>(E183-F757)^2</f>
        <v/>
      </c>
      <c r="G183" s="66">
        <f>(E183-F757)^3</f>
        <v/>
      </c>
      <c r="H183" s="66">
        <f>(E183-F757)^4</f>
        <v/>
      </c>
      <c r="I183" s="65" t="inlineStr"/>
    </row>
    <row r="184">
      <c r="A184" s="68" t="n">
        <v>172</v>
      </c>
      <c r="B184" s="68" t="n">
        <v>171</v>
      </c>
      <c r="C184" s="69" t="n">
        <v>4609.12</v>
      </c>
      <c r="D184" s="69" t="n">
        <v>4583.18259</v>
      </c>
      <c r="E184" s="70">
        <f>C184-D184</f>
        <v/>
      </c>
      <c r="F184" s="70">
        <f>(E184-F757)^2</f>
        <v/>
      </c>
      <c r="G184" s="69">
        <f>(E184-F757)^3</f>
        <v/>
      </c>
      <c r="H184" s="69">
        <f>(E184-F757)^4</f>
        <v/>
      </c>
      <c r="I184" s="68" t="inlineStr"/>
    </row>
    <row r="185">
      <c r="A185" s="65" t="n">
        <v>173</v>
      </c>
      <c r="B185" s="65" t="n">
        <v>172</v>
      </c>
      <c r="C185" s="66" t="n">
        <v>4607.62</v>
      </c>
      <c r="D185" s="66" t="n">
        <v>4583.38503</v>
      </c>
      <c r="E185" s="67">
        <f>C185-D185</f>
        <v/>
      </c>
      <c r="F185" s="67">
        <f>(E185-F757)^2</f>
        <v/>
      </c>
      <c r="G185" s="66">
        <f>(E185-F757)^3</f>
        <v/>
      </c>
      <c r="H185" s="66">
        <f>(E185-F757)^4</f>
        <v/>
      </c>
      <c r="I185" s="65" t="inlineStr"/>
    </row>
    <row r="186">
      <c r="A186" s="68" t="n">
        <v>174</v>
      </c>
      <c r="B186" s="68" t="n">
        <v>173</v>
      </c>
      <c r="C186" s="69" t="n">
        <v>4615.95</v>
      </c>
      <c r="D186" s="69" t="n">
        <v>4583.58748</v>
      </c>
      <c r="E186" s="70">
        <f>C186-D186</f>
        <v/>
      </c>
      <c r="F186" s="70">
        <f>(E186-F757)^2</f>
        <v/>
      </c>
      <c r="G186" s="69">
        <f>(E186-F757)^3</f>
        <v/>
      </c>
      <c r="H186" s="69">
        <f>(E186-F757)^4</f>
        <v/>
      </c>
      <c r="I186" s="68" t="inlineStr"/>
    </row>
    <row r="187">
      <c r="A187" s="65" t="n">
        <v>175</v>
      </c>
      <c r="B187" s="65" t="n">
        <v>174</v>
      </c>
      <c r="C187" s="66" t="n">
        <v>4618</v>
      </c>
      <c r="D187" s="66" t="n">
        <v>4583.78992</v>
      </c>
      <c r="E187" s="67">
        <f>C187-D187</f>
        <v/>
      </c>
      <c r="F187" s="67">
        <f>(E187-F757)^2</f>
        <v/>
      </c>
      <c r="G187" s="66">
        <f>(E187-F757)^3</f>
        <v/>
      </c>
      <c r="H187" s="66">
        <f>(E187-F757)^4</f>
        <v/>
      </c>
      <c r="I187" s="65" t="inlineStr"/>
    </row>
    <row r="188">
      <c r="A188" s="68" t="n">
        <v>176</v>
      </c>
      <c r="B188" s="68" t="n">
        <v>175</v>
      </c>
      <c r="C188" s="69" t="n">
        <v>4617.86</v>
      </c>
      <c r="D188" s="69" t="n">
        <v>4583.99237</v>
      </c>
      <c r="E188" s="70">
        <f>C188-D188</f>
        <v/>
      </c>
      <c r="F188" s="70">
        <f>(E188-F757)^2</f>
        <v/>
      </c>
      <c r="G188" s="69">
        <f>(E188-F757)^3</f>
        <v/>
      </c>
      <c r="H188" s="69">
        <f>(E188-F757)^4</f>
        <v/>
      </c>
      <c r="I188" s="68" t="inlineStr"/>
    </row>
    <row r="189">
      <c r="A189" s="65" t="n">
        <v>177</v>
      </c>
      <c r="B189" s="65" t="n">
        <v>176</v>
      </c>
      <c r="C189" s="66" t="n">
        <v>4616.86</v>
      </c>
      <c r="D189" s="66" t="n">
        <v>4584.19481</v>
      </c>
      <c r="E189" s="67">
        <f>C189-D189</f>
        <v/>
      </c>
      <c r="F189" s="67">
        <f>(E189-F757)^2</f>
        <v/>
      </c>
      <c r="G189" s="66">
        <f>(E189-F757)^3</f>
        <v/>
      </c>
      <c r="H189" s="66">
        <f>(E189-F757)^4</f>
        <v/>
      </c>
      <c r="I189" s="65" t="inlineStr"/>
    </row>
    <row r="190">
      <c r="A190" s="68" t="n">
        <v>178</v>
      </c>
      <c r="B190" s="68" t="n">
        <v>177</v>
      </c>
      <c r="C190" s="69" t="n">
        <v>4620.57</v>
      </c>
      <c r="D190" s="69" t="n">
        <v>4584.39726</v>
      </c>
      <c r="E190" s="70">
        <f>C190-D190</f>
        <v/>
      </c>
      <c r="F190" s="70">
        <f>(E190-F757)^2</f>
        <v/>
      </c>
      <c r="G190" s="69">
        <f>(E190-F757)^3</f>
        <v/>
      </c>
      <c r="H190" s="69">
        <f>(E190-F757)^4</f>
        <v/>
      </c>
      <c r="I190" s="68" t="inlineStr"/>
    </row>
    <row r="191">
      <c r="A191" s="65" t="n">
        <v>179</v>
      </c>
      <c r="B191" s="65" t="n">
        <v>178</v>
      </c>
      <c r="C191" s="66" t="n">
        <v>4620.79</v>
      </c>
      <c r="D191" s="66" t="n">
        <v>4584.5997</v>
      </c>
      <c r="E191" s="67">
        <f>C191-D191</f>
        <v/>
      </c>
      <c r="F191" s="67">
        <f>(E191-F757)^2</f>
        <v/>
      </c>
      <c r="G191" s="66">
        <f>(E191-F757)^3</f>
        <v/>
      </c>
      <c r="H191" s="66">
        <f>(E191-F757)^4</f>
        <v/>
      </c>
      <c r="I191" s="65" t="inlineStr"/>
    </row>
    <row r="192">
      <c r="A192" s="68" t="n">
        <v>180</v>
      </c>
      <c r="B192" s="68" t="n">
        <v>179</v>
      </c>
      <c r="C192" s="69" t="n">
        <v>4620.7</v>
      </c>
      <c r="D192" s="69" t="n">
        <v>4584.80215</v>
      </c>
      <c r="E192" s="70">
        <f>C192-D192</f>
        <v/>
      </c>
      <c r="F192" s="70">
        <f>(E192-F757)^2</f>
        <v/>
      </c>
      <c r="G192" s="69">
        <f>(E192-F757)^3</f>
        <v/>
      </c>
      <c r="H192" s="69">
        <f>(E192-F757)^4</f>
        <v/>
      </c>
      <c r="I192" s="68" t="inlineStr"/>
    </row>
    <row r="193">
      <c r="A193" s="65" t="n">
        <v>181</v>
      </c>
      <c r="B193" s="65" t="n">
        <v>180</v>
      </c>
      <c r="C193" s="66" t="n">
        <v>4622.48</v>
      </c>
      <c r="D193" s="66" t="n">
        <v>4585.0046</v>
      </c>
      <c r="E193" s="67">
        <f>C193-D193</f>
        <v/>
      </c>
      <c r="F193" s="67">
        <f>(E193-F757)^2</f>
        <v/>
      </c>
      <c r="G193" s="66">
        <f>(E193-F757)^3</f>
        <v/>
      </c>
      <c r="H193" s="66">
        <f>(E193-F757)^4</f>
        <v/>
      </c>
      <c r="I193" s="65" t="inlineStr"/>
    </row>
    <row r="194">
      <c r="A194" s="68" t="n">
        <v>182</v>
      </c>
      <c r="B194" s="68" t="n">
        <v>181</v>
      </c>
      <c r="C194" s="69" t="n">
        <v>4624.33</v>
      </c>
      <c r="D194" s="69" t="n">
        <v>4585.20704</v>
      </c>
      <c r="E194" s="70">
        <f>C194-D194</f>
        <v/>
      </c>
      <c r="F194" s="70">
        <f>(E194-F757)^2</f>
        <v/>
      </c>
      <c r="G194" s="69">
        <f>(E194-F757)^3</f>
        <v/>
      </c>
      <c r="H194" s="69">
        <f>(E194-F757)^4</f>
        <v/>
      </c>
      <c r="I194" s="68" t="inlineStr"/>
    </row>
    <row r="195">
      <c r="A195" s="65" t="n">
        <v>183</v>
      </c>
      <c r="B195" s="65" t="n">
        <v>182</v>
      </c>
      <c r="C195" s="66" t="n">
        <v>4617.77</v>
      </c>
      <c r="D195" s="66" t="n">
        <v>4585.40949</v>
      </c>
      <c r="E195" s="67">
        <f>C195-D195</f>
        <v/>
      </c>
      <c r="F195" s="67">
        <f>(E195-F757)^2</f>
        <v/>
      </c>
      <c r="G195" s="66">
        <f>(E195-F757)^3</f>
        <v/>
      </c>
      <c r="H195" s="66">
        <f>(E195-F757)^4</f>
        <v/>
      </c>
      <c r="I195" s="65" t="inlineStr"/>
    </row>
    <row r="196">
      <c r="A196" s="68" t="n">
        <v>184</v>
      </c>
      <c r="B196" s="68" t="n">
        <v>183</v>
      </c>
      <c r="C196" s="69" t="n">
        <v>4622.49</v>
      </c>
      <c r="D196" s="69" t="n">
        <v>4585.61193</v>
      </c>
      <c r="E196" s="70">
        <f>C196-D196</f>
        <v/>
      </c>
      <c r="F196" s="70">
        <f>(E196-F757)^2</f>
        <v/>
      </c>
      <c r="G196" s="69">
        <f>(E196-F757)^3</f>
        <v/>
      </c>
      <c r="H196" s="69">
        <f>(E196-F757)^4</f>
        <v/>
      </c>
      <c r="I196" s="68" t="inlineStr"/>
    </row>
    <row r="197">
      <c r="A197" s="65" t="n">
        <v>185</v>
      </c>
      <c r="B197" s="65" t="n">
        <v>184</v>
      </c>
      <c r="C197" s="66" t="n">
        <v>4617.07</v>
      </c>
      <c r="D197" s="66" t="n">
        <v>4585.81438</v>
      </c>
      <c r="E197" s="67">
        <f>C197-D197</f>
        <v/>
      </c>
      <c r="F197" s="67">
        <f>(E197-F757)^2</f>
        <v/>
      </c>
      <c r="G197" s="66">
        <f>(E197-F757)^3</f>
        <v/>
      </c>
      <c r="H197" s="66">
        <f>(E197-F757)^4</f>
        <v/>
      </c>
      <c r="I197" s="65" t="inlineStr"/>
    </row>
    <row r="198">
      <c r="A198" s="68" t="n">
        <v>186</v>
      </c>
      <c r="B198" s="68" t="n">
        <v>185</v>
      </c>
      <c r="C198" s="69" t="n">
        <v>4616.16</v>
      </c>
      <c r="D198" s="69" t="n">
        <v>4586.01682</v>
      </c>
      <c r="E198" s="70">
        <f>C198-D198</f>
        <v/>
      </c>
      <c r="F198" s="70">
        <f>(E198-F757)^2</f>
        <v/>
      </c>
      <c r="G198" s="69">
        <f>(E198-F757)^3</f>
        <v/>
      </c>
      <c r="H198" s="69">
        <f>(E198-F757)^4</f>
        <v/>
      </c>
      <c r="I198" s="68" t="inlineStr"/>
    </row>
    <row r="199">
      <c r="A199" s="65" t="n">
        <v>187</v>
      </c>
      <c r="B199" s="65" t="n">
        <v>186</v>
      </c>
      <c r="C199" s="66" t="n">
        <v>4616.72</v>
      </c>
      <c r="D199" s="66" t="n">
        <v>4586.21927</v>
      </c>
      <c r="E199" s="67">
        <f>C199-D199</f>
        <v/>
      </c>
      <c r="F199" s="67">
        <f>(E199-F757)^2</f>
        <v/>
      </c>
      <c r="G199" s="66">
        <f>(E199-F757)^3</f>
        <v/>
      </c>
      <c r="H199" s="66">
        <f>(E199-F757)^4</f>
        <v/>
      </c>
      <c r="I199" s="65" t="inlineStr"/>
    </row>
    <row r="200">
      <c r="A200" s="68" t="n">
        <v>188</v>
      </c>
      <c r="B200" s="68" t="n">
        <v>187</v>
      </c>
      <c r="C200" s="69" t="n">
        <v>4617.33</v>
      </c>
      <c r="D200" s="69" t="n">
        <v>4586.42172</v>
      </c>
      <c r="E200" s="70">
        <f>C200-D200</f>
        <v/>
      </c>
      <c r="F200" s="70">
        <f>(E200-F757)^2</f>
        <v/>
      </c>
      <c r="G200" s="69">
        <f>(E200-F757)^3</f>
        <v/>
      </c>
      <c r="H200" s="69">
        <f>(E200-F757)^4</f>
        <v/>
      </c>
      <c r="I200" s="68" t="inlineStr"/>
    </row>
    <row r="201">
      <c r="A201" s="65" t="n">
        <v>189</v>
      </c>
      <c r="B201" s="65" t="n">
        <v>188</v>
      </c>
      <c r="C201" s="66" t="n">
        <v>4621.81</v>
      </c>
      <c r="D201" s="66" t="n">
        <v>4586.62416</v>
      </c>
      <c r="E201" s="67">
        <f>C201-D201</f>
        <v/>
      </c>
      <c r="F201" s="67">
        <f>(E201-F757)^2</f>
        <v/>
      </c>
      <c r="G201" s="66">
        <f>(E201-F757)^3</f>
        <v/>
      </c>
      <c r="H201" s="66">
        <f>(E201-F757)^4</f>
        <v/>
      </c>
      <c r="I201" s="65" t="inlineStr"/>
    </row>
    <row r="202">
      <c r="A202" s="68" t="n">
        <v>190</v>
      </c>
      <c r="B202" s="68" t="n">
        <v>189</v>
      </c>
      <c r="C202" s="69" t="n">
        <v>4631.38</v>
      </c>
      <c r="D202" s="69" t="n">
        <v>4586.82661</v>
      </c>
      <c r="E202" s="70">
        <f>C202-D202</f>
        <v/>
      </c>
      <c r="F202" s="70">
        <f>(E202-F757)^2</f>
        <v/>
      </c>
      <c r="G202" s="69">
        <f>(E202-F757)^3</f>
        <v/>
      </c>
      <c r="H202" s="69">
        <f>(E202-F757)^4</f>
        <v/>
      </c>
      <c r="I202" s="68" t="inlineStr"/>
    </row>
    <row r="203">
      <c r="A203" s="65" t="n">
        <v>191</v>
      </c>
      <c r="B203" s="65" t="n">
        <v>190</v>
      </c>
      <c r="C203" s="66" t="n">
        <v>4631.38</v>
      </c>
      <c r="D203" s="66" t="n">
        <v>4587.02905</v>
      </c>
      <c r="E203" s="67">
        <f>C203-D203</f>
        <v/>
      </c>
      <c r="F203" s="67">
        <f>(E203-F757)^2</f>
        <v/>
      </c>
      <c r="G203" s="66">
        <f>(E203-F757)^3</f>
        <v/>
      </c>
      <c r="H203" s="66">
        <f>(E203-F757)^4</f>
        <v/>
      </c>
      <c r="I203" s="65" t="inlineStr"/>
    </row>
    <row r="204">
      <c r="A204" s="68" t="n">
        <v>192</v>
      </c>
      <c r="B204" s="68" t="n">
        <v>191</v>
      </c>
      <c r="C204" s="69" t="n">
        <v>4631.75</v>
      </c>
      <c r="D204" s="69" t="n">
        <v>4587.2315</v>
      </c>
      <c r="E204" s="70">
        <f>C204-D204</f>
        <v/>
      </c>
      <c r="F204" s="70">
        <f>(E204-F757)^2</f>
        <v/>
      </c>
      <c r="G204" s="69">
        <f>(E204-F757)^3</f>
        <v/>
      </c>
      <c r="H204" s="69">
        <f>(E204-F757)^4</f>
        <v/>
      </c>
      <c r="I204" s="68" t="inlineStr"/>
    </row>
    <row r="205">
      <c r="A205" s="65" t="n">
        <v>193</v>
      </c>
      <c r="B205" s="65" t="n">
        <v>192</v>
      </c>
      <c r="C205" s="66" t="n">
        <v>4630.51</v>
      </c>
      <c r="D205" s="66" t="n">
        <v>4587.43394</v>
      </c>
      <c r="E205" s="67">
        <f>C205-D205</f>
        <v/>
      </c>
      <c r="F205" s="67">
        <f>(E205-F757)^2</f>
        <v/>
      </c>
      <c r="G205" s="66">
        <f>(E205-F757)^3</f>
        <v/>
      </c>
      <c r="H205" s="66">
        <f>(E205-F757)^4</f>
        <v/>
      </c>
      <c r="I205" s="65" t="inlineStr"/>
    </row>
    <row r="206">
      <c r="A206" s="68" t="n">
        <v>194</v>
      </c>
      <c r="B206" s="68" t="n">
        <v>193</v>
      </c>
      <c r="C206" s="69" t="n">
        <v>4630.26</v>
      </c>
      <c r="D206" s="69" t="n">
        <v>4587.63639</v>
      </c>
      <c r="E206" s="70">
        <f>C206-D206</f>
        <v/>
      </c>
      <c r="F206" s="70">
        <f>(E206-F757)^2</f>
        <v/>
      </c>
      <c r="G206" s="69">
        <f>(E206-F757)^3</f>
        <v/>
      </c>
      <c r="H206" s="69">
        <f>(E206-F757)^4</f>
        <v/>
      </c>
      <c r="I206" s="68" t="inlineStr"/>
    </row>
    <row r="207">
      <c r="A207" s="65" t="n">
        <v>195</v>
      </c>
      <c r="B207" s="65" t="n">
        <v>194</v>
      </c>
      <c r="C207" s="66" t="n">
        <v>4630.75</v>
      </c>
      <c r="D207" s="66" t="n">
        <v>4587.83884</v>
      </c>
      <c r="E207" s="67">
        <f>C207-D207</f>
        <v/>
      </c>
      <c r="F207" s="67">
        <f>(E207-F757)^2</f>
        <v/>
      </c>
      <c r="G207" s="66">
        <f>(E207-F757)^3</f>
        <v/>
      </c>
      <c r="H207" s="66">
        <f>(E207-F757)^4</f>
        <v/>
      </c>
      <c r="I207" s="65" t="inlineStr"/>
    </row>
    <row r="208">
      <c r="A208" s="68" t="n">
        <v>196</v>
      </c>
      <c r="B208" s="68" t="n">
        <v>195</v>
      </c>
      <c r="C208" s="69" t="n">
        <v>4631.31</v>
      </c>
      <c r="D208" s="69" t="n">
        <v>4588.04128</v>
      </c>
      <c r="E208" s="70">
        <f>C208-D208</f>
        <v/>
      </c>
      <c r="F208" s="70">
        <f>(E208-F757)^2</f>
        <v/>
      </c>
      <c r="G208" s="69">
        <f>(E208-F757)^3</f>
        <v/>
      </c>
      <c r="H208" s="69">
        <f>(E208-F757)^4</f>
        <v/>
      </c>
      <c r="I208" s="68" t="inlineStr"/>
    </row>
    <row r="209">
      <c r="A209" s="65" t="n">
        <v>197</v>
      </c>
      <c r="B209" s="65" t="n">
        <v>196</v>
      </c>
      <c r="C209" s="66" t="n">
        <v>4626.71</v>
      </c>
      <c r="D209" s="66" t="n">
        <v>4588.24373</v>
      </c>
      <c r="E209" s="67">
        <f>C209-D209</f>
        <v/>
      </c>
      <c r="F209" s="67">
        <f>(E209-F757)^2</f>
        <v/>
      </c>
      <c r="G209" s="66">
        <f>(E209-F757)^3</f>
        <v/>
      </c>
      <c r="H209" s="66">
        <f>(E209-F757)^4</f>
        <v/>
      </c>
      <c r="I209" s="65" t="inlineStr"/>
    </row>
    <row r="210">
      <c r="A210" s="68" t="n">
        <v>198</v>
      </c>
      <c r="B210" s="68" t="n">
        <v>197</v>
      </c>
      <c r="C210" s="69" t="n">
        <v>4622.55</v>
      </c>
      <c r="D210" s="69" t="n">
        <v>4588.44617</v>
      </c>
      <c r="E210" s="70">
        <f>C210-D210</f>
        <v/>
      </c>
      <c r="F210" s="70">
        <f>(E210-F757)^2</f>
        <v/>
      </c>
      <c r="G210" s="69">
        <f>(E210-F757)^3</f>
        <v/>
      </c>
      <c r="H210" s="69">
        <f>(E210-F757)^4</f>
        <v/>
      </c>
      <c r="I210" s="68" t="inlineStr"/>
    </row>
    <row r="211">
      <c r="A211" s="65" t="n">
        <v>199</v>
      </c>
      <c r="B211" s="65" t="n">
        <v>198</v>
      </c>
      <c r="C211" s="66" t="n">
        <v>4623.65</v>
      </c>
      <c r="D211" s="66" t="n">
        <v>4588.64862</v>
      </c>
      <c r="E211" s="67">
        <f>C211-D211</f>
        <v/>
      </c>
      <c r="F211" s="67">
        <f>(E211-F757)^2</f>
        <v/>
      </c>
      <c r="G211" s="66">
        <f>(E211-F757)^3</f>
        <v/>
      </c>
      <c r="H211" s="66">
        <f>(E211-F757)^4</f>
        <v/>
      </c>
      <c r="I211" s="65" t="inlineStr"/>
    </row>
    <row r="212">
      <c r="A212" s="68" t="n">
        <v>200</v>
      </c>
      <c r="B212" s="68" t="n">
        <v>199</v>
      </c>
      <c r="C212" s="69" t="n">
        <v>4620.9</v>
      </c>
      <c r="D212" s="69" t="n">
        <v>4588.85106</v>
      </c>
      <c r="E212" s="70">
        <f>C212-D212</f>
        <v/>
      </c>
      <c r="F212" s="70">
        <f>(E212-F757)^2</f>
        <v/>
      </c>
      <c r="G212" s="69">
        <f>(E212-F757)^3</f>
        <v/>
      </c>
      <c r="H212" s="69">
        <f>(E212-F757)^4</f>
        <v/>
      </c>
      <c r="I212" s="68" t="inlineStr"/>
    </row>
    <row r="213">
      <c r="A213" s="65" t="n">
        <v>201</v>
      </c>
      <c r="B213" s="65" t="n">
        <v>200</v>
      </c>
      <c r="C213" s="66" t="n">
        <v>4620.02</v>
      </c>
      <c r="D213" s="66" t="n">
        <v>4589.05351</v>
      </c>
      <c r="E213" s="67">
        <f>C213-D213</f>
        <v/>
      </c>
      <c r="F213" s="67">
        <f>(E213-F757)^2</f>
        <v/>
      </c>
      <c r="G213" s="66">
        <f>(E213-F757)^3</f>
        <v/>
      </c>
      <c r="H213" s="66">
        <f>(E213-F757)^4</f>
        <v/>
      </c>
      <c r="I213" s="65" t="inlineStr"/>
    </row>
    <row r="214">
      <c r="A214" s="68" t="n">
        <v>202</v>
      </c>
      <c r="B214" s="68" t="n">
        <v>201</v>
      </c>
      <c r="C214" s="69" t="n">
        <v>4618.7</v>
      </c>
      <c r="D214" s="69" t="n">
        <v>4589.25596</v>
      </c>
      <c r="E214" s="70">
        <f>C214-D214</f>
        <v/>
      </c>
      <c r="F214" s="70">
        <f>(E214-F757)^2</f>
        <v/>
      </c>
      <c r="G214" s="69">
        <f>(E214-F757)^3</f>
        <v/>
      </c>
      <c r="H214" s="69">
        <f>(E214-F757)^4</f>
        <v/>
      </c>
      <c r="I214" s="68" t="inlineStr"/>
    </row>
    <row r="215">
      <c r="A215" s="65" t="n">
        <v>203</v>
      </c>
      <c r="B215" s="65" t="n">
        <v>202</v>
      </c>
      <c r="C215" s="66" t="n">
        <v>4616.68</v>
      </c>
      <c r="D215" s="66" t="n">
        <v>4589.4584</v>
      </c>
      <c r="E215" s="67">
        <f>C215-D215</f>
        <v/>
      </c>
      <c r="F215" s="67">
        <f>(E215-F757)^2</f>
        <v/>
      </c>
      <c r="G215" s="66">
        <f>(E215-F757)^3</f>
        <v/>
      </c>
      <c r="H215" s="66">
        <f>(E215-F757)^4</f>
        <v/>
      </c>
      <c r="I215" s="65" t="inlineStr"/>
    </row>
    <row r="216">
      <c r="A216" s="68" t="n">
        <v>204</v>
      </c>
      <c r="B216" s="68" t="n">
        <v>203</v>
      </c>
      <c r="C216" s="69" t="n">
        <v>4620.2</v>
      </c>
      <c r="D216" s="69" t="n">
        <v>4589.66085</v>
      </c>
      <c r="E216" s="70">
        <f>C216-D216</f>
        <v/>
      </c>
      <c r="F216" s="70">
        <f>(E216-F757)^2</f>
        <v/>
      </c>
      <c r="G216" s="69">
        <f>(E216-F757)^3</f>
        <v/>
      </c>
      <c r="H216" s="69">
        <f>(E216-F757)^4</f>
        <v/>
      </c>
      <c r="I216" s="68" t="inlineStr"/>
    </row>
    <row r="217">
      <c r="A217" s="65" t="n">
        <v>205</v>
      </c>
      <c r="B217" s="65" t="n">
        <v>204</v>
      </c>
      <c r="C217" s="66" t="n">
        <v>4621.05</v>
      </c>
      <c r="D217" s="66" t="n">
        <v>4589.86329</v>
      </c>
      <c r="E217" s="67">
        <f>C217-D217</f>
        <v/>
      </c>
      <c r="F217" s="67">
        <f>(E217-F757)^2</f>
        <v/>
      </c>
      <c r="G217" s="66">
        <f>(E217-F757)^3</f>
        <v/>
      </c>
      <c r="H217" s="66">
        <f>(E217-F757)^4</f>
        <v/>
      </c>
      <c r="I217" s="65" t="inlineStr"/>
    </row>
    <row r="218">
      <c r="A218" s="68" t="n">
        <v>206</v>
      </c>
      <c r="B218" s="68" t="n">
        <v>205</v>
      </c>
      <c r="C218" s="69" t="n">
        <v>4630.89</v>
      </c>
      <c r="D218" s="69" t="n">
        <v>4590.06574</v>
      </c>
      <c r="E218" s="70">
        <f>C218-D218</f>
        <v/>
      </c>
      <c r="F218" s="70">
        <f>(E218-F757)^2</f>
        <v/>
      </c>
      <c r="G218" s="69">
        <f>(E218-F757)^3</f>
        <v/>
      </c>
      <c r="H218" s="69">
        <f>(E218-F757)^4</f>
        <v/>
      </c>
      <c r="I218" s="68" t="inlineStr"/>
    </row>
    <row r="219">
      <c r="A219" s="65" t="n">
        <v>207</v>
      </c>
      <c r="B219" s="65" t="n">
        <v>206</v>
      </c>
      <c r="C219" s="66" t="n">
        <v>4629.39</v>
      </c>
      <c r="D219" s="66" t="n">
        <v>4590.26818</v>
      </c>
      <c r="E219" s="67">
        <f>C219-D219</f>
        <v/>
      </c>
      <c r="F219" s="67">
        <f>(E219-F757)^2</f>
        <v/>
      </c>
      <c r="G219" s="66">
        <f>(E219-F757)^3</f>
        <v/>
      </c>
      <c r="H219" s="66">
        <f>(E219-F757)^4</f>
        <v/>
      </c>
      <c r="I219" s="65" t="inlineStr"/>
    </row>
    <row r="220">
      <c r="A220" s="68" t="n">
        <v>208</v>
      </c>
      <c r="B220" s="68" t="n">
        <v>207</v>
      </c>
      <c r="C220" s="69" t="n">
        <v>4624.38</v>
      </c>
      <c r="D220" s="69" t="n">
        <v>4590.47063</v>
      </c>
      <c r="E220" s="70">
        <f>C220-D220</f>
        <v/>
      </c>
      <c r="F220" s="70">
        <f>(E220-F757)^2</f>
        <v/>
      </c>
      <c r="G220" s="69">
        <f>(E220-F757)^3</f>
        <v/>
      </c>
      <c r="H220" s="69">
        <f>(E220-F757)^4</f>
        <v/>
      </c>
      <c r="I220" s="68" t="inlineStr"/>
    </row>
    <row r="221">
      <c r="A221" s="65" t="n">
        <v>209</v>
      </c>
      <c r="B221" s="65" t="n">
        <v>208</v>
      </c>
      <c r="C221" s="66" t="n">
        <v>4619.15</v>
      </c>
      <c r="D221" s="66" t="n">
        <v>4590.67308</v>
      </c>
      <c r="E221" s="67">
        <f>C221-D221</f>
        <v/>
      </c>
      <c r="F221" s="67">
        <f>(E221-F757)^2</f>
        <v/>
      </c>
      <c r="G221" s="66">
        <f>(E221-F757)^3</f>
        <v/>
      </c>
      <c r="H221" s="66">
        <f>(E221-F757)^4</f>
        <v/>
      </c>
      <c r="I221" s="65" t="inlineStr"/>
    </row>
    <row r="222">
      <c r="A222" s="68" t="n">
        <v>210</v>
      </c>
      <c r="B222" s="68" t="n">
        <v>209</v>
      </c>
      <c r="C222" s="69" t="n">
        <v>4620.85</v>
      </c>
      <c r="D222" s="69" t="n">
        <v>4590.87552</v>
      </c>
      <c r="E222" s="70">
        <f>C222-D222</f>
        <v/>
      </c>
      <c r="F222" s="70">
        <f>(E222-F757)^2</f>
        <v/>
      </c>
      <c r="G222" s="69">
        <f>(E222-F757)^3</f>
        <v/>
      </c>
      <c r="H222" s="69">
        <f>(E222-F757)^4</f>
        <v/>
      </c>
      <c r="I222" s="68" t="inlineStr"/>
    </row>
    <row r="223">
      <c r="A223" s="65" t="n">
        <v>211</v>
      </c>
      <c r="B223" s="65" t="n">
        <v>210</v>
      </c>
      <c r="C223" s="66" t="n">
        <v>4626.13</v>
      </c>
      <c r="D223" s="66" t="n">
        <v>4591.07797</v>
      </c>
      <c r="E223" s="67">
        <f>C223-D223</f>
        <v/>
      </c>
      <c r="F223" s="67">
        <f>(E223-F757)^2</f>
        <v/>
      </c>
      <c r="G223" s="66">
        <f>(E223-F757)^3</f>
        <v/>
      </c>
      <c r="H223" s="66">
        <f>(E223-F757)^4</f>
        <v/>
      </c>
      <c r="I223" s="65" t="inlineStr"/>
    </row>
    <row r="224">
      <c r="A224" s="68" t="n">
        <v>212</v>
      </c>
      <c r="B224" s="68" t="n">
        <v>211</v>
      </c>
      <c r="C224" s="69" t="n">
        <v>4626.21</v>
      </c>
      <c r="D224" s="69" t="n">
        <v>4591.28041</v>
      </c>
      <c r="E224" s="70">
        <f>C224-D224</f>
        <v/>
      </c>
      <c r="F224" s="70">
        <f>(E224-F757)^2</f>
        <v/>
      </c>
      <c r="G224" s="69">
        <f>(E224-F757)^3</f>
        <v/>
      </c>
      <c r="H224" s="69">
        <f>(E224-F757)^4</f>
        <v/>
      </c>
      <c r="I224" s="68" t="inlineStr"/>
    </row>
    <row r="225">
      <c r="A225" s="65" t="n">
        <v>213</v>
      </c>
      <c r="B225" s="65" t="n">
        <v>212</v>
      </c>
      <c r="C225" s="66" t="n">
        <v>4626.67</v>
      </c>
      <c r="D225" s="66" t="n">
        <v>4591.48286</v>
      </c>
      <c r="E225" s="67">
        <f>C225-D225</f>
        <v/>
      </c>
      <c r="F225" s="67">
        <f>(E225-F757)^2</f>
        <v/>
      </c>
      <c r="G225" s="66">
        <f>(E225-F757)^3</f>
        <v/>
      </c>
      <c r="H225" s="66">
        <f>(E225-F757)^4</f>
        <v/>
      </c>
      <c r="I225" s="65" t="inlineStr"/>
    </row>
    <row r="226">
      <c r="A226" s="68" t="n">
        <v>214</v>
      </c>
      <c r="B226" s="68" t="n">
        <v>213</v>
      </c>
      <c r="C226" s="69" t="n">
        <v>4621.93</v>
      </c>
      <c r="D226" s="69" t="n">
        <v>4591.6853</v>
      </c>
      <c r="E226" s="70">
        <f>C226-D226</f>
        <v/>
      </c>
      <c r="F226" s="70">
        <f>(E226-F757)^2</f>
        <v/>
      </c>
      <c r="G226" s="69">
        <f>(E226-F757)^3</f>
        <v/>
      </c>
      <c r="H226" s="69">
        <f>(E226-F757)^4</f>
        <v/>
      </c>
      <c r="I226" s="68" t="inlineStr"/>
    </row>
    <row r="227">
      <c r="A227" s="65" t="n">
        <v>215</v>
      </c>
      <c r="B227" s="65" t="n">
        <v>214</v>
      </c>
      <c r="C227" s="66" t="n">
        <v>4617.53</v>
      </c>
      <c r="D227" s="66" t="n">
        <v>4591.88775</v>
      </c>
      <c r="E227" s="67">
        <f>C227-D227</f>
        <v/>
      </c>
      <c r="F227" s="67">
        <f>(E227-F757)^2</f>
        <v/>
      </c>
      <c r="G227" s="66">
        <f>(E227-F757)^3</f>
        <v/>
      </c>
      <c r="H227" s="66">
        <f>(E227-F757)^4</f>
        <v/>
      </c>
      <c r="I227" s="65" t="inlineStr"/>
    </row>
    <row r="228">
      <c r="A228" s="68" t="n">
        <v>216</v>
      </c>
      <c r="B228" s="68" t="n">
        <v>215</v>
      </c>
      <c r="C228" s="69" t="n">
        <v>4613.51</v>
      </c>
      <c r="D228" s="69" t="n">
        <v>4592.0902</v>
      </c>
      <c r="E228" s="70">
        <f>C228-D228</f>
        <v/>
      </c>
      <c r="F228" s="70">
        <f>(E228-F757)^2</f>
        <v/>
      </c>
      <c r="G228" s="69">
        <f>(E228-F757)^3</f>
        <v/>
      </c>
      <c r="H228" s="69">
        <f>(E228-F757)^4</f>
        <v/>
      </c>
      <c r="I228" s="68" t="inlineStr"/>
    </row>
    <row r="229">
      <c r="A229" s="65" t="n">
        <v>217</v>
      </c>
      <c r="B229" s="65" t="n">
        <v>216</v>
      </c>
      <c r="C229" s="66" t="n">
        <v>4609.18</v>
      </c>
      <c r="D229" s="66" t="n">
        <v>4592.29264</v>
      </c>
      <c r="E229" s="67">
        <f>C229-D229</f>
        <v/>
      </c>
      <c r="F229" s="67">
        <f>(E229-F757)^2</f>
        <v/>
      </c>
      <c r="G229" s="66">
        <f>(E229-F757)^3</f>
        <v/>
      </c>
      <c r="H229" s="66">
        <f>(E229-F757)^4</f>
        <v/>
      </c>
      <c r="I229" s="65" t="inlineStr"/>
    </row>
    <row r="230">
      <c r="A230" s="68" t="n">
        <v>218</v>
      </c>
      <c r="B230" s="68" t="n">
        <v>217</v>
      </c>
      <c r="C230" s="69" t="n">
        <v>4614.29</v>
      </c>
      <c r="D230" s="69" t="n">
        <v>4592.49509</v>
      </c>
      <c r="E230" s="70">
        <f>C230-D230</f>
        <v/>
      </c>
      <c r="F230" s="70">
        <f>(E230-F757)^2</f>
        <v/>
      </c>
      <c r="G230" s="69">
        <f>(E230-F757)^3</f>
        <v/>
      </c>
      <c r="H230" s="69">
        <f>(E230-F757)^4</f>
        <v/>
      </c>
      <c r="I230" s="68" t="inlineStr"/>
    </row>
    <row r="231">
      <c r="A231" s="65" t="n">
        <v>219</v>
      </c>
      <c r="B231" s="65" t="n">
        <v>218</v>
      </c>
      <c r="C231" s="66" t="n">
        <v>4614.64</v>
      </c>
      <c r="D231" s="66" t="n">
        <v>4592.69753</v>
      </c>
      <c r="E231" s="67">
        <f>C231-D231</f>
        <v/>
      </c>
      <c r="F231" s="67">
        <f>(E231-F757)^2</f>
        <v/>
      </c>
      <c r="G231" s="66">
        <f>(E231-F757)^3</f>
        <v/>
      </c>
      <c r="H231" s="66">
        <f>(E231-F757)^4</f>
        <v/>
      </c>
      <c r="I231" s="65" t="inlineStr"/>
    </row>
    <row r="232">
      <c r="A232" s="68" t="n">
        <v>220</v>
      </c>
      <c r="B232" s="68" t="n">
        <v>219</v>
      </c>
      <c r="C232" s="69" t="n">
        <v>4610</v>
      </c>
      <c r="D232" s="69" t="n">
        <v>4592.89998</v>
      </c>
      <c r="E232" s="70">
        <f>C232-D232</f>
        <v/>
      </c>
      <c r="F232" s="70">
        <f>(E232-F757)^2</f>
        <v/>
      </c>
      <c r="G232" s="69">
        <f>(E232-F757)^3</f>
        <v/>
      </c>
      <c r="H232" s="69">
        <f>(E232-F757)^4</f>
        <v/>
      </c>
      <c r="I232" s="68" t="inlineStr"/>
    </row>
    <row r="233">
      <c r="A233" s="65" t="n">
        <v>221</v>
      </c>
      <c r="B233" s="65" t="n">
        <v>220</v>
      </c>
      <c r="C233" s="66" t="n">
        <v>4605.03</v>
      </c>
      <c r="D233" s="66" t="n">
        <v>4593.10242</v>
      </c>
      <c r="E233" s="67">
        <f>C233-D233</f>
        <v/>
      </c>
      <c r="F233" s="67">
        <f>(E233-F757)^2</f>
        <v/>
      </c>
      <c r="G233" s="66">
        <f>(E233-F757)^3</f>
        <v/>
      </c>
      <c r="H233" s="66">
        <f>(E233-F757)^4</f>
        <v/>
      </c>
      <c r="I233" s="65" t="inlineStr"/>
    </row>
    <row r="234">
      <c r="A234" s="68" t="n">
        <v>222</v>
      </c>
      <c r="B234" s="68" t="n">
        <v>221</v>
      </c>
      <c r="C234" s="69" t="n">
        <v>4601.49</v>
      </c>
      <c r="D234" s="69" t="n">
        <v>4593.30487</v>
      </c>
      <c r="E234" s="70">
        <f>C234-D234</f>
        <v/>
      </c>
      <c r="F234" s="70">
        <f>(E234-F757)^2</f>
        <v/>
      </c>
      <c r="G234" s="69">
        <f>(E234-F757)^3</f>
        <v/>
      </c>
      <c r="H234" s="69">
        <f>(E234-F757)^4</f>
        <v/>
      </c>
      <c r="I234" s="68" t="inlineStr"/>
    </row>
    <row r="235">
      <c r="A235" s="65" t="n">
        <v>223</v>
      </c>
      <c r="B235" s="65" t="n">
        <v>222</v>
      </c>
      <c r="C235" s="66" t="n">
        <v>4593.44</v>
      </c>
      <c r="D235" s="66" t="n">
        <v>4593.50732</v>
      </c>
      <c r="E235" s="67">
        <f>C235-D235</f>
        <v/>
      </c>
      <c r="F235" s="67">
        <f>(E235-F757)^2</f>
        <v/>
      </c>
      <c r="G235" s="66">
        <f>(E235-F757)^3</f>
        <v/>
      </c>
      <c r="H235" s="66">
        <f>(E235-F757)^4</f>
        <v/>
      </c>
      <c r="I235" s="65" t="inlineStr"/>
    </row>
    <row r="236">
      <c r="A236" s="68" t="n">
        <v>224</v>
      </c>
      <c r="B236" s="68" t="n">
        <v>223</v>
      </c>
      <c r="C236" s="69" t="n">
        <v>4593.36</v>
      </c>
      <c r="D236" s="69" t="n">
        <v>4593.70976</v>
      </c>
      <c r="E236" s="70">
        <f>C236-D236</f>
        <v/>
      </c>
      <c r="F236" s="70">
        <f>(E236-F757)^2</f>
        <v/>
      </c>
      <c r="G236" s="69">
        <f>(E236-F757)^3</f>
        <v/>
      </c>
      <c r="H236" s="69">
        <f>(E236-F757)^4</f>
        <v/>
      </c>
      <c r="I236" s="68" t="inlineStr"/>
    </row>
    <row r="237">
      <c r="A237" s="65" t="n">
        <v>225</v>
      </c>
      <c r="B237" s="65" t="n">
        <v>224</v>
      </c>
      <c r="C237" s="66" t="n">
        <v>4594.77</v>
      </c>
      <c r="D237" s="66" t="n">
        <v>4593.91221</v>
      </c>
      <c r="E237" s="67">
        <f>C237-D237</f>
        <v/>
      </c>
      <c r="F237" s="67">
        <f>(E237-F757)^2</f>
        <v/>
      </c>
      <c r="G237" s="66">
        <f>(E237-F757)^3</f>
        <v/>
      </c>
      <c r="H237" s="66">
        <f>(E237-F757)^4</f>
        <v/>
      </c>
      <c r="I237" s="65" t="inlineStr"/>
    </row>
    <row r="238">
      <c r="A238" s="68" t="n">
        <v>226</v>
      </c>
      <c r="B238" s="68" t="n">
        <v>225</v>
      </c>
      <c r="C238" s="69" t="n">
        <v>4595.97</v>
      </c>
      <c r="D238" s="69" t="n">
        <v>4594.11465</v>
      </c>
      <c r="E238" s="70">
        <f>C238-D238</f>
        <v/>
      </c>
      <c r="F238" s="70">
        <f>(E238-F757)^2</f>
        <v/>
      </c>
      <c r="G238" s="69">
        <f>(E238-F757)^3</f>
        <v/>
      </c>
      <c r="H238" s="69">
        <f>(E238-F757)^4</f>
        <v/>
      </c>
      <c r="I238" s="68" t="inlineStr"/>
    </row>
    <row r="239">
      <c r="A239" s="65" t="n">
        <v>227</v>
      </c>
      <c r="B239" s="65" t="n">
        <v>226</v>
      </c>
      <c r="C239" s="66" t="n">
        <v>4592.32</v>
      </c>
      <c r="D239" s="66" t="n">
        <v>4594.3171</v>
      </c>
      <c r="E239" s="67">
        <f>C239-D239</f>
        <v/>
      </c>
      <c r="F239" s="67">
        <f>(E239-F757)^2</f>
        <v/>
      </c>
      <c r="G239" s="66">
        <f>(E239-F757)^3</f>
        <v/>
      </c>
      <c r="H239" s="66">
        <f>(E239-F757)^4</f>
        <v/>
      </c>
      <c r="I239" s="65" t="inlineStr"/>
    </row>
    <row r="240">
      <c r="A240" s="68" t="n">
        <v>228</v>
      </c>
      <c r="B240" s="68" t="n">
        <v>227</v>
      </c>
      <c r="C240" s="69" t="n">
        <v>4585.41</v>
      </c>
      <c r="D240" s="69" t="n">
        <v>4594.51954</v>
      </c>
      <c r="E240" s="70">
        <f>C240-D240</f>
        <v/>
      </c>
      <c r="F240" s="70">
        <f>(E240-F757)^2</f>
        <v/>
      </c>
      <c r="G240" s="69">
        <f>(E240-F757)^3</f>
        <v/>
      </c>
      <c r="H240" s="69">
        <f>(E240-F757)^4</f>
        <v/>
      </c>
      <c r="I240" s="68" t="inlineStr"/>
    </row>
    <row r="241">
      <c r="A241" s="65" t="n">
        <v>229</v>
      </c>
      <c r="B241" s="65" t="n">
        <v>228</v>
      </c>
      <c r="C241" s="66" t="n">
        <v>4578.16</v>
      </c>
      <c r="D241" s="66" t="n">
        <v>4594.72199</v>
      </c>
      <c r="E241" s="67">
        <f>C241-D241</f>
        <v/>
      </c>
      <c r="F241" s="67">
        <f>(E241-F757)^2</f>
        <v/>
      </c>
      <c r="G241" s="66">
        <f>(E241-F757)^3</f>
        <v/>
      </c>
      <c r="H241" s="66">
        <f>(E241-F757)^4</f>
        <v/>
      </c>
      <c r="I241" s="65" t="inlineStr"/>
    </row>
    <row r="242">
      <c r="A242" s="68" t="n">
        <v>230</v>
      </c>
      <c r="B242" s="68" t="n">
        <v>229</v>
      </c>
      <c r="C242" s="69" t="n">
        <v>4574.06</v>
      </c>
      <c r="D242" s="69" t="n">
        <v>4594.92444</v>
      </c>
      <c r="E242" s="70">
        <f>C242-D242</f>
        <v/>
      </c>
      <c r="F242" s="70">
        <f>(E242-F757)^2</f>
        <v/>
      </c>
      <c r="G242" s="69">
        <f>(E242-F757)^3</f>
        <v/>
      </c>
      <c r="H242" s="69">
        <f>(E242-F757)^4</f>
        <v/>
      </c>
      <c r="I242" s="68" t="inlineStr"/>
    </row>
    <row r="243">
      <c r="A243" s="65" t="n">
        <v>231</v>
      </c>
      <c r="B243" s="65" t="n">
        <v>230</v>
      </c>
      <c r="C243" s="66" t="n">
        <v>4567.37</v>
      </c>
      <c r="D243" s="66" t="n">
        <v>4595.12688</v>
      </c>
      <c r="E243" s="67">
        <f>C243-D243</f>
        <v/>
      </c>
      <c r="F243" s="67">
        <f>(E243-F757)^2</f>
        <v/>
      </c>
      <c r="G243" s="66">
        <f>(E243-F757)^3</f>
        <v/>
      </c>
      <c r="H243" s="66">
        <f>(E243-F757)^4</f>
        <v/>
      </c>
      <c r="I243" s="65" t="inlineStr"/>
    </row>
    <row r="244">
      <c r="A244" s="68" t="n">
        <v>232</v>
      </c>
      <c r="B244" s="68" t="n">
        <v>231</v>
      </c>
      <c r="C244" s="69" t="n">
        <v>4571.29</v>
      </c>
      <c r="D244" s="69" t="n">
        <v>4595.32933</v>
      </c>
      <c r="E244" s="70">
        <f>C244-D244</f>
        <v/>
      </c>
      <c r="F244" s="70">
        <f>(E244-F757)^2</f>
        <v/>
      </c>
      <c r="G244" s="69">
        <f>(E244-F757)^3</f>
        <v/>
      </c>
      <c r="H244" s="69">
        <f>(E244-F757)^4</f>
        <v/>
      </c>
      <c r="I244" s="68" t="inlineStr"/>
    </row>
    <row r="245">
      <c r="A245" s="65" t="n">
        <v>233</v>
      </c>
      <c r="B245" s="65" t="n">
        <v>232</v>
      </c>
      <c r="C245" s="66" t="n">
        <v>4568.51</v>
      </c>
      <c r="D245" s="66" t="n">
        <v>4595.53177</v>
      </c>
      <c r="E245" s="67">
        <f>C245-D245</f>
        <v/>
      </c>
      <c r="F245" s="67">
        <f>(E245-F757)^2</f>
        <v/>
      </c>
      <c r="G245" s="66">
        <f>(E245-F757)^3</f>
        <v/>
      </c>
      <c r="H245" s="66">
        <f>(E245-F757)^4</f>
        <v/>
      </c>
      <c r="I245" s="65" t="inlineStr"/>
    </row>
    <row r="246">
      <c r="A246" s="68" t="n">
        <v>234</v>
      </c>
      <c r="B246" s="68" t="n">
        <v>233</v>
      </c>
      <c r="C246" s="69" t="n">
        <v>4565.87</v>
      </c>
      <c r="D246" s="69" t="n">
        <v>4595.73422</v>
      </c>
      <c r="E246" s="70">
        <f>C246-D246</f>
        <v/>
      </c>
      <c r="F246" s="70">
        <f>(E246-F757)^2</f>
        <v/>
      </c>
      <c r="G246" s="69">
        <f>(E246-F757)^3</f>
        <v/>
      </c>
      <c r="H246" s="69">
        <f>(E246-F757)^4</f>
        <v/>
      </c>
      <c r="I246" s="68" t="inlineStr"/>
    </row>
    <row r="247">
      <c r="A247" s="65" t="n">
        <v>235</v>
      </c>
      <c r="B247" s="65" t="n">
        <v>234</v>
      </c>
      <c r="C247" s="66" t="n">
        <v>4569.29</v>
      </c>
      <c r="D247" s="66" t="n">
        <v>4595.93666</v>
      </c>
      <c r="E247" s="67">
        <f>C247-D247</f>
        <v/>
      </c>
      <c r="F247" s="67">
        <f>(E247-F757)^2</f>
        <v/>
      </c>
      <c r="G247" s="66">
        <f>(E247-F757)^3</f>
        <v/>
      </c>
      <c r="H247" s="66">
        <f>(E247-F757)^4</f>
        <v/>
      </c>
      <c r="I247" s="65" t="inlineStr"/>
    </row>
    <row r="248">
      <c r="A248" s="68" t="n">
        <v>236</v>
      </c>
      <c r="B248" s="68" t="n">
        <v>235</v>
      </c>
      <c r="C248" s="69" t="n">
        <v>4570.62</v>
      </c>
      <c r="D248" s="69" t="n">
        <v>4596.13911</v>
      </c>
      <c r="E248" s="70">
        <f>C248-D248</f>
        <v/>
      </c>
      <c r="F248" s="70">
        <f>(E248-F757)^2</f>
        <v/>
      </c>
      <c r="G248" s="69">
        <f>(E248-F757)^3</f>
        <v/>
      </c>
      <c r="H248" s="69">
        <f>(E248-F757)^4</f>
        <v/>
      </c>
      <c r="I248" s="68" t="inlineStr"/>
    </row>
    <row r="249">
      <c r="A249" s="65" t="n">
        <v>237</v>
      </c>
      <c r="B249" s="65" t="n">
        <v>236</v>
      </c>
      <c r="C249" s="66" t="n">
        <v>4563.12</v>
      </c>
      <c r="D249" s="66" t="n">
        <v>4596.34156</v>
      </c>
      <c r="E249" s="67">
        <f>C249-D249</f>
        <v/>
      </c>
      <c r="F249" s="67">
        <f>(E249-F757)^2</f>
        <v/>
      </c>
      <c r="G249" s="66">
        <f>(E249-F757)^3</f>
        <v/>
      </c>
      <c r="H249" s="66">
        <f>(E249-F757)^4</f>
        <v/>
      </c>
      <c r="I249" s="65" t="inlineStr"/>
    </row>
    <row r="250">
      <c r="A250" s="68" t="n">
        <v>238</v>
      </c>
      <c r="B250" s="68" t="n">
        <v>237</v>
      </c>
      <c r="C250" s="69" t="n">
        <v>4566.78</v>
      </c>
      <c r="D250" s="69" t="n">
        <v>4596.544</v>
      </c>
      <c r="E250" s="70">
        <f>C250-D250</f>
        <v/>
      </c>
      <c r="F250" s="70">
        <f>(E250-F757)^2</f>
        <v/>
      </c>
      <c r="G250" s="69">
        <f>(E250-F757)^3</f>
        <v/>
      </c>
      <c r="H250" s="69">
        <f>(E250-F757)^4</f>
        <v/>
      </c>
      <c r="I250" s="68" t="inlineStr"/>
    </row>
    <row r="251">
      <c r="A251" s="65" t="n">
        <v>239</v>
      </c>
      <c r="B251" s="65" t="n">
        <v>238</v>
      </c>
      <c r="C251" s="66" t="n">
        <v>4572.18</v>
      </c>
      <c r="D251" s="66" t="n">
        <v>4596.74645</v>
      </c>
      <c r="E251" s="67">
        <f>C251-D251</f>
        <v/>
      </c>
      <c r="F251" s="67">
        <f>(E251-F757)^2</f>
        <v/>
      </c>
      <c r="G251" s="66">
        <f>(E251-F757)^3</f>
        <v/>
      </c>
      <c r="H251" s="66">
        <f>(E251-F757)^4</f>
        <v/>
      </c>
      <c r="I251" s="65" t="inlineStr"/>
    </row>
    <row r="252">
      <c r="A252" s="68" t="n">
        <v>240</v>
      </c>
      <c r="B252" s="68" t="n">
        <v>239</v>
      </c>
      <c r="C252" s="69" t="n">
        <v>4570.49</v>
      </c>
      <c r="D252" s="69" t="n">
        <v>4596.94889</v>
      </c>
      <c r="E252" s="70">
        <f>C252-D252</f>
        <v/>
      </c>
      <c r="F252" s="70">
        <f>(E252-F757)^2</f>
        <v/>
      </c>
      <c r="G252" s="69">
        <f>(E252-F757)^3</f>
        <v/>
      </c>
      <c r="H252" s="69">
        <f>(E252-F757)^4</f>
        <v/>
      </c>
      <c r="I252" s="68" t="inlineStr"/>
    </row>
    <row r="253">
      <c r="A253" s="65" t="n">
        <v>241</v>
      </c>
      <c r="B253" s="65" t="n">
        <v>240</v>
      </c>
      <c r="C253" s="66" t="n">
        <v>4566.67</v>
      </c>
      <c r="D253" s="66" t="n">
        <v>4597.15134</v>
      </c>
      <c r="E253" s="67">
        <f>C253-D253</f>
        <v/>
      </c>
      <c r="F253" s="67">
        <f>(E253-F757)^2</f>
        <v/>
      </c>
      <c r="G253" s="66">
        <f>(E253-F757)^3</f>
        <v/>
      </c>
      <c r="H253" s="66">
        <f>(E253-F757)^4</f>
        <v/>
      </c>
      <c r="I253" s="65" t="inlineStr"/>
    </row>
    <row r="254">
      <c r="A254" s="68" t="n">
        <v>242</v>
      </c>
      <c r="B254" s="68" t="n">
        <v>241</v>
      </c>
      <c r="C254" s="69" t="n">
        <v>4565.94</v>
      </c>
      <c r="D254" s="69" t="n">
        <v>4597.35378</v>
      </c>
      <c r="E254" s="70">
        <f>C254-D254</f>
        <v/>
      </c>
      <c r="F254" s="70">
        <f>(E254-F757)^2</f>
        <v/>
      </c>
      <c r="G254" s="69">
        <f>(E254-F757)^3</f>
        <v/>
      </c>
      <c r="H254" s="69">
        <f>(E254-F757)^4</f>
        <v/>
      </c>
      <c r="I254" s="68" t="inlineStr"/>
    </row>
    <row r="255">
      <c r="A255" s="65" t="n">
        <v>243</v>
      </c>
      <c r="B255" s="65" t="n">
        <v>242</v>
      </c>
      <c r="C255" s="66" t="n">
        <v>4572.03</v>
      </c>
      <c r="D255" s="66" t="n">
        <v>4597.55623</v>
      </c>
      <c r="E255" s="67">
        <f>C255-D255</f>
        <v/>
      </c>
      <c r="F255" s="67">
        <f>(E255-F757)^2</f>
        <v/>
      </c>
      <c r="G255" s="66">
        <f>(E255-F757)^3</f>
        <v/>
      </c>
      <c r="H255" s="66">
        <f>(E255-F757)^4</f>
        <v/>
      </c>
      <c r="I255" s="65" t="inlineStr"/>
    </row>
    <row r="256">
      <c r="A256" s="68" t="n">
        <v>244</v>
      </c>
      <c r="B256" s="68" t="n">
        <v>243</v>
      </c>
      <c r="C256" s="69" t="n">
        <v>4575.75</v>
      </c>
      <c r="D256" s="69" t="n">
        <v>4597.75868</v>
      </c>
      <c r="E256" s="70">
        <f>C256-D256</f>
        <v/>
      </c>
      <c r="F256" s="70">
        <f>(E256-F757)^2</f>
        <v/>
      </c>
      <c r="G256" s="69">
        <f>(E256-F757)^3</f>
        <v/>
      </c>
      <c r="H256" s="69">
        <f>(E256-F757)^4</f>
        <v/>
      </c>
      <c r="I256" s="68" t="inlineStr"/>
    </row>
    <row r="257">
      <c r="A257" s="65" t="n">
        <v>245</v>
      </c>
      <c r="B257" s="65" t="n">
        <v>244</v>
      </c>
      <c r="C257" s="66" t="n">
        <v>4578.84</v>
      </c>
      <c r="D257" s="66" t="n">
        <v>4597.96112</v>
      </c>
      <c r="E257" s="67">
        <f>C257-D257</f>
        <v/>
      </c>
      <c r="F257" s="67">
        <f>(E257-F757)^2</f>
        <v/>
      </c>
      <c r="G257" s="66">
        <f>(E257-F757)^3</f>
        <v/>
      </c>
      <c r="H257" s="66">
        <f>(E257-F757)^4</f>
        <v/>
      </c>
      <c r="I257" s="65" t="inlineStr"/>
    </row>
    <row r="258">
      <c r="A258" s="68" t="n">
        <v>246</v>
      </c>
      <c r="B258" s="68" t="n">
        <v>245</v>
      </c>
      <c r="C258" s="69" t="n">
        <v>4584.86</v>
      </c>
      <c r="D258" s="69" t="n">
        <v>4598.16357</v>
      </c>
      <c r="E258" s="70">
        <f>C258-D258</f>
        <v/>
      </c>
      <c r="F258" s="70">
        <f>(E258-F757)^2</f>
        <v/>
      </c>
      <c r="G258" s="69">
        <f>(E258-F757)^3</f>
        <v/>
      </c>
      <c r="H258" s="69">
        <f>(E258-F757)^4</f>
        <v/>
      </c>
      <c r="I258" s="68" t="inlineStr"/>
    </row>
    <row r="259">
      <c r="A259" s="65" t="n">
        <v>247</v>
      </c>
      <c r="B259" s="65" t="n">
        <v>246</v>
      </c>
      <c r="C259" s="66" t="n">
        <v>4602.95</v>
      </c>
      <c r="D259" s="66" t="n">
        <v>4598.36601</v>
      </c>
      <c r="E259" s="67">
        <f>C259-D259</f>
        <v/>
      </c>
      <c r="F259" s="67">
        <f>(E259-F757)^2</f>
        <v/>
      </c>
      <c r="G259" s="66">
        <f>(E259-F757)^3</f>
        <v/>
      </c>
      <c r="H259" s="66">
        <f>(E259-F757)^4</f>
        <v/>
      </c>
      <c r="I259" s="65" t="inlineStr"/>
    </row>
    <row r="260">
      <c r="A260" s="68" t="n">
        <v>248</v>
      </c>
      <c r="B260" s="68" t="n">
        <v>247</v>
      </c>
      <c r="C260" s="69" t="n">
        <v>4591.95</v>
      </c>
      <c r="D260" s="69" t="n">
        <v>4598.56846</v>
      </c>
      <c r="E260" s="70">
        <f>C260-D260</f>
        <v/>
      </c>
      <c r="F260" s="70">
        <f>(E260-F757)^2</f>
        <v/>
      </c>
      <c r="G260" s="69">
        <f>(E260-F757)^3</f>
        <v/>
      </c>
      <c r="H260" s="69">
        <f>(E260-F757)^4</f>
        <v/>
      </c>
      <c r="I260" s="68" t="inlineStr"/>
    </row>
    <row r="261">
      <c r="A261" s="65" t="n">
        <v>249</v>
      </c>
      <c r="B261" s="65" t="n">
        <v>248</v>
      </c>
      <c r="C261" s="66" t="n">
        <v>4591.18</v>
      </c>
      <c r="D261" s="66" t="n">
        <v>4598.7709</v>
      </c>
      <c r="E261" s="67">
        <f>C261-D261</f>
        <v/>
      </c>
      <c r="F261" s="67">
        <f>(E261-F757)^2</f>
        <v/>
      </c>
      <c r="G261" s="66">
        <f>(E261-F757)^3</f>
        <v/>
      </c>
      <c r="H261" s="66">
        <f>(E261-F757)^4</f>
        <v/>
      </c>
      <c r="I261" s="65" t="inlineStr"/>
    </row>
    <row r="262">
      <c r="A262" s="68" t="n">
        <v>250</v>
      </c>
      <c r="B262" s="68" t="n">
        <v>249</v>
      </c>
      <c r="C262" s="69" t="n">
        <v>4591.32</v>
      </c>
      <c r="D262" s="69" t="n">
        <v>4598.97335</v>
      </c>
      <c r="E262" s="70">
        <f>C262-D262</f>
        <v/>
      </c>
      <c r="F262" s="70">
        <f>(E262-F757)^2</f>
        <v/>
      </c>
      <c r="G262" s="69">
        <f>(E262-F757)^3</f>
        <v/>
      </c>
      <c r="H262" s="69">
        <f>(E262-F757)^4</f>
        <v/>
      </c>
      <c r="I262" s="68" t="inlineStr"/>
    </row>
    <row r="263">
      <c r="A263" s="65" t="n">
        <v>251</v>
      </c>
      <c r="B263" s="65" t="n">
        <v>250</v>
      </c>
      <c r="C263" s="66" t="n">
        <v>4589.2</v>
      </c>
      <c r="D263" s="66" t="n">
        <v>4599.1758</v>
      </c>
      <c r="E263" s="67">
        <f>C263-D263</f>
        <v/>
      </c>
      <c r="F263" s="67">
        <f>(E263-F757)^2</f>
        <v/>
      </c>
      <c r="G263" s="66">
        <f>(E263-F757)^3</f>
        <v/>
      </c>
      <c r="H263" s="66">
        <f>(E263-F757)^4</f>
        <v/>
      </c>
      <c r="I263" s="65" t="inlineStr"/>
    </row>
    <row r="264">
      <c r="A264" s="68" t="n">
        <v>252</v>
      </c>
      <c r="B264" s="68" t="n">
        <v>251</v>
      </c>
      <c r="C264" s="69" t="n">
        <v>4608.07</v>
      </c>
      <c r="D264" s="69" t="n">
        <v>4599.37824</v>
      </c>
      <c r="E264" s="70">
        <f>C264-D264</f>
        <v/>
      </c>
      <c r="F264" s="70">
        <f>(E264-F757)^2</f>
        <v/>
      </c>
      <c r="G264" s="69">
        <f>(E264-F757)^3</f>
        <v/>
      </c>
      <c r="H264" s="69">
        <f>(E264-F757)^4</f>
        <v/>
      </c>
      <c r="I264" s="68" t="inlineStr"/>
    </row>
    <row r="265">
      <c r="A265" s="65" t="n">
        <v>253</v>
      </c>
      <c r="B265" s="65" t="n">
        <v>252</v>
      </c>
      <c r="C265" s="66" t="n">
        <v>4625.7</v>
      </c>
      <c r="D265" s="66" t="n">
        <v>4599.58069</v>
      </c>
      <c r="E265" s="67">
        <f>C265-D265</f>
        <v/>
      </c>
      <c r="F265" s="67">
        <f>(E265-F757)^2</f>
        <v/>
      </c>
      <c r="G265" s="66">
        <f>(E265-F757)^3</f>
        <v/>
      </c>
      <c r="H265" s="66">
        <f>(E265-F757)^4</f>
        <v/>
      </c>
      <c r="I265" s="65" t="inlineStr"/>
    </row>
    <row r="266">
      <c r="A266" s="68" t="n">
        <v>254</v>
      </c>
      <c r="B266" s="68" t="n">
        <v>253</v>
      </c>
      <c r="C266" s="69" t="n">
        <v>4656.06</v>
      </c>
      <c r="D266" s="69" t="n">
        <v>4599.78313</v>
      </c>
      <c r="E266" s="70">
        <f>C266-D266</f>
        <v/>
      </c>
      <c r="F266" s="70">
        <f>(E266-F757)^2</f>
        <v/>
      </c>
      <c r="G266" s="69">
        <f>(E266-F757)^3</f>
        <v/>
      </c>
      <c r="H266" s="69">
        <f>(E266-F757)^4</f>
        <v/>
      </c>
      <c r="I266" s="68" t="inlineStr"/>
    </row>
    <row r="267">
      <c r="A267" s="65" t="n">
        <v>255</v>
      </c>
      <c r="B267" s="65" t="n">
        <v>254</v>
      </c>
      <c r="C267" s="66" t="n">
        <v>4644.67</v>
      </c>
      <c r="D267" s="66" t="n">
        <v>4599.98558</v>
      </c>
      <c r="E267" s="67">
        <f>C267-D267</f>
        <v/>
      </c>
      <c r="F267" s="67">
        <f>(E267-F757)^2</f>
        <v/>
      </c>
      <c r="G267" s="66">
        <f>(E267-F757)^3</f>
        <v/>
      </c>
      <c r="H267" s="66">
        <f>(E267-F757)^4</f>
        <v/>
      </c>
      <c r="I267" s="65" t="inlineStr"/>
    </row>
    <row r="268">
      <c r="A268" s="68" t="n">
        <v>256</v>
      </c>
      <c r="B268" s="68" t="n">
        <v>255</v>
      </c>
      <c r="C268" s="69" t="n">
        <v>4633.23</v>
      </c>
      <c r="D268" s="69" t="n">
        <v>4600.18802</v>
      </c>
      <c r="E268" s="70">
        <f>C268-D268</f>
        <v/>
      </c>
      <c r="F268" s="70">
        <f>(E268-F757)^2</f>
        <v/>
      </c>
      <c r="G268" s="69">
        <f>(E268-F757)^3</f>
        <v/>
      </c>
      <c r="H268" s="69">
        <f>(E268-F757)^4</f>
        <v/>
      </c>
      <c r="I268" s="68" t="inlineStr"/>
    </row>
    <row r="269">
      <c r="A269" s="65" t="n">
        <v>257</v>
      </c>
      <c r="B269" s="65" t="n">
        <v>256</v>
      </c>
      <c r="C269" s="66" t="n">
        <v>4632.21</v>
      </c>
      <c r="D269" s="66" t="n">
        <v>4600.39047</v>
      </c>
      <c r="E269" s="67">
        <f>C269-D269</f>
        <v/>
      </c>
      <c r="F269" s="67">
        <f>(E269-F757)^2</f>
        <v/>
      </c>
      <c r="G269" s="66">
        <f>(E269-F757)^3</f>
        <v/>
      </c>
      <c r="H269" s="66">
        <f>(E269-F757)^4</f>
        <v/>
      </c>
      <c r="I269" s="65" t="inlineStr"/>
    </row>
    <row r="270">
      <c r="A270" s="68" t="n">
        <v>258</v>
      </c>
      <c r="B270" s="68" t="n">
        <v>257</v>
      </c>
      <c r="C270" s="69" t="n">
        <v>4636.58</v>
      </c>
      <c r="D270" s="69" t="n">
        <v>4600.59291</v>
      </c>
      <c r="E270" s="70">
        <f>C270-D270</f>
        <v/>
      </c>
      <c r="F270" s="70">
        <f>(E270-F757)^2</f>
        <v/>
      </c>
      <c r="G270" s="69">
        <f>(E270-F757)^3</f>
        <v/>
      </c>
      <c r="H270" s="69">
        <f>(E270-F757)^4</f>
        <v/>
      </c>
      <c r="I270" s="68" t="inlineStr"/>
    </row>
    <row r="271">
      <c r="A271" s="65" t="n">
        <v>259</v>
      </c>
      <c r="B271" s="65" t="n">
        <v>258</v>
      </c>
      <c r="C271" s="66" t="n">
        <v>4636.46</v>
      </c>
      <c r="D271" s="66" t="n">
        <v>4600.79536</v>
      </c>
      <c r="E271" s="67">
        <f>C271-D271</f>
        <v/>
      </c>
      <c r="F271" s="67">
        <f>(E271-F757)^2</f>
        <v/>
      </c>
      <c r="G271" s="66">
        <f>(E271-F757)^3</f>
        <v/>
      </c>
      <c r="H271" s="66">
        <f>(E271-F757)^4</f>
        <v/>
      </c>
      <c r="I271" s="65" t="inlineStr"/>
    </row>
    <row r="272">
      <c r="A272" s="68" t="n">
        <v>260</v>
      </c>
      <c r="B272" s="68" t="n">
        <v>259</v>
      </c>
      <c r="C272" s="69" t="n">
        <v>4643.6</v>
      </c>
      <c r="D272" s="69" t="n">
        <v>4600.99781</v>
      </c>
      <c r="E272" s="70">
        <f>C272-D272</f>
        <v/>
      </c>
      <c r="F272" s="70">
        <f>(E272-F757)^2</f>
        <v/>
      </c>
      <c r="G272" s="69">
        <f>(E272-F757)^3</f>
        <v/>
      </c>
      <c r="H272" s="69">
        <f>(E272-F757)^4</f>
        <v/>
      </c>
      <c r="I272" s="68" t="inlineStr"/>
    </row>
    <row r="273">
      <c r="A273" s="65" t="n">
        <v>261</v>
      </c>
      <c r="B273" s="65" t="n">
        <v>260</v>
      </c>
      <c r="C273" s="66" t="n">
        <v>4643.3</v>
      </c>
      <c r="D273" s="66" t="n">
        <v>4601.20025</v>
      </c>
      <c r="E273" s="67">
        <f>C273-D273</f>
        <v/>
      </c>
      <c r="F273" s="67">
        <f>(E273-F757)^2</f>
        <v/>
      </c>
      <c r="G273" s="66">
        <f>(E273-F757)^3</f>
        <v/>
      </c>
      <c r="H273" s="66">
        <f>(E273-F757)^4</f>
        <v/>
      </c>
      <c r="I273" s="65" t="inlineStr"/>
    </row>
    <row r="274">
      <c r="A274" s="68" t="n">
        <v>262</v>
      </c>
      <c r="B274" s="68" t="n">
        <v>261</v>
      </c>
      <c r="C274" s="69" t="n">
        <v>4642.75</v>
      </c>
      <c r="D274" s="69" t="n">
        <v>4601.4027</v>
      </c>
      <c r="E274" s="70">
        <f>C274-D274</f>
        <v/>
      </c>
      <c r="F274" s="70">
        <f>(E274-F757)^2</f>
        <v/>
      </c>
      <c r="G274" s="69">
        <f>(E274-F757)^3</f>
        <v/>
      </c>
      <c r="H274" s="69">
        <f>(E274-F757)^4</f>
        <v/>
      </c>
      <c r="I274" s="68" t="inlineStr"/>
    </row>
    <row r="275">
      <c r="A275" s="65" t="n">
        <v>263</v>
      </c>
      <c r="B275" s="65" t="n">
        <v>262</v>
      </c>
      <c r="C275" s="66" t="n">
        <v>4637.96</v>
      </c>
      <c r="D275" s="66" t="n">
        <v>4601.60514</v>
      </c>
      <c r="E275" s="67">
        <f>C275-D275</f>
        <v/>
      </c>
      <c r="F275" s="67">
        <f>(E275-F757)^2</f>
        <v/>
      </c>
      <c r="G275" s="66">
        <f>(E275-F757)^3</f>
        <v/>
      </c>
      <c r="H275" s="66">
        <f>(E275-F757)^4</f>
        <v/>
      </c>
      <c r="I275" s="65" t="inlineStr"/>
    </row>
    <row r="276">
      <c r="A276" s="68" t="n">
        <v>264</v>
      </c>
      <c r="B276" s="68" t="n">
        <v>263</v>
      </c>
      <c r="C276" s="69" t="n">
        <v>4638.86</v>
      </c>
      <c r="D276" s="69" t="n">
        <v>4601.80759</v>
      </c>
      <c r="E276" s="70">
        <f>C276-D276</f>
        <v/>
      </c>
      <c r="F276" s="70">
        <f>(E276-F757)^2</f>
        <v/>
      </c>
      <c r="G276" s="69">
        <f>(E276-F757)^3</f>
        <v/>
      </c>
      <c r="H276" s="69">
        <f>(E276-F757)^4</f>
        <v/>
      </c>
      <c r="I276" s="68" t="inlineStr"/>
    </row>
    <row r="277">
      <c r="A277" s="65" t="n">
        <v>265</v>
      </c>
      <c r="B277" s="65" t="n">
        <v>264</v>
      </c>
      <c r="C277" s="66" t="n">
        <v>4638.72</v>
      </c>
      <c r="D277" s="66" t="n">
        <v>4602.01003</v>
      </c>
      <c r="E277" s="67">
        <f>C277-D277</f>
        <v/>
      </c>
      <c r="F277" s="67">
        <f>(E277-F757)^2</f>
        <v/>
      </c>
      <c r="G277" s="66">
        <f>(E277-F757)^3</f>
        <v/>
      </c>
      <c r="H277" s="66">
        <f>(E277-F757)^4</f>
        <v/>
      </c>
      <c r="I277" s="65" t="inlineStr"/>
    </row>
    <row r="278">
      <c r="A278" s="68" t="n">
        <v>266</v>
      </c>
      <c r="B278" s="68" t="n">
        <v>265</v>
      </c>
      <c r="C278" s="69" t="n">
        <v>4639.73</v>
      </c>
      <c r="D278" s="69" t="n">
        <v>4602.21248</v>
      </c>
      <c r="E278" s="70">
        <f>C278-D278</f>
        <v/>
      </c>
      <c r="F278" s="70">
        <f>(E278-F757)^2</f>
        <v/>
      </c>
      <c r="G278" s="69">
        <f>(E278-F757)^3</f>
        <v/>
      </c>
      <c r="H278" s="69">
        <f>(E278-F757)^4</f>
        <v/>
      </c>
      <c r="I278" s="68" t="inlineStr"/>
    </row>
    <row r="279">
      <c r="A279" s="65" t="n">
        <v>267</v>
      </c>
      <c r="B279" s="65" t="n">
        <v>266</v>
      </c>
      <c r="C279" s="66" t="n">
        <v>4631.67</v>
      </c>
      <c r="D279" s="66" t="n">
        <v>4602.41493</v>
      </c>
      <c r="E279" s="67">
        <f>C279-D279</f>
        <v/>
      </c>
      <c r="F279" s="67">
        <f>(E279-F757)^2</f>
        <v/>
      </c>
      <c r="G279" s="66">
        <f>(E279-F757)^3</f>
        <v/>
      </c>
      <c r="H279" s="66">
        <f>(E279-F757)^4</f>
        <v/>
      </c>
      <c r="I279" s="65" t="inlineStr"/>
    </row>
    <row r="280">
      <c r="A280" s="68" t="n">
        <v>268</v>
      </c>
      <c r="B280" s="68" t="n">
        <v>267</v>
      </c>
      <c r="C280" s="69" t="n">
        <v>4628</v>
      </c>
      <c r="D280" s="69" t="n">
        <v>4602.61737</v>
      </c>
      <c r="E280" s="70">
        <f>C280-D280</f>
        <v/>
      </c>
      <c r="F280" s="70">
        <f>(E280-F757)^2</f>
        <v/>
      </c>
      <c r="G280" s="69">
        <f>(E280-F757)^3</f>
        <v/>
      </c>
      <c r="H280" s="69">
        <f>(E280-F757)^4</f>
        <v/>
      </c>
      <c r="I280" s="68" t="inlineStr"/>
    </row>
    <row r="281">
      <c r="A281" s="65" t="n">
        <v>269</v>
      </c>
      <c r="B281" s="65" t="n">
        <v>268</v>
      </c>
      <c r="C281" s="66" t="n">
        <v>4629.43</v>
      </c>
      <c r="D281" s="66" t="n">
        <v>4602.81982</v>
      </c>
      <c r="E281" s="67">
        <f>C281-D281</f>
        <v/>
      </c>
      <c r="F281" s="67">
        <f>(E281-F757)^2</f>
        <v/>
      </c>
      <c r="G281" s="66">
        <f>(E281-F757)^3</f>
        <v/>
      </c>
      <c r="H281" s="66">
        <f>(E281-F757)^4</f>
        <v/>
      </c>
      <c r="I281" s="65" t="inlineStr"/>
    </row>
    <row r="282">
      <c r="A282" s="68" t="n">
        <v>270</v>
      </c>
      <c r="B282" s="68" t="n">
        <v>269</v>
      </c>
      <c r="C282" s="69" t="n">
        <v>4615.72</v>
      </c>
      <c r="D282" s="69" t="n">
        <v>4603.02226</v>
      </c>
      <c r="E282" s="70">
        <f>C282-D282</f>
        <v/>
      </c>
      <c r="F282" s="70">
        <f>(E282-F757)^2</f>
        <v/>
      </c>
      <c r="G282" s="69">
        <f>(E282-F757)^3</f>
        <v/>
      </c>
      <c r="H282" s="69">
        <f>(E282-F757)^4</f>
        <v/>
      </c>
      <c r="I282" s="68" t="inlineStr"/>
    </row>
    <row r="283">
      <c r="A283" s="65" t="n">
        <v>271</v>
      </c>
      <c r="B283" s="65" t="n">
        <v>270</v>
      </c>
      <c r="C283" s="66" t="n">
        <v>4623.48</v>
      </c>
      <c r="D283" s="66" t="n">
        <v>4603.22471</v>
      </c>
      <c r="E283" s="67">
        <f>C283-D283</f>
        <v/>
      </c>
      <c r="F283" s="67">
        <f>(E283-F757)^2</f>
        <v/>
      </c>
      <c r="G283" s="66">
        <f>(E283-F757)^3</f>
        <v/>
      </c>
      <c r="H283" s="66">
        <f>(E283-F757)^4</f>
        <v/>
      </c>
      <c r="I283" s="65" t="inlineStr"/>
    </row>
    <row r="284">
      <c r="A284" s="68" t="n">
        <v>272</v>
      </c>
      <c r="B284" s="68" t="n">
        <v>271</v>
      </c>
      <c r="C284" s="69" t="n">
        <v>4622.32</v>
      </c>
      <c r="D284" s="69" t="n">
        <v>4603.42715</v>
      </c>
      <c r="E284" s="70">
        <f>C284-D284</f>
        <v/>
      </c>
      <c r="F284" s="70">
        <f>(E284-F757)^2</f>
        <v/>
      </c>
      <c r="G284" s="69">
        <f>(E284-F757)^3</f>
        <v/>
      </c>
      <c r="H284" s="69">
        <f>(E284-F757)^4</f>
        <v/>
      </c>
      <c r="I284" s="68" t="inlineStr"/>
    </row>
    <row r="285">
      <c r="A285" s="65" t="n">
        <v>273</v>
      </c>
      <c r="B285" s="65" t="n">
        <v>272</v>
      </c>
      <c r="C285" s="66" t="n">
        <v>4624.35</v>
      </c>
      <c r="D285" s="66" t="n">
        <v>4603.6296</v>
      </c>
      <c r="E285" s="67">
        <f>C285-D285</f>
        <v/>
      </c>
      <c r="F285" s="67">
        <f>(E285-F757)^2</f>
        <v/>
      </c>
      <c r="G285" s="66">
        <f>(E285-F757)^3</f>
        <v/>
      </c>
      <c r="H285" s="66">
        <f>(E285-F757)^4</f>
        <v/>
      </c>
      <c r="I285" s="65" t="inlineStr"/>
    </row>
    <row r="286">
      <c r="A286" s="68" t="n">
        <v>274</v>
      </c>
      <c r="B286" s="68" t="n">
        <v>273</v>
      </c>
      <c r="C286" s="69" t="n">
        <v>4626.3</v>
      </c>
      <c r="D286" s="69" t="n">
        <v>4603.83205</v>
      </c>
      <c r="E286" s="70">
        <f>C286-D286</f>
        <v/>
      </c>
      <c r="F286" s="70">
        <f>(E286-F757)^2</f>
        <v/>
      </c>
      <c r="G286" s="69">
        <f>(E286-F757)^3</f>
        <v/>
      </c>
      <c r="H286" s="69">
        <f>(E286-F757)^4</f>
        <v/>
      </c>
      <c r="I286" s="68" t="inlineStr"/>
    </row>
    <row r="287">
      <c r="A287" s="65" t="n">
        <v>275</v>
      </c>
      <c r="B287" s="65" t="n">
        <v>274</v>
      </c>
      <c r="C287" s="66" t="n">
        <v>4624.4</v>
      </c>
      <c r="D287" s="66" t="n">
        <v>4604.03449</v>
      </c>
      <c r="E287" s="67">
        <f>C287-D287</f>
        <v/>
      </c>
      <c r="F287" s="67">
        <f>(E287-F757)^2</f>
        <v/>
      </c>
      <c r="G287" s="66">
        <f>(E287-F757)^3</f>
        <v/>
      </c>
      <c r="H287" s="66">
        <f>(E287-F757)^4</f>
        <v/>
      </c>
      <c r="I287" s="65" t="inlineStr"/>
    </row>
    <row r="288">
      <c r="A288" s="68" t="n">
        <v>276</v>
      </c>
      <c r="B288" s="68" t="n">
        <v>275</v>
      </c>
      <c r="C288" s="69" t="n">
        <v>4611.78</v>
      </c>
      <c r="D288" s="69" t="n">
        <v>4604.23694</v>
      </c>
      <c r="E288" s="70">
        <f>C288-D288</f>
        <v/>
      </c>
      <c r="F288" s="70">
        <f>(E288-F757)^2</f>
        <v/>
      </c>
      <c r="G288" s="69">
        <f>(E288-F757)^3</f>
        <v/>
      </c>
      <c r="H288" s="69">
        <f>(E288-F757)^4</f>
        <v/>
      </c>
      <c r="I288" s="68" t="inlineStr"/>
    </row>
    <row r="289">
      <c r="A289" s="65" t="n">
        <v>277</v>
      </c>
      <c r="B289" s="65" t="n">
        <v>276</v>
      </c>
      <c r="C289" s="66" t="n">
        <v>4610.06</v>
      </c>
      <c r="D289" s="66" t="n">
        <v>4604.43938</v>
      </c>
      <c r="E289" s="67">
        <f>C289-D289</f>
        <v/>
      </c>
      <c r="F289" s="67">
        <f>(E289-F757)^2</f>
        <v/>
      </c>
      <c r="G289" s="66">
        <f>(E289-F757)^3</f>
        <v/>
      </c>
      <c r="H289" s="66">
        <f>(E289-F757)^4</f>
        <v/>
      </c>
      <c r="I289" s="65" t="inlineStr"/>
    </row>
    <row r="290">
      <c r="A290" s="68" t="n">
        <v>278</v>
      </c>
      <c r="B290" s="68" t="n">
        <v>277</v>
      </c>
      <c r="C290" s="69" t="n">
        <v>4611.41</v>
      </c>
      <c r="D290" s="69" t="n">
        <v>4604.64183</v>
      </c>
      <c r="E290" s="70">
        <f>C290-D290</f>
        <v/>
      </c>
      <c r="F290" s="70">
        <f>(E290-F757)^2</f>
        <v/>
      </c>
      <c r="G290" s="69">
        <f>(E290-F757)^3</f>
        <v/>
      </c>
      <c r="H290" s="69">
        <f>(E290-F757)^4</f>
        <v/>
      </c>
      <c r="I290" s="68" t="inlineStr"/>
    </row>
    <row r="291">
      <c r="A291" s="65" t="n">
        <v>279</v>
      </c>
      <c r="B291" s="65" t="n">
        <v>278</v>
      </c>
      <c r="C291" s="66" t="n">
        <v>4613.3</v>
      </c>
      <c r="D291" s="66" t="n">
        <v>4604.84427</v>
      </c>
      <c r="E291" s="67">
        <f>C291-D291</f>
        <v/>
      </c>
      <c r="F291" s="67">
        <f>(E291-F757)^2</f>
        <v/>
      </c>
      <c r="G291" s="66">
        <f>(E291-F757)^3</f>
        <v/>
      </c>
      <c r="H291" s="66">
        <f>(E291-F757)^4</f>
        <v/>
      </c>
      <c r="I291" s="65" t="inlineStr"/>
    </row>
    <row r="292">
      <c r="A292" s="68" t="n">
        <v>280</v>
      </c>
      <c r="B292" s="68" t="n">
        <v>279</v>
      </c>
      <c r="C292" s="69" t="n">
        <v>4613.77</v>
      </c>
      <c r="D292" s="69" t="n">
        <v>4605.04672</v>
      </c>
      <c r="E292" s="70">
        <f>C292-D292</f>
        <v/>
      </c>
      <c r="F292" s="70">
        <f>(E292-F757)^2</f>
        <v/>
      </c>
      <c r="G292" s="69">
        <f>(E292-F757)^3</f>
        <v/>
      </c>
      <c r="H292" s="69">
        <f>(E292-F757)^4</f>
        <v/>
      </c>
      <c r="I292" s="68" t="inlineStr"/>
    </row>
    <row r="293">
      <c r="A293" s="65" t="n">
        <v>281</v>
      </c>
      <c r="B293" s="65" t="n">
        <v>280</v>
      </c>
      <c r="C293" s="66" t="n">
        <v>4613.98</v>
      </c>
      <c r="D293" s="66" t="n">
        <v>4605.24917</v>
      </c>
      <c r="E293" s="67">
        <f>C293-D293</f>
        <v/>
      </c>
      <c r="F293" s="67">
        <f>(E293-F757)^2</f>
        <v/>
      </c>
      <c r="G293" s="66">
        <f>(E293-F757)^3</f>
        <v/>
      </c>
      <c r="H293" s="66">
        <f>(E293-F757)^4</f>
        <v/>
      </c>
      <c r="I293" s="65" t="inlineStr"/>
    </row>
    <row r="294">
      <c r="A294" s="68" t="n">
        <v>282</v>
      </c>
      <c r="B294" s="68" t="n">
        <v>281</v>
      </c>
      <c r="C294" s="69" t="n">
        <v>4623.11</v>
      </c>
      <c r="D294" s="69" t="n">
        <v>4605.45161</v>
      </c>
      <c r="E294" s="70">
        <f>C294-D294</f>
        <v/>
      </c>
      <c r="F294" s="70">
        <f>(E294-F757)^2</f>
        <v/>
      </c>
      <c r="G294" s="69">
        <f>(E294-F757)^3</f>
        <v/>
      </c>
      <c r="H294" s="69">
        <f>(E294-F757)^4</f>
        <v/>
      </c>
      <c r="I294" s="68" t="inlineStr"/>
    </row>
    <row r="295">
      <c r="A295" s="65" t="n">
        <v>283</v>
      </c>
      <c r="B295" s="65" t="n">
        <v>282</v>
      </c>
      <c r="C295" s="66" t="n">
        <v>4620.91</v>
      </c>
      <c r="D295" s="66" t="n">
        <v>4605.65406</v>
      </c>
      <c r="E295" s="67">
        <f>C295-D295</f>
        <v/>
      </c>
      <c r="F295" s="67">
        <f>(E295-F757)^2</f>
        <v/>
      </c>
      <c r="G295" s="66">
        <f>(E295-F757)^3</f>
        <v/>
      </c>
      <c r="H295" s="66">
        <f>(E295-F757)^4</f>
        <v/>
      </c>
      <c r="I295" s="65" t="inlineStr"/>
    </row>
    <row r="296">
      <c r="A296" s="68" t="n">
        <v>284</v>
      </c>
      <c r="B296" s="68" t="n">
        <v>283</v>
      </c>
      <c r="C296" s="69" t="n">
        <v>4628.2</v>
      </c>
      <c r="D296" s="69" t="n">
        <v>4605.8565</v>
      </c>
      <c r="E296" s="70">
        <f>C296-D296</f>
        <v/>
      </c>
      <c r="F296" s="70">
        <f>(E296-F757)^2</f>
        <v/>
      </c>
      <c r="G296" s="69">
        <f>(E296-F757)^3</f>
        <v/>
      </c>
      <c r="H296" s="69">
        <f>(E296-F757)^4</f>
        <v/>
      </c>
      <c r="I296" s="68" t="inlineStr"/>
    </row>
    <row r="297">
      <c r="A297" s="65" t="n">
        <v>285</v>
      </c>
      <c r="B297" s="65" t="n">
        <v>284</v>
      </c>
      <c r="C297" s="66" t="n">
        <v>4618.95</v>
      </c>
      <c r="D297" s="66" t="n">
        <v>4606.05895</v>
      </c>
      <c r="E297" s="67">
        <f>C297-D297</f>
        <v/>
      </c>
      <c r="F297" s="67">
        <f>(E297-F757)^2</f>
        <v/>
      </c>
      <c r="G297" s="66">
        <f>(E297-F757)^3</f>
        <v/>
      </c>
      <c r="H297" s="66">
        <f>(E297-F757)^4</f>
        <v/>
      </c>
      <c r="I297" s="65" t="inlineStr"/>
    </row>
    <row r="298">
      <c r="A298" s="68" t="n">
        <v>286</v>
      </c>
      <c r="B298" s="68" t="n">
        <v>285</v>
      </c>
      <c r="C298" s="69" t="n">
        <v>4615.08</v>
      </c>
      <c r="D298" s="69" t="n">
        <v>4606.26139</v>
      </c>
      <c r="E298" s="70">
        <f>C298-D298</f>
        <v/>
      </c>
      <c r="F298" s="70">
        <f>(E298-F757)^2</f>
        <v/>
      </c>
      <c r="G298" s="69">
        <f>(E298-F757)^3</f>
        <v/>
      </c>
      <c r="H298" s="69">
        <f>(E298-F757)^4</f>
        <v/>
      </c>
      <c r="I298" s="68" t="inlineStr"/>
    </row>
    <row r="299">
      <c r="A299" s="65" t="n">
        <v>287</v>
      </c>
      <c r="B299" s="65" t="n">
        <v>286</v>
      </c>
      <c r="C299" s="66" t="n">
        <v>4617.09</v>
      </c>
      <c r="D299" s="66" t="n">
        <v>4606.46384</v>
      </c>
      <c r="E299" s="67">
        <f>C299-D299</f>
        <v/>
      </c>
      <c r="F299" s="67">
        <f>(E299-F757)^2</f>
        <v/>
      </c>
      <c r="G299" s="66">
        <f>(E299-F757)^3</f>
        <v/>
      </c>
      <c r="H299" s="66">
        <f>(E299-F757)^4</f>
        <v/>
      </c>
      <c r="I299" s="65" t="inlineStr"/>
    </row>
    <row r="300">
      <c r="A300" s="68" t="n">
        <v>288</v>
      </c>
      <c r="B300" s="68" t="n">
        <v>287</v>
      </c>
      <c r="C300" s="69" t="n">
        <v>4613.63</v>
      </c>
      <c r="D300" s="69" t="n">
        <v>4606.66629</v>
      </c>
      <c r="E300" s="70">
        <f>C300-D300</f>
        <v/>
      </c>
      <c r="F300" s="70">
        <f>(E300-F757)^2</f>
        <v/>
      </c>
      <c r="G300" s="69">
        <f>(E300-F757)^3</f>
        <v/>
      </c>
      <c r="H300" s="69">
        <f>(E300-F757)^4</f>
        <v/>
      </c>
      <c r="I300" s="68" t="inlineStr"/>
    </row>
    <row r="301">
      <c r="A301" s="65" t="n">
        <v>289</v>
      </c>
      <c r="B301" s="65" t="n">
        <v>288</v>
      </c>
      <c r="C301" s="66" t="n">
        <v>4613.86</v>
      </c>
      <c r="D301" s="66" t="n">
        <v>4606.86873</v>
      </c>
      <c r="E301" s="67">
        <f>C301-D301</f>
        <v/>
      </c>
      <c r="F301" s="67">
        <f>(E301-F757)^2</f>
        <v/>
      </c>
      <c r="G301" s="66">
        <f>(E301-F757)^3</f>
        <v/>
      </c>
      <c r="H301" s="66">
        <f>(E301-F757)^4</f>
        <v/>
      </c>
      <c r="I301" s="65" t="inlineStr"/>
    </row>
    <row r="302">
      <c r="A302" s="68" t="n">
        <v>290</v>
      </c>
      <c r="B302" s="68" t="n">
        <v>289</v>
      </c>
      <c r="C302" s="69" t="n">
        <v>4612.3</v>
      </c>
      <c r="D302" s="69" t="n">
        <v>4607.07118</v>
      </c>
      <c r="E302" s="70">
        <f>C302-D302</f>
        <v/>
      </c>
      <c r="F302" s="70">
        <f>(E302-F757)^2</f>
        <v/>
      </c>
      <c r="G302" s="69">
        <f>(E302-F757)^3</f>
        <v/>
      </c>
      <c r="H302" s="69">
        <f>(E302-F757)^4</f>
        <v/>
      </c>
      <c r="I302" s="68" t="inlineStr"/>
    </row>
    <row r="303">
      <c r="A303" s="65" t="n">
        <v>291</v>
      </c>
      <c r="B303" s="65" t="n">
        <v>290</v>
      </c>
      <c r="C303" s="66" t="n">
        <v>4606.13</v>
      </c>
      <c r="D303" s="66" t="n">
        <v>4607.27362</v>
      </c>
      <c r="E303" s="67">
        <f>C303-D303</f>
        <v/>
      </c>
      <c r="F303" s="67">
        <f>(E303-F757)^2</f>
        <v/>
      </c>
      <c r="G303" s="66">
        <f>(E303-F757)^3</f>
        <v/>
      </c>
      <c r="H303" s="66">
        <f>(E303-F757)^4</f>
        <v/>
      </c>
      <c r="I303" s="65" t="inlineStr"/>
    </row>
    <row r="304">
      <c r="A304" s="68" t="n">
        <v>292</v>
      </c>
      <c r="B304" s="68" t="n">
        <v>291</v>
      </c>
      <c r="C304" s="69" t="n">
        <v>4605.86</v>
      </c>
      <c r="D304" s="69" t="n">
        <v>4607.47607</v>
      </c>
      <c r="E304" s="70">
        <f>C304-D304</f>
        <v/>
      </c>
      <c r="F304" s="70">
        <f>(E304-F757)^2</f>
        <v/>
      </c>
      <c r="G304" s="69">
        <f>(E304-F757)^3</f>
        <v/>
      </c>
      <c r="H304" s="69">
        <f>(E304-F757)^4</f>
        <v/>
      </c>
      <c r="I304" s="68" t="inlineStr"/>
    </row>
    <row r="305">
      <c r="A305" s="65" t="n">
        <v>293</v>
      </c>
      <c r="B305" s="65" t="n">
        <v>292</v>
      </c>
      <c r="C305" s="66" t="n">
        <v>4613.01</v>
      </c>
      <c r="D305" s="66" t="n">
        <v>4607.67851</v>
      </c>
      <c r="E305" s="67">
        <f>C305-D305</f>
        <v/>
      </c>
      <c r="F305" s="67">
        <f>(E305-F757)^2</f>
        <v/>
      </c>
      <c r="G305" s="66">
        <f>(E305-F757)^3</f>
        <v/>
      </c>
      <c r="H305" s="66">
        <f>(E305-F757)^4</f>
        <v/>
      </c>
      <c r="I305" s="65" t="inlineStr"/>
    </row>
    <row r="306">
      <c r="A306" s="68" t="n">
        <v>294</v>
      </c>
      <c r="B306" s="68" t="n">
        <v>293</v>
      </c>
      <c r="C306" s="69" t="n">
        <v>4600.58</v>
      </c>
      <c r="D306" s="69" t="n">
        <v>4607.88096</v>
      </c>
      <c r="E306" s="70">
        <f>C306-D306</f>
        <v/>
      </c>
      <c r="F306" s="70">
        <f>(E306-F757)^2</f>
        <v/>
      </c>
      <c r="G306" s="69">
        <f>(E306-F757)^3</f>
        <v/>
      </c>
      <c r="H306" s="69">
        <f>(E306-F757)^4</f>
        <v/>
      </c>
      <c r="I306" s="68" t="inlineStr"/>
    </row>
    <row r="307">
      <c r="A307" s="65" t="n">
        <v>295</v>
      </c>
      <c r="B307" s="65" t="n">
        <v>294</v>
      </c>
      <c r="C307" s="66" t="n">
        <v>4594.65</v>
      </c>
      <c r="D307" s="66" t="n">
        <v>4608.08341</v>
      </c>
      <c r="E307" s="67">
        <f>C307-D307</f>
        <v/>
      </c>
      <c r="F307" s="67">
        <f>(E307-F757)^2</f>
        <v/>
      </c>
      <c r="G307" s="66">
        <f>(E307-F757)^3</f>
        <v/>
      </c>
      <c r="H307" s="66">
        <f>(E307-F757)^4</f>
        <v/>
      </c>
      <c r="I307" s="65" t="inlineStr"/>
    </row>
    <row r="308">
      <c r="A308" s="68" t="n">
        <v>296</v>
      </c>
      <c r="B308" s="68" t="n">
        <v>295</v>
      </c>
      <c r="C308" s="69" t="n">
        <v>4601.59</v>
      </c>
      <c r="D308" s="69" t="n">
        <v>4608.28585</v>
      </c>
      <c r="E308" s="70">
        <f>C308-D308</f>
        <v/>
      </c>
      <c r="F308" s="70">
        <f>(E308-F757)^2</f>
        <v/>
      </c>
      <c r="G308" s="69">
        <f>(E308-F757)^3</f>
        <v/>
      </c>
      <c r="H308" s="69">
        <f>(E308-F757)^4</f>
        <v/>
      </c>
      <c r="I308" s="68" t="inlineStr"/>
    </row>
    <row r="309">
      <c r="A309" s="65" t="n">
        <v>297</v>
      </c>
      <c r="B309" s="65" t="n">
        <v>296</v>
      </c>
      <c r="C309" s="66" t="n">
        <v>4613.14</v>
      </c>
      <c r="D309" s="66" t="n">
        <v>4608.4883</v>
      </c>
      <c r="E309" s="67">
        <f>C309-D309</f>
        <v/>
      </c>
      <c r="F309" s="67">
        <f>(E309-F757)^2</f>
        <v/>
      </c>
      <c r="G309" s="66">
        <f>(E309-F757)^3</f>
        <v/>
      </c>
      <c r="H309" s="66">
        <f>(E309-F757)^4</f>
        <v/>
      </c>
      <c r="I309" s="65" t="inlineStr"/>
    </row>
    <row r="310">
      <c r="A310" s="68" t="n">
        <v>298</v>
      </c>
      <c r="B310" s="68" t="n">
        <v>297</v>
      </c>
      <c r="C310" s="69" t="n">
        <v>4608.34</v>
      </c>
      <c r="D310" s="69" t="n">
        <v>4608.69074</v>
      </c>
      <c r="E310" s="70">
        <f>C310-D310</f>
        <v/>
      </c>
      <c r="F310" s="70">
        <f>(E310-F757)^2</f>
        <v/>
      </c>
      <c r="G310" s="69">
        <f>(E310-F757)^3</f>
        <v/>
      </c>
      <c r="H310" s="69">
        <f>(E310-F757)^4</f>
        <v/>
      </c>
      <c r="I310" s="68" t="inlineStr"/>
    </row>
    <row r="311">
      <c r="A311" s="65" t="n">
        <v>299</v>
      </c>
      <c r="B311" s="65" t="n">
        <v>298</v>
      </c>
      <c r="C311" s="66" t="n">
        <v>4593.09</v>
      </c>
      <c r="D311" s="66" t="n">
        <v>4608.89319</v>
      </c>
      <c r="E311" s="67">
        <f>C311-D311</f>
        <v/>
      </c>
      <c r="F311" s="67">
        <f>(E311-F757)^2</f>
        <v/>
      </c>
      <c r="G311" s="66">
        <f>(E311-F757)^3</f>
        <v/>
      </c>
      <c r="H311" s="66">
        <f>(E311-F757)^4</f>
        <v/>
      </c>
      <c r="I311" s="65" t="inlineStr"/>
    </row>
    <row r="312">
      <c r="A312" s="68" t="n">
        <v>300</v>
      </c>
      <c r="B312" s="68" t="n">
        <v>299</v>
      </c>
      <c r="C312" s="69" t="n">
        <v>4603.32</v>
      </c>
      <c r="D312" s="69" t="n">
        <v>4609.09563</v>
      </c>
      <c r="E312" s="70">
        <f>C312-D312</f>
        <v/>
      </c>
      <c r="F312" s="70">
        <f>(E312-F757)^2</f>
        <v/>
      </c>
      <c r="G312" s="69">
        <f>(E312-F757)^3</f>
        <v/>
      </c>
      <c r="H312" s="69">
        <f>(E312-F757)^4</f>
        <v/>
      </c>
      <c r="I312" s="68" t="inlineStr"/>
    </row>
    <row r="313">
      <c r="A313" s="65" t="n">
        <v>301</v>
      </c>
      <c r="B313" s="65" t="n">
        <v>300</v>
      </c>
      <c r="C313" s="66" t="n">
        <v>4605.77</v>
      </c>
      <c r="D313" s="66" t="n">
        <v>4609.29808</v>
      </c>
      <c r="E313" s="67">
        <f>C313-D313</f>
        <v/>
      </c>
      <c r="F313" s="67">
        <f>(E313-F757)^2</f>
        <v/>
      </c>
      <c r="G313" s="66">
        <f>(E313-F757)^3</f>
        <v/>
      </c>
      <c r="H313" s="66">
        <f>(E313-F757)^4</f>
        <v/>
      </c>
      <c r="I313" s="65" t="inlineStr"/>
    </row>
    <row r="314">
      <c r="A314" s="68" t="n">
        <v>302</v>
      </c>
      <c r="B314" s="68" t="n">
        <v>301</v>
      </c>
      <c r="C314" s="69" t="n">
        <v>4610.07</v>
      </c>
      <c r="D314" s="69" t="n">
        <v>4609.50053</v>
      </c>
      <c r="E314" s="70">
        <f>C314-D314</f>
        <v/>
      </c>
      <c r="F314" s="70">
        <f>(E314-F757)^2</f>
        <v/>
      </c>
      <c r="G314" s="69">
        <f>(E314-F757)^3</f>
        <v/>
      </c>
      <c r="H314" s="69">
        <f>(E314-F757)^4</f>
        <v/>
      </c>
      <c r="I314" s="68" t="inlineStr"/>
    </row>
    <row r="315">
      <c r="A315" s="65" t="n">
        <v>303</v>
      </c>
      <c r="B315" s="65" t="n">
        <v>302</v>
      </c>
      <c r="C315" s="66" t="n">
        <v>4610.27</v>
      </c>
      <c r="D315" s="66" t="n">
        <v>4609.70297</v>
      </c>
      <c r="E315" s="67">
        <f>C315-D315</f>
        <v/>
      </c>
      <c r="F315" s="67">
        <f>(E315-F757)^2</f>
        <v/>
      </c>
      <c r="G315" s="66">
        <f>(E315-F757)^3</f>
        <v/>
      </c>
      <c r="H315" s="66">
        <f>(E315-F757)^4</f>
        <v/>
      </c>
      <c r="I315" s="65" t="inlineStr"/>
    </row>
    <row r="316">
      <c r="A316" s="68" t="n">
        <v>304</v>
      </c>
      <c r="B316" s="68" t="n">
        <v>303</v>
      </c>
      <c r="C316" s="69" t="n">
        <v>4605.07</v>
      </c>
      <c r="D316" s="69" t="n">
        <v>4609.90542</v>
      </c>
      <c r="E316" s="70">
        <f>C316-D316</f>
        <v/>
      </c>
      <c r="F316" s="70">
        <f>(E316-F757)^2</f>
        <v/>
      </c>
      <c r="G316" s="69">
        <f>(E316-F757)^3</f>
        <v/>
      </c>
      <c r="H316" s="69">
        <f>(E316-F757)^4</f>
        <v/>
      </c>
      <c r="I316" s="68" t="inlineStr"/>
    </row>
    <row r="317">
      <c r="A317" s="65" t="n">
        <v>305</v>
      </c>
      <c r="B317" s="65" t="n">
        <v>304</v>
      </c>
      <c r="C317" s="66" t="n">
        <v>4615.09</v>
      </c>
      <c r="D317" s="66" t="n">
        <v>4610.10786</v>
      </c>
      <c r="E317" s="67">
        <f>C317-D317</f>
        <v/>
      </c>
      <c r="F317" s="67">
        <f>(E317-F757)^2</f>
        <v/>
      </c>
      <c r="G317" s="66">
        <f>(E317-F757)^3</f>
        <v/>
      </c>
      <c r="H317" s="66">
        <f>(E317-F757)^4</f>
        <v/>
      </c>
      <c r="I317" s="65" t="inlineStr"/>
    </row>
    <row r="318">
      <c r="A318" s="68" t="n">
        <v>306</v>
      </c>
      <c r="B318" s="68" t="n">
        <v>305</v>
      </c>
      <c r="C318" s="69" t="n">
        <v>4611.19</v>
      </c>
      <c r="D318" s="69" t="n">
        <v>4610.31031</v>
      </c>
      <c r="E318" s="70">
        <f>C318-D318</f>
        <v/>
      </c>
      <c r="F318" s="70">
        <f>(E318-F757)^2</f>
        <v/>
      </c>
      <c r="G318" s="69">
        <f>(E318-F757)^3</f>
        <v/>
      </c>
      <c r="H318" s="69">
        <f>(E318-F757)^4</f>
        <v/>
      </c>
      <c r="I318" s="68" t="inlineStr"/>
    </row>
    <row r="319">
      <c r="A319" s="65" t="n">
        <v>307</v>
      </c>
      <c r="B319" s="65" t="n">
        <v>306</v>
      </c>
      <c r="C319" s="66" t="n">
        <v>4608.12</v>
      </c>
      <c r="D319" s="66" t="n">
        <v>4610.51275</v>
      </c>
      <c r="E319" s="67">
        <f>C319-D319</f>
        <v/>
      </c>
      <c r="F319" s="67">
        <f>(E319-F757)^2</f>
        <v/>
      </c>
      <c r="G319" s="66">
        <f>(E319-F757)^3</f>
        <v/>
      </c>
      <c r="H319" s="66">
        <f>(E319-F757)^4</f>
        <v/>
      </c>
      <c r="I319" s="65" t="inlineStr"/>
    </row>
    <row r="320">
      <c r="A320" s="68" t="n">
        <v>308</v>
      </c>
      <c r="B320" s="68" t="n">
        <v>307</v>
      </c>
      <c r="C320" s="69" t="n">
        <v>4609.32</v>
      </c>
      <c r="D320" s="69" t="n">
        <v>4610.7152</v>
      </c>
      <c r="E320" s="70">
        <f>C320-D320</f>
        <v/>
      </c>
      <c r="F320" s="70">
        <f>(E320-F757)^2</f>
        <v/>
      </c>
      <c r="G320" s="69">
        <f>(E320-F757)^3</f>
        <v/>
      </c>
      <c r="H320" s="69">
        <f>(E320-F757)^4</f>
        <v/>
      </c>
      <c r="I320" s="68" t="inlineStr"/>
    </row>
    <row r="321">
      <c r="A321" s="65" t="n">
        <v>309</v>
      </c>
      <c r="B321" s="65" t="n">
        <v>308</v>
      </c>
      <c r="C321" s="66" t="n">
        <v>4606</v>
      </c>
      <c r="D321" s="66" t="n">
        <v>4610.91765</v>
      </c>
      <c r="E321" s="67">
        <f>C321-D321</f>
        <v/>
      </c>
      <c r="F321" s="67">
        <f>(E321-F757)^2</f>
        <v/>
      </c>
      <c r="G321" s="66">
        <f>(E321-F757)^3</f>
        <v/>
      </c>
      <c r="H321" s="66">
        <f>(E321-F757)^4</f>
        <v/>
      </c>
      <c r="I321" s="65" t="inlineStr"/>
    </row>
    <row r="322">
      <c r="A322" s="68" t="n">
        <v>310</v>
      </c>
      <c r="B322" s="68" t="n">
        <v>309</v>
      </c>
      <c r="C322" s="69" t="n">
        <v>4603.74</v>
      </c>
      <c r="D322" s="69" t="n">
        <v>4611.12009</v>
      </c>
      <c r="E322" s="70">
        <f>C322-D322</f>
        <v/>
      </c>
      <c r="F322" s="70">
        <f>(E322-F757)^2</f>
        <v/>
      </c>
      <c r="G322" s="69">
        <f>(E322-F757)^3</f>
        <v/>
      </c>
      <c r="H322" s="69">
        <f>(E322-F757)^4</f>
        <v/>
      </c>
      <c r="I322" s="68" t="inlineStr"/>
    </row>
    <row r="323">
      <c r="A323" s="65" t="n">
        <v>311</v>
      </c>
      <c r="B323" s="65" t="n">
        <v>310</v>
      </c>
      <c r="C323" s="66" t="n">
        <v>4596.32</v>
      </c>
      <c r="D323" s="66" t="n">
        <v>4611.32254</v>
      </c>
      <c r="E323" s="67">
        <f>C323-D323</f>
        <v/>
      </c>
      <c r="F323" s="67">
        <f>(E323-F757)^2</f>
        <v/>
      </c>
      <c r="G323" s="66">
        <f>(E323-F757)^3</f>
        <v/>
      </c>
      <c r="H323" s="66">
        <f>(E323-F757)^4</f>
        <v/>
      </c>
      <c r="I323" s="65" t="inlineStr"/>
    </row>
    <row r="324">
      <c r="A324" s="68" t="n">
        <v>312</v>
      </c>
      <c r="B324" s="68" t="n">
        <v>311</v>
      </c>
      <c r="C324" s="69" t="n">
        <v>4598.85</v>
      </c>
      <c r="D324" s="69" t="n">
        <v>4611.52498</v>
      </c>
      <c r="E324" s="70">
        <f>C324-D324</f>
        <v/>
      </c>
      <c r="F324" s="70">
        <f>(E324-F757)^2</f>
        <v/>
      </c>
      <c r="G324" s="69">
        <f>(E324-F757)^3</f>
        <v/>
      </c>
      <c r="H324" s="69">
        <f>(E324-F757)^4</f>
        <v/>
      </c>
      <c r="I324" s="68" t="inlineStr"/>
    </row>
    <row r="325">
      <c r="A325" s="65" t="n">
        <v>313</v>
      </c>
      <c r="B325" s="65" t="n">
        <v>312</v>
      </c>
      <c r="C325" s="66" t="n">
        <v>4599.12</v>
      </c>
      <c r="D325" s="66" t="n">
        <v>4611.72743</v>
      </c>
      <c r="E325" s="67">
        <f>C325-D325</f>
        <v/>
      </c>
      <c r="F325" s="67">
        <f>(E325-F757)^2</f>
        <v/>
      </c>
      <c r="G325" s="66">
        <f>(E325-F757)^3</f>
        <v/>
      </c>
      <c r="H325" s="66">
        <f>(E325-F757)^4</f>
        <v/>
      </c>
      <c r="I325" s="65" t="inlineStr"/>
    </row>
    <row r="326">
      <c r="A326" s="68" t="n">
        <v>314</v>
      </c>
      <c r="B326" s="68" t="n">
        <v>313</v>
      </c>
      <c r="C326" s="69" t="n">
        <v>4597.44</v>
      </c>
      <c r="D326" s="69" t="n">
        <v>4611.92987</v>
      </c>
      <c r="E326" s="70">
        <f>C326-D326</f>
        <v/>
      </c>
      <c r="F326" s="70">
        <f>(E326-F757)^2</f>
        <v/>
      </c>
      <c r="G326" s="69">
        <f>(E326-F757)^3</f>
        <v/>
      </c>
      <c r="H326" s="69">
        <f>(E326-F757)^4</f>
        <v/>
      </c>
      <c r="I326" s="68" t="inlineStr"/>
    </row>
    <row r="327">
      <c r="A327" s="65" t="n">
        <v>315</v>
      </c>
      <c r="B327" s="65" t="n">
        <v>314</v>
      </c>
      <c r="C327" s="66" t="n">
        <v>4594.08</v>
      </c>
      <c r="D327" s="66" t="n">
        <v>4612.13232</v>
      </c>
      <c r="E327" s="67">
        <f>C327-D327</f>
        <v/>
      </c>
      <c r="F327" s="67">
        <f>(E327-F757)^2</f>
        <v/>
      </c>
      <c r="G327" s="66">
        <f>(E327-F757)^3</f>
        <v/>
      </c>
      <c r="H327" s="66">
        <f>(E327-F757)^4</f>
        <v/>
      </c>
      <c r="I327" s="65" t="inlineStr"/>
    </row>
    <row r="328">
      <c r="A328" s="68" t="n">
        <v>316</v>
      </c>
      <c r="B328" s="68" t="n">
        <v>315</v>
      </c>
      <c r="C328" s="69" t="n">
        <v>4585.46</v>
      </c>
      <c r="D328" s="69" t="n">
        <v>4612.33477</v>
      </c>
      <c r="E328" s="70">
        <f>C328-D328</f>
        <v/>
      </c>
      <c r="F328" s="70">
        <f>(E328-F757)^2</f>
        <v/>
      </c>
      <c r="G328" s="69">
        <f>(E328-F757)^3</f>
        <v/>
      </c>
      <c r="H328" s="69">
        <f>(E328-F757)^4</f>
        <v/>
      </c>
      <c r="I328" s="68" t="inlineStr"/>
    </row>
    <row r="329">
      <c r="A329" s="65" t="n">
        <v>317</v>
      </c>
      <c r="B329" s="65" t="n">
        <v>316</v>
      </c>
      <c r="C329" s="66" t="n">
        <v>4588.54</v>
      </c>
      <c r="D329" s="66" t="n">
        <v>4612.53721</v>
      </c>
      <c r="E329" s="67">
        <f>C329-D329</f>
        <v/>
      </c>
      <c r="F329" s="67">
        <f>(E329-F757)^2</f>
        <v/>
      </c>
      <c r="G329" s="66">
        <f>(E329-F757)^3</f>
        <v/>
      </c>
      <c r="H329" s="66">
        <f>(E329-F757)^4</f>
        <v/>
      </c>
      <c r="I329" s="65" t="inlineStr"/>
    </row>
    <row r="330">
      <c r="A330" s="68" t="n">
        <v>318</v>
      </c>
      <c r="B330" s="68" t="n">
        <v>317</v>
      </c>
      <c r="C330" s="69" t="n">
        <v>4592.16</v>
      </c>
      <c r="D330" s="69" t="n">
        <v>4612.73966</v>
      </c>
      <c r="E330" s="70">
        <f>C330-D330</f>
        <v/>
      </c>
      <c r="F330" s="70">
        <f>(E330-F757)^2</f>
        <v/>
      </c>
      <c r="G330" s="69">
        <f>(E330-F757)^3</f>
        <v/>
      </c>
      <c r="H330" s="69">
        <f>(E330-F757)^4</f>
        <v/>
      </c>
      <c r="I330" s="68" t="inlineStr"/>
    </row>
    <row r="331">
      <c r="A331" s="65" t="n">
        <v>319</v>
      </c>
      <c r="B331" s="65" t="n">
        <v>318</v>
      </c>
      <c r="C331" s="66" t="n">
        <v>4585.82</v>
      </c>
      <c r="D331" s="66" t="n">
        <v>4612.9421</v>
      </c>
      <c r="E331" s="67">
        <f>C331-D331</f>
        <v/>
      </c>
      <c r="F331" s="67">
        <f>(E331-F757)^2</f>
        <v/>
      </c>
      <c r="G331" s="66">
        <f>(E331-F757)^3</f>
        <v/>
      </c>
      <c r="H331" s="66">
        <f>(E331-F757)^4</f>
        <v/>
      </c>
      <c r="I331" s="65" t="inlineStr"/>
    </row>
    <row r="332">
      <c r="A332" s="68" t="n">
        <v>320</v>
      </c>
      <c r="B332" s="68" t="n">
        <v>319</v>
      </c>
      <c r="C332" s="69" t="n">
        <v>4587.99</v>
      </c>
      <c r="D332" s="69" t="n">
        <v>4613.14455</v>
      </c>
      <c r="E332" s="70">
        <f>C332-D332</f>
        <v/>
      </c>
      <c r="F332" s="70">
        <f>(E332-F757)^2</f>
        <v/>
      </c>
      <c r="G332" s="69">
        <f>(E332-F757)^3</f>
        <v/>
      </c>
      <c r="H332" s="69">
        <f>(E332-F757)^4</f>
        <v/>
      </c>
      <c r="I332" s="68" t="inlineStr"/>
    </row>
    <row r="333">
      <c r="A333" s="65" t="n">
        <v>321</v>
      </c>
      <c r="B333" s="65" t="n">
        <v>320</v>
      </c>
      <c r="C333" s="66" t="n">
        <v>4579.06</v>
      </c>
      <c r="D333" s="66" t="n">
        <v>4613.34699</v>
      </c>
      <c r="E333" s="67">
        <f>C333-D333</f>
        <v/>
      </c>
      <c r="F333" s="67">
        <f>(E333-F757)^2</f>
        <v/>
      </c>
      <c r="G333" s="66">
        <f>(E333-F757)^3</f>
        <v/>
      </c>
      <c r="H333" s="66">
        <f>(E333-F757)^4</f>
        <v/>
      </c>
      <c r="I333" s="65" t="inlineStr"/>
    </row>
    <row r="334">
      <c r="A334" s="68" t="n">
        <v>322</v>
      </c>
      <c r="B334" s="68" t="n">
        <v>321</v>
      </c>
      <c r="C334" s="69" t="n">
        <v>4580.25</v>
      </c>
      <c r="D334" s="69" t="n">
        <v>4613.54944</v>
      </c>
      <c r="E334" s="70">
        <f>C334-D334</f>
        <v/>
      </c>
      <c r="F334" s="70">
        <f>(E334-F757)^2</f>
        <v/>
      </c>
      <c r="G334" s="69">
        <f>(E334-F757)^3</f>
        <v/>
      </c>
      <c r="H334" s="69">
        <f>(E334-F757)^4</f>
        <v/>
      </c>
      <c r="I334" s="68" t="inlineStr"/>
    </row>
    <row r="335">
      <c r="A335" s="65" t="n">
        <v>323</v>
      </c>
      <c r="B335" s="65" t="n">
        <v>322</v>
      </c>
      <c r="C335" s="66" t="n">
        <v>4575.07</v>
      </c>
      <c r="D335" s="66" t="n">
        <v>4613.75189</v>
      </c>
      <c r="E335" s="67">
        <f>C335-D335</f>
        <v/>
      </c>
      <c r="F335" s="67">
        <f>(E335-F757)^2</f>
        <v/>
      </c>
      <c r="G335" s="66">
        <f>(E335-F757)^3</f>
        <v/>
      </c>
      <c r="H335" s="66">
        <f>(E335-F757)^4</f>
        <v/>
      </c>
      <c r="I335" s="65" t="inlineStr"/>
    </row>
    <row r="336">
      <c r="A336" s="68" t="n">
        <v>324</v>
      </c>
      <c r="B336" s="68" t="n">
        <v>323</v>
      </c>
      <c r="C336" s="69" t="n">
        <v>4578.09</v>
      </c>
      <c r="D336" s="69" t="n">
        <v>4613.95433</v>
      </c>
      <c r="E336" s="70">
        <f>C336-D336</f>
        <v/>
      </c>
      <c r="F336" s="70">
        <f>(E336-F757)^2</f>
        <v/>
      </c>
      <c r="G336" s="69">
        <f>(E336-F757)^3</f>
        <v/>
      </c>
      <c r="H336" s="69">
        <f>(E336-F757)^4</f>
        <v/>
      </c>
      <c r="I336" s="68" t="inlineStr"/>
    </row>
    <row r="337">
      <c r="A337" s="65" t="n">
        <v>325</v>
      </c>
      <c r="B337" s="65" t="n">
        <v>324</v>
      </c>
      <c r="C337" s="66" t="n">
        <v>4577.11</v>
      </c>
      <c r="D337" s="66" t="n">
        <v>4614.15678</v>
      </c>
      <c r="E337" s="67">
        <f>C337-D337</f>
        <v/>
      </c>
      <c r="F337" s="67">
        <f>(E337-F757)^2</f>
        <v/>
      </c>
      <c r="G337" s="66">
        <f>(E337-F757)^3</f>
        <v/>
      </c>
      <c r="H337" s="66">
        <f>(E337-F757)^4</f>
        <v/>
      </c>
      <c r="I337" s="65" t="inlineStr"/>
    </row>
    <row r="338">
      <c r="A338" s="68" t="n">
        <v>326</v>
      </c>
      <c r="B338" s="68" t="n">
        <v>325</v>
      </c>
      <c r="C338" s="69" t="n">
        <v>4584.21</v>
      </c>
      <c r="D338" s="69" t="n">
        <v>4614.35922</v>
      </c>
      <c r="E338" s="70">
        <f>C338-D338</f>
        <v/>
      </c>
      <c r="F338" s="70">
        <f>(E338-F757)^2</f>
        <v/>
      </c>
      <c r="G338" s="69">
        <f>(E338-F757)^3</f>
        <v/>
      </c>
      <c r="H338" s="69">
        <f>(E338-F757)^4</f>
        <v/>
      </c>
      <c r="I338" s="68" t="inlineStr"/>
    </row>
    <row r="339">
      <c r="A339" s="65" t="n">
        <v>327</v>
      </c>
      <c r="B339" s="65" t="n">
        <v>326</v>
      </c>
      <c r="C339" s="66" t="n">
        <v>4581.15</v>
      </c>
      <c r="D339" s="66" t="n">
        <v>4614.56167</v>
      </c>
      <c r="E339" s="67">
        <f>C339-D339</f>
        <v/>
      </c>
      <c r="F339" s="67">
        <f>(E339-F757)^2</f>
        <v/>
      </c>
      <c r="G339" s="66">
        <f>(E339-F757)^3</f>
        <v/>
      </c>
      <c r="H339" s="66">
        <f>(E339-F757)^4</f>
        <v/>
      </c>
      <c r="I339" s="65" t="inlineStr"/>
    </row>
    <row r="340">
      <c r="A340" s="68" t="n">
        <v>328</v>
      </c>
      <c r="B340" s="68" t="n">
        <v>327</v>
      </c>
      <c r="C340" s="69" t="n">
        <v>4581.26</v>
      </c>
      <c r="D340" s="69" t="n">
        <v>4614.76411</v>
      </c>
      <c r="E340" s="70">
        <f>C340-D340</f>
        <v/>
      </c>
      <c r="F340" s="70">
        <f>(E340-F757)^2</f>
        <v/>
      </c>
      <c r="G340" s="69">
        <f>(E340-F757)^3</f>
        <v/>
      </c>
      <c r="H340" s="69">
        <f>(E340-F757)^4</f>
        <v/>
      </c>
      <c r="I340" s="68" t="inlineStr"/>
    </row>
    <row r="341">
      <c r="A341" s="65" t="n">
        <v>329</v>
      </c>
      <c r="B341" s="65" t="n">
        <v>328</v>
      </c>
      <c r="C341" s="66" t="n">
        <v>4575.47</v>
      </c>
      <c r="D341" s="66" t="n">
        <v>4614.96656</v>
      </c>
      <c r="E341" s="67">
        <f>C341-D341</f>
        <v/>
      </c>
      <c r="F341" s="67">
        <f>(E341-F757)^2</f>
        <v/>
      </c>
      <c r="G341" s="66">
        <f>(E341-F757)^3</f>
        <v/>
      </c>
      <c r="H341" s="66">
        <f>(E341-F757)^4</f>
        <v/>
      </c>
      <c r="I341" s="65" t="inlineStr"/>
    </row>
    <row r="342">
      <c r="A342" s="68" t="n">
        <v>330</v>
      </c>
      <c r="B342" s="68" t="n">
        <v>329</v>
      </c>
      <c r="C342" s="69" t="n">
        <v>4541.79</v>
      </c>
      <c r="D342" s="69" t="n">
        <v>4615.169</v>
      </c>
      <c r="E342" s="70">
        <f>C342-D342</f>
        <v/>
      </c>
      <c r="F342" s="70">
        <f>(E342-F757)^2</f>
        <v/>
      </c>
      <c r="G342" s="69">
        <f>(E342-F757)^3</f>
        <v/>
      </c>
      <c r="H342" s="69">
        <f>(E342-F757)^4</f>
        <v/>
      </c>
      <c r="I342" s="68" t="inlineStr"/>
    </row>
    <row r="343">
      <c r="A343" s="65" t="n">
        <v>331</v>
      </c>
      <c r="B343" s="65" t="n">
        <v>330</v>
      </c>
      <c r="C343" s="66" t="n">
        <v>4545</v>
      </c>
      <c r="D343" s="66" t="n">
        <v>4615.37145</v>
      </c>
      <c r="E343" s="67">
        <f>C343-D343</f>
        <v/>
      </c>
      <c r="F343" s="67">
        <f>(E343-F757)^2</f>
        <v/>
      </c>
      <c r="G343" s="66">
        <f>(E343-F757)^3</f>
        <v/>
      </c>
      <c r="H343" s="66">
        <f>(E343-F757)^4</f>
        <v/>
      </c>
      <c r="I343" s="65" t="inlineStr"/>
    </row>
    <row r="344">
      <c r="A344" s="68" t="n">
        <v>332</v>
      </c>
      <c r="B344" s="68" t="n">
        <v>331</v>
      </c>
      <c r="C344" s="69" t="n">
        <v>4558.64</v>
      </c>
      <c r="D344" s="69" t="n">
        <v>4615.5739</v>
      </c>
      <c r="E344" s="70">
        <f>C344-D344</f>
        <v/>
      </c>
      <c r="F344" s="70">
        <f>(E344-F757)^2</f>
        <v/>
      </c>
      <c r="G344" s="69">
        <f>(E344-F757)^3</f>
        <v/>
      </c>
      <c r="H344" s="69">
        <f>(E344-F757)^4</f>
        <v/>
      </c>
      <c r="I344" s="68" t="inlineStr"/>
    </row>
    <row r="345">
      <c r="A345" s="65" t="n">
        <v>333</v>
      </c>
      <c r="B345" s="65" t="n">
        <v>332</v>
      </c>
      <c r="C345" s="66" t="n">
        <v>4562.67</v>
      </c>
      <c r="D345" s="66" t="n">
        <v>4615.77634</v>
      </c>
      <c r="E345" s="67">
        <f>C345-D345</f>
        <v/>
      </c>
      <c r="F345" s="67">
        <f>(E345-F757)^2</f>
        <v/>
      </c>
      <c r="G345" s="66">
        <f>(E345-F757)^3</f>
        <v/>
      </c>
      <c r="H345" s="66">
        <f>(E345-F757)^4</f>
        <v/>
      </c>
      <c r="I345" s="65" t="inlineStr"/>
    </row>
    <row r="346">
      <c r="A346" s="68" t="n">
        <v>334</v>
      </c>
      <c r="B346" s="68" t="n">
        <v>333</v>
      </c>
      <c r="C346" s="69" t="n">
        <v>4565.34</v>
      </c>
      <c r="D346" s="69" t="n">
        <v>4615.97879</v>
      </c>
      <c r="E346" s="70">
        <f>C346-D346</f>
        <v/>
      </c>
      <c r="F346" s="70">
        <f>(E346-F757)^2</f>
        <v/>
      </c>
      <c r="G346" s="69">
        <f>(E346-F757)^3</f>
        <v/>
      </c>
      <c r="H346" s="69">
        <f>(E346-F757)^4</f>
        <v/>
      </c>
      <c r="I346" s="68" t="inlineStr"/>
    </row>
    <row r="347">
      <c r="A347" s="65" t="n">
        <v>335</v>
      </c>
      <c r="B347" s="65" t="n">
        <v>334</v>
      </c>
      <c r="C347" s="66" t="n">
        <v>4562.26</v>
      </c>
      <c r="D347" s="66" t="n">
        <v>4616.18123</v>
      </c>
      <c r="E347" s="67">
        <f>C347-D347</f>
        <v/>
      </c>
      <c r="F347" s="67">
        <f>(E347-F757)^2</f>
        <v/>
      </c>
      <c r="G347" s="66">
        <f>(E347-F757)^3</f>
        <v/>
      </c>
      <c r="H347" s="66">
        <f>(E347-F757)^4</f>
        <v/>
      </c>
      <c r="I347" s="65" t="inlineStr"/>
    </row>
    <row r="348">
      <c r="A348" s="68" t="n">
        <v>336</v>
      </c>
      <c r="B348" s="68" t="n">
        <v>335</v>
      </c>
      <c r="C348" s="69" t="n">
        <v>4553.65</v>
      </c>
      <c r="D348" s="69" t="n">
        <v>4616.38368</v>
      </c>
      <c r="E348" s="70">
        <f>C348-D348</f>
        <v/>
      </c>
      <c r="F348" s="70">
        <f>(E348-F757)^2</f>
        <v/>
      </c>
      <c r="G348" s="69">
        <f>(E348-F757)^3</f>
        <v/>
      </c>
      <c r="H348" s="69">
        <f>(E348-F757)^4</f>
        <v/>
      </c>
      <c r="I348" s="68" t="inlineStr"/>
    </row>
    <row r="349">
      <c r="A349" s="65" t="n">
        <v>337</v>
      </c>
      <c r="B349" s="65" t="n">
        <v>336</v>
      </c>
      <c r="C349" s="66" t="n">
        <v>4559.94</v>
      </c>
      <c r="D349" s="66" t="n">
        <v>4616.58612</v>
      </c>
      <c r="E349" s="67">
        <f>C349-D349</f>
        <v/>
      </c>
      <c r="F349" s="67">
        <f>(E349-F757)^2</f>
        <v/>
      </c>
      <c r="G349" s="66">
        <f>(E349-F757)^3</f>
        <v/>
      </c>
      <c r="H349" s="66">
        <f>(E349-F757)^4</f>
        <v/>
      </c>
      <c r="I349" s="65" t="inlineStr"/>
    </row>
    <row r="350">
      <c r="A350" s="68" t="n">
        <v>338</v>
      </c>
      <c r="B350" s="68" t="n">
        <v>337</v>
      </c>
      <c r="C350" s="69" t="n">
        <v>4563.67</v>
      </c>
      <c r="D350" s="69" t="n">
        <v>4616.78857</v>
      </c>
      <c r="E350" s="70">
        <f>C350-D350</f>
        <v/>
      </c>
      <c r="F350" s="70">
        <f>(E350-F757)^2</f>
        <v/>
      </c>
      <c r="G350" s="69">
        <f>(E350-F757)^3</f>
        <v/>
      </c>
      <c r="H350" s="69">
        <f>(E350-F757)^4</f>
        <v/>
      </c>
      <c r="I350" s="68" t="inlineStr"/>
    </row>
    <row r="351">
      <c r="A351" s="65" t="n">
        <v>339</v>
      </c>
      <c r="B351" s="65" t="n">
        <v>338</v>
      </c>
      <c r="C351" s="66" t="n">
        <v>4568.68</v>
      </c>
      <c r="D351" s="66" t="n">
        <v>4616.99102</v>
      </c>
      <c r="E351" s="67">
        <f>C351-D351</f>
        <v/>
      </c>
      <c r="F351" s="67">
        <f>(E351-F757)^2</f>
        <v/>
      </c>
      <c r="G351" s="66">
        <f>(E351-F757)^3</f>
        <v/>
      </c>
      <c r="H351" s="66">
        <f>(E351-F757)^4</f>
        <v/>
      </c>
      <c r="I351" s="65" t="inlineStr"/>
    </row>
    <row r="352">
      <c r="A352" s="68" t="n">
        <v>340</v>
      </c>
      <c r="B352" s="68" t="n">
        <v>339</v>
      </c>
      <c r="C352" s="69" t="n">
        <v>4570.1</v>
      </c>
      <c r="D352" s="69" t="n">
        <v>4617.19346</v>
      </c>
      <c r="E352" s="70">
        <f>C352-D352</f>
        <v/>
      </c>
      <c r="F352" s="70">
        <f>(E352-F757)^2</f>
        <v/>
      </c>
      <c r="G352" s="69">
        <f>(E352-F757)^3</f>
        <v/>
      </c>
      <c r="H352" s="69">
        <f>(E352-F757)^4</f>
        <v/>
      </c>
      <c r="I352" s="68" t="inlineStr"/>
    </row>
    <row r="353">
      <c r="A353" s="65" t="n">
        <v>341</v>
      </c>
      <c r="B353" s="65" t="n">
        <v>340</v>
      </c>
      <c r="C353" s="66" t="n">
        <v>4568.79</v>
      </c>
      <c r="D353" s="66" t="n">
        <v>4617.39591</v>
      </c>
      <c r="E353" s="67">
        <f>C353-D353</f>
        <v/>
      </c>
      <c r="F353" s="67">
        <f>(E353-F757)^2</f>
        <v/>
      </c>
      <c r="G353" s="66">
        <f>(E353-F757)^3</f>
        <v/>
      </c>
      <c r="H353" s="66">
        <f>(E353-F757)^4</f>
        <v/>
      </c>
      <c r="I353" s="65" t="inlineStr"/>
    </row>
    <row r="354">
      <c r="A354" s="68" t="n">
        <v>342</v>
      </c>
      <c r="B354" s="68" t="n">
        <v>341</v>
      </c>
      <c r="C354" s="69" t="n">
        <v>4565.98</v>
      </c>
      <c r="D354" s="69" t="n">
        <v>4617.59835</v>
      </c>
      <c r="E354" s="70">
        <f>C354-D354</f>
        <v/>
      </c>
      <c r="F354" s="70">
        <f>(E354-F757)^2</f>
        <v/>
      </c>
      <c r="G354" s="69">
        <f>(E354-F757)^3</f>
        <v/>
      </c>
      <c r="H354" s="69">
        <f>(E354-F757)^4</f>
        <v/>
      </c>
      <c r="I354" s="68" t="inlineStr"/>
    </row>
    <row r="355">
      <c r="A355" s="65" t="n">
        <v>343</v>
      </c>
      <c r="B355" s="65" t="n">
        <v>342</v>
      </c>
      <c r="C355" s="66" t="n">
        <v>4561.09</v>
      </c>
      <c r="D355" s="66" t="n">
        <v>4617.8008</v>
      </c>
      <c r="E355" s="67">
        <f>C355-D355</f>
        <v/>
      </c>
      <c r="F355" s="67">
        <f>(E355-F757)^2</f>
        <v/>
      </c>
      <c r="G355" s="66">
        <f>(E355-F757)^3</f>
        <v/>
      </c>
      <c r="H355" s="66">
        <f>(E355-F757)^4</f>
        <v/>
      </c>
      <c r="I355" s="65" t="inlineStr"/>
    </row>
    <row r="356">
      <c r="A356" s="68" t="n">
        <v>344</v>
      </c>
      <c r="B356" s="68" t="n">
        <v>343</v>
      </c>
      <c r="C356" s="69" t="n">
        <v>4565.51</v>
      </c>
      <c r="D356" s="69" t="n">
        <v>4618.00324</v>
      </c>
      <c r="E356" s="70">
        <f>C356-D356</f>
        <v/>
      </c>
      <c r="F356" s="70">
        <f>(E356-F757)^2</f>
        <v/>
      </c>
      <c r="G356" s="69">
        <f>(E356-F757)^3</f>
        <v/>
      </c>
      <c r="H356" s="69">
        <f>(E356-F757)^4</f>
        <v/>
      </c>
      <c r="I356" s="68" t="inlineStr"/>
    </row>
    <row r="357">
      <c r="A357" s="65" t="n">
        <v>345</v>
      </c>
      <c r="B357" s="65" t="n">
        <v>344</v>
      </c>
      <c r="C357" s="66" t="n">
        <v>4563.85</v>
      </c>
      <c r="D357" s="66" t="n">
        <v>4618.20569</v>
      </c>
      <c r="E357" s="67">
        <f>C357-D357</f>
        <v/>
      </c>
      <c r="F357" s="67">
        <f>(E357-F757)^2</f>
        <v/>
      </c>
      <c r="G357" s="66">
        <f>(E357-F757)^3</f>
        <v/>
      </c>
      <c r="H357" s="66">
        <f>(E357-F757)^4</f>
        <v/>
      </c>
      <c r="I357" s="65" t="inlineStr"/>
    </row>
    <row r="358">
      <c r="A358" s="68" t="n">
        <v>346</v>
      </c>
      <c r="B358" s="68" t="n">
        <v>345</v>
      </c>
      <c r="C358" s="69" t="n">
        <v>4560.18</v>
      </c>
      <c r="D358" s="69" t="n">
        <v>4618.40814</v>
      </c>
      <c r="E358" s="70">
        <f>C358-D358</f>
        <v/>
      </c>
      <c r="F358" s="70">
        <f>(E358-F757)^2</f>
        <v/>
      </c>
      <c r="G358" s="69">
        <f>(E358-F757)^3</f>
        <v/>
      </c>
      <c r="H358" s="69">
        <f>(E358-F757)^4</f>
        <v/>
      </c>
      <c r="I358" s="68" t="inlineStr"/>
    </row>
    <row r="359">
      <c r="A359" s="65" t="n">
        <v>347</v>
      </c>
      <c r="B359" s="65" t="n">
        <v>346</v>
      </c>
      <c r="C359" s="66" t="n">
        <v>4571.2</v>
      </c>
      <c r="D359" s="66" t="n">
        <v>4618.61058</v>
      </c>
      <c r="E359" s="67">
        <f>C359-D359</f>
        <v/>
      </c>
      <c r="F359" s="67">
        <f>(E359-F757)^2</f>
        <v/>
      </c>
      <c r="G359" s="66">
        <f>(E359-F757)^3</f>
        <v/>
      </c>
      <c r="H359" s="66">
        <f>(E359-F757)^4</f>
        <v/>
      </c>
      <c r="I359" s="65" t="inlineStr"/>
    </row>
    <row r="360">
      <c r="A360" s="68" t="n">
        <v>348</v>
      </c>
      <c r="B360" s="68" t="n">
        <v>347</v>
      </c>
      <c r="C360" s="69" t="n">
        <v>4574.38</v>
      </c>
      <c r="D360" s="69" t="n">
        <v>4618.81303</v>
      </c>
      <c r="E360" s="70">
        <f>C360-D360</f>
        <v/>
      </c>
      <c r="F360" s="70">
        <f>(E360-F757)^2</f>
        <v/>
      </c>
      <c r="G360" s="69">
        <f>(E360-F757)^3</f>
        <v/>
      </c>
      <c r="H360" s="69">
        <f>(E360-F757)^4</f>
        <v/>
      </c>
      <c r="I360" s="68" t="inlineStr"/>
    </row>
    <row r="361">
      <c r="A361" s="65" t="n">
        <v>349</v>
      </c>
      <c r="B361" s="65" t="n">
        <v>348</v>
      </c>
      <c r="C361" s="66" t="n">
        <v>4561.26</v>
      </c>
      <c r="D361" s="66" t="n">
        <v>4619.01547</v>
      </c>
      <c r="E361" s="67">
        <f>C361-D361</f>
        <v/>
      </c>
      <c r="F361" s="67">
        <f>(E361-F757)^2</f>
        <v/>
      </c>
      <c r="G361" s="66">
        <f>(E361-F757)^3</f>
        <v/>
      </c>
      <c r="H361" s="66">
        <f>(E361-F757)^4</f>
        <v/>
      </c>
      <c r="I361" s="65" t="inlineStr"/>
    </row>
    <row r="362">
      <c r="A362" s="68" t="n">
        <v>350</v>
      </c>
      <c r="B362" s="68" t="n">
        <v>349</v>
      </c>
      <c r="C362" s="69" t="n">
        <v>4548.46</v>
      </c>
      <c r="D362" s="69" t="n">
        <v>4619.21792</v>
      </c>
      <c r="E362" s="70">
        <f>C362-D362</f>
        <v/>
      </c>
      <c r="F362" s="70">
        <f>(E362-F757)^2</f>
        <v/>
      </c>
      <c r="G362" s="69">
        <f>(E362-F757)^3</f>
        <v/>
      </c>
      <c r="H362" s="69">
        <f>(E362-F757)^4</f>
        <v/>
      </c>
      <c r="I362" s="68" t="inlineStr"/>
    </row>
    <row r="363">
      <c r="A363" s="65" t="n">
        <v>351</v>
      </c>
      <c r="B363" s="65" t="n">
        <v>350</v>
      </c>
      <c r="C363" s="66" t="n">
        <v>4537.95</v>
      </c>
      <c r="D363" s="66" t="n">
        <v>4619.42036</v>
      </c>
      <c r="E363" s="67">
        <f>C363-D363</f>
        <v/>
      </c>
      <c r="F363" s="67">
        <f>(E363-F757)^2</f>
        <v/>
      </c>
      <c r="G363" s="66">
        <f>(E363-F757)^3</f>
        <v/>
      </c>
      <c r="H363" s="66">
        <f>(E363-F757)^4</f>
        <v/>
      </c>
      <c r="I363" s="65" t="inlineStr"/>
    </row>
    <row r="364">
      <c r="A364" s="68" t="n">
        <v>352</v>
      </c>
      <c r="B364" s="68" t="n">
        <v>351</v>
      </c>
      <c r="C364" s="69" t="n">
        <v>4535.1</v>
      </c>
      <c r="D364" s="69" t="n">
        <v>4619.62281</v>
      </c>
      <c r="E364" s="70">
        <f>C364-D364</f>
        <v/>
      </c>
      <c r="F364" s="70">
        <f>(E364-F757)^2</f>
        <v/>
      </c>
      <c r="G364" s="69">
        <f>(E364-F757)^3</f>
        <v/>
      </c>
      <c r="H364" s="69">
        <f>(E364-F757)^4</f>
        <v/>
      </c>
      <c r="I364" s="68" t="inlineStr"/>
    </row>
    <row r="365">
      <c r="A365" s="65" t="n">
        <v>353</v>
      </c>
      <c r="B365" s="65" t="n">
        <v>352</v>
      </c>
      <c r="C365" s="66" t="n">
        <v>4521.33</v>
      </c>
      <c r="D365" s="66" t="n">
        <v>4619.82526</v>
      </c>
      <c r="E365" s="67">
        <f>C365-D365</f>
        <v/>
      </c>
      <c r="F365" s="67">
        <f>(E365-F757)^2</f>
        <v/>
      </c>
      <c r="G365" s="66">
        <f>(E365-F757)^3</f>
        <v/>
      </c>
      <c r="H365" s="66">
        <f>(E365-F757)^4</f>
        <v/>
      </c>
      <c r="I365" s="65" t="inlineStr"/>
    </row>
    <row r="366">
      <c r="A366" s="68" t="n">
        <v>354</v>
      </c>
      <c r="B366" s="68" t="n">
        <v>353</v>
      </c>
      <c r="C366" s="69" t="n">
        <v>4509.88</v>
      </c>
      <c r="D366" s="69" t="n">
        <v>4620.0277</v>
      </c>
      <c r="E366" s="70">
        <f>C366-D366</f>
        <v/>
      </c>
      <c r="F366" s="70">
        <f>(E366-F757)^2</f>
        <v/>
      </c>
      <c r="G366" s="69">
        <f>(E366-F757)^3</f>
        <v/>
      </c>
      <c r="H366" s="69">
        <f>(E366-F757)^4</f>
        <v/>
      </c>
      <c r="I366" s="68" t="inlineStr"/>
    </row>
    <row r="367">
      <c r="A367" s="65" t="n">
        <v>355</v>
      </c>
      <c r="B367" s="65" t="n">
        <v>354</v>
      </c>
      <c r="C367" s="66" t="n">
        <v>4515.03</v>
      </c>
      <c r="D367" s="66" t="n">
        <v>4620.23015</v>
      </c>
      <c r="E367" s="67">
        <f>C367-D367</f>
        <v/>
      </c>
      <c r="F367" s="67">
        <f>(E367-F757)^2</f>
        <v/>
      </c>
      <c r="G367" s="66">
        <f>(E367-F757)^3</f>
        <v/>
      </c>
      <c r="H367" s="66">
        <f>(E367-F757)^4</f>
        <v/>
      </c>
      <c r="I367" s="65" t="inlineStr"/>
    </row>
    <row r="368">
      <c r="A368" s="68" t="n">
        <v>356</v>
      </c>
      <c r="B368" s="68" t="n">
        <v>355</v>
      </c>
      <c r="C368" s="69" t="n">
        <v>4512.59</v>
      </c>
      <c r="D368" s="69" t="n">
        <v>4620.43259</v>
      </c>
      <c r="E368" s="70">
        <f>C368-D368</f>
        <v/>
      </c>
      <c r="F368" s="70">
        <f>(E368-F757)^2</f>
        <v/>
      </c>
      <c r="G368" s="69">
        <f>(E368-F757)^3</f>
        <v/>
      </c>
      <c r="H368" s="69">
        <f>(E368-F757)^4</f>
        <v/>
      </c>
      <c r="I368" s="68" t="inlineStr"/>
    </row>
    <row r="369">
      <c r="A369" s="65" t="n">
        <v>357</v>
      </c>
      <c r="B369" s="65" t="n">
        <v>356</v>
      </c>
      <c r="C369" s="66" t="n">
        <v>4510.69</v>
      </c>
      <c r="D369" s="66" t="n">
        <v>4620.63504</v>
      </c>
      <c r="E369" s="67">
        <f>C369-D369</f>
        <v/>
      </c>
      <c r="F369" s="67">
        <f>(E369-F757)^2</f>
        <v/>
      </c>
      <c r="G369" s="66">
        <f>(E369-F757)^3</f>
        <v/>
      </c>
      <c r="H369" s="66">
        <f>(E369-F757)^4</f>
        <v/>
      </c>
      <c r="I369" s="65" t="inlineStr"/>
    </row>
    <row r="370">
      <c r="A370" s="68" t="n">
        <v>358</v>
      </c>
      <c r="B370" s="68" t="n">
        <v>357</v>
      </c>
      <c r="C370" s="69" t="n">
        <v>4522.39</v>
      </c>
      <c r="D370" s="69" t="n">
        <v>4620.83748</v>
      </c>
      <c r="E370" s="70">
        <f>C370-D370</f>
        <v/>
      </c>
      <c r="F370" s="70">
        <f>(E370-F757)^2</f>
        <v/>
      </c>
      <c r="G370" s="69">
        <f>(E370-F757)^3</f>
        <v/>
      </c>
      <c r="H370" s="69">
        <f>(E370-F757)^4</f>
        <v/>
      </c>
      <c r="I370" s="68" t="inlineStr"/>
    </row>
    <row r="371">
      <c r="A371" s="65" t="n">
        <v>359</v>
      </c>
      <c r="B371" s="65" t="n">
        <v>358</v>
      </c>
      <c r="C371" s="66" t="n">
        <v>4524.38</v>
      </c>
      <c r="D371" s="66" t="n">
        <v>4621.03993</v>
      </c>
      <c r="E371" s="67">
        <f>C371-D371</f>
        <v/>
      </c>
      <c r="F371" s="67">
        <f>(E371-F757)^2</f>
        <v/>
      </c>
      <c r="G371" s="66">
        <f>(E371-F757)^3</f>
        <v/>
      </c>
      <c r="H371" s="66">
        <f>(E371-F757)^4</f>
        <v/>
      </c>
      <c r="I371" s="65" t="inlineStr"/>
    </row>
    <row r="372">
      <c r="A372" s="68" t="n">
        <v>360</v>
      </c>
      <c r="B372" s="68" t="n">
        <v>359</v>
      </c>
      <c r="C372" s="69" t="n">
        <v>4526.1</v>
      </c>
      <c r="D372" s="69" t="n">
        <v>4621.24238</v>
      </c>
      <c r="E372" s="70">
        <f>C372-D372</f>
        <v/>
      </c>
      <c r="F372" s="70">
        <f>(E372-F757)^2</f>
        <v/>
      </c>
      <c r="G372" s="69">
        <f>(E372-F757)^3</f>
        <v/>
      </c>
      <c r="H372" s="69">
        <f>(E372-F757)^4</f>
        <v/>
      </c>
      <c r="I372" s="68" t="inlineStr"/>
    </row>
    <row r="373">
      <c r="A373" s="65" t="n">
        <v>361</v>
      </c>
      <c r="B373" s="65" t="n">
        <v>360</v>
      </c>
      <c r="C373" s="66" t="n">
        <v>4522.35</v>
      </c>
      <c r="D373" s="66" t="n">
        <v>4621.44482</v>
      </c>
      <c r="E373" s="67">
        <f>C373-D373</f>
        <v/>
      </c>
      <c r="F373" s="67">
        <f>(E373-F757)^2</f>
        <v/>
      </c>
      <c r="G373" s="66">
        <f>(E373-F757)^3</f>
        <v/>
      </c>
      <c r="H373" s="66">
        <f>(E373-F757)^4</f>
        <v/>
      </c>
      <c r="I373" s="65" t="inlineStr"/>
    </row>
    <row r="374">
      <c r="A374" s="68" t="n">
        <v>362</v>
      </c>
      <c r="B374" s="68" t="n">
        <v>361</v>
      </c>
      <c r="C374" s="69" t="n">
        <v>4520.01</v>
      </c>
      <c r="D374" s="69" t="n">
        <v>4621.64727</v>
      </c>
      <c r="E374" s="70">
        <f>C374-D374</f>
        <v/>
      </c>
      <c r="F374" s="70">
        <f>(E374-F757)^2</f>
        <v/>
      </c>
      <c r="G374" s="69">
        <f>(E374-F757)^3</f>
        <v/>
      </c>
      <c r="H374" s="69">
        <f>(E374-F757)^4</f>
        <v/>
      </c>
      <c r="I374" s="68" t="inlineStr"/>
    </row>
    <row r="375">
      <c r="A375" s="65" t="n">
        <v>363</v>
      </c>
      <c r="B375" s="65" t="n">
        <v>362</v>
      </c>
      <c r="C375" s="66" t="n">
        <v>4511.95</v>
      </c>
      <c r="D375" s="66" t="n">
        <v>4621.84971</v>
      </c>
      <c r="E375" s="67">
        <f>C375-D375</f>
        <v/>
      </c>
      <c r="F375" s="67">
        <f>(E375-F757)^2</f>
        <v/>
      </c>
      <c r="G375" s="66">
        <f>(E375-F757)^3</f>
        <v/>
      </c>
      <c r="H375" s="66">
        <f>(E375-F757)^4</f>
        <v/>
      </c>
      <c r="I375" s="65" t="inlineStr"/>
    </row>
    <row r="376">
      <c r="A376" s="68" t="n">
        <v>364</v>
      </c>
      <c r="B376" s="68" t="n">
        <v>363</v>
      </c>
      <c r="C376" s="69" t="n">
        <v>4511.86</v>
      </c>
      <c r="D376" s="69" t="n">
        <v>4622.05216</v>
      </c>
      <c r="E376" s="70">
        <f>C376-D376</f>
        <v/>
      </c>
      <c r="F376" s="70">
        <f>(E376-F757)^2</f>
        <v/>
      </c>
      <c r="G376" s="69">
        <f>(E376-F757)^3</f>
        <v/>
      </c>
      <c r="H376" s="69">
        <f>(E376-F757)^4</f>
        <v/>
      </c>
      <c r="I376" s="68" t="inlineStr"/>
    </row>
    <row r="377">
      <c r="A377" s="65" t="n">
        <v>365</v>
      </c>
      <c r="B377" s="65" t="n">
        <v>364</v>
      </c>
      <c r="C377" s="66" t="n">
        <v>4516.4</v>
      </c>
      <c r="D377" s="66" t="n">
        <v>4622.2546</v>
      </c>
      <c r="E377" s="67">
        <f>C377-D377</f>
        <v/>
      </c>
      <c r="F377" s="67">
        <f>(E377-F757)^2</f>
        <v/>
      </c>
      <c r="G377" s="66">
        <f>(E377-F757)^3</f>
        <v/>
      </c>
      <c r="H377" s="66">
        <f>(E377-F757)^4</f>
        <v/>
      </c>
      <c r="I377" s="65" t="inlineStr"/>
    </row>
    <row r="378">
      <c r="A378" s="68" t="n">
        <v>366</v>
      </c>
      <c r="B378" s="68" t="n">
        <v>365</v>
      </c>
      <c r="C378" s="69" t="n">
        <v>4519.05</v>
      </c>
      <c r="D378" s="69" t="n">
        <v>4622.45705</v>
      </c>
      <c r="E378" s="70">
        <f>C378-D378</f>
        <v/>
      </c>
      <c r="F378" s="70">
        <f>(E378-F757)^2</f>
        <v/>
      </c>
      <c r="G378" s="69">
        <f>(E378-F757)^3</f>
        <v/>
      </c>
      <c r="H378" s="69">
        <f>(E378-F757)^4</f>
        <v/>
      </c>
      <c r="I378" s="68" t="inlineStr"/>
    </row>
    <row r="379">
      <c r="A379" s="65" t="n">
        <v>367</v>
      </c>
      <c r="B379" s="65" t="n">
        <v>366</v>
      </c>
      <c r="C379" s="66" t="n">
        <v>4522.42</v>
      </c>
      <c r="D379" s="66" t="n">
        <v>4622.6595</v>
      </c>
      <c r="E379" s="67">
        <f>C379-D379</f>
        <v/>
      </c>
      <c r="F379" s="67">
        <f>(E379-F757)^2</f>
        <v/>
      </c>
      <c r="G379" s="66">
        <f>(E379-F757)^3</f>
        <v/>
      </c>
      <c r="H379" s="66">
        <f>(E379-F757)^4</f>
        <v/>
      </c>
      <c r="I379" s="65" t="inlineStr"/>
    </row>
    <row r="380">
      <c r="A380" s="68" t="n">
        <v>368</v>
      </c>
      <c r="B380" s="68" t="n">
        <v>367</v>
      </c>
      <c r="C380" s="69" t="n">
        <v>4521.16</v>
      </c>
      <c r="D380" s="69" t="n">
        <v>4622.86194</v>
      </c>
      <c r="E380" s="70">
        <f>C380-D380</f>
        <v/>
      </c>
      <c r="F380" s="70">
        <f>(E380-F757)^2</f>
        <v/>
      </c>
      <c r="G380" s="69">
        <f>(E380-F757)^3</f>
        <v/>
      </c>
      <c r="H380" s="69">
        <f>(E380-F757)^4</f>
        <v/>
      </c>
      <c r="I380" s="68" t="inlineStr"/>
    </row>
    <row r="381">
      <c r="A381" s="65" t="n">
        <v>369</v>
      </c>
      <c r="B381" s="65" t="n">
        <v>368</v>
      </c>
      <c r="C381" s="66" t="n">
        <v>4517.46</v>
      </c>
      <c r="D381" s="66" t="n">
        <v>4623.06439</v>
      </c>
      <c r="E381" s="67">
        <f>C381-D381</f>
        <v/>
      </c>
      <c r="F381" s="67">
        <f>(E381-F757)^2</f>
        <v/>
      </c>
      <c r="G381" s="66">
        <f>(E381-F757)^3</f>
        <v/>
      </c>
      <c r="H381" s="66">
        <f>(E381-F757)^4</f>
        <v/>
      </c>
      <c r="I381" s="65" t="inlineStr"/>
    </row>
    <row r="382">
      <c r="A382" s="68" t="n">
        <v>370</v>
      </c>
      <c r="B382" s="68" t="n">
        <v>369</v>
      </c>
      <c r="C382" s="69" t="n">
        <v>4514.74</v>
      </c>
      <c r="D382" s="69" t="n">
        <v>4623.26683</v>
      </c>
      <c r="E382" s="70">
        <f>C382-D382</f>
        <v/>
      </c>
      <c r="F382" s="70">
        <f>(E382-F757)^2</f>
        <v/>
      </c>
      <c r="G382" s="69">
        <f>(E382-F757)^3</f>
        <v/>
      </c>
      <c r="H382" s="69">
        <f>(E382-F757)^4</f>
        <v/>
      </c>
      <c r="I382" s="68" t="inlineStr"/>
    </row>
    <row r="383">
      <c r="A383" s="65" t="n">
        <v>371</v>
      </c>
      <c r="B383" s="65" t="n">
        <v>370</v>
      </c>
      <c r="C383" s="66" t="n">
        <v>4515.21</v>
      </c>
      <c r="D383" s="66" t="n">
        <v>4623.46928</v>
      </c>
      <c r="E383" s="67">
        <f>C383-D383</f>
        <v/>
      </c>
      <c r="F383" s="67">
        <f>(E383-F757)^2</f>
        <v/>
      </c>
      <c r="G383" s="66">
        <f>(E383-F757)^3</f>
        <v/>
      </c>
      <c r="H383" s="66">
        <f>(E383-F757)^4</f>
        <v/>
      </c>
      <c r="I383" s="65" t="inlineStr"/>
    </row>
    <row r="384">
      <c r="A384" s="68" t="n">
        <v>372</v>
      </c>
      <c r="B384" s="68" t="n">
        <v>371</v>
      </c>
      <c r="C384" s="69" t="n">
        <v>4518.75</v>
      </c>
      <c r="D384" s="69" t="n">
        <v>4623.67172</v>
      </c>
      <c r="E384" s="70">
        <f>C384-D384</f>
        <v/>
      </c>
      <c r="F384" s="70">
        <f>(E384-F757)^2</f>
        <v/>
      </c>
      <c r="G384" s="69">
        <f>(E384-F757)^3</f>
        <v/>
      </c>
      <c r="H384" s="69">
        <f>(E384-F757)^4</f>
        <v/>
      </c>
      <c r="I384" s="68" t="inlineStr"/>
    </row>
    <row r="385">
      <c r="A385" s="65" t="n">
        <v>373</v>
      </c>
      <c r="B385" s="65" t="n">
        <v>372</v>
      </c>
      <c r="C385" s="66" t="n">
        <v>4523.84</v>
      </c>
      <c r="D385" s="66" t="n">
        <v>4623.87417</v>
      </c>
      <c r="E385" s="67">
        <f>C385-D385</f>
        <v/>
      </c>
      <c r="F385" s="67">
        <f>(E385-F757)^2</f>
        <v/>
      </c>
      <c r="G385" s="66">
        <f>(E385-F757)^3</f>
        <v/>
      </c>
      <c r="H385" s="66">
        <f>(E385-F757)^4</f>
        <v/>
      </c>
      <c r="I385" s="65" t="inlineStr"/>
    </row>
    <row r="386">
      <c r="A386" s="68" t="n">
        <v>374</v>
      </c>
      <c r="B386" s="68" t="n">
        <v>373</v>
      </c>
      <c r="C386" s="69" t="n">
        <v>4521.1</v>
      </c>
      <c r="D386" s="69" t="n">
        <v>4624.07662</v>
      </c>
      <c r="E386" s="70">
        <f>C386-D386</f>
        <v/>
      </c>
      <c r="F386" s="70">
        <f>(E386-F757)^2</f>
        <v/>
      </c>
      <c r="G386" s="69">
        <f>(E386-F757)^3</f>
        <v/>
      </c>
      <c r="H386" s="69">
        <f>(E386-F757)^4</f>
        <v/>
      </c>
      <c r="I386" s="68" t="inlineStr"/>
    </row>
    <row r="387">
      <c r="A387" s="65" t="n">
        <v>375</v>
      </c>
      <c r="B387" s="65" t="n">
        <v>374</v>
      </c>
      <c r="C387" s="66" t="n">
        <v>4519.66</v>
      </c>
      <c r="D387" s="66" t="n">
        <v>4624.27906</v>
      </c>
      <c r="E387" s="67">
        <f>C387-D387</f>
        <v/>
      </c>
      <c r="F387" s="67">
        <f>(E387-F757)^2</f>
        <v/>
      </c>
      <c r="G387" s="66">
        <f>(E387-F757)^3</f>
        <v/>
      </c>
      <c r="H387" s="66">
        <f>(E387-F757)^4</f>
        <v/>
      </c>
      <c r="I387" s="65" t="inlineStr"/>
    </row>
    <row r="388">
      <c r="A388" s="68" t="n">
        <v>376</v>
      </c>
      <c r="B388" s="68" t="n">
        <v>375</v>
      </c>
      <c r="C388" s="69" t="n">
        <v>4519.02</v>
      </c>
      <c r="D388" s="69" t="n">
        <v>4624.48151</v>
      </c>
      <c r="E388" s="70">
        <f>C388-D388</f>
        <v/>
      </c>
      <c r="F388" s="70">
        <f>(E388-F757)^2</f>
        <v/>
      </c>
      <c r="G388" s="69">
        <f>(E388-F757)^3</f>
        <v/>
      </c>
      <c r="H388" s="69">
        <f>(E388-F757)^4</f>
        <v/>
      </c>
      <c r="I388" s="68" t="inlineStr"/>
    </row>
    <row r="389">
      <c r="A389" s="65" t="n">
        <v>377</v>
      </c>
      <c r="B389" s="65" t="n">
        <v>376</v>
      </c>
      <c r="C389" s="66" t="n">
        <v>4517.52</v>
      </c>
      <c r="D389" s="66" t="n">
        <v>4624.68395</v>
      </c>
      <c r="E389" s="67">
        <f>C389-D389</f>
        <v/>
      </c>
      <c r="F389" s="67">
        <f>(E389-F757)^2</f>
        <v/>
      </c>
      <c r="G389" s="66">
        <f>(E389-F757)^3</f>
        <v/>
      </c>
      <c r="H389" s="66">
        <f>(E389-F757)^4</f>
        <v/>
      </c>
      <c r="I389" s="65" t="inlineStr"/>
    </row>
    <row r="390">
      <c r="A390" s="68" t="n">
        <v>378</v>
      </c>
      <c r="B390" s="68" t="n">
        <v>377</v>
      </c>
      <c r="C390" s="69" t="n">
        <v>4520.44</v>
      </c>
      <c r="D390" s="69" t="n">
        <v>4624.8864</v>
      </c>
      <c r="E390" s="70">
        <f>C390-D390</f>
        <v/>
      </c>
      <c r="F390" s="70">
        <f>(E390-F757)^2</f>
        <v/>
      </c>
      <c r="G390" s="69">
        <f>(E390-F757)^3</f>
        <v/>
      </c>
      <c r="H390" s="69">
        <f>(E390-F757)^4</f>
        <v/>
      </c>
      <c r="I390" s="68" t="inlineStr"/>
    </row>
    <row r="391">
      <c r="A391" s="65" t="n">
        <v>379</v>
      </c>
      <c r="B391" s="65" t="n">
        <v>378</v>
      </c>
      <c r="C391" s="66" t="n">
        <v>4521.13</v>
      </c>
      <c r="D391" s="66" t="n">
        <v>4625.08884</v>
      </c>
      <c r="E391" s="67">
        <f>C391-D391</f>
        <v/>
      </c>
      <c r="F391" s="67">
        <f>(E391-F757)^2</f>
        <v/>
      </c>
      <c r="G391" s="66">
        <f>(E391-F757)^3</f>
        <v/>
      </c>
      <c r="H391" s="66">
        <f>(E391-F757)^4</f>
        <v/>
      </c>
      <c r="I391" s="65" t="inlineStr"/>
    </row>
    <row r="392">
      <c r="A392" s="68" t="n">
        <v>380</v>
      </c>
      <c r="B392" s="68" t="n">
        <v>379</v>
      </c>
      <c r="C392" s="69" t="n">
        <v>4518.52</v>
      </c>
      <c r="D392" s="69" t="n">
        <v>4625.29129</v>
      </c>
      <c r="E392" s="70">
        <f>C392-D392</f>
        <v/>
      </c>
      <c r="F392" s="70">
        <f>(E392-F757)^2</f>
        <v/>
      </c>
      <c r="G392" s="69">
        <f>(E392-F757)^3</f>
        <v/>
      </c>
      <c r="H392" s="69">
        <f>(E392-F757)^4</f>
        <v/>
      </c>
      <c r="I392" s="68" t="inlineStr"/>
    </row>
    <row r="393">
      <c r="A393" s="65" t="n">
        <v>381</v>
      </c>
      <c r="B393" s="65" t="n">
        <v>380</v>
      </c>
      <c r="C393" s="66" t="n">
        <v>4519.04</v>
      </c>
      <c r="D393" s="66" t="n">
        <v>4625.49374</v>
      </c>
      <c r="E393" s="67">
        <f>C393-D393</f>
        <v/>
      </c>
      <c r="F393" s="67">
        <f>(E393-F757)^2</f>
        <v/>
      </c>
      <c r="G393" s="66">
        <f>(E393-F757)^3</f>
        <v/>
      </c>
      <c r="H393" s="66">
        <f>(E393-F757)^4</f>
        <v/>
      </c>
      <c r="I393" s="65" t="inlineStr"/>
    </row>
    <row r="394">
      <c r="A394" s="68" t="n">
        <v>382</v>
      </c>
      <c r="B394" s="68" t="n">
        <v>381</v>
      </c>
      <c r="C394" s="69" t="n">
        <v>4527.77</v>
      </c>
      <c r="D394" s="69" t="n">
        <v>4625.69618</v>
      </c>
      <c r="E394" s="70">
        <f>C394-D394</f>
        <v/>
      </c>
      <c r="F394" s="70">
        <f>(E394-F757)^2</f>
        <v/>
      </c>
      <c r="G394" s="69">
        <f>(E394-F757)^3</f>
        <v/>
      </c>
      <c r="H394" s="69">
        <f>(E394-F757)^4</f>
        <v/>
      </c>
      <c r="I394" s="68" t="inlineStr"/>
    </row>
    <row r="395">
      <c r="A395" s="65" t="n">
        <v>383</v>
      </c>
      <c r="B395" s="65" t="n">
        <v>382</v>
      </c>
      <c r="C395" s="66" t="n">
        <v>4517.12</v>
      </c>
      <c r="D395" s="66" t="n">
        <v>4625.89863</v>
      </c>
      <c r="E395" s="67">
        <f>C395-D395</f>
        <v/>
      </c>
      <c r="F395" s="67">
        <f>(E395-F757)^2</f>
        <v/>
      </c>
      <c r="G395" s="66">
        <f>(E395-F757)^3</f>
        <v/>
      </c>
      <c r="H395" s="66">
        <f>(E395-F757)^4</f>
        <v/>
      </c>
      <c r="I395" s="65" t="inlineStr"/>
    </row>
    <row r="396">
      <c r="A396" s="68" t="n">
        <v>384</v>
      </c>
      <c r="B396" s="68" t="n">
        <v>383</v>
      </c>
      <c r="C396" s="69" t="n">
        <v>4523.87</v>
      </c>
      <c r="D396" s="69" t="n">
        <v>4626.10107</v>
      </c>
      <c r="E396" s="70">
        <f>C396-D396</f>
        <v/>
      </c>
      <c r="F396" s="70">
        <f>(E396-F757)^2</f>
        <v/>
      </c>
      <c r="G396" s="69">
        <f>(E396-F757)^3</f>
        <v/>
      </c>
      <c r="H396" s="69">
        <f>(E396-F757)^4</f>
        <v/>
      </c>
      <c r="I396" s="68" t="inlineStr"/>
    </row>
    <row r="397">
      <c r="A397" s="65" t="n">
        <v>385</v>
      </c>
      <c r="B397" s="65" t="n">
        <v>384</v>
      </c>
      <c r="C397" s="66" t="n">
        <v>4530.12</v>
      </c>
      <c r="D397" s="66" t="n">
        <v>4626.30352</v>
      </c>
      <c r="E397" s="67">
        <f>C397-D397</f>
        <v/>
      </c>
      <c r="F397" s="67">
        <f>(E397-F757)^2</f>
        <v/>
      </c>
      <c r="G397" s="66">
        <f>(E397-F757)^3</f>
        <v/>
      </c>
      <c r="H397" s="66">
        <f>(E397-F757)^4</f>
        <v/>
      </c>
      <c r="I397" s="65" t="inlineStr"/>
    </row>
    <row r="398">
      <c r="A398" s="68" t="n">
        <v>386</v>
      </c>
      <c r="B398" s="68" t="n">
        <v>385</v>
      </c>
      <c r="C398" s="69" t="n">
        <v>4538.86</v>
      </c>
      <c r="D398" s="69" t="n">
        <v>4626.50596</v>
      </c>
      <c r="E398" s="70">
        <f>C398-D398</f>
        <v/>
      </c>
      <c r="F398" s="70">
        <f>(E398-F757)^2</f>
        <v/>
      </c>
      <c r="G398" s="69">
        <f>(E398-F757)^3</f>
        <v/>
      </c>
      <c r="H398" s="69">
        <f>(E398-F757)^4</f>
        <v/>
      </c>
      <c r="I398" s="68" t="inlineStr"/>
    </row>
    <row r="399">
      <c r="A399" s="65" t="n">
        <v>387</v>
      </c>
      <c r="B399" s="65" t="n">
        <v>386</v>
      </c>
      <c r="C399" s="66" t="n">
        <v>4537.8</v>
      </c>
      <c r="D399" s="66" t="n">
        <v>4626.70841</v>
      </c>
      <c r="E399" s="67">
        <f>C399-D399</f>
        <v/>
      </c>
      <c r="F399" s="67">
        <f>(E399-F757)^2</f>
        <v/>
      </c>
      <c r="G399" s="66">
        <f>(E399-F757)^3</f>
        <v/>
      </c>
      <c r="H399" s="66">
        <f>(E399-F757)^4</f>
        <v/>
      </c>
      <c r="I399" s="65" t="inlineStr"/>
    </row>
    <row r="400">
      <c r="A400" s="68" t="n">
        <v>388</v>
      </c>
      <c r="B400" s="68" t="n">
        <v>387</v>
      </c>
      <c r="C400" s="69" t="n">
        <v>4536.92</v>
      </c>
      <c r="D400" s="69" t="n">
        <v>4626.91086</v>
      </c>
      <c r="E400" s="70">
        <f>C400-D400</f>
        <v/>
      </c>
      <c r="F400" s="70">
        <f>(E400-F757)^2</f>
        <v/>
      </c>
      <c r="G400" s="69">
        <f>(E400-F757)^3</f>
        <v/>
      </c>
      <c r="H400" s="69">
        <f>(E400-F757)^4</f>
        <v/>
      </c>
      <c r="I400" s="68" t="inlineStr"/>
    </row>
    <row r="401">
      <c r="A401" s="65" t="n">
        <v>389</v>
      </c>
      <c r="B401" s="65" t="n">
        <v>388</v>
      </c>
      <c r="C401" s="66" t="n">
        <v>4541.02</v>
      </c>
      <c r="D401" s="66" t="n">
        <v>4627.1133</v>
      </c>
      <c r="E401" s="67">
        <f>C401-D401</f>
        <v/>
      </c>
      <c r="F401" s="67">
        <f>(E401-F757)^2</f>
        <v/>
      </c>
      <c r="G401" s="66">
        <f>(E401-F757)^3</f>
        <v/>
      </c>
      <c r="H401" s="66">
        <f>(E401-F757)^4</f>
        <v/>
      </c>
      <c r="I401" s="65" t="inlineStr"/>
    </row>
    <row r="402">
      <c r="A402" s="68" t="n">
        <v>390</v>
      </c>
      <c r="B402" s="68" t="n">
        <v>389</v>
      </c>
      <c r="C402" s="69" t="n">
        <v>4538.55</v>
      </c>
      <c r="D402" s="69" t="n">
        <v>4627.31575</v>
      </c>
      <c r="E402" s="70">
        <f>C402-D402</f>
        <v/>
      </c>
      <c r="F402" s="70">
        <f>(E402-F757)^2</f>
        <v/>
      </c>
      <c r="G402" s="69">
        <f>(E402-F757)^3</f>
        <v/>
      </c>
      <c r="H402" s="69">
        <f>(E402-F757)^4</f>
        <v/>
      </c>
      <c r="I402" s="68" t="inlineStr"/>
    </row>
    <row r="403">
      <c r="A403" s="65" t="n">
        <v>391</v>
      </c>
      <c r="B403" s="65" t="n">
        <v>390</v>
      </c>
      <c r="C403" s="66" t="n">
        <v>4541.49</v>
      </c>
      <c r="D403" s="66" t="n">
        <v>4627.51819</v>
      </c>
      <c r="E403" s="67">
        <f>C403-D403</f>
        <v/>
      </c>
      <c r="F403" s="67">
        <f>(E403-F757)^2</f>
        <v/>
      </c>
      <c r="G403" s="66">
        <f>(E403-F757)^3</f>
        <v/>
      </c>
      <c r="H403" s="66">
        <f>(E403-F757)^4</f>
        <v/>
      </c>
      <c r="I403" s="65" t="inlineStr"/>
    </row>
    <row r="404">
      <c r="A404" s="68" t="n">
        <v>392</v>
      </c>
      <c r="B404" s="68" t="n">
        <v>391</v>
      </c>
      <c r="C404" s="69" t="n">
        <v>4544.58</v>
      </c>
      <c r="D404" s="69" t="n">
        <v>4627.72064</v>
      </c>
      <c r="E404" s="70">
        <f>C404-D404</f>
        <v/>
      </c>
      <c r="F404" s="70">
        <f>(E404-F757)^2</f>
        <v/>
      </c>
      <c r="G404" s="69">
        <f>(E404-F757)^3</f>
        <v/>
      </c>
      <c r="H404" s="69">
        <f>(E404-F757)^4</f>
        <v/>
      </c>
      <c r="I404" s="68" t="inlineStr"/>
    </row>
    <row r="405">
      <c r="A405" s="65" t="n">
        <v>393</v>
      </c>
      <c r="B405" s="65" t="n">
        <v>392</v>
      </c>
      <c r="C405" s="66" t="n">
        <v>4539.17</v>
      </c>
      <c r="D405" s="66" t="n">
        <v>4627.92308</v>
      </c>
      <c r="E405" s="67">
        <f>C405-D405</f>
        <v/>
      </c>
      <c r="F405" s="67">
        <f>(E405-F757)^2</f>
        <v/>
      </c>
      <c r="G405" s="66">
        <f>(E405-F757)^3</f>
        <v/>
      </c>
      <c r="H405" s="66">
        <f>(E405-F757)^4</f>
        <v/>
      </c>
      <c r="I405" s="65" t="inlineStr"/>
    </row>
    <row r="406">
      <c r="A406" s="68" t="n">
        <v>394</v>
      </c>
      <c r="B406" s="68" t="n">
        <v>393</v>
      </c>
      <c r="C406" s="69" t="n">
        <v>4542.12</v>
      </c>
      <c r="D406" s="69" t="n">
        <v>4628.12553</v>
      </c>
      <c r="E406" s="70">
        <f>C406-D406</f>
        <v/>
      </c>
      <c r="F406" s="70">
        <f>(E406-F757)^2</f>
        <v/>
      </c>
      <c r="G406" s="69">
        <f>(E406-F757)^3</f>
        <v/>
      </c>
      <c r="H406" s="69">
        <f>(E406-F757)^4</f>
        <v/>
      </c>
      <c r="I406" s="68" t="inlineStr"/>
    </row>
    <row r="407">
      <c r="A407" s="65" t="n">
        <v>395</v>
      </c>
      <c r="B407" s="65" t="n">
        <v>394</v>
      </c>
      <c r="C407" s="66" t="n">
        <v>4538.07</v>
      </c>
      <c r="D407" s="66" t="n">
        <v>4628.32798</v>
      </c>
      <c r="E407" s="67">
        <f>C407-D407</f>
        <v/>
      </c>
      <c r="F407" s="67">
        <f>(E407-F757)^2</f>
        <v/>
      </c>
      <c r="G407" s="66">
        <f>(E407-F757)^3</f>
        <v/>
      </c>
      <c r="H407" s="66">
        <f>(E407-F757)^4</f>
        <v/>
      </c>
      <c r="I407" s="65" t="inlineStr"/>
    </row>
    <row r="408">
      <c r="A408" s="68" t="n">
        <v>396</v>
      </c>
      <c r="B408" s="68" t="n">
        <v>395</v>
      </c>
      <c r="C408" s="69" t="n">
        <v>4535.98</v>
      </c>
      <c r="D408" s="69" t="n">
        <v>4628.53042</v>
      </c>
      <c r="E408" s="70">
        <f>C408-D408</f>
        <v/>
      </c>
      <c r="F408" s="70">
        <f>(E408-F757)^2</f>
        <v/>
      </c>
      <c r="G408" s="69">
        <f>(E408-F757)^3</f>
        <v/>
      </c>
      <c r="H408" s="69">
        <f>(E408-F757)^4</f>
        <v/>
      </c>
      <c r="I408" s="68" t="inlineStr"/>
    </row>
    <row r="409">
      <c r="A409" s="65" t="n">
        <v>397</v>
      </c>
      <c r="B409" s="65" t="n">
        <v>396</v>
      </c>
      <c r="C409" s="66" t="n">
        <v>4534.67</v>
      </c>
      <c r="D409" s="66" t="n">
        <v>4628.73287</v>
      </c>
      <c r="E409" s="67">
        <f>C409-D409</f>
        <v/>
      </c>
      <c r="F409" s="67">
        <f>(E409-F757)^2</f>
        <v/>
      </c>
      <c r="G409" s="66">
        <f>(E409-F757)^3</f>
        <v/>
      </c>
      <c r="H409" s="66">
        <f>(E409-F757)^4</f>
        <v/>
      </c>
      <c r="I409" s="65" t="inlineStr"/>
    </row>
    <row r="410">
      <c r="A410" s="68" t="n">
        <v>398</v>
      </c>
      <c r="B410" s="68" t="n">
        <v>397</v>
      </c>
      <c r="C410" s="69" t="n">
        <v>4532.97</v>
      </c>
      <c r="D410" s="69" t="n">
        <v>4628.93531</v>
      </c>
      <c r="E410" s="70">
        <f>C410-D410</f>
        <v/>
      </c>
      <c r="F410" s="70">
        <f>(E410-F757)^2</f>
        <v/>
      </c>
      <c r="G410" s="69">
        <f>(E410-F757)^3</f>
        <v/>
      </c>
      <c r="H410" s="69">
        <f>(E410-F757)^4</f>
        <v/>
      </c>
      <c r="I410" s="68" t="inlineStr"/>
    </row>
    <row r="411">
      <c r="A411" s="65" t="n">
        <v>399</v>
      </c>
      <c r="B411" s="65" t="n">
        <v>398</v>
      </c>
      <c r="C411" s="66" t="n">
        <v>4529.71</v>
      </c>
      <c r="D411" s="66" t="n">
        <v>4629.13776</v>
      </c>
      <c r="E411" s="67">
        <f>C411-D411</f>
        <v/>
      </c>
      <c r="F411" s="67">
        <f>(E411-F757)^2</f>
        <v/>
      </c>
      <c r="G411" s="66">
        <f>(E411-F757)^3</f>
        <v/>
      </c>
      <c r="H411" s="66">
        <f>(E411-F757)^4</f>
        <v/>
      </c>
      <c r="I411" s="65" t="inlineStr"/>
    </row>
    <row r="412">
      <c r="A412" s="68" t="n">
        <v>400</v>
      </c>
      <c r="B412" s="68" t="n">
        <v>399</v>
      </c>
      <c r="C412" s="69" t="n">
        <v>4531.71</v>
      </c>
      <c r="D412" s="69" t="n">
        <v>4629.3402</v>
      </c>
      <c r="E412" s="70">
        <f>C412-D412</f>
        <v/>
      </c>
      <c r="F412" s="70">
        <f>(E412-F757)^2</f>
        <v/>
      </c>
      <c r="G412" s="69">
        <f>(E412-F757)^3</f>
        <v/>
      </c>
      <c r="H412" s="69">
        <f>(E412-F757)^4</f>
        <v/>
      </c>
      <c r="I412" s="68" t="inlineStr"/>
    </row>
    <row r="413">
      <c r="A413" s="65" t="n">
        <v>401</v>
      </c>
      <c r="B413" s="65" t="n">
        <v>400</v>
      </c>
      <c r="C413" s="66" t="n">
        <v>4533.58</v>
      </c>
      <c r="D413" s="66" t="n">
        <v>4629.54265</v>
      </c>
      <c r="E413" s="67">
        <f>C413-D413</f>
        <v/>
      </c>
      <c r="F413" s="67">
        <f>(E413-F757)^2</f>
        <v/>
      </c>
      <c r="G413" s="66">
        <f>(E413-F757)^3</f>
        <v/>
      </c>
      <c r="H413" s="66">
        <f>(E413-F757)^4</f>
        <v/>
      </c>
      <c r="I413" s="65" t="inlineStr"/>
    </row>
    <row r="414">
      <c r="A414" s="68" t="n">
        <v>402</v>
      </c>
      <c r="B414" s="68" t="n">
        <v>401</v>
      </c>
      <c r="C414" s="69" t="n">
        <v>4540.2</v>
      </c>
      <c r="D414" s="69" t="n">
        <v>4629.7451</v>
      </c>
      <c r="E414" s="70">
        <f>C414-D414</f>
        <v/>
      </c>
      <c r="F414" s="70">
        <f>(E414-F757)^2</f>
        <v/>
      </c>
      <c r="G414" s="69">
        <f>(E414-F757)^3</f>
        <v/>
      </c>
      <c r="H414" s="69">
        <f>(E414-F757)^4</f>
        <v/>
      </c>
      <c r="I414" s="68" t="inlineStr"/>
    </row>
    <row r="415">
      <c r="A415" s="65" t="n">
        <v>403</v>
      </c>
      <c r="B415" s="65" t="n">
        <v>402</v>
      </c>
      <c r="C415" s="66" t="n">
        <v>4540.11</v>
      </c>
      <c r="D415" s="66" t="n">
        <v>4629.94754</v>
      </c>
      <c r="E415" s="67">
        <f>C415-D415</f>
        <v/>
      </c>
      <c r="F415" s="67">
        <f>(E415-F757)^2</f>
        <v/>
      </c>
      <c r="G415" s="66">
        <f>(E415-F757)^3</f>
        <v/>
      </c>
      <c r="H415" s="66">
        <f>(E415-F757)^4</f>
        <v/>
      </c>
      <c r="I415" s="65" t="inlineStr"/>
    </row>
    <row r="416">
      <c r="A416" s="68" t="n">
        <v>404</v>
      </c>
      <c r="B416" s="68" t="n">
        <v>403</v>
      </c>
      <c r="C416" s="69" t="n">
        <v>4545.86</v>
      </c>
      <c r="D416" s="69" t="n">
        <v>4630.14999</v>
      </c>
      <c r="E416" s="70">
        <f>C416-D416</f>
        <v/>
      </c>
      <c r="F416" s="70">
        <f>(E416-F757)^2</f>
        <v/>
      </c>
      <c r="G416" s="69">
        <f>(E416-F757)^3</f>
        <v/>
      </c>
      <c r="H416" s="69">
        <f>(E416-F757)^4</f>
        <v/>
      </c>
      <c r="I416" s="68" t="inlineStr"/>
    </row>
    <row r="417">
      <c r="A417" s="65" t="n">
        <v>405</v>
      </c>
      <c r="B417" s="65" t="n">
        <v>404</v>
      </c>
      <c r="C417" s="66" t="n">
        <v>4545.73</v>
      </c>
      <c r="D417" s="66" t="n">
        <v>4630.35243</v>
      </c>
      <c r="E417" s="67">
        <f>C417-D417</f>
        <v/>
      </c>
      <c r="F417" s="67">
        <f>(E417-F757)^2</f>
        <v/>
      </c>
      <c r="G417" s="66">
        <f>(E417-F757)^3</f>
        <v/>
      </c>
      <c r="H417" s="66">
        <f>(E417-F757)^4</f>
        <v/>
      </c>
      <c r="I417" s="65" t="inlineStr"/>
    </row>
    <row r="418">
      <c r="A418" s="68" t="n">
        <v>406</v>
      </c>
      <c r="B418" s="68" t="n">
        <v>405</v>
      </c>
      <c r="C418" s="69" t="n">
        <v>4543.66</v>
      </c>
      <c r="D418" s="69" t="n">
        <v>4630.55488</v>
      </c>
      <c r="E418" s="70">
        <f>C418-D418</f>
        <v/>
      </c>
      <c r="F418" s="70">
        <f>(E418-F757)^2</f>
        <v/>
      </c>
      <c r="G418" s="69">
        <f>(E418-F757)^3</f>
        <v/>
      </c>
      <c r="H418" s="69">
        <f>(E418-F757)^4</f>
        <v/>
      </c>
      <c r="I418" s="68" t="inlineStr"/>
    </row>
    <row r="419">
      <c r="A419" s="65" t="n">
        <v>407</v>
      </c>
      <c r="B419" s="65" t="n">
        <v>406</v>
      </c>
      <c r="C419" s="66" t="n">
        <v>4536.86</v>
      </c>
      <c r="D419" s="66" t="n">
        <v>4630.75732</v>
      </c>
      <c r="E419" s="67">
        <f>C419-D419</f>
        <v/>
      </c>
      <c r="F419" s="67">
        <f>(E419-F757)^2</f>
        <v/>
      </c>
      <c r="G419" s="66">
        <f>(E419-F757)^3</f>
        <v/>
      </c>
      <c r="H419" s="66">
        <f>(E419-F757)^4</f>
        <v/>
      </c>
      <c r="I419" s="65" t="inlineStr"/>
    </row>
    <row r="420">
      <c r="A420" s="68" t="n">
        <v>408</v>
      </c>
      <c r="B420" s="68" t="n">
        <v>407</v>
      </c>
      <c r="C420" s="69" t="n">
        <v>4546.17</v>
      </c>
      <c r="D420" s="69" t="n">
        <v>4630.95977</v>
      </c>
      <c r="E420" s="70">
        <f>C420-D420</f>
        <v/>
      </c>
      <c r="F420" s="70">
        <f>(E420-F757)^2</f>
        <v/>
      </c>
      <c r="G420" s="69">
        <f>(E420-F757)^3</f>
        <v/>
      </c>
      <c r="H420" s="69">
        <f>(E420-F757)^4</f>
        <v/>
      </c>
      <c r="I420" s="68" t="inlineStr"/>
    </row>
    <row r="421">
      <c r="A421" s="65" t="n">
        <v>409</v>
      </c>
      <c r="B421" s="65" t="n">
        <v>408</v>
      </c>
      <c r="C421" s="66" t="n">
        <v>4548.12</v>
      </c>
      <c r="D421" s="66" t="n">
        <v>4631.16221</v>
      </c>
      <c r="E421" s="67">
        <f>C421-D421</f>
        <v/>
      </c>
      <c r="F421" s="67">
        <f>(E421-F757)^2</f>
        <v/>
      </c>
      <c r="G421" s="66">
        <f>(E421-F757)^3</f>
        <v/>
      </c>
      <c r="H421" s="66">
        <f>(E421-F757)^4</f>
        <v/>
      </c>
      <c r="I421" s="65" t="inlineStr"/>
    </row>
    <row r="422">
      <c r="A422" s="68" t="n">
        <v>410</v>
      </c>
      <c r="B422" s="68" t="n">
        <v>409</v>
      </c>
      <c r="C422" s="69" t="n">
        <v>4554.04</v>
      </c>
      <c r="D422" s="69" t="n">
        <v>4631.36466</v>
      </c>
      <c r="E422" s="70">
        <f>C422-D422</f>
        <v/>
      </c>
      <c r="F422" s="70">
        <f>(E422-F757)^2</f>
        <v/>
      </c>
      <c r="G422" s="69">
        <f>(E422-F757)^3</f>
        <v/>
      </c>
      <c r="H422" s="69">
        <f>(E422-F757)^4</f>
        <v/>
      </c>
      <c r="I422" s="68" t="inlineStr"/>
    </row>
    <row r="423">
      <c r="A423" s="65" t="n">
        <v>411</v>
      </c>
      <c r="B423" s="65" t="n">
        <v>410</v>
      </c>
      <c r="C423" s="66" t="n">
        <v>4548.94</v>
      </c>
      <c r="D423" s="66" t="n">
        <v>4631.56711</v>
      </c>
      <c r="E423" s="67">
        <f>C423-D423</f>
        <v/>
      </c>
      <c r="F423" s="67">
        <f>(E423-F757)^2</f>
        <v/>
      </c>
      <c r="G423" s="66">
        <f>(E423-F757)^3</f>
        <v/>
      </c>
      <c r="H423" s="66">
        <f>(E423-F757)^4</f>
        <v/>
      </c>
      <c r="I423" s="65" t="inlineStr"/>
    </row>
    <row r="424">
      <c r="A424" s="68" t="n">
        <v>412</v>
      </c>
      <c r="B424" s="68" t="n">
        <v>411</v>
      </c>
      <c r="C424" s="69" t="n">
        <v>4551.29</v>
      </c>
      <c r="D424" s="69" t="n">
        <v>4631.76955</v>
      </c>
      <c r="E424" s="70">
        <f>C424-D424</f>
        <v/>
      </c>
      <c r="F424" s="70">
        <f>(E424-F757)^2</f>
        <v/>
      </c>
      <c r="G424" s="69">
        <f>(E424-F757)^3</f>
        <v/>
      </c>
      <c r="H424" s="69">
        <f>(E424-F757)^4</f>
        <v/>
      </c>
      <c r="I424" s="68" t="inlineStr"/>
    </row>
    <row r="425">
      <c r="A425" s="65" t="n">
        <v>413</v>
      </c>
      <c r="B425" s="65" t="n">
        <v>412</v>
      </c>
      <c r="C425" s="66" t="n">
        <v>4545.57</v>
      </c>
      <c r="D425" s="66" t="n">
        <v>4631.972</v>
      </c>
      <c r="E425" s="67">
        <f>C425-D425</f>
        <v/>
      </c>
      <c r="F425" s="67">
        <f>(E425-F757)^2</f>
        <v/>
      </c>
      <c r="G425" s="66">
        <f>(E425-F757)^3</f>
        <v/>
      </c>
      <c r="H425" s="66">
        <f>(E425-F757)^4</f>
        <v/>
      </c>
      <c r="I425" s="65" t="inlineStr"/>
    </row>
    <row r="426">
      <c r="A426" s="68" t="n">
        <v>414</v>
      </c>
      <c r="B426" s="68" t="n">
        <v>413</v>
      </c>
      <c r="C426" s="69" t="n">
        <v>4551.12</v>
      </c>
      <c r="D426" s="69" t="n">
        <v>4632.17444</v>
      </c>
      <c r="E426" s="70">
        <f>C426-D426</f>
        <v/>
      </c>
      <c r="F426" s="70">
        <f>(E426-F757)^2</f>
        <v/>
      </c>
      <c r="G426" s="69">
        <f>(E426-F757)^3</f>
        <v/>
      </c>
      <c r="H426" s="69">
        <f>(E426-F757)^4</f>
        <v/>
      </c>
      <c r="I426" s="68" t="inlineStr"/>
    </row>
    <row r="427">
      <c r="A427" s="65" t="n">
        <v>415</v>
      </c>
      <c r="B427" s="65" t="n">
        <v>414</v>
      </c>
      <c r="C427" s="66" t="n">
        <v>4551.48</v>
      </c>
      <c r="D427" s="66" t="n">
        <v>4632.37689</v>
      </c>
      <c r="E427" s="67">
        <f>C427-D427</f>
        <v/>
      </c>
      <c r="F427" s="67">
        <f>(E427-F757)^2</f>
        <v/>
      </c>
      <c r="G427" s="66">
        <f>(E427-F757)^3</f>
        <v/>
      </c>
      <c r="H427" s="66">
        <f>(E427-F757)^4</f>
        <v/>
      </c>
      <c r="I427" s="65" t="inlineStr"/>
    </row>
    <row r="428">
      <c r="A428" s="68" t="n">
        <v>416</v>
      </c>
      <c r="B428" s="68" t="n">
        <v>415</v>
      </c>
      <c r="C428" s="69" t="n">
        <v>4550.32</v>
      </c>
      <c r="D428" s="69" t="n">
        <v>4632.57933</v>
      </c>
      <c r="E428" s="70">
        <f>C428-D428</f>
        <v/>
      </c>
      <c r="F428" s="70">
        <f>(E428-F757)^2</f>
        <v/>
      </c>
      <c r="G428" s="69">
        <f>(E428-F757)^3</f>
        <v/>
      </c>
      <c r="H428" s="69">
        <f>(E428-F757)^4</f>
        <v/>
      </c>
      <c r="I428" s="68" t="inlineStr"/>
    </row>
    <row r="429">
      <c r="A429" s="65" t="n">
        <v>417</v>
      </c>
      <c r="B429" s="65" t="n">
        <v>416</v>
      </c>
      <c r="C429" s="66" t="n">
        <v>4558.34</v>
      </c>
      <c r="D429" s="66" t="n">
        <v>4632.78178</v>
      </c>
      <c r="E429" s="67">
        <f>C429-D429</f>
        <v/>
      </c>
      <c r="F429" s="67">
        <f>(E429-F757)^2</f>
        <v/>
      </c>
      <c r="G429" s="66">
        <f>(E429-F757)^3</f>
        <v/>
      </c>
      <c r="H429" s="66">
        <f>(E429-F757)^4</f>
        <v/>
      </c>
      <c r="I429" s="65" t="inlineStr"/>
    </row>
    <row r="430">
      <c r="A430" s="68" t="n">
        <v>418</v>
      </c>
      <c r="B430" s="68" t="n">
        <v>417</v>
      </c>
      <c r="C430" s="69" t="n">
        <v>4557.61</v>
      </c>
      <c r="D430" s="69" t="n">
        <v>4632.98423</v>
      </c>
      <c r="E430" s="70">
        <f>C430-D430</f>
        <v/>
      </c>
      <c r="F430" s="70">
        <f>(E430-F757)^2</f>
        <v/>
      </c>
      <c r="G430" s="69">
        <f>(E430-F757)^3</f>
        <v/>
      </c>
      <c r="H430" s="69">
        <f>(E430-F757)^4</f>
        <v/>
      </c>
      <c r="I430" s="68" t="inlineStr"/>
    </row>
    <row r="431">
      <c r="A431" s="65" t="n">
        <v>419</v>
      </c>
      <c r="B431" s="65" t="n">
        <v>418</v>
      </c>
      <c r="C431" s="66" t="n">
        <v>4552.3</v>
      </c>
      <c r="D431" s="66" t="n">
        <v>4633.18667</v>
      </c>
      <c r="E431" s="67">
        <f>C431-D431</f>
        <v/>
      </c>
      <c r="F431" s="67">
        <f>(E431-F757)^2</f>
        <v/>
      </c>
      <c r="G431" s="66">
        <f>(E431-F757)^3</f>
        <v/>
      </c>
      <c r="H431" s="66">
        <f>(E431-F757)^4</f>
        <v/>
      </c>
      <c r="I431" s="65" t="inlineStr"/>
    </row>
    <row r="432">
      <c r="A432" s="68" t="n">
        <v>420</v>
      </c>
      <c r="B432" s="68" t="n">
        <v>419</v>
      </c>
      <c r="C432" s="69" t="n">
        <v>4555.5</v>
      </c>
      <c r="D432" s="69" t="n">
        <v>4633.38912</v>
      </c>
      <c r="E432" s="70">
        <f>C432-D432</f>
        <v/>
      </c>
      <c r="F432" s="70">
        <f>(E432-F757)^2</f>
        <v/>
      </c>
      <c r="G432" s="69">
        <f>(E432-F757)^3</f>
        <v/>
      </c>
      <c r="H432" s="69">
        <f>(E432-F757)^4</f>
        <v/>
      </c>
      <c r="I432" s="68" t="inlineStr"/>
    </row>
    <row r="433">
      <c r="A433" s="65" t="n">
        <v>421</v>
      </c>
      <c r="B433" s="65" t="n">
        <v>420</v>
      </c>
      <c r="C433" s="66" t="n">
        <v>4556.21</v>
      </c>
      <c r="D433" s="66" t="n">
        <v>4633.59156</v>
      </c>
      <c r="E433" s="67">
        <f>C433-D433</f>
        <v/>
      </c>
      <c r="F433" s="67">
        <f>(E433-F757)^2</f>
        <v/>
      </c>
      <c r="G433" s="66">
        <f>(E433-F757)^3</f>
        <v/>
      </c>
      <c r="H433" s="66">
        <f>(E433-F757)^4</f>
        <v/>
      </c>
      <c r="I433" s="65" t="inlineStr"/>
    </row>
    <row r="434">
      <c r="A434" s="68" t="n">
        <v>422</v>
      </c>
      <c r="B434" s="68" t="n">
        <v>421</v>
      </c>
      <c r="C434" s="69" t="n">
        <v>4553.01</v>
      </c>
      <c r="D434" s="69" t="n">
        <v>4633.79401</v>
      </c>
      <c r="E434" s="70">
        <f>C434-D434</f>
        <v/>
      </c>
      <c r="F434" s="70">
        <f>(E434-F757)^2</f>
        <v/>
      </c>
      <c r="G434" s="69">
        <f>(E434-F757)^3</f>
        <v/>
      </c>
      <c r="H434" s="69">
        <f>(E434-F757)^4</f>
        <v/>
      </c>
      <c r="I434" s="68" t="inlineStr"/>
    </row>
    <row r="435">
      <c r="A435" s="65" t="n">
        <v>423</v>
      </c>
      <c r="B435" s="65" t="n">
        <v>422</v>
      </c>
      <c r="C435" s="66" t="n">
        <v>4547.92</v>
      </c>
      <c r="D435" s="66" t="n">
        <v>4633.99645</v>
      </c>
      <c r="E435" s="67">
        <f>C435-D435</f>
        <v/>
      </c>
      <c r="F435" s="67">
        <f>(E435-F757)^2</f>
        <v/>
      </c>
      <c r="G435" s="66">
        <f>(E435-F757)^3</f>
        <v/>
      </c>
      <c r="H435" s="66">
        <f>(E435-F757)^4</f>
        <v/>
      </c>
      <c r="I435" s="65" t="inlineStr"/>
    </row>
    <row r="436">
      <c r="A436" s="68" t="n">
        <v>424</v>
      </c>
      <c r="B436" s="68" t="n">
        <v>423</v>
      </c>
      <c r="C436" s="69" t="n">
        <v>4545.13</v>
      </c>
      <c r="D436" s="69" t="n">
        <v>4634.1989</v>
      </c>
      <c r="E436" s="70">
        <f>C436-D436</f>
        <v/>
      </c>
      <c r="F436" s="70">
        <f>(E436-F757)^2</f>
        <v/>
      </c>
      <c r="G436" s="69">
        <f>(E436-F757)^3</f>
        <v/>
      </c>
      <c r="H436" s="69">
        <f>(E436-F757)^4</f>
        <v/>
      </c>
      <c r="I436" s="68" t="inlineStr"/>
    </row>
    <row r="437">
      <c r="A437" s="65" t="n">
        <v>425</v>
      </c>
      <c r="B437" s="65" t="n">
        <v>424</v>
      </c>
      <c r="C437" s="66" t="n">
        <v>4543.73</v>
      </c>
      <c r="D437" s="66" t="n">
        <v>4634.40135</v>
      </c>
      <c r="E437" s="67">
        <f>C437-D437</f>
        <v/>
      </c>
      <c r="F437" s="67">
        <f>(E437-F757)^2</f>
        <v/>
      </c>
      <c r="G437" s="66">
        <f>(E437-F757)^3</f>
        <v/>
      </c>
      <c r="H437" s="66">
        <f>(E437-F757)^4</f>
        <v/>
      </c>
      <c r="I437" s="65" t="inlineStr"/>
    </row>
    <row r="438">
      <c r="A438" s="68" t="n">
        <v>426</v>
      </c>
      <c r="B438" s="68" t="n">
        <v>425</v>
      </c>
      <c r="C438" s="69" t="n">
        <v>4552.62</v>
      </c>
      <c r="D438" s="69" t="n">
        <v>4634.60379</v>
      </c>
      <c r="E438" s="70">
        <f>C438-D438</f>
        <v/>
      </c>
      <c r="F438" s="70">
        <f>(E438-F757)^2</f>
        <v/>
      </c>
      <c r="G438" s="69">
        <f>(E438-F757)^3</f>
        <v/>
      </c>
      <c r="H438" s="69">
        <f>(E438-F757)^4</f>
        <v/>
      </c>
      <c r="I438" s="68" t="inlineStr"/>
    </row>
    <row r="439">
      <c r="A439" s="65" t="n">
        <v>427</v>
      </c>
      <c r="B439" s="65" t="n">
        <v>426</v>
      </c>
      <c r="C439" s="66" t="n">
        <v>4556.17</v>
      </c>
      <c r="D439" s="66" t="n">
        <v>4634.80624</v>
      </c>
      <c r="E439" s="67">
        <f>C439-D439</f>
        <v/>
      </c>
      <c r="F439" s="67">
        <f>(E439-F757)^2</f>
        <v/>
      </c>
      <c r="G439" s="66">
        <f>(E439-F757)^3</f>
        <v/>
      </c>
      <c r="H439" s="66">
        <f>(E439-F757)^4</f>
        <v/>
      </c>
      <c r="I439" s="65" t="inlineStr"/>
    </row>
    <row r="440">
      <c r="A440" s="68" t="n">
        <v>428</v>
      </c>
      <c r="B440" s="68" t="n">
        <v>427</v>
      </c>
      <c r="C440" s="69" t="n">
        <v>4563.32</v>
      </c>
      <c r="D440" s="69" t="n">
        <v>4635.00868</v>
      </c>
      <c r="E440" s="70">
        <f>C440-D440</f>
        <v/>
      </c>
      <c r="F440" s="70">
        <f>(E440-F757)^2</f>
        <v/>
      </c>
      <c r="G440" s="69">
        <f>(E440-F757)^3</f>
        <v/>
      </c>
      <c r="H440" s="69">
        <f>(E440-F757)^4</f>
        <v/>
      </c>
      <c r="I440" s="68" t="inlineStr"/>
    </row>
    <row r="441">
      <c r="A441" s="65" t="n">
        <v>429</v>
      </c>
      <c r="B441" s="65" t="n">
        <v>428</v>
      </c>
      <c r="C441" s="66" t="n">
        <v>4562.6</v>
      </c>
      <c r="D441" s="66" t="n">
        <v>4635.21113</v>
      </c>
      <c r="E441" s="67">
        <f>C441-D441</f>
        <v/>
      </c>
      <c r="F441" s="67">
        <f>(E441-F757)^2</f>
        <v/>
      </c>
      <c r="G441" s="66">
        <f>(E441-F757)^3</f>
        <v/>
      </c>
      <c r="H441" s="66">
        <f>(E441-F757)^4</f>
        <v/>
      </c>
      <c r="I441" s="65" t="inlineStr"/>
    </row>
    <row r="442">
      <c r="A442" s="68" t="n">
        <v>430</v>
      </c>
      <c r="B442" s="68" t="n">
        <v>429</v>
      </c>
      <c r="C442" s="69" t="n">
        <v>4565</v>
      </c>
      <c r="D442" s="69" t="n">
        <v>4635.41357</v>
      </c>
      <c r="E442" s="70">
        <f>C442-D442</f>
        <v/>
      </c>
      <c r="F442" s="70">
        <f>(E442-F757)^2</f>
        <v/>
      </c>
      <c r="G442" s="69">
        <f>(E442-F757)^3</f>
        <v/>
      </c>
      <c r="H442" s="69">
        <f>(E442-F757)^4</f>
        <v/>
      </c>
      <c r="I442" s="68" t="inlineStr"/>
    </row>
    <row r="443">
      <c r="A443" s="65" t="n">
        <v>431</v>
      </c>
      <c r="B443" s="65" t="n">
        <v>430</v>
      </c>
      <c r="C443" s="66" t="n">
        <v>4573.81</v>
      </c>
      <c r="D443" s="66" t="n">
        <v>4635.61602</v>
      </c>
      <c r="E443" s="67">
        <f>C443-D443</f>
        <v/>
      </c>
      <c r="F443" s="67">
        <f>(E443-F757)^2</f>
        <v/>
      </c>
      <c r="G443" s="66">
        <f>(E443-F757)^3</f>
        <v/>
      </c>
      <c r="H443" s="66">
        <f>(E443-F757)^4</f>
        <v/>
      </c>
      <c r="I443" s="65" t="inlineStr"/>
    </row>
    <row r="444">
      <c r="A444" s="68" t="n">
        <v>432</v>
      </c>
      <c r="B444" s="68" t="n">
        <v>431</v>
      </c>
      <c r="C444" s="69" t="n">
        <v>4567.11</v>
      </c>
      <c r="D444" s="69" t="n">
        <v>4635.81847</v>
      </c>
      <c r="E444" s="70">
        <f>C444-D444</f>
        <v/>
      </c>
      <c r="F444" s="70">
        <f>(E444-F757)^2</f>
        <v/>
      </c>
      <c r="G444" s="69">
        <f>(E444-F757)^3</f>
        <v/>
      </c>
      <c r="H444" s="69">
        <f>(E444-F757)^4</f>
        <v/>
      </c>
      <c r="I444" s="68" t="inlineStr"/>
    </row>
    <row r="445">
      <c r="A445" s="65" t="n">
        <v>433</v>
      </c>
      <c r="B445" s="65" t="n">
        <v>432</v>
      </c>
      <c r="C445" s="66" t="n">
        <v>4564.68</v>
      </c>
      <c r="D445" s="66" t="n">
        <v>4636.02091</v>
      </c>
      <c r="E445" s="67">
        <f>C445-D445</f>
        <v/>
      </c>
      <c r="F445" s="67">
        <f>(E445-F757)^2</f>
        <v/>
      </c>
      <c r="G445" s="66">
        <f>(E445-F757)^3</f>
        <v/>
      </c>
      <c r="H445" s="66">
        <f>(E445-F757)^4</f>
        <v/>
      </c>
      <c r="I445" s="65" t="inlineStr"/>
    </row>
    <row r="446">
      <c r="A446" s="68" t="n">
        <v>434</v>
      </c>
      <c r="B446" s="68" t="n">
        <v>433</v>
      </c>
      <c r="C446" s="69" t="n">
        <v>4578.78</v>
      </c>
      <c r="D446" s="69" t="n">
        <v>4636.22336</v>
      </c>
      <c r="E446" s="70">
        <f>C446-D446</f>
        <v/>
      </c>
      <c r="F446" s="70">
        <f>(E446-F757)^2</f>
        <v/>
      </c>
      <c r="G446" s="69">
        <f>(E446-F757)^3</f>
        <v/>
      </c>
      <c r="H446" s="69">
        <f>(E446-F757)^4</f>
        <v/>
      </c>
      <c r="I446" s="68" t="inlineStr"/>
    </row>
    <row r="447">
      <c r="A447" s="65" t="n">
        <v>435</v>
      </c>
      <c r="B447" s="65" t="n">
        <v>434</v>
      </c>
      <c r="C447" s="66" t="n">
        <v>4576.85</v>
      </c>
      <c r="D447" s="66" t="n">
        <v>4636.4258</v>
      </c>
      <c r="E447" s="67">
        <f>C447-D447</f>
        <v/>
      </c>
      <c r="F447" s="67">
        <f>(E447-F757)^2</f>
        <v/>
      </c>
      <c r="G447" s="66">
        <f>(E447-F757)^3</f>
        <v/>
      </c>
      <c r="H447" s="66">
        <f>(E447-F757)^4</f>
        <v/>
      </c>
      <c r="I447" s="65" t="inlineStr"/>
    </row>
    <row r="448">
      <c r="A448" s="68" t="n">
        <v>436</v>
      </c>
      <c r="B448" s="68" t="n">
        <v>435</v>
      </c>
      <c r="C448" s="69" t="n">
        <v>4574.12</v>
      </c>
      <c r="D448" s="69" t="n">
        <v>4636.62825</v>
      </c>
      <c r="E448" s="70">
        <f>C448-D448</f>
        <v/>
      </c>
      <c r="F448" s="70">
        <f>(E448-F757)^2</f>
        <v/>
      </c>
      <c r="G448" s="69">
        <f>(E448-F757)^3</f>
        <v/>
      </c>
      <c r="H448" s="69">
        <f>(E448-F757)^4</f>
        <v/>
      </c>
      <c r="I448" s="68" t="inlineStr"/>
    </row>
    <row r="449">
      <c r="A449" s="65" t="n">
        <v>437</v>
      </c>
      <c r="B449" s="65" t="n">
        <v>436</v>
      </c>
      <c r="C449" s="66" t="n">
        <v>4579.4</v>
      </c>
      <c r="D449" s="66" t="n">
        <v>4636.83069</v>
      </c>
      <c r="E449" s="67">
        <f>C449-D449</f>
        <v/>
      </c>
      <c r="F449" s="67">
        <f>(E449-F757)^2</f>
        <v/>
      </c>
      <c r="G449" s="66">
        <f>(E449-F757)^3</f>
        <v/>
      </c>
      <c r="H449" s="66">
        <f>(E449-F757)^4</f>
        <v/>
      </c>
      <c r="I449" s="65" t="inlineStr"/>
    </row>
    <row r="450">
      <c r="A450" s="68" t="n">
        <v>438</v>
      </c>
      <c r="B450" s="68" t="n">
        <v>437</v>
      </c>
      <c r="C450" s="69" t="n">
        <v>4573.57</v>
      </c>
      <c r="D450" s="69" t="n">
        <v>4637.03314</v>
      </c>
      <c r="E450" s="70">
        <f>C450-D450</f>
        <v/>
      </c>
      <c r="F450" s="70">
        <f>(E450-F757)^2</f>
        <v/>
      </c>
      <c r="G450" s="69">
        <f>(E450-F757)^3</f>
        <v/>
      </c>
      <c r="H450" s="69">
        <f>(E450-F757)^4</f>
        <v/>
      </c>
      <c r="I450" s="68" t="inlineStr"/>
    </row>
    <row r="451">
      <c r="A451" s="65" t="n">
        <v>439</v>
      </c>
      <c r="B451" s="65" t="n">
        <v>438</v>
      </c>
      <c r="C451" s="66" t="n">
        <v>4584.37</v>
      </c>
      <c r="D451" s="66" t="n">
        <v>4637.23559</v>
      </c>
      <c r="E451" s="67">
        <f>C451-D451</f>
        <v/>
      </c>
      <c r="F451" s="67">
        <f>(E451-F757)^2</f>
        <v/>
      </c>
      <c r="G451" s="66">
        <f>(E451-F757)^3</f>
        <v/>
      </c>
      <c r="H451" s="66">
        <f>(E451-F757)^4</f>
        <v/>
      </c>
      <c r="I451" s="65" t="inlineStr"/>
    </row>
    <row r="452">
      <c r="A452" s="68" t="n">
        <v>440</v>
      </c>
      <c r="B452" s="68" t="n">
        <v>439</v>
      </c>
      <c r="C452" s="69" t="n">
        <v>4582.96</v>
      </c>
      <c r="D452" s="69" t="n">
        <v>4637.43803</v>
      </c>
      <c r="E452" s="70">
        <f>C452-D452</f>
        <v/>
      </c>
      <c r="F452" s="70">
        <f>(E452-F757)^2</f>
        <v/>
      </c>
      <c r="G452" s="69">
        <f>(E452-F757)^3</f>
        <v/>
      </c>
      <c r="H452" s="69">
        <f>(E452-F757)^4</f>
        <v/>
      </c>
      <c r="I452" s="68" t="inlineStr"/>
    </row>
    <row r="453">
      <c r="A453" s="65" t="n">
        <v>441</v>
      </c>
      <c r="B453" s="65" t="n">
        <v>440</v>
      </c>
      <c r="C453" s="66" t="n">
        <v>4582.46</v>
      </c>
      <c r="D453" s="66" t="n">
        <v>4637.64048</v>
      </c>
      <c r="E453" s="67">
        <f>C453-D453</f>
        <v/>
      </c>
      <c r="F453" s="67">
        <f>(E453-F757)^2</f>
        <v/>
      </c>
      <c r="G453" s="66">
        <f>(E453-F757)^3</f>
        <v/>
      </c>
      <c r="H453" s="66">
        <f>(E453-F757)^4</f>
        <v/>
      </c>
      <c r="I453" s="65" t="inlineStr"/>
    </row>
    <row r="454">
      <c r="A454" s="68" t="n">
        <v>442</v>
      </c>
      <c r="B454" s="68" t="n">
        <v>441</v>
      </c>
      <c r="C454" s="69" t="n">
        <v>4580.89</v>
      </c>
      <c r="D454" s="69" t="n">
        <v>4637.84292</v>
      </c>
      <c r="E454" s="70">
        <f>C454-D454</f>
        <v/>
      </c>
      <c r="F454" s="70">
        <f>(E454-F757)^2</f>
        <v/>
      </c>
      <c r="G454" s="69">
        <f>(E454-F757)^3</f>
        <v/>
      </c>
      <c r="H454" s="69">
        <f>(E454-F757)^4</f>
        <v/>
      </c>
      <c r="I454" s="68" t="inlineStr"/>
    </row>
    <row r="455">
      <c r="A455" s="65" t="n">
        <v>443</v>
      </c>
      <c r="B455" s="65" t="n">
        <v>442</v>
      </c>
      <c r="C455" s="66" t="n">
        <v>4578.99</v>
      </c>
      <c r="D455" s="66" t="n">
        <v>4638.04537</v>
      </c>
      <c r="E455" s="67">
        <f>C455-D455</f>
        <v/>
      </c>
      <c r="F455" s="67">
        <f>(E455-F757)^2</f>
        <v/>
      </c>
      <c r="G455" s="66">
        <f>(E455-F757)^3</f>
        <v/>
      </c>
      <c r="H455" s="66">
        <f>(E455-F757)^4</f>
        <v/>
      </c>
      <c r="I455" s="65" t="inlineStr"/>
    </row>
    <row r="456">
      <c r="A456" s="68" t="n">
        <v>444</v>
      </c>
      <c r="B456" s="68" t="n">
        <v>443</v>
      </c>
      <c r="C456" s="69" t="n">
        <v>4572.95</v>
      </c>
      <c r="D456" s="69" t="n">
        <v>4638.24781</v>
      </c>
      <c r="E456" s="70">
        <f>C456-D456</f>
        <v/>
      </c>
      <c r="F456" s="70">
        <f>(E456-F757)^2</f>
        <v/>
      </c>
      <c r="G456" s="69">
        <f>(E456-F757)^3</f>
        <v/>
      </c>
      <c r="H456" s="69">
        <f>(E456-F757)^4</f>
        <v/>
      </c>
      <c r="I456" s="68" t="inlineStr"/>
    </row>
    <row r="457">
      <c r="A457" s="65" t="n">
        <v>445</v>
      </c>
      <c r="B457" s="65" t="n">
        <v>444</v>
      </c>
      <c r="C457" s="66" t="n">
        <v>4568.49</v>
      </c>
      <c r="D457" s="66" t="n">
        <v>4638.45026</v>
      </c>
      <c r="E457" s="67">
        <f>C457-D457</f>
        <v/>
      </c>
      <c r="F457" s="67">
        <f>(E457-F757)^2</f>
        <v/>
      </c>
      <c r="G457" s="66">
        <f>(E457-F757)^3</f>
        <v/>
      </c>
      <c r="H457" s="66">
        <f>(E457-F757)^4</f>
        <v/>
      </c>
      <c r="I457" s="65" t="inlineStr"/>
    </row>
    <row r="458">
      <c r="A458" s="68" t="n">
        <v>446</v>
      </c>
      <c r="B458" s="68" t="n">
        <v>445</v>
      </c>
      <c r="C458" s="69" t="n">
        <v>4566.28</v>
      </c>
      <c r="D458" s="69" t="n">
        <v>4638.65271</v>
      </c>
      <c r="E458" s="70">
        <f>C458-D458</f>
        <v/>
      </c>
      <c r="F458" s="70">
        <f>(E458-F757)^2</f>
        <v/>
      </c>
      <c r="G458" s="69">
        <f>(E458-F757)^3</f>
        <v/>
      </c>
      <c r="H458" s="69">
        <f>(E458-F757)^4</f>
        <v/>
      </c>
      <c r="I458" s="68" t="inlineStr"/>
    </row>
    <row r="459">
      <c r="A459" s="65" t="n">
        <v>447</v>
      </c>
      <c r="B459" s="65" t="n">
        <v>446</v>
      </c>
      <c r="C459" s="66" t="n">
        <v>4559.7</v>
      </c>
      <c r="D459" s="66" t="n">
        <v>4638.85515</v>
      </c>
      <c r="E459" s="67">
        <f>C459-D459</f>
        <v/>
      </c>
      <c r="F459" s="67">
        <f>(E459-F757)^2</f>
        <v/>
      </c>
      <c r="G459" s="66">
        <f>(E459-F757)^3</f>
        <v/>
      </c>
      <c r="H459" s="66">
        <f>(E459-F757)^4</f>
        <v/>
      </c>
      <c r="I459" s="65" t="inlineStr"/>
    </row>
    <row r="460">
      <c r="A460" s="68" t="n">
        <v>448</v>
      </c>
      <c r="B460" s="68" t="n">
        <v>447</v>
      </c>
      <c r="C460" s="69" t="n">
        <v>4556.78</v>
      </c>
      <c r="D460" s="69" t="n">
        <v>4639.0576</v>
      </c>
      <c r="E460" s="70">
        <f>C460-D460</f>
        <v/>
      </c>
      <c r="F460" s="70">
        <f>(E460-F757)^2</f>
        <v/>
      </c>
      <c r="G460" s="69">
        <f>(E460-F757)^3</f>
        <v/>
      </c>
      <c r="H460" s="69">
        <f>(E460-F757)^4</f>
        <v/>
      </c>
      <c r="I460" s="68" t="inlineStr"/>
    </row>
    <row r="461">
      <c r="A461" s="65" t="n">
        <v>449</v>
      </c>
      <c r="B461" s="65" t="n">
        <v>448</v>
      </c>
      <c r="C461" s="66" t="n">
        <v>4561.35</v>
      </c>
      <c r="D461" s="66" t="n">
        <v>4639.26004</v>
      </c>
      <c r="E461" s="67">
        <f>C461-D461</f>
        <v/>
      </c>
      <c r="F461" s="67">
        <f>(E461-F757)^2</f>
        <v/>
      </c>
      <c r="G461" s="66">
        <f>(E461-F757)^3</f>
        <v/>
      </c>
      <c r="H461" s="66">
        <f>(E461-F757)^4</f>
        <v/>
      </c>
      <c r="I461" s="65" t="inlineStr"/>
    </row>
    <row r="462">
      <c r="A462" s="68" t="n">
        <v>450</v>
      </c>
      <c r="B462" s="68" t="n">
        <v>449</v>
      </c>
      <c r="C462" s="69" t="n">
        <v>4556.2</v>
      </c>
      <c r="D462" s="69" t="n">
        <v>4639.46249</v>
      </c>
      <c r="E462" s="70">
        <f>C462-D462</f>
        <v/>
      </c>
      <c r="F462" s="70">
        <f>(E462-F757)^2</f>
        <v/>
      </c>
      <c r="G462" s="69">
        <f>(E462-F757)^3</f>
        <v/>
      </c>
      <c r="H462" s="69">
        <f>(E462-F757)^4</f>
        <v/>
      </c>
      <c r="I462" s="68" t="inlineStr"/>
    </row>
    <row r="463">
      <c r="A463" s="65" t="n">
        <v>451</v>
      </c>
      <c r="B463" s="65" t="n">
        <v>450</v>
      </c>
      <c r="C463" s="66" t="n">
        <v>4558.57</v>
      </c>
      <c r="D463" s="66" t="n">
        <v>4639.66493</v>
      </c>
      <c r="E463" s="67">
        <f>C463-D463</f>
        <v/>
      </c>
      <c r="F463" s="67">
        <f>(E463-F757)^2</f>
        <v/>
      </c>
      <c r="G463" s="66">
        <f>(E463-F757)^3</f>
        <v/>
      </c>
      <c r="H463" s="66">
        <f>(E463-F757)^4</f>
        <v/>
      </c>
      <c r="I463" s="65" t="inlineStr"/>
    </row>
    <row r="464">
      <c r="A464" s="68" t="n">
        <v>452</v>
      </c>
      <c r="B464" s="68" t="n">
        <v>451</v>
      </c>
      <c r="C464" s="69" t="n">
        <v>4560.43</v>
      </c>
      <c r="D464" s="69" t="n">
        <v>4639.86738</v>
      </c>
      <c r="E464" s="70">
        <f>C464-D464</f>
        <v/>
      </c>
      <c r="F464" s="70">
        <f>(E464-F757)^2</f>
        <v/>
      </c>
      <c r="G464" s="69">
        <f>(E464-F757)^3</f>
        <v/>
      </c>
      <c r="H464" s="69">
        <f>(E464-F757)^4</f>
        <v/>
      </c>
      <c r="I464" s="68" t="inlineStr"/>
    </row>
    <row r="465">
      <c r="A465" s="65" t="n">
        <v>453</v>
      </c>
      <c r="B465" s="65" t="n">
        <v>452</v>
      </c>
      <c r="C465" s="66" t="n">
        <v>4559.93</v>
      </c>
      <c r="D465" s="66" t="n">
        <v>4640.06983</v>
      </c>
      <c r="E465" s="67">
        <f>C465-D465</f>
        <v/>
      </c>
      <c r="F465" s="67">
        <f>(E465-F757)^2</f>
        <v/>
      </c>
      <c r="G465" s="66">
        <f>(E465-F757)^3</f>
        <v/>
      </c>
      <c r="H465" s="66">
        <f>(E465-F757)^4</f>
        <v/>
      </c>
      <c r="I465" s="65" t="inlineStr"/>
    </row>
    <row r="466">
      <c r="A466" s="68" t="n">
        <v>454</v>
      </c>
      <c r="B466" s="68" t="n">
        <v>453</v>
      </c>
      <c r="C466" s="69" t="n">
        <v>4564.29</v>
      </c>
      <c r="D466" s="69" t="n">
        <v>4640.27227</v>
      </c>
      <c r="E466" s="70">
        <f>C466-D466</f>
        <v/>
      </c>
      <c r="F466" s="70">
        <f>(E466-F757)^2</f>
        <v/>
      </c>
      <c r="G466" s="69">
        <f>(E466-F757)^3</f>
        <v/>
      </c>
      <c r="H466" s="69">
        <f>(E466-F757)^4</f>
        <v/>
      </c>
      <c r="I466" s="68" t="inlineStr"/>
    </row>
    <row r="467">
      <c r="A467" s="65" t="n">
        <v>455</v>
      </c>
      <c r="B467" s="65" t="n">
        <v>454</v>
      </c>
      <c r="C467" s="66" t="n">
        <v>4562.18</v>
      </c>
      <c r="D467" s="66" t="n">
        <v>4640.47472</v>
      </c>
      <c r="E467" s="67">
        <f>C467-D467</f>
        <v/>
      </c>
      <c r="F467" s="67">
        <f>(E467-F757)^2</f>
        <v/>
      </c>
      <c r="G467" s="66">
        <f>(E467-F757)^3</f>
        <v/>
      </c>
      <c r="H467" s="66">
        <f>(E467-F757)^4</f>
        <v/>
      </c>
      <c r="I467" s="65" t="inlineStr"/>
    </row>
    <row r="468">
      <c r="A468" s="68" t="n">
        <v>456</v>
      </c>
      <c r="B468" s="68" t="n">
        <v>455</v>
      </c>
      <c r="C468" s="69" t="n">
        <v>4561.56</v>
      </c>
      <c r="D468" s="69" t="n">
        <v>4640.67716</v>
      </c>
      <c r="E468" s="70">
        <f>C468-D468</f>
        <v/>
      </c>
      <c r="F468" s="70">
        <f>(E468-F757)^2</f>
        <v/>
      </c>
      <c r="G468" s="69">
        <f>(E468-F757)^3</f>
        <v/>
      </c>
      <c r="H468" s="69">
        <f>(E468-F757)^4</f>
        <v/>
      </c>
      <c r="I468" s="68" t="inlineStr"/>
    </row>
    <row r="469">
      <c r="A469" s="65" t="n">
        <v>457</v>
      </c>
      <c r="B469" s="65" t="n">
        <v>456</v>
      </c>
      <c r="C469" s="66" t="n">
        <v>4561.04</v>
      </c>
      <c r="D469" s="66" t="n">
        <v>4640.87961</v>
      </c>
      <c r="E469" s="67">
        <f>C469-D469</f>
        <v/>
      </c>
      <c r="F469" s="67">
        <f>(E469-F757)^2</f>
        <v/>
      </c>
      <c r="G469" s="66">
        <f>(E469-F757)^3</f>
        <v/>
      </c>
      <c r="H469" s="66">
        <f>(E469-F757)^4</f>
        <v/>
      </c>
      <c r="I469" s="65" t="inlineStr"/>
    </row>
    <row r="470">
      <c r="A470" s="68" t="n">
        <v>458</v>
      </c>
      <c r="B470" s="68" t="n">
        <v>457</v>
      </c>
      <c r="C470" s="69" t="n">
        <v>4557.24</v>
      </c>
      <c r="D470" s="69" t="n">
        <v>4641.08205</v>
      </c>
      <c r="E470" s="70">
        <f>C470-D470</f>
        <v/>
      </c>
      <c r="F470" s="70">
        <f>(E470-F757)^2</f>
        <v/>
      </c>
      <c r="G470" s="69">
        <f>(E470-F757)^3</f>
        <v/>
      </c>
      <c r="H470" s="69">
        <f>(E470-F757)^4</f>
        <v/>
      </c>
      <c r="I470" s="68" t="inlineStr"/>
    </row>
    <row r="471">
      <c r="A471" s="65" t="n">
        <v>459</v>
      </c>
      <c r="B471" s="65" t="n">
        <v>458</v>
      </c>
      <c r="C471" s="66" t="n">
        <v>4556.32</v>
      </c>
      <c r="D471" s="66" t="n">
        <v>4641.2845</v>
      </c>
      <c r="E471" s="67">
        <f>C471-D471</f>
        <v/>
      </c>
      <c r="F471" s="67">
        <f>(E471-F757)^2</f>
        <v/>
      </c>
      <c r="G471" s="66">
        <f>(E471-F757)^3</f>
        <v/>
      </c>
      <c r="H471" s="66">
        <f>(E471-F757)^4</f>
        <v/>
      </c>
      <c r="I471" s="65" t="inlineStr"/>
    </row>
    <row r="472">
      <c r="A472" s="68" t="n">
        <v>460</v>
      </c>
      <c r="B472" s="68" t="n">
        <v>459</v>
      </c>
      <c r="C472" s="69" t="n">
        <v>4555.64</v>
      </c>
      <c r="D472" s="69" t="n">
        <v>4641.48695</v>
      </c>
      <c r="E472" s="70">
        <f>C472-D472</f>
        <v/>
      </c>
      <c r="F472" s="70">
        <f>(E472-F757)^2</f>
        <v/>
      </c>
      <c r="G472" s="69">
        <f>(E472-F757)^3</f>
        <v/>
      </c>
      <c r="H472" s="69">
        <f>(E472-F757)^4</f>
        <v/>
      </c>
      <c r="I472" s="68" t="inlineStr"/>
    </row>
    <row r="473">
      <c r="A473" s="65" t="n">
        <v>461</v>
      </c>
      <c r="B473" s="65" t="n">
        <v>460</v>
      </c>
      <c r="C473" s="66" t="n">
        <v>4554.64</v>
      </c>
      <c r="D473" s="66" t="n">
        <v>4641.68939</v>
      </c>
      <c r="E473" s="67">
        <f>C473-D473</f>
        <v/>
      </c>
      <c r="F473" s="67">
        <f>(E473-F757)^2</f>
        <v/>
      </c>
      <c r="G473" s="66">
        <f>(E473-F757)^3</f>
        <v/>
      </c>
      <c r="H473" s="66">
        <f>(E473-F757)^4</f>
        <v/>
      </c>
      <c r="I473" s="65" t="inlineStr"/>
    </row>
    <row r="474">
      <c r="A474" s="68" t="n">
        <v>462</v>
      </c>
      <c r="B474" s="68" t="n">
        <v>461</v>
      </c>
      <c r="C474" s="69" t="n">
        <v>4557.01</v>
      </c>
      <c r="D474" s="69" t="n">
        <v>4641.89184</v>
      </c>
      <c r="E474" s="70">
        <f>C474-D474</f>
        <v/>
      </c>
      <c r="F474" s="70">
        <f>(E474-F757)^2</f>
        <v/>
      </c>
      <c r="G474" s="69">
        <f>(E474-F757)^3</f>
        <v/>
      </c>
      <c r="H474" s="69">
        <f>(E474-F757)^4</f>
        <v/>
      </c>
      <c r="I474" s="68" t="inlineStr"/>
    </row>
    <row r="475">
      <c r="A475" s="65" t="n">
        <v>463</v>
      </c>
      <c r="B475" s="65" t="n">
        <v>462</v>
      </c>
      <c r="C475" s="66" t="n">
        <v>4559.18</v>
      </c>
      <c r="D475" s="66" t="n">
        <v>4642.09428</v>
      </c>
      <c r="E475" s="67">
        <f>C475-D475</f>
        <v/>
      </c>
      <c r="F475" s="67">
        <f>(E475-F757)^2</f>
        <v/>
      </c>
      <c r="G475" s="66">
        <f>(E475-F757)^3</f>
        <v/>
      </c>
      <c r="H475" s="66">
        <f>(E475-F757)^4</f>
        <v/>
      </c>
      <c r="I475" s="65" t="inlineStr"/>
    </row>
    <row r="476">
      <c r="A476" s="68" t="n">
        <v>464</v>
      </c>
      <c r="B476" s="68" t="n">
        <v>463</v>
      </c>
      <c r="C476" s="69" t="n">
        <v>4555.63</v>
      </c>
      <c r="D476" s="69" t="n">
        <v>4642.29673</v>
      </c>
      <c r="E476" s="70">
        <f>C476-D476</f>
        <v/>
      </c>
      <c r="F476" s="70">
        <f>(E476-F757)^2</f>
        <v/>
      </c>
      <c r="G476" s="69">
        <f>(E476-F757)^3</f>
        <v/>
      </c>
      <c r="H476" s="69">
        <f>(E476-F757)^4</f>
        <v/>
      </c>
      <c r="I476" s="68" t="inlineStr"/>
    </row>
    <row r="477">
      <c r="A477" s="65" t="n">
        <v>465</v>
      </c>
      <c r="B477" s="65" t="n">
        <v>464</v>
      </c>
      <c r="C477" s="66" t="n">
        <v>4557.58</v>
      </c>
      <c r="D477" s="66" t="n">
        <v>4642.49917</v>
      </c>
      <c r="E477" s="67">
        <f>C477-D477</f>
        <v/>
      </c>
      <c r="F477" s="67">
        <f>(E477-F757)^2</f>
        <v/>
      </c>
      <c r="G477" s="66">
        <f>(E477-F757)^3</f>
        <v/>
      </c>
      <c r="H477" s="66">
        <f>(E477-F757)^4</f>
        <v/>
      </c>
      <c r="I477" s="65" t="inlineStr"/>
    </row>
    <row r="478">
      <c r="A478" s="68" t="n">
        <v>466</v>
      </c>
      <c r="B478" s="68" t="n">
        <v>465</v>
      </c>
      <c r="C478" s="69" t="n">
        <v>4550.67</v>
      </c>
      <c r="D478" s="69" t="n">
        <v>4642.70162</v>
      </c>
      <c r="E478" s="70">
        <f>C478-D478</f>
        <v/>
      </c>
      <c r="F478" s="70">
        <f>(E478-F757)^2</f>
        <v/>
      </c>
      <c r="G478" s="69">
        <f>(E478-F757)^3</f>
        <v/>
      </c>
      <c r="H478" s="69">
        <f>(E478-F757)^4</f>
        <v/>
      </c>
      <c r="I478" s="68" t="inlineStr"/>
    </row>
    <row r="479">
      <c r="A479" s="65" t="n">
        <v>467</v>
      </c>
      <c r="B479" s="65" t="n">
        <v>466</v>
      </c>
      <c r="C479" s="66" t="n">
        <v>4546.68</v>
      </c>
      <c r="D479" s="66" t="n">
        <v>4642.90407</v>
      </c>
      <c r="E479" s="67">
        <f>C479-D479</f>
        <v/>
      </c>
      <c r="F479" s="67">
        <f>(E479-F757)^2</f>
        <v/>
      </c>
      <c r="G479" s="66">
        <f>(E479-F757)^3</f>
        <v/>
      </c>
      <c r="H479" s="66">
        <f>(E479-F757)^4</f>
        <v/>
      </c>
      <c r="I479" s="65" t="inlineStr"/>
    </row>
    <row r="480">
      <c r="A480" s="68" t="n">
        <v>468</v>
      </c>
      <c r="B480" s="68" t="n">
        <v>467</v>
      </c>
      <c r="C480" s="69" t="n">
        <v>4548.82</v>
      </c>
      <c r="D480" s="69" t="n">
        <v>4643.10651</v>
      </c>
      <c r="E480" s="70">
        <f>C480-D480</f>
        <v/>
      </c>
      <c r="F480" s="70">
        <f>(E480-F757)^2</f>
        <v/>
      </c>
      <c r="G480" s="69">
        <f>(E480-F757)^3</f>
        <v/>
      </c>
      <c r="H480" s="69">
        <f>(E480-F757)^4</f>
        <v/>
      </c>
      <c r="I480" s="68" t="inlineStr"/>
    </row>
    <row r="481">
      <c r="A481" s="65" t="n">
        <v>469</v>
      </c>
      <c r="B481" s="65" t="n">
        <v>468</v>
      </c>
      <c r="C481" s="66" t="n">
        <v>4573.43</v>
      </c>
      <c r="D481" s="66" t="n">
        <v>4643.30896</v>
      </c>
      <c r="E481" s="67">
        <f>C481-D481</f>
        <v/>
      </c>
      <c r="F481" s="67">
        <f>(E481-F757)^2</f>
        <v/>
      </c>
      <c r="G481" s="66">
        <f>(E481-F757)^3</f>
        <v/>
      </c>
      <c r="H481" s="66">
        <f>(E481-F757)^4</f>
        <v/>
      </c>
      <c r="I481" s="65" t="inlineStr"/>
    </row>
    <row r="482">
      <c r="A482" s="68" t="n">
        <v>470</v>
      </c>
      <c r="B482" s="68" t="n">
        <v>469</v>
      </c>
      <c r="C482" s="69" t="n">
        <v>4588.62</v>
      </c>
      <c r="D482" s="69" t="n">
        <v>4643.5114</v>
      </c>
      <c r="E482" s="70">
        <f>C482-D482</f>
        <v/>
      </c>
      <c r="F482" s="70">
        <f>(E482-F757)^2</f>
        <v/>
      </c>
      <c r="G482" s="69">
        <f>(E482-F757)^3</f>
        <v/>
      </c>
      <c r="H482" s="69">
        <f>(E482-F757)^4</f>
        <v/>
      </c>
      <c r="I482" s="68" t="inlineStr"/>
    </row>
    <row r="483">
      <c r="A483" s="65" t="n">
        <v>471</v>
      </c>
      <c r="B483" s="65" t="n">
        <v>470</v>
      </c>
      <c r="C483" s="66" t="n">
        <v>4582.1</v>
      </c>
      <c r="D483" s="66" t="n">
        <v>4643.71385</v>
      </c>
      <c r="E483" s="67">
        <f>C483-D483</f>
        <v/>
      </c>
      <c r="F483" s="67">
        <f>(E483-F757)^2</f>
        <v/>
      </c>
      <c r="G483" s="66">
        <f>(E483-F757)^3</f>
        <v/>
      </c>
      <c r="H483" s="66">
        <f>(E483-F757)^4</f>
        <v/>
      </c>
      <c r="I483" s="65" t="inlineStr"/>
    </row>
    <row r="484">
      <c r="A484" s="68" t="n">
        <v>472</v>
      </c>
      <c r="B484" s="68" t="n">
        <v>471</v>
      </c>
      <c r="C484" s="69" t="n">
        <v>4584.84</v>
      </c>
      <c r="D484" s="69" t="n">
        <v>4643.91629</v>
      </c>
      <c r="E484" s="70">
        <f>C484-D484</f>
        <v/>
      </c>
      <c r="F484" s="70">
        <f>(E484-F757)^2</f>
        <v/>
      </c>
      <c r="G484" s="69">
        <f>(E484-F757)^3</f>
        <v/>
      </c>
      <c r="H484" s="69">
        <f>(E484-F757)^4</f>
        <v/>
      </c>
      <c r="I484" s="68" t="inlineStr"/>
    </row>
    <row r="485">
      <c r="A485" s="65" t="n">
        <v>473</v>
      </c>
      <c r="B485" s="65" t="n">
        <v>472</v>
      </c>
      <c r="C485" s="66" t="n">
        <v>4593.92</v>
      </c>
      <c r="D485" s="66" t="n">
        <v>4644.11874</v>
      </c>
      <c r="E485" s="67">
        <f>C485-D485</f>
        <v/>
      </c>
      <c r="F485" s="67">
        <f>(E485-F757)^2</f>
        <v/>
      </c>
      <c r="G485" s="66">
        <f>(E485-F757)^3</f>
        <v/>
      </c>
      <c r="H485" s="66">
        <f>(E485-F757)^4</f>
        <v/>
      </c>
      <c r="I485" s="65" t="inlineStr"/>
    </row>
    <row r="486">
      <c r="A486" s="68" t="n">
        <v>474</v>
      </c>
      <c r="B486" s="68" t="n">
        <v>473</v>
      </c>
      <c r="C486" s="69" t="n">
        <v>4591.76</v>
      </c>
      <c r="D486" s="69" t="n">
        <v>4644.32119</v>
      </c>
      <c r="E486" s="70">
        <f>C486-D486</f>
        <v/>
      </c>
      <c r="F486" s="70">
        <f>(E486-F757)^2</f>
        <v/>
      </c>
      <c r="G486" s="69">
        <f>(E486-F757)^3</f>
        <v/>
      </c>
      <c r="H486" s="69">
        <f>(E486-F757)^4</f>
        <v/>
      </c>
      <c r="I486" s="68" t="inlineStr"/>
    </row>
    <row r="487">
      <c r="A487" s="65" t="n">
        <v>475</v>
      </c>
      <c r="B487" s="65" t="n">
        <v>474</v>
      </c>
      <c r="C487" s="66" t="n">
        <v>4602.23</v>
      </c>
      <c r="D487" s="66" t="n">
        <v>4644.52363</v>
      </c>
      <c r="E487" s="67">
        <f>C487-D487</f>
        <v/>
      </c>
      <c r="F487" s="67">
        <f>(E487-F757)^2</f>
        <v/>
      </c>
      <c r="G487" s="66">
        <f>(E487-F757)^3</f>
        <v/>
      </c>
      <c r="H487" s="66">
        <f>(E487-F757)^4</f>
        <v/>
      </c>
      <c r="I487" s="65" t="inlineStr"/>
    </row>
    <row r="488">
      <c r="A488" s="68" t="n">
        <v>476</v>
      </c>
      <c r="B488" s="68" t="n">
        <v>475</v>
      </c>
      <c r="C488" s="69" t="n">
        <v>4610.32</v>
      </c>
      <c r="D488" s="69" t="n">
        <v>4644.72608</v>
      </c>
      <c r="E488" s="70">
        <f>C488-D488</f>
        <v/>
      </c>
      <c r="F488" s="70">
        <f>(E488-F757)^2</f>
        <v/>
      </c>
      <c r="G488" s="69">
        <f>(E488-F757)^3</f>
        <v/>
      </c>
      <c r="H488" s="69">
        <f>(E488-F757)^4</f>
        <v/>
      </c>
      <c r="I488" s="68" t="inlineStr"/>
    </row>
    <row r="489">
      <c r="A489" s="65" t="n">
        <v>477</v>
      </c>
      <c r="B489" s="65" t="n">
        <v>476</v>
      </c>
      <c r="C489" s="66" t="n">
        <v>4618.87</v>
      </c>
      <c r="D489" s="66" t="n">
        <v>4644.92852</v>
      </c>
      <c r="E489" s="67">
        <f>C489-D489</f>
        <v/>
      </c>
      <c r="F489" s="67">
        <f>(E489-F757)^2</f>
        <v/>
      </c>
      <c r="G489" s="66">
        <f>(E489-F757)^3</f>
        <v/>
      </c>
      <c r="H489" s="66">
        <f>(E489-F757)^4</f>
        <v/>
      </c>
      <c r="I489" s="65" t="inlineStr"/>
    </row>
    <row r="490">
      <c r="A490" s="68" t="n">
        <v>478</v>
      </c>
      <c r="B490" s="68" t="n">
        <v>477</v>
      </c>
      <c r="C490" s="69" t="n">
        <v>4611.55</v>
      </c>
      <c r="D490" s="69" t="n">
        <v>4645.13097</v>
      </c>
      <c r="E490" s="70">
        <f>C490-D490</f>
        <v/>
      </c>
      <c r="F490" s="70">
        <f>(E490-F757)^2</f>
        <v/>
      </c>
      <c r="G490" s="69">
        <f>(E490-F757)^3</f>
        <v/>
      </c>
      <c r="H490" s="69">
        <f>(E490-F757)^4</f>
        <v/>
      </c>
      <c r="I490" s="68" t="inlineStr"/>
    </row>
    <row r="491">
      <c r="A491" s="65" t="n">
        <v>479</v>
      </c>
      <c r="B491" s="65" t="n">
        <v>478</v>
      </c>
      <c r="C491" s="66" t="n">
        <v>4625</v>
      </c>
      <c r="D491" s="66" t="n">
        <v>4645.33341</v>
      </c>
      <c r="E491" s="67">
        <f>C491-D491</f>
        <v/>
      </c>
      <c r="F491" s="67">
        <f>(E491-F757)^2</f>
        <v/>
      </c>
      <c r="G491" s="66">
        <f>(E491-F757)^3</f>
        <v/>
      </c>
      <c r="H491" s="66">
        <f>(E491-F757)^4</f>
        <v/>
      </c>
      <c r="I491" s="65" t="inlineStr"/>
    </row>
    <row r="492">
      <c r="A492" s="68" t="n">
        <v>480</v>
      </c>
      <c r="B492" s="68" t="n">
        <v>479</v>
      </c>
      <c r="C492" s="69" t="n">
        <v>4624.12</v>
      </c>
      <c r="D492" s="69" t="n">
        <v>4645.53586</v>
      </c>
      <c r="E492" s="70">
        <f>C492-D492</f>
        <v/>
      </c>
      <c r="F492" s="70">
        <f>(E492-F757)^2</f>
        <v/>
      </c>
      <c r="G492" s="69">
        <f>(E492-F757)^3</f>
        <v/>
      </c>
      <c r="H492" s="69">
        <f>(E492-F757)^4</f>
        <v/>
      </c>
      <c r="I492" s="68" t="inlineStr"/>
    </row>
    <row r="493">
      <c r="A493" s="65" t="n">
        <v>481</v>
      </c>
      <c r="B493" s="65" t="n">
        <v>480</v>
      </c>
      <c r="C493" s="66" t="n">
        <v>4626.18</v>
      </c>
      <c r="D493" s="66" t="n">
        <v>4645.73831</v>
      </c>
      <c r="E493" s="67">
        <f>C493-D493</f>
        <v/>
      </c>
      <c r="F493" s="67">
        <f>(E493-F757)^2</f>
        <v/>
      </c>
      <c r="G493" s="66">
        <f>(E493-F757)^3</f>
        <v/>
      </c>
      <c r="H493" s="66">
        <f>(E493-F757)^4</f>
        <v/>
      </c>
      <c r="I493" s="65" t="inlineStr"/>
    </row>
    <row r="494">
      <c r="A494" s="68" t="n">
        <v>482</v>
      </c>
      <c r="B494" s="68" t="n">
        <v>481</v>
      </c>
      <c r="C494" s="69" t="n">
        <v>4633.69</v>
      </c>
      <c r="D494" s="69" t="n">
        <v>4645.94075</v>
      </c>
      <c r="E494" s="70">
        <f>C494-D494</f>
        <v/>
      </c>
      <c r="F494" s="70">
        <f>(E494-F757)^2</f>
        <v/>
      </c>
      <c r="G494" s="69">
        <f>(E494-F757)^3</f>
        <v/>
      </c>
      <c r="H494" s="69">
        <f>(E494-F757)^4</f>
        <v/>
      </c>
      <c r="I494" s="68" t="inlineStr"/>
    </row>
    <row r="495">
      <c r="A495" s="65" t="n">
        <v>483</v>
      </c>
      <c r="B495" s="65" t="n">
        <v>482</v>
      </c>
      <c r="C495" s="66" t="n">
        <v>4630.22</v>
      </c>
      <c r="D495" s="66" t="n">
        <v>4646.1432</v>
      </c>
      <c r="E495" s="67">
        <f>C495-D495</f>
        <v/>
      </c>
      <c r="F495" s="67">
        <f>(E495-F757)^2</f>
        <v/>
      </c>
      <c r="G495" s="66">
        <f>(E495-F757)^3</f>
        <v/>
      </c>
      <c r="H495" s="66">
        <f>(E495-F757)^4</f>
        <v/>
      </c>
      <c r="I495" s="65" t="inlineStr"/>
    </row>
    <row r="496">
      <c r="A496" s="68" t="n">
        <v>484</v>
      </c>
      <c r="B496" s="68" t="n">
        <v>483</v>
      </c>
      <c r="C496" s="69" t="n">
        <v>4635.01</v>
      </c>
      <c r="D496" s="69" t="n">
        <v>4646.34564</v>
      </c>
      <c r="E496" s="70">
        <f>C496-D496</f>
        <v/>
      </c>
      <c r="F496" s="70">
        <f>(E496-F757)^2</f>
        <v/>
      </c>
      <c r="G496" s="69">
        <f>(E496-F757)^3</f>
        <v/>
      </c>
      <c r="H496" s="69">
        <f>(E496-F757)^4</f>
        <v/>
      </c>
      <c r="I496" s="68" t="inlineStr"/>
    </row>
    <row r="497">
      <c r="A497" s="65" t="n">
        <v>485</v>
      </c>
      <c r="B497" s="65" t="n">
        <v>484</v>
      </c>
      <c r="C497" s="66" t="n">
        <v>4640.94</v>
      </c>
      <c r="D497" s="66" t="n">
        <v>4646.54809</v>
      </c>
      <c r="E497" s="67">
        <f>C497-D497</f>
        <v/>
      </c>
      <c r="F497" s="67">
        <f>(E497-F757)^2</f>
        <v/>
      </c>
      <c r="G497" s="66">
        <f>(E497-F757)^3</f>
        <v/>
      </c>
      <c r="H497" s="66">
        <f>(E497-F757)^4</f>
        <v/>
      </c>
      <c r="I497" s="65" t="inlineStr"/>
    </row>
    <row r="498">
      <c r="A498" s="68" t="n">
        <v>486</v>
      </c>
      <c r="B498" s="68" t="n">
        <v>485</v>
      </c>
      <c r="C498" s="69" t="n">
        <v>4647.89</v>
      </c>
      <c r="D498" s="69" t="n">
        <v>4646.75053</v>
      </c>
      <c r="E498" s="70">
        <f>C498-D498</f>
        <v/>
      </c>
      <c r="F498" s="70">
        <f>(E498-F757)^2</f>
        <v/>
      </c>
      <c r="G498" s="69">
        <f>(E498-F757)^3</f>
        <v/>
      </c>
      <c r="H498" s="69">
        <f>(E498-F757)^4</f>
        <v/>
      </c>
      <c r="I498" s="68" t="inlineStr"/>
    </row>
    <row r="499">
      <c r="A499" s="65" t="n">
        <v>487</v>
      </c>
      <c r="B499" s="65" t="n">
        <v>486</v>
      </c>
      <c r="C499" s="66" t="n">
        <v>4645.81</v>
      </c>
      <c r="D499" s="66" t="n">
        <v>4646.95298</v>
      </c>
      <c r="E499" s="67">
        <f>C499-D499</f>
        <v/>
      </c>
      <c r="F499" s="67">
        <f>(E499-F757)^2</f>
        <v/>
      </c>
      <c r="G499" s="66">
        <f>(E499-F757)^3</f>
        <v/>
      </c>
      <c r="H499" s="66">
        <f>(E499-F757)^4</f>
        <v/>
      </c>
      <c r="I499" s="65" t="inlineStr"/>
    </row>
    <row r="500">
      <c r="A500" s="68" t="n">
        <v>488</v>
      </c>
      <c r="B500" s="68" t="n">
        <v>487</v>
      </c>
      <c r="C500" s="69" t="n">
        <v>4647.74</v>
      </c>
      <c r="D500" s="69" t="n">
        <v>4647.15542</v>
      </c>
      <c r="E500" s="70">
        <f>C500-D500</f>
        <v/>
      </c>
      <c r="F500" s="70">
        <f>(E500-F757)^2</f>
        <v/>
      </c>
      <c r="G500" s="69">
        <f>(E500-F757)^3</f>
        <v/>
      </c>
      <c r="H500" s="69">
        <f>(E500-F757)^4</f>
        <v/>
      </c>
      <c r="I500" s="68" t="inlineStr"/>
    </row>
    <row r="501">
      <c r="A501" s="65" t="n">
        <v>489</v>
      </c>
      <c r="B501" s="65" t="n">
        <v>488</v>
      </c>
      <c r="C501" s="66" t="n">
        <v>4643.84</v>
      </c>
      <c r="D501" s="66" t="n">
        <v>4647.35787</v>
      </c>
      <c r="E501" s="67">
        <f>C501-D501</f>
        <v/>
      </c>
      <c r="F501" s="67">
        <f>(E501-F757)^2</f>
        <v/>
      </c>
      <c r="G501" s="66">
        <f>(E501-F757)^3</f>
        <v/>
      </c>
      <c r="H501" s="66">
        <f>(E501-F757)^4</f>
        <v/>
      </c>
      <c r="I501" s="65" t="inlineStr"/>
    </row>
    <row r="502">
      <c r="A502" s="68" t="n">
        <v>490</v>
      </c>
      <c r="B502" s="68" t="n">
        <v>489</v>
      </c>
      <c r="C502" s="69" t="n">
        <v>4647.59</v>
      </c>
      <c r="D502" s="69" t="n">
        <v>4647.56032</v>
      </c>
      <c r="E502" s="70">
        <f>C502-D502</f>
        <v/>
      </c>
      <c r="F502" s="70">
        <f>(E502-F757)^2</f>
        <v/>
      </c>
      <c r="G502" s="69">
        <f>(E502-F757)^3</f>
        <v/>
      </c>
      <c r="H502" s="69">
        <f>(E502-F757)^4</f>
        <v/>
      </c>
      <c r="I502" s="68" t="inlineStr"/>
    </row>
    <row r="503">
      <c r="A503" s="65" t="n">
        <v>491</v>
      </c>
      <c r="B503" s="65" t="n">
        <v>490</v>
      </c>
      <c r="C503" s="66" t="n">
        <v>4653.19</v>
      </c>
      <c r="D503" s="66" t="n">
        <v>4647.76276</v>
      </c>
      <c r="E503" s="67">
        <f>C503-D503</f>
        <v/>
      </c>
      <c r="F503" s="67">
        <f>(E503-F757)^2</f>
        <v/>
      </c>
      <c r="G503" s="66">
        <f>(E503-F757)^3</f>
        <v/>
      </c>
      <c r="H503" s="66">
        <f>(E503-F757)^4</f>
        <v/>
      </c>
      <c r="I503" s="65" t="inlineStr"/>
    </row>
    <row r="504">
      <c r="A504" s="68" t="n">
        <v>492</v>
      </c>
      <c r="B504" s="68" t="n">
        <v>491</v>
      </c>
      <c r="C504" s="69" t="n">
        <v>4647.47</v>
      </c>
      <c r="D504" s="69" t="n">
        <v>4647.96521</v>
      </c>
      <c r="E504" s="70">
        <f>C504-D504</f>
        <v/>
      </c>
      <c r="F504" s="70">
        <f>(E504-F757)^2</f>
        <v/>
      </c>
      <c r="G504" s="69">
        <f>(E504-F757)^3</f>
        <v/>
      </c>
      <c r="H504" s="69">
        <f>(E504-F757)^4</f>
        <v/>
      </c>
      <c r="I504" s="68" t="inlineStr"/>
    </row>
    <row r="505">
      <c r="A505" s="65" t="n">
        <v>493</v>
      </c>
      <c r="B505" s="65" t="n">
        <v>492</v>
      </c>
      <c r="C505" s="66" t="n">
        <v>4648.72</v>
      </c>
      <c r="D505" s="66" t="n">
        <v>4648.16765</v>
      </c>
      <c r="E505" s="67">
        <f>C505-D505</f>
        <v/>
      </c>
      <c r="F505" s="67">
        <f>(E505-F757)^2</f>
        <v/>
      </c>
      <c r="G505" s="66">
        <f>(E505-F757)^3</f>
        <v/>
      </c>
      <c r="H505" s="66">
        <f>(E505-F757)^4</f>
        <v/>
      </c>
      <c r="I505" s="65" t="inlineStr"/>
    </row>
    <row r="506">
      <c r="A506" s="68" t="n">
        <v>494</v>
      </c>
      <c r="B506" s="68" t="n">
        <v>493</v>
      </c>
      <c r="C506" s="69" t="n">
        <v>4654.64</v>
      </c>
      <c r="D506" s="69" t="n">
        <v>4648.3701</v>
      </c>
      <c r="E506" s="70">
        <f>C506-D506</f>
        <v/>
      </c>
      <c r="F506" s="70">
        <f>(E506-F757)^2</f>
        <v/>
      </c>
      <c r="G506" s="69">
        <f>(E506-F757)^3</f>
        <v/>
      </c>
      <c r="H506" s="69">
        <f>(E506-F757)^4</f>
        <v/>
      </c>
      <c r="I506" s="68" t="inlineStr"/>
    </row>
    <row r="507">
      <c r="A507" s="65" t="n">
        <v>495</v>
      </c>
      <c r="B507" s="65" t="n">
        <v>494</v>
      </c>
      <c r="C507" s="66" t="n">
        <v>4650.4</v>
      </c>
      <c r="D507" s="66" t="n">
        <v>4648.57254</v>
      </c>
      <c r="E507" s="67">
        <f>C507-D507</f>
        <v/>
      </c>
      <c r="F507" s="67">
        <f>(E507-F757)^2</f>
        <v/>
      </c>
      <c r="G507" s="66">
        <f>(E507-F757)^3</f>
        <v/>
      </c>
      <c r="H507" s="66">
        <f>(E507-F757)^4</f>
        <v/>
      </c>
      <c r="I507" s="65" t="inlineStr"/>
    </row>
    <row r="508">
      <c r="A508" s="68" t="n">
        <v>496</v>
      </c>
      <c r="B508" s="68" t="n">
        <v>495</v>
      </c>
      <c r="C508" s="69" t="n">
        <v>4650.19</v>
      </c>
      <c r="D508" s="69" t="n">
        <v>4648.77499</v>
      </c>
      <c r="E508" s="70">
        <f>C508-D508</f>
        <v/>
      </c>
      <c r="F508" s="70">
        <f>(E508-F757)^2</f>
        <v/>
      </c>
      <c r="G508" s="69">
        <f>(E508-F757)^3</f>
        <v/>
      </c>
      <c r="H508" s="69">
        <f>(E508-F757)^4</f>
        <v/>
      </c>
      <c r="I508" s="68" t="inlineStr"/>
    </row>
    <row r="509">
      <c r="A509" s="65" t="n">
        <v>497</v>
      </c>
      <c r="B509" s="65" t="n">
        <v>496</v>
      </c>
      <c r="C509" s="66" t="n">
        <v>4663.2</v>
      </c>
      <c r="D509" s="66" t="n">
        <v>4648.97744</v>
      </c>
      <c r="E509" s="67">
        <f>C509-D509</f>
        <v/>
      </c>
      <c r="F509" s="67">
        <f>(E509-F757)^2</f>
        <v/>
      </c>
      <c r="G509" s="66">
        <f>(E509-F757)^3</f>
        <v/>
      </c>
      <c r="H509" s="66">
        <f>(E509-F757)^4</f>
        <v/>
      </c>
      <c r="I509" s="65" t="inlineStr"/>
    </row>
    <row r="510">
      <c r="A510" s="68" t="n">
        <v>498</v>
      </c>
      <c r="B510" s="68" t="n">
        <v>497</v>
      </c>
      <c r="C510" s="69" t="n">
        <v>4660.55</v>
      </c>
      <c r="D510" s="69" t="n">
        <v>4649.17988</v>
      </c>
      <c r="E510" s="70">
        <f>C510-D510</f>
        <v/>
      </c>
      <c r="F510" s="70">
        <f>(E510-F757)^2</f>
        <v/>
      </c>
      <c r="G510" s="69">
        <f>(E510-F757)^3</f>
        <v/>
      </c>
      <c r="H510" s="69">
        <f>(E510-F757)^4</f>
        <v/>
      </c>
      <c r="I510" s="68" t="inlineStr"/>
    </row>
    <row r="511">
      <c r="A511" s="65" t="n">
        <v>499</v>
      </c>
      <c r="B511" s="65" t="n">
        <v>498</v>
      </c>
      <c r="C511" s="66" t="n">
        <v>4666.15</v>
      </c>
      <c r="D511" s="66" t="n">
        <v>4649.38233</v>
      </c>
      <c r="E511" s="67">
        <f>C511-D511</f>
        <v/>
      </c>
      <c r="F511" s="67">
        <f>(E511-F757)^2</f>
        <v/>
      </c>
      <c r="G511" s="66">
        <f>(E511-F757)^3</f>
        <v/>
      </c>
      <c r="H511" s="66">
        <f>(E511-F757)^4</f>
        <v/>
      </c>
      <c r="I511" s="65" t="inlineStr"/>
    </row>
    <row r="512">
      <c r="A512" s="68" t="n">
        <v>500</v>
      </c>
      <c r="B512" s="68" t="n">
        <v>499</v>
      </c>
      <c r="C512" s="69" t="n">
        <v>4664.33</v>
      </c>
      <c r="D512" s="69" t="n">
        <v>4649.58477</v>
      </c>
      <c r="E512" s="70">
        <f>C512-D512</f>
        <v/>
      </c>
      <c r="F512" s="70">
        <f>(E512-F757)^2</f>
        <v/>
      </c>
      <c r="G512" s="69">
        <f>(E512-F757)^3</f>
        <v/>
      </c>
      <c r="H512" s="69">
        <f>(E512-F757)^4</f>
        <v/>
      </c>
      <c r="I512" s="68" t="inlineStr"/>
    </row>
    <row r="513">
      <c r="A513" s="65" t="n">
        <v>501</v>
      </c>
      <c r="B513" s="65" t="n">
        <v>500</v>
      </c>
      <c r="C513" s="66" t="n">
        <v>4669.38</v>
      </c>
      <c r="D513" s="66" t="n">
        <v>4649.78722</v>
      </c>
      <c r="E513" s="67">
        <f>C513-D513</f>
        <v/>
      </c>
      <c r="F513" s="67">
        <f>(E513-F757)^2</f>
        <v/>
      </c>
      <c r="G513" s="66">
        <f>(E513-F757)^3</f>
        <v/>
      </c>
      <c r="H513" s="66">
        <f>(E513-F757)^4</f>
        <v/>
      </c>
      <c r="I513" s="65" t="inlineStr"/>
    </row>
    <row r="514">
      <c r="A514" s="68" t="n">
        <v>502</v>
      </c>
      <c r="B514" s="68" t="n">
        <v>501</v>
      </c>
      <c r="C514" s="69" t="n">
        <v>4658.43</v>
      </c>
      <c r="D514" s="69" t="n">
        <v>4649.98966</v>
      </c>
      <c r="E514" s="70">
        <f>C514-D514</f>
        <v/>
      </c>
      <c r="F514" s="70">
        <f>(E514-F757)^2</f>
        <v/>
      </c>
      <c r="G514" s="69">
        <f>(E514-F757)^3</f>
        <v/>
      </c>
      <c r="H514" s="69">
        <f>(E514-F757)^4</f>
        <v/>
      </c>
      <c r="I514" s="68" t="inlineStr"/>
    </row>
    <row r="515">
      <c r="A515" s="65" t="n">
        <v>503</v>
      </c>
      <c r="B515" s="65" t="n">
        <v>502</v>
      </c>
      <c r="C515" s="66" t="n">
        <v>4667.5</v>
      </c>
      <c r="D515" s="66" t="n">
        <v>4650.19211</v>
      </c>
      <c r="E515" s="67">
        <f>C515-D515</f>
        <v/>
      </c>
      <c r="F515" s="67">
        <f>(E515-F757)^2</f>
        <v/>
      </c>
      <c r="G515" s="66">
        <f>(E515-F757)^3</f>
        <v/>
      </c>
      <c r="H515" s="66">
        <f>(E515-F757)^4</f>
        <v/>
      </c>
      <c r="I515" s="65" t="inlineStr"/>
    </row>
    <row r="516">
      <c r="A516" s="68" t="n">
        <v>504</v>
      </c>
      <c r="B516" s="68" t="n">
        <v>503</v>
      </c>
      <c r="C516" s="69" t="n">
        <v>4670.18</v>
      </c>
      <c r="D516" s="69" t="n">
        <v>4650.39456</v>
      </c>
      <c r="E516" s="70">
        <f>C516-D516</f>
        <v/>
      </c>
      <c r="F516" s="70">
        <f>(E516-F757)^2</f>
        <v/>
      </c>
      <c r="G516" s="69">
        <f>(E516-F757)^3</f>
        <v/>
      </c>
      <c r="H516" s="69">
        <f>(E516-F757)^4</f>
        <v/>
      </c>
      <c r="I516" s="68" t="inlineStr"/>
    </row>
    <row r="517">
      <c r="A517" s="65" t="n">
        <v>505</v>
      </c>
      <c r="B517" s="65" t="n">
        <v>504</v>
      </c>
      <c r="C517" s="66" t="n">
        <v>4681.72</v>
      </c>
      <c r="D517" s="66" t="n">
        <v>4650.597</v>
      </c>
      <c r="E517" s="67">
        <f>C517-D517</f>
        <v/>
      </c>
      <c r="F517" s="67">
        <f>(E517-F757)^2</f>
        <v/>
      </c>
      <c r="G517" s="66">
        <f>(E517-F757)^3</f>
        <v/>
      </c>
      <c r="H517" s="66">
        <f>(E517-F757)^4</f>
        <v/>
      </c>
      <c r="I517" s="65" t="inlineStr"/>
    </row>
    <row r="518">
      <c r="A518" s="68" t="n">
        <v>506</v>
      </c>
      <c r="B518" s="68" t="n">
        <v>505</v>
      </c>
      <c r="C518" s="69" t="n">
        <v>4679.57</v>
      </c>
      <c r="D518" s="69" t="n">
        <v>4650.79945</v>
      </c>
      <c r="E518" s="70">
        <f>C518-D518</f>
        <v/>
      </c>
      <c r="F518" s="70">
        <f>(E518-F757)^2</f>
        <v/>
      </c>
      <c r="G518" s="69">
        <f>(E518-F757)^3</f>
        <v/>
      </c>
      <c r="H518" s="69">
        <f>(E518-F757)^4</f>
        <v/>
      </c>
      <c r="I518" s="68" t="inlineStr"/>
    </row>
    <row r="519">
      <c r="A519" s="65" t="n">
        <v>507</v>
      </c>
      <c r="B519" s="65" t="n">
        <v>506</v>
      </c>
      <c r="C519" s="66" t="n">
        <v>4677</v>
      </c>
      <c r="D519" s="66" t="n">
        <v>4651.00189</v>
      </c>
      <c r="E519" s="67">
        <f>C519-D519</f>
        <v/>
      </c>
      <c r="F519" s="67">
        <f>(E519-F757)^2</f>
        <v/>
      </c>
      <c r="G519" s="66">
        <f>(E519-F757)^3</f>
        <v/>
      </c>
      <c r="H519" s="66">
        <f>(E519-F757)^4</f>
        <v/>
      </c>
      <c r="I519" s="65" t="inlineStr"/>
    </row>
    <row r="520">
      <c r="A520" s="68" t="n">
        <v>508</v>
      </c>
      <c r="B520" s="68" t="n">
        <v>507</v>
      </c>
      <c r="C520" s="69" t="n">
        <v>4677.27</v>
      </c>
      <c r="D520" s="69" t="n">
        <v>4651.20434</v>
      </c>
      <c r="E520" s="70">
        <f>C520-D520</f>
        <v/>
      </c>
      <c r="F520" s="70">
        <f>(E520-F757)^2</f>
        <v/>
      </c>
      <c r="G520" s="69">
        <f>(E520-F757)^3</f>
        <v/>
      </c>
      <c r="H520" s="69">
        <f>(E520-F757)^4</f>
        <v/>
      </c>
      <c r="I520" s="68" t="inlineStr"/>
    </row>
    <row r="521">
      <c r="A521" s="65" t="n">
        <v>509</v>
      </c>
      <c r="B521" s="65" t="n">
        <v>508</v>
      </c>
      <c r="C521" s="66" t="n">
        <v>4700.09</v>
      </c>
      <c r="D521" s="66" t="n">
        <v>4651.40678</v>
      </c>
      <c r="E521" s="67">
        <f>C521-D521</f>
        <v/>
      </c>
      <c r="F521" s="67">
        <f>(E521-F757)^2</f>
        <v/>
      </c>
      <c r="G521" s="66">
        <f>(E521-F757)^3</f>
        <v/>
      </c>
      <c r="H521" s="66">
        <f>(E521-F757)^4</f>
        <v/>
      </c>
      <c r="I521" s="65" t="inlineStr"/>
    </row>
    <row r="522">
      <c r="A522" s="68" t="n">
        <v>510</v>
      </c>
      <c r="B522" s="68" t="n">
        <v>509</v>
      </c>
      <c r="C522" s="69" t="n">
        <v>4695.69</v>
      </c>
      <c r="D522" s="69" t="n">
        <v>4651.60923</v>
      </c>
      <c r="E522" s="70">
        <f>C522-D522</f>
        <v/>
      </c>
      <c r="F522" s="70">
        <f>(E522-F757)^2</f>
        <v/>
      </c>
      <c r="G522" s="69">
        <f>(E522-F757)^3</f>
        <v/>
      </c>
      <c r="H522" s="69">
        <f>(E522-F757)^4</f>
        <v/>
      </c>
      <c r="I522" s="68" t="inlineStr"/>
    </row>
    <row r="523">
      <c r="A523" s="65" t="n">
        <v>511</v>
      </c>
      <c r="B523" s="65" t="n">
        <v>510</v>
      </c>
      <c r="C523" s="66" t="n">
        <v>4700.12</v>
      </c>
      <c r="D523" s="66" t="n">
        <v>4651.81168</v>
      </c>
      <c r="E523" s="67">
        <f>C523-D523</f>
        <v/>
      </c>
      <c r="F523" s="67">
        <f>(E523-F757)^2</f>
        <v/>
      </c>
      <c r="G523" s="66">
        <f>(E523-F757)^3</f>
        <v/>
      </c>
      <c r="H523" s="66">
        <f>(E523-F757)^4</f>
        <v/>
      </c>
      <c r="I523" s="65" t="inlineStr"/>
    </row>
    <row r="524">
      <c r="A524" s="68" t="n">
        <v>512</v>
      </c>
      <c r="B524" s="68" t="n">
        <v>511</v>
      </c>
      <c r="C524" s="69" t="n">
        <v>4696.04</v>
      </c>
      <c r="D524" s="69" t="n">
        <v>4652.01412</v>
      </c>
      <c r="E524" s="70">
        <f>C524-D524</f>
        <v/>
      </c>
      <c r="F524" s="70">
        <f>(E524-F757)^2</f>
        <v/>
      </c>
      <c r="G524" s="69">
        <f>(E524-F757)^3</f>
        <v/>
      </c>
      <c r="H524" s="69">
        <f>(E524-F757)^4</f>
        <v/>
      </c>
      <c r="I524" s="68" t="inlineStr"/>
    </row>
    <row r="525">
      <c r="A525" s="65" t="n">
        <v>513</v>
      </c>
      <c r="B525" s="65" t="n">
        <v>512</v>
      </c>
      <c r="C525" s="66" t="n">
        <v>4701.75</v>
      </c>
      <c r="D525" s="66" t="n">
        <v>4652.21657</v>
      </c>
      <c r="E525" s="67">
        <f>C525-D525</f>
        <v/>
      </c>
      <c r="F525" s="67">
        <f>(E525-F757)^2</f>
        <v/>
      </c>
      <c r="G525" s="66">
        <f>(E525-F757)^3</f>
        <v/>
      </c>
      <c r="H525" s="66">
        <f>(E525-F757)^4</f>
        <v/>
      </c>
      <c r="I525" s="65" t="inlineStr"/>
    </row>
    <row r="526">
      <c r="A526" s="68" t="n">
        <v>514</v>
      </c>
      <c r="B526" s="68" t="n">
        <v>513</v>
      </c>
      <c r="C526" s="69" t="n">
        <v>4698.2</v>
      </c>
      <c r="D526" s="69" t="n">
        <v>4652.41901</v>
      </c>
      <c r="E526" s="70">
        <f>C526-D526</f>
        <v/>
      </c>
      <c r="F526" s="70">
        <f>(E526-F757)^2</f>
        <v/>
      </c>
      <c r="G526" s="69">
        <f>(E526-F757)^3</f>
        <v/>
      </c>
      <c r="H526" s="69">
        <f>(E526-F757)^4</f>
        <v/>
      </c>
      <c r="I526" s="68" t="inlineStr"/>
    </row>
    <row r="527">
      <c r="A527" s="65" t="n">
        <v>515</v>
      </c>
      <c r="B527" s="65" t="n">
        <v>514</v>
      </c>
      <c r="C527" s="66" t="n">
        <v>4704.64</v>
      </c>
      <c r="D527" s="66" t="n">
        <v>4652.62146</v>
      </c>
      <c r="E527" s="67">
        <f>C527-D527</f>
        <v/>
      </c>
      <c r="F527" s="67">
        <f>(E527-F757)^2</f>
        <v/>
      </c>
      <c r="G527" s="66">
        <f>(E527-F757)^3</f>
        <v/>
      </c>
      <c r="H527" s="66">
        <f>(E527-F757)^4</f>
        <v/>
      </c>
      <c r="I527" s="65" t="inlineStr"/>
    </row>
    <row r="528">
      <c r="A528" s="68" t="n">
        <v>516</v>
      </c>
      <c r="B528" s="68" t="n">
        <v>515</v>
      </c>
      <c r="C528" s="69" t="n">
        <v>4714.15</v>
      </c>
      <c r="D528" s="69" t="n">
        <v>4652.8239</v>
      </c>
      <c r="E528" s="70">
        <f>C528-D528</f>
        <v/>
      </c>
      <c r="F528" s="70">
        <f>(E528-F757)^2</f>
        <v/>
      </c>
      <c r="G528" s="69">
        <f>(E528-F757)^3</f>
        <v/>
      </c>
      <c r="H528" s="69">
        <f>(E528-F757)^4</f>
        <v/>
      </c>
      <c r="I528" s="68" t="inlineStr"/>
    </row>
    <row r="529">
      <c r="A529" s="65" t="n">
        <v>517</v>
      </c>
      <c r="B529" s="65" t="n">
        <v>516</v>
      </c>
      <c r="C529" s="66" t="n">
        <v>4718.25</v>
      </c>
      <c r="D529" s="66" t="n">
        <v>4653.02635</v>
      </c>
      <c r="E529" s="67">
        <f>C529-D529</f>
        <v/>
      </c>
      <c r="F529" s="67">
        <f>(E529-F757)^2</f>
        <v/>
      </c>
      <c r="G529" s="66">
        <f>(E529-F757)^3</f>
        <v/>
      </c>
      <c r="H529" s="66">
        <f>(E529-F757)^4</f>
        <v/>
      </c>
      <c r="I529" s="65" t="inlineStr"/>
    </row>
    <row r="530">
      <c r="A530" s="68" t="n">
        <v>518</v>
      </c>
      <c r="B530" s="68" t="n">
        <v>517</v>
      </c>
      <c r="C530" s="69" t="n">
        <v>4711.97</v>
      </c>
      <c r="D530" s="69" t="n">
        <v>4653.2288</v>
      </c>
      <c r="E530" s="70">
        <f>C530-D530</f>
        <v/>
      </c>
      <c r="F530" s="70">
        <f>(E530-F757)^2</f>
        <v/>
      </c>
      <c r="G530" s="69">
        <f>(E530-F757)^3</f>
        <v/>
      </c>
      <c r="H530" s="69">
        <f>(E530-F757)^4</f>
        <v/>
      </c>
      <c r="I530" s="68" t="inlineStr"/>
    </row>
    <row r="531">
      <c r="A531" s="65" t="n">
        <v>519</v>
      </c>
      <c r="B531" s="65" t="n">
        <v>518</v>
      </c>
      <c r="C531" s="66" t="n">
        <v>4705.6</v>
      </c>
      <c r="D531" s="66" t="n">
        <v>4653.43124</v>
      </c>
      <c r="E531" s="67">
        <f>C531-D531</f>
        <v/>
      </c>
      <c r="F531" s="67">
        <f>(E531-F757)^2</f>
        <v/>
      </c>
      <c r="G531" s="66">
        <f>(E531-F757)^3</f>
        <v/>
      </c>
      <c r="H531" s="66">
        <f>(E531-F757)^4</f>
        <v/>
      </c>
      <c r="I531" s="65" t="inlineStr"/>
    </row>
    <row r="532">
      <c r="A532" s="68" t="n">
        <v>520</v>
      </c>
      <c r="B532" s="68" t="n">
        <v>519</v>
      </c>
      <c r="C532" s="69" t="n">
        <v>4699.65</v>
      </c>
      <c r="D532" s="69" t="n">
        <v>4653.63369</v>
      </c>
      <c r="E532" s="70">
        <f>C532-D532</f>
        <v/>
      </c>
      <c r="F532" s="70">
        <f>(E532-F757)^2</f>
        <v/>
      </c>
      <c r="G532" s="69">
        <f>(E532-F757)^3</f>
        <v/>
      </c>
      <c r="H532" s="69">
        <f>(E532-F757)^4</f>
        <v/>
      </c>
      <c r="I532" s="68" t="inlineStr"/>
    </row>
    <row r="533">
      <c r="A533" s="65" t="n">
        <v>521</v>
      </c>
      <c r="B533" s="65" t="n">
        <v>520</v>
      </c>
      <c r="C533" s="66" t="n">
        <v>4692.11</v>
      </c>
      <c r="D533" s="66" t="n">
        <v>4653.83613</v>
      </c>
      <c r="E533" s="67">
        <f>C533-D533</f>
        <v/>
      </c>
      <c r="F533" s="67">
        <f>(E533-F757)^2</f>
        <v/>
      </c>
      <c r="G533" s="66">
        <f>(E533-F757)^3</f>
        <v/>
      </c>
      <c r="H533" s="66">
        <f>(E533-F757)^4</f>
        <v/>
      </c>
      <c r="I533" s="65" t="inlineStr"/>
    </row>
    <row r="534">
      <c r="A534" s="68" t="n">
        <v>522</v>
      </c>
      <c r="B534" s="68" t="n">
        <v>521</v>
      </c>
      <c r="C534" s="69" t="n">
        <v>4672.94</v>
      </c>
      <c r="D534" s="69" t="n">
        <v>4654.03858</v>
      </c>
      <c r="E534" s="70">
        <f>C534-D534</f>
        <v/>
      </c>
      <c r="F534" s="70">
        <f>(E534-F757)^2</f>
        <v/>
      </c>
      <c r="G534" s="69">
        <f>(E534-F757)^3</f>
        <v/>
      </c>
      <c r="H534" s="69">
        <f>(E534-F757)^4</f>
        <v/>
      </c>
      <c r="I534" s="68" t="inlineStr"/>
    </row>
    <row r="535">
      <c r="A535" s="65" t="n">
        <v>523</v>
      </c>
      <c r="B535" s="65" t="n">
        <v>522</v>
      </c>
      <c r="C535" s="66" t="n">
        <v>4683.36</v>
      </c>
      <c r="D535" s="66" t="n">
        <v>4654.24102</v>
      </c>
      <c r="E535" s="67">
        <f>C535-D535</f>
        <v/>
      </c>
      <c r="F535" s="67">
        <f>(E535-F757)^2</f>
        <v/>
      </c>
      <c r="G535" s="66">
        <f>(E535-F757)^3</f>
        <v/>
      </c>
      <c r="H535" s="66">
        <f>(E535-F757)^4</f>
        <v/>
      </c>
      <c r="I535" s="65" t="inlineStr"/>
    </row>
    <row r="536">
      <c r="A536" s="68" t="n">
        <v>524</v>
      </c>
      <c r="B536" s="68" t="n">
        <v>523</v>
      </c>
      <c r="C536" s="69" t="n">
        <v>4682.83</v>
      </c>
      <c r="D536" s="69" t="n">
        <v>4654.44347</v>
      </c>
      <c r="E536" s="70">
        <f>C536-D536</f>
        <v/>
      </c>
      <c r="F536" s="70">
        <f>(E536-F757)^2</f>
        <v/>
      </c>
      <c r="G536" s="69">
        <f>(E536-F757)^3</f>
        <v/>
      </c>
      <c r="H536" s="69">
        <f>(E536-F757)^4</f>
        <v/>
      </c>
      <c r="I536" s="68" t="inlineStr"/>
    </row>
    <row r="537">
      <c r="A537" s="65" t="n">
        <v>525</v>
      </c>
      <c r="B537" s="65" t="n">
        <v>524</v>
      </c>
      <c r="C537" s="66" t="n">
        <v>4683.36</v>
      </c>
      <c r="D537" s="66" t="n">
        <v>4654.64592</v>
      </c>
      <c r="E537" s="67">
        <f>C537-D537</f>
        <v/>
      </c>
      <c r="F537" s="67">
        <f>(E537-F757)^2</f>
        <v/>
      </c>
      <c r="G537" s="66">
        <f>(E537-F757)^3</f>
        <v/>
      </c>
      <c r="H537" s="66">
        <f>(E537-F757)^4</f>
        <v/>
      </c>
      <c r="I537" s="65" t="inlineStr"/>
    </row>
    <row r="538">
      <c r="A538" s="68" t="n">
        <v>526</v>
      </c>
      <c r="B538" s="68" t="n">
        <v>525</v>
      </c>
      <c r="C538" s="69" t="n">
        <v>4683.63</v>
      </c>
      <c r="D538" s="69" t="n">
        <v>4654.84836</v>
      </c>
      <c r="E538" s="70">
        <f>C538-D538</f>
        <v/>
      </c>
      <c r="F538" s="70">
        <f>(E538-F757)^2</f>
        <v/>
      </c>
      <c r="G538" s="69">
        <f>(E538-F757)^3</f>
        <v/>
      </c>
      <c r="H538" s="69">
        <f>(E538-F757)^4</f>
        <v/>
      </c>
      <c r="I538" s="68" t="inlineStr"/>
    </row>
    <row r="539">
      <c r="A539" s="65" t="n">
        <v>527</v>
      </c>
      <c r="B539" s="65" t="n">
        <v>526</v>
      </c>
      <c r="C539" s="66" t="n">
        <v>4685.16</v>
      </c>
      <c r="D539" s="66" t="n">
        <v>4655.05081</v>
      </c>
      <c r="E539" s="67">
        <f>C539-D539</f>
        <v/>
      </c>
      <c r="F539" s="67">
        <f>(E539-F757)^2</f>
        <v/>
      </c>
      <c r="G539" s="66">
        <f>(E539-F757)^3</f>
        <v/>
      </c>
      <c r="H539" s="66">
        <f>(E539-F757)^4</f>
        <v/>
      </c>
      <c r="I539" s="65" t="inlineStr"/>
    </row>
    <row r="540">
      <c r="A540" s="68" t="n">
        <v>528</v>
      </c>
      <c r="B540" s="68" t="n">
        <v>527</v>
      </c>
      <c r="C540" s="69" t="n">
        <v>4695.33</v>
      </c>
      <c r="D540" s="69" t="n">
        <v>4655.25325</v>
      </c>
      <c r="E540" s="70">
        <f>C540-D540</f>
        <v/>
      </c>
      <c r="F540" s="70">
        <f>(E540-F757)^2</f>
        <v/>
      </c>
      <c r="G540" s="69">
        <f>(E540-F757)^3</f>
        <v/>
      </c>
      <c r="H540" s="69">
        <f>(E540-F757)^4</f>
        <v/>
      </c>
      <c r="I540" s="68" t="inlineStr"/>
    </row>
    <row r="541">
      <c r="A541" s="65" t="n">
        <v>529</v>
      </c>
      <c r="B541" s="65" t="n">
        <v>528</v>
      </c>
      <c r="C541" s="66" t="n">
        <v>4702.21</v>
      </c>
      <c r="D541" s="66" t="n">
        <v>4655.4557</v>
      </c>
      <c r="E541" s="67">
        <f>C541-D541</f>
        <v/>
      </c>
      <c r="F541" s="67">
        <f>(E541-F757)^2</f>
        <v/>
      </c>
      <c r="G541" s="66">
        <f>(E541-F757)^3</f>
        <v/>
      </c>
      <c r="H541" s="66">
        <f>(E541-F757)^4</f>
        <v/>
      </c>
      <c r="I541" s="65" t="inlineStr"/>
    </row>
    <row r="542">
      <c r="A542" s="68" t="n">
        <v>530</v>
      </c>
      <c r="B542" s="68" t="n">
        <v>529</v>
      </c>
      <c r="C542" s="69" t="n">
        <v>4711.04</v>
      </c>
      <c r="D542" s="69" t="n">
        <v>4655.65814</v>
      </c>
      <c r="E542" s="70">
        <f>C542-D542</f>
        <v/>
      </c>
      <c r="F542" s="70">
        <f>(E542-F757)^2</f>
        <v/>
      </c>
      <c r="G542" s="69">
        <f>(E542-F757)^3</f>
        <v/>
      </c>
      <c r="H542" s="69">
        <f>(E542-F757)^4</f>
        <v/>
      </c>
      <c r="I542" s="68" t="inlineStr"/>
    </row>
    <row r="543">
      <c r="A543" s="65" t="n">
        <v>531</v>
      </c>
      <c r="B543" s="65" t="n">
        <v>530</v>
      </c>
      <c r="C543" s="66" t="n">
        <v>4705.66</v>
      </c>
      <c r="D543" s="66" t="n">
        <v>4655.86059</v>
      </c>
      <c r="E543" s="67">
        <f>C543-D543</f>
        <v/>
      </c>
      <c r="F543" s="67">
        <f>(E543-F757)^2</f>
        <v/>
      </c>
      <c r="G543" s="66">
        <f>(E543-F757)^3</f>
        <v/>
      </c>
      <c r="H543" s="66">
        <f>(E543-F757)^4</f>
        <v/>
      </c>
      <c r="I543" s="65" t="inlineStr"/>
    </row>
    <row r="544">
      <c r="A544" s="68" t="n">
        <v>532</v>
      </c>
      <c r="B544" s="68" t="n">
        <v>531</v>
      </c>
      <c r="C544" s="69" t="n">
        <v>4713.4</v>
      </c>
      <c r="D544" s="69" t="n">
        <v>4656.06304</v>
      </c>
      <c r="E544" s="70">
        <f>C544-D544</f>
        <v/>
      </c>
      <c r="F544" s="70">
        <f>(E544-F757)^2</f>
        <v/>
      </c>
      <c r="G544" s="69">
        <f>(E544-F757)^3</f>
        <v/>
      </c>
      <c r="H544" s="69">
        <f>(E544-F757)^4</f>
        <v/>
      </c>
      <c r="I544" s="68" t="inlineStr"/>
    </row>
    <row r="545">
      <c r="A545" s="65" t="n">
        <v>533</v>
      </c>
      <c r="B545" s="65" t="n">
        <v>532</v>
      </c>
      <c r="C545" s="66" t="n">
        <v>4703.14</v>
      </c>
      <c r="D545" s="66" t="n">
        <v>4656.26548</v>
      </c>
      <c r="E545" s="67">
        <f>C545-D545</f>
        <v/>
      </c>
      <c r="F545" s="67">
        <f>(E545-F757)^2</f>
        <v/>
      </c>
      <c r="G545" s="66">
        <f>(E545-F757)^3</f>
        <v/>
      </c>
      <c r="H545" s="66">
        <f>(E545-F757)^4</f>
        <v/>
      </c>
      <c r="I545" s="65" t="inlineStr"/>
    </row>
    <row r="546">
      <c r="A546" s="68" t="n">
        <v>534</v>
      </c>
      <c r="B546" s="68" t="n">
        <v>533</v>
      </c>
      <c r="C546" s="69" t="n">
        <v>4696.47</v>
      </c>
      <c r="D546" s="69" t="n">
        <v>4656.46793</v>
      </c>
      <c r="E546" s="70">
        <f>C546-D546</f>
        <v/>
      </c>
      <c r="F546" s="70">
        <f>(E546-F757)^2</f>
        <v/>
      </c>
      <c r="G546" s="69">
        <f>(E546-F757)^3</f>
        <v/>
      </c>
      <c r="H546" s="69">
        <f>(E546-F757)^4</f>
        <v/>
      </c>
      <c r="I546" s="68" t="inlineStr"/>
    </row>
    <row r="547">
      <c r="A547" s="65" t="n">
        <v>535</v>
      </c>
      <c r="B547" s="65" t="n">
        <v>534</v>
      </c>
      <c r="C547" s="66" t="n">
        <v>4695.45</v>
      </c>
      <c r="D547" s="66" t="n">
        <v>4656.67037</v>
      </c>
      <c r="E547" s="67">
        <f>C547-D547</f>
        <v/>
      </c>
      <c r="F547" s="67">
        <f>(E547-F757)^2</f>
        <v/>
      </c>
      <c r="G547" s="66">
        <f>(E547-F757)^3</f>
        <v/>
      </c>
      <c r="H547" s="66">
        <f>(E547-F757)^4</f>
        <v/>
      </c>
      <c r="I547" s="65" t="inlineStr"/>
    </row>
    <row r="548">
      <c r="A548" s="68" t="n">
        <v>536</v>
      </c>
      <c r="B548" s="68" t="n">
        <v>535</v>
      </c>
      <c r="C548" s="69" t="n">
        <v>4692.77</v>
      </c>
      <c r="D548" s="69" t="n">
        <v>4656.87282</v>
      </c>
      <c r="E548" s="70">
        <f>C548-D548</f>
        <v/>
      </c>
      <c r="F548" s="70">
        <f>(E548-F757)^2</f>
        <v/>
      </c>
      <c r="G548" s="69">
        <f>(E548-F757)^3</f>
        <v/>
      </c>
      <c r="H548" s="69">
        <f>(E548-F757)^4</f>
        <v/>
      </c>
      <c r="I548" s="68" t="inlineStr"/>
    </row>
    <row r="549">
      <c r="A549" s="65" t="n">
        <v>537</v>
      </c>
      <c r="B549" s="65" t="n">
        <v>536</v>
      </c>
      <c r="C549" s="66" t="n">
        <v>4687.96</v>
      </c>
      <c r="D549" s="66" t="n">
        <v>4657.07526</v>
      </c>
      <c r="E549" s="67">
        <f>C549-D549</f>
        <v/>
      </c>
      <c r="F549" s="67">
        <f>(E549-F757)^2</f>
        <v/>
      </c>
      <c r="G549" s="66">
        <f>(E549-F757)^3</f>
        <v/>
      </c>
      <c r="H549" s="66">
        <f>(E549-F757)^4</f>
        <v/>
      </c>
      <c r="I549" s="65" t="inlineStr"/>
    </row>
    <row r="550">
      <c r="A550" s="68" t="n">
        <v>538</v>
      </c>
      <c r="B550" s="68" t="n">
        <v>537</v>
      </c>
      <c r="C550" s="69" t="n">
        <v>4683.69</v>
      </c>
      <c r="D550" s="69" t="n">
        <v>4657.27771</v>
      </c>
      <c r="E550" s="70">
        <f>C550-D550</f>
        <v/>
      </c>
      <c r="F550" s="70">
        <f>(E550-F757)^2</f>
        <v/>
      </c>
      <c r="G550" s="69">
        <f>(E550-F757)^3</f>
        <v/>
      </c>
      <c r="H550" s="69">
        <f>(E550-F757)^4</f>
        <v/>
      </c>
      <c r="I550" s="68" t="inlineStr"/>
    </row>
    <row r="551">
      <c r="A551" s="65" t="n">
        <v>539</v>
      </c>
      <c r="B551" s="65" t="n">
        <v>538</v>
      </c>
      <c r="C551" s="66" t="n">
        <v>4688.15</v>
      </c>
      <c r="D551" s="66" t="n">
        <v>4657.48016</v>
      </c>
      <c r="E551" s="67">
        <f>C551-D551</f>
        <v/>
      </c>
      <c r="F551" s="67">
        <f>(E551-F757)^2</f>
        <v/>
      </c>
      <c r="G551" s="66">
        <f>(E551-F757)^3</f>
        <v/>
      </c>
      <c r="H551" s="66">
        <f>(E551-F757)^4</f>
        <v/>
      </c>
      <c r="I551" s="65" t="inlineStr"/>
    </row>
    <row r="552">
      <c r="A552" s="68" t="n">
        <v>540</v>
      </c>
      <c r="B552" s="68" t="n">
        <v>539</v>
      </c>
      <c r="C552" s="69" t="n">
        <v>4688.73</v>
      </c>
      <c r="D552" s="69" t="n">
        <v>4657.6826</v>
      </c>
      <c r="E552" s="70">
        <f>C552-D552</f>
        <v/>
      </c>
      <c r="F552" s="70">
        <f>(E552-F757)^2</f>
        <v/>
      </c>
      <c r="G552" s="69">
        <f>(E552-F757)^3</f>
        <v/>
      </c>
      <c r="H552" s="69">
        <f>(E552-F757)^4</f>
        <v/>
      </c>
      <c r="I552" s="68" t="inlineStr"/>
    </row>
    <row r="553">
      <c r="A553" s="65" t="n">
        <v>541</v>
      </c>
      <c r="B553" s="65" t="n">
        <v>540</v>
      </c>
      <c r="C553" s="66" t="n">
        <v>4683.1</v>
      </c>
      <c r="D553" s="66" t="n">
        <v>4657.88505</v>
      </c>
      <c r="E553" s="67">
        <f>C553-D553</f>
        <v/>
      </c>
      <c r="F553" s="67">
        <f>(E553-F757)^2</f>
        <v/>
      </c>
      <c r="G553" s="66">
        <f>(E553-F757)^3</f>
        <v/>
      </c>
      <c r="H553" s="66">
        <f>(E553-F757)^4</f>
        <v/>
      </c>
      <c r="I553" s="65" t="inlineStr"/>
    </row>
    <row r="554">
      <c r="A554" s="68" t="n">
        <v>542</v>
      </c>
      <c r="B554" s="68" t="n">
        <v>541</v>
      </c>
      <c r="C554" s="69" t="n">
        <v>4685.62</v>
      </c>
      <c r="D554" s="69" t="n">
        <v>4658.08749</v>
      </c>
      <c r="E554" s="70">
        <f>C554-D554</f>
        <v/>
      </c>
      <c r="F554" s="70">
        <f>(E554-F757)^2</f>
        <v/>
      </c>
      <c r="G554" s="69">
        <f>(E554-F757)^3</f>
        <v/>
      </c>
      <c r="H554" s="69">
        <f>(E554-F757)^4</f>
        <v/>
      </c>
      <c r="I554" s="68" t="inlineStr"/>
    </row>
    <row r="555">
      <c r="A555" s="65" t="n">
        <v>543</v>
      </c>
      <c r="B555" s="65" t="n">
        <v>542</v>
      </c>
      <c r="C555" s="66" t="n">
        <v>4683.1</v>
      </c>
      <c r="D555" s="66" t="n">
        <v>4658.28994</v>
      </c>
      <c r="E555" s="67">
        <f>C555-D555</f>
        <v/>
      </c>
      <c r="F555" s="67">
        <f>(E555-F757)^2</f>
        <v/>
      </c>
      <c r="G555" s="66">
        <f>(E555-F757)^3</f>
        <v/>
      </c>
      <c r="H555" s="66">
        <f>(E555-F757)^4</f>
        <v/>
      </c>
      <c r="I555" s="65" t="inlineStr"/>
    </row>
    <row r="556">
      <c r="A556" s="68" t="n">
        <v>544</v>
      </c>
      <c r="B556" s="68" t="n">
        <v>543</v>
      </c>
      <c r="C556" s="69" t="n">
        <v>4680.64</v>
      </c>
      <c r="D556" s="69" t="n">
        <v>4658.49238</v>
      </c>
      <c r="E556" s="70">
        <f>C556-D556</f>
        <v/>
      </c>
      <c r="F556" s="70">
        <f>(E556-F757)^2</f>
        <v/>
      </c>
      <c r="G556" s="69">
        <f>(E556-F757)^3</f>
        <v/>
      </c>
      <c r="H556" s="69">
        <f>(E556-F757)^4</f>
        <v/>
      </c>
      <c r="I556" s="68" t="inlineStr"/>
    </row>
    <row r="557">
      <c r="A557" s="65" t="n">
        <v>545</v>
      </c>
      <c r="B557" s="65" t="n">
        <v>544</v>
      </c>
      <c r="C557" s="66" t="n">
        <v>4684.13</v>
      </c>
      <c r="D557" s="66" t="n">
        <v>4658.69483</v>
      </c>
      <c r="E557" s="67">
        <f>C557-D557</f>
        <v/>
      </c>
      <c r="F557" s="67">
        <f>(E557-F757)^2</f>
        <v/>
      </c>
      <c r="G557" s="66">
        <f>(E557-F757)^3</f>
        <v/>
      </c>
      <c r="H557" s="66">
        <f>(E557-F757)^4</f>
        <v/>
      </c>
      <c r="I557" s="65" t="inlineStr"/>
    </row>
    <row r="558">
      <c r="A558" s="68" t="n">
        <v>546</v>
      </c>
      <c r="B558" s="68" t="n">
        <v>545</v>
      </c>
      <c r="C558" s="69" t="n">
        <v>4686.79</v>
      </c>
      <c r="D558" s="69" t="n">
        <v>4658.89728</v>
      </c>
      <c r="E558" s="70">
        <f>C558-D558</f>
        <v/>
      </c>
      <c r="F558" s="70">
        <f>(E558-F757)^2</f>
        <v/>
      </c>
      <c r="G558" s="69">
        <f>(E558-F757)^3</f>
        <v/>
      </c>
      <c r="H558" s="69">
        <f>(E558-F757)^4</f>
        <v/>
      </c>
      <c r="I558" s="68" t="inlineStr"/>
    </row>
    <row r="559">
      <c r="A559" s="65" t="n">
        <v>547</v>
      </c>
      <c r="B559" s="65" t="n">
        <v>546</v>
      </c>
      <c r="C559" s="66" t="n">
        <v>4687.85</v>
      </c>
      <c r="D559" s="66" t="n">
        <v>4659.09972</v>
      </c>
      <c r="E559" s="67">
        <f>C559-D559</f>
        <v/>
      </c>
      <c r="F559" s="67">
        <f>(E559-F757)^2</f>
        <v/>
      </c>
      <c r="G559" s="66">
        <f>(E559-F757)^3</f>
        <v/>
      </c>
      <c r="H559" s="66">
        <f>(E559-F757)^4</f>
        <v/>
      </c>
      <c r="I559" s="65" t="inlineStr"/>
    </row>
    <row r="560">
      <c r="A560" s="68" t="n">
        <v>548</v>
      </c>
      <c r="B560" s="68" t="n">
        <v>547</v>
      </c>
      <c r="C560" s="69" t="n">
        <v>4686.27</v>
      </c>
      <c r="D560" s="69" t="n">
        <v>4659.30217</v>
      </c>
      <c r="E560" s="70">
        <f>C560-D560</f>
        <v/>
      </c>
      <c r="F560" s="70">
        <f>(E560-F757)^2</f>
        <v/>
      </c>
      <c r="G560" s="69">
        <f>(E560-F757)^3</f>
        <v/>
      </c>
      <c r="H560" s="69">
        <f>(E560-F757)^4</f>
        <v/>
      </c>
      <c r="I560" s="68" t="inlineStr"/>
    </row>
    <row r="561">
      <c r="A561" s="65" t="n">
        <v>549</v>
      </c>
      <c r="B561" s="65" t="n">
        <v>548</v>
      </c>
      <c r="C561" s="66" t="n">
        <v>4686.1</v>
      </c>
      <c r="D561" s="66" t="n">
        <v>4659.50461</v>
      </c>
      <c r="E561" s="67">
        <f>C561-D561</f>
        <v/>
      </c>
      <c r="F561" s="67">
        <f>(E561-F757)^2</f>
        <v/>
      </c>
      <c r="G561" s="66">
        <f>(E561-F757)^3</f>
        <v/>
      </c>
      <c r="H561" s="66">
        <f>(E561-F757)^4</f>
        <v/>
      </c>
      <c r="I561" s="65" t="inlineStr"/>
    </row>
    <row r="562">
      <c r="A562" s="68" t="n">
        <v>550</v>
      </c>
      <c r="B562" s="68" t="n">
        <v>549</v>
      </c>
      <c r="C562" s="69" t="n">
        <v>4695.28</v>
      </c>
      <c r="D562" s="69" t="n">
        <v>4659.70706</v>
      </c>
      <c r="E562" s="70">
        <f>C562-D562</f>
        <v/>
      </c>
      <c r="F562" s="70">
        <f>(E562-F757)^2</f>
        <v/>
      </c>
      <c r="G562" s="69">
        <f>(E562-F757)^3</f>
        <v/>
      </c>
      <c r="H562" s="69">
        <f>(E562-F757)^4</f>
        <v/>
      </c>
      <c r="I562" s="68" t="inlineStr"/>
    </row>
    <row r="563">
      <c r="A563" s="65" t="n">
        <v>551</v>
      </c>
      <c r="B563" s="65" t="n">
        <v>550</v>
      </c>
      <c r="C563" s="66" t="n">
        <v>4698.51</v>
      </c>
      <c r="D563" s="66" t="n">
        <v>4659.9095</v>
      </c>
      <c r="E563" s="67">
        <f>C563-D563</f>
        <v/>
      </c>
      <c r="F563" s="67">
        <f>(E563-F757)^2</f>
        <v/>
      </c>
      <c r="G563" s="66">
        <f>(E563-F757)^3</f>
        <v/>
      </c>
      <c r="H563" s="66">
        <f>(E563-F757)^4</f>
        <v/>
      </c>
      <c r="I563" s="65" t="inlineStr"/>
    </row>
    <row r="564">
      <c r="A564" s="68" t="n">
        <v>552</v>
      </c>
      <c r="B564" s="68" t="n">
        <v>551</v>
      </c>
      <c r="C564" s="69" t="n">
        <v>4695.4</v>
      </c>
      <c r="D564" s="69" t="n">
        <v>4660.11195</v>
      </c>
      <c r="E564" s="70">
        <f>C564-D564</f>
        <v/>
      </c>
      <c r="F564" s="70">
        <f>(E564-F757)^2</f>
        <v/>
      </c>
      <c r="G564" s="69">
        <f>(E564-F757)^3</f>
        <v/>
      </c>
      <c r="H564" s="69">
        <f>(E564-F757)^4</f>
        <v/>
      </c>
      <c r="I564" s="68" t="inlineStr"/>
    </row>
    <row r="565">
      <c r="A565" s="65" t="n">
        <v>553</v>
      </c>
      <c r="B565" s="65" t="n">
        <v>552</v>
      </c>
      <c r="C565" s="66" t="n">
        <v>4692.6</v>
      </c>
      <c r="D565" s="66" t="n">
        <v>4660.3144</v>
      </c>
      <c r="E565" s="67">
        <f>C565-D565</f>
        <v/>
      </c>
      <c r="F565" s="67">
        <f>(E565-F757)^2</f>
        <v/>
      </c>
      <c r="G565" s="66">
        <f>(E565-F757)^3</f>
        <v/>
      </c>
      <c r="H565" s="66">
        <f>(E565-F757)^4</f>
        <v/>
      </c>
      <c r="I565" s="65" t="inlineStr"/>
    </row>
    <row r="566">
      <c r="A566" s="68" t="n">
        <v>554</v>
      </c>
      <c r="B566" s="68" t="n">
        <v>553</v>
      </c>
      <c r="C566" s="69" t="n">
        <v>4698.99</v>
      </c>
      <c r="D566" s="69" t="n">
        <v>4660.51684</v>
      </c>
      <c r="E566" s="70">
        <f>C566-D566</f>
        <v/>
      </c>
      <c r="F566" s="70">
        <f>(E566-F757)^2</f>
        <v/>
      </c>
      <c r="G566" s="69">
        <f>(E566-F757)^3</f>
        <v/>
      </c>
      <c r="H566" s="69">
        <f>(E566-F757)^4</f>
        <v/>
      </c>
      <c r="I566" s="68" t="inlineStr"/>
    </row>
    <row r="567">
      <c r="A567" s="65" t="n">
        <v>555</v>
      </c>
      <c r="B567" s="65" t="n">
        <v>554</v>
      </c>
      <c r="C567" s="66" t="n">
        <v>4692.65</v>
      </c>
      <c r="D567" s="66" t="n">
        <v>4660.71929</v>
      </c>
      <c r="E567" s="67">
        <f>C567-D567</f>
        <v/>
      </c>
      <c r="F567" s="67">
        <f>(E567-F757)^2</f>
        <v/>
      </c>
      <c r="G567" s="66">
        <f>(E567-F757)^3</f>
        <v/>
      </c>
      <c r="H567" s="66">
        <f>(E567-F757)^4</f>
        <v/>
      </c>
      <c r="I567" s="65" t="inlineStr"/>
    </row>
    <row r="568">
      <c r="A568" s="68" t="n">
        <v>556</v>
      </c>
      <c r="B568" s="68" t="n">
        <v>555</v>
      </c>
      <c r="C568" s="69" t="n">
        <v>4689.09</v>
      </c>
      <c r="D568" s="69" t="n">
        <v>4660.92173</v>
      </c>
      <c r="E568" s="70">
        <f>C568-D568</f>
        <v/>
      </c>
      <c r="F568" s="70">
        <f>(E568-F757)^2</f>
        <v/>
      </c>
      <c r="G568" s="69">
        <f>(E568-F757)^3</f>
        <v/>
      </c>
      <c r="H568" s="69">
        <f>(E568-F757)^4</f>
        <v/>
      </c>
      <c r="I568" s="68" t="inlineStr"/>
    </row>
    <row r="569">
      <c r="A569" s="65" t="n">
        <v>557</v>
      </c>
      <c r="B569" s="65" t="n">
        <v>556</v>
      </c>
      <c r="C569" s="66" t="n">
        <v>4690.95</v>
      </c>
      <c r="D569" s="66" t="n">
        <v>4661.12418</v>
      </c>
      <c r="E569" s="67">
        <f>C569-D569</f>
        <v/>
      </c>
      <c r="F569" s="67">
        <f>(E569-F757)^2</f>
        <v/>
      </c>
      <c r="G569" s="66">
        <f>(E569-F757)^3</f>
        <v/>
      </c>
      <c r="H569" s="66">
        <f>(E569-F757)^4</f>
        <v/>
      </c>
      <c r="I569" s="65" t="inlineStr"/>
    </row>
    <row r="570">
      <c r="A570" s="68" t="n">
        <v>558</v>
      </c>
      <c r="B570" s="68" t="n">
        <v>557</v>
      </c>
      <c r="C570" s="69" t="n">
        <v>4697.18</v>
      </c>
      <c r="D570" s="69" t="n">
        <v>4661.32662</v>
      </c>
      <c r="E570" s="70">
        <f>C570-D570</f>
        <v/>
      </c>
      <c r="F570" s="70">
        <f>(E570-F757)^2</f>
        <v/>
      </c>
      <c r="G570" s="69">
        <f>(E570-F757)^3</f>
        <v/>
      </c>
      <c r="H570" s="69">
        <f>(E570-F757)^4</f>
        <v/>
      </c>
      <c r="I570" s="68" t="inlineStr"/>
    </row>
    <row r="571">
      <c r="A571" s="65" t="n">
        <v>559</v>
      </c>
      <c r="B571" s="65" t="n">
        <v>558</v>
      </c>
      <c r="C571" s="66" t="n">
        <v>4695.42</v>
      </c>
      <c r="D571" s="66" t="n">
        <v>4661.52907</v>
      </c>
      <c r="E571" s="67">
        <f>C571-D571</f>
        <v/>
      </c>
      <c r="F571" s="67">
        <f>(E571-F757)^2</f>
        <v/>
      </c>
      <c r="G571" s="66">
        <f>(E571-F757)^3</f>
        <v/>
      </c>
      <c r="H571" s="66">
        <f>(E571-F757)^4</f>
        <v/>
      </c>
      <c r="I571" s="65" t="inlineStr"/>
    </row>
    <row r="572">
      <c r="A572" s="68" t="n">
        <v>560</v>
      </c>
      <c r="B572" s="68" t="n">
        <v>559</v>
      </c>
      <c r="C572" s="69" t="n">
        <v>4698.63</v>
      </c>
      <c r="D572" s="69" t="n">
        <v>4661.73152</v>
      </c>
      <c r="E572" s="70">
        <f>C572-D572</f>
        <v/>
      </c>
      <c r="F572" s="70">
        <f>(E572-F757)^2</f>
        <v/>
      </c>
      <c r="G572" s="69">
        <f>(E572-F757)^3</f>
        <v/>
      </c>
      <c r="H572" s="69">
        <f>(E572-F757)^4</f>
        <v/>
      </c>
      <c r="I572" s="68" t="inlineStr"/>
    </row>
    <row r="573">
      <c r="A573" s="65" t="n">
        <v>561</v>
      </c>
      <c r="B573" s="65" t="n">
        <v>560</v>
      </c>
      <c r="C573" s="66" t="n">
        <v>4694.94</v>
      </c>
      <c r="D573" s="66" t="n">
        <v>4661.93396</v>
      </c>
      <c r="E573" s="67">
        <f>C573-D573</f>
        <v/>
      </c>
      <c r="F573" s="67">
        <f>(E573-F757)^2</f>
        <v/>
      </c>
      <c r="G573" s="66">
        <f>(E573-F757)^3</f>
        <v/>
      </c>
      <c r="H573" s="66">
        <f>(E573-F757)^4</f>
        <v/>
      </c>
      <c r="I573" s="65" t="inlineStr"/>
    </row>
    <row r="574">
      <c r="A574" s="68" t="n">
        <v>562</v>
      </c>
      <c r="B574" s="68" t="n">
        <v>561</v>
      </c>
      <c r="C574" s="69" t="n">
        <v>4694.41</v>
      </c>
      <c r="D574" s="69" t="n">
        <v>4662.13641</v>
      </c>
      <c r="E574" s="70">
        <f>C574-D574</f>
        <v/>
      </c>
      <c r="F574" s="70">
        <f>(E574-F757)^2</f>
        <v/>
      </c>
      <c r="G574" s="69">
        <f>(E574-F757)^3</f>
        <v/>
      </c>
      <c r="H574" s="69">
        <f>(E574-F757)^4</f>
        <v/>
      </c>
      <c r="I574" s="68" t="inlineStr"/>
    </row>
    <row r="575">
      <c r="A575" s="65" t="n">
        <v>563</v>
      </c>
      <c r="B575" s="65" t="n">
        <v>562</v>
      </c>
      <c r="C575" s="66" t="n">
        <v>4693.6</v>
      </c>
      <c r="D575" s="66" t="n">
        <v>4662.33885</v>
      </c>
      <c r="E575" s="67">
        <f>C575-D575</f>
        <v/>
      </c>
      <c r="F575" s="67">
        <f>(E575-F757)^2</f>
        <v/>
      </c>
      <c r="G575" s="66">
        <f>(E575-F757)^3</f>
        <v/>
      </c>
      <c r="H575" s="66">
        <f>(E575-F757)^4</f>
        <v/>
      </c>
      <c r="I575" s="65" t="inlineStr"/>
    </row>
    <row r="576">
      <c r="A576" s="68" t="n">
        <v>564</v>
      </c>
      <c r="B576" s="68" t="n">
        <v>563</v>
      </c>
      <c r="C576" s="69" t="n">
        <v>4693.6</v>
      </c>
      <c r="D576" s="69" t="n">
        <v>4662.5413</v>
      </c>
      <c r="E576" s="70">
        <f>C576-D576</f>
        <v/>
      </c>
      <c r="F576" s="70">
        <f>(E576-F757)^2</f>
        <v/>
      </c>
      <c r="G576" s="69">
        <f>(E576-F757)^3</f>
        <v/>
      </c>
      <c r="H576" s="69">
        <f>(E576-F757)^4</f>
        <v/>
      </c>
      <c r="I576" s="68" t="inlineStr"/>
    </row>
    <row r="577">
      <c r="A577" s="65" t="n">
        <v>565</v>
      </c>
      <c r="B577" s="65" t="n">
        <v>564</v>
      </c>
      <c r="C577" s="66" t="n">
        <v>4699</v>
      </c>
      <c r="D577" s="66" t="n">
        <v>4662.74374</v>
      </c>
      <c r="E577" s="67">
        <f>C577-D577</f>
        <v/>
      </c>
      <c r="F577" s="67">
        <f>(E577-F757)^2</f>
        <v/>
      </c>
      <c r="G577" s="66">
        <f>(E577-F757)^3</f>
        <v/>
      </c>
      <c r="H577" s="66">
        <f>(E577-F757)^4</f>
        <v/>
      </c>
      <c r="I577" s="65" t="inlineStr"/>
    </row>
    <row r="578">
      <c r="A578" s="68" t="n">
        <v>566</v>
      </c>
      <c r="B578" s="68" t="n">
        <v>565</v>
      </c>
      <c r="C578" s="69" t="n">
        <v>4699.88</v>
      </c>
      <c r="D578" s="69" t="n">
        <v>4662.94619</v>
      </c>
      <c r="E578" s="70">
        <f>C578-D578</f>
        <v/>
      </c>
      <c r="F578" s="70">
        <f>(E578-F757)^2</f>
        <v/>
      </c>
      <c r="G578" s="69">
        <f>(E578-F757)^3</f>
        <v/>
      </c>
      <c r="H578" s="69">
        <f>(E578-F757)^4</f>
        <v/>
      </c>
      <c r="I578" s="68" t="inlineStr"/>
    </row>
    <row r="579">
      <c r="A579" s="65" t="n">
        <v>567</v>
      </c>
      <c r="B579" s="65" t="n">
        <v>566</v>
      </c>
      <c r="C579" s="66" t="n">
        <v>4692.51</v>
      </c>
      <c r="D579" s="66" t="n">
        <v>4663.14863</v>
      </c>
      <c r="E579" s="67">
        <f>C579-D579</f>
        <v/>
      </c>
      <c r="F579" s="67">
        <f>(E579-F757)^2</f>
        <v/>
      </c>
      <c r="G579" s="66">
        <f>(E579-F757)^3</f>
        <v/>
      </c>
      <c r="H579" s="66">
        <f>(E579-F757)^4</f>
        <v/>
      </c>
      <c r="I579" s="65" t="inlineStr"/>
    </row>
    <row r="580">
      <c r="A580" s="68" t="n">
        <v>568</v>
      </c>
      <c r="B580" s="68" t="n">
        <v>567</v>
      </c>
      <c r="C580" s="69" t="n">
        <v>4688.45</v>
      </c>
      <c r="D580" s="69" t="n">
        <v>4663.35108</v>
      </c>
      <c r="E580" s="70">
        <f>C580-D580</f>
        <v/>
      </c>
      <c r="F580" s="70">
        <f>(E580-F757)^2</f>
        <v/>
      </c>
      <c r="G580" s="69">
        <f>(E580-F757)^3</f>
        <v/>
      </c>
      <c r="H580" s="69">
        <f>(E580-F757)^4</f>
        <v/>
      </c>
      <c r="I580" s="68" t="inlineStr"/>
    </row>
    <row r="581">
      <c r="A581" s="65" t="n">
        <v>569</v>
      </c>
      <c r="B581" s="65" t="n">
        <v>568</v>
      </c>
      <c r="C581" s="66" t="n">
        <v>4688.57</v>
      </c>
      <c r="D581" s="66" t="n">
        <v>4663.55353</v>
      </c>
      <c r="E581" s="67">
        <f>C581-D581</f>
        <v/>
      </c>
      <c r="F581" s="67">
        <f>(E581-F757)^2</f>
        <v/>
      </c>
      <c r="G581" s="66">
        <f>(E581-F757)^3</f>
        <v/>
      </c>
      <c r="H581" s="66">
        <f>(E581-F757)^4</f>
        <v/>
      </c>
      <c r="I581" s="65" t="inlineStr"/>
    </row>
    <row r="582">
      <c r="A582" s="68" t="n">
        <v>570</v>
      </c>
      <c r="B582" s="68" t="n">
        <v>569</v>
      </c>
      <c r="C582" s="69" t="n">
        <v>4709.88</v>
      </c>
      <c r="D582" s="69" t="n">
        <v>4663.75597</v>
      </c>
      <c r="E582" s="70">
        <f>C582-D582</f>
        <v/>
      </c>
      <c r="F582" s="70">
        <f>(E582-F757)^2</f>
        <v/>
      </c>
      <c r="G582" s="69">
        <f>(E582-F757)^3</f>
        <v/>
      </c>
      <c r="H582" s="69">
        <f>(E582-F757)^4</f>
        <v/>
      </c>
      <c r="I582" s="68" t="inlineStr"/>
    </row>
    <row r="583">
      <c r="A583" s="65" t="n">
        <v>571</v>
      </c>
      <c r="B583" s="65" t="n">
        <v>570</v>
      </c>
      <c r="C583" s="66" t="n">
        <v>4704.22</v>
      </c>
      <c r="D583" s="66" t="n">
        <v>4663.95842</v>
      </c>
      <c r="E583" s="67">
        <f>C583-D583</f>
        <v/>
      </c>
      <c r="F583" s="67">
        <f>(E583-F757)^2</f>
        <v/>
      </c>
      <c r="G583" s="66">
        <f>(E583-F757)^3</f>
        <v/>
      </c>
      <c r="H583" s="66">
        <f>(E583-F757)^4</f>
        <v/>
      </c>
      <c r="I583" s="65" t="inlineStr"/>
    </row>
    <row r="584">
      <c r="A584" s="68" t="n">
        <v>572</v>
      </c>
      <c r="B584" s="68" t="n">
        <v>571</v>
      </c>
      <c r="C584" s="69" t="n">
        <v>4712.93</v>
      </c>
      <c r="D584" s="69" t="n">
        <v>4664.16086</v>
      </c>
      <c r="E584" s="70">
        <f>C584-D584</f>
        <v/>
      </c>
      <c r="F584" s="70">
        <f>(E584-F757)^2</f>
        <v/>
      </c>
      <c r="G584" s="69">
        <f>(E584-F757)^3</f>
        <v/>
      </c>
      <c r="H584" s="69">
        <f>(E584-F757)^4</f>
        <v/>
      </c>
      <c r="I584" s="68" t="inlineStr"/>
    </row>
    <row r="585">
      <c r="A585" s="65" t="n">
        <v>573</v>
      </c>
      <c r="B585" s="65" t="n">
        <v>572</v>
      </c>
      <c r="C585" s="66" t="n">
        <v>4714.86</v>
      </c>
      <c r="D585" s="66" t="n">
        <v>4664.36331</v>
      </c>
      <c r="E585" s="67">
        <f>C585-D585</f>
        <v/>
      </c>
      <c r="F585" s="67">
        <f>(E585-F757)^2</f>
        <v/>
      </c>
      <c r="G585" s="66">
        <f>(E585-F757)^3</f>
        <v/>
      </c>
      <c r="H585" s="66">
        <f>(E585-F757)^4</f>
        <v/>
      </c>
      <c r="I585" s="65" t="inlineStr"/>
    </row>
    <row r="586">
      <c r="A586" s="68" t="n">
        <v>574</v>
      </c>
      <c r="B586" s="68" t="n">
        <v>573</v>
      </c>
      <c r="C586" s="69" t="n">
        <v>4704.21</v>
      </c>
      <c r="D586" s="69" t="n">
        <v>4664.56575</v>
      </c>
      <c r="E586" s="70">
        <f>C586-D586</f>
        <v/>
      </c>
      <c r="F586" s="70">
        <f>(E586-F757)^2</f>
        <v/>
      </c>
      <c r="G586" s="69">
        <f>(E586-F757)^3</f>
        <v/>
      </c>
      <c r="H586" s="69">
        <f>(E586-F757)^4</f>
        <v/>
      </c>
      <c r="I586" s="68" t="inlineStr"/>
    </row>
    <row r="587">
      <c r="A587" s="65" t="n">
        <v>575</v>
      </c>
      <c r="B587" s="65" t="n">
        <v>574</v>
      </c>
      <c r="C587" s="66" t="n">
        <v>4702.84</v>
      </c>
      <c r="D587" s="66" t="n">
        <v>4664.7682</v>
      </c>
      <c r="E587" s="67">
        <f>C587-D587</f>
        <v/>
      </c>
      <c r="F587" s="67">
        <f>(E587-F757)^2</f>
        <v/>
      </c>
      <c r="G587" s="66">
        <f>(E587-F757)^3</f>
        <v/>
      </c>
      <c r="H587" s="66">
        <f>(E587-F757)^4</f>
        <v/>
      </c>
      <c r="I587" s="65" t="inlineStr"/>
    </row>
    <row r="588">
      <c r="A588" s="68" t="n">
        <v>576</v>
      </c>
      <c r="B588" s="68" t="n">
        <v>575</v>
      </c>
      <c r="C588" s="69" t="n">
        <v>4704.24</v>
      </c>
      <c r="D588" s="69" t="n">
        <v>4664.97065</v>
      </c>
      <c r="E588" s="70">
        <f>C588-D588</f>
        <v/>
      </c>
      <c r="F588" s="70">
        <f>(E588-F757)^2</f>
        <v/>
      </c>
      <c r="G588" s="69">
        <f>(E588-F757)^3</f>
        <v/>
      </c>
      <c r="H588" s="69">
        <f>(E588-F757)^4</f>
        <v/>
      </c>
      <c r="I588" s="68" t="inlineStr"/>
    </row>
    <row r="589">
      <c r="A589" s="65" t="n">
        <v>577</v>
      </c>
      <c r="B589" s="65" t="n">
        <v>576</v>
      </c>
      <c r="C589" s="66" t="n">
        <v>4707.22</v>
      </c>
      <c r="D589" s="66" t="n">
        <v>4665.17309</v>
      </c>
      <c r="E589" s="67">
        <f>C589-D589</f>
        <v/>
      </c>
      <c r="F589" s="67">
        <f>(E589-F757)^2</f>
        <v/>
      </c>
      <c r="G589" s="66">
        <f>(E589-F757)^3</f>
        <v/>
      </c>
      <c r="H589" s="66">
        <f>(E589-F757)^4</f>
        <v/>
      </c>
      <c r="I589" s="65" t="inlineStr"/>
    </row>
    <row r="590">
      <c r="A590" s="68" t="n">
        <v>578</v>
      </c>
      <c r="B590" s="68" t="n">
        <v>577</v>
      </c>
      <c r="C590" s="69" t="n">
        <v>4705.93</v>
      </c>
      <c r="D590" s="69" t="n">
        <v>4665.37554</v>
      </c>
      <c r="E590" s="70">
        <f>C590-D590</f>
        <v/>
      </c>
      <c r="F590" s="70">
        <f>(E590-F757)^2</f>
        <v/>
      </c>
      <c r="G590" s="69">
        <f>(E590-F757)^3</f>
        <v/>
      </c>
      <c r="H590" s="69">
        <f>(E590-F757)^4</f>
        <v/>
      </c>
      <c r="I590" s="68" t="inlineStr"/>
    </row>
    <row r="591">
      <c r="A591" s="65" t="n">
        <v>579</v>
      </c>
      <c r="B591" s="65" t="n">
        <v>578</v>
      </c>
      <c r="C591" s="66" t="n">
        <v>4704.6</v>
      </c>
      <c r="D591" s="66" t="n">
        <v>4665.57798</v>
      </c>
      <c r="E591" s="67">
        <f>C591-D591</f>
        <v/>
      </c>
      <c r="F591" s="67">
        <f>(E591-F757)^2</f>
        <v/>
      </c>
      <c r="G591" s="66">
        <f>(E591-F757)^3</f>
        <v/>
      </c>
      <c r="H591" s="66">
        <f>(E591-F757)^4</f>
        <v/>
      </c>
      <c r="I591" s="65" t="inlineStr"/>
    </row>
    <row r="592">
      <c r="A592" s="68" t="n">
        <v>580</v>
      </c>
      <c r="B592" s="68" t="n">
        <v>579</v>
      </c>
      <c r="C592" s="69" t="n">
        <v>4703.96</v>
      </c>
      <c r="D592" s="69" t="n">
        <v>4665.78043</v>
      </c>
      <c r="E592" s="70">
        <f>C592-D592</f>
        <v/>
      </c>
      <c r="F592" s="70">
        <f>(E592-F757)^2</f>
        <v/>
      </c>
      <c r="G592" s="69">
        <f>(E592-F757)^3</f>
        <v/>
      </c>
      <c r="H592" s="69">
        <f>(E592-F757)^4</f>
        <v/>
      </c>
      <c r="I592" s="68" t="inlineStr"/>
    </row>
    <row r="593">
      <c r="A593" s="65" t="n">
        <v>581</v>
      </c>
      <c r="B593" s="65" t="n">
        <v>580</v>
      </c>
      <c r="C593" s="66" t="n">
        <v>4699.11</v>
      </c>
      <c r="D593" s="66" t="n">
        <v>4665.98287</v>
      </c>
      <c r="E593" s="67">
        <f>C593-D593</f>
        <v/>
      </c>
      <c r="F593" s="67">
        <f>(E593-F757)^2</f>
        <v/>
      </c>
      <c r="G593" s="66">
        <f>(E593-F757)^3</f>
        <v/>
      </c>
      <c r="H593" s="66">
        <f>(E593-F757)^4</f>
        <v/>
      </c>
      <c r="I593" s="65" t="inlineStr"/>
    </row>
    <row r="594">
      <c r="A594" s="68" t="n">
        <v>582</v>
      </c>
      <c r="B594" s="68" t="n">
        <v>581</v>
      </c>
      <c r="C594" s="69" t="n">
        <v>4696.87</v>
      </c>
      <c r="D594" s="69" t="n">
        <v>4666.18532</v>
      </c>
      <c r="E594" s="70">
        <f>C594-D594</f>
        <v/>
      </c>
      <c r="F594" s="70">
        <f>(E594-F757)^2</f>
        <v/>
      </c>
      <c r="G594" s="69">
        <f>(E594-F757)^3</f>
        <v/>
      </c>
      <c r="H594" s="69">
        <f>(E594-F757)^4</f>
        <v/>
      </c>
      <c r="I594" s="68" t="inlineStr"/>
    </row>
    <row r="595">
      <c r="A595" s="65" t="n">
        <v>583</v>
      </c>
      <c r="B595" s="65" t="n">
        <v>582</v>
      </c>
      <c r="C595" s="66" t="n">
        <v>4696.79</v>
      </c>
      <c r="D595" s="66" t="n">
        <v>4666.38777</v>
      </c>
      <c r="E595" s="67">
        <f>C595-D595</f>
        <v/>
      </c>
      <c r="F595" s="67">
        <f>(E595-F757)^2</f>
        <v/>
      </c>
      <c r="G595" s="66">
        <f>(E595-F757)^3</f>
        <v/>
      </c>
      <c r="H595" s="66">
        <f>(E595-F757)^4</f>
        <v/>
      </c>
      <c r="I595" s="65" t="inlineStr"/>
    </row>
    <row r="596">
      <c r="A596" s="68" t="n">
        <v>584</v>
      </c>
      <c r="B596" s="68" t="n">
        <v>583</v>
      </c>
      <c r="C596" s="69" t="n">
        <v>4698.15</v>
      </c>
      <c r="D596" s="69" t="n">
        <v>4666.59021</v>
      </c>
      <c r="E596" s="70">
        <f>C596-D596</f>
        <v/>
      </c>
      <c r="F596" s="70">
        <f>(E596-F757)^2</f>
        <v/>
      </c>
      <c r="G596" s="69">
        <f>(E596-F757)^3</f>
        <v/>
      </c>
      <c r="H596" s="69">
        <f>(E596-F757)^4</f>
        <v/>
      </c>
      <c r="I596" s="68" t="inlineStr"/>
    </row>
    <row r="597">
      <c r="A597" s="65" t="n">
        <v>585</v>
      </c>
      <c r="B597" s="65" t="n">
        <v>584</v>
      </c>
      <c r="C597" s="66" t="n">
        <v>4696.48</v>
      </c>
      <c r="D597" s="66" t="n">
        <v>4666.79266</v>
      </c>
      <c r="E597" s="67">
        <f>C597-D597</f>
        <v/>
      </c>
      <c r="F597" s="67">
        <f>(E597-F757)^2</f>
        <v/>
      </c>
      <c r="G597" s="66">
        <f>(E597-F757)^3</f>
        <v/>
      </c>
      <c r="H597" s="66">
        <f>(E597-F757)^4</f>
        <v/>
      </c>
      <c r="I597" s="65" t="inlineStr"/>
    </row>
    <row r="598">
      <c r="A598" s="68" t="n">
        <v>586</v>
      </c>
      <c r="B598" s="68" t="n">
        <v>585</v>
      </c>
      <c r="C598" s="69" t="n">
        <v>4700.45</v>
      </c>
      <c r="D598" s="69" t="n">
        <v>4666.9951</v>
      </c>
      <c r="E598" s="70">
        <f>C598-D598</f>
        <v/>
      </c>
      <c r="F598" s="70">
        <f>(E598-F757)^2</f>
        <v/>
      </c>
      <c r="G598" s="69">
        <f>(E598-F757)^3</f>
        <v/>
      </c>
      <c r="H598" s="69">
        <f>(E598-F757)^4</f>
        <v/>
      </c>
      <c r="I598" s="68" t="inlineStr"/>
    </row>
    <row r="599">
      <c r="A599" s="65" t="n">
        <v>587</v>
      </c>
      <c r="B599" s="65" t="n">
        <v>586</v>
      </c>
      <c r="C599" s="66" t="n">
        <v>4696.05</v>
      </c>
      <c r="D599" s="66" t="n">
        <v>4667.19755</v>
      </c>
      <c r="E599" s="67">
        <f>C599-D599</f>
        <v/>
      </c>
      <c r="F599" s="67">
        <f>(E599-F757)^2</f>
        <v/>
      </c>
      <c r="G599" s="66">
        <f>(E599-F757)^3</f>
        <v/>
      </c>
      <c r="H599" s="66">
        <f>(E599-F757)^4</f>
        <v/>
      </c>
      <c r="I599" s="65" t="inlineStr"/>
    </row>
    <row r="600">
      <c r="A600" s="68" t="n">
        <v>588</v>
      </c>
      <c r="B600" s="68" t="n">
        <v>587</v>
      </c>
      <c r="C600" s="69" t="n">
        <v>4703.63</v>
      </c>
      <c r="D600" s="69" t="n">
        <v>4667.39999</v>
      </c>
      <c r="E600" s="70">
        <f>C600-D600</f>
        <v/>
      </c>
      <c r="F600" s="70">
        <f>(E600-F757)^2</f>
        <v/>
      </c>
      <c r="G600" s="69">
        <f>(E600-F757)^3</f>
        <v/>
      </c>
      <c r="H600" s="69">
        <f>(E600-F757)^4</f>
        <v/>
      </c>
      <c r="I600" s="68" t="inlineStr"/>
    </row>
    <row r="601">
      <c r="A601" s="65" t="n">
        <v>589</v>
      </c>
      <c r="B601" s="65" t="n">
        <v>588</v>
      </c>
      <c r="C601" s="66" t="n">
        <v>4701.22</v>
      </c>
      <c r="D601" s="66" t="n">
        <v>4667.60244</v>
      </c>
      <c r="E601" s="67">
        <f>C601-D601</f>
        <v/>
      </c>
      <c r="F601" s="67">
        <f>(E601-F757)^2</f>
        <v/>
      </c>
      <c r="G601" s="66">
        <f>(E601-F757)^3</f>
        <v/>
      </c>
      <c r="H601" s="66">
        <f>(E601-F757)^4</f>
        <v/>
      </c>
      <c r="I601" s="65" t="inlineStr"/>
    </row>
    <row r="602">
      <c r="A602" s="68" t="n">
        <v>590</v>
      </c>
      <c r="B602" s="68" t="n">
        <v>589</v>
      </c>
      <c r="C602" s="69" t="n">
        <v>4708.23</v>
      </c>
      <c r="D602" s="69" t="n">
        <v>4667.80489</v>
      </c>
      <c r="E602" s="70">
        <f>C602-D602</f>
        <v/>
      </c>
      <c r="F602" s="70">
        <f>(E602-F757)^2</f>
        <v/>
      </c>
      <c r="G602" s="69">
        <f>(E602-F757)^3</f>
        <v/>
      </c>
      <c r="H602" s="69">
        <f>(E602-F757)^4</f>
        <v/>
      </c>
      <c r="I602" s="68" t="inlineStr"/>
    </row>
    <row r="603">
      <c r="A603" s="65" t="n">
        <v>591</v>
      </c>
      <c r="B603" s="65" t="n">
        <v>590</v>
      </c>
      <c r="C603" s="66" t="n">
        <v>4717.42</v>
      </c>
      <c r="D603" s="66" t="n">
        <v>4668.00733</v>
      </c>
      <c r="E603" s="67">
        <f>C603-D603</f>
        <v/>
      </c>
      <c r="F603" s="67">
        <f>(E603-F757)^2</f>
        <v/>
      </c>
      <c r="G603" s="66">
        <f>(E603-F757)^3</f>
        <v/>
      </c>
      <c r="H603" s="66">
        <f>(E603-F757)^4</f>
        <v/>
      </c>
      <c r="I603" s="65" t="inlineStr"/>
    </row>
    <row r="604">
      <c r="A604" s="68" t="n">
        <v>592</v>
      </c>
      <c r="B604" s="68" t="n">
        <v>591</v>
      </c>
      <c r="C604" s="69" t="n">
        <v>4746.02</v>
      </c>
      <c r="D604" s="69" t="n">
        <v>4668.20978</v>
      </c>
      <c r="E604" s="70">
        <f>C604-D604</f>
        <v/>
      </c>
      <c r="F604" s="70">
        <f>(E604-F757)^2</f>
        <v/>
      </c>
      <c r="G604" s="69">
        <f>(E604-F757)^3</f>
        <v/>
      </c>
      <c r="H604" s="69">
        <f>(E604-F757)^4</f>
        <v/>
      </c>
      <c r="I604" s="68" t="inlineStr"/>
    </row>
    <row r="605">
      <c r="A605" s="65" t="n">
        <v>593</v>
      </c>
      <c r="B605" s="65" t="n">
        <v>592</v>
      </c>
      <c r="C605" s="66" t="n">
        <v>4739.12</v>
      </c>
      <c r="D605" s="66" t="n">
        <v>4668.41222</v>
      </c>
      <c r="E605" s="67">
        <f>C605-D605</f>
        <v/>
      </c>
      <c r="F605" s="67">
        <f>(E605-F757)^2</f>
        <v/>
      </c>
      <c r="G605" s="66">
        <f>(E605-F757)^3</f>
        <v/>
      </c>
      <c r="H605" s="66">
        <f>(E605-F757)^4</f>
        <v/>
      </c>
      <c r="I605" s="65" t="inlineStr"/>
    </row>
    <row r="606">
      <c r="A606" s="68" t="n">
        <v>594</v>
      </c>
      <c r="B606" s="68" t="n">
        <v>593</v>
      </c>
      <c r="C606" s="69" t="n">
        <v>4749.05</v>
      </c>
      <c r="D606" s="69" t="n">
        <v>4668.61467</v>
      </c>
      <c r="E606" s="70">
        <f>C606-D606</f>
        <v/>
      </c>
      <c r="F606" s="70">
        <f>(E606-F757)^2</f>
        <v/>
      </c>
      <c r="G606" s="69">
        <f>(E606-F757)^3</f>
        <v/>
      </c>
      <c r="H606" s="69">
        <f>(E606-F757)^4</f>
        <v/>
      </c>
      <c r="I606" s="68" t="inlineStr"/>
    </row>
    <row r="607">
      <c r="A607" s="65" t="n">
        <v>595</v>
      </c>
      <c r="B607" s="65" t="n">
        <v>594</v>
      </c>
      <c r="C607" s="66" t="n">
        <v>4739.5</v>
      </c>
      <c r="D607" s="66" t="n">
        <v>4668.81711</v>
      </c>
      <c r="E607" s="67">
        <f>C607-D607</f>
        <v/>
      </c>
      <c r="F607" s="67">
        <f>(E607-F757)^2</f>
        <v/>
      </c>
      <c r="G607" s="66">
        <f>(E607-F757)^3</f>
        <v/>
      </c>
      <c r="H607" s="66">
        <f>(E607-F757)^4</f>
        <v/>
      </c>
      <c r="I607" s="65" t="inlineStr"/>
    </row>
    <row r="608">
      <c r="A608" s="68" t="n">
        <v>596</v>
      </c>
      <c r="B608" s="68" t="n">
        <v>595</v>
      </c>
      <c r="C608" s="69" t="n">
        <v>4742.88</v>
      </c>
      <c r="D608" s="69" t="n">
        <v>4669.01956</v>
      </c>
      <c r="E608" s="70">
        <f>C608-D608</f>
        <v/>
      </c>
      <c r="F608" s="70">
        <f>(E608-F757)^2</f>
        <v/>
      </c>
      <c r="G608" s="69">
        <f>(E608-F757)^3</f>
        <v/>
      </c>
      <c r="H608" s="69">
        <f>(E608-F757)^4</f>
        <v/>
      </c>
      <c r="I608" s="68" t="inlineStr"/>
    </row>
    <row r="609">
      <c r="A609" s="65" t="n">
        <v>597</v>
      </c>
      <c r="B609" s="65" t="n">
        <v>596</v>
      </c>
      <c r="C609" s="66" t="n">
        <v>4743.06</v>
      </c>
      <c r="D609" s="66" t="n">
        <v>4669.22201</v>
      </c>
      <c r="E609" s="67">
        <f>C609-D609</f>
        <v/>
      </c>
      <c r="F609" s="67">
        <f>(E609-F757)^2</f>
        <v/>
      </c>
      <c r="G609" s="66">
        <f>(E609-F757)^3</f>
        <v/>
      </c>
      <c r="H609" s="66">
        <f>(E609-F757)^4</f>
        <v/>
      </c>
      <c r="I609" s="65" t="inlineStr"/>
    </row>
    <row r="610">
      <c r="A610" s="68" t="n">
        <v>598</v>
      </c>
      <c r="B610" s="68" t="n">
        <v>597</v>
      </c>
      <c r="C610" s="69" t="n">
        <v>4742.66</v>
      </c>
      <c r="D610" s="69" t="n">
        <v>4669.42445</v>
      </c>
      <c r="E610" s="70">
        <f>C610-D610</f>
        <v/>
      </c>
      <c r="F610" s="70">
        <f>(E610-F757)^2</f>
        <v/>
      </c>
      <c r="G610" s="69">
        <f>(E610-F757)^3</f>
        <v/>
      </c>
      <c r="H610" s="69">
        <f>(E610-F757)^4</f>
        <v/>
      </c>
      <c r="I610" s="68" t="inlineStr"/>
    </row>
    <row r="611">
      <c r="A611" s="65" t="n">
        <v>599</v>
      </c>
      <c r="B611" s="65" t="n">
        <v>598</v>
      </c>
      <c r="C611" s="66" t="n">
        <v>4739.74</v>
      </c>
      <c r="D611" s="66" t="n">
        <v>4669.6269</v>
      </c>
      <c r="E611" s="67">
        <f>C611-D611</f>
        <v/>
      </c>
      <c r="F611" s="67">
        <f>(E611-F757)^2</f>
        <v/>
      </c>
      <c r="G611" s="66">
        <f>(E611-F757)^3</f>
        <v/>
      </c>
      <c r="H611" s="66">
        <f>(E611-F757)^4</f>
        <v/>
      </c>
      <c r="I611" s="65" t="inlineStr"/>
    </row>
    <row r="612">
      <c r="A612" s="68" t="n">
        <v>600</v>
      </c>
      <c r="B612" s="68" t="n">
        <v>599</v>
      </c>
      <c r="C612" s="69" t="n">
        <v>4735.34</v>
      </c>
      <c r="D612" s="69" t="n">
        <v>4669.82934</v>
      </c>
      <c r="E612" s="70">
        <f>C612-D612</f>
        <v/>
      </c>
      <c r="F612" s="70">
        <f>(E612-F757)^2</f>
        <v/>
      </c>
      <c r="G612" s="69">
        <f>(E612-F757)^3</f>
        <v/>
      </c>
      <c r="H612" s="69">
        <f>(E612-F757)^4</f>
        <v/>
      </c>
      <c r="I612" s="68" t="inlineStr"/>
    </row>
    <row r="613">
      <c r="A613" s="65" t="n">
        <v>601</v>
      </c>
      <c r="B613" s="65" t="n">
        <v>600</v>
      </c>
      <c r="C613" s="66" t="n">
        <v>4731.02</v>
      </c>
      <c r="D613" s="66" t="n">
        <v>4670.03179</v>
      </c>
      <c r="E613" s="67">
        <f>C613-D613</f>
        <v/>
      </c>
      <c r="F613" s="67">
        <f>(E613-F757)^2</f>
        <v/>
      </c>
      <c r="G613" s="66">
        <f>(E613-F757)^3</f>
        <v/>
      </c>
      <c r="H613" s="66">
        <f>(E613-F757)^4</f>
        <v/>
      </c>
      <c r="I613" s="65" t="inlineStr"/>
    </row>
    <row r="614">
      <c r="A614" s="68" t="n">
        <v>602</v>
      </c>
      <c r="B614" s="68" t="n">
        <v>601</v>
      </c>
      <c r="C614" s="69" t="n">
        <v>4734.22</v>
      </c>
      <c r="D614" s="69" t="n">
        <v>4670.23423</v>
      </c>
      <c r="E614" s="70">
        <f>C614-D614</f>
        <v/>
      </c>
      <c r="F614" s="70">
        <f>(E614-F757)^2</f>
        <v/>
      </c>
      <c r="G614" s="69">
        <f>(E614-F757)^3</f>
        <v/>
      </c>
      <c r="H614" s="69">
        <f>(E614-F757)^4</f>
        <v/>
      </c>
      <c r="I614" s="68" t="inlineStr"/>
    </row>
    <row r="615">
      <c r="A615" s="65" t="n">
        <v>603</v>
      </c>
      <c r="B615" s="65" t="n">
        <v>602</v>
      </c>
      <c r="C615" s="66" t="n">
        <v>4735.64</v>
      </c>
      <c r="D615" s="66" t="n">
        <v>4670.43668</v>
      </c>
      <c r="E615" s="67">
        <f>C615-D615</f>
        <v/>
      </c>
      <c r="F615" s="67">
        <f>(E615-F757)^2</f>
        <v/>
      </c>
      <c r="G615" s="66">
        <f>(E615-F757)^3</f>
        <v/>
      </c>
      <c r="H615" s="66">
        <f>(E615-F757)^4</f>
        <v/>
      </c>
      <c r="I615" s="65" t="inlineStr"/>
    </row>
    <row r="616">
      <c r="A616" s="68" t="n">
        <v>604</v>
      </c>
      <c r="B616" s="68" t="n">
        <v>603</v>
      </c>
      <c r="C616" s="69" t="n">
        <v>4737.77</v>
      </c>
      <c r="D616" s="69" t="n">
        <v>4670.63913</v>
      </c>
      <c r="E616" s="70">
        <f>C616-D616</f>
        <v/>
      </c>
      <c r="F616" s="70">
        <f>(E616-F757)^2</f>
        <v/>
      </c>
      <c r="G616" s="69">
        <f>(E616-F757)^3</f>
        <v/>
      </c>
      <c r="H616" s="69">
        <f>(E616-F757)^4</f>
        <v/>
      </c>
      <c r="I616" s="68" t="inlineStr"/>
    </row>
    <row r="617">
      <c r="A617" s="65" t="n">
        <v>605</v>
      </c>
      <c r="B617" s="65" t="n">
        <v>604</v>
      </c>
      <c r="C617" s="66" t="n">
        <v>4729.06</v>
      </c>
      <c r="D617" s="66" t="n">
        <v>4670.84157</v>
      </c>
      <c r="E617" s="67">
        <f>C617-D617</f>
        <v/>
      </c>
      <c r="F617" s="67">
        <f>(E617-F757)^2</f>
        <v/>
      </c>
      <c r="G617" s="66">
        <f>(E617-F757)^3</f>
        <v/>
      </c>
      <c r="H617" s="66">
        <f>(E617-F757)^4</f>
        <v/>
      </c>
      <c r="I617" s="65" t="inlineStr"/>
    </row>
    <row r="618">
      <c r="A618" s="68" t="n">
        <v>606</v>
      </c>
      <c r="B618" s="68" t="n">
        <v>605</v>
      </c>
      <c r="C618" s="69" t="n">
        <v>4734.98</v>
      </c>
      <c r="D618" s="69" t="n">
        <v>4671.04402</v>
      </c>
      <c r="E618" s="70">
        <f>C618-D618</f>
        <v/>
      </c>
      <c r="F618" s="70">
        <f>(E618-F757)^2</f>
        <v/>
      </c>
      <c r="G618" s="69">
        <f>(E618-F757)^3</f>
        <v/>
      </c>
      <c r="H618" s="69">
        <f>(E618-F757)^4</f>
        <v/>
      </c>
      <c r="I618" s="68" t="inlineStr"/>
    </row>
    <row r="619">
      <c r="A619" s="65" t="n">
        <v>607</v>
      </c>
      <c r="B619" s="65" t="n">
        <v>606</v>
      </c>
      <c r="C619" s="66" t="n">
        <v>4732.57</v>
      </c>
      <c r="D619" s="66" t="n">
        <v>4671.24646</v>
      </c>
      <c r="E619" s="67">
        <f>C619-D619</f>
        <v/>
      </c>
      <c r="F619" s="67">
        <f>(E619-F757)^2</f>
        <v/>
      </c>
      <c r="G619" s="66">
        <f>(E619-F757)^3</f>
        <v/>
      </c>
      <c r="H619" s="66">
        <f>(E619-F757)^4</f>
        <v/>
      </c>
      <c r="I619" s="65" t="inlineStr"/>
    </row>
    <row r="620">
      <c r="A620" s="68" t="n">
        <v>608</v>
      </c>
      <c r="B620" s="68" t="n">
        <v>607</v>
      </c>
      <c r="C620" s="69" t="n">
        <v>4739.17</v>
      </c>
      <c r="D620" s="69" t="n">
        <v>4671.44891</v>
      </c>
      <c r="E620" s="70">
        <f>C620-D620</f>
        <v/>
      </c>
      <c r="F620" s="70">
        <f>(E620-F757)^2</f>
        <v/>
      </c>
      <c r="G620" s="69">
        <f>(E620-F757)^3</f>
        <v/>
      </c>
      <c r="H620" s="69">
        <f>(E620-F757)^4</f>
        <v/>
      </c>
      <c r="I620" s="68" t="inlineStr"/>
    </row>
    <row r="621">
      <c r="A621" s="65" t="n">
        <v>609</v>
      </c>
      <c r="B621" s="65" t="n">
        <v>608</v>
      </c>
      <c r="C621" s="66" t="n">
        <v>4735.69</v>
      </c>
      <c r="D621" s="66" t="n">
        <v>4671.65135</v>
      </c>
      <c r="E621" s="67">
        <f>C621-D621</f>
        <v/>
      </c>
      <c r="F621" s="67">
        <f>(E621-F757)^2</f>
        <v/>
      </c>
      <c r="G621" s="66">
        <f>(E621-F757)^3</f>
        <v/>
      </c>
      <c r="H621" s="66">
        <f>(E621-F757)^4</f>
        <v/>
      </c>
      <c r="I621" s="65" t="inlineStr"/>
    </row>
    <row r="622">
      <c r="A622" s="68" t="n">
        <v>610</v>
      </c>
      <c r="B622" s="68" t="n">
        <v>609</v>
      </c>
      <c r="C622" s="69" t="n">
        <v>4730.38</v>
      </c>
      <c r="D622" s="69" t="n">
        <v>4671.8538</v>
      </c>
      <c r="E622" s="70">
        <f>C622-D622</f>
        <v/>
      </c>
      <c r="F622" s="70">
        <f>(E622-F757)^2</f>
        <v/>
      </c>
      <c r="G622" s="69">
        <f>(E622-F757)^3</f>
        <v/>
      </c>
      <c r="H622" s="69">
        <f>(E622-F757)^4</f>
        <v/>
      </c>
      <c r="I622" s="68" t="inlineStr"/>
    </row>
    <row r="623">
      <c r="A623" s="65" t="n">
        <v>611</v>
      </c>
      <c r="B623" s="65" t="n">
        <v>610</v>
      </c>
      <c r="C623" s="66" t="n">
        <v>4732.68</v>
      </c>
      <c r="D623" s="66" t="n">
        <v>4672.05625</v>
      </c>
      <c r="E623" s="67">
        <f>C623-D623</f>
        <v/>
      </c>
      <c r="F623" s="67">
        <f>(E623-F757)^2</f>
        <v/>
      </c>
      <c r="G623" s="66">
        <f>(E623-F757)^3</f>
        <v/>
      </c>
      <c r="H623" s="66">
        <f>(E623-F757)^4</f>
        <v/>
      </c>
      <c r="I623" s="65" t="inlineStr"/>
    </row>
    <row r="624">
      <c r="A624" s="68" t="n">
        <v>612</v>
      </c>
      <c r="B624" s="68" t="n">
        <v>611</v>
      </c>
      <c r="C624" s="69" t="n">
        <v>4736.98</v>
      </c>
      <c r="D624" s="69" t="n">
        <v>4672.25869</v>
      </c>
      <c r="E624" s="70">
        <f>C624-D624</f>
        <v/>
      </c>
      <c r="F624" s="70">
        <f>(E624-F757)^2</f>
        <v/>
      </c>
      <c r="G624" s="69">
        <f>(E624-F757)^3</f>
        <v/>
      </c>
      <c r="H624" s="69">
        <f>(E624-F757)^4</f>
        <v/>
      </c>
      <c r="I624" s="68" t="inlineStr"/>
    </row>
    <row r="625">
      <c r="A625" s="65" t="n">
        <v>613</v>
      </c>
      <c r="B625" s="65" t="n">
        <v>612</v>
      </c>
      <c r="C625" s="66" t="n">
        <v>4742.8</v>
      </c>
      <c r="D625" s="66" t="n">
        <v>4672.46114</v>
      </c>
      <c r="E625" s="67">
        <f>C625-D625</f>
        <v/>
      </c>
      <c r="F625" s="67">
        <f>(E625-F757)^2</f>
        <v/>
      </c>
      <c r="G625" s="66">
        <f>(E625-F757)^3</f>
        <v/>
      </c>
      <c r="H625" s="66">
        <f>(E625-F757)^4</f>
        <v/>
      </c>
      <c r="I625" s="65" t="inlineStr"/>
    </row>
    <row r="626">
      <c r="A626" s="68" t="n">
        <v>614</v>
      </c>
      <c r="B626" s="68" t="n">
        <v>613</v>
      </c>
      <c r="C626" s="69" t="n">
        <v>4744.19</v>
      </c>
      <c r="D626" s="69" t="n">
        <v>4672.66358</v>
      </c>
      <c r="E626" s="70">
        <f>C626-D626</f>
        <v/>
      </c>
      <c r="F626" s="70">
        <f>(E626-F757)^2</f>
        <v/>
      </c>
      <c r="G626" s="69">
        <f>(E626-F757)^3</f>
        <v/>
      </c>
      <c r="H626" s="69">
        <f>(E626-F757)^4</f>
        <v/>
      </c>
      <c r="I626" s="68" t="inlineStr"/>
    </row>
    <row r="627">
      <c r="A627" s="65" t="n">
        <v>615</v>
      </c>
      <c r="B627" s="65" t="n">
        <v>614</v>
      </c>
      <c r="C627" s="66" t="n">
        <v>4738.16</v>
      </c>
      <c r="D627" s="66" t="n">
        <v>4672.86603</v>
      </c>
      <c r="E627" s="67">
        <f>C627-D627</f>
        <v/>
      </c>
      <c r="F627" s="67">
        <f>(E627-F757)^2</f>
        <v/>
      </c>
      <c r="G627" s="66">
        <f>(E627-F757)^3</f>
        <v/>
      </c>
      <c r="H627" s="66">
        <f>(E627-F757)^4</f>
        <v/>
      </c>
      <c r="I627" s="65" t="inlineStr"/>
    </row>
    <row r="628">
      <c r="A628" s="68" t="n">
        <v>616</v>
      </c>
      <c r="B628" s="68" t="n">
        <v>615</v>
      </c>
      <c r="C628" s="69" t="n">
        <v>4751.15</v>
      </c>
      <c r="D628" s="69" t="n">
        <v>4673.06847</v>
      </c>
      <c r="E628" s="70">
        <f>C628-D628</f>
        <v/>
      </c>
      <c r="F628" s="70">
        <f>(E628-F757)^2</f>
        <v/>
      </c>
      <c r="G628" s="69">
        <f>(E628-F757)^3</f>
        <v/>
      </c>
      <c r="H628" s="69">
        <f>(E628-F757)^4</f>
        <v/>
      </c>
      <c r="I628" s="68" t="inlineStr"/>
    </row>
    <row r="629">
      <c r="A629" s="65" t="n">
        <v>617</v>
      </c>
      <c r="B629" s="65" t="n">
        <v>616</v>
      </c>
      <c r="C629" s="66" t="n">
        <v>4749.99</v>
      </c>
      <c r="D629" s="66" t="n">
        <v>4673.27092</v>
      </c>
      <c r="E629" s="67">
        <f>C629-D629</f>
        <v/>
      </c>
      <c r="F629" s="67">
        <f>(E629-F757)^2</f>
        <v/>
      </c>
      <c r="G629" s="66">
        <f>(E629-F757)^3</f>
        <v/>
      </c>
      <c r="H629" s="66">
        <f>(E629-F757)^4</f>
        <v/>
      </c>
      <c r="I629" s="65" t="inlineStr"/>
    </row>
    <row r="630">
      <c r="A630" s="68" t="n">
        <v>618</v>
      </c>
      <c r="B630" s="68" t="n">
        <v>617</v>
      </c>
      <c r="C630" s="69" t="n">
        <v>4733.46</v>
      </c>
      <c r="D630" s="69" t="n">
        <v>4673.47337</v>
      </c>
      <c r="E630" s="70">
        <f>C630-D630</f>
        <v/>
      </c>
      <c r="F630" s="70">
        <f>(E630-F757)^2</f>
        <v/>
      </c>
      <c r="G630" s="69">
        <f>(E630-F757)^3</f>
        <v/>
      </c>
      <c r="H630" s="69">
        <f>(E630-F757)^4</f>
        <v/>
      </c>
      <c r="I630" s="68" t="inlineStr"/>
    </row>
    <row r="631">
      <c r="A631" s="65" t="n">
        <v>619</v>
      </c>
      <c r="B631" s="65" t="n">
        <v>618</v>
      </c>
      <c r="C631" s="66" t="n">
        <v>4745.53</v>
      </c>
      <c r="D631" s="66" t="n">
        <v>4673.67581</v>
      </c>
      <c r="E631" s="67">
        <f>C631-D631</f>
        <v/>
      </c>
      <c r="F631" s="67">
        <f>(E631-F757)^2</f>
        <v/>
      </c>
      <c r="G631" s="66">
        <f>(E631-F757)^3</f>
        <v/>
      </c>
      <c r="H631" s="66">
        <f>(E631-F757)^4</f>
        <v/>
      </c>
      <c r="I631" s="65" t="inlineStr"/>
    </row>
    <row r="632">
      <c r="A632" s="68" t="n">
        <v>620</v>
      </c>
      <c r="B632" s="68" t="n">
        <v>619</v>
      </c>
      <c r="C632" s="69" t="n">
        <v>4748.49</v>
      </c>
      <c r="D632" s="69" t="n">
        <v>4673.87826</v>
      </c>
      <c r="E632" s="70">
        <f>C632-D632</f>
        <v/>
      </c>
      <c r="F632" s="70">
        <f>(E632-F757)^2</f>
        <v/>
      </c>
      <c r="G632" s="69">
        <f>(E632-F757)^3</f>
        <v/>
      </c>
      <c r="H632" s="69">
        <f>(E632-F757)^4</f>
        <v/>
      </c>
      <c r="I632" s="68" t="inlineStr"/>
    </row>
    <row r="633">
      <c r="A633" s="65" t="n">
        <v>621</v>
      </c>
      <c r="B633" s="65" t="n">
        <v>620</v>
      </c>
      <c r="C633" s="66" t="n">
        <v>4746.18</v>
      </c>
      <c r="D633" s="66" t="n">
        <v>4674.0807</v>
      </c>
      <c r="E633" s="67">
        <f>C633-D633</f>
        <v/>
      </c>
      <c r="F633" s="67">
        <f>(E633-F757)^2</f>
        <v/>
      </c>
      <c r="G633" s="66">
        <f>(E633-F757)^3</f>
        <v/>
      </c>
      <c r="H633" s="66">
        <f>(E633-F757)^4</f>
        <v/>
      </c>
      <c r="I633" s="65" t="inlineStr"/>
    </row>
    <row r="634">
      <c r="A634" s="68" t="n">
        <v>622</v>
      </c>
      <c r="B634" s="68" t="n">
        <v>621</v>
      </c>
      <c r="C634" s="69" t="n">
        <v>4752.05</v>
      </c>
      <c r="D634" s="69" t="n">
        <v>4674.28315</v>
      </c>
      <c r="E634" s="70">
        <f>C634-D634</f>
        <v/>
      </c>
      <c r="F634" s="70">
        <f>(E634-F757)^2</f>
        <v/>
      </c>
      <c r="G634" s="69">
        <f>(E634-F757)^3</f>
        <v/>
      </c>
      <c r="H634" s="69">
        <f>(E634-F757)^4</f>
        <v/>
      </c>
      <c r="I634" s="68" t="inlineStr"/>
    </row>
    <row r="635">
      <c r="A635" s="65" t="n">
        <v>623</v>
      </c>
      <c r="B635" s="65" t="n">
        <v>622</v>
      </c>
      <c r="C635" s="66" t="n">
        <v>4756.66</v>
      </c>
      <c r="D635" s="66" t="n">
        <v>4674.48559</v>
      </c>
      <c r="E635" s="67">
        <f>C635-D635</f>
        <v/>
      </c>
      <c r="F635" s="67">
        <f>(E635-F757)^2</f>
        <v/>
      </c>
      <c r="G635" s="66">
        <f>(E635-F757)^3</f>
        <v/>
      </c>
      <c r="H635" s="66">
        <f>(E635-F757)^4</f>
        <v/>
      </c>
      <c r="I635" s="65" t="inlineStr"/>
    </row>
    <row r="636">
      <c r="A636" s="68" t="n">
        <v>624</v>
      </c>
      <c r="B636" s="68" t="n">
        <v>623</v>
      </c>
      <c r="C636" s="69" t="n">
        <v>4751.91</v>
      </c>
      <c r="D636" s="69" t="n">
        <v>4674.68804</v>
      </c>
      <c r="E636" s="70">
        <f>C636-D636</f>
        <v/>
      </c>
      <c r="F636" s="70">
        <f>(E636-F757)^2</f>
        <v/>
      </c>
      <c r="G636" s="69">
        <f>(E636-F757)^3</f>
        <v/>
      </c>
      <c r="H636" s="69">
        <f>(E636-F757)^4</f>
        <v/>
      </c>
      <c r="I636" s="68" t="inlineStr"/>
    </row>
    <row r="637">
      <c r="A637" s="65" t="n">
        <v>625</v>
      </c>
      <c r="B637" s="65" t="n">
        <v>624</v>
      </c>
      <c r="C637" s="66" t="n">
        <v>4762.74</v>
      </c>
      <c r="D637" s="66" t="n">
        <v>4674.89049</v>
      </c>
      <c r="E637" s="67">
        <f>C637-D637</f>
        <v/>
      </c>
      <c r="F637" s="67">
        <f>(E637-F757)^2</f>
        <v/>
      </c>
      <c r="G637" s="66">
        <f>(E637-F757)^3</f>
        <v/>
      </c>
      <c r="H637" s="66">
        <f>(E637-F757)^4</f>
        <v/>
      </c>
      <c r="I637" s="65" t="inlineStr"/>
    </row>
    <row r="638">
      <c r="A638" s="68" t="n">
        <v>626</v>
      </c>
      <c r="B638" s="68" t="n">
        <v>625</v>
      </c>
      <c r="C638" s="69" t="n">
        <v>4754.77</v>
      </c>
      <c r="D638" s="69" t="n">
        <v>4675.09293</v>
      </c>
      <c r="E638" s="70">
        <f>C638-D638</f>
        <v/>
      </c>
      <c r="F638" s="70">
        <f>(E638-F757)^2</f>
        <v/>
      </c>
      <c r="G638" s="69">
        <f>(E638-F757)^3</f>
        <v/>
      </c>
      <c r="H638" s="69">
        <f>(E638-F757)^4</f>
        <v/>
      </c>
      <c r="I638" s="68" t="inlineStr"/>
    </row>
    <row r="639">
      <c r="A639" s="65" t="n">
        <v>627</v>
      </c>
      <c r="B639" s="65" t="n">
        <v>626</v>
      </c>
      <c r="C639" s="66" t="n">
        <v>4740.18</v>
      </c>
      <c r="D639" s="66" t="n">
        <v>4675.29538</v>
      </c>
      <c r="E639" s="67">
        <f>C639-D639</f>
        <v/>
      </c>
      <c r="F639" s="67">
        <f>(E639-F757)^2</f>
        <v/>
      </c>
      <c r="G639" s="66">
        <f>(E639-F757)^3</f>
        <v/>
      </c>
      <c r="H639" s="66">
        <f>(E639-F757)^4</f>
        <v/>
      </c>
      <c r="I639" s="65" t="inlineStr"/>
    </row>
    <row r="640">
      <c r="A640" s="68" t="n">
        <v>628</v>
      </c>
      <c r="B640" s="68" t="n">
        <v>627</v>
      </c>
      <c r="C640" s="69" t="n">
        <v>4738.92</v>
      </c>
      <c r="D640" s="69" t="n">
        <v>4675.49782</v>
      </c>
      <c r="E640" s="70">
        <f>C640-D640</f>
        <v/>
      </c>
      <c r="F640" s="70">
        <f>(E640-F757)^2</f>
        <v/>
      </c>
      <c r="G640" s="69">
        <f>(E640-F757)^3</f>
        <v/>
      </c>
      <c r="H640" s="69">
        <f>(E640-F757)^4</f>
        <v/>
      </c>
      <c r="I640" s="68" t="inlineStr"/>
    </row>
    <row r="641">
      <c r="A641" s="65" t="n">
        <v>629</v>
      </c>
      <c r="B641" s="65" t="n">
        <v>628</v>
      </c>
      <c r="C641" s="66" t="n">
        <v>4729.17</v>
      </c>
      <c r="D641" s="66" t="n">
        <v>4675.70027</v>
      </c>
      <c r="E641" s="67">
        <f>C641-D641</f>
        <v/>
      </c>
      <c r="F641" s="67">
        <f>(E641-F757)^2</f>
        <v/>
      </c>
      <c r="G641" s="66">
        <f>(E641-F757)^3</f>
        <v/>
      </c>
      <c r="H641" s="66">
        <f>(E641-F757)^4</f>
        <v/>
      </c>
      <c r="I641" s="65" t="inlineStr"/>
    </row>
    <row r="642">
      <c r="A642" s="68" t="n">
        <v>630</v>
      </c>
      <c r="B642" s="68" t="n">
        <v>629</v>
      </c>
      <c r="C642" s="69" t="n">
        <v>4714.99</v>
      </c>
      <c r="D642" s="69" t="n">
        <v>4675.90271</v>
      </c>
      <c r="E642" s="70">
        <f>C642-D642</f>
        <v/>
      </c>
      <c r="F642" s="70">
        <f>(E642-F757)^2</f>
        <v/>
      </c>
      <c r="G642" s="69">
        <f>(E642-F757)^3</f>
        <v/>
      </c>
      <c r="H642" s="69">
        <f>(E642-F757)^4</f>
        <v/>
      </c>
      <c r="I642" s="68" t="inlineStr"/>
    </row>
    <row r="643">
      <c r="A643" s="65" t="n">
        <v>631</v>
      </c>
      <c r="B643" s="65" t="n">
        <v>630</v>
      </c>
      <c r="C643" s="66" t="n">
        <v>4719.84</v>
      </c>
      <c r="D643" s="66" t="n">
        <v>4676.10516</v>
      </c>
      <c r="E643" s="67">
        <f>C643-D643</f>
        <v/>
      </c>
      <c r="F643" s="67">
        <f>(E643-F757)^2</f>
        <v/>
      </c>
      <c r="G643" s="66">
        <f>(E643-F757)^3</f>
        <v/>
      </c>
      <c r="H643" s="66">
        <f>(E643-F757)^4</f>
        <v/>
      </c>
      <c r="I643" s="65" t="inlineStr"/>
    </row>
    <row r="644">
      <c r="A644" s="68" t="n">
        <v>632</v>
      </c>
      <c r="B644" s="68" t="n">
        <v>631</v>
      </c>
      <c r="C644" s="69" t="n">
        <v>4711.23</v>
      </c>
      <c r="D644" s="69" t="n">
        <v>4676.30761</v>
      </c>
      <c r="E644" s="70">
        <f>C644-D644</f>
        <v/>
      </c>
      <c r="F644" s="70">
        <f>(E644-F757)^2</f>
        <v/>
      </c>
      <c r="G644" s="69">
        <f>(E644-F757)^3</f>
        <v/>
      </c>
      <c r="H644" s="69">
        <f>(E644-F757)^4</f>
        <v/>
      </c>
      <c r="I644" s="68" t="inlineStr"/>
    </row>
    <row r="645">
      <c r="A645" s="65" t="n">
        <v>633</v>
      </c>
      <c r="B645" s="65" t="n">
        <v>632</v>
      </c>
      <c r="C645" s="66" t="n">
        <v>4715</v>
      </c>
      <c r="D645" s="66" t="n">
        <v>4676.51005</v>
      </c>
      <c r="E645" s="67">
        <f>C645-D645</f>
        <v/>
      </c>
      <c r="F645" s="67">
        <f>(E645-F757)^2</f>
        <v/>
      </c>
      <c r="G645" s="66">
        <f>(E645-F757)^3</f>
        <v/>
      </c>
      <c r="H645" s="66">
        <f>(E645-F757)^4</f>
        <v/>
      </c>
      <c r="I645" s="65" t="inlineStr"/>
    </row>
    <row r="646">
      <c r="A646" s="68" t="n">
        <v>634</v>
      </c>
      <c r="B646" s="68" t="n">
        <v>633</v>
      </c>
      <c r="C646" s="69" t="n">
        <v>4714.61</v>
      </c>
      <c r="D646" s="69" t="n">
        <v>4676.7125</v>
      </c>
      <c r="E646" s="70">
        <f>C646-D646</f>
        <v/>
      </c>
      <c r="F646" s="70">
        <f>(E646-F757)^2</f>
        <v/>
      </c>
      <c r="G646" s="69">
        <f>(E646-F757)^3</f>
        <v/>
      </c>
      <c r="H646" s="69">
        <f>(E646-F757)^4</f>
        <v/>
      </c>
      <c r="I646" s="68" t="inlineStr"/>
    </row>
    <row r="647">
      <c r="A647" s="65" t="n">
        <v>635</v>
      </c>
      <c r="B647" s="65" t="n">
        <v>634</v>
      </c>
      <c r="C647" s="66" t="n">
        <v>4699.29</v>
      </c>
      <c r="D647" s="66" t="n">
        <v>4676.91494</v>
      </c>
      <c r="E647" s="67">
        <f>C647-D647</f>
        <v/>
      </c>
      <c r="F647" s="67">
        <f>(E647-F757)^2</f>
        <v/>
      </c>
      <c r="G647" s="66">
        <f>(E647-F757)^3</f>
        <v/>
      </c>
      <c r="H647" s="66">
        <f>(E647-F757)^4</f>
        <v/>
      </c>
      <c r="I647" s="65" t="inlineStr"/>
    </row>
    <row r="648">
      <c r="A648" s="68" t="n">
        <v>636</v>
      </c>
      <c r="B648" s="68" t="n">
        <v>635</v>
      </c>
      <c r="C648" s="69" t="n">
        <v>4699.72</v>
      </c>
      <c r="D648" s="69" t="n">
        <v>4677.11739</v>
      </c>
      <c r="E648" s="70">
        <f>C648-D648</f>
        <v/>
      </c>
      <c r="F648" s="70">
        <f>(E648-F757)^2</f>
        <v/>
      </c>
      <c r="G648" s="69">
        <f>(E648-F757)^3</f>
        <v/>
      </c>
      <c r="H648" s="69">
        <f>(E648-F757)^4</f>
        <v/>
      </c>
      <c r="I648" s="68" t="inlineStr"/>
    </row>
    <row r="649">
      <c r="A649" s="65" t="n">
        <v>637</v>
      </c>
      <c r="B649" s="65" t="n">
        <v>636</v>
      </c>
      <c r="C649" s="66" t="n">
        <v>4711.45</v>
      </c>
      <c r="D649" s="66" t="n">
        <v>4677.31983</v>
      </c>
      <c r="E649" s="67">
        <f>C649-D649</f>
        <v/>
      </c>
      <c r="F649" s="67">
        <f>(E649-F757)^2</f>
        <v/>
      </c>
      <c r="G649" s="66">
        <f>(E649-F757)^3</f>
        <v/>
      </c>
      <c r="H649" s="66">
        <f>(E649-F757)^4</f>
        <v/>
      </c>
      <c r="I649" s="65" t="inlineStr"/>
    </row>
    <row r="650">
      <c r="A650" s="68" t="n">
        <v>638</v>
      </c>
      <c r="B650" s="68" t="n">
        <v>637</v>
      </c>
      <c r="C650" s="69" t="n">
        <v>4708.08</v>
      </c>
      <c r="D650" s="69" t="n">
        <v>4677.52228</v>
      </c>
      <c r="E650" s="70">
        <f>C650-D650</f>
        <v/>
      </c>
      <c r="F650" s="70">
        <f>(E650-F757)^2</f>
        <v/>
      </c>
      <c r="G650" s="69">
        <f>(E650-F757)^3</f>
        <v/>
      </c>
      <c r="H650" s="69">
        <f>(E650-F757)^4</f>
        <v/>
      </c>
      <c r="I650" s="68" t="inlineStr"/>
    </row>
    <row r="651">
      <c r="A651" s="65" t="n">
        <v>639</v>
      </c>
      <c r="B651" s="65" t="n">
        <v>638</v>
      </c>
      <c r="C651" s="66" t="n">
        <v>4712.9</v>
      </c>
      <c r="D651" s="66" t="n">
        <v>4677.72473</v>
      </c>
      <c r="E651" s="67">
        <f>C651-D651</f>
        <v/>
      </c>
      <c r="F651" s="67">
        <f>(E651-F757)^2</f>
        <v/>
      </c>
      <c r="G651" s="66">
        <f>(E651-F757)^3</f>
        <v/>
      </c>
      <c r="H651" s="66">
        <f>(E651-F757)^4</f>
        <v/>
      </c>
      <c r="I651" s="65" t="inlineStr"/>
    </row>
    <row r="652">
      <c r="A652" s="68" t="n">
        <v>640</v>
      </c>
      <c r="B652" s="68" t="n">
        <v>639</v>
      </c>
      <c r="C652" s="69" t="n">
        <v>4705.96</v>
      </c>
      <c r="D652" s="69" t="n">
        <v>4677.92717</v>
      </c>
      <c r="E652" s="70">
        <f>C652-D652</f>
        <v/>
      </c>
      <c r="F652" s="70">
        <f>(E652-F757)^2</f>
        <v/>
      </c>
      <c r="G652" s="69">
        <f>(E652-F757)^3</f>
        <v/>
      </c>
      <c r="H652" s="69">
        <f>(E652-F757)^4</f>
        <v/>
      </c>
      <c r="I652" s="68" t="inlineStr"/>
    </row>
    <row r="653">
      <c r="A653" s="65" t="n">
        <v>641</v>
      </c>
      <c r="B653" s="65" t="n">
        <v>640</v>
      </c>
      <c r="C653" s="66" t="n">
        <v>4709.55</v>
      </c>
      <c r="D653" s="66" t="n">
        <v>4678.12962</v>
      </c>
      <c r="E653" s="67">
        <f>C653-D653</f>
        <v/>
      </c>
      <c r="F653" s="67">
        <f>(E653-F757)^2</f>
        <v/>
      </c>
      <c r="G653" s="66">
        <f>(E653-F757)^3</f>
        <v/>
      </c>
      <c r="H653" s="66">
        <f>(E653-F757)^4</f>
        <v/>
      </c>
      <c r="I653" s="65" t="inlineStr"/>
    </row>
    <row r="654">
      <c r="A654" s="68" t="n">
        <v>642</v>
      </c>
      <c r="B654" s="68" t="n">
        <v>641</v>
      </c>
      <c r="C654" s="69" t="n">
        <v>4710.04</v>
      </c>
      <c r="D654" s="69" t="n">
        <v>4678.33206</v>
      </c>
      <c r="E654" s="70">
        <f>C654-D654</f>
        <v/>
      </c>
      <c r="F654" s="70">
        <f>(E654-F757)^2</f>
        <v/>
      </c>
      <c r="G654" s="69">
        <f>(E654-F757)^3</f>
        <v/>
      </c>
      <c r="H654" s="69">
        <f>(E654-F757)^4</f>
        <v/>
      </c>
      <c r="I654" s="68" t="inlineStr"/>
    </row>
    <row r="655">
      <c r="A655" s="65" t="n">
        <v>643</v>
      </c>
      <c r="B655" s="65" t="n">
        <v>642</v>
      </c>
      <c r="C655" s="66" t="n">
        <v>4705.05</v>
      </c>
      <c r="D655" s="66" t="n">
        <v>4678.53451</v>
      </c>
      <c r="E655" s="67">
        <f>C655-D655</f>
        <v/>
      </c>
      <c r="F655" s="67">
        <f>(E655-F757)^2</f>
        <v/>
      </c>
      <c r="G655" s="66">
        <f>(E655-F757)^3</f>
        <v/>
      </c>
      <c r="H655" s="66">
        <f>(E655-F757)^4</f>
        <v/>
      </c>
      <c r="I655" s="65" t="inlineStr"/>
    </row>
    <row r="656">
      <c r="A656" s="68" t="n">
        <v>644</v>
      </c>
      <c r="B656" s="68" t="n">
        <v>643</v>
      </c>
      <c r="C656" s="69" t="n">
        <v>4709.69</v>
      </c>
      <c r="D656" s="69" t="n">
        <v>4678.73695</v>
      </c>
      <c r="E656" s="70">
        <f>C656-D656</f>
        <v/>
      </c>
      <c r="F656" s="70">
        <f>(E656-F757)^2</f>
        <v/>
      </c>
      <c r="G656" s="69">
        <f>(E656-F757)^3</f>
        <v/>
      </c>
      <c r="H656" s="69">
        <f>(E656-F757)^4</f>
        <v/>
      </c>
      <c r="I656" s="68" t="inlineStr"/>
    </row>
    <row r="657">
      <c r="A657" s="65" t="n">
        <v>645</v>
      </c>
      <c r="B657" s="65" t="n">
        <v>644</v>
      </c>
      <c r="C657" s="66" t="n">
        <v>4702.9</v>
      </c>
      <c r="D657" s="66" t="n">
        <v>4678.9394</v>
      </c>
      <c r="E657" s="67">
        <f>C657-D657</f>
        <v/>
      </c>
      <c r="F657" s="67">
        <f>(E657-F757)^2</f>
        <v/>
      </c>
      <c r="G657" s="66">
        <f>(E657-F757)^3</f>
        <v/>
      </c>
      <c r="H657" s="66">
        <f>(E657-F757)^4</f>
        <v/>
      </c>
      <c r="I657" s="65" t="inlineStr"/>
    </row>
    <row r="658">
      <c r="A658" s="68" t="n">
        <v>646</v>
      </c>
      <c r="B658" s="68" t="n">
        <v>645</v>
      </c>
      <c r="C658" s="69" t="n">
        <v>4711.55</v>
      </c>
      <c r="D658" s="69" t="n">
        <v>4679.14184</v>
      </c>
      <c r="E658" s="70">
        <f>C658-D658</f>
        <v/>
      </c>
      <c r="F658" s="70">
        <f>(E658-F757)^2</f>
        <v/>
      </c>
      <c r="G658" s="69">
        <f>(E658-F757)^3</f>
        <v/>
      </c>
      <c r="H658" s="69">
        <f>(E658-F757)^4</f>
        <v/>
      </c>
      <c r="I658" s="68" t="inlineStr"/>
    </row>
    <row r="659">
      <c r="A659" s="65" t="n">
        <v>647</v>
      </c>
      <c r="B659" s="65" t="n">
        <v>646</v>
      </c>
      <c r="C659" s="66" t="n">
        <v>4712.98</v>
      </c>
      <c r="D659" s="66" t="n">
        <v>4679.34429</v>
      </c>
      <c r="E659" s="67">
        <f>C659-D659</f>
        <v/>
      </c>
      <c r="F659" s="67">
        <f>(E659-F757)^2</f>
        <v/>
      </c>
      <c r="G659" s="66">
        <f>(E659-F757)^3</f>
        <v/>
      </c>
      <c r="H659" s="66">
        <f>(E659-F757)^4</f>
        <v/>
      </c>
      <c r="I659" s="65" t="inlineStr"/>
    </row>
    <row r="660">
      <c r="A660" s="68" t="n">
        <v>648</v>
      </c>
      <c r="B660" s="68" t="n">
        <v>647</v>
      </c>
      <c r="C660" s="69" t="n">
        <v>4703.9</v>
      </c>
      <c r="D660" s="69" t="n">
        <v>4679.54674</v>
      </c>
      <c r="E660" s="70">
        <f>C660-D660</f>
        <v/>
      </c>
      <c r="F660" s="70">
        <f>(E660-F757)^2</f>
        <v/>
      </c>
      <c r="G660" s="69">
        <f>(E660-F757)^3</f>
        <v/>
      </c>
      <c r="H660" s="69">
        <f>(E660-F757)^4</f>
        <v/>
      </c>
      <c r="I660" s="68" t="inlineStr"/>
    </row>
    <row r="661">
      <c r="A661" s="65" t="n">
        <v>649</v>
      </c>
      <c r="B661" s="65" t="n">
        <v>648</v>
      </c>
      <c r="C661" s="66" t="n">
        <v>4687.24</v>
      </c>
      <c r="D661" s="66" t="n">
        <v>4679.74918</v>
      </c>
      <c r="E661" s="67">
        <f>C661-D661</f>
        <v/>
      </c>
      <c r="F661" s="67">
        <f>(E661-F757)^2</f>
        <v/>
      </c>
      <c r="G661" s="66">
        <f>(E661-F757)^3</f>
        <v/>
      </c>
      <c r="H661" s="66">
        <f>(E661-F757)^4</f>
        <v/>
      </c>
      <c r="I661" s="65" t="inlineStr"/>
    </row>
    <row r="662">
      <c r="A662" s="68" t="n">
        <v>650</v>
      </c>
      <c r="B662" s="68" t="n">
        <v>649</v>
      </c>
      <c r="C662" s="69" t="n">
        <v>4691.37</v>
      </c>
      <c r="D662" s="69" t="n">
        <v>4679.95163</v>
      </c>
      <c r="E662" s="70">
        <f>C662-D662</f>
        <v/>
      </c>
      <c r="F662" s="70">
        <f>(E662-F757)^2</f>
        <v/>
      </c>
      <c r="G662" s="69">
        <f>(E662-F757)^3</f>
        <v/>
      </c>
      <c r="H662" s="69">
        <f>(E662-F757)^4</f>
        <v/>
      </c>
      <c r="I662" s="68" t="inlineStr"/>
    </row>
    <row r="663">
      <c r="A663" s="65" t="n">
        <v>651</v>
      </c>
      <c r="B663" s="65" t="n">
        <v>650</v>
      </c>
      <c r="C663" s="66" t="n">
        <v>4693.91</v>
      </c>
      <c r="D663" s="66" t="n">
        <v>4680.15407</v>
      </c>
      <c r="E663" s="67">
        <f>C663-D663</f>
        <v/>
      </c>
      <c r="F663" s="67">
        <f>(E663-F757)^2</f>
        <v/>
      </c>
      <c r="G663" s="66">
        <f>(E663-F757)^3</f>
        <v/>
      </c>
      <c r="H663" s="66">
        <f>(E663-F757)^4</f>
        <v/>
      </c>
      <c r="I663" s="65" t="inlineStr"/>
    </row>
    <row r="664">
      <c r="A664" s="68" t="n">
        <v>652</v>
      </c>
      <c r="B664" s="68" t="n">
        <v>651</v>
      </c>
      <c r="C664" s="69" t="n">
        <v>4687.16</v>
      </c>
      <c r="D664" s="69" t="n">
        <v>4680.35652</v>
      </c>
      <c r="E664" s="70">
        <f>C664-D664</f>
        <v/>
      </c>
      <c r="F664" s="70">
        <f>(E664-F757)^2</f>
        <v/>
      </c>
      <c r="G664" s="69">
        <f>(E664-F757)^3</f>
        <v/>
      </c>
      <c r="H664" s="69">
        <f>(E664-F757)^4</f>
        <v/>
      </c>
      <c r="I664" s="68" t="inlineStr"/>
    </row>
    <row r="665">
      <c r="A665" s="65" t="n">
        <v>653</v>
      </c>
      <c r="B665" s="65" t="n">
        <v>652</v>
      </c>
      <c r="C665" s="66" t="n">
        <v>4686.04</v>
      </c>
      <c r="D665" s="66" t="n">
        <v>4680.55896</v>
      </c>
      <c r="E665" s="67">
        <f>C665-D665</f>
        <v/>
      </c>
      <c r="F665" s="67">
        <f>(E665-F757)^2</f>
        <v/>
      </c>
      <c r="G665" s="66">
        <f>(E665-F757)^3</f>
        <v/>
      </c>
      <c r="H665" s="66">
        <f>(E665-F757)^4</f>
        <v/>
      </c>
      <c r="I665" s="65" t="inlineStr"/>
    </row>
    <row r="666">
      <c r="A666" s="68" t="n">
        <v>654</v>
      </c>
      <c r="B666" s="68" t="n">
        <v>653</v>
      </c>
      <c r="C666" s="69" t="n">
        <v>4691.8</v>
      </c>
      <c r="D666" s="69" t="n">
        <v>4680.76141</v>
      </c>
      <c r="E666" s="70">
        <f>C666-D666</f>
        <v/>
      </c>
      <c r="F666" s="70">
        <f>(E666-F757)^2</f>
        <v/>
      </c>
      <c r="G666" s="69">
        <f>(E666-F757)^3</f>
        <v/>
      </c>
      <c r="H666" s="69">
        <f>(E666-F757)^4</f>
        <v/>
      </c>
      <c r="I666" s="68" t="inlineStr"/>
    </row>
    <row r="667">
      <c r="A667" s="65" t="n">
        <v>655</v>
      </c>
      <c r="B667" s="65" t="n">
        <v>654</v>
      </c>
      <c r="C667" s="66" t="n">
        <v>4696.57</v>
      </c>
      <c r="D667" s="66" t="n">
        <v>4680.96386</v>
      </c>
      <c r="E667" s="67">
        <f>C667-D667</f>
        <v/>
      </c>
      <c r="F667" s="67">
        <f>(E667-F757)^2</f>
        <v/>
      </c>
      <c r="G667" s="66">
        <f>(E667-F757)^3</f>
        <v/>
      </c>
      <c r="H667" s="66">
        <f>(E667-F757)^4</f>
        <v/>
      </c>
      <c r="I667" s="65" t="inlineStr"/>
    </row>
    <row r="668">
      <c r="A668" s="68" t="n">
        <v>656</v>
      </c>
      <c r="B668" s="68" t="n">
        <v>655</v>
      </c>
      <c r="C668" s="69" t="n">
        <v>4697.81</v>
      </c>
      <c r="D668" s="69" t="n">
        <v>4681.1663</v>
      </c>
      <c r="E668" s="70">
        <f>C668-D668</f>
        <v/>
      </c>
      <c r="F668" s="70">
        <f>(E668-F757)^2</f>
        <v/>
      </c>
      <c r="G668" s="69">
        <f>(E668-F757)^3</f>
        <v/>
      </c>
      <c r="H668" s="69">
        <f>(E668-F757)^4</f>
        <v/>
      </c>
      <c r="I668" s="68" t="inlineStr"/>
    </row>
    <row r="669">
      <c r="A669" s="65" t="n">
        <v>657</v>
      </c>
      <c r="B669" s="65" t="n">
        <v>656</v>
      </c>
      <c r="C669" s="66" t="n">
        <v>4704.54</v>
      </c>
      <c r="D669" s="66" t="n">
        <v>4681.36875</v>
      </c>
      <c r="E669" s="67">
        <f>C669-D669</f>
        <v/>
      </c>
      <c r="F669" s="67">
        <f>(E669-F757)^2</f>
        <v/>
      </c>
      <c r="G669" s="66">
        <f>(E669-F757)^3</f>
        <v/>
      </c>
      <c r="H669" s="66">
        <f>(E669-F757)^4</f>
        <v/>
      </c>
      <c r="I669" s="65" t="inlineStr"/>
    </row>
    <row r="670">
      <c r="A670" s="68" t="n">
        <v>658</v>
      </c>
      <c r="B670" s="68" t="n">
        <v>657</v>
      </c>
      <c r="C670" s="69" t="n">
        <v>4702.79</v>
      </c>
      <c r="D670" s="69" t="n">
        <v>4681.57119</v>
      </c>
      <c r="E670" s="70">
        <f>C670-D670</f>
        <v/>
      </c>
      <c r="F670" s="70">
        <f>(E670-F757)^2</f>
        <v/>
      </c>
      <c r="G670" s="69">
        <f>(E670-F757)^3</f>
        <v/>
      </c>
      <c r="H670" s="69">
        <f>(E670-F757)^4</f>
        <v/>
      </c>
      <c r="I670" s="68" t="inlineStr"/>
    </row>
    <row r="671">
      <c r="A671" s="65" t="n">
        <v>659</v>
      </c>
      <c r="B671" s="65" t="n">
        <v>658</v>
      </c>
      <c r="C671" s="66" t="n">
        <v>4697.35</v>
      </c>
      <c r="D671" s="66" t="n">
        <v>4681.77364</v>
      </c>
      <c r="E671" s="67">
        <f>C671-D671</f>
        <v/>
      </c>
      <c r="F671" s="67">
        <f>(E671-F757)^2</f>
        <v/>
      </c>
      <c r="G671" s="66">
        <f>(E671-F757)^3</f>
        <v/>
      </c>
      <c r="H671" s="66">
        <f>(E671-F757)^4</f>
        <v/>
      </c>
      <c r="I671" s="65" t="inlineStr"/>
    </row>
    <row r="672">
      <c r="A672" s="68" t="n">
        <v>660</v>
      </c>
      <c r="B672" s="68" t="n">
        <v>659</v>
      </c>
      <c r="C672" s="69" t="n">
        <v>4705.16</v>
      </c>
      <c r="D672" s="69" t="n">
        <v>4681.97608</v>
      </c>
      <c r="E672" s="70">
        <f>C672-D672</f>
        <v/>
      </c>
      <c r="F672" s="70">
        <f>(E672-F757)^2</f>
        <v/>
      </c>
      <c r="G672" s="69">
        <f>(E672-F757)^3</f>
        <v/>
      </c>
      <c r="H672" s="69">
        <f>(E672-F757)^4</f>
        <v/>
      </c>
      <c r="I672" s="68" t="inlineStr"/>
    </row>
    <row r="673">
      <c r="A673" s="65" t="n">
        <v>661</v>
      </c>
      <c r="B673" s="65" t="n">
        <v>660</v>
      </c>
      <c r="C673" s="66" t="n">
        <v>4701.44</v>
      </c>
      <c r="D673" s="66" t="n">
        <v>4682.17853</v>
      </c>
      <c r="E673" s="67">
        <f>C673-D673</f>
        <v/>
      </c>
      <c r="F673" s="67">
        <f>(E673-F757)^2</f>
        <v/>
      </c>
      <c r="G673" s="66">
        <f>(E673-F757)^3</f>
        <v/>
      </c>
      <c r="H673" s="66">
        <f>(E673-F757)^4</f>
        <v/>
      </c>
      <c r="I673" s="65" t="inlineStr"/>
    </row>
    <row r="674">
      <c r="A674" s="68" t="n">
        <v>662</v>
      </c>
      <c r="B674" s="68" t="n">
        <v>661</v>
      </c>
      <c r="C674" s="69" t="n">
        <v>4714.05</v>
      </c>
      <c r="D674" s="69" t="n">
        <v>4682.38098</v>
      </c>
      <c r="E674" s="70">
        <f>C674-D674</f>
        <v/>
      </c>
      <c r="F674" s="70">
        <f>(E674-F757)^2</f>
        <v/>
      </c>
      <c r="G674" s="69">
        <f>(E674-F757)^3</f>
        <v/>
      </c>
      <c r="H674" s="69">
        <f>(E674-F757)^4</f>
        <v/>
      </c>
      <c r="I674" s="68" t="inlineStr"/>
    </row>
    <row r="675">
      <c r="A675" s="65" t="n">
        <v>663</v>
      </c>
      <c r="B675" s="65" t="n">
        <v>662</v>
      </c>
      <c r="C675" s="66" t="n">
        <v>4712.82</v>
      </c>
      <c r="D675" s="66" t="n">
        <v>4682.58342</v>
      </c>
      <c r="E675" s="67">
        <f>C675-D675</f>
        <v/>
      </c>
      <c r="F675" s="67">
        <f>(E675-F757)^2</f>
        <v/>
      </c>
      <c r="G675" s="66">
        <f>(E675-F757)^3</f>
        <v/>
      </c>
      <c r="H675" s="66">
        <f>(E675-F757)^4</f>
        <v/>
      </c>
      <c r="I675" s="65" t="inlineStr"/>
    </row>
    <row r="676">
      <c r="A676" s="68" t="n">
        <v>664</v>
      </c>
      <c r="B676" s="68" t="n">
        <v>663</v>
      </c>
      <c r="C676" s="69" t="n">
        <v>4711.08</v>
      </c>
      <c r="D676" s="69" t="n">
        <v>4682.78587</v>
      </c>
      <c r="E676" s="70">
        <f>C676-D676</f>
        <v/>
      </c>
      <c r="F676" s="70">
        <f>(E676-F757)^2</f>
        <v/>
      </c>
      <c r="G676" s="69">
        <f>(E676-F757)^3</f>
        <v/>
      </c>
      <c r="H676" s="69">
        <f>(E676-F757)^4</f>
        <v/>
      </c>
      <c r="I676" s="68" t="inlineStr"/>
    </row>
    <row r="677">
      <c r="A677" s="65" t="n">
        <v>665</v>
      </c>
      <c r="B677" s="65" t="n">
        <v>664</v>
      </c>
      <c r="C677" s="66" t="n">
        <v>4722.98</v>
      </c>
      <c r="D677" s="66" t="n">
        <v>4682.98831</v>
      </c>
      <c r="E677" s="67">
        <f>C677-D677</f>
        <v/>
      </c>
      <c r="F677" s="67">
        <f>(E677-F757)^2</f>
        <v/>
      </c>
      <c r="G677" s="66">
        <f>(E677-F757)^3</f>
        <v/>
      </c>
      <c r="H677" s="66">
        <f>(E677-F757)^4</f>
        <v/>
      </c>
      <c r="I677" s="65" t="inlineStr"/>
    </row>
    <row r="678">
      <c r="A678" s="68" t="n">
        <v>666</v>
      </c>
      <c r="B678" s="68" t="n">
        <v>665</v>
      </c>
      <c r="C678" s="69" t="n">
        <v>4723.99</v>
      </c>
      <c r="D678" s="69" t="n">
        <v>4683.19076</v>
      </c>
      <c r="E678" s="70">
        <f>C678-D678</f>
        <v/>
      </c>
      <c r="F678" s="70">
        <f>(E678-F757)^2</f>
        <v/>
      </c>
      <c r="G678" s="69">
        <f>(E678-F757)^3</f>
        <v/>
      </c>
      <c r="H678" s="69">
        <f>(E678-F757)^4</f>
        <v/>
      </c>
      <c r="I678" s="68" t="inlineStr"/>
    </row>
    <row r="679">
      <c r="A679" s="65" t="n">
        <v>667</v>
      </c>
      <c r="B679" s="65" t="n">
        <v>666</v>
      </c>
      <c r="C679" s="66" t="n">
        <v>4721.39</v>
      </c>
      <c r="D679" s="66" t="n">
        <v>4683.3932</v>
      </c>
      <c r="E679" s="67">
        <f>C679-D679</f>
        <v/>
      </c>
      <c r="F679" s="67">
        <f>(E679-F757)^2</f>
        <v/>
      </c>
      <c r="G679" s="66">
        <f>(E679-F757)^3</f>
        <v/>
      </c>
      <c r="H679" s="66">
        <f>(E679-F757)^4</f>
        <v/>
      </c>
      <c r="I679" s="65" t="inlineStr"/>
    </row>
    <row r="680">
      <c r="A680" s="68" t="n">
        <v>668</v>
      </c>
      <c r="B680" s="68" t="n">
        <v>667</v>
      </c>
      <c r="C680" s="69" t="n">
        <v>4710.27</v>
      </c>
      <c r="D680" s="69" t="n">
        <v>4683.59565</v>
      </c>
      <c r="E680" s="70">
        <f>C680-D680</f>
        <v/>
      </c>
      <c r="F680" s="70">
        <f>(E680-F757)^2</f>
        <v/>
      </c>
      <c r="G680" s="69">
        <f>(E680-F757)^3</f>
        <v/>
      </c>
      <c r="H680" s="69">
        <f>(E680-F757)^4</f>
        <v/>
      </c>
      <c r="I680" s="68" t="inlineStr"/>
    </row>
    <row r="681">
      <c r="A681" s="65" t="n">
        <v>669</v>
      </c>
      <c r="B681" s="65" t="n">
        <v>668</v>
      </c>
      <c r="C681" s="66" t="n">
        <v>4713.68</v>
      </c>
      <c r="D681" s="66" t="n">
        <v>4683.7981</v>
      </c>
      <c r="E681" s="67">
        <f>C681-D681</f>
        <v/>
      </c>
      <c r="F681" s="67">
        <f>(E681-F757)^2</f>
        <v/>
      </c>
      <c r="G681" s="66">
        <f>(E681-F757)^3</f>
        <v/>
      </c>
      <c r="H681" s="66">
        <f>(E681-F757)^4</f>
        <v/>
      </c>
      <c r="I681" s="65" t="inlineStr"/>
    </row>
    <row r="682">
      <c r="A682" s="68" t="n">
        <v>670</v>
      </c>
      <c r="B682" s="68" t="n">
        <v>669</v>
      </c>
      <c r="C682" s="69" t="n">
        <v>4720.15</v>
      </c>
      <c r="D682" s="69" t="n">
        <v>4684.00054</v>
      </c>
      <c r="E682" s="70">
        <f>C682-D682</f>
        <v/>
      </c>
      <c r="F682" s="70">
        <f>(E682-F757)^2</f>
        <v/>
      </c>
      <c r="G682" s="69">
        <f>(E682-F757)^3</f>
        <v/>
      </c>
      <c r="H682" s="69">
        <f>(E682-F757)^4</f>
        <v/>
      </c>
      <c r="I682" s="68" t="inlineStr"/>
    </row>
    <row r="683">
      <c r="A683" s="65" t="n">
        <v>671</v>
      </c>
      <c r="B683" s="65" t="n">
        <v>670</v>
      </c>
      <c r="C683" s="66" t="n">
        <v>4720.44</v>
      </c>
      <c r="D683" s="66" t="n">
        <v>4684.20299</v>
      </c>
      <c r="E683" s="67">
        <f>C683-D683</f>
        <v/>
      </c>
      <c r="F683" s="67">
        <f>(E683-F757)^2</f>
        <v/>
      </c>
      <c r="G683" s="66">
        <f>(E683-F757)^3</f>
        <v/>
      </c>
      <c r="H683" s="66">
        <f>(E683-F757)^4</f>
        <v/>
      </c>
      <c r="I683" s="65" t="inlineStr"/>
    </row>
    <row r="684">
      <c r="A684" s="68" t="n">
        <v>672</v>
      </c>
      <c r="B684" s="68" t="n">
        <v>671</v>
      </c>
      <c r="C684" s="69" t="n">
        <v>4724.99</v>
      </c>
      <c r="D684" s="69" t="n">
        <v>4684.40543</v>
      </c>
      <c r="E684" s="70">
        <f>C684-D684</f>
        <v/>
      </c>
      <c r="F684" s="70">
        <f>(E684-F757)^2</f>
        <v/>
      </c>
      <c r="G684" s="69">
        <f>(E684-F757)^3</f>
        <v/>
      </c>
      <c r="H684" s="69">
        <f>(E684-F757)^4</f>
        <v/>
      </c>
      <c r="I684" s="68" t="inlineStr"/>
    </row>
    <row r="685">
      <c r="A685" s="65" t="n">
        <v>673</v>
      </c>
      <c r="B685" s="65" t="n">
        <v>672</v>
      </c>
      <c r="C685" s="66" t="n">
        <v>4719.62</v>
      </c>
      <c r="D685" s="66" t="n">
        <v>4684.60788</v>
      </c>
      <c r="E685" s="67">
        <f>C685-D685</f>
        <v/>
      </c>
      <c r="F685" s="67">
        <f>(E685-F757)^2</f>
        <v/>
      </c>
      <c r="G685" s="66">
        <f>(E685-F757)^3</f>
        <v/>
      </c>
      <c r="H685" s="66">
        <f>(E685-F757)^4</f>
        <v/>
      </c>
      <c r="I685" s="65" t="inlineStr"/>
    </row>
    <row r="686">
      <c r="A686" s="68" t="n">
        <v>674</v>
      </c>
      <c r="B686" s="68" t="n">
        <v>673</v>
      </c>
      <c r="C686" s="69" t="n">
        <v>4715.08</v>
      </c>
      <c r="D686" s="69" t="n">
        <v>4684.81032</v>
      </c>
      <c r="E686" s="70">
        <f>C686-D686</f>
        <v/>
      </c>
      <c r="F686" s="70">
        <f>(E686-F757)^2</f>
        <v/>
      </c>
      <c r="G686" s="69">
        <f>(E686-F757)^3</f>
        <v/>
      </c>
      <c r="H686" s="69">
        <f>(E686-F757)^4</f>
        <v/>
      </c>
      <c r="I686" s="68" t="inlineStr"/>
    </row>
    <row r="687">
      <c r="A687" s="65" t="n">
        <v>675</v>
      </c>
      <c r="B687" s="65" t="n">
        <v>674</v>
      </c>
      <c r="C687" s="66" t="n">
        <v>4717.4</v>
      </c>
      <c r="D687" s="66" t="n">
        <v>4685.01277</v>
      </c>
      <c r="E687" s="67">
        <f>C687-D687</f>
        <v/>
      </c>
      <c r="F687" s="67">
        <f>(E687-F757)^2</f>
        <v/>
      </c>
      <c r="G687" s="66">
        <f>(E687-F757)^3</f>
        <v/>
      </c>
      <c r="H687" s="66">
        <f>(E687-F757)^4</f>
        <v/>
      </c>
      <c r="I687" s="65" t="inlineStr"/>
    </row>
    <row r="688">
      <c r="A688" s="68" t="n">
        <v>676</v>
      </c>
      <c r="B688" s="68" t="n">
        <v>675</v>
      </c>
      <c r="C688" s="69" t="n">
        <v>4712.14</v>
      </c>
      <c r="D688" s="69" t="n">
        <v>4685.21522</v>
      </c>
      <c r="E688" s="70">
        <f>C688-D688</f>
        <v/>
      </c>
      <c r="F688" s="70">
        <f>(E688-F757)^2</f>
        <v/>
      </c>
      <c r="G688" s="69">
        <f>(E688-F757)^3</f>
        <v/>
      </c>
      <c r="H688" s="69">
        <f>(E688-F757)^4</f>
        <v/>
      </c>
      <c r="I688" s="68" t="inlineStr"/>
    </row>
    <row r="689">
      <c r="A689" s="65" t="n">
        <v>677</v>
      </c>
      <c r="B689" s="65" t="n">
        <v>676</v>
      </c>
      <c r="C689" s="66" t="n">
        <v>4711.09</v>
      </c>
      <c r="D689" s="66" t="n">
        <v>4685.41766</v>
      </c>
      <c r="E689" s="67">
        <f>C689-D689</f>
        <v/>
      </c>
      <c r="F689" s="67">
        <f>(E689-F757)^2</f>
        <v/>
      </c>
      <c r="G689" s="66">
        <f>(E689-F757)^3</f>
        <v/>
      </c>
      <c r="H689" s="66">
        <f>(E689-F757)^4</f>
        <v/>
      </c>
      <c r="I689" s="65" t="inlineStr"/>
    </row>
    <row r="690">
      <c r="A690" s="68" t="n">
        <v>678</v>
      </c>
      <c r="B690" s="68" t="n">
        <v>677</v>
      </c>
      <c r="C690" s="69" t="n">
        <v>4712.09</v>
      </c>
      <c r="D690" s="69" t="n">
        <v>4685.62011</v>
      </c>
      <c r="E690" s="70">
        <f>C690-D690</f>
        <v/>
      </c>
      <c r="F690" s="70">
        <f>(E690-F757)^2</f>
        <v/>
      </c>
      <c r="G690" s="69">
        <f>(E690-F757)^3</f>
        <v/>
      </c>
      <c r="H690" s="69">
        <f>(E690-F757)^4</f>
        <v/>
      </c>
      <c r="I690" s="68" t="inlineStr"/>
    </row>
    <row r="691">
      <c r="A691" s="65" t="n">
        <v>679</v>
      </c>
      <c r="B691" s="65" t="n">
        <v>678</v>
      </c>
      <c r="C691" s="66" t="n">
        <v>4719.37</v>
      </c>
      <c r="D691" s="66" t="n">
        <v>4685.82255</v>
      </c>
      <c r="E691" s="67">
        <f>C691-D691</f>
        <v/>
      </c>
      <c r="F691" s="67">
        <f>(E691-F757)^2</f>
        <v/>
      </c>
      <c r="G691" s="66">
        <f>(E691-F757)^3</f>
        <v/>
      </c>
      <c r="H691" s="66">
        <f>(E691-F757)^4</f>
        <v/>
      </c>
      <c r="I691" s="65" t="inlineStr"/>
    </row>
    <row r="692">
      <c r="A692" s="68" t="n">
        <v>680</v>
      </c>
      <c r="B692" s="68" t="n">
        <v>679</v>
      </c>
      <c r="C692" s="69" t="n">
        <v>4724.62</v>
      </c>
      <c r="D692" s="69" t="n">
        <v>4686.025</v>
      </c>
      <c r="E692" s="70">
        <f>C692-D692</f>
        <v/>
      </c>
      <c r="F692" s="70">
        <f>(E692-F757)^2</f>
        <v/>
      </c>
      <c r="G692" s="69">
        <f>(E692-F757)^3</f>
        <v/>
      </c>
      <c r="H692" s="69">
        <f>(E692-F757)^4</f>
        <v/>
      </c>
      <c r="I692" s="68" t="inlineStr"/>
    </row>
    <row r="693">
      <c r="A693" s="65" t="n">
        <v>681</v>
      </c>
      <c r="B693" s="65" t="n">
        <v>680</v>
      </c>
      <c r="C693" s="66" t="n">
        <v>4727.43</v>
      </c>
      <c r="D693" s="66" t="n">
        <v>4686.22744</v>
      </c>
      <c r="E693" s="67">
        <f>C693-D693</f>
        <v/>
      </c>
      <c r="F693" s="67">
        <f>(E693-F757)^2</f>
        <v/>
      </c>
      <c r="G693" s="66">
        <f>(E693-F757)^3</f>
        <v/>
      </c>
      <c r="H693" s="66">
        <f>(E693-F757)^4</f>
        <v/>
      </c>
      <c r="I693" s="65" t="inlineStr"/>
    </row>
    <row r="694">
      <c r="A694" s="68" t="n">
        <v>682</v>
      </c>
      <c r="B694" s="68" t="n">
        <v>681</v>
      </c>
      <c r="C694" s="69" t="n">
        <v>4723.03</v>
      </c>
      <c r="D694" s="69" t="n">
        <v>4686.42989</v>
      </c>
      <c r="E694" s="70">
        <f>C694-D694</f>
        <v/>
      </c>
      <c r="F694" s="70">
        <f>(E694-F757)^2</f>
        <v/>
      </c>
      <c r="G694" s="69">
        <f>(E694-F757)^3</f>
        <v/>
      </c>
      <c r="H694" s="69">
        <f>(E694-F757)^4</f>
        <v/>
      </c>
      <c r="I694" s="68" t="inlineStr"/>
    </row>
    <row r="695">
      <c r="A695" s="65" t="n">
        <v>683</v>
      </c>
      <c r="B695" s="65" t="n">
        <v>682</v>
      </c>
      <c r="C695" s="66" t="n">
        <v>4733.47</v>
      </c>
      <c r="D695" s="66" t="n">
        <v>4686.63234</v>
      </c>
      <c r="E695" s="67">
        <f>C695-D695</f>
        <v/>
      </c>
      <c r="F695" s="67">
        <f>(E695-F757)^2</f>
        <v/>
      </c>
      <c r="G695" s="66">
        <f>(E695-F757)^3</f>
        <v/>
      </c>
      <c r="H695" s="66">
        <f>(E695-F757)^4</f>
        <v/>
      </c>
      <c r="I695" s="65" t="inlineStr"/>
    </row>
    <row r="696">
      <c r="A696" s="68" t="n">
        <v>684</v>
      </c>
      <c r="B696" s="68" t="n">
        <v>683</v>
      </c>
      <c r="C696" s="69" t="n">
        <v>4728.52</v>
      </c>
      <c r="D696" s="69" t="n">
        <v>4686.83478</v>
      </c>
      <c r="E696" s="70">
        <f>C696-D696</f>
        <v/>
      </c>
      <c r="F696" s="70">
        <f>(E696-F757)^2</f>
        <v/>
      </c>
      <c r="G696" s="69">
        <f>(E696-F757)^3</f>
        <v/>
      </c>
      <c r="H696" s="69">
        <f>(E696-F757)^4</f>
        <v/>
      </c>
      <c r="I696" s="68" t="inlineStr"/>
    </row>
    <row r="697">
      <c r="A697" s="65" t="n">
        <v>685</v>
      </c>
      <c r="B697" s="65" t="n">
        <v>684</v>
      </c>
      <c r="C697" s="66" t="n">
        <v>4725.67</v>
      </c>
      <c r="D697" s="66" t="n">
        <v>4687.03723</v>
      </c>
      <c r="E697" s="67">
        <f>C697-D697</f>
        <v/>
      </c>
      <c r="F697" s="67">
        <f>(E697-F757)^2</f>
        <v/>
      </c>
      <c r="G697" s="66">
        <f>(E697-F757)^3</f>
        <v/>
      </c>
      <c r="H697" s="66">
        <f>(E697-F757)^4</f>
        <v/>
      </c>
      <c r="I697" s="65" t="inlineStr"/>
    </row>
    <row r="698">
      <c r="A698" s="68" t="n">
        <v>686</v>
      </c>
      <c r="B698" s="68" t="n">
        <v>685</v>
      </c>
      <c r="C698" s="69" t="n">
        <v>4715.31</v>
      </c>
      <c r="D698" s="69" t="n">
        <v>4687.23967</v>
      </c>
      <c r="E698" s="70">
        <f>C698-D698</f>
        <v/>
      </c>
      <c r="F698" s="70">
        <f>(E698-F757)^2</f>
        <v/>
      </c>
      <c r="G698" s="69">
        <f>(E698-F757)^3</f>
        <v/>
      </c>
      <c r="H698" s="69">
        <f>(E698-F757)^4</f>
        <v/>
      </c>
      <c r="I698" s="68" t="inlineStr"/>
    </row>
    <row r="699">
      <c r="A699" s="65" t="n">
        <v>687</v>
      </c>
      <c r="B699" s="65" t="n">
        <v>686</v>
      </c>
      <c r="C699" s="66" t="n">
        <v>4706.67</v>
      </c>
      <c r="D699" s="66" t="n">
        <v>4687.44212</v>
      </c>
      <c r="E699" s="67">
        <f>C699-D699</f>
        <v/>
      </c>
      <c r="F699" s="67">
        <f>(E699-F757)^2</f>
        <v/>
      </c>
      <c r="G699" s="66">
        <f>(E699-F757)^3</f>
        <v/>
      </c>
      <c r="H699" s="66">
        <f>(E699-F757)^4</f>
        <v/>
      </c>
      <c r="I699" s="65" t="inlineStr"/>
    </row>
    <row r="700">
      <c r="A700" s="68" t="n">
        <v>688</v>
      </c>
      <c r="B700" s="68" t="n">
        <v>687</v>
      </c>
      <c r="C700" s="69" t="n">
        <v>4708.14</v>
      </c>
      <c r="D700" s="69" t="n">
        <v>4687.64456</v>
      </c>
      <c r="E700" s="70">
        <f>C700-D700</f>
        <v/>
      </c>
      <c r="F700" s="70">
        <f>(E700-F757)^2</f>
        <v/>
      </c>
      <c r="G700" s="69">
        <f>(E700-F757)^3</f>
        <v/>
      </c>
      <c r="H700" s="69">
        <f>(E700-F757)^4</f>
        <v/>
      </c>
      <c r="I700" s="68" t="inlineStr"/>
    </row>
    <row r="701">
      <c r="A701" s="65" t="n">
        <v>689</v>
      </c>
      <c r="B701" s="65" t="n">
        <v>688</v>
      </c>
      <c r="C701" s="66" t="n">
        <v>4707.87</v>
      </c>
      <c r="D701" s="66" t="n">
        <v>4687.84701</v>
      </c>
      <c r="E701" s="67">
        <f>C701-D701</f>
        <v/>
      </c>
      <c r="F701" s="67">
        <f>(E701-F757)^2</f>
        <v/>
      </c>
      <c r="G701" s="66">
        <f>(E701-F757)^3</f>
        <v/>
      </c>
      <c r="H701" s="66">
        <f>(E701-F757)^4</f>
        <v/>
      </c>
      <c r="I701" s="65" t="inlineStr"/>
    </row>
    <row r="702">
      <c r="A702" s="68" t="n">
        <v>690</v>
      </c>
      <c r="B702" s="68" t="n">
        <v>689</v>
      </c>
      <c r="C702" s="69" t="n">
        <v>4711.45</v>
      </c>
      <c r="D702" s="69" t="n">
        <v>4688.04946</v>
      </c>
      <c r="E702" s="70">
        <f>C702-D702</f>
        <v/>
      </c>
      <c r="F702" s="70">
        <f>(E702-F757)^2</f>
        <v/>
      </c>
      <c r="G702" s="69">
        <f>(E702-F757)^3</f>
        <v/>
      </c>
      <c r="H702" s="69">
        <f>(E702-F757)^4</f>
        <v/>
      </c>
      <c r="I702" s="68" t="inlineStr"/>
    </row>
    <row r="703">
      <c r="A703" s="65" t="n">
        <v>691</v>
      </c>
      <c r="B703" s="65" t="n">
        <v>690</v>
      </c>
      <c r="C703" s="66" t="n">
        <v>4716.82</v>
      </c>
      <c r="D703" s="66" t="n">
        <v>4688.2519</v>
      </c>
      <c r="E703" s="67">
        <f>C703-D703</f>
        <v/>
      </c>
      <c r="F703" s="67">
        <f>(E703-F757)^2</f>
        <v/>
      </c>
      <c r="G703" s="66">
        <f>(E703-F757)^3</f>
        <v/>
      </c>
      <c r="H703" s="66">
        <f>(E703-F757)^4</f>
        <v/>
      </c>
      <c r="I703" s="65" t="inlineStr"/>
    </row>
    <row r="704">
      <c r="A704" s="68" t="n">
        <v>692</v>
      </c>
      <c r="B704" s="68" t="n">
        <v>691</v>
      </c>
      <c r="C704" s="69" t="n">
        <v>4716.85</v>
      </c>
      <c r="D704" s="69" t="n">
        <v>4688.45435</v>
      </c>
      <c r="E704" s="70">
        <f>C704-D704</f>
        <v/>
      </c>
      <c r="F704" s="70">
        <f>(E704-F757)^2</f>
        <v/>
      </c>
      <c r="G704" s="69">
        <f>(E704-F757)^3</f>
        <v/>
      </c>
      <c r="H704" s="69">
        <f>(E704-F757)^4</f>
        <v/>
      </c>
      <c r="I704" s="68" t="inlineStr"/>
    </row>
    <row r="705">
      <c r="A705" s="65" t="n">
        <v>693</v>
      </c>
      <c r="B705" s="65" t="n">
        <v>692</v>
      </c>
      <c r="C705" s="66" t="n">
        <v>4715.7</v>
      </c>
      <c r="D705" s="66" t="n">
        <v>4688.65679</v>
      </c>
      <c r="E705" s="67">
        <f>C705-D705</f>
        <v/>
      </c>
      <c r="F705" s="67">
        <f>(E705-F757)^2</f>
        <v/>
      </c>
      <c r="G705" s="66">
        <f>(E705-F757)^3</f>
        <v/>
      </c>
      <c r="H705" s="66">
        <f>(E705-F757)^4</f>
        <v/>
      </c>
      <c r="I705" s="65" t="inlineStr"/>
    </row>
    <row r="706">
      <c r="A706" s="68" t="n">
        <v>694</v>
      </c>
      <c r="B706" s="68" t="n">
        <v>693</v>
      </c>
      <c r="C706" s="69" t="n">
        <v>4718.38</v>
      </c>
      <c r="D706" s="69" t="n">
        <v>4688.85924</v>
      </c>
      <c r="E706" s="70">
        <f>C706-D706</f>
        <v/>
      </c>
      <c r="F706" s="70">
        <f>(E706-F757)^2</f>
        <v/>
      </c>
      <c r="G706" s="69">
        <f>(E706-F757)^3</f>
        <v/>
      </c>
      <c r="H706" s="69">
        <f>(E706-F757)^4</f>
        <v/>
      </c>
      <c r="I706" s="68" t="inlineStr"/>
    </row>
    <row r="707">
      <c r="A707" s="65" t="n">
        <v>695</v>
      </c>
      <c r="B707" s="65" t="n">
        <v>694</v>
      </c>
      <c r="C707" s="66" t="n">
        <v>4717.81</v>
      </c>
      <c r="D707" s="66" t="n">
        <v>4689.06168</v>
      </c>
      <c r="E707" s="67">
        <f>C707-D707</f>
        <v/>
      </c>
      <c r="F707" s="67">
        <f>(E707-F757)^2</f>
        <v/>
      </c>
      <c r="G707" s="66">
        <f>(E707-F757)^3</f>
        <v/>
      </c>
      <c r="H707" s="66">
        <f>(E707-F757)^4</f>
        <v/>
      </c>
      <c r="I707" s="65" t="inlineStr"/>
    </row>
    <row r="708">
      <c r="A708" s="68" t="n">
        <v>696</v>
      </c>
      <c r="B708" s="68" t="n">
        <v>695</v>
      </c>
      <c r="C708" s="69" t="n">
        <v>4713.35</v>
      </c>
      <c r="D708" s="69" t="n">
        <v>4689.26413</v>
      </c>
      <c r="E708" s="70">
        <f>C708-D708</f>
        <v/>
      </c>
      <c r="F708" s="70">
        <f>(E708-F757)^2</f>
        <v/>
      </c>
      <c r="G708" s="69">
        <f>(E708-F757)^3</f>
        <v/>
      </c>
      <c r="H708" s="69">
        <f>(E708-F757)^4</f>
        <v/>
      </c>
      <c r="I708" s="68" t="inlineStr"/>
    </row>
    <row r="709">
      <c r="A709" s="65" t="n">
        <v>697</v>
      </c>
      <c r="B709" s="65" t="n">
        <v>696</v>
      </c>
      <c r="C709" s="66" t="n">
        <v>4711.79</v>
      </c>
      <c r="D709" s="66" t="n">
        <v>4689.46658</v>
      </c>
      <c r="E709" s="67">
        <f>C709-D709</f>
        <v/>
      </c>
      <c r="F709" s="67">
        <f>(E709-F757)^2</f>
        <v/>
      </c>
      <c r="G709" s="66">
        <f>(E709-F757)^3</f>
        <v/>
      </c>
      <c r="H709" s="66">
        <f>(E709-F757)^4</f>
        <v/>
      </c>
      <c r="I709" s="65" t="inlineStr"/>
    </row>
    <row r="710">
      <c r="A710" s="68" t="n">
        <v>698</v>
      </c>
      <c r="B710" s="68" t="n">
        <v>697</v>
      </c>
      <c r="C710" s="69" t="n">
        <v>4718.94</v>
      </c>
      <c r="D710" s="69" t="n">
        <v>4689.66902</v>
      </c>
      <c r="E710" s="70">
        <f>C710-D710</f>
        <v/>
      </c>
      <c r="F710" s="70">
        <f>(E710-F757)^2</f>
        <v/>
      </c>
      <c r="G710" s="69">
        <f>(E710-F757)^3</f>
        <v/>
      </c>
      <c r="H710" s="69">
        <f>(E710-F757)^4</f>
        <v/>
      </c>
      <c r="I710" s="68" t="inlineStr"/>
    </row>
    <row r="711">
      <c r="A711" s="65" t="n">
        <v>699</v>
      </c>
      <c r="B711" s="65" t="n">
        <v>698</v>
      </c>
      <c r="C711" s="66" t="n">
        <v>4720.38</v>
      </c>
      <c r="D711" s="66" t="n">
        <v>4689.87147</v>
      </c>
      <c r="E711" s="67">
        <f>C711-D711</f>
        <v/>
      </c>
      <c r="F711" s="67">
        <f>(E711-F757)^2</f>
        <v/>
      </c>
      <c r="G711" s="66">
        <f>(E711-F757)^3</f>
        <v/>
      </c>
      <c r="H711" s="66">
        <f>(E711-F757)^4</f>
        <v/>
      </c>
      <c r="I711" s="65" t="inlineStr"/>
    </row>
    <row r="712">
      <c r="A712" s="68" t="n">
        <v>700</v>
      </c>
      <c r="B712" s="68" t="n">
        <v>699</v>
      </c>
      <c r="C712" s="69" t="n">
        <v>4724.48</v>
      </c>
      <c r="D712" s="69" t="n">
        <v>4690.07391</v>
      </c>
      <c r="E712" s="70">
        <f>C712-D712</f>
        <v/>
      </c>
      <c r="F712" s="70">
        <f>(E712-F757)^2</f>
        <v/>
      </c>
      <c r="G712" s="69">
        <f>(E712-F757)^3</f>
        <v/>
      </c>
      <c r="H712" s="69">
        <f>(E712-F757)^4</f>
        <v/>
      </c>
      <c r="I712" s="68" t="inlineStr"/>
    </row>
    <row r="713">
      <c r="A713" s="65" t="n">
        <v>701</v>
      </c>
      <c r="B713" s="65" t="n">
        <v>700</v>
      </c>
      <c r="C713" s="66" t="n">
        <v>4719.94</v>
      </c>
      <c r="D713" s="66" t="n">
        <v>4690.27636</v>
      </c>
      <c r="E713" s="67">
        <f>C713-D713</f>
        <v/>
      </c>
      <c r="F713" s="67">
        <f>(E713-F757)^2</f>
        <v/>
      </c>
      <c r="G713" s="66">
        <f>(E713-F757)^3</f>
        <v/>
      </c>
      <c r="H713" s="66">
        <f>(E713-F757)^4</f>
        <v/>
      </c>
      <c r="I713" s="65" t="inlineStr"/>
    </row>
    <row r="714">
      <c r="A714" s="68" t="n">
        <v>702</v>
      </c>
      <c r="B714" s="68" t="n">
        <v>701</v>
      </c>
      <c r="C714" s="69" t="n">
        <v>4722.05</v>
      </c>
      <c r="D714" s="69" t="n">
        <v>4690.4788</v>
      </c>
      <c r="E714" s="70">
        <f>C714-D714</f>
        <v/>
      </c>
      <c r="F714" s="70">
        <f>(E714-F757)^2</f>
        <v/>
      </c>
      <c r="G714" s="69">
        <f>(E714-F757)^3</f>
        <v/>
      </c>
      <c r="H714" s="69">
        <f>(E714-F757)^4</f>
        <v/>
      </c>
      <c r="I714" s="68" t="inlineStr"/>
    </row>
    <row r="715">
      <c r="A715" s="65" t="n">
        <v>703</v>
      </c>
      <c r="B715" s="65" t="n">
        <v>702</v>
      </c>
      <c r="C715" s="66" t="n">
        <v>4724.08</v>
      </c>
      <c r="D715" s="66" t="n">
        <v>4690.68125</v>
      </c>
      <c r="E715" s="67">
        <f>C715-D715</f>
        <v/>
      </c>
      <c r="F715" s="67">
        <f>(E715-F757)^2</f>
        <v/>
      </c>
      <c r="G715" s="66">
        <f>(E715-F757)^3</f>
        <v/>
      </c>
      <c r="H715" s="66">
        <f>(E715-F757)^4</f>
        <v/>
      </c>
      <c r="I715" s="65" t="inlineStr"/>
    </row>
    <row r="716">
      <c r="A716" s="68" t="n">
        <v>704</v>
      </c>
      <c r="B716" s="68" t="n">
        <v>703</v>
      </c>
      <c r="C716" s="69" t="n">
        <v>4721.18</v>
      </c>
      <c r="D716" s="69" t="n">
        <v>4690.8837</v>
      </c>
      <c r="E716" s="70">
        <f>C716-D716</f>
        <v/>
      </c>
      <c r="F716" s="70">
        <f>(E716-F757)^2</f>
        <v/>
      </c>
      <c r="G716" s="69">
        <f>(E716-F757)^3</f>
        <v/>
      </c>
      <c r="H716" s="69">
        <f>(E716-F757)^4</f>
        <v/>
      </c>
      <c r="I716" s="68" t="inlineStr"/>
    </row>
    <row r="717">
      <c r="A717" s="65" t="n">
        <v>705</v>
      </c>
      <c r="B717" s="65" t="n">
        <v>704</v>
      </c>
      <c r="C717" s="66" t="n">
        <v>4717.8</v>
      </c>
      <c r="D717" s="66" t="n">
        <v>4691.08614</v>
      </c>
      <c r="E717" s="67">
        <f>C717-D717</f>
        <v/>
      </c>
      <c r="F717" s="67">
        <f>(E717-F757)^2</f>
        <v/>
      </c>
      <c r="G717" s="66">
        <f>(E717-F757)^3</f>
        <v/>
      </c>
      <c r="H717" s="66">
        <f>(E717-F757)^4</f>
        <v/>
      </c>
      <c r="I717" s="65" t="inlineStr"/>
    </row>
    <row r="718">
      <c r="A718" s="68" t="n">
        <v>706</v>
      </c>
      <c r="B718" s="68" t="n">
        <v>705</v>
      </c>
      <c r="C718" s="69" t="n">
        <v>4704.7</v>
      </c>
      <c r="D718" s="69" t="n">
        <v>4691.28859</v>
      </c>
      <c r="E718" s="70">
        <f>C718-D718</f>
        <v/>
      </c>
      <c r="F718" s="70">
        <f>(E718-F757)^2</f>
        <v/>
      </c>
      <c r="G718" s="69">
        <f>(E718-F757)^3</f>
        <v/>
      </c>
      <c r="H718" s="69">
        <f>(E718-F757)^4</f>
        <v/>
      </c>
      <c r="I718" s="68" t="inlineStr"/>
    </row>
    <row r="719">
      <c r="A719" s="65" t="n">
        <v>707</v>
      </c>
      <c r="B719" s="65" t="n">
        <v>706</v>
      </c>
      <c r="C719" s="66" t="n">
        <v>4710.4</v>
      </c>
      <c r="D719" s="66" t="n">
        <v>4691.49103</v>
      </c>
      <c r="E719" s="67">
        <f>C719-D719</f>
        <v/>
      </c>
      <c r="F719" s="67">
        <f>(E719-F757)^2</f>
        <v/>
      </c>
      <c r="G719" s="66">
        <f>(E719-F757)^3</f>
        <v/>
      </c>
      <c r="H719" s="66">
        <f>(E719-F757)^4</f>
        <v/>
      </c>
      <c r="I719" s="65" t="inlineStr"/>
    </row>
    <row r="720">
      <c r="A720" s="68" t="n">
        <v>708</v>
      </c>
      <c r="B720" s="68" t="n">
        <v>707</v>
      </c>
      <c r="C720" s="69" t="n">
        <v>4723.84</v>
      </c>
      <c r="D720" s="69" t="n">
        <v>4691.69348</v>
      </c>
      <c r="E720" s="70">
        <f>C720-D720</f>
        <v/>
      </c>
      <c r="F720" s="70">
        <f>(E720-F757)^2</f>
        <v/>
      </c>
      <c r="G720" s="69">
        <f>(E720-F757)^3</f>
        <v/>
      </c>
      <c r="H720" s="69">
        <f>(E720-F757)^4</f>
        <v/>
      </c>
      <c r="I720" s="68" t="inlineStr"/>
    </row>
    <row r="721">
      <c r="A721" s="65" t="n">
        <v>709</v>
      </c>
      <c r="B721" s="65" t="n">
        <v>708</v>
      </c>
      <c r="C721" s="66" t="n">
        <v>4724.41</v>
      </c>
      <c r="D721" s="66" t="n">
        <v>4691.89592</v>
      </c>
      <c r="E721" s="67">
        <f>C721-D721</f>
        <v/>
      </c>
      <c r="F721" s="67">
        <f>(E721-F757)^2</f>
        <v/>
      </c>
      <c r="G721" s="66">
        <f>(E721-F757)^3</f>
        <v/>
      </c>
      <c r="H721" s="66">
        <f>(E721-F757)^4</f>
        <v/>
      </c>
      <c r="I721" s="65" t="inlineStr"/>
    </row>
    <row r="722">
      <c r="A722" s="68" t="n">
        <v>710</v>
      </c>
      <c r="B722" s="68" t="n">
        <v>709</v>
      </c>
      <c r="C722" s="69" t="n">
        <v>4720.41</v>
      </c>
      <c r="D722" s="69" t="n">
        <v>4692.09837</v>
      </c>
      <c r="E722" s="70">
        <f>C722-D722</f>
        <v/>
      </c>
      <c r="F722" s="70">
        <f>(E722-F757)^2</f>
        <v/>
      </c>
      <c r="G722" s="69">
        <f>(E722-F757)^3</f>
        <v/>
      </c>
      <c r="H722" s="69">
        <f>(E722-F757)^4</f>
        <v/>
      </c>
      <c r="I722" s="68" t="inlineStr"/>
    </row>
    <row r="723">
      <c r="A723" s="65" t="n">
        <v>711</v>
      </c>
      <c r="B723" s="65" t="n">
        <v>710</v>
      </c>
      <c r="C723" s="66" t="n">
        <v>4727.11</v>
      </c>
      <c r="D723" s="66" t="n">
        <v>4692.30082</v>
      </c>
      <c r="E723" s="67">
        <f>C723-D723</f>
        <v/>
      </c>
      <c r="F723" s="67">
        <f>(E723-F757)^2</f>
        <v/>
      </c>
      <c r="G723" s="66">
        <f>(E723-F757)^3</f>
        <v/>
      </c>
      <c r="H723" s="66">
        <f>(E723-F757)^4</f>
        <v/>
      </c>
      <c r="I723" s="65" t="inlineStr"/>
    </row>
    <row r="724">
      <c r="A724" s="68" t="n">
        <v>712</v>
      </c>
      <c r="B724" s="68" t="n">
        <v>711</v>
      </c>
      <c r="C724" s="69" t="n">
        <v>4738.02</v>
      </c>
      <c r="D724" s="69" t="n">
        <v>4692.50326</v>
      </c>
      <c r="E724" s="70">
        <f>C724-D724</f>
        <v/>
      </c>
      <c r="F724" s="70">
        <f>(E724-F757)^2</f>
        <v/>
      </c>
      <c r="G724" s="69">
        <f>(E724-F757)^3</f>
        <v/>
      </c>
      <c r="H724" s="69">
        <f>(E724-F757)^4</f>
        <v/>
      </c>
      <c r="I724" s="68" t="inlineStr"/>
    </row>
    <row r="725">
      <c r="A725" s="65" t="n">
        <v>713</v>
      </c>
      <c r="B725" s="65" t="n">
        <v>712</v>
      </c>
      <c r="C725" s="66" t="n">
        <v>4747.9</v>
      </c>
      <c r="D725" s="66" t="n">
        <v>4692.70571</v>
      </c>
      <c r="E725" s="67">
        <f>C725-D725</f>
        <v/>
      </c>
      <c r="F725" s="67">
        <f>(E725-F757)^2</f>
        <v/>
      </c>
      <c r="G725" s="66">
        <f>(E725-F757)^3</f>
        <v/>
      </c>
      <c r="H725" s="66">
        <f>(E725-F757)^4</f>
        <v/>
      </c>
      <c r="I725" s="65" t="inlineStr"/>
    </row>
    <row r="726">
      <c r="A726" s="68" t="n">
        <v>714</v>
      </c>
      <c r="B726" s="68" t="n">
        <v>713</v>
      </c>
      <c r="C726" s="69" t="n">
        <v>4731.78</v>
      </c>
      <c r="D726" s="69" t="n">
        <v>4692.90815</v>
      </c>
      <c r="E726" s="70">
        <f>C726-D726</f>
        <v/>
      </c>
      <c r="F726" s="70">
        <f>(E726-F757)^2</f>
        <v/>
      </c>
      <c r="G726" s="69">
        <f>(E726-F757)^3</f>
        <v/>
      </c>
      <c r="H726" s="69">
        <f>(E726-F757)^4</f>
        <v/>
      </c>
      <c r="I726" s="68" t="inlineStr"/>
    </row>
    <row r="727">
      <c r="A727" s="65" t="n">
        <v>715</v>
      </c>
      <c r="B727" s="65" t="n">
        <v>714</v>
      </c>
      <c r="C727" s="66" t="n">
        <v>4719.14</v>
      </c>
      <c r="D727" s="66" t="n">
        <v>4693.1106</v>
      </c>
      <c r="E727" s="67">
        <f>C727-D727</f>
        <v/>
      </c>
      <c r="F727" s="67">
        <f>(E727-F757)^2</f>
        <v/>
      </c>
      <c r="G727" s="66">
        <f>(E727-F757)^3</f>
        <v/>
      </c>
      <c r="H727" s="66">
        <f>(E727-F757)^4</f>
        <v/>
      </c>
      <c r="I727" s="65" t="inlineStr"/>
    </row>
    <row r="728">
      <c r="A728" s="68" t="n">
        <v>716</v>
      </c>
      <c r="B728" s="68" t="n">
        <v>715</v>
      </c>
      <c r="C728" s="69" t="n">
        <v>4722.71</v>
      </c>
      <c r="D728" s="69" t="n">
        <v>4693.31304</v>
      </c>
      <c r="E728" s="70">
        <f>C728-D728</f>
        <v/>
      </c>
      <c r="F728" s="70">
        <f>(E728-F757)^2</f>
        <v/>
      </c>
      <c r="G728" s="69">
        <f>(E728-F757)^3</f>
        <v/>
      </c>
      <c r="H728" s="69">
        <f>(E728-F757)^4</f>
        <v/>
      </c>
      <c r="I728" s="68" t="inlineStr"/>
    </row>
    <row r="729">
      <c r="A729" s="65" t="n">
        <v>717</v>
      </c>
      <c r="B729" s="65" t="n">
        <v>716</v>
      </c>
      <c r="C729" s="66" t="n">
        <v>4716.02</v>
      </c>
      <c r="D729" s="66" t="n">
        <v>4693.51549</v>
      </c>
      <c r="E729" s="67">
        <f>C729-D729</f>
        <v/>
      </c>
      <c r="F729" s="67">
        <f>(E729-F757)^2</f>
        <v/>
      </c>
      <c r="G729" s="66">
        <f>(E729-F757)^3</f>
        <v/>
      </c>
      <c r="H729" s="66">
        <f>(E729-F757)^4</f>
        <v/>
      </c>
      <c r="I729" s="65" t="inlineStr"/>
    </row>
    <row r="730">
      <c r="A730" s="68" t="n">
        <v>718</v>
      </c>
      <c r="B730" s="68" t="n">
        <v>717</v>
      </c>
      <c r="C730" s="69" t="n">
        <v>4707.62</v>
      </c>
      <c r="D730" s="69" t="n">
        <v>4693.71794</v>
      </c>
      <c r="E730" s="70">
        <f>C730-D730</f>
        <v/>
      </c>
      <c r="F730" s="70">
        <f>(E730-F757)^2</f>
        <v/>
      </c>
      <c r="G730" s="69">
        <f>(E730-F757)^3</f>
        <v/>
      </c>
      <c r="H730" s="69">
        <f>(E730-F757)^4</f>
        <v/>
      </c>
      <c r="I730" s="68" t="inlineStr"/>
    </row>
    <row r="731">
      <c r="A731" s="65" t="n">
        <v>719</v>
      </c>
      <c r="B731" s="65" t="n">
        <v>718</v>
      </c>
      <c r="C731" s="66" t="n">
        <v>4713.43</v>
      </c>
      <c r="D731" s="66" t="n">
        <v>4693.92038</v>
      </c>
      <c r="E731" s="67">
        <f>C731-D731</f>
        <v/>
      </c>
      <c r="F731" s="67">
        <f>(E731-F757)^2</f>
        <v/>
      </c>
      <c r="G731" s="66">
        <f>(E731-F757)^3</f>
        <v/>
      </c>
      <c r="H731" s="66">
        <f>(E731-F757)^4</f>
        <v/>
      </c>
      <c r="I731" s="65" t="inlineStr"/>
    </row>
    <row r="732">
      <c r="A732" s="68" t="n">
        <v>720</v>
      </c>
      <c r="B732" s="68" t="n">
        <v>719</v>
      </c>
      <c r="C732" s="69" t="n">
        <v>4705.96</v>
      </c>
      <c r="D732" s="69" t="n">
        <v>4694.12283</v>
      </c>
      <c r="E732" s="70">
        <f>C732-D732</f>
        <v/>
      </c>
      <c r="F732" s="70">
        <f>(E732-F757)^2</f>
        <v/>
      </c>
      <c r="G732" s="69">
        <f>(E732-F757)^3</f>
        <v/>
      </c>
      <c r="H732" s="69">
        <f>(E732-F757)^4</f>
        <v/>
      </c>
      <c r="I732" s="68" t="inlineStr"/>
    </row>
    <row r="733">
      <c r="A733" s="65" t="n">
        <v>721</v>
      </c>
      <c r="B733" s="65" t="n">
        <v>720</v>
      </c>
      <c r="C733" s="66" t="n">
        <v>4707.13</v>
      </c>
      <c r="D733" s="66" t="n">
        <v>4694.32527</v>
      </c>
      <c r="E733" s="67">
        <f>C733-D733</f>
        <v/>
      </c>
      <c r="F733" s="67">
        <f>(E733-F757)^2</f>
        <v/>
      </c>
      <c r="G733" s="66">
        <f>(E733-F757)^3</f>
        <v/>
      </c>
      <c r="H733" s="66">
        <f>(E733-F757)^4</f>
        <v/>
      </c>
      <c r="I733" s="65" t="inlineStr"/>
    </row>
    <row r="734">
      <c r="A734" s="68" t="n">
        <v>722</v>
      </c>
      <c r="B734" s="68" t="n">
        <v>721</v>
      </c>
      <c r="C734" s="69" t="n">
        <v>4711.49</v>
      </c>
      <c r="D734" s="69" t="n">
        <v>4694.52772</v>
      </c>
      <c r="E734" s="70">
        <f>C734-D734</f>
        <v/>
      </c>
      <c r="F734" s="70">
        <f>(E734-F757)^2</f>
        <v/>
      </c>
      <c r="G734" s="69">
        <f>(E734-F757)^3</f>
        <v/>
      </c>
      <c r="H734" s="69">
        <f>(E734-F757)^4</f>
        <v/>
      </c>
      <c r="I734" s="68" t="inlineStr"/>
    </row>
    <row r="735">
      <c r="A735" s="65" t="n">
        <v>723</v>
      </c>
      <c r="B735" s="65" t="n">
        <v>722</v>
      </c>
      <c r="C735" s="66" t="n">
        <v>4717.67</v>
      </c>
      <c r="D735" s="66" t="n">
        <v>4694.73016</v>
      </c>
      <c r="E735" s="67">
        <f>C735-D735</f>
        <v/>
      </c>
      <c r="F735" s="67">
        <f>(E735-F757)^2</f>
        <v/>
      </c>
      <c r="G735" s="66">
        <f>(E735-F757)^3</f>
        <v/>
      </c>
      <c r="H735" s="66">
        <f>(E735-F757)^4</f>
        <v/>
      </c>
      <c r="I735" s="65" t="inlineStr"/>
    </row>
    <row r="736">
      <c r="A736" s="68" t="n">
        <v>724</v>
      </c>
      <c r="B736" s="68" t="n">
        <v>723</v>
      </c>
      <c r="C736" s="69" t="n">
        <v>4713.4</v>
      </c>
      <c r="D736" s="69" t="n">
        <v>4694.93261</v>
      </c>
      <c r="E736" s="70">
        <f>C736-D736</f>
        <v/>
      </c>
      <c r="F736" s="70">
        <f>(E736-F757)^2</f>
        <v/>
      </c>
      <c r="G736" s="69">
        <f>(E736-F757)^3</f>
        <v/>
      </c>
      <c r="H736" s="69">
        <f>(E736-F757)^4</f>
        <v/>
      </c>
      <c r="I736" s="68" t="inlineStr"/>
    </row>
    <row r="737">
      <c r="A737" s="65" t="n">
        <v>725</v>
      </c>
      <c r="B737" s="65" t="n">
        <v>724</v>
      </c>
      <c r="C737" s="66" t="n">
        <v>4712.52</v>
      </c>
      <c r="D737" s="66" t="n">
        <v>4695.13505</v>
      </c>
      <c r="E737" s="67">
        <f>C737-D737</f>
        <v/>
      </c>
      <c r="F737" s="67">
        <f>(E737-F757)^2</f>
        <v/>
      </c>
      <c r="G737" s="66">
        <f>(E737-F757)^3</f>
        <v/>
      </c>
      <c r="H737" s="66">
        <f>(E737-F757)^4</f>
        <v/>
      </c>
      <c r="I737" s="65" t="inlineStr"/>
    </row>
    <row r="738">
      <c r="A738" s="68" t="n">
        <v>726</v>
      </c>
      <c r="B738" s="68" t="n">
        <v>725</v>
      </c>
      <c r="C738" s="69" t="n">
        <v>4715.4</v>
      </c>
      <c r="D738" s="69" t="n">
        <v>4695.3375</v>
      </c>
      <c r="E738" s="70">
        <f>C738-D738</f>
        <v/>
      </c>
      <c r="F738" s="70">
        <f>(E738-F757)^2</f>
        <v/>
      </c>
      <c r="G738" s="69">
        <f>(E738-F757)^3</f>
        <v/>
      </c>
      <c r="H738" s="69">
        <f>(E738-F757)^4</f>
        <v/>
      </c>
      <c r="I738" s="68" t="inlineStr"/>
    </row>
    <row r="739">
      <c r="A739" s="65" t="n">
        <v>727</v>
      </c>
      <c r="B739" s="65" t="n">
        <v>726</v>
      </c>
      <c r="C739" s="66" t="n">
        <v>4720.64</v>
      </c>
      <c r="D739" s="66" t="n">
        <v>4695.53995</v>
      </c>
      <c r="E739" s="67">
        <f>C739-D739</f>
        <v/>
      </c>
      <c r="F739" s="67">
        <f>(E739-F757)^2</f>
        <v/>
      </c>
      <c r="G739" s="66">
        <f>(E739-F757)^3</f>
        <v/>
      </c>
      <c r="H739" s="66">
        <f>(E739-F757)^4</f>
        <v/>
      </c>
      <c r="I739" s="65" t="inlineStr"/>
    </row>
    <row r="740">
      <c r="A740" s="68" t="n">
        <v>728</v>
      </c>
      <c r="B740" s="68" t="n">
        <v>727</v>
      </c>
      <c r="C740" s="69" t="n">
        <v>4720.74</v>
      </c>
      <c r="D740" s="69" t="n">
        <v>4695.74239</v>
      </c>
      <c r="E740" s="70">
        <f>C740-D740</f>
        <v/>
      </c>
      <c r="F740" s="70">
        <f>(E740-F757)^2</f>
        <v/>
      </c>
      <c r="G740" s="69">
        <f>(E740-F757)^3</f>
        <v/>
      </c>
      <c r="H740" s="69">
        <f>(E740-F757)^4</f>
        <v/>
      </c>
      <c r="I740" s="68" t="inlineStr"/>
    </row>
    <row r="741">
      <c r="A741" s="65" t="n">
        <v>729</v>
      </c>
      <c r="B741" s="65" t="n">
        <v>728</v>
      </c>
      <c r="C741" s="66" t="n">
        <v>4720.99</v>
      </c>
      <c r="D741" s="66" t="n">
        <v>4695.94484</v>
      </c>
      <c r="E741" s="67">
        <f>C741-D741</f>
        <v/>
      </c>
      <c r="F741" s="67">
        <f>(E741-F757)^2</f>
        <v/>
      </c>
      <c r="G741" s="66">
        <f>(E741-F757)^3</f>
        <v/>
      </c>
      <c r="H741" s="66">
        <f>(E741-F757)^4</f>
        <v/>
      </c>
      <c r="I741" s="65" t="inlineStr"/>
    </row>
    <row r="742">
      <c r="A742" s="68" t="n">
        <v>730</v>
      </c>
      <c r="B742" s="68" t="n">
        <v>729</v>
      </c>
      <c r="C742" s="69" t="n">
        <v>4727.48</v>
      </c>
      <c r="D742" s="69" t="n">
        <v>4696.14728</v>
      </c>
      <c r="E742" s="70">
        <f>C742-D742</f>
        <v/>
      </c>
      <c r="F742" s="70">
        <f>(E742-F757)^2</f>
        <v/>
      </c>
      <c r="G742" s="69">
        <f>(E742-F757)^3</f>
        <v/>
      </c>
      <c r="H742" s="69">
        <f>(E742-F757)^4</f>
        <v/>
      </c>
      <c r="I742" s="68" t="inlineStr"/>
    </row>
    <row r="743">
      <c r="A743" s="65" t="n">
        <v>731</v>
      </c>
      <c r="B743" s="65" t="n">
        <v>730</v>
      </c>
      <c r="C743" s="66" t="n">
        <v>4725.66</v>
      </c>
      <c r="D743" s="66" t="n">
        <v>4696.34973</v>
      </c>
      <c r="E743" s="67">
        <f>C743-D743</f>
        <v/>
      </c>
      <c r="F743" s="67">
        <f>(E743-F757)^2</f>
        <v/>
      </c>
      <c r="G743" s="66">
        <f>(E743-F757)^3</f>
        <v/>
      </c>
      <c r="H743" s="66">
        <f>(E743-F757)^4</f>
        <v/>
      </c>
      <c r="I743" s="65" t="inlineStr"/>
    </row>
    <row r="744">
      <c r="A744" s="68" t="n">
        <v>732</v>
      </c>
      <c r="B744" s="68" t="n">
        <v>731</v>
      </c>
      <c r="C744" s="69" t="n">
        <v>4724.59</v>
      </c>
      <c r="D744" s="69" t="n">
        <v>4696.55217</v>
      </c>
      <c r="E744" s="70">
        <f>C744-D744</f>
        <v/>
      </c>
      <c r="F744" s="70">
        <f>(E744-F757)^2</f>
        <v/>
      </c>
      <c r="G744" s="69">
        <f>(E744-F757)^3</f>
        <v/>
      </c>
      <c r="H744" s="69">
        <f>(E744-F757)^4</f>
        <v/>
      </c>
      <c r="I744" s="68" t="inlineStr"/>
    </row>
    <row r="745">
      <c r="A745" s="65" t="n">
        <v>733</v>
      </c>
      <c r="B745" s="65" t="n">
        <v>732</v>
      </c>
      <c r="C745" s="66" t="n">
        <v>4721.83</v>
      </c>
      <c r="D745" s="66" t="n">
        <v>4696.75462</v>
      </c>
      <c r="E745" s="67">
        <f>C745-D745</f>
        <v/>
      </c>
      <c r="F745" s="67">
        <f>(E745-F757)^2</f>
        <v/>
      </c>
      <c r="G745" s="66">
        <f>(E745-F757)^3</f>
        <v/>
      </c>
      <c r="H745" s="66">
        <f>(E745-F757)^4</f>
        <v/>
      </c>
      <c r="I745" s="65" t="inlineStr"/>
    </row>
    <row r="746">
      <c r="A746" s="68" t="n">
        <v>734</v>
      </c>
      <c r="B746" s="68" t="n">
        <v>733</v>
      </c>
      <c r="C746" s="69" t="n">
        <v>4723.57</v>
      </c>
      <c r="D746" s="69" t="n">
        <v>4696.95707</v>
      </c>
      <c r="E746" s="70">
        <f>C746-D746</f>
        <v/>
      </c>
      <c r="F746" s="70">
        <f>(E746-F757)^2</f>
        <v/>
      </c>
      <c r="G746" s="69">
        <f>(E746-F757)^3</f>
        <v/>
      </c>
      <c r="H746" s="69">
        <f>(E746-F757)^4</f>
        <v/>
      </c>
      <c r="I746" s="68" t="inlineStr"/>
    </row>
    <row r="747">
      <c r="A747" s="65" t="n">
        <v>735</v>
      </c>
      <c r="B747" s="65" t="n">
        <v>734</v>
      </c>
      <c r="C747" s="66" t="n">
        <v>4723.71</v>
      </c>
      <c r="D747" s="66" t="n">
        <v>4697.15951</v>
      </c>
      <c r="E747" s="67">
        <f>C747-D747</f>
        <v/>
      </c>
      <c r="F747" s="67">
        <f>(E747-F757)^2</f>
        <v/>
      </c>
      <c r="G747" s="66">
        <f>(E747-F757)^3</f>
        <v/>
      </c>
      <c r="H747" s="66">
        <f>(E747-F757)^4</f>
        <v/>
      </c>
      <c r="I747" s="65" t="inlineStr"/>
    </row>
    <row r="748">
      <c r="A748" s="68" t="n">
        <v>736</v>
      </c>
      <c r="B748" s="68" t="n">
        <v>735</v>
      </c>
      <c r="C748" s="69" t="n">
        <v>4725.3</v>
      </c>
      <c r="D748" s="69" t="n">
        <v>4697.36196</v>
      </c>
      <c r="E748" s="70">
        <f>C748-D748</f>
        <v/>
      </c>
      <c r="F748" s="70">
        <f>(E748-F757)^2</f>
        <v/>
      </c>
      <c r="G748" s="69">
        <f>(E748-F757)^3</f>
        <v/>
      </c>
      <c r="H748" s="69">
        <f>(E748-F757)^4</f>
        <v/>
      </c>
      <c r="I748" s="68" t="inlineStr"/>
    </row>
    <row r="749">
      <c r="A749" s="65" t="n">
        <v>737</v>
      </c>
      <c r="B749" s="65" t="n">
        <v>736</v>
      </c>
      <c r="C749" s="66" t="n">
        <v>4724.02</v>
      </c>
      <c r="D749" s="66" t="n">
        <v>4697.5644</v>
      </c>
      <c r="E749" s="67">
        <f>C749-D749</f>
        <v/>
      </c>
      <c r="F749" s="67">
        <f>(E749-F757)^2</f>
        <v/>
      </c>
      <c r="G749" s="66">
        <f>(E749-F757)^3</f>
        <v/>
      </c>
      <c r="H749" s="66">
        <f>(E749-F757)^4</f>
        <v/>
      </c>
      <c r="I749" s="65" t="inlineStr"/>
    </row>
    <row r="750">
      <c r="A750" s="68" t="n">
        <v>738</v>
      </c>
      <c r="B750" s="68" t="n">
        <v>737</v>
      </c>
      <c r="C750" s="69" t="n">
        <v>4718.85</v>
      </c>
      <c r="D750" s="69" t="n">
        <v>4697.76685</v>
      </c>
      <c r="E750" s="70">
        <f>C750-D750</f>
        <v/>
      </c>
      <c r="F750" s="70">
        <f>(E750-F757)^2</f>
        <v/>
      </c>
      <c r="G750" s="69">
        <f>(E750-F757)^3</f>
        <v/>
      </c>
      <c r="H750" s="69">
        <f>(E750-F757)^4</f>
        <v/>
      </c>
      <c r="I750" s="68" t="inlineStr"/>
    </row>
    <row r="751">
      <c r="A751" s="65" t="n">
        <v>739</v>
      </c>
      <c r="B751" s="65" t="n">
        <v>738</v>
      </c>
      <c r="C751" s="66" t="n">
        <v>4717.38</v>
      </c>
      <c r="D751" s="66" t="n">
        <v>4697.96929</v>
      </c>
      <c r="E751" s="67">
        <f>C751-D751</f>
        <v/>
      </c>
      <c r="F751" s="67">
        <f>(E751-F757)^2</f>
        <v/>
      </c>
      <c r="G751" s="66">
        <f>(E751-F757)^3</f>
        <v/>
      </c>
      <c r="H751" s="66">
        <f>(E751-F757)^4</f>
        <v/>
      </c>
      <c r="I751" s="65" t="inlineStr"/>
    </row>
    <row r="752">
      <c r="A752" s="68" t="n">
        <v>740</v>
      </c>
      <c r="B752" s="68" t="n">
        <v>739</v>
      </c>
      <c r="C752" s="69" t="n">
        <v>4716.4</v>
      </c>
      <c r="D752" s="69" t="n">
        <v>4698.17174</v>
      </c>
      <c r="E752" s="70">
        <f>C752-D752</f>
        <v/>
      </c>
      <c r="F752" s="70">
        <f>(E752-F757)^2</f>
        <v/>
      </c>
      <c r="G752" s="69">
        <f>(E752-F757)^3</f>
        <v/>
      </c>
      <c r="H752" s="69">
        <f>(E752-F757)^4</f>
        <v/>
      </c>
      <c r="I752" s="68" t="inlineStr"/>
    </row>
    <row r="753">
      <c r="A753" s="65" t="n">
        <v>741</v>
      </c>
      <c r="B753" s="65" t="n">
        <v>740</v>
      </c>
      <c r="C753" s="66" t="n">
        <v>4715.36</v>
      </c>
      <c r="D753" s="66" t="n">
        <v>4698.37419</v>
      </c>
      <c r="E753" s="67">
        <f>C753-D753</f>
        <v/>
      </c>
      <c r="F753" s="67">
        <f>(E753-F757)^2</f>
        <v/>
      </c>
      <c r="G753" s="66">
        <f>(E753-F757)^3</f>
        <v/>
      </c>
      <c r="H753" s="66">
        <f>(E753-F757)^4</f>
        <v/>
      </c>
      <c r="I753" s="65" t="inlineStr"/>
    </row>
    <row r="755" ht="18" customHeight="1" s="28">
      <c r="A755" s="61" t="inlineStr">
        <is>
          <t>STEP 2 — Summary Statistics: Mean, Variance, Skewness, Kurtosis, JB</t>
        </is>
      </c>
    </row>
    <row r="756">
      <c r="A756" s="72" t="inlineStr">
        <is>
          <t>n  (sample size)</t>
        </is>
      </c>
      <c r="B756" s="63" t="n"/>
      <c r="C756" s="63" t="n"/>
      <c r="D756" s="63" t="n"/>
      <c r="E756" s="64" t="n"/>
      <c r="F756" s="73" t="n">
        <v>741</v>
      </c>
      <c r="G756" s="63" t="n"/>
      <c r="H756" s="63" t="n"/>
      <c r="I756" s="64" t="n"/>
    </row>
    <row r="757">
      <c r="A757" s="72" t="inlineStr">
        <is>
          <t>ē  =  AVERAGE(residuals)</t>
        </is>
      </c>
      <c r="B757" s="63" t="n"/>
      <c r="C757" s="63" t="n"/>
      <c r="D757" s="63" t="n"/>
      <c r="E757" s="64" t="n"/>
      <c r="F757" s="75">
        <f>AVERAGE(E13:E753)</f>
        <v/>
      </c>
      <c r="G757" s="63" t="n"/>
      <c r="H757" s="63" t="n"/>
      <c r="I757" s="64" t="n"/>
    </row>
    <row r="758">
      <c r="A758" s="72" t="inlineStr">
        <is>
          <t>Σ(eᵢ−ē)²</t>
        </is>
      </c>
      <c r="B758" s="63" t="n"/>
      <c r="C758" s="63" t="n"/>
      <c r="D758" s="63" t="n"/>
      <c r="E758" s="64" t="n"/>
      <c r="F758" s="77">
        <f>SUM(F13:F753)</f>
        <v/>
      </c>
      <c r="G758" s="63" t="n"/>
      <c r="H758" s="63" t="n"/>
      <c r="I758" s="64" t="n"/>
    </row>
    <row r="759">
      <c r="A759" s="72" t="inlineStr">
        <is>
          <t>Variance  σ²  =  Σ(eᵢ−ē)² / n</t>
        </is>
      </c>
      <c r="B759" s="63" t="n"/>
      <c r="C759" s="63" t="n"/>
      <c r="D759" s="63" t="n"/>
      <c r="E759" s="64" t="n"/>
      <c r="F759" s="75">
        <f>F758/F756</f>
        <v/>
      </c>
      <c r="G759" s="63" t="n"/>
      <c r="H759" s="63" t="n"/>
      <c r="I759" s="64" t="n"/>
    </row>
    <row r="760">
      <c r="A760" s="72" t="inlineStr">
        <is>
          <t>Std Dev  σ  =  √σ²</t>
        </is>
      </c>
      <c r="B760" s="63" t="n"/>
      <c r="C760" s="63" t="n"/>
      <c r="D760" s="63" t="n"/>
      <c r="E760" s="64" t="n"/>
      <c r="F760" s="75">
        <f>SQRT(F759)</f>
        <v/>
      </c>
      <c r="G760" s="63" t="n"/>
      <c r="H760" s="63" t="n"/>
      <c r="I760" s="64" t="n"/>
    </row>
    <row r="761">
      <c r="A761" s="72" t="inlineStr">
        <is>
          <t>Σ(eᵢ−ē)³</t>
        </is>
      </c>
      <c r="B761" s="63" t="n"/>
      <c r="C761" s="63" t="n"/>
      <c r="D761" s="63" t="n"/>
      <c r="E761" s="64" t="n"/>
      <c r="F761" s="77">
        <f>SUM(G13:G753)</f>
        <v/>
      </c>
      <c r="G761" s="63" t="n"/>
      <c r="H761" s="63" t="n"/>
      <c r="I761" s="64" t="n"/>
    </row>
    <row r="762">
      <c r="A762" s="72" t="inlineStr">
        <is>
          <t>Σ(eᵢ−ē)⁴</t>
        </is>
      </c>
      <c r="B762" s="63" t="n"/>
      <c r="C762" s="63" t="n"/>
      <c r="D762" s="63" t="n"/>
      <c r="E762" s="64" t="n"/>
      <c r="F762" s="77">
        <f>SUM(H13:H753)</f>
        <v/>
      </c>
      <c r="G762" s="63" t="n"/>
      <c r="H762" s="63" t="n"/>
      <c r="I762" s="64" t="n"/>
    </row>
    <row r="763">
      <c r="A763" s="72" t="inlineStr">
        <is>
          <t>Skewness  S  =  [Σ(eᵢ−ē)³/n] / σ³</t>
        </is>
      </c>
      <c r="B763" s="63" t="n"/>
      <c r="C763" s="63" t="n"/>
      <c r="D763" s="63" t="n"/>
      <c r="E763" s="64" t="n"/>
      <c r="F763" s="75">
        <f>(F761/F756)/(F760^3)</f>
        <v/>
      </c>
      <c r="G763" s="63" t="n"/>
      <c r="H763" s="63" t="n"/>
      <c r="I763" s="64" t="n"/>
    </row>
    <row r="764">
      <c r="A764" s="72" t="inlineStr">
        <is>
          <t>Kurtosis  K  =  [Σ(eᵢ−ē)⁴/n] / σ⁴</t>
        </is>
      </c>
      <c r="B764" s="63" t="n"/>
      <c r="C764" s="63" t="n"/>
      <c r="D764" s="63" t="n"/>
      <c r="E764" s="64" t="n"/>
      <c r="F764" s="75">
        <f>(F762/F756)/(F760^4)</f>
        <v/>
      </c>
      <c r="G764" s="63" t="n"/>
      <c r="H764" s="63" t="n"/>
      <c r="I764" s="64" t="n"/>
    </row>
    <row r="765">
      <c r="A765" s="72" t="inlineStr">
        <is>
          <t>Excess Kurtosis  (K − 3)</t>
        </is>
      </c>
      <c r="B765" s="63" t="n"/>
      <c r="C765" s="63" t="n"/>
      <c r="D765" s="63" t="n"/>
      <c r="E765" s="64" t="n"/>
      <c r="F765" s="75">
        <f>F764-3</f>
        <v/>
      </c>
      <c r="G765" s="63" t="n"/>
      <c r="H765" s="63" t="n"/>
      <c r="I765" s="64" t="n"/>
    </row>
    <row r="766">
      <c r="A766" s="72" t="inlineStr">
        <is>
          <t>JB  =  (n/6) · [ S² + (K−3)²/4 ]</t>
        </is>
      </c>
      <c r="B766" s="63" t="n"/>
      <c r="C766" s="63" t="n"/>
      <c r="D766" s="63" t="n"/>
      <c r="E766" s="64" t="n"/>
      <c r="F766" s="74">
        <f>(F756/6)*(F763^2+(F765)^2/4)</f>
        <v/>
      </c>
      <c r="G766" s="63" t="n"/>
      <c r="H766" s="63" t="n"/>
      <c r="I766" s="64" t="n"/>
    </row>
    <row r="767">
      <c r="A767" s="72" t="inlineStr">
        <is>
          <t>p-value  =  CHIDIST(JB, 2)</t>
        </is>
      </c>
      <c r="B767" s="63" t="n"/>
      <c r="C767" s="63" t="n"/>
      <c r="D767" s="63" t="n"/>
      <c r="E767" s="64" t="n"/>
      <c r="F767" s="80">
        <f>CHIDIST(F766,2)</f>
        <v/>
      </c>
      <c r="G767" s="63" t="n"/>
      <c r="H767" s="63" t="n"/>
      <c r="I767" s="64" t="n"/>
    </row>
    <row r="768">
      <c r="A768" s="72" t="inlineStr">
        <is>
          <t>α  (significance level)</t>
        </is>
      </c>
      <c r="B768" s="63" t="n"/>
      <c r="C768" s="63" t="n"/>
      <c r="D768" s="63" t="n"/>
      <c r="E768" s="64" t="n"/>
      <c r="F768" s="77" t="n">
        <v>0.05</v>
      </c>
      <c r="G768" s="63" t="n"/>
      <c r="H768" s="63" t="n"/>
      <c r="I768" s="64" t="n"/>
    </row>
    <row r="769" ht="22" customHeight="1" s="28">
      <c r="A769" s="78" t="inlineStr">
        <is>
          <t>DECISION:  p-value ≈ 8.78e-19 &lt; α (0.05)  ⟹  REJECT H₀  →  Base_FL residuals are NOT normally distributed  [JB ≈ 83.15 | Significant Skewness and/or Excess Kurtosis]</t>
        </is>
      </c>
    </row>
  </sheetData>
  <mergeCells count="38">
    <mergeCell ref="F764:I764"/>
    <mergeCell ref="B7:I7"/>
    <mergeCell ref="A757:E757"/>
    <mergeCell ref="A766:E766"/>
    <mergeCell ref="A760:E760"/>
    <mergeCell ref="F761:I761"/>
    <mergeCell ref="B3:I3"/>
    <mergeCell ref="A756:E756"/>
    <mergeCell ref="F760:I760"/>
    <mergeCell ref="A762:E762"/>
    <mergeCell ref="F766:I766"/>
    <mergeCell ref="B2:I2"/>
    <mergeCell ref="F756:I756"/>
    <mergeCell ref="F762:I762"/>
    <mergeCell ref="B8:I8"/>
    <mergeCell ref="A758:E758"/>
    <mergeCell ref="A767:E767"/>
    <mergeCell ref="A763:E763"/>
    <mergeCell ref="F758:I758"/>
    <mergeCell ref="F765:I765"/>
    <mergeCell ref="F767:I767"/>
    <mergeCell ref="F757:I757"/>
    <mergeCell ref="A755:I755"/>
    <mergeCell ref="F759:I759"/>
    <mergeCell ref="A769:I769"/>
    <mergeCell ref="A768:E768"/>
    <mergeCell ref="A759:E759"/>
    <mergeCell ref="B9:I9"/>
    <mergeCell ref="A11:I11"/>
    <mergeCell ref="F763:I763"/>
    <mergeCell ref="B6:I6"/>
    <mergeCell ref="A765:E765"/>
    <mergeCell ref="F768:I768"/>
    <mergeCell ref="A1:I1"/>
    <mergeCell ref="B5:I5"/>
    <mergeCell ref="A761:E761"/>
    <mergeCell ref="A764:E764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7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4" customWidth="1" style="28" min="2" max="2"/>
    <col width="14" customWidth="1" style="28" min="3" max="3"/>
    <col width="14" customWidth="1" style="28" min="4" max="4"/>
    <col width="16" customWidth="1" style="28" min="5" max="5"/>
    <col width="16" customWidth="1" style="28" min="6" max="6"/>
    <col width="16" customWidth="1" style="28" min="7" max="7"/>
    <col width="8" customWidth="1" style="28" min="8" max="8"/>
    <col width="6" customWidth="1" style="28" min="9" max="9"/>
  </cols>
  <sheetData>
    <row r="1" ht="26" customHeight="1" s="28">
      <c r="A1" s="58" t="inlineStr">
        <is>
          <t>WHITE'S HOMOSCEDASTICITY TEST  |  MODEL B  |  n = 741  |  Residual = close − Base_FL</t>
        </is>
      </c>
    </row>
    <row r="2" ht="16" customHeight="1" s="28">
      <c r="A2" s="59" t="inlineStr">
        <is>
          <t>H₀:</t>
        </is>
      </c>
      <c r="B2" s="60" t="inlineStr">
        <is>
          <t>Variance of residuals is constant (homoscedastic)   |   H₁: Variance depends on X or X²</t>
        </is>
      </c>
    </row>
    <row r="3" ht="16" customHeight="1" s="28">
      <c r="A3" s="59" t="inlineStr">
        <is>
          <t>PURPOSE:</t>
        </is>
      </c>
      <c r="B3" s="60" t="inlineStr">
        <is>
          <t>Extends Breusch-Pagan by including X² in auxiliary regression, capturing both linear AND non-linear variance patterns.  Recommended for n &gt; 100.</t>
        </is>
      </c>
    </row>
    <row r="4" ht="16" customHeight="1" s="28">
      <c r="A4" s="59" t="inlineStr">
        <is>
          <t>RESIDUAL:</t>
        </is>
      </c>
      <c r="B4" s="60" t="inlineStr">
        <is>
          <t>eᵢ  =  closeᵢ  −  Base_FLᵢ   [Base_FL from MQL5 EDT-Centroid indicator, all 741 bars]</t>
        </is>
      </c>
    </row>
    <row r="5" ht="16" customHeight="1" s="28">
      <c r="A5" s="59" t="inlineStr">
        <is>
          <t>STEPS:</t>
        </is>
      </c>
      <c r="B5" s="60" t="inlineStr">
        <is>
          <t>1. Compute eᵢ = closeᵢ − Base_FLᵢ   (Base_FL IS the fitted line — no OLS needed)</t>
        </is>
      </c>
    </row>
    <row r="6" ht="16" customHeight="1" s="28">
      <c r="A6" s="59" t="inlineStr"/>
      <c r="B6" s="60" t="inlineStr">
        <is>
          <t>2. Compute eᵢ²  and  Xᵢ²  (bar_index squared)</t>
        </is>
      </c>
    </row>
    <row r="7" ht="16" customHeight="1" s="28">
      <c r="A7" s="59" t="inlineStr"/>
      <c r="B7" s="60" t="inlineStr">
        <is>
          <t>3. Auxiliary OLS:  eᵢ²  =  γ₀ + γ₁·X + γ₂·X²  +  u   →   R²_aux</t>
        </is>
      </c>
    </row>
    <row r="8" ht="16" customHeight="1" s="28">
      <c r="A8" s="59" t="inlineStr"/>
      <c r="B8" s="60" t="inlineStr">
        <is>
          <t>4. LM  =  n · R²_aux   ~  χ²(k),   k = 2  (X and X²)</t>
        </is>
      </c>
    </row>
    <row r="9" ht="16" customHeight="1" s="28">
      <c r="A9" s="59" t="inlineStr">
        <is>
          <t>KEY DIFF:</t>
        </is>
      </c>
      <c r="B9" s="60" t="inlineStr">
        <is>
          <t>White detects curved variance patterns (e.g. low variance mid-series, high at both ends) that Breusch-Pagan misses.</t>
        </is>
      </c>
    </row>
    <row r="10" ht="16" customHeight="1" s="28">
      <c r="A10" s="59" t="inlineStr">
        <is>
          <t>DECISION:</t>
        </is>
      </c>
      <c r="B10" s="60" t="inlineStr">
        <is>
          <t>Reject H₀ if  p-value &lt; α = 0.05</t>
        </is>
      </c>
    </row>
    <row r="12" ht="18" customHeight="1" s="28">
      <c r="A12" s="61" t="inlineStr">
        <is>
          <t>STEP 1 — Residuals  eᵢ = closeᵢ − Base_FLᵢ,  eᵢ²,  and  Xᵢ²   (all 741 bars)</t>
        </is>
      </c>
    </row>
    <row r="13" ht="32" customHeight="1" s="28">
      <c r="A13" s="62" t="inlineStr">
        <is>
          <t>i</t>
        </is>
      </c>
      <c r="B13" s="62" t="inlineStr">
        <is>
          <t>X = Bar Index</t>
        </is>
      </c>
      <c r="C13" s="62" t="inlineStr">
        <is>
          <t>X²  (predictor²)</t>
        </is>
      </c>
      <c r="D13" s="62" t="inlineStr">
        <is>
          <t>Close Price</t>
        </is>
      </c>
      <c r="E13" s="62" t="inlineStr">
        <is>
          <t>Base_FL  (MQL5)</t>
        </is>
      </c>
      <c r="F13" s="62" t="inlineStr">
        <is>
          <t>Residual  eᵢ</t>
        </is>
      </c>
      <c r="G13" s="62" t="inlineStr">
        <is>
          <t>eᵢ²  (aux. Y)</t>
        </is>
      </c>
      <c r="H13" s="62" t="inlineStr"/>
      <c r="I13" s="64" t="n"/>
    </row>
    <row r="14">
      <c r="A14" s="65" t="n">
        <v>1</v>
      </c>
      <c r="B14" s="82" t="n">
        <v>0</v>
      </c>
      <c r="C14" s="82">
        <f>B14^2</f>
        <v/>
      </c>
      <c r="D14" s="66" t="n">
        <v>4595.7</v>
      </c>
      <c r="E14" s="66" t="n">
        <v>4548.56437</v>
      </c>
      <c r="F14" s="67">
        <f>D14-E14</f>
        <v/>
      </c>
      <c r="G14" s="66">
        <f>F14^2</f>
        <v/>
      </c>
      <c r="H14" s="65" t="inlineStr"/>
      <c r="I14" s="65" t="inlineStr"/>
    </row>
    <row r="15">
      <c r="A15" s="68" t="n">
        <v>2</v>
      </c>
      <c r="B15" s="83" t="n">
        <v>1</v>
      </c>
      <c r="C15" s="83">
        <f>B15^2</f>
        <v/>
      </c>
      <c r="D15" s="69" t="n">
        <v>4597.28</v>
      </c>
      <c r="E15" s="69" t="n">
        <v>4548.76682</v>
      </c>
      <c r="F15" s="70">
        <f>D15-E15</f>
        <v/>
      </c>
      <c r="G15" s="69">
        <f>F15^2</f>
        <v/>
      </c>
      <c r="H15" s="68" t="inlineStr"/>
      <c r="I15" s="68" t="inlineStr"/>
    </row>
    <row r="16">
      <c r="A16" s="65" t="n">
        <v>3</v>
      </c>
      <c r="B16" s="82" t="n">
        <v>2</v>
      </c>
      <c r="C16" s="82">
        <f>B16^2</f>
        <v/>
      </c>
      <c r="D16" s="66" t="n">
        <v>4592.85</v>
      </c>
      <c r="E16" s="66" t="n">
        <v>4548.96926</v>
      </c>
      <c r="F16" s="67">
        <f>D16-E16</f>
        <v/>
      </c>
      <c r="G16" s="66">
        <f>F16^2</f>
        <v/>
      </c>
      <c r="H16" s="65" t="inlineStr"/>
      <c r="I16" s="65" t="inlineStr"/>
    </row>
    <row r="17">
      <c r="A17" s="68" t="n">
        <v>4</v>
      </c>
      <c r="B17" s="83" t="n">
        <v>3</v>
      </c>
      <c r="C17" s="83">
        <f>B17^2</f>
        <v/>
      </c>
      <c r="D17" s="69" t="n">
        <v>4593.44</v>
      </c>
      <c r="E17" s="69" t="n">
        <v>4549.17171</v>
      </c>
      <c r="F17" s="70">
        <f>D17-E17</f>
        <v/>
      </c>
      <c r="G17" s="69">
        <f>F17^2</f>
        <v/>
      </c>
      <c r="H17" s="68" t="inlineStr"/>
      <c r="I17" s="68" t="inlineStr"/>
    </row>
    <row r="18">
      <c r="A18" s="65" t="n">
        <v>5</v>
      </c>
      <c r="B18" s="82" t="n">
        <v>4</v>
      </c>
      <c r="C18" s="82">
        <f>B18^2</f>
        <v/>
      </c>
      <c r="D18" s="66" t="n">
        <v>4597.18</v>
      </c>
      <c r="E18" s="66" t="n">
        <v>4549.37415</v>
      </c>
      <c r="F18" s="67">
        <f>D18-E18</f>
        <v/>
      </c>
      <c r="G18" s="66">
        <f>F18^2</f>
        <v/>
      </c>
      <c r="H18" s="65" t="inlineStr"/>
      <c r="I18" s="65" t="inlineStr"/>
    </row>
    <row r="19">
      <c r="A19" s="68" t="n">
        <v>6</v>
      </c>
      <c r="B19" s="83" t="n">
        <v>5</v>
      </c>
      <c r="C19" s="83">
        <f>B19^2</f>
        <v/>
      </c>
      <c r="D19" s="69" t="n">
        <v>4596.42</v>
      </c>
      <c r="E19" s="69" t="n">
        <v>4549.5766</v>
      </c>
      <c r="F19" s="70">
        <f>D19-E19</f>
        <v/>
      </c>
      <c r="G19" s="69">
        <f>F19^2</f>
        <v/>
      </c>
      <c r="H19" s="68" t="inlineStr"/>
      <c r="I19" s="68" t="inlineStr"/>
    </row>
    <row r="20">
      <c r="A20" s="65" t="n">
        <v>7</v>
      </c>
      <c r="B20" s="82" t="n">
        <v>6</v>
      </c>
      <c r="C20" s="82">
        <f>B20^2</f>
        <v/>
      </c>
      <c r="D20" s="66" t="n">
        <v>4595.82</v>
      </c>
      <c r="E20" s="66" t="n">
        <v>4549.77905</v>
      </c>
      <c r="F20" s="67">
        <f>D20-E20</f>
        <v/>
      </c>
      <c r="G20" s="66">
        <f>F20^2</f>
        <v/>
      </c>
      <c r="H20" s="65" t="inlineStr"/>
      <c r="I20" s="65" t="inlineStr"/>
    </row>
    <row r="21">
      <c r="A21" s="68" t="n">
        <v>8</v>
      </c>
      <c r="B21" s="83" t="n">
        <v>7</v>
      </c>
      <c r="C21" s="83">
        <f>B21^2</f>
        <v/>
      </c>
      <c r="D21" s="69" t="n">
        <v>4593.71</v>
      </c>
      <c r="E21" s="69" t="n">
        <v>4549.98149</v>
      </c>
      <c r="F21" s="70">
        <f>D21-E21</f>
        <v/>
      </c>
      <c r="G21" s="69">
        <f>F21^2</f>
        <v/>
      </c>
      <c r="H21" s="68" t="inlineStr"/>
      <c r="I21" s="68" t="inlineStr"/>
    </row>
    <row r="22">
      <c r="A22" s="65" t="n">
        <v>9</v>
      </c>
      <c r="B22" s="82" t="n">
        <v>8</v>
      </c>
      <c r="C22" s="82">
        <f>B22^2</f>
        <v/>
      </c>
      <c r="D22" s="66" t="n">
        <v>4594.16</v>
      </c>
      <c r="E22" s="66" t="n">
        <v>4550.18394</v>
      </c>
      <c r="F22" s="67">
        <f>D22-E22</f>
        <v/>
      </c>
      <c r="G22" s="66">
        <f>F22^2</f>
        <v/>
      </c>
      <c r="H22" s="65" t="inlineStr"/>
      <c r="I22" s="65" t="inlineStr"/>
    </row>
    <row r="23">
      <c r="A23" s="68" t="n">
        <v>10</v>
      </c>
      <c r="B23" s="83" t="n">
        <v>9</v>
      </c>
      <c r="C23" s="83">
        <f>B23^2</f>
        <v/>
      </c>
      <c r="D23" s="69" t="n">
        <v>4590.84</v>
      </c>
      <c r="E23" s="69" t="n">
        <v>4550.38638</v>
      </c>
      <c r="F23" s="70">
        <f>D23-E23</f>
        <v/>
      </c>
      <c r="G23" s="69">
        <f>F23^2</f>
        <v/>
      </c>
      <c r="H23" s="68" t="inlineStr"/>
      <c r="I23" s="68" t="inlineStr"/>
    </row>
    <row r="24">
      <c r="A24" s="65" t="n">
        <v>11</v>
      </c>
      <c r="B24" s="82" t="n">
        <v>10</v>
      </c>
      <c r="C24" s="82">
        <f>B24^2</f>
        <v/>
      </c>
      <c r="D24" s="66" t="n">
        <v>4592.2</v>
      </c>
      <c r="E24" s="66" t="n">
        <v>4550.58883</v>
      </c>
      <c r="F24" s="67">
        <f>D24-E24</f>
        <v/>
      </c>
      <c r="G24" s="66">
        <f>F24^2</f>
        <v/>
      </c>
      <c r="H24" s="65" t="inlineStr"/>
      <c r="I24" s="65" t="inlineStr"/>
    </row>
    <row r="25">
      <c r="A25" s="68" t="n">
        <v>12</v>
      </c>
      <c r="B25" s="83" t="n">
        <v>11</v>
      </c>
      <c r="C25" s="83">
        <f>B25^2</f>
        <v/>
      </c>
      <c r="D25" s="69" t="n">
        <v>4589.91</v>
      </c>
      <c r="E25" s="69" t="n">
        <v>4550.79127</v>
      </c>
      <c r="F25" s="70">
        <f>D25-E25</f>
        <v/>
      </c>
      <c r="G25" s="69">
        <f>F25^2</f>
        <v/>
      </c>
      <c r="H25" s="68" t="inlineStr"/>
      <c r="I25" s="68" t="inlineStr"/>
    </row>
    <row r="26">
      <c r="A26" s="65" t="n">
        <v>13</v>
      </c>
      <c r="B26" s="82" t="n">
        <v>12</v>
      </c>
      <c r="C26" s="82">
        <f>B26^2</f>
        <v/>
      </c>
      <c r="D26" s="66" t="n">
        <v>4595.51</v>
      </c>
      <c r="E26" s="66" t="n">
        <v>4550.99372</v>
      </c>
      <c r="F26" s="67">
        <f>D26-E26</f>
        <v/>
      </c>
      <c r="G26" s="66">
        <f>F26^2</f>
        <v/>
      </c>
      <c r="H26" s="65" t="inlineStr"/>
      <c r="I26" s="65" t="inlineStr"/>
    </row>
    <row r="27">
      <c r="A27" s="68" t="n">
        <v>14</v>
      </c>
      <c r="B27" s="83" t="n">
        <v>13</v>
      </c>
      <c r="C27" s="83">
        <f>B27^2</f>
        <v/>
      </c>
      <c r="D27" s="69" t="n">
        <v>4607.37</v>
      </c>
      <c r="E27" s="69" t="n">
        <v>4551.19617</v>
      </c>
      <c r="F27" s="70">
        <f>D27-E27</f>
        <v/>
      </c>
      <c r="G27" s="69">
        <f>F27^2</f>
        <v/>
      </c>
      <c r="H27" s="68" t="inlineStr"/>
      <c r="I27" s="68" t="inlineStr"/>
    </row>
    <row r="28">
      <c r="A28" s="65" t="n">
        <v>15</v>
      </c>
      <c r="B28" s="82" t="n">
        <v>14</v>
      </c>
      <c r="C28" s="82">
        <f>B28^2</f>
        <v/>
      </c>
      <c r="D28" s="66" t="n">
        <v>4600.13</v>
      </c>
      <c r="E28" s="66" t="n">
        <v>4551.39861</v>
      </c>
      <c r="F28" s="67">
        <f>D28-E28</f>
        <v/>
      </c>
      <c r="G28" s="66">
        <f>F28^2</f>
        <v/>
      </c>
      <c r="H28" s="65" t="inlineStr"/>
      <c r="I28" s="65" t="inlineStr"/>
    </row>
    <row r="29">
      <c r="A29" s="68" t="n">
        <v>16</v>
      </c>
      <c r="B29" s="83" t="n">
        <v>15</v>
      </c>
      <c r="C29" s="83">
        <f>B29^2</f>
        <v/>
      </c>
      <c r="D29" s="69" t="n">
        <v>4603.88</v>
      </c>
      <c r="E29" s="69" t="n">
        <v>4551.60106</v>
      </c>
      <c r="F29" s="70">
        <f>D29-E29</f>
        <v/>
      </c>
      <c r="G29" s="69">
        <f>F29^2</f>
        <v/>
      </c>
      <c r="H29" s="68" t="inlineStr"/>
      <c r="I29" s="68" t="inlineStr"/>
    </row>
    <row r="30">
      <c r="A30" s="65" t="n">
        <v>17</v>
      </c>
      <c r="B30" s="82" t="n">
        <v>16</v>
      </c>
      <c r="C30" s="82">
        <f>B30^2</f>
        <v/>
      </c>
      <c r="D30" s="66" t="n">
        <v>4600.27</v>
      </c>
      <c r="E30" s="66" t="n">
        <v>4551.8035</v>
      </c>
      <c r="F30" s="67">
        <f>D30-E30</f>
        <v/>
      </c>
      <c r="G30" s="66">
        <f>F30^2</f>
        <v/>
      </c>
      <c r="H30" s="65" t="inlineStr"/>
      <c r="I30" s="65" t="inlineStr"/>
    </row>
    <row r="31">
      <c r="A31" s="68" t="n">
        <v>18</v>
      </c>
      <c r="B31" s="83" t="n">
        <v>17</v>
      </c>
      <c r="C31" s="83">
        <f>B31^2</f>
        <v/>
      </c>
      <c r="D31" s="69" t="n">
        <v>4582.65</v>
      </c>
      <c r="E31" s="69" t="n">
        <v>4552.00595</v>
      </c>
      <c r="F31" s="70">
        <f>D31-E31</f>
        <v/>
      </c>
      <c r="G31" s="69">
        <f>F31^2</f>
        <v/>
      </c>
      <c r="H31" s="68" t="inlineStr"/>
      <c r="I31" s="68" t="inlineStr"/>
    </row>
    <row r="32">
      <c r="A32" s="65" t="n">
        <v>19</v>
      </c>
      <c r="B32" s="82" t="n">
        <v>18</v>
      </c>
      <c r="C32" s="82">
        <f>B32^2</f>
        <v/>
      </c>
      <c r="D32" s="66" t="n">
        <v>4580.48</v>
      </c>
      <c r="E32" s="66" t="n">
        <v>4552.20839</v>
      </c>
      <c r="F32" s="67">
        <f>D32-E32</f>
        <v/>
      </c>
      <c r="G32" s="66">
        <f>F32^2</f>
        <v/>
      </c>
      <c r="H32" s="65" t="inlineStr"/>
      <c r="I32" s="65" t="inlineStr"/>
    </row>
    <row r="33">
      <c r="A33" s="68" t="n">
        <v>20</v>
      </c>
      <c r="B33" s="83" t="n">
        <v>19</v>
      </c>
      <c r="C33" s="83">
        <f>B33^2</f>
        <v/>
      </c>
      <c r="D33" s="69" t="n">
        <v>4590.56</v>
      </c>
      <c r="E33" s="69" t="n">
        <v>4552.41084</v>
      </c>
      <c r="F33" s="70">
        <f>D33-E33</f>
        <v/>
      </c>
      <c r="G33" s="69">
        <f>F33^2</f>
        <v/>
      </c>
      <c r="H33" s="68" t="inlineStr"/>
      <c r="I33" s="68" t="inlineStr"/>
    </row>
    <row r="34">
      <c r="A34" s="65" t="n">
        <v>21</v>
      </c>
      <c r="B34" s="82" t="n">
        <v>20</v>
      </c>
      <c r="C34" s="82">
        <f>B34^2</f>
        <v/>
      </c>
      <c r="D34" s="66" t="n">
        <v>4584.98</v>
      </c>
      <c r="E34" s="66" t="n">
        <v>4552.61328</v>
      </c>
      <c r="F34" s="67">
        <f>D34-E34</f>
        <v/>
      </c>
      <c r="G34" s="66">
        <f>F34^2</f>
        <v/>
      </c>
      <c r="H34" s="65" t="inlineStr"/>
      <c r="I34" s="65" t="inlineStr"/>
    </row>
    <row r="35">
      <c r="A35" s="68" t="n">
        <v>22</v>
      </c>
      <c r="B35" s="83" t="n">
        <v>21</v>
      </c>
      <c r="C35" s="83">
        <f>B35^2</f>
        <v/>
      </c>
      <c r="D35" s="69" t="n">
        <v>4600.87</v>
      </c>
      <c r="E35" s="69" t="n">
        <v>4552.81573</v>
      </c>
      <c r="F35" s="70">
        <f>D35-E35</f>
        <v/>
      </c>
      <c r="G35" s="69">
        <f>F35^2</f>
        <v/>
      </c>
      <c r="H35" s="68" t="inlineStr"/>
      <c r="I35" s="68" t="inlineStr"/>
    </row>
    <row r="36">
      <c r="A36" s="65" t="n">
        <v>23</v>
      </c>
      <c r="B36" s="82" t="n">
        <v>22</v>
      </c>
      <c r="C36" s="82">
        <f>B36^2</f>
        <v/>
      </c>
      <c r="D36" s="66" t="n">
        <v>4598.93</v>
      </c>
      <c r="E36" s="66" t="n">
        <v>4553.01818</v>
      </c>
      <c r="F36" s="67">
        <f>D36-E36</f>
        <v/>
      </c>
      <c r="G36" s="66">
        <f>F36^2</f>
        <v/>
      </c>
      <c r="H36" s="65" t="inlineStr"/>
      <c r="I36" s="65" t="inlineStr"/>
    </row>
    <row r="37">
      <c r="A37" s="68" t="n">
        <v>24</v>
      </c>
      <c r="B37" s="83" t="n">
        <v>23</v>
      </c>
      <c r="C37" s="83">
        <f>B37^2</f>
        <v/>
      </c>
      <c r="D37" s="69" t="n">
        <v>4596.92</v>
      </c>
      <c r="E37" s="69" t="n">
        <v>4553.22062</v>
      </c>
      <c r="F37" s="70">
        <f>D37-E37</f>
        <v/>
      </c>
      <c r="G37" s="69">
        <f>F37^2</f>
        <v/>
      </c>
      <c r="H37" s="68" t="inlineStr"/>
      <c r="I37" s="68" t="inlineStr"/>
    </row>
    <row r="38">
      <c r="A38" s="65" t="n">
        <v>25</v>
      </c>
      <c r="B38" s="82" t="n">
        <v>24</v>
      </c>
      <c r="C38" s="82">
        <f>B38^2</f>
        <v/>
      </c>
      <c r="D38" s="66" t="n">
        <v>4593.75</v>
      </c>
      <c r="E38" s="66" t="n">
        <v>4553.42307</v>
      </c>
      <c r="F38" s="67">
        <f>D38-E38</f>
        <v/>
      </c>
      <c r="G38" s="66">
        <f>F38^2</f>
        <v/>
      </c>
      <c r="H38" s="65" t="inlineStr"/>
      <c r="I38" s="65" t="inlineStr"/>
    </row>
    <row r="39">
      <c r="A39" s="68" t="n">
        <v>26</v>
      </c>
      <c r="B39" s="83" t="n">
        <v>25</v>
      </c>
      <c r="C39" s="83">
        <f>B39^2</f>
        <v/>
      </c>
      <c r="D39" s="69" t="n">
        <v>4601.89</v>
      </c>
      <c r="E39" s="69" t="n">
        <v>4553.62551</v>
      </c>
      <c r="F39" s="70">
        <f>D39-E39</f>
        <v/>
      </c>
      <c r="G39" s="69">
        <f>F39^2</f>
        <v/>
      </c>
      <c r="H39" s="68" t="inlineStr"/>
      <c r="I39" s="68" t="inlineStr"/>
    </row>
    <row r="40">
      <c r="A40" s="65" t="n">
        <v>27</v>
      </c>
      <c r="B40" s="82" t="n">
        <v>26</v>
      </c>
      <c r="C40" s="82">
        <f>B40^2</f>
        <v/>
      </c>
      <c r="D40" s="66" t="n">
        <v>4598.67</v>
      </c>
      <c r="E40" s="66" t="n">
        <v>4553.82796</v>
      </c>
      <c r="F40" s="67">
        <f>D40-E40</f>
        <v/>
      </c>
      <c r="G40" s="66">
        <f>F40^2</f>
        <v/>
      </c>
      <c r="H40" s="65" t="inlineStr"/>
      <c r="I40" s="65" t="inlineStr"/>
    </row>
    <row r="41">
      <c r="A41" s="68" t="n">
        <v>28</v>
      </c>
      <c r="B41" s="83" t="n">
        <v>27</v>
      </c>
      <c r="C41" s="83">
        <f>B41^2</f>
        <v/>
      </c>
      <c r="D41" s="69" t="n">
        <v>4593.91</v>
      </c>
      <c r="E41" s="69" t="n">
        <v>4554.0304</v>
      </c>
      <c r="F41" s="70">
        <f>D41-E41</f>
        <v/>
      </c>
      <c r="G41" s="69">
        <f>F41^2</f>
        <v/>
      </c>
      <c r="H41" s="68" t="inlineStr"/>
      <c r="I41" s="68" t="inlineStr"/>
    </row>
    <row r="42">
      <c r="A42" s="65" t="n">
        <v>29</v>
      </c>
      <c r="B42" s="82" t="n">
        <v>28</v>
      </c>
      <c r="C42" s="82">
        <f>B42^2</f>
        <v/>
      </c>
      <c r="D42" s="66" t="n">
        <v>4595.48</v>
      </c>
      <c r="E42" s="66" t="n">
        <v>4554.23285</v>
      </c>
      <c r="F42" s="67">
        <f>D42-E42</f>
        <v/>
      </c>
      <c r="G42" s="66">
        <f>F42^2</f>
        <v/>
      </c>
      <c r="H42" s="65" t="inlineStr"/>
      <c r="I42" s="65" t="inlineStr"/>
    </row>
    <row r="43">
      <c r="A43" s="68" t="n">
        <v>30</v>
      </c>
      <c r="B43" s="83" t="n">
        <v>29</v>
      </c>
      <c r="C43" s="83">
        <f>B43^2</f>
        <v/>
      </c>
      <c r="D43" s="69" t="n">
        <v>4600.68</v>
      </c>
      <c r="E43" s="69" t="n">
        <v>4554.4353</v>
      </c>
      <c r="F43" s="70">
        <f>D43-E43</f>
        <v/>
      </c>
      <c r="G43" s="69">
        <f>F43^2</f>
        <v/>
      </c>
      <c r="H43" s="68" t="inlineStr"/>
      <c r="I43" s="68" t="inlineStr"/>
    </row>
    <row r="44">
      <c r="A44" s="65" t="n">
        <v>31</v>
      </c>
      <c r="B44" s="82" t="n">
        <v>30</v>
      </c>
      <c r="C44" s="82">
        <f>B44^2</f>
        <v/>
      </c>
      <c r="D44" s="66" t="n">
        <v>4601.86</v>
      </c>
      <c r="E44" s="66" t="n">
        <v>4554.63774</v>
      </c>
      <c r="F44" s="67">
        <f>D44-E44</f>
        <v/>
      </c>
      <c r="G44" s="66">
        <f>F44^2</f>
        <v/>
      </c>
      <c r="H44" s="65" t="inlineStr"/>
      <c r="I44" s="65" t="inlineStr"/>
    </row>
    <row r="45">
      <c r="A45" s="68" t="n">
        <v>32</v>
      </c>
      <c r="B45" s="83" t="n">
        <v>31</v>
      </c>
      <c r="C45" s="83">
        <f>B45^2</f>
        <v/>
      </c>
      <c r="D45" s="69" t="n">
        <v>4602.15</v>
      </c>
      <c r="E45" s="69" t="n">
        <v>4554.84019</v>
      </c>
      <c r="F45" s="70">
        <f>D45-E45</f>
        <v/>
      </c>
      <c r="G45" s="69">
        <f>F45^2</f>
        <v/>
      </c>
      <c r="H45" s="68" t="inlineStr"/>
      <c r="I45" s="68" t="inlineStr"/>
    </row>
    <row r="46">
      <c r="A46" s="65" t="n">
        <v>33</v>
      </c>
      <c r="B46" s="82" t="n">
        <v>32</v>
      </c>
      <c r="C46" s="82">
        <f>B46^2</f>
        <v/>
      </c>
      <c r="D46" s="66" t="n">
        <v>4604.85</v>
      </c>
      <c r="E46" s="66" t="n">
        <v>4555.04263</v>
      </c>
      <c r="F46" s="67">
        <f>D46-E46</f>
        <v/>
      </c>
      <c r="G46" s="66">
        <f>F46^2</f>
        <v/>
      </c>
      <c r="H46" s="65" t="inlineStr"/>
      <c r="I46" s="65" t="inlineStr"/>
    </row>
    <row r="47">
      <c r="A47" s="68" t="n">
        <v>34</v>
      </c>
      <c r="B47" s="83" t="n">
        <v>33</v>
      </c>
      <c r="C47" s="83">
        <f>B47^2</f>
        <v/>
      </c>
      <c r="D47" s="69" t="n">
        <v>4601.15</v>
      </c>
      <c r="E47" s="69" t="n">
        <v>4555.24508</v>
      </c>
      <c r="F47" s="70">
        <f>D47-E47</f>
        <v/>
      </c>
      <c r="G47" s="69">
        <f>F47^2</f>
        <v/>
      </c>
      <c r="H47" s="68" t="inlineStr"/>
      <c r="I47" s="68" t="inlineStr"/>
    </row>
    <row r="48">
      <c r="A48" s="65" t="n">
        <v>35</v>
      </c>
      <c r="B48" s="82" t="n">
        <v>34</v>
      </c>
      <c r="C48" s="82">
        <f>B48^2</f>
        <v/>
      </c>
      <c r="D48" s="66" t="n">
        <v>4600.72</v>
      </c>
      <c r="E48" s="66" t="n">
        <v>4555.44752</v>
      </c>
      <c r="F48" s="67">
        <f>D48-E48</f>
        <v/>
      </c>
      <c r="G48" s="66">
        <f>F48^2</f>
        <v/>
      </c>
      <c r="H48" s="65" t="inlineStr"/>
      <c r="I48" s="65" t="inlineStr"/>
    </row>
    <row r="49">
      <c r="A49" s="68" t="n">
        <v>36</v>
      </c>
      <c r="B49" s="83" t="n">
        <v>35</v>
      </c>
      <c r="C49" s="83">
        <f>B49^2</f>
        <v/>
      </c>
      <c r="D49" s="69" t="n">
        <v>4599.05</v>
      </c>
      <c r="E49" s="69" t="n">
        <v>4555.64997</v>
      </c>
      <c r="F49" s="70">
        <f>D49-E49</f>
        <v/>
      </c>
      <c r="G49" s="69">
        <f>F49^2</f>
        <v/>
      </c>
      <c r="H49" s="68" t="inlineStr"/>
      <c r="I49" s="68" t="inlineStr"/>
    </row>
    <row r="50">
      <c r="A50" s="65" t="n">
        <v>37</v>
      </c>
      <c r="B50" s="82" t="n">
        <v>36</v>
      </c>
      <c r="C50" s="82">
        <f>B50^2</f>
        <v/>
      </c>
      <c r="D50" s="66" t="n">
        <v>4590.9</v>
      </c>
      <c r="E50" s="66" t="n">
        <v>4555.85242</v>
      </c>
      <c r="F50" s="67">
        <f>D50-E50</f>
        <v/>
      </c>
      <c r="G50" s="66">
        <f>F50^2</f>
        <v/>
      </c>
      <c r="H50" s="65" t="inlineStr"/>
      <c r="I50" s="65" t="inlineStr"/>
    </row>
    <row r="51">
      <c r="A51" s="68" t="n">
        <v>38</v>
      </c>
      <c r="B51" s="83" t="n">
        <v>37</v>
      </c>
      <c r="C51" s="83">
        <f>B51^2</f>
        <v/>
      </c>
      <c r="D51" s="69" t="n">
        <v>4588.73</v>
      </c>
      <c r="E51" s="69" t="n">
        <v>4556.05486</v>
      </c>
      <c r="F51" s="70">
        <f>D51-E51</f>
        <v/>
      </c>
      <c r="G51" s="69">
        <f>F51^2</f>
        <v/>
      </c>
      <c r="H51" s="68" t="inlineStr"/>
      <c r="I51" s="68" t="inlineStr"/>
    </row>
    <row r="52">
      <c r="A52" s="65" t="n">
        <v>39</v>
      </c>
      <c r="B52" s="82" t="n">
        <v>38</v>
      </c>
      <c r="C52" s="82">
        <f>B52^2</f>
        <v/>
      </c>
      <c r="D52" s="66" t="n">
        <v>4585.04</v>
      </c>
      <c r="E52" s="66" t="n">
        <v>4556.25731</v>
      </c>
      <c r="F52" s="67">
        <f>D52-E52</f>
        <v/>
      </c>
      <c r="G52" s="66">
        <f>F52^2</f>
        <v/>
      </c>
      <c r="H52" s="65" t="inlineStr"/>
      <c r="I52" s="65" t="inlineStr"/>
    </row>
    <row r="53">
      <c r="A53" s="68" t="n">
        <v>40</v>
      </c>
      <c r="B53" s="83" t="n">
        <v>39</v>
      </c>
      <c r="C53" s="83">
        <f>B53^2</f>
        <v/>
      </c>
      <c r="D53" s="69" t="n">
        <v>4585.03</v>
      </c>
      <c r="E53" s="69" t="n">
        <v>4556.45975</v>
      </c>
      <c r="F53" s="70">
        <f>D53-E53</f>
        <v/>
      </c>
      <c r="G53" s="69">
        <f>F53^2</f>
        <v/>
      </c>
      <c r="H53" s="68" t="inlineStr"/>
      <c r="I53" s="68" t="inlineStr"/>
    </row>
    <row r="54">
      <c r="A54" s="65" t="n">
        <v>41</v>
      </c>
      <c r="B54" s="82" t="n">
        <v>40</v>
      </c>
      <c r="C54" s="82">
        <f>B54^2</f>
        <v/>
      </c>
      <c r="D54" s="66" t="n">
        <v>4584.52</v>
      </c>
      <c r="E54" s="66" t="n">
        <v>4556.6622</v>
      </c>
      <c r="F54" s="67">
        <f>D54-E54</f>
        <v/>
      </c>
      <c r="G54" s="66">
        <f>F54^2</f>
        <v/>
      </c>
      <c r="H54" s="65" t="inlineStr"/>
      <c r="I54" s="65" t="inlineStr"/>
    </row>
    <row r="55">
      <c r="A55" s="68" t="n">
        <v>42</v>
      </c>
      <c r="B55" s="83" t="n">
        <v>41</v>
      </c>
      <c r="C55" s="83">
        <f>B55^2</f>
        <v/>
      </c>
      <c r="D55" s="69" t="n">
        <v>4578.72</v>
      </c>
      <c r="E55" s="69" t="n">
        <v>4556.86464</v>
      </c>
      <c r="F55" s="70">
        <f>D55-E55</f>
        <v/>
      </c>
      <c r="G55" s="69">
        <f>F55^2</f>
        <v/>
      </c>
      <c r="H55" s="68" t="inlineStr"/>
      <c r="I55" s="68" t="inlineStr"/>
    </row>
    <row r="56">
      <c r="A56" s="65" t="n">
        <v>43</v>
      </c>
      <c r="B56" s="82" t="n">
        <v>42</v>
      </c>
      <c r="C56" s="82">
        <f>B56^2</f>
        <v/>
      </c>
      <c r="D56" s="66" t="n">
        <v>4575.11</v>
      </c>
      <c r="E56" s="66" t="n">
        <v>4557.06709</v>
      </c>
      <c r="F56" s="67">
        <f>D56-E56</f>
        <v/>
      </c>
      <c r="G56" s="66">
        <f>F56^2</f>
        <v/>
      </c>
      <c r="H56" s="65" t="inlineStr"/>
      <c r="I56" s="65" t="inlineStr"/>
    </row>
    <row r="57">
      <c r="A57" s="68" t="n">
        <v>44</v>
      </c>
      <c r="B57" s="83" t="n">
        <v>43</v>
      </c>
      <c r="C57" s="83">
        <f>B57^2</f>
        <v/>
      </c>
      <c r="D57" s="69" t="n">
        <v>4570.56</v>
      </c>
      <c r="E57" s="69" t="n">
        <v>4557.26954</v>
      </c>
      <c r="F57" s="70">
        <f>D57-E57</f>
        <v/>
      </c>
      <c r="G57" s="69">
        <f>F57^2</f>
        <v/>
      </c>
      <c r="H57" s="68" t="inlineStr"/>
      <c r="I57" s="68" t="inlineStr"/>
    </row>
    <row r="58">
      <c r="A58" s="65" t="n">
        <v>45</v>
      </c>
      <c r="B58" s="82" t="n">
        <v>44</v>
      </c>
      <c r="C58" s="82">
        <f>B58^2</f>
        <v/>
      </c>
      <c r="D58" s="66" t="n">
        <v>4567.92</v>
      </c>
      <c r="E58" s="66" t="n">
        <v>4557.47198</v>
      </c>
      <c r="F58" s="67">
        <f>D58-E58</f>
        <v/>
      </c>
      <c r="G58" s="66">
        <f>F58^2</f>
        <v/>
      </c>
      <c r="H58" s="65" t="inlineStr"/>
      <c r="I58" s="65" t="inlineStr"/>
    </row>
    <row r="59">
      <c r="A59" s="68" t="n">
        <v>46</v>
      </c>
      <c r="B59" s="83" t="n">
        <v>45</v>
      </c>
      <c r="C59" s="83">
        <f>B59^2</f>
        <v/>
      </c>
      <c r="D59" s="69" t="n">
        <v>4565.44</v>
      </c>
      <c r="E59" s="69" t="n">
        <v>4557.67443</v>
      </c>
      <c r="F59" s="70">
        <f>D59-E59</f>
        <v/>
      </c>
      <c r="G59" s="69">
        <f>F59^2</f>
        <v/>
      </c>
      <c r="H59" s="68" t="inlineStr"/>
      <c r="I59" s="68" t="inlineStr"/>
    </row>
    <row r="60">
      <c r="A60" s="65" t="n">
        <v>47</v>
      </c>
      <c r="B60" s="82" t="n">
        <v>46</v>
      </c>
      <c r="C60" s="82">
        <f>B60^2</f>
        <v/>
      </c>
      <c r="D60" s="66" t="n">
        <v>4566.65</v>
      </c>
      <c r="E60" s="66" t="n">
        <v>4557.87687</v>
      </c>
      <c r="F60" s="67">
        <f>D60-E60</f>
        <v/>
      </c>
      <c r="G60" s="66">
        <f>F60^2</f>
        <v/>
      </c>
      <c r="H60" s="65" t="inlineStr"/>
      <c r="I60" s="65" t="inlineStr"/>
    </row>
    <row r="61">
      <c r="A61" s="68" t="n">
        <v>48</v>
      </c>
      <c r="B61" s="83" t="n">
        <v>47</v>
      </c>
      <c r="C61" s="83">
        <f>B61^2</f>
        <v/>
      </c>
      <c r="D61" s="69" t="n">
        <v>4568.37</v>
      </c>
      <c r="E61" s="69" t="n">
        <v>4558.07932</v>
      </c>
      <c r="F61" s="70">
        <f>D61-E61</f>
        <v/>
      </c>
      <c r="G61" s="69">
        <f>F61^2</f>
        <v/>
      </c>
      <c r="H61" s="68" t="inlineStr"/>
      <c r="I61" s="68" t="inlineStr"/>
    </row>
    <row r="62">
      <c r="A62" s="65" t="n">
        <v>49</v>
      </c>
      <c r="B62" s="82" t="n">
        <v>48</v>
      </c>
      <c r="C62" s="82">
        <f>B62^2</f>
        <v/>
      </c>
      <c r="D62" s="66" t="n">
        <v>4573.2</v>
      </c>
      <c r="E62" s="66" t="n">
        <v>4558.28176</v>
      </c>
      <c r="F62" s="67">
        <f>D62-E62</f>
        <v/>
      </c>
      <c r="G62" s="66">
        <f>F62^2</f>
        <v/>
      </c>
      <c r="H62" s="65" t="inlineStr"/>
      <c r="I62" s="65" t="inlineStr"/>
    </row>
    <row r="63">
      <c r="A63" s="68" t="n">
        <v>50</v>
      </c>
      <c r="B63" s="83" t="n">
        <v>49</v>
      </c>
      <c r="C63" s="83">
        <f>B63^2</f>
        <v/>
      </c>
      <c r="D63" s="69" t="n">
        <v>4574.2</v>
      </c>
      <c r="E63" s="69" t="n">
        <v>4558.48421</v>
      </c>
      <c r="F63" s="70">
        <f>D63-E63</f>
        <v/>
      </c>
      <c r="G63" s="69">
        <f>F63^2</f>
        <v/>
      </c>
      <c r="H63" s="68" t="inlineStr"/>
      <c r="I63" s="68" t="inlineStr"/>
    </row>
    <row r="64">
      <c r="A64" s="65" t="n">
        <v>51</v>
      </c>
      <c r="B64" s="82" t="n">
        <v>50</v>
      </c>
      <c r="C64" s="82">
        <f>B64^2</f>
        <v/>
      </c>
      <c r="D64" s="66" t="n">
        <v>4565.69</v>
      </c>
      <c r="E64" s="66" t="n">
        <v>4558.68666</v>
      </c>
      <c r="F64" s="67">
        <f>D64-E64</f>
        <v/>
      </c>
      <c r="G64" s="66">
        <f>F64^2</f>
        <v/>
      </c>
      <c r="H64" s="65" t="inlineStr"/>
      <c r="I64" s="65" t="inlineStr"/>
    </row>
    <row r="65">
      <c r="A65" s="68" t="n">
        <v>52</v>
      </c>
      <c r="B65" s="83" t="n">
        <v>51</v>
      </c>
      <c r="C65" s="83">
        <f>B65^2</f>
        <v/>
      </c>
      <c r="D65" s="69" t="n">
        <v>4558.86</v>
      </c>
      <c r="E65" s="69" t="n">
        <v>4558.8891</v>
      </c>
      <c r="F65" s="70">
        <f>D65-E65</f>
        <v/>
      </c>
      <c r="G65" s="69">
        <f>F65^2</f>
        <v/>
      </c>
      <c r="H65" s="68" t="inlineStr"/>
      <c r="I65" s="68" t="inlineStr"/>
    </row>
    <row r="66">
      <c r="A66" s="65" t="n">
        <v>53</v>
      </c>
      <c r="B66" s="82" t="n">
        <v>52</v>
      </c>
      <c r="C66" s="82">
        <f>B66^2</f>
        <v/>
      </c>
      <c r="D66" s="66" t="n">
        <v>4555.94</v>
      </c>
      <c r="E66" s="66" t="n">
        <v>4559.09155</v>
      </c>
      <c r="F66" s="67">
        <f>D66-E66</f>
        <v/>
      </c>
      <c r="G66" s="66">
        <f>F66^2</f>
        <v/>
      </c>
      <c r="H66" s="65" t="inlineStr"/>
      <c r="I66" s="65" t="inlineStr"/>
    </row>
    <row r="67">
      <c r="A67" s="68" t="n">
        <v>54</v>
      </c>
      <c r="B67" s="83" t="n">
        <v>53</v>
      </c>
      <c r="C67" s="83">
        <f>B67^2</f>
        <v/>
      </c>
      <c r="D67" s="69" t="n">
        <v>4568.04</v>
      </c>
      <c r="E67" s="69" t="n">
        <v>4559.29399</v>
      </c>
      <c r="F67" s="70">
        <f>D67-E67</f>
        <v/>
      </c>
      <c r="G67" s="69">
        <f>F67^2</f>
        <v/>
      </c>
      <c r="H67" s="68" t="inlineStr"/>
      <c r="I67" s="68" t="inlineStr"/>
    </row>
    <row r="68">
      <c r="A68" s="65" t="n">
        <v>55</v>
      </c>
      <c r="B68" s="82" t="n">
        <v>54</v>
      </c>
      <c r="C68" s="82">
        <f>B68^2</f>
        <v/>
      </c>
      <c r="D68" s="66" t="n">
        <v>4571.78</v>
      </c>
      <c r="E68" s="66" t="n">
        <v>4559.49644</v>
      </c>
      <c r="F68" s="67">
        <f>D68-E68</f>
        <v/>
      </c>
      <c r="G68" s="66">
        <f>F68^2</f>
        <v/>
      </c>
      <c r="H68" s="65" t="inlineStr"/>
      <c r="I68" s="65" t="inlineStr"/>
    </row>
    <row r="69">
      <c r="A69" s="68" t="n">
        <v>56</v>
      </c>
      <c r="B69" s="83" t="n">
        <v>55</v>
      </c>
      <c r="C69" s="83">
        <f>B69^2</f>
        <v/>
      </c>
      <c r="D69" s="69" t="n">
        <v>4566.36</v>
      </c>
      <c r="E69" s="69" t="n">
        <v>4559.69888</v>
      </c>
      <c r="F69" s="70">
        <f>D69-E69</f>
        <v/>
      </c>
      <c r="G69" s="69">
        <f>F69^2</f>
        <v/>
      </c>
      <c r="H69" s="68" t="inlineStr"/>
      <c r="I69" s="68" t="inlineStr"/>
    </row>
    <row r="70">
      <c r="A70" s="65" t="n">
        <v>57</v>
      </c>
      <c r="B70" s="82" t="n">
        <v>56</v>
      </c>
      <c r="C70" s="82">
        <f>B70^2</f>
        <v/>
      </c>
      <c r="D70" s="66" t="n">
        <v>4569.98</v>
      </c>
      <c r="E70" s="66" t="n">
        <v>4559.90133</v>
      </c>
      <c r="F70" s="67">
        <f>D70-E70</f>
        <v/>
      </c>
      <c r="G70" s="66">
        <f>F70^2</f>
        <v/>
      </c>
      <c r="H70" s="65" t="inlineStr"/>
      <c r="I70" s="65" t="inlineStr"/>
    </row>
    <row r="71">
      <c r="A71" s="68" t="n">
        <v>58</v>
      </c>
      <c r="B71" s="83" t="n">
        <v>57</v>
      </c>
      <c r="C71" s="83">
        <f>B71^2</f>
        <v/>
      </c>
      <c r="D71" s="69" t="n">
        <v>4568.02</v>
      </c>
      <c r="E71" s="69" t="n">
        <v>4560.10378</v>
      </c>
      <c r="F71" s="70">
        <f>D71-E71</f>
        <v/>
      </c>
      <c r="G71" s="69">
        <f>F71^2</f>
        <v/>
      </c>
      <c r="H71" s="68" t="inlineStr"/>
      <c r="I71" s="68" t="inlineStr"/>
    </row>
    <row r="72">
      <c r="A72" s="65" t="n">
        <v>59</v>
      </c>
      <c r="B72" s="82" t="n">
        <v>58</v>
      </c>
      <c r="C72" s="82">
        <f>B72^2</f>
        <v/>
      </c>
      <c r="D72" s="66" t="n">
        <v>4564.76</v>
      </c>
      <c r="E72" s="66" t="n">
        <v>4560.30622</v>
      </c>
      <c r="F72" s="67">
        <f>D72-E72</f>
        <v/>
      </c>
      <c r="G72" s="66">
        <f>F72^2</f>
        <v/>
      </c>
      <c r="H72" s="65" t="inlineStr"/>
      <c r="I72" s="65" t="inlineStr"/>
    </row>
    <row r="73">
      <c r="A73" s="68" t="n">
        <v>60</v>
      </c>
      <c r="B73" s="83" t="n">
        <v>59</v>
      </c>
      <c r="C73" s="83">
        <f>B73^2</f>
        <v/>
      </c>
      <c r="D73" s="69" t="n">
        <v>4567.03</v>
      </c>
      <c r="E73" s="69" t="n">
        <v>4560.50867</v>
      </c>
      <c r="F73" s="70">
        <f>D73-E73</f>
        <v/>
      </c>
      <c r="G73" s="69">
        <f>F73^2</f>
        <v/>
      </c>
      <c r="H73" s="68" t="inlineStr"/>
      <c r="I73" s="68" t="inlineStr"/>
    </row>
    <row r="74">
      <c r="A74" s="65" t="n">
        <v>61</v>
      </c>
      <c r="B74" s="82" t="n">
        <v>60</v>
      </c>
      <c r="C74" s="82">
        <f>B74^2</f>
        <v/>
      </c>
      <c r="D74" s="66" t="n">
        <v>4561.87</v>
      </c>
      <c r="E74" s="66" t="n">
        <v>4560.71111</v>
      </c>
      <c r="F74" s="67">
        <f>D74-E74</f>
        <v/>
      </c>
      <c r="G74" s="66">
        <f>F74^2</f>
        <v/>
      </c>
      <c r="H74" s="65" t="inlineStr"/>
      <c r="I74" s="65" t="inlineStr"/>
    </row>
    <row r="75">
      <c r="A75" s="68" t="n">
        <v>62</v>
      </c>
      <c r="B75" s="83" t="n">
        <v>61</v>
      </c>
      <c r="C75" s="83">
        <f>B75^2</f>
        <v/>
      </c>
      <c r="D75" s="69" t="n">
        <v>4564.41</v>
      </c>
      <c r="E75" s="69" t="n">
        <v>4560.91356</v>
      </c>
      <c r="F75" s="70">
        <f>D75-E75</f>
        <v/>
      </c>
      <c r="G75" s="69">
        <f>F75^2</f>
        <v/>
      </c>
      <c r="H75" s="68" t="inlineStr"/>
      <c r="I75" s="68" t="inlineStr"/>
    </row>
    <row r="76">
      <c r="A76" s="65" t="n">
        <v>63</v>
      </c>
      <c r="B76" s="82" t="n">
        <v>62</v>
      </c>
      <c r="C76" s="82">
        <f>B76^2</f>
        <v/>
      </c>
      <c r="D76" s="66" t="n">
        <v>4559.4</v>
      </c>
      <c r="E76" s="66" t="n">
        <v>4561.116</v>
      </c>
      <c r="F76" s="67">
        <f>D76-E76</f>
        <v/>
      </c>
      <c r="G76" s="66">
        <f>F76^2</f>
        <v/>
      </c>
      <c r="H76" s="65" t="inlineStr"/>
      <c r="I76" s="65" t="inlineStr"/>
    </row>
    <row r="77">
      <c r="A77" s="68" t="n">
        <v>64</v>
      </c>
      <c r="B77" s="83" t="n">
        <v>63</v>
      </c>
      <c r="C77" s="83">
        <f>B77^2</f>
        <v/>
      </c>
      <c r="D77" s="69" t="n">
        <v>4557.62</v>
      </c>
      <c r="E77" s="69" t="n">
        <v>4561.31845</v>
      </c>
      <c r="F77" s="70">
        <f>D77-E77</f>
        <v/>
      </c>
      <c r="G77" s="69">
        <f>F77^2</f>
        <v/>
      </c>
      <c r="H77" s="68" t="inlineStr"/>
      <c r="I77" s="68" t="inlineStr"/>
    </row>
    <row r="78">
      <c r="A78" s="65" t="n">
        <v>65</v>
      </c>
      <c r="B78" s="82" t="n">
        <v>64</v>
      </c>
      <c r="C78" s="82">
        <f>B78^2</f>
        <v/>
      </c>
      <c r="D78" s="66" t="n">
        <v>4544.9</v>
      </c>
      <c r="E78" s="66" t="n">
        <v>4561.5209</v>
      </c>
      <c r="F78" s="67">
        <f>D78-E78</f>
        <v/>
      </c>
      <c r="G78" s="66">
        <f>F78^2</f>
        <v/>
      </c>
      <c r="H78" s="65" t="inlineStr"/>
      <c r="I78" s="65" t="inlineStr"/>
    </row>
    <row r="79">
      <c r="A79" s="68" t="n">
        <v>66</v>
      </c>
      <c r="B79" s="83" t="n">
        <v>65</v>
      </c>
      <c r="C79" s="83">
        <f>B79^2</f>
        <v/>
      </c>
      <c r="D79" s="69" t="n">
        <v>4549.8</v>
      </c>
      <c r="E79" s="69" t="n">
        <v>4561.72334</v>
      </c>
      <c r="F79" s="70">
        <f>D79-E79</f>
        <v/>
      </c>
      <c r="G79" s="69">
        <f>F79^2</f>
        <v/>
      </c>
      <c r="H79" s="68" t="inlineStr"/>
      <c r="I79" s="68" t="inlineStr"/>
    </row>
    <row r="80">
      <c r="A80" s="65" t="n">
        <v>67</v>
      </c>
      <c r="B80" s="82" t="n">
        <v>66</v>
      </c>
      <c r="C80" s="82">
        <f>B80^2</f>
        <v/>
      </c>
      <c r="D80" s="66" t="n">
        <v>4537.82</v>
      </c>
      <c r="E80" s="66" t="n">
        <v>4561.92579</v>
      </c>
      <c r="F80" s="67">
        <f>D80-E80</f>
        <v/>
      </c>
      <c r="G80" s="66">
        <f>F80^2</f>
        <v/>
      </c>
      <c r="H80" s="65" t="inlineStr"/>
      <c r="I80" s="65" t="inlineStr"/>
    </row>
    <row r="81">
      <c r="A81" s="68" t="n">
        <v>68</v>
      </c>
      <c r="B81" s="83" t="n">
        <v>67</v>
      </c>
      <c r="C81" s="83">
        <f>B81^2</f>
        <v/>
      </c>
      <c r="D81" s="69" t="n">
        <v>4514.81</v>
      </c>
      <c r="E81" s="69" t="n">
        <v>4562.12823</v>
      </c>
      <c r="F81" s="70">
        <f>D81-E81</f>
        <v/>
      </c>
      <c r="G81" s="69">
        <f>F81^2</f>
        <v/>
      </c>
      <c r="H81" s="68" t="inlineStr"/>
      <c r="I81" s="68" t="inlineStr"/>
    </row>
    <row r="82">
      <c r="A82" s="65" t="n">
        <v>69</v>
      </c>
      <c r="B82" s="82" t="n">
        <v>68</v>
      </c>
      <c r="C82" s="82">
        <f>B82^2</f>
        <v/>
      </c>
      <c r="D82" s="66" t="n">
        <v>4521.71</v>
      </c>
      <c r="E82" s="66" t="n">
        <v>4562.33068</v>
      </c>
      <c r="F82" s="67">
        <f>D82-E82</f>
        <v/>
      </c>
      <c r="G82" s="66">
        <f>F82^2</f>
        <v/>
      </c>
      <c r="H82" s="65" t="inlineStr"/>
      <c r="I82" s="65" t="inlineStr"/>
    </row>
    <row r="83">
      <c r="A83" s="68" t="n">
        <v>70</v>
      </c>
      <c r="B83" s="83" t="n">
        <v>69</v>
      </c>
      <c r="C83" s="83">
        <f>B83^2</f>
        <v/>
      </c>
      <c r="D83" s="69" t="n">
        <v>4526.15</v>
      </c>
      <c r="E83" s="69" t="n">
        <v>4562.53312</v>
      </c>
      <c r="F83" s="70">
        <f>D83-E83</f>
        <v/>
      </c>
      <c r="G83" s="69">
        <f>F83^2</f>
        <v/>
      </c>
      <c r="H83" s="68" t="inlineStr"/>
      <c r="I83" s="68" t="inlineStr"/>
    </row>
    <row r="84">
      <c r="A84" s="65" t="n">
        <v>71</v>
      </c>
      <c r="B84" s="82" t="n">
        <v>70</v>
      </c>
      <c r="C84" s="82">
        <f>B84^2</f>
        <v/>
      </c>
      <c r="D84" s="66" t="n">
        <v>4533.2</v>
      </c>
      <c r="E84" s="66" t="n">
        <v>4562.73557</v>
      </c>
      <c r="F84" s="67">
        <f>D84-E84</f>
        <v/>
      </c>
      <c r="G84" s="66">
        <f>F84^2</f>
        <v/>
      </c>
      <c r="H84" s="65" t="inlineStr"/>
      <c r="I84" s="65" t="inlineStr"/>
    </row>
    <row r="85">
      <c r="A85" s="68" t="n">
        <v>72</v>
      </c>
      <c r="B85" s="83" t="n">
        <v>71</v>
      </c>
      <c r="C85" s="83">
        <f>B85^2</f>
        <v/>
      </c>
      <c r="D85" s="69" t="n">
        <v>4538.69</v>
      </c>
      <c r="E85" s="69" t="n">
        <v>4562.93802</v>
      </c>
      <c r="F85" s="70">
        <f>D85-E85</f>
        <v/>
      </c>
      <c r="G85" s="69">
        <f>F85^2</f>
        <v/>
      </c>
      <c r="H85" s="68" t="inlineStr"/>
      <c r="I85" s="68" t="inlineStr"/>
    </row>
    <row r="86">
      <c r="A86" s="65" t="n">
        <v>73</v>
      </c>
      <c r="B86" s="82" t="n">
        <v>72</v>
      </c>
      <c r="C86" s="82">
        <f>B86^2</f>
        <v/>
      </c>
      <c r="D86" s="66" t="n">
        <v>4539.25</v>
      </c>
      <c r="E86" s="66" t="n">
        <v>4563.14046</v>
      </c>
      <c r="F86" s="67">
        <f>D86-E86</f>
        <v/>
      </c>
      <c r="G86" s="66">
        <f>F86^2</f>
        <v/>
      </c>
      <c r="H86" s="65" t="inlineStr"/>
      <c r="I86" s="65" t="inlineStr"/>
    </row>
    <row r="87">
      <c r="A87" s="68" t="n">
        <v>74</v>
      </c>
      <c r="B87" s="83" t="n">
        <v>73</v>
      </c>
      <c r="C87" s="83">
        <f>B87^2</f>
        <v/>
      </c>
      <c r="D87" s="69" t="n">
        <v>4538.08</v>
      </c>
      <c r="E87" s="69" t="n">
        <v>4563.34291</v>
      </c>
      <c r="F87" s="70">
        <f>D87-E87</f>
        <v/>
      </c>
      <c r="G87" s="69">
        <f>F87^2</f>
        <v/>
      </c>
      <c r="H87" s="68" t="inlineStr"/>
      <c r="I87" s="68" t="inlineStr"/>
    </row>
    <row r="88">
      <c r="A88" s="65" t="n">
        <v>75</v>
      </c>
      <c r="B88" s="82" t="n">
        <v>74</v>
      </c>
      <c r="C88" s="82">
        <f>B88^2</f>
        <v/>
      </c>
      <c r="D88" s="66" t="n">
        <v>4543.61</v>
      </c>
      <c r="E88" s="66" t="n">
        <v>4563.54535</v>
      </c>
      <c r="F88" s="67">
        <f>D88-E88</f>
        <v/>
      </c>
      <c r="G88" s="66">
        <f>F88^2</f>
        <v/>
      </c>
      <c r="H88" s="65" t="inlineStr"/>
      <c r="I88" s="65" t="inlineStr"/>
    </row>
    <row r="89">
      <c r="A89" s="68" t="n">
        <v>76</v>
      </c>
      <c r="B89" s="83" t="n">
        <v>75</v>
      </c>
      <c r="C89" s="83">
        <f>B89^2</f>
        <v/>
      </c>
      <c r="D89" s="69" t="n">
        <v>4553.17</v>
      </c>
      <c r="E89" s="69" t="n">
        <v>4563.7478</v>
      </c>
      <c r="F89" s="70">
        <f>D89-E89</f>
        <v/>
      </c>
      <c r="G89" s="69">
        <f>F89^2</f>
        <v/>
      </c>
      <c r="H89" s="68" t="inlineStr"/>
      <c r="I89" s="68" t="inlineStr"/>
    </row>
    <row r="90">
      <c r="A90" s="65" t="n">
        <v>77</v>
      </c>
      <c r="B90" s="82" t="n">
        <v>76</v>
      </c>
      <c r="C90" s="82">
        <f>B90^2</f>
        <v/>
      </c>
      <c r="D90" s="66" t="n">
        <v>4547.48</v>
      </c>
      <c r="E90" s="66" t="n">
        <v>4563.95024</v>
      </c>
      <c r="F90" s="67">
        <f>D90-E90</f>
        <v/>
      </c>
      <c r="G90" s="66">
        <f>F90^2</f>
        <v/>
      </c>
      <c r="H90" s="65" t="inlineStr"/>
      <c r="I90" s="65" t="inlineStr"/>
    </row>
    <row r="91">
      <c r="A91" s="68" t="n">
        <v>78</v>
      </c>
      <c r="B91" s="83" t="n">
        <v>77</v>
      </c>
      <c r="C91" s="83">
        <f>B91^2</f>
        <v/>
      </c>
      <c r="D91" s="69" t="n">
        <v>4559.1</v>
      </c>
      <c r="E91" s="69" t="n">
        <v>4564.15269</v>
      </c>
      <c r="F91" s="70">
        <f>D91-E91</f>
        <v/>
      </c>
      <c r="G91" s="69">
        <f>F91^2</f>
        <v/>
      </c>
      <c r="H91" s="68" t="inlineStr"/>
      <c r="I91" s="68" t="inlineStr"/>
    </row>
    <row r="92">
      <c r="A92" s="65" t="n">
        <v>79</v>
      </c>
      <c r="B92" s="82" t="n">
        <v>78</v>
      </c>
      <c r="C92" s="82">
        <f>B92^2</f>
        <v/>
      </c>
      <c r="D92" s="66" t="n">
        <v>4560.23</v>
      </c>
      <c r="E92" s="66" t="n">
        <v>4564.35514</v>
      </c>
      <c r="F92" s="67">
        <f>D92-E92</f>
        <v/>
      </c>
      <c r="G92" s="66">
        <f>F92^2</f>
        <v/>
      </c>
      <c r="H92" s="65" t="inlineStr"/>
      <c r="I92" s="65" t="inlineStr"/>
    </row>
    <row r="93">
      <c r="A93" s="68" t="n">
        <v>80</v>
      </c>
      <c r="B93" s="83" t="n">
        <v>79</v>
      </c>
      <c r="C93" s="83">
        <f>B93^2</f>
        <v/>
      </c>
      <c r="D93" s="69" t="n">
        <v>4550.51</v>
      </c>
      <c r="E93" s="69" t="n">
        <v>4564.55758</v>
      </c>
      <c r="F93" s="70">
        <f>D93-E93</f>
        <v/>
      </c>
      <c r="G93" s="69">
        <f>F93^2</f>
        <v/>
      </c>
      <c r="H93" s="68" t="inlineStr"/>
      <c r="I93" s="68" t="inlineStr"/>
    </row>
    <row r="94">
      <c r="A94" s="65" t="n">
        <v>81</v>
      </c>
      <c r="B94" s="82" t="n">
        <v>80</v>
      </c>
      <c r="C94" s="82">
        <f>B94^2</f>
        <v/>
      </c>
      <c r="D94" s="66" t="n">
        <v>4545.36</v>
      </c>
      <c r="E94" s="66" t="n">
        <v>4564.76003</v>
      </c>
      <c r="F94" s="67">
        <f>D94-E94</f>
        <v/>
      </c>
      <c r="G94" s="66">
        <f>F94^2</f>
        <v/>
      </c>
      <c r="H94" s="65" t="inlineStr"/>
      <c r="I94" s="65" t="inlineStr"/>
    </row>
    <row r="95">
      <c r="A95" s="68" t="n">
        <v>82</v>
      </c>
      <c r="B95" s="83" t="n">
        <v>81</v>
      </c>
      <c r="C95" s="83">
        <f>B95^2</f>
        <v/>
      </c>
      <c r="D95" s="69" t="n">
        <v>4550.68</v>
      </c>
      <c r="E95" s="69" t="n">
        <v>4564.96247</v>
      </c>
      <c r="F95" s="70">
        <f>D95-E95</f>
        <v/>
      </c>
      <c r="G95" s="69">
        <f>F95^2</f>
        <v/>
      </c>
      <c r="H95" s="68" t="inlineStr"/>
      <c r="I95" s="68" t="inlineStr"/>
    </row>
    <row r="96">
      <c r="A96" s="65" t="n">
        <v>83</v>
      </c>
      <c r="B96" s="82" t="n">
        <v>82</v>
      </c>
      <c r="C96" s="82">
        <f>B96^2</f>
        <v/>
      </c>
      <c r="D96" s="66" t="n">
        <v>4547.23</v>
      </c>
      <c r="E96" s="66" t="n">
        <v>4565.16492</v>
      </c>
      <c r="F96" s="67">
        <f>D96-E96</f>
        <v/>
      </c>
      <c r="G96" s="66">
        <f>F96^2</f>
        <v/>
      </c>
      <c r="H96" s="65" t="inlineStr"/>
      <c r="I96" s="65" t="inlineStr"/>
    </row>
    <row r="97">
      <c r="A97" s="68" t="n">
        <v>84</v>
      </c>
      <c r="B97" s="83" t="n">
        <v>83</v>
      </c>
      <c r="C97" s="83">
        <f>B97^2</f>
        <v/>
      </c>
      <c r="D97" s="69" t="n">
        <v>4544.75</v>
      </c>
      <c r="E97" s="69" t="n">
        <v>4565.36736</v>
      </c>
      <c r="F97" s="70">
        <f>D97-E97</f>
        <v/>
      </c>
      <c r="G97" s="69">
        <f>F97^2</f>
        <v/>
      </c>
      <c r="H97" s="68" t="inlineStr"/>
      <c r="I97" s="68" t="inlineStr"/>
    </row>
    <row r="98">
      <c r="A98" s="65" t="n">
        <v>85</v>
      </c>
      <c r="B98" s="82" t="n">
        <v>84</v>
      </c>
      <c r="C98" s="82">
        <f>B98^2</f>
        <v/>
      </c>
      <c r="D98" s="66" t="n">
        <v>4547.33</v>
      </c>
      <c r="E98" s="66" t="n">
        <v>4565.56981</v>
      </c>
      <c r="F98" s="67">
        <f>D98-E98</f>
        <v/>
      </c>
      <c r="G98" s="66">
        <f>F98^2</f>
        <v/>
      </c>
      <c r="H98" s="65" t="inlineStr"/>
      <c r="I98" s="65" t="inlineStr"/>
    </row>
    <row r="99">
      <c r="A99" s="68" t="n">
        <v>86</v>
      </c>
      <c r="B99" s="83" t="n">
        <v>85</v>
      </c>
      <c r="C99" s="83">
        <f>B99^2</f>
        <v/>
      </c>
      <c r="D99" s="69" t="n">
        <v>4525.75</v>
      </c>
      <c r="E99" s="69" t="n">
        <v>4565.77226</v>
      </c>
      <c r="F99" s="70">
        <f>D99-E99</f>
        <v/>
      </c>
      <c r="G99" s="69">
        <f>F99^2</f>
        <v/>
      </c>
      <c r="H99" s="68" t="inlineStr"/>
      <c r="I99" s="68" t="inlineStr"/>
    </row>
    <row r="100">
      <c r="A100" s="65" t="n">
        <v>87</v>
      </c>
      <c r="B100" s="82" t="n">
        <v>86</v>
      </c>
      <c r="C100" s="82">
        <f>B100^2</f>
        <v/>
      </c>
      <c r="D100" s="66" t="n">
        <v>4532.95</v>
      </c>
      <c r="E100" s="66" t="n">
        <v>4565.9747</v>
      </c>
      <c r="F100" s="67">
        <f>D100-E100</f>
        <v/>
      </c>
      <c r="G100" s="66">
        <f>F100^2</f>
        <v/>
      </c>
      <c r="H100" s="65" t="inlineStr"/>
      <c r="I100" s="65" t="inlineStr"/>
    </row>
    <row r="101">
      <c r="A101" s="68" t="n">
        <v>88</v>
      </c>
      <c r="B101" s="83" t="n">
        <v>87</v>
      </c>
      <c r="C101" s="83">
        <f>B101^2</f>
        <v/>
      </c>
      <c r="D101" s="69" t="n">
        <v>4520.81</v>
      </c>
      <c r="E101" s="69" t="n">
        <v>4566.17715</v>
      </c>
      <c r="F101" s="70">
        <f>D101-E101</f>
        <v/>
      </c>
      <c r="G101" s="69">
        <f>F101^2</f>
        <v/>
      </c>
      <c r="H101" s="68" t="inlineStr"/>
      <c r="I101" s="68" t="inlineStr"/>
    </row>
    <row r="102">
      <c r="A102" s="65" t="n">
        <v>89</v>
      </c>
      <c r="B102" s="82" t="n">
        <v>88</v>
      </c>
      <c r="C102" s="82">
        <f>B102^2</f>
        <v/>
      </c>
      <c r="D102" s="66" t="n">
        <v>4538.19</v>
      </c>
      <c r="E102" s="66" t="n">
        <v>4566.37959</v>
      </c>
      <c r="F102" s="67">
        <f>D102-E102</f>
        <v/>
      </c>
      <c r="G102" s="66">
        <f>F102^2</f>
        <v/>
      </c>
      <c r="H102" s="65" t="inlineStr"/>
      <c r="I102" s="65" t="inlineStr"/>
    </row>
    <row r="103">
      <c r="A103" s="68" t="n">
        <v>90</v>
      </c>
      <c r="B103" s="83" t="n">
        <v>89</v>
      </c>
      <c r="C103" s="83">
        <f>B103^2</f>
        <v/>
      </c>
      <c r="D103" s="69" t="n">
        <v>4547.72</v>
      </c>
      <c r="E103" s="69" t="n">
        <v>4566.58204</v>
      </c>
      <c r="F103" s="70">
        <f>D103-E103</f>
        <v/>
      </c>
      <c r="G103" s="69">
        <f>F103^2</f>
        <v/>
      </c>
      <c r="H103" s="68" t="inlineStr"/>
      <c r="I103" s="68" t="inlineStr"/>
    </row>
    <row r="104">
      <c r="A104" s="65" t="n">
        <v>91</v>
      </c>
      <c r="B104" s="82" t="n">
        <v>90</v>
      </c>
      <c r="C104" s="82">
        <f>B104^2</f>
        <v/>
      </c>
      <c r="D104" s="66" t="n">
        <v>4542.84</v>
      </c>
      <c r="E104" s="66" t="n">
        <v>4566.78448</v>
      </c>
      <c r="F104" s="67">
        <f>D104-E104</f>
        <v/>
      </c>
      <c r="G104" s="66">
        <f>F104^2</f>
        <v/>
      </c>
      <c r="H104" s="65" t="inlineStr"/>
      <c r="I104" s="65" t="inlineStr"/>
    </row>
    <row r="105">
      <c r="A105" s="68" t="n">
        <v>92</v>
      </c>
      <c r="B105" s="83" t="n">
        <v>91</v>
      </c>
      <c r="C105" s="83">
        <f>B105^2</f>
        <v/>
      </c>
      <c r="D105" s="69" t="n">
        <v>4539.61</v>
      </c>
      <c r="E105" s="69" t="n">
        <v>4566.98693</v>
      </c>
      <c r="F105" s="70">
        <f>D105-E105</f>
        <v/>
      </c>
      <c r="G105" s="69">
        <f>F105^2</f>
        <v/>
      </c>
      <c r="H105" s="68" t="inlineStr"/>
      <c r="I105" s="68" t="inlineStr"/>
    </row>
    <row r="106">
      <c r="A106" s="65" t="n">
        <v>93</v>
      </c>
      <c r="B106" s="82" t="n">
        <v>92</v>
      </c>
      <c r="C106" s="82">
        <f>B106^2</f>
        <v/>
      </c>
      <c r="D106" s="66" t="n">
        <v>4547.05</v>
      </c>
      <c r="E106" s="66" t="n">
        <v>4567.18938</v>
      </c>
      <c r="F106" s="67">
        <f>D106-E106</f>
        <v/>
      </c>
      <c r="G106" s="66">
        <f>F106^2</f>
        <v/>
      </c>
      <c r="H106" s="65" t="inlineStr"/>
      <c r="I106" s="65" t="inlineStr"/>
    </row>
    <row r="107">
      <c r="A107" s="68" t="n">
        <v>94</v>
      </c>
      <c r="B107" s="83" t="n">
        <v>93</v>
      </c>
      <c r="C107" s="83">
        <f>B107^2</f>
        <v/>
      </c>
      <c r="D107" s="69" t="n">
        <v>4546.25</v>
      </c>
      <c r="E107" s="69" t="n">
        <v>4567.39182</v>
      </c>
      <c r="F107" s="70">
        <f>D107-E107</f>
        <v/>
      </c>
      <c r="G107" s="69">
        <f>F107^2</f>
        <v/>
      </c>
      <c r="H107" s="68" t="inlineStr"/>
      <c r="I107" s="68" t="inlineStr"/>
    </row>
    <row r="108">
      <c r="A108" s="65" t="n">
        <v>95</v>
      </c>
      <c r="B108" s="82" t="n">
        <v>94</v>
      </c>
      <c r="C108" s="82">
        <f>B108^2</f>
        <v/>
      </c>
      <c r="D108" s="66" t="n">
        <v>4543.25</v>
      </c>
      <c r="E108" s="66" t="n">
        <v>4567.59427</v>
      </c>
      <c r="F108" s="67">
        <f>D108-E108</f>
        <v/>
      </c>
      <c r="G108" s="66">
        <f>F108^2</f>
        <v/>
      </c>
      <c r="H108" s="65" t="inlineStr"/>
      <c r="I108" s="65" t="inlineStr"/>
    </row>
    <row r="109">
      <c r="A109" s="68" t="n">
        <v>96</v>
      </c>
      <c r="B109" s="83" t="n">
        <v>95</v>
      </c>
      <c r="C109" s="83">
        <f>B109^2</f>
        <v/>
      </c>
      <c r="D109" s="69" t="n">
        <v>4543.79</v>
      </c>
      <c r="E109" s="69" t="n">
        <v>4567.79671</v>
      </c>
      <c r="F109" s="70">
        <f>D109-E109</f>
        <v/>
      </c>
      <c r="G109" s="69">
        <f>F109^2</f>
        <v/>
      </c>
      <c r="H109" s="68" t="inlineStr"/>
      <c r="I109" s="68" t="inlineStr"/>
    </row>
    <row r="110">
      <c r="A110" s="65" t="n">
        <v>97</v>
      </c>
      <c r="B110" s="82" t="n">
        <v>96</v>
      </c>
      <c r="C110" s="82">
        <f>B110^2</f>
        <v/>
      </c>
      <c r="D110" s="66" t="n">
        <v>4543.57</v>
      </c>
      <c r="E110" s="66" t="n">
        <v>4567.99916</v>
      </c>
      <c r="F110" s="67">
        <f>D110-E110</f>
        <v/>
      </c>
      <c r="G110" s="66">
        <f>F110^2</f>
        <v/>
      </c>
      <c r="H110" s="65" t="inlineStr"/>
      <c r="I110" s="65" t="inlineStr"/>
    </row>
    <row r="111">
      <c r="A111" s="68" t="n">
        <v>98</v>
      </c>
      <c r="B111" s="83" t="n">
        <v>97</v>
      </c>
      <c r="C111" s="83">
        <f>B111^2</f>
        <v/>
      </c>
      <c r="D111" s="69" t="n">
        <v>4546.4</v>
      </c>
      <c r="E111" s="69" t="n">
        <v>4568.2016</v>
      </c>
      <c r="F111" s="70">
        <f>D111-E111</f>
        <v/>
      </c>
      <c r="G111" s="69">
        <f>F111^2</f>
        <v/>
      </c>
      <c r="H111" s="68" t="inlineStr"/>
      <c r="I111" s="68" t="inlineStr"/>
    </row>
    <row r="112">
      <c r="A112" s="65" t="n">
        <v>99</v>
      </c>
      <c r="B112" s="82" t="n">
        <v>98</v>
      </c>
      <c r="C112" s="82">
        <f>B112^2</f>
        <v/>
      </c>
      <c r="D112" s="66" t="n">
        <v>4549.14</v>
      </c>
      <c r="E112" s="66" t="n">
        <v>4568.40405</v>
      </c>
      <c r="F112" s="67">
        <f>D112-E112</f>
        <v/>
      </c>
      <c r="G112" s="66">
        <f>F112^2</f>
        <v/>
      </c>
      <c r="H112" s="65" t="inlineStr"/>
      <c r="I112" s="65" t="inlineStr"/>
    </row>
    <row r="113">
      <c r="A113" s="68" t="n">
        <v>100</v>
      </c>
      <c r="B113" s="83" t="n">
        <v>99</v>
      </c>
      <c r="C113" s="83">
        <f>B113^2</f>
        <v/>
      </c>
      <c r="D113" s="69" t="n">
        <v>4548.51</v>
      </c>
      <c r="E113" s="69" t="n">
        <v>4568.60649</v>
      </c>
      <c r="F113" s="70">
        <f>D113-E113</f>
        <v/>
      </c>
      <c r="G113" s="69">
        <f>F113^2</f>
        <v/>
      </c>
      <c r="H113" s="68" t="inlineStr"/>
      <c r="I113" s="68" t="inlineStr"/>
    </row>
    <row r="114">
      <c r="A114" s="65" t="n">
        <v>101</v>
      </c>
      <c r="B114" s="82" t="n">
        <v>100</v>
      </c>
      <c r="C114" s="82">
        <f>B114^2</f>
        <v/>
      </c>
      <c r="D114" s="66" t="n">
        <v>4552.08</v>
      </c>
      <c r="E114" s="66" t="n">
        <v>4568.80894</v>
      </c>
      <c r="F114" s="67">
        <f>D114-E114</f>
        <v/>
      </c>
      <c r="G114" s="66">
        <f>F114^2</f>
        <v/>
      </c>
      <c r="H114" s="65" t="inlineStr"/>
      <c r="I114" s="65" t="inlineStr"/>
    </row>
    <row r="115">
      <c r="A115" s="68" t="n">
        <v>102</v>
      </c>
      <c r="B115" s="83" t="n">
        <v>101</v>
      </c>
      <c r="C115" s="83">
        <f>B115^2</f>
        <v/>
      </c>
      <c r="D115" s="69" t="n">
        <v>4553.33</v>
      </c>
      <c r="E115" s="69" t="n">
        <v>4569.01139</v>
      </c>
      <c r="F115" s="70">
        <f>D115-E115</f>
        <v/>
      </c>
      <c r="G115" s="69">
        <f>F115^2</f>
        <v/>
      </c>
      <c r="H115" s="68" t="inlineStr"/>
      <c r="I115" s="68" t="inlineStr"/>
    </row>
    <row r="116">
      <c r="A116" s="65" t="n">
        <v>103</v>
      </c>
      <c r="B116" s="82" t="n">
        <v>102</v>
      </c>
      <c r="C116" s="82">
        <f>B116^2</f>
        <v/>
      </c>
      <c r="D116" s="66" t="n">
        <v>4551.63</v>
      </c>
      <c r="E116" s="66" t="n">
        <v>4569.21383</v>
      </c>
      <c r="F116" s="67">
        <f>D116-E116</f>
        <v/>
      </c>
      <c r="G116" s="66">
        <f>F116^2</f>
        <v/>
      </c>
      <c r="H116" s="65" t="inlineStr"/>
      <c r="I116" s="65" t="inlineStr"/>
    </row>
    <row r="117">
      <c r="A117" s="68" t="n">
        <v>104</v>
      </c>
      <c r="B117" s="83" t="n">
        <v>103</v>
      </c>
      <c r="C117" s="83">
        <f>B117^2</f>
        <v/>
      </c>
      <c r="D117" s="69" t="n">
        <v>4554.44</v>
      </c>
      <c r="E117" s="69" t="n">
        <v>4569.41628</v>
      </c>
      <c r="F117" s="70">
        <f>D117-E117</f>
        <v/>
      </c>
      <c r="G117" s="69">
        <f>F117^2</f>
        <v/>
      </c>
      <c r="H117" s="68" t="inlineStr"/>
      <c r="I117" s="68" t="inlineStr"/>
    </row>
    <row r="118">
      <c r="A118" s="65" t="n">
        <v>105</v>
      </c>
      <c r="B118" s="82" t="n">
        <v>104</v>
      </c>
      <c r="C118" s="82">
        <f>B118^2</f>
        <v/>
      </c>
      <c r="D118" s="66" t="n">
        <v>4561.66</v>
      </c>
      <c r="E118" s="66" t="n">
        <v>4569.61872</v>
      </c>
      <c r="F118" s="67">
        <f>D118-E118</f>
        <v/>
      </c>
      <c r="G118" s="66">
        <f>F118^2</f>
        <v/>
      </c>
      <c r="H118" s="65" t="inlineStr"/>
      <c r="I118" s="65" t="inlineStr"/>
    </row>
    <row r="119">
      <c r="A119" s="68" t="n">
        <v>106</v>
      </c>
      <c r="B119" s="83" t="n">
        <v>105</v>
      </c>
      <c r="C119" s="83">
        <f>B119^2</f>
        <v/>
      </c>
      <c r="D119" s="69" t="n">
        <v>4557.93</v>
      </c>
      <c r="E119" s="69" t="n">
        <v>4569.82117</v>
      </c>
      <c r="F119" s="70">
        <f>D119-E119</f>
        <v/>
      </c>
      <c r="G119" s="69">
        <f>F119^2</f>
        <v/>
      </c>
      <c r="H119" s="68" t="inlineStr"/>
      <c r="I119" s="68" t="inlineStr"/>
    </row>
    <row r="120">
      <c r="A120" s="65" t="n">
        <v>107</v>
      </c>
      <c r="B120" s="82" t="n">
        <v>106</v>
      </c>
      <c r="C120" s="82">
        <f>B120^2</f>
        <v/>
      </c>
      <c r="D120" s="66" t="n">
        <v>4563.57</v>
      </c>
      <c r="E120" s="66" t="n">
        <v>4570.02361</v>
      </c>
      <c r="F120" s="67">
        <f>D120-E120</f>
        <v/>
      </c>
      <c r="G120" s="66">
        <f>F120^2</f>
        <v/>
      </c>
      <c r="H120" s="65" t="inlineStr"/>
      <c r="I120" s="65" t="inlineStr"/>
    </row>
    <row r="121">
      <c r="A121" s="68" t="n">
        <v>108</v>
      </c>
      <c r="B121" s="83" t="n">
        <v>107</v>
      </c>
      <c r="C121" s="83">
        <f>B121^2</f>
        <v/>
      </c>
      <c r="D121" s="69" t="n">
        <v>4567.11</v>
      </c>
      <c r="E121" s="69" t="n">
        <v>4570.22606</v>
      </c>
      <c r="F121" s="70">
        <f>D121-E121</f>
        <v/>
      </c>
      <c r="G121" s="69">
        <f>F121^2</f>
        <v/>
      </c>
      <c r="H121" s="68" t="inlineStr"/>
      <c r="I121" s="68" t="inlineStr"/>
    </row>
    <row r="122">
      <c r="A122" s="65" t="n">
        <v>109</v>
      </c>
      <c r="B122" s="82" t="n">
        <v>108</v>
      </c>
      <c r="C122" s="82">
        <f>B122^2</f>
        <v/>
      </c>
      <c r="D122" s="66" t="n">
        <v>4569.83</v>
      </c>
      <c r="E122" s="66" t="n">
        <v>4570.42851</v>
      </c>
      <c r="F122" s="67">
        <f>D122-E122</f>
        <v/>
      </c>
      <c r="G122" s="66">
        <f>F122^2</f>
        <v/>
      </c>
      <c r="H122" s="65" t="inlineStr"/>
      <c r="I122" s="65" t="inlineStr"/>
    </row>
    <row r="123">
      <c r="A123" s="68" t="n">
        <v>110</v>
      </c>
      <c r="B123" s="83" t="n">
        <v>109</v>
      </c>
      <c r="C123" s="83">
        <f>B123^2</f>
        <v/>
      </c>
      <c r="D123" s="69" t="n">
        <v>4568.52</v>
      </c>
      <c r="E123" s="69" t="n">
        <v>4570.63095</v>
      </c>
      <c r="F123" s="70">
        <f>D123-E123</f>
        <v/>
      </c>
      <c r="G123" s="69">
        <f>F123^2</f>
        <v/>
      </c>
      <c r="H123" s="68" t="inlineStr"/>
      <c r="I123" s="68" t="inlineStr"/>
    </row>
    <row r="124">
      <c r="A124" s="65" t="n">
        <v>111</v>
      </c>
      <c r="B124" s="82" t="n">
        <v>110</v>
      </c>
      <c r="C124" s="82">
        <f>B124^2</f>
        <v/>
      </c>
      <c r="D124" s="66" t="n">
        <v>4579.79</v>
      </c>
      <c r="E124" s="66" t="n">
        <v>4570.8334</v>
      </c>
      <c r="F124" s="67">
        <f>D124-E124</f>
        <v/>
      </c>
      <c r="G124" s="66">
        <f>F124^2</f>
        <v/>
      </c>
      <c r="H124" s="65" t="inlineStr"/>
      <c r="I124" s="65" t="inlineStr"/>
    </row>
    <row r="125">
      <c r="A125" s="68" t="n">
        <v>112</v>
      </c>
      <c r="B125" s="83" t="n">
        <v>111</v>
      </c>
      <c r="C125" s="83">
        <f>B125^2</f>
        <v/>
      </c>
      <c r="D125" s="69" t="n">
        <v>4576.31</v>
      </c>
      <c r="E125" s="69" t="n">
        <v>4571.03584</v>
      </c>
      <c r="F125" s="70">
        <f>D125-E125</f>
        <v/>
      </c>
      <c r="G125" s="69">
        <f>F125^2</f>
        <v/>
      </c>
      <c r="H125" s="68" t="inlineStr"/>
      <c r="I125" s="68" t="inlineStr"/>
    </row>
    <row r="126">
      <c r="A126" s="65" t="n">
        <v>113</v>
      </c>
      <c r="B126" s="82" t="n">
        <v>112</v>
      </c>
      <c r="C126" s="82">
        <f>B126^2</f>
        <v/>
      </c>
      <c r="D126" s="66" t="n">
        <v>4579.13</v>
      </c>
      <c r="E126" s="66" t="n">
        <v>4571.23829</v>
      </c>
      <c r="F126" s="67">
        <f>D126-E126</f>
        <v/>
      </c>
      <c r="G126" s="66">
        <f>F126^2</f>
        <v/>
      </c>
      <c r="H126" s="65" t="inlineStr"/>
      <c r="I126" s="65" t="inlineStr"/>
    </row>
    <row r="127">
      <c r="A127" s="68" t="n">
        <v>114</v>
      </c>
      <c r="B127" s="83" t="n">
        <v>113</v>
      </c>
      <c r="C127" s="83">
        <f>B127^2</f>
        <v/>
      </c>
      <c r="D127" s="69" t="n">
        <v>4579.74</v>
      </c>
      <c r="E127" s="69" t="n">
        <v>4571.44073</v>
      </c>
      <c r="F127" s="70">
        <f>D127-E127</f>
        <v/>
      </c>
      <c r="G127" s="69">
        <f>F127^2</f>
        <v/>
      </c>
      <c r="H127" s="68" t="inlineStr"/>
      <c r="I127" s="68" t="inlineStr"/>
    </row>
    <row r="128">
      <c r="A128" s="65" t="n">
        <v>115</v>
      </c>
      <c r="B128" s="82" t="n">
        <v>114</v>
      </c>
      <c r="C128" s="82">
        <f>B128^2</f>
        <v/>
      </c>
      <c r="D128" s="66" t="n">
        <v>4573.13</v>
      </c>
      <c r="E128" s="66" t="n">
        <v>4571.64318</v>
      </c>
      <c r="F128" s="67">
        <f>D128-E128</f>
        <v/>
      </c>
      <c r="G128" s="66">
        <f>F128^2</f>
        <v/>
      </c>
      <c r="H128" s="65" t="inlineStr"/>
      <c r="I128" s="65" t="inlineStr"/>
    </row>
    <row r="129">
      <c r="A129" s="68" t="n">
        <v>116</v>
      </c>
      <c r="B129" s="83" t="n">
        <v>115</v>
      </c>
      <c r="C129" s="83">
        <f>B129^2</f>
        <v/>
      </c>
      <c r="D129" s="69" t="n">
        <v>4562.53</v>
      </c>
      <c r="E129" s="69" t="n">
        <v>4571.84563</v>
      </c>
      <c r="F129" s="70">
        <f>D129-E129</f>
        <v/>
      </c>
      <c r="G129" s="69">
        <f>F129^2</f>
        <v/>
      </c>
      <c r="H129" s="68" t="inlineStr"/>
      <c r="I129" s="68" t="inlineStr"/>
    </row>
    <row r="130">
      <c r="A130" s="65" t="n">
        <v>117</v>
      </c>
      <c r="B130" s="82" t="n">
        <v>116</v>
      </c>
      <c r="C130" s="82">
        <f>B130^2</f>
        <v/>
      </c>
      <c r="D130" s="66" t="n">
        <v>4565.02</v>
      </c>
      <c r="E130" s="66" t="n">
        <v>4572.04807</v>
      </c>
      <c r="F130" s="67">
        <f>D130-E130</f>
        <v/>
      </c>
      <c r="G130" s="66">
        <f>F130^2</f>
        <v/>
      </c>
      <c r="H130" s="65" t="inlineStr"/>
      <c r="I130" s="65" t="inlineStr"/>
    </row>
    <row r="131">
      <c r="A131" s="68" t="n">
        <v>118</v>
      </c>
      <c r="B131" s="83" t="n">
        <v>117</v>
      </c>
      <c r="C131" s="83">
        <f>B131^2</f>
        <v/>
      </c>
      <c r="D131" s="69" t="n">
        <v>4564.98</v>
      </c>
      <c r="E131" s="69" t="n">
        <v>4572.25052</v>
      </c>
      <c r="F131" s="70">
        <f>D131-E131</f>
        <v/>
      </c>
      <c r="G131" s="69">
        <f>F131^2</f>
        <v/>
      </c>
      <c r="H131" s="68" t="inlineStr"/>
      <c r="I131" s="68" t="inlineStr"/>
    </row>
    <row r="132">
      <c r="A132" s="65" t="n">
        <v>119</v>
      </c>
      <c r="B132" s="82" t="n">
        <v>118</v>
      </c>
      <c r="C132" s="82">
        <f>B132^2</f>
        <v/>
      </c>
      <c r="D132" s="66" t="n">
        <v>4563.32</v>
      </c>
      <c r="E132" s="66" t="n">
        <v>4572.45296</v>
      </c>
      <c r="F132" s="67">
        <f>D132-E132</f>
        <v/>
      </c>
      <c r="G132" s="66">
        <f>F132^2</f>
        <v/>
      </c>
      <c r="H132" s="65" t="inlineStr"/>
      <c r="I132" s="65" t="inlineStr"/>
    </row>
    <row r="133">
      <c r="A133" s="68" t="n">
        <v>120</v>
      </c>
      <c r="B133" s="83" t="n">
        <v>119</v>
      </c>
      <c r="C133" s="83">
        <f>B133^2</f>
        <v/>
      </c>
      <c r="D133" s="69" t="n">
        <v>4561.66</v>
      </c>
      <c r="E133" s="69" t="n">
        <v>4572.65541</v>
      </c>
      <c r="F133" s="70">
        <f>D133-E133</f>
        <v/>
      </c>
      <c r="G133" s="69">
        <f>F133^2</f>
        <v/>
      </c>
      <c r="H133" s="68" t="inlineStr"/>
      <c r="I133" s="68" t="inlineStr"/>
    </row>
    <row r="134">
      <c r="A134" s="65" t="n">
        <v>121</v>
      </c>
      <c r="B134" s="82" t="n">
        <v>120</v>
      </c>
      <c r="C134" s="82">
        <f>B134^2</f>
        <v/>
      </c>
      <c r="D134" s="66" t="n">
        <v>4556.09</v>
      </c>
      <c r="E134" s="66" t="n">
        <v>4572.85785</v>
      </c>
      <c r="F134" s="67">
        <f>D134-E134</f>
        <v/>
      </c>
      <c r="G134" s="66">
        <f>F134^2</f>
        <v/>
      </c>
      <c r="H134" s="65" t="inlineStr"/>
      <c r="I134" s="65" t="inlineStr"/>
    </row>
    <row r="135">
      <c r="A135" s="68" t="n">
        <v>122</v>
      </c>
      <c r="B135" s="83" t="n">
        <v>121</v>
      </c>
      <c r="C135" s="83">
        <f>B135^2</f>
        <v/>
      </c>
      <c r="D135" s="69" t="n">
        <v>4555.41</v>
      </c>
      <c r="E135" s="69" t="n">
        <v>4573.0603</v>
      </c>
      <c r="F135" s="70">
        <f>D135-E135</f>
        <v/>
      </c>
      <c r="G135" s="69">
        <f>F135^2</f>
        <v/>
      </c>
      <c r="H135" s="68" t="inlineStr"/>
      <c r="I135" s="68" t="inlineStr"/>
    </row>
    <row r="136">
      <c r="A136" s="65" t="n">
        <v>123</v>
      </c>
      <c r="B136" s="82" t="n">
        <v>122</v>
      </c>
      <c r="C136" s="82">
        <f>B136^2</f>
        <v/>
      </c>
      <c r="D136" s="66" t="n">
        <v>4547.28</v>
      </c>
      <c r="E136" s="66" t="n">
        <v>4573.26275</v>
      </c>
      <c r="F136" s="67">
        <f>D136-E136</f>
        <v/>
      </c>
      <c r="G136" s="66">
        <f>F136^2</f>
        <v/>
      </c>
      <c r="H136" s="65" t="inlineStr"/>
      <c r="I136" s="65" t="inlineStr"/>
    </row>
    <row r="137">
      <c r="A137" s="68" t="n">
        <v>124</v>
      </c>
      <c r="B137" s="83" t="n">
        <v>123</v>
      </c>
      <c r="C137" s="83">
        <f>B137^2</f>
        <v/>
      </c>
      <c r="D137" s="69" t="n">
        <v>4544.74</v>
      </c>
      <c r="E137" s="69" t="n">
        <v>4573.46519</v>
      </c>
      <c r="F137" s="70">
        <f>D137-E137</f>
        <v/>
      </c>
      <c r="G137" s="69">
        <f>F137^2</f>
        <v/>
      </c>
      <c r="H137" s="68" t="inlineStr"/>
      <c r="I137" s="68" t="inlineStr"/>
    </row>
    <row r="138">
      <c r="A138" s="65" t="n">
        <v>125</v>
      </c>
      <c r="B138" s="82" t="n">
        <v>124</v>
      </c>
      <c r="C138" s="82">
        <f>B138^2</f>
        <v/>
      </c>
      <c r="D138" s="66" t="n">
        <v>4541.91</v>
      </c>
      <c r="E138" s="66" t="n">
        <v>4573.66764</v>
      </c>
      <c r="F138" s="67">
        <f>D138-E138</f>
        <v/>
      </c>
      <c r="G138" s="66">
        <f>F138^2</f>
        <v/>
      </c>
      <c r="H138" s="65" t="inlineStr"/>
      <c r="I138" s="65" t="inlineStr"/>
    </row>
    <row r="139">
      <c r="A139" s="68" t="n">
        <v>126</v>
      </c>
      <c r="B139" s="83" t="n">
        <v>125</v>
      </c>
      <c r="C139" s="83">
        <f>B139^2</f>
        <v/>
      </c>
      <c r="D139" s="69" t="n">
        <v>4553.22</v>
      </c>
      <c r="E139" s="69" t="n">
        <v>4573.87008</v>
      </c>
      <c r="F139" s="70">
        <f>D139-E139</f>
        <v/>
      </c>
      <c r="G139" s="69">
        <f>F139^2</f>
        <v/>
      </c>
      <c r="H139" s="68" t="inlineStr"/>
      <c r="I139" s="68" t="inlineStr"/>
    </row>
    <row r="140">
      <c r="A140" s="65" t="n">
        <v>127</v>
      </c>
      <c r="B140" s="82" t="n">
        <v>126</v>
      </c>
      <c r="C140" s="82">
        <f>B140^2</f>
        <v/>
      </c>
      <c r="D140" s="66" t="n">
        <v>4555.73</v>
      </c>
      <c r="E140" s="66" t="n">
        <v>4574.07253</v>
      </c>
      <c r="F140" s="67">
        <f>D140-E140</f>
        <v/>
      </c>
      <c r="G140" s="66">
        <f>F140^2</f>
        <v/>
      </c>
      <c r="H140" s="65" t="inlineStr"/>
      <c r="I140" s="65" t="inlineStr"/>
    </row>
    <row r="141">
      <c r="A141" s="68" t="n">
        <v>128</v>
      </c>
      <c r="B141" s="83" t="n">
        <v>127</v>
      </c>
      <c r="C141" s="83">
        <f>B141^2</f>
        <v/>
      </c>
      <c r="D141" s="69" t="n">
        <v>4564.04</v>
      </c>
      <c r="E141" s="69" t="n">
        <v>4574.27497</v>
      </c>
      <c r="F141" s="70">
        <f>D141-E141</f>
        <v/>
      </c>
      <c r="G141" s="69">
        <f>F141^2</f>
        <v/>
      </c>
      <c r="H141" s="68" t="inlineStr"/>
      <c r="I141" s="68" t="inlineStr"/>
    </row>
    <row r="142">
      <c r="A142" s="65" t="n">
        <v>129</v>
      </c>
      <c r="B142" s="82" t="n">
        <v>128</v>
      </c>
      <c r="C142" s="82">
        <f>B142^2</f>
        <v/>
      </c>
      <c r="D142" s="66" t="n">
        <v>4562.71</v>
      </c>
      <c r="E142" s="66" t="n">
        <v>4574.47742</v>
      </c>
      <c r="F142" s="67">
        <f>D142-E142</f>
        <v/>
      </c>
      <c r="G142" s="66">
        <f>F142^2</f>
        <v/>
      </c>
      <c r="H142" s="65" t="inlineStr"/>
      <c r="I142" s="65" t="inlineStr"/>
    </row>
    <row r="143">
      <c r="A143" s="68" t="n">
        <v>130</v>
      </c>
      <c r="B143" s="83" t="n">
        <v>129</v>
      </c>
      <c r="C143" s="83">
        <f>B143^2</f>
        <v/>
      </c>
      <c r="D143" s="69" t="n">
        <v>4566.21</v>
      </c>
      <c r="E143" s="69" t="n">
        <v>4574.67987</v>
      </c>
      <c r="F143" s="70">
        <f>D143-E143</f>
        <v/>
      </c>
      <c r="G143" s="69">
        <f>F143^2</f>
        <v/>
      </c>
      <c r="H143" s="68" t="inlineStr"/>
      <c r="I143" s="68" t="inlineStr"/>
    </row>
    <row r="144">
      <c r="A144" s="65" t="n">
        <v>131</v>
      </c>
      <c r="B144" s="82" t="n">
        <v>130</v>
      </c>
      <c r="C144" s="82">
        <f>B144^2</f>
        <v/>
      </c>
      <c r="D144" s="66" t="n">
        <v>4569.57</v>
      </c>
      <c r="E144" s="66" t="n">
        <v>4574.88231</v>
      </c>
      <c r="F144" s="67">
        <f>D144-E144</f>
        <v/>
      </c>
      <c r="G144" s="66">
        <f>F144^2</f>
        <v/>
      </c>
      <c r="H144" s="65" t="inlineStr"/>
      <c r="I144" s="65" t="inlineStr"/>
    </row>
    <row r="145">
      <c r="A145" s="68" t="n">
        <v>132</v>
      </c>
      <c r="B145" s="83" t="n">
        <v>131</v>
      </c>
      <c r="C145" s="83">
        <f>B145^2</f>
        <v/>
      </c>
      <c r="D145" s="69" t="n">
        <v>4575.23</v>
      </c>
      <c r="E145" s="69" t="n">
        <v>4575.08476</v>
      </c>
      <c r="F145" s="70">
        <f>D145-E145</f>
        <v/>
      </c>
      <c r="G145" s="69">
        <f>F145^2</f>
        <v/>
      </c>
      <c r="H145" s="68" t="inlineStr"/>
      <c r="I145" s="68" t="inlineStr"/>
    </row>
    <row r="146">
      <c r="A146" s="65" t="n">
        <v>133</v>
      </c>
      <c r="B146" s="82" t="n">
        <v>132</v>
      </c>
      <c r="C146" s="82">
        <f>B146^2</f>
        <v/>
      </c>
      <c r="D146" s="66" t="n">
        <v>4589.44</v>
      </c>
      <c r="E146" s="66" t="n">
        <v>4575.2872</v>
      </c>
      <c r="F146" s="67">
        <f>D146-E146</f>
        <v/>
      </c>
      <c r="G146" s="66">
        <f>F146^2</f>
        <v/>
      </c>
      <c r="H146" s="65" t="inlineStr"/>
      <c r="I146" s="65" t="inlineStr"/>
    </row>
    <row r="147">
      <c r="A147" s="68" t="n">
        <v>134</v>
      </c>
      <c r="B147" s="83" t="n">
        <v>133</v>
      </c>
      <c r="C147" s="83">
        <f>B147^2</f>
        <v/>
      </c>
      <c r="D147" s="69" t="n">
        <v>4591.59</v>
      </c>
      <c r="E147" s="69" t="n">
        <v>4575.48965</v>
      </c>
      <c r="F147" s="70">
        <f>D147-E147</f>
        <v/>
      </c>
      <c r="G147" s="69">
        <f>F147^2</f>
        <v/>
      </c>
      <c r="H147" s="68" t="inlineStr"/>
      <c r="I147" s="68" t="inlineStr"/>
    </row>
    <row r="148">
      <c r="A148" s="65" t="n">
        <v>135</v>
      </c>
      <c r="B148" s="82" t="n">
        <v>134</v>
      </c>
      <c r="C148" s="82">
        <f>B148^2</f>
        <v/>
      </c>
      <c r="D148" s="66" t="n">
        <v>4591.59</v>
      </c>
      <c r="E148" s="66" t="n">
        <v>4575.69209</v>
      </c>
      <c r="F148" s="67">
        <f>D148-E148</f>
        <v/>
      </c>
      <c r="G148" s="66">
        <f>F148^2</f>
        <v/>
      </c>
      <c r="H148" s="65" t="inlineStr"/>
      <c r="I148" s="65" t="inlineStr"/>
    </row>
    <row r="149">
      <c r="A149" s="68" t="n">
        <v>136</v>
      </c>
      <c r="B149" s="83" t="n">
        <v>135</v>
      </c>
      <c r="C149" s="83">
        <f>B149^2</f>
        <v/>
      </c>
      <c r="D149" s="69" t="n">
        <v>4596.69</v>
      </c>
      <c r="E149" s="69" t="n">
        <v>4575.89454</v>
      </c>
      <c r="F149" s="70">
        <f>D149-E149</f>
        <v/>
      </c>
      <c r="G149" s="69">
        <f>F149^2</f>
        <v/>
      </c>
      <c r="H149" s="68" t="inlineStr"/>
      <c r="I149" s="68" t="inlineStr"/>
    </row>
    <row r="150">
      <c r="A150" s="65" t="n">
        <v>137</v>
      </c>
      <c r="B150" s="82" t="n">
        <v>136</v>
      </c>
      <c r="C150" s="82">
        <f>B150^2</f>
        <v/>
      </c>
      <c r="D150" s="66" t="n">
        <v>4598.44</v>
      </c>
      <c r="E150" s="66" t="n">
        <v>4576.09699</v>
      </c>
      <c r="F150" s="67">
        <f>D150-E150</f>
        <v/>
      </c>
      <c r="G150" s="66">
        <f>F150^2</f>
        <v/>
      </c>
      <c r="H150" s="65" t="inlineStr"/>
      <c r="I150" s="65" t="inlineStr"/>
    </row>
    <row r="151">
      <c r="A151" s="68" t="n">
        <v>138</v>
      </c>
      <c r="B151" s="83" t="n">
        <v>137</v>
      </c>
      <c r="C151" s="83">
        <f>B151^2</f>
        <v/>
      </c>
      <c r="D151" s="69" t="n">
        <v>4618.7</v>
      </c>
      <c r="E151" s="69" t="n">
        <v>4576.29943</v>
      </c>
      <c r="F151" s="70">
        <f>D151-E151</f>
        <v/>
      </c>
      <c r="G151" s="69">
        <f>F151^2</f>
        <v/>
      </c>
      <c r="H151" s="68" t="inlineStr"/>
      <c r="I151" s="68" t="inlineStr"/>
    </row>
    <row r="152">
      <c r="A152" s="65" t="n">
        <v>139</v>
      </c>
      <c r="B152" s="82" t="n">
        <v>138</v>
      </c>
      <c r="C152" s="82">
        <f>B152^2</f>
        <v/>
      </c>
      <c r="D152" s="66" t="n">
        <v>4617.35</v>
      </c>
      <c r="E152" s="66" t="n">
        <v>4576.50188</v>
      </c>
      <c r="F152" s="67">
        <f>D152-E152</f>
        <v/>
      </c>
      <c r="G152" s="66">
        <f>F152^2</f>
        <v/>
      </c>
      <c r="H152" s="65" t="inlineStr"/>
      <c r="I152" s="65" t="inlineStr"/>
    </row>
    <row r="153">
      <c r="A153" s="68" t="n">
        <v>140</v>
      </c>
      <c r="B153" s="83" t="n">
        <v>139</v>
      </c>
      <c r="C153" s="83">
        <f>B153^2</f>
        <v/>
      </c>
      <c r="D153" s="69" t="n">
        <v>4614.82</v>
      </c>
      <c r="E153" s="69" t="n">
        <v>4576.70432</v>
      </c>
      <c r="F153" s="70">
        <f>D153-E153</f>
        <v/>
      </c>
      <c r="G153" s="69">
        <f>F153^2</f>
        <v/>
      </c>
      <c r="H153" s="68" t="inlineStr"/>
      <c r="I153" s="68" t="inlineStr"/>
    </row>
    <row r="154">
      <c r="A154" s="65" t="n">
        <v>141</v>
      </c>
      <c r="B154" s="82" t="n">
        <v>140</v>
      </c>
      <c r="C154" s="82">
        <f>B154^2</f>
        <v/>
      </c>
      <c r="D154" s="66" t="n">
        <v>4616</v>
      </c>
      <c r="E154" s="66" t="n">
        <v>4576.90677</v>
      </c>
      <c r="F154" s="67">
        <f>D154-E154</f>
        <v/>
      </c>
      <c r="G154" s="66">
        <f>F154^2</f>
        <v/>
      </c>
      <c r="H154" s="65" t="inlineStr"/>
      <c r="I154" s="65" t="inlineStr"/>
    </row>
    <row r="155">
      <c r="A155" s="68" t="n">
        <v>142</v>
      </c>
      <c r="B155" s="83" t="n">
        <v>141</v>
      </c>
      <c r="C155" s="83">
        <f>B155^2</f>
        <v/>
      </c>
      <c r="D155" s="69" t="n">
        <v>4618.96</v>
      </c>
      <c r="E155" s="69" t="n">
        <v>4577.10921</v>
      </c>
      <c r="F155" s="70">
        <f>D155-E155</f>
        <v/>
      </c>
      <c r="G155" s="69">
        <f>F155^2</f>
        <v/>
      </c>
      <c r="H155" s="68" t="inlineStr"/>
      <c r="I155" s="68" t="inlineStr"/>
    </row>
    <row r="156">
      <c r="A156" s="65" t="n">
        <v>143</v>
      </c>
      <c r="B156" s="82" t="n">
        <v>142</v>
      </c>
      <c r="C156" s="82">
        <f>B156^2</f>
        <v/>
      </c>
      <c r="D156" s="66" t="n">
        <v>4625.41</v>
      </c>
      <c r="E156" s="66" t="n">
        <v>4577.31166</v>
      </c>
      <c r="F156" s="67">
        <f>D156-E156</f>
        <v/>
      </c>
      <c r="G156" s="66">
        <f>F156^2</f>
        <v/>
      </c>
      <c r="H156" s="65" t="inlineStr"/>
      <c r="I156" s="65" t="inlineStr"/>
    </row>
    <row r="157">
      <c r="A157" s="68" t="n">
        <v>144</v>
      </c>
      <c r="B157" s="83" t="n">
        <v>143</v>
      </c>
      <c r="C157" s="83">
        <f>B157^2</f>
        <v/>
      </c>
      <c r="D157" s="69" t="n">
        <v>4619.35</v>
      </c>
      <c r="E157" s="69" t="n">
        <v>4577.51411</v>
      </c>
      <c r="F157" s="70">
        <f>D157-E157</f>
        <v/>
      </c>
      <c r="G157" s="69">
        <f>F157^2</f>
        <v/>
      </c>
      <c r="H157" s="68" t="inlineStr"/>
      <c r="I157" s="68" t="inlineStr"/>
    </row>
    <row r="158">
      <c r="A158" s="65" t="n">
        <v>145</v>
      </c>
      <c r="B158" s="82" t="n">
        <v>144</v>
      </c>
      <c r="C158" s="82">
        <f>B158^2</f>
        <v/>
      </c>
      <c r="D158" s="66" t="n">
        <v>4624.91</v>
      </c>
      <c r="E158" s="66" t="n">
        <v>4577.71655</v>
      </c>
      <c r="F158" s="67">
        <f>D158-E158</f>
        <v/>
      </c>
      <c r="G158" s="66">
        <f>F158^2</f>
        <v/>
      </c>
      <c r="H158" s="65" t="inlineStr"/>
      <c r="I158" s="65" t="inlineStr"/>
    </row>
    <row r="159">
      <c r="A159" s="68" t="n">
        <v>146</v>
      </c>
      <c r="B159" s="83" t="n">
        <v>145</v>
      </c>
      <c r="C159" s="83">
        <f>B159^2</f>
        <v/>
      </c>
      <c r="D159" s="69" t="n">
        <v>4626.92</v>
      </c>
      <c r="E159" s="69" t="n">
        <v>4577.919</v>
      </c>
      <c r="F159" s="70">
        <f>D159-E159</f>
        <v/>
      </c>
      <c r="G159" s="69">
        <f>F159^2</f>
        <v/>
      </c>
      <c r="H159" s="68" t="inlineStr"/>
      <c r="I159" s="68" t="inlineStr"/>
    </row>
    <row r="160">
      <c r="A160" s="65" t="n">
        <v>147</v>
      </c>
      <c r="B160" s="82" t="n">
        <v>146</v>
      </c>
      <c r="C160" s="82">
        <f>B160^2</f>
        <v/>
      </c>
      <c r="D160" s="66" t="n">
        <v>4643.78</v>
      </c>
      <c r="E160" s="66" t="n">
        <v>4578.12144</v>
      </c>
      <c r="F160" s="67">
        <f>D160-E160</f>
        <v/>
      </c>
      <c r="G160" s="66">
        <f>F160^2</f>
        <v/>
      </c>
      <c r="H160" s="65" t="inlineStr"/>
      <c r="I160" s="65" t="inlineStr"/>
    </row>
    <row r="161">
      <c r="A161" s="68" t="n">
        <v>148</v>
      </c>
      <c r="B161" s="83" t="n">
        <v>147</v>
      </c>
      <c r="C161" s="83">
        <f>B161^2</f>
        <v/>
      </c>
      <c r="D161" s="69" t="n">
        <v>4636.62</v>
      </c>
      <c r="E161" s="69" t="n">
        <v>4578.32389</v>
      </c>
      <c r="F161" s="70">
        <f>D161-E161</f>
        <v/>
      </c>
      <c r="G161" s="69">
        <f>F161^2</f>
        <v/>
      </c>
      <c r="H161" s="68" t="inlineStr"/>
      <c r="I161" s="68" t="inlineStr"/>
    </row>
    <row r="162">
      <c r="A162" s="65" t="n">
        <v>149</v>
      </c>
      <c r="B162" s="82" t="n">
        <v>148</v>
      </c>
      <c r="C162" s="82">
        <f>B162^2</f>
        <v/>
      </c>
      <c r="D162" s="66" t="n">
        <v>4639.68</v>
      </c>
      <c r="E162" s="66" t="n">
        <v>4578.52633</v>
      </c>
      <c r="F162" s="67">
        <f>D162-E162</f>
        <v/>
      </c>
      <c r="G162" s="66">
        <f>F162^2</f>
        <v/>
      </c>
      <c r="H162" s="65" t="inlineStr"/>
      <c r="I162" s="65" t="inlineStr"/>
    </row>
    <row r="163">
      <c r="A163" s="68" t="n">
        <v>150</v>
      </c>
      <c r="B163" s="83" t="n">
        <v>149</v>
      </c>
      <c r="C163" s="83">
        <f>B163^2</f>
        <v/>
      </c>
      <c r="D163" s="69" t="n">
        <v>4635.99</v>
      </c>
      <c r="E163" s="69" t="n">
        <v>4578.72878</v>
      </c>
      <c r="F163" s="70">
        <f>D163-E163</f>
        <v/>
      </c>
      <c r="G163" s="69">
        <f>F163^2</f>
        <v/>
      </c>
      <c r="H163" s="68" t="inlineStr"/>
      <c r="I163" s="68" t="inlineStr"/>
    </row>
    <row r="164">
      <c r="A164" s="65" t="n">
        <v>151</v>
      </c>
      <c r="B164" s="82" t="n">
        <v>150</v>
      </c>
      <c r="C164" s="82">
        <f>B164^2</f>
        <v/>
      </c>
      <c r="D164" s="66" t="n">
        <v>4637.7</v>
      </c>
      <c r="E164" s="66" t="n">
        <v>4578.93123</v>
      </c>
      <c r="F164" s="67">
        <f>D164-E164</f>
        <v/>
      </c>
      <c r="G164" s="66">
        <f>F164^2</f>
        <v/>
      </c>
      <c r="H164" s="65" t="inlineStr"/>
      <c r="I164" s="65" t="inlineStr"/>
    </row>
    <row r="165">
      <c r="A165" s="68" t="n">
        <v>152</v>
      </c>
      <c r="B165" s="83" t="n">
        <v>151</v>
      </c>
      <c r="C165" s="83">
        <f>B165^2</f>
        <v/>
      </c>
      <c r="D165" s="69" t="n">
        <v>4629.82</v>
      </c>
      <c r="E165" s="69" t="n">
        <v>4579.13367</v>
      </c>
      <c r="F165" s="70">
        <f>D165-E165</f>
        <v/>
      </c>
      <c r="G165" s="69">
        <f>F165^2</f>
        <v/>
      </c>
      <c r="H165" s="68" t="inlineStr"/>
      <c r="I165" s="68" t="inlineStr"/>
    </row>
    <row r="166">
      <c r="A166" s="65" t="n">
        <v>153</v>
      </c>
      <c r="B166" s="82" t="n">
        <v>152</v>
      </c>
      <c r="C166" s="82">
        <f>B166^2</f>
        <v/>
      </c>
      <c r="D166" s="66" t="n">
        <v>4630.21</v>
      </c>
      <c r="E166" s="66" t="n">
        <v>4579.33612</v>
      </c>
      <c r="F166" s="67">
        <f>D166-E166</f>
        <v/>
      </c>
      <c r="G166" s="66">
        <f>F166^2</f>
        <v/>
      </c>
      <c r="H166" s="65" t="inlineStr"/>
      <c r="I166" s="65" t="inlineStr"/>
    </row>
    <row r="167">
      <c r="A167" s="68" t="n">
        <v>154</v>
      </c>
      <c r="B167" s="83" t="n">
        <v>153</v>
      </c>
      <c r="C167" s="83">
        <f>B167^2</f>
        <v/>
      </c>
      <c r="D167" s="69" t="n">
        <v>4635.81</v>
      </c>
      <c r="E167" s="69" t="n">
        <v>4579.53856</v>
      </c>
      <c r="F167" s="70">
        <f>D167-E167</f>
        <v/>
      </c>
      <c r="G167" s="69">
        <f>F167^2</f>
        <v/>
      </c>
      <c r="H167" s="68" t="inlineStr"/>
      <c r="I167" s="68" t="inlineStr"/>
    </row>
    <row r="168">
      <c r="A168" s="65" t="n">
        <v>155</v>
      </c>
      <c r="B168" s="82" t="n">
        <v>154</v>
      </c>
      <c r="C168" s="82">
        <f>B168^2</f>
        <v/>
      </c>
      <c r="D168" s="66" t="n">
        <v>4630.51</v>
      </c>
      <c r="E168" s="66" t="n">
        <v>4579.74101</v>
      </c>
      <c r="F168" s="67">
        <f>D168-E168</f>
        <v/>
      </c>
      <c r="G168" s="66">
        <f>F168^2</f>
        <v/>
      </c>
      <c r="H168" s="65" t="inlineStr"/>
      <c r="I168" s="65" t="inlineStr"/>
    </row>
    <row r="169">
      <c r="A169" s="68" t="n">
        <v>156</v>
      </c>
      <c r="B169" s="83" t="n">
        <v>155</v>
      </c>
      <c r="C169" s="83">
        <f>B169^2</f>
        <v/>
      </c>
      <c r="D169" s="69" t="n">
        <v>4625.92</v>
      </c>
      <c r="E169" s="69" t="n">
        <v>4579.94345</v>
      </c>
      <c r="F169" s="70">
        <f>D169-E169</f>
        <v/>
      </c>
      <c r="G169" s="69">
        <f>F169^2</f>
        <v/>
      </c>
      <c r="H169" s="68" t="inlineStr"/>
      <c r="I169" s="68" t="inlineStr"/>
    </row>
    <row r="170">
      <c r="A170" s="65" t="n">
        <v>157</v>
      </c>
      <c r="B170" s="82" t="n">
        <v>156</v>
      </c>
      <c r="C170" s="82">
        <f>B170^2</f>
        <v/>
      </c>
      <c r="D170" s="66" t="n">
        <v>4639.57</v>
      </c>
      <c r="E170" s="66" t="n">
        <v>4580.1459</v>
      </c>
      <c r="F170" s="67">
        <f>D170-E170</f>
        <v/>
      </c>
      <c r="G170" s="66">
        <f>F170^2</f>
        <v/>
      </c>
      <c r="H170" s="65" t="inlineStr"/>
      <c r="I170" s="65" t="inlineStr"/>
    </row>
    <row r="171">
      <c r="A171" s="68" t="n">
        <v>158</v>
      </c>
      <c r="B171" s="83" t="n">
        <v>157</v>
      </c>
      <c r="C171" s="83">
        <f>B171^2</f>
        <v/>
      </c>
      <c r="D171" s="69" t="n">
        <v>4641.5</v>
      </c>
      <c r="E171" s="69" t="n">
        <v>4580.34835</v>
      </c>
      <c r="F171" s="70">
        <f>D171-E171</f>
        <v/>
      </c>
      <c r="G171" s="69">
        <f>F171^2</f>
        <v/>
      </c>
      <c r="H171" s="68" t="inlineStr"/>
      <c r="I171" s="68" t="inlineStr"/>
    </row>
    <row r="172">
      <c r="A172" s="65" t="n">
        <v>159</v>
      </c>
      <c r="B172" s="82" t="n">
        <v>158</v>
      </c>
      <c r="C172" s="82">
        <f>B172^2</f>
        <v/>
      </c>
      <c r="D172" s="66" t="n">
        <v>4633.5</v>
      </c>
      <c r="E172" s="66" t="n">
        <v>4580.55079</v>
      </c>
      <c r="F172" s="67">
        <f>D172-E172</f>
        <v/>
      </c>
      <c r="G172" s="66">
        <f>F172^2</f>
        <v/>
      </c>
      <c r="H172" s="65" t="inlineStr"/>
      <c r="I172" s="65" t="inlineStr"/>
    </row>
    <row r="173">
      <c r="A173" s="68" t="n">
        <v>160</v>
      </c>
      <c r="B173" s="83" t="n">
        <v>159</v>
      </c>
      <c r="C173" s="83">
        <f>B173^2</f>
        <v/>
      </c>
      <c r="D173" s="69" t="n">
        <v>4625.44</v>
      </c>
      <c r="E173" s="69" t="n">
        <v>4580.75324</v>
      </c>
      <c r="F173" s="70">
        <f>D173-E173</f>
        <v/>
      </c>
      <c r="G173" s="69">
        <f>F173^2</f>
        <v/>
      </c>
      <c r="H173" s="68" t="inlineStr"/>
      <c r="I173" s="68" t="inlineStr"/>
    </row>
    <row r="174">
      <c r="A174" s="65" t="n">
        <v>161</v>
      </c>
      <c r="B174" s="82" t="n">
        <v>160</v>
      </c>
      <c r="C174" s="82">
        <f>B174^2</f>
        <v/>
      </c>
      <c r="D174" s="66" t="n">
        <v>4610.99</v>
      </c>
      <c r="E174" s="66" t="n">
        <v>4580.95568</v>
      </c>
      <c r="F174" s="67">
        <f>D174-E174</f>
        <v/>
      </c>
      <c r="G174" s="66">
        <f>F174^2</f>
        <v/>
      </c>
      <c r="H174" s="65" t="inlineStr"/>
      <c r="I174" s="65" t="inlineStr"/>
    </row>
    <row r="175">
      <c r="A175" s="68" t="n">
        <v>162</v>
      </c>
      <c r="B175" s="83" t="n">
        <v>161</v>
      </c>
      <c r="C175" s="83">
        <f>B175^2</f>
        <v/>
      </c>
      <c r="D175" s="69" t="n">
        <v>4620.39</v>
      </c>
      <c r="E175" s="69" t="n">
        <v>4581.15813</v>
      </c>
      <c r="F175" s="70">
        <f>D175-E175</f>
        <v/>
      </c>
      <c r="G175" s="69">
        <f>F175^2</f>
        <v/>
      </c>
      <c r="H175" s="68" t="inlineStr"/>
      <c r="I175" s="68" t="inlineStr"/>
    </row>
    <row r="176">
      <c r="A176" s="65" t="n">
        <v>163</v>
      </c>
      <c r="B176" s="82" t="n">
        <v>162</v>
      </c>
      <c r="C176" s="82">
        <f>B176^2</f>
        <v/>
      </c>
      <c r="D176" s="66" t="n">
        <v>4622.81</v>
      </c>
      <c r="E176" s="66" t="n">
        <v>4581.36057</v>
      </c>
      <c r="F176" s="67">
        <f>D176-E176</f>
        <v/>
      </c>
      <c r="G176" s="66">
        <f>F176^2</f>
        <v/>
      </c>
      <c r="H176" s="65" t="inlineStr"/>
      <c r="I176" s="65" t="inlineStr"/>
    </row>
    <row r="177">
      <c r="A177" s="68" t="n">
        <v>164</v>
      </c>
      <c r="B177" s="83" t="n">
        <v>163</v>
      </c>
      <c r="C177" s="83">
        <f>B177^2</f>
        <v/>
      </c>
      <c r="D177" s="69" t="n">
        <v>4617.7</v>
      </c>
      <c r="E177" s="69" t="n">
        <v>4581.56302</v>
      </c>
      <c r="F177" s="70">
        <f>D177-E177</f>
        <v/>
      </c>
      <c r="G177" s="69">
        <f>F177^2</f>
        <v/>
      </c>
      <c r="H177" s="68" t="inlineStr"/>
      <c r="I177" s="68" t="inlineStr"/>
    </row>
    <row r="178">
      <c r="A178" s="65" t="n">
        <v>165</v>
      </c>
      <c r="B178" s="82" t="n">
        <v>164</v>
      </c>
      <c r="C178" s="82">
        <f>B178^2</f>
        <v/>
      </c>
      <c r="D178" s="66" t="n">
        <v>4619.59</v>
      </c>
      <c r="E178" s="66" t="n">
        <v>4581.76547</v>
      </c>
      <c r="F178" s="67">
        <f>D178-E178</f>
        <v/>
      </c>
      <c r="G178" s="66">
        <f>F178^2</f>
        <v/>
      </c>
      <c r="H178" s="65" t="inlineStr"/>
      <c r="I178" s="65" t="inlineStr"/>
    </row>
    <row r="179">
      <c r="A179" s="68" t="n">
        <v>166</v>
      </c>
      <c r="B179" s="83" t="n">
        <v>165</v>
      </c>
      <c r="C179" s="83">
        <f>B179^2</f>
        <v/>
      </c>
      <c r="D179" s="69" t="n">
        <v>4620.13</v>
      </c>
      <c r="E179" s="69" t="n">
        <v>4581.96791</v>
      </c>
      <c r="F179" s="70">
        <f>D179-E179</f>
        <v/>
      </c>
      <c r="G179" s="69">
        <f>F179^2</f>
        <v/>
      </c>
      <c r="H179" s="68" t="inlineStr"/>
      <c r="I179" s="68" t="inlineStr"/>
    </row>
    <row r="180">
      <c r="A180" s="65" t="n">
        <v>167</v>
      </c>
      <c r="B180" s="82" t="n">
        <v>166</v>
      </c>
      <c r="C180" s="82">
        <f>B180^2</f>
        <v/>
      </c>
      <c r="D180" s="66" t="n">
        <v>4623.09</v>
      </c>
      <c r="E180" s="66" t="n">
        <v>4582.17036</v>
      </c>
      <c r="F180" s="67">
        <f>D180-E180</f>
        <v/>
      </c>
      <c r="G180" s="66">
        <f>F180^2</f>
        <v/>
      </c>
      <c r="H180" s="65" t="inlineStr"/>
      <c r="I180" s="65" t="inlineStr"/>
    </row>
    <row r="181">
      <c r="A181" s="68" t="n">
        <v>168</v>
      </c>
      <c r="B181" s="83" t="n">
        <v>167</v>
      </c>
      <c r="C181" s="83">
        <f>B181^2</f>
        <v/>
      </c>
      <c r="D181" s="69" t="n">
        <v>4615.65</v>
      </c>
      <c r="E181" s="69" t="n">
        <v>4582.3728</v>
      </c>
      <c r="F181" s="70">
        <f>D181-E181</f>
        <v/>
      </c>
      <c r="G181" s="69">
        <f>F181^2</f>
        <v/>
      </c>
      <c r="H181" s="68" t="inlineStr"/>
      <c r="I181" s="68" t="inlineStr"/>
    </row>
    <row r="182">
      <c r="A182" s="65" t="n">
        <v>169</v>
      </c>
      <c r="B182" s="82" t="n">
        <v>168</v>
      </c>
      <c r="C182" s="82">
        <f>B182^2</f>
        <v/>
      </c>
      <c r="D182" s="66" t="n">
        <v>4615.35</v>
      </c>
      <c r="E182" s="66" t="n">
        <v>4582.57525</v>
      </c>
      <c r="F182" s="67">
        <f>D182-E182</f>
        <v/>
      </c>
      <c r="G182" s="66">
        <f>F182^2</f>
        <v/>
      </c>
      <c r="H182" s="65" t="inlineStr"/>
      <c r="I182" s="65" t="inlineStr"/>
    </row>
    <row r="183">
      <c r="A183" s="68" t="n">
        <v>170</v>
      </c>
      <c r="B183" s="83" t="n">
        <v>169</v>
      </c>
      <c r="C183" s="83">
        <f>B183^2</f>
        <v/>
      </c>
      <c r="D183" s="69" t="n">
        <v>4611.63</v>
      </c>
      <c r="E183" s="69" t="n">
        <v>4582.77769</v>
      </c>
      <c r="F183" s="70">
        <f>D183-E183</f>
        <v/>
      </c>
      <c r="G183" s="69">
        <f>F183^2</f>
        <v/>
      </c>
      <c r="H183" s="68" t="inlineStr"/>
      <c r="I183" s="68" t="inlineStr"/>
    </row>
    <row r="184">
      <c r="A184" s="65" t="n">
        <v>171</v>
      </c>
      <c r="B184" s="82" t="n">
        <v>170</v>
      </c>
      <c r="C184" s="82">
        <f>B184^2</f>
        <v/>
      </c>
      <c r="D184" s="66" t="n">
        <v>4608.08</v>
      </c>
      <c r="E184" s="66" t="n">
        <v>4582.98014</v>
      </c>
      <c r="F184" s="67">
        <f>D184-E184</f>
        <v/>
      </c>
      <c r="G184" s="66">
        <f>F184^2</f>
        <v/>
      </c>
      <c r="H184" s="65" t="inlineStr"/>
      <c r="I184" s="65" t="inlineStr"/>
    </row>
    <row r="185">
      <c r="A185" s="68" t="n">
        <v>172</v>
      </c>
      <c r="B185" s="83" t="n">
        <v>171</v>
      </c>
      <c r="C185" s="83">
        <f>B185^2</f>
        <v/>
      </c>
      <c r="D185" s="69" t="n">
        <v>4609.12</v>
      </c>
      <c r="E185" s="69" t="n">
        <v>4583.18259</v>
      </c>
      <c r="F185" s="70">
        <f>D185-E185</f>
        <v/>
      </c>
      <c r="G185" s="69">
        <f>F185^2</f>
        <v/>
      </c>
      <c r="H185" s="68" t="inlineStr"/>
      <c r="I185" s="68" t="inlineStr"/>
    </row>
    <row r="186">
      <c r="A186" s="65" t="n">
        <v>173</v>
      </c>
      <c r="B186" s="82" t="n">
        <v>172</v>
      </c>
      <c r="C186" s="82">
        <f>B186^2</f>
        <v/>
      </c>
      <c r="D186" s="66" t="n">
        <v>4607.62</v>
      </c>
      <c r="E186" s="66" t="n">
        <v>4583.38503</v>
      </c>
      <c r="F186" s="67">
        <f>D186-E186</f>
        <v/>
      </c>
      <c r="G186" s="66">
        <f>F186^2</f>
        <v/>
      </c>
      <c r="H186" s="65" t="inlineStr"/>
      <c r="I186" s="65" t="inlineStr"/>
    </row>
    <row r="187">
      <c r="A187" s="68" t="n">
        <v>174</v>
      </c>
      <c r="B187" s="83" t="n">
        <v>173</v>
      </c>
      <c r="C187" s="83">
        <f>B187^2</f>
        <v/>
      </c>
      <c r="D187" s="69" t="n">
        <v>4615.95</v>
      </c>
      <c r="E187" s="69" t="n">
        <v>4583.58748</v>
      </c>
      <c r="F187" s="70">
        <f>D187-E187</f>
        <v/>
      </c>
      <c r="G187" s="69">
        <f>F187^2</f>
        <v/>
      </c>
      <c r="H187" s="68" t="inlineStr"/>
      <c r="I187" s="68" t="inlineStr"/>
    </row>
    <row r="188">
      <c r="A188" s="65" t="n">
        <v>175</v>
      </c>
      <c r="B188" s="82" t="n">
        <v>174</v>
      </c>
      <c r="C188" s="82">
        <f>B188^2</f>
        <v/>
      </c>
      <c r="D188" s="66" t="n">
        <v>4618</v>
      </c>
      <c r="E188" s="66" t="n">
        <v>4583.78992</v>
      </c>
      <c r="F188" s="67">
        <f>D188-E188</f>
        <v/>
      </c>
      <c r="G188" s="66">
        <f>F188^2</f>
        <v/>
      </c>
      <c r="H188" s="65" t="inlineStr"/>
      <c r="I188" s="65" t="inlineStr"/>
    </row>
    <row r="189">
      <c r="A189" s="68" t="n">
        <v>176</v>
      </c>
      <c r="B189" s="83" t="n">
        <v>175</v>
      </c>
      <c r="C189" s="83">
        <f>B189^2</f>
        <v/>
      </c>
      <c r="D189" s="69" t="n">
        <v>4617.86</v>
      </c>
      <c r="E189" s="69" t="n">
        <v>4583.99237</v>
      </c>
      <c r="F189" s="70">
        <f>D189-E189</f>
        <v/>
      </c>
      <c r="G189" s="69">
        <f>F189^2</f>
        <v/>
      </c>
      <c r="H189" s="68" t="inlineStr"/>
      <c r="I189" s="68" t="inlineStr"/>
    </row>
    <row r="190">
      <c r="A190" s="65" t="n">
        <v>177</v>
      </c>
      <c r="B190" s="82" t="n">
        <v>176</v>
      </c>
      <c r="C190" s="82">
        <f>B190^2</f>
        <v/>
      </c>
      <c r="D190" s="66" t="n">
        <v>4616.86</v>
      </c>
      <c r="E190" s="66" t="n">
        <v>4584.19481</v>
      </c>
      <c r="F190" s="67">
        <f>D190-E190</f>
        <v/>
      </c>
      <c r="G190" s="66">
        <f>F190^2</f>
        <v/>
      </c>
      <c r="H190" s="65" t="inlineStr"/>
      <c r="I190" s="65" t="inlineStr"/>
    </row>
    <row r="191">
      <c r="A191" s="68" t="n">
        <v>178</v>
      </c>
      <c r="B191" s="83" t="n">
        <v>177</v>
      </c>
      <c r="C191" s="83">
        <f>B191^2</f>
        <v/>
      </c>
      <c r="D191" s="69" t="n">
        <v>4620.57</v>
      </c>
      <c r="E191" s="69" t="n">
        <v>4584.39726</v>
      </c>
      <c r="F191" s="70">
        <f>D191-E191</f>
        <v/>
      </c>
      <c r="G191" s="69">
        <f>F191^2</f>
        <v/>
      </c>
      <c r="H191" s="68" t="inlineStr"/>
      <c r="I191" s="68" t="inlineStr"/>
    </row>
    <row r="192">
      <c r="A192" s="65" t="n">
        <v>179</v>
      </c>
      <c r="B192" s="82" t="n">
        <v>178</v>
      </c>
      <c r="C192" s="82">
        <f>B192^2</f>
        <v/>
      </c>
      <c r="D192" s="66" t="n">
        <v>4620.79</v>
      </c>
      <c r="E192" s="66" t="n">
        <v>4584.5997</v>
      </c>
      <c r="F192" s="67">
        <f>D192-E192</f>
        <v/>
      </c>
      <c r="G192" s="66">
        <f>F192^2</f>
        <v/>
      </c>
      <c r="H192" s="65" t="inlineStr"/>
      <c r="I192" s="65" t="inlineStr"/>
    </row>
    <row r="193">
      <c r="A193" s="68" t="n">
        <v>180</v>
      </c>
      <c r="B193" s="83" t="n">
        <v>179</v>
      </c>
      <c r="C193" s="83">
        <f>B193^2</f>
        <v/>
      </c>
      <c r="D193" s="69" t="n">
        <v>4620.7</v>
      </c>
      <c r="E193" s="69" t="n">
        <v>4584.80215</v>
      </c>
      <c r="F193" s="70">
        <f>D193-E193</f>
        <v/>
      </c>
      <c r="G193" s="69">
        <f>F193^2</f>
        <v/>
      </c>
      <c r="H193" s="68" t="inlineStr"/>
      <c r="I193" s="68" t="inlineStr"/>
    </row>
    <row r="194">
      <c r="A194" s="65" t="n">
        <v>181</v>
      </c>
      <c r="B194" s="82" t="n">
        <v>180</v>
      </c>
      <c r="C194" s="82">
        <f>B194^2</f>
        <v/>
      </c>
      <c r="D194" s="66" t="n">
        <v>4622.48</v>
      </c>
      <c r="E194" s="66" t="n">
        <v>4585.0046</v>
      </c>
      <c r="F194" s="67">
        <f>D194-E194</f>
        <v/>
      </c>
      <c r="G194" s="66">
        <f>F194^2</f>
        <v/>
      </c>
      <c r="H194" s="65" t="inlineStr"/>
      <c r="I194" s="65" t="inlineStr"/>
    </row>
    <row r="195">
      <c r="A195" s="68" t="n">
        <v>182</v>
      </c>
      <c r="B195" s="83" t="n">
        <v>181</v>
      </c>
      <c r="C195" s="83">
        <f>B195^2</f>
        <v/>
      </c>
      <c r="D195" s="69" t="n">
        <v>4624.33</v>
      </c>
      <c r="E195" s="69" t="n">
        <v>4585.20704</v>
      </c>
      <c r="F195" s="70">
        <f>D195-E195</f>
        <v/>
      </c>
      <c r="G195" s="69">
        <f>F195^2</f>
        <v/>
      </c>
      <c r="H195" s="68" t="inlineStr"/>
      <c r="I195" s="68" t="inlineStr"/>
    </row>
    <row r="196">
      <c r="A196" s="65" t="n">
        <v>183</v>
      </c>
      <c r="B196" s="82" t="n">
        <v>182</v>
      </c>
      <c r="C196" s="82">
        <f>B196^2</f>
        <v/>
      </c>
      <c r="D196" s="66" t="n">
        <v>4617.77</v>
      </c>
      <c r="E196" s="66" t="n">
        <v>4585.40949</v>
      </c>
      <c r="F196" s="67">
        <f>D196-E196</f>
        <v/>
      </c>
      <c r="G196" s="66">
        <f>F196^2</f>
        <v/>
      </c>
      <c r="H196" s="65" t="inlineStr"/>
      <c r="I196" s="65" t="inlineStr"/>
    </row>
    <row r="197">
      <c r="A197" s="68" t="n">
        <v>184</v>
      </c>
      <c r="B197" s="83" t="n">
        <v>183</v>
      </c>
      <c r="C197" s="83">
        <f>B197^2</f>
        <v/>
      </c>
      <c r="D197" s="69" t="n">
        <v>4622.49</v>
      </c>
      <c r="E197" s="69" t="n">
        <v>4585.61193</v>
      </c>
      <c r="F197" s="70">
        <f>D197-E197</f>
        <v/>
      </c>
      <c r="G197" s="69">
        <f>F197^2</f>
        <v/>
      </c>
      <c r="H197" s="68" t="inlineStr"/>
      <c r="I197" s="68" t="inlineStr"/>
    </row>
    <row r="198">
      <c r="A198" s="65" t="n">
        <v>185</v>
      </c>
      <c r="B198" s="82" t="n">
        <v>184</v>
      </c>
      <c r="C198" s="82">
        <f>B198^2</f>
        <v/>
      </c>
      <c r="D198" s="66" t="n">
        <v>4617.07</v>
      </c>
      <c r="E198" s="66" t="n">
        <v>4585.81438</v>
      </c>
      <c r="F198" s="67">
        <f>D198-E198</f>
        <v/>
      </c>
      <c r="G198" s="66">
        <f>F198^2</f>
        <v/>
      </c>
      <c r="H198" s="65" t="inlineStr"/>
      <c r="I198" s="65" t="inlineStr"/>
    </row>
    <row r="199">
      <c r="A199" s="68" t="n">
        <v>186</v>
      </c>
      <c r="B199" s="83" t="n">
        <v>185</v>
      </c>
      <c r="C199" s="83">
        <f>B199^2</f>
        <v/>
      </c>
      <c r="D199" s="69" t="n">
        <v>4616.16</v>
      </c>
      <c r="E199" s="69" t="n">
        <v>4586.01682</v>
      </c>
      <c r="F199" s="70">
        <f>D199-E199</f>
        <v/>
      </c>
      <c r="G199" s="69">
        <f>F199^2</f>
        <v/>
      </c>
      <c r="H199" s="68" t="inlineStr"/>
      <c r="I199" s="68" t="inlineStr"/>
    </row>
    <row r="200">
      <c r="A200" s="65" t="n">
        <v>187</v>
      </c>
      <c r="B200" s="82" t="n">
        <v>186</v>
      </c>
      <c r="C200" s="82">
        <f>B200^2</f>
        <v/>
      </c>
      <c r="D200" s="66" t="n">
        <v>4616.72</v>
      </c>
      <c r="E200" s="66" t="n">
        <v>4586.21927</v>
      </c>
      <c r="F200" s="67">
        <f>D200-E200</f>
        <v/>
      </c>
      <c r="G200" s="66">
        <f>F200^2</f>
        <v/>
      </c>
      <c r="H200" s="65" t="inlineStr"/>
      <c r="I200" s="65" t="inlineStr"/>
    </row>
    <row r="201">
      <c r="A201" s="68" t="n">
        <v>188</v>
      </c>
      <c r="B201" s="83" t="n">
        <v>187</v>
      </c>
      <c r="C201" s="83">
        <f>B201^2</f>
        <v/>
      </c>
      <c r="D201" s="69" t="n">
        <v>4617.33</v>
      </c>
      <c r="E201" s="69" t="n">
        <v>4586.42172</v>
      </c>
      <c r="F201" s="70">
        <f>D201-E201</f>
        <v/>
      </c>
      <c r="G201" s="69">
        <f>F201^2</f>
        <v/>
      </c>
      <c r="H201" s="68" t="inlineStr"/>
      <c r="I201" s="68" t="inlineStr"/>
    </row>
    <row r="202">
      <c r="A202" s="65" t="n">
        <v>189</v>
      </c>
      <c r="B202" s="82" t="n">
        <v>188</v>
      </c>
      <c r="C202" s="82">
        <f>B202^2</f>
        <v/>
      </c>
      <c r="D202" s="66" t="n">
        <v>4621.81</v>
      </c>
      <c r="E202" s="66" t="n">
        <v>4586.62416</v>
      </c>
      <c r="F202" s="67">
        <f>D202-E202</f>
        <v/>
      </c>
      <c r="G202" s="66">
        <f>F202^2</f>
        <v/>
      </c>
      <c r="H202" s="65" t="inlineStr"/>
      <c r="I202" s="65" t="inlineStr"/>
    </row>
    <row r="203">
      <c r="A203" s="68" t="n">
        <v>190</v>
      </c>
      <c r="B203" s="83" t="n">
        <v>189</v>
      </c>
      <c r="C203" s="83">
        <f>B203^2</f>
        <v/>
      </c>
      <c r="D203" s="69" t="n">
        <v>4631.38</v>
      </c>
      <c r="E203" s="69" t="n">
        <v>4586.82661</v>
      </c>
      <c r="F203" s="70">
        <f>D203-E203</f>
        <v/>
      </c>
      <c r="G203" s="69">
        <f>F203^2</f>
        <v/>
      </c>
      <c r="H203" s="68" t="inlineStr"/>
      <c r="I203" s="68" t="inlineStr"/>
    </row>
    <row r="204">
      <c r="A204" s="65" t="n">
        <v>191</v>
      </c>
      <c r="B204" s="82" t="n">
        <v>190</v>
      </c>
      <c r="C204" s="82">
        <f>B204^2</f>
        <v/>
      </c>
      <c r="D204" s="66" t="n">
        <v>4631.38</v>
      </c>
      <c r="E204" s="66" t="n">
        <v>4587.02905</v>
      </c>
      <c r="F204" s="67">
        <f>D204-E204</f>
        <v/>
      </c>
      <c r="G204" s="66">
        <f>F204^2</f>
        <v/>
      </c>
      <c r="H204" s="65" t="inlineStr"/>
      <c r="I204" s="65" t="inlineStr"/>
    </row>
    <row r="205">
      <c r="A205" s="68" t="n">
        <v>192</v>
      </c>
      <c r="B205" s="83" t="n">
        <v>191</v>
      </c>
      <c r="C205" s="83">
        <f>B205^2</f>
        <v/>
      </c>
      <c r="D205" s="69" t="n">
        <v>4631.75</v>
      </c>
      <c r="E205" s="69" t="n">
        <v>4587.2315</v>
      </c>
      <c r="F205" s="70">
        <f>D205-E205</f>
        <v/>
      </c>
      <c r="G205" s="69">
        <f>F205^2</f>
        <v/>
      </c>
      <c r="H205" s="68" t="inlineStr"/>
      <c r="I205" s="68" t="inlineStr"/>
    </row>
    <row r="206">
      <c r="A206" s="65" t="n">
        <v>193</v>
      </c>
      <c r="B206" s="82" t="n">
        <v>192</v>
      </c>
      <c r="C206" s="82">
        <f>B206^2</f>
        <v/>
      </c>
      <c r="D206" s="66" t="n">
        <v>4630.51</v>
      </c>
      <c r="E206" s="66" t="n">
        <v>4587.43394</v>
      </c>
      <c r="F206" s="67">
        <f>D206-E206</f>
        <v/>
      </c>
      <c r="G206" s="66">
        <f>F206^2</f>
        <v/>
      </c>
      <c r="H206" s="65" t="inlineStr"/>
      <c r="I206" s="65" t="inlineStr"/>
    </row>
    <row r="207">
      <c r="A207" s="68" t="n">
        <v>194</v>
      </c>
      <c r="B207" s="83" t="n">
        <v>193</v>
      </c>
      <c r="C207" s="83">
        <f>B207^2</f>
        <v/>
      </c>
      <c r="D207" s="69" t="n">
        <v>4630.26</v>
      </c>
      <c r="E207" s="69" t="n">
        <v>4587.63639</v>
      </c>
      <c r="F207" s="70">
        <f>D207-E207</f>
        <v/>
      </c>
      <c r="G207" s="69">
        <f>F207^2</f>
        <v/>
      </c>
      <c r="H207" s="68" t="inlineStr"/>
      <c r="I207" s="68" t="inlineStr"/>
    </row>
    <row r="208">
      <c r="A208" s="65" t="n">
        <v>195</v>
      </c>
      <c r="B208" s="82" t="n">
        <v>194</v>
      </c>
      <c r="C208" s="82">
        <f>B208^2</f>
        <v/>
      </c>
      <c r="D208" s="66" t="n">
        <v>4630.75</v>
      </c>
      <c r="E208" s="66" t="n">
        <v>4587.83884</v>
      </c>
      <c r="F208" s="67">
        <f>D208-E208</f>
        <v/>
      </c>
      <c r="G208" s="66">
        <f>F208^2</f>
        <v/>
      </c>
      <c r="H208" s="65" t="inlineStr"/>
      <c r="I208" s="65" t="inlineStr"/>
    </row>
    <row r="209">
      <c r="A209" s="68" t="n">
        <v>196</v>
      </c>
      <c r="B209" s="83" t="n">
        <v>195</v>
      </c>
      <c r="C209" s="83">
        <f>B209^2</f>
        <v/>
      </c>
      <c r="D209" s="69" t="n">
        <v>4631.31</v>
      </c>
      <c r="E209" s="69" t="n">
        <v>4588.04128</v>
      </c>
      <c r="F209" s="70">
        <f>D209-E209</f>
        <v/>
      </c>
      <c r="G209" s="69">
        <f>F209^2</f>
        <v/>
      </c>
      <c r="H209" s="68" t="inlineStr"/>
      <c r="I209" s="68" t="inlineStr"/>
    </row>
    <row r="210">
      <c r="A210" s="65" t="n">
        <v>197</v>
      </c>
      <c r="B210" s="82" t="n">
        <v>196</v>
      </c>
      <c r="C210" s="82">
        <f>B210^2</f>
        <v/>
      </c>
      <c r="D210" s="66" t="n">
        <v>4626.71</v>
      </c>
      <c r="E210" s="66" t="n">
        <v>4588.24373</v>
      </c>
      <c r="F210" s="67">
        <f>D210-E210</f>
        <v/>
      </c>
      <c r="G210" s="66">
        <f>F210^2</f>
        <v/>
      </c>
      <c r="H210" s="65" t="inlineStr"/>
      <c r="I210" s="65" t="inlineStr"/>
    </row>
    <row r="211">
      <c r="A211" s="68" t="n">
        <v>198</v>
      </c>
      <c r="B211" s="83" t="n">
        <v>197</v>
      </c>
      <c r="C211" s="83">
        <f>B211^2</f>
        <v/>
      </c>
      <c r="D211" s="69" t="n">
        <v>4622.55</v>
      </c>
      <c r="E211" s="69" t="n">
        <v>4588.44617</v>
      </c>
      <c r="F211" s="70">
        <f>D211-E211</f>
        <v/>
      </c>
      <c r="G211" s="69">
        <f>F211^2</f>
        <v/>
      </c>
      <c r="H211" s="68" t="inlineStr"/>
      <c r="I211" s="68" t="inlineStr"/>
    </row>
    <row r="212">
      <c r="A212" s="65" t="n">
        <v>199</v>
      </c>
      <c r="B212" s="82" t="n">
        <v>198</v>
      </c>
      <c r="C212" s="82">
        <f>B212^2</f>
        <v/>
      </c>
      <c r="D212" s="66" t="n">
        <v>4623.65</v>
      </c>
      <c r="E212" s="66" t="n">
        <v>4588.64862</v>
      </c>
      <c r="F212" s="67">
        <f>D212-E212</f>
        <v/>
      </c>
      <c r="G212" s="66">
        <f>F212^2</f>
        <v/>
      </c>
      <c r="H212" s="65" t="inlineStr"/>
      <c r="I212" s="65" t="inlineStr"/>
    </row>
    <row r="213">
      <c r="A213" s="68" t="n">
        <v>200</v>
      </c>
      <c r="B213" s="83" t="n">
        <v>199</v>
      </c>
      <c r="C213" s="83">
        <f>B213^2</f>
        <v/>
      </c>
      <c r="D213" s="69" t="n">
        <v>4620.9</v>
      </c>
      <c r="E213" s="69" t="n">
        <v>4588.85106</v>
      </c>
      <c r="F213" s="70">
        <f>D213-E213</f>
        <v/>
      </c>
      <c r="G213" s="69">
        <f>F213^2</f>
        <v/>
      </c>
      <c r="H213" s="68" t="inlineStr"/>
      <c r="I213" s="68" t="inlineStr"/>
    </row>
    <row r="214">
      <c r="A214" s="65" t="n">
        <v>201</v>
      </c>
      <c r="B214" s="82" t="n">
        <v>200</v>
      </c>
      <c r="C214" s="82">
        <f>B214^2</f>
        <v/>
      </c>
      <c r="D214" s="66" t="n">
        <v>4620.02</v>
      </c>
      <c r="E214" s="66" t="n">
        <v>4589.05351</v>
      </c>
      <c r="F214" s="67">
        <f>D214-E214</f>
        <v/>
      </c>
      <c r="G214" s="66">
        <f>F214^2</f>
        <v/>
      </c>
      <c r="H214" s="65" t="inlineStr"/>
      <c r="I214" s="65" t="inlineStr"/>
    </row>
    <row r="215">
      <c r="A215" s="68" t="n">
        <v>202</v>
      </c>
      <c r="B215" s="83" t="n">
        <v>201</v>
      </c>
      <c r="C215" s="83">
        <f>B215^2</f>
        <v/>
      </c>
      <c r="D215" s="69" t="n">
        <v>4618.7</v>
      </c>
      <c r="E215" s="69" t="n">
        <v>4589.25596</v>
      </c>
      <c r="F215" s="70">
        <f>D215-E215</f>
        <v/>
      </c>
      <c r="G215" s="69">
        <f>F215^2</f>
        <v/>
      </c>
      <c r="H215" s="68" t="inlineStr"/>
      <c r="I215" s="68" t="inlineStr"/>
    </row>
    <row r="216">
      <c r="A216" s="65" t="n">
        <v>203</v>
      </c>
      <c r="B216" s="82" t="n">
        <v>202</v>
      </c>
      <c r="C216" s="82">
        <f>B216^2</f>
        <v/>
      </c>
      <c r="D216" s="66" t="n">
        <v>4616.68</v>
      </c>
      <c r="E216" s="66" t="n">
        <v>4589.4584</v>
      </c>
      <c r="F216" s="67">
        <f>D216-E216</f>
        <v/>
      </c>
      <c r="G216" s="66">
        <f>F216^2</f>
        <v/>
      </c>
      <c r="H216" s="65" t="inlineStr"/>
      <c r="I216" s="65" t="inlineStr"/>
    </row>
    <row r="217">
      <c r="A217" s="68" t="n">
        <v>204</v>
      </c>
      <c r="B217" s="83" t="n">
        <v>203</v>
      </c>
      <c r="C217" s="83">
        <f>B217^2</f>
        <v/>
      </c>
      <c r="D217" s="69" t="n">
        <v>4620.2</v>
      </c>
      <c r="E217" s="69" t="n">
        <v>4589.66085</v>
      </c>
      <c r="F217" s="70">
        <f>D217-E217</f>
        <v/>
      </c>
      <c r="G217" s="69">
        <f>F217^2</f>
        <v/>
      </c>
      <c r="H217" s="68" t="inlineStr"/>
      <c r="I217" s="68" t="inlineStr"/>
    </row>
    <row r="218">
      <c r="A218" s="65" t="n">
        <v>205</v>
      </c>
      <c r="B218" s="82" t="n">
        <v>204</v>
      </c>
      <c r="C218" s="82">
        <f>B218^2</f>
        <v/>
      </c>
      <c r="D218" s="66" t="n">
        <v>4621.05</v>
      </c>
      <c r="E218" s="66" t="n">
        <v>4589.86329</v>
      </c>
      <c r="F218" s="67">
        <f>D218-E218</f>
        <v/>
      </c>
      <c r="G218" s="66">
        <f>F218^2</f>
        <v/>
      </c>
      <c r="H218" s="65" t="inlineStr"/>
      <c r="I218" s="65" t="inlineStr"/>
    </row>
    <row r="219">
      <c r="A219" s="68" t="n">
        <v>206</v>
      </c>
      <c r="B219" s="83" t="n">
        <v>205</v>
      </c>
      <c r="C219" s="83">
        <f>B219^2</f>
        <v/>
      </c>
      <c r="D219" s="69" t="n">
        <v>4630.89</v>
      </c>
      <c r="E219" s="69" t="n">
        <v>4590.06574</v>
      </c>
      <c r="F219" s="70">
        <f>D219-E219</f>
        <v/>
      </c>
      <c r="G219" s="69">
        <f>F219^2</f>
        <v/>
      </c>
      <c r="H219" s="68" t="inlineStr"/>
      <c r="I219" s="68" t="inlineStr"/>
    </row>
    <row r="220">
      <c r="A220" s="65" t="n">
        <v>207</v>
      </c>
      <c r="B220" s="82" t="n">
        <v>206</v>
      </c>
      <c r="C220" s="82">
        <f>B220^2</f>
        <v/>
      </c>
      <c r="D220" s="66" t="n">
        <v>4629.39</v>
      </c>
      <c r="E220" s="66" t="n">
        <v>4590.26818</v>
      </c>
      <c r="F220" s="67">
        <f>D220-E220</f>
        <v/>
      </c>
      <c r="G220" s="66">
        <f>F220^2</f>
        <v/>
      </c>
      <c r="H220" s="65" t="inlineStr"/>
      <c r="I220" s="65" t="inlineStr"/>
    </row>
    <row r="221">
      <c r="A221" s="68" t="n">
        <v>208</v>
      </c>
      <c r="B221" s="83" t="n">
        <v>207</v>
      </c>
      <c r="C221" s="83">
        <f>B221^2</f>
        <v/>
      </c>
      <c r="D221" s="69" t="n">
        <v>4624.38</v>
      </c>
      <c r="E221" s="69" t="n">
        <v>4590.47063</v>
      </c>
      <c r="F221" s="70">
        <f>D221-E221</f>
        <v/>
      </c>
      <c r="G221" s="69">
        <f>F221^2</f>
        <v/>
      </c>
      <c r="H221" s="68" t="inlineStr"/>
      <c r="I221" s="68" t="inlineStr"/>
    </row>
    <row r="222">
      <c r="A222" s="65" t="n">
        <v>209</v>
      </c>
      <c r="B222" s="82" t="n">
        <v>208</v>
      </c>
      <c r="C222" s="82">
        <f>B222^2</f>
        <v/>
      </c>
      <c r="D222" s="66" t="n">
        <v>4619.15</v>
      </c>
      <c r="E222" s="66" t="n">
        <v>4590.67308</v>
      </c>
      <c r="F222" s="67">
        <f>D222-E222</f>
        <v/>
      </c>
      <c r="G222" s="66">
        <f>F222^2</f>
        <v/>
      </c>
      <c r="H222" s="65" t="inlineStr"/>
      <c r="I222" s="65" t="inlineStr"/>
    </row>
    <row r="223">
      <c r="A223" s="68" t="n">
        <v>210</v>
      </c>
      <c r="B223" s="83" t="n">
        <v>209</v>
      </c>
      <c r="C223" s="83">
        <f>B223^2</f>
        <v/>
      </c>
      <c r="D223" s="69" t="n">
        <v>4620.85</v>
      </c>
      <c r="E223" s="69" t="n">
        <v>4590.87552</v>
      </c>
      <c r="F223" s="70">
        <f>D223-E223</f>
        <v/>
      </c>
      <c r="G223" s="69">
        <f>F223^2</f>
        <v/>
      </c>
      <c r="H223" s="68" t="inlineStr"/>
      <c r="I223" s="68" t="inlineStr"/>
    </row>
    <row r="224">
      <c r="A224" s="65" t="n">
        <v>211</v>
      </c>
      <c r="B224" s="82" t="n">
        <v>210</v>
      </c>
      <c r="C224" s="82">
        <f>B224^2</f>
        <v/>
      </c>
      <c r="D224" s="66" t="n">
        <v>4626.13</v>
      </c>
      <c r="E224" s="66" t="n">
        <v>4591.07797</v>
      </c>
      <c r="F224" s="67">
        <f>D224-E224</f>
        <v/>
      </c>
      <c r="G224" s="66">
        <f>F224^2</f>
        <v/>
      </c>
      <c r="H224" s="65" t="inlineStr"/>
      <c r="I224" s="65" t="inlineStr"/>
    </row>
    <row r="225">
      <c r="A225" s="68" t="n">
        <v>212</v>
      </c>
      <c r="B225" s="83" t="n">
        <v>211</v>
      </c>
      <c r="C225" s="83">
        <f>B225^2</f>
        <v/>
      </c>
      <c r="D225" s="69" t="n">
        <v>4626.21</v>
      </c>
      <c r="E225" s="69" t="n">
        <v>4591.28041</v>
      </c>
      <c r="F225" s="70">
        <f>D225-E225</f>
        <v/>
      </c>
      <c r="G225" s="69">
        <f>F225^2</f>
        <v/>
      </c>
      <c r="H225" s="68" t="inlineStr"/>
      <c r="I225" s="68" t="inlineStr"/>
    </row>
    <row r="226">
      <c r="A226" s="65" t="n">
        <v>213</v>
      </c>
      <c r="B226" s="82" t="n">
        <v>212</v>
      </c>
      <c r="C226" s="82">
        <f>B226^2</f>
        <v/>
      </c>
      <c r="D226" s="66" t="n">
        <v>4626.67</v>
      </c>
      <c r="E226" s="66" t="n">
        <v>4591.48286</v>
      </c>
      <c r="F226" s="67">
        <f>D226-E226</f>
        <v/>
      </c>
      <c r="G226" s="66">
        <f>F226^2</f>
        <v/>
      </c>
      <c r="H226" s="65" t="inlineStr"/>
      <c r="I226" s="65" t="inlineStr"/>
    </row>
    <row r="227">
      <c r="A227" s="68" t="n">
        <v>214</v>
      </c>
      <c r="B227" s="83" t="n">
        <v>213</v>
      </c>
      <c r="C227" s="83">
        <f>B227^2</f>
        <v/>
      </c>
      <c r="D227" s="69" t="n">
        <v>4621.93</v>
      </c>
      <c r="E227" s="69" t="n">
        <v>4591.6853</v>
      </c>
      <c r="F227" s="70">
        <f>D227-E227</f>
        <v/>
      </c>
      <c r="G227" s="69">
        <f>F227^2</f>
        <v/>
      </c>
      <c r="H227" s="68" t="inlineStr"/>
      <c r="I227" s="68" t="inlineStr"/>
    </row>
    <row r="228">
      <c r="A228" s="65" t="n">
        <v>215</v>
      </c>
      <c r="B228" s="82" t="n">
        <v>214</v>
      </c>
      <c r="C228" s="82">
        <f>B228^2</f>
        <v/>
      </c>
      <c r="D228" s="66" t="n">
        <v>4617.53</v>
      </c>
      <c r="E228" s="66" t="n">
        <v>4591.88775</v>
      </c>
      <c r="F228" s="67">
        <f>D228-E228</f>
        <v/>
      </c>
      <c r="G228" s="66">
        <f>F228^2</f>
        <v/>
      </c>
      <c r="H228" s="65" t="inlineStr"/>
      <c r="I228" s="65" t="inlineStr"/>
    </row>
    <row r="229">
      <c r="A229" s="68" t="n">
        <v>216</v>
      </c>
      <c r="B229" s="83" t="n">
        <v>215</v>
      </c>
      <c r="C229" s="83">
        <f>B229^2</f>
        <v/>
      </c>
      <c r="D229" s="69" t="n">
        <v>4613.51</v>
      </c>
      <c r="E229" s="69" t="n">
        <v>4592.0902</v>
      </c>
      <c r="F229" s="70">
        <f>D229-E229</f>
        <v/>
      </c>
      <c r="G229" s="69">
        <f>F229^2</f>
        <v/>
      </c>
      <c r="H229" s="68" t="inlineStr"/>
      <c r="I229" s="68" t="inlineStr"/>
    </row>
    <row r="230">
      <c r="A230" s="65" t="n">
        <v>217</v>
      </c>
      <c r="B230" s="82" t="n">
        <v>216</v>
      </c>
      <c r="C230" s="82">
        <f>B230^2</f>
        <v/>
      </c>
      <c r="D230" s="66" t="n">
        <v>4609.18</v>
      </c>
      <c r="E230" s="66" t="n">
        <v>4592.29264</v>
      </c>
      <c r="F230" s="67">
        <f>D230-E230</f>
        <v/>
      </c>
      <c r="G230" s="66">
        <f>F230^2</f>
        <v/>
      </c>
      <c r="H230" s="65" t="inlineStr"/>
      <c r="I230" s="65" t="inlineStr"/>
    </row>
    <row r="231">
      <c r="A231" s="68" t="n">
        <v>218</v>
      </c>
      <c r="B231" s="83" t="n">
        <v>217</v>
      </c>
      <c r="C231" s="83">
        <f>B231^2</f>
        <v/>
      </c>
      <c r="D231" s="69" t="n">
        <v>4614.29</v>
      </c>
      <c r="E231" s="69" t="n">
        <v>4592.49509</v>
      </c>
      <c r="F231" s="70">
        <f>D231-E231</f>
        <v/>
      </c>
      <c r="G231" s="69">
        <f>F231^2</f>
        <v/>
      </c>
      <c r="H231" s="68" t="inlineStr"/>
      <c r="I231" s="68" t="inlineStr"/>
    </row>
    <row r="232">
      <c r="A232" s="65" t="n">
        <v>219</v>
      </c>
      <c r="B232" s="82" t="n">
        <v>218</v>
      </c>
      <c r="C232" s="82">
        <f>B232^2</f>
        <v/>
      </c>
      <c r="D232" s="66" t="n">
        <v>4614.64</v>
      </c>
      <c r="E232" s="66" t="n">
        <v>4592.69753</v>
      </c>
      <c r="F232" s="67">
        <f>D232-E232</f>
        <v/>
      </c>
      <c r="G232" s="66">
        <f>F232^2</f>
        <v/>
      </c>
      <c r="H232" s="65" t="inlineStr"/>
      <c r="I232" s="65" t="inlineStr"/>
    </row>
    <row r="233">
      <c r="A233" s="68" t="n">
        <v>220</v>
      </c>
      <c r="B233" s="83" t="n">
        <v>219</v>
      </c>
      <c r="C233" s="83">
        <f>B233^2</f>
        <v/>
      </c>
      <c r="D233" s="69" t="n">
        <v>4610</v>
      </c>
      <c r="E233" s="69" t="n">
        <v>4592.89998</v>
      </c>
      <c r="F233" s="70">
        <f>D233-E233</f>
        <v/>
      </c>
      <c r="G233" s="69">
        <f>F233^2</f>
        <v/>
      </c>
      <c r="H233" s="68" t="inlineStr"/>
      <c r="I233" s="68" t="inlineStr"/>
    </row>
    <row r="234">
      <c r="A234" s="65" t="n">
        <v>221</v>
      </c>
      <c r="B234" s="82" t="n">
        <v>220</v>
      </c>
      <c r="C234" s="82">
        <f>B234^2</f>
        <v/>
      </c>
      <c r="D234" s="66" t="n">
        <v>4605.03</v>
      </c>
      <c r="E234" s="66" t="n">
        <v>4593.10242</v>
      </c>
      <c r="F234" s="67">
        <f>D234-E234</f>
        <v/>
      </c>
      <c r="G234" s="66">
        <f>F234^2</f>
        <v/>
      </c>
      <c r="H234" s="65" t="inlineStr"/>
      <c r="I234" s="65" t="inlineStr"/>
    </row>
    <row r="235">
      <c r="A235" s="68" t="n">
        <v>222</v>
      </c>
      <c r="B235" s="83" t="n">
        <v>221</v>
      </c>
      <c r="C235" s="83">
        <f>B235^2</f>
        <v/>
      </c>
      <c r="D235" s="69" t="n">
        <v>4601.49</v>
      </c>
      <c r="E235" s="69" t="n">
        <v>4593.30487</v>
      </c>
      <c r="F235" s="70">
        <f>D235-E235</f>
        <v/>
      </c>
      <c r="G235" s="69">
        <f>F235^2</f>
        <v/>
      </c>
      <c r="H235" s="68" t="inlineStr"/>
      <c r="I235" s="68" t="inlineStr"/>
    </row>
    <row r="236">
      <c r="A236" s="65" t="n">
        <v>223</v>
      </c>
      <c r="B236" s="82" t="n">
        <v>222</v>
      </c>
      <c r="C236" s="82">
        <f>B236^2</f>
        <v/>
      </c>
      <c r="D236" s="66" t="n">
        <v>4593.44</v>
      </c>
      <c r="E236" s="66" t="n">
        <v>4593.50732</v>
      </c>
      <c r="F236" s="67">
        <f>D236-E236</f>
        <v/>
      </c>
      <c r="G236" s="66">
        <f>F236^2</f>
        <v/>
      </c>
      <c r="H236" s="65" t="inlineStr"/>
      <c r="I236" s="65" t="inlineStr"/>
    </row>
    <row r="237">
      <c r="A237" s="68" t="n">
        <v>224</v>
      </c>
      <c r="B237" s="83" t="n">
        <v>223</v>
      </c>
      <c r="C237" s="83">
        <f>B237^2</f>
        <v/>
      </c>
      <c r="D237" s="69" t="n">
        <v>4593.36</v>
      </c>
      <c r="E237" s="69" t="n">
        <v>4593.70976</v>
      </c>
      <c r="F237" s="70">
        <f>D237-E237</f>
        <v/>
      </c>
      <c r="G237" s="69">
        <f>F237^2</f>
        <v/>
      </c>
      <c r="H237" s="68" t="inlineStr"/>
      <c r="I237" s="68" t="inlineStr"/>
    </row>
    <row r="238">
      <c r="A238" s="65" t="n">
        <v>225</v>
      </c>
      <c r="B238" s="82" t="n">
        <v>224</v>
      </c>
      <c r="C238" s="82">
        <f>B238^2</f>
        <v/>
      </c>
      <c r="D238" s="66" t="n">
        <v>4594.77</v>
      </c>
      <c r="E238" s="66" t="n">
        <v>4593.91221</v>
      </c>
      <c r="F238" s="67">
        <f>D238-E238</f>
        <v/>
      </c>
      <c r="G238" s="66">
        <f>F238^2</f>
        <v/>
      </c>
      <c r="H238" s="65" t="inlineStr"/>
      <c r="I238" s="65" t="inlineStr"/>
    </row>
    <row r="239">
      <c r="A239" s="68" t="n">
        <v>226</v>
      </c>
      <c r="B239" s="83" t="n">
        <v>225</v>
      </c>
      <c r="C239" s="83">
        <f>B239^2</f>
        <v/>
      </c>
      <c r="D239" s="69" t="n">
        <v>4595.97</v>
      </c>
      <c r="E239" s="69" t="n">
        <v>4594.11465</v>
      </c>
      <c r="F239" s="70">
        <f>D239-E239</f>
        <v/>
      </c>
      <c r="G239" s="69">
        <f>F239^2</f>
        <v/>
      </c>
      <c r="H239" s="68" t="inlineStr"/>
      <c r="I239" s="68" t="inlineStr"/>
    </row>
    <row r="240">
      <c r="A240" s="65" t="n">
        <v>227</v>
      </c>
      <c r="B240" s="82" t="n">
        <v>226</v>
      </c>
      <c r="C240" s="82">
        <f>B240^2</f>
        <v/>
      </c>
      <c r="D240" s="66" t="n">
        <v>4592.32</v>
      </c>
      <c r="E240" s="66" t="n">
        <v>4594.3171</v>
      </c>
      <c r="F240" s="67">
        <f>D240-E240</f>
        <v/>
      </c>
      <c r="G240" s="66">
        <f>F240^2</f>
        <v/>
      </c>
      <c r="H240" s="65" t="inlineStr"/>
      <c r="I240" s="65" t="inlineStr"/>
    </row>
    <row r="241">
      <c r="A241" s="68" t="n">
        <v>228</v>
      </c>
      <c r="B241" s="83" t="n">
        <v>227</v>
      </c>
      <c r="C241" s="83">
        <f>B241^2</f>
        <v/>
      </c>
      <c r="D241" s="69" t="n">
        <v>4585.41</v>
      </c>
      <c r="E241" s="69" t="n">
        <v>4594.51954</v>
      </c>
      <c r="F241" s="70">
        <f>D241-E241</f>
        <v/>
      </c>
      <c r="G241" s="69">
        <f>F241^2</f>
        <v/>
      </c>
      <c r="H241" s="68" t="inlineStr"/>
      <c r="I241" s="68" t="inlineStr"/>
    </row>
    <row r="242">
      <c r="A242" s="65" t="n">
        <v>229</v>
      </c>
      <c r="B242" s="82" t="n">
        <v>228</v>
      </c>
      <c r="C242" s="82">
        <f>B242^2</f>
        <v/>
      </c>
      <c r="D242" s="66" t="n">
        <v>4578.16</v>
      </c>
      <c r="E242" s="66" t="n">
        <v>4594.72199</v>
      </c>
      <c r="F242" s="67">
        <f>D242-E242</f>
        <v/>
      </c>
      <c r="G242" s="66">
        <f>F242^2</f>
        <v/>
      </c>
      <c r="H242" s="65" t="inlineStr"/>
      <c r="I242" s="65" t="inlineStr"/>
    </row>
    <row r="243">
      <c r="A243" s="68" t="n">
        <v>230</v>
      </c>
      <c r="B243" s="83" t="n">
        <v>229</v>
      </c>
      <c r="C243" s="83">
        <f>B243^2</f>
        <v/>
      </c>
      <c r="D243" s="69" t="n">
        <v>4574.06</v>
      </c>
      <c r="E243" s="69" t="n">
        <v>4594.92444</v>
      </c>
      <c r="F243" s="70">
        <f>D243-E243</f>
        <v/>
      </c>
      <c r="G243" s="69">
        <f>F243^2</f>
        <v/>
      </c>
      <c r="H243" s="68" t="inlineStr"/>
      <c r="I243" s="68" t="inlineStr"/>
    </row>
    <row r="244">
      <c r="A244" s="65" t="n">
        <v>231</v>
      </c>
      <c r="B244" s="82" t="n">
        <v>230</v>
      </c>
      <c r="C244" s="82">
        <f>B244^2</f>
        <v/>
      </c>
      <c r="D244" s="66" t="n">
        <v>4567.37</v>
      </c>
      <c r="E244" s="66" t="n">
        <v>4595.12688</v>
      </c>
      <c r="F244" s="67">
        <f>D244-E244</f>
        <v/>
      </c>
      <c r="G244" s="66">
        <f>F244^2</f>
        <v/>
      </c>
      <c r="H244" s="65" t="inlineStr"/>
      <c r="I244" s="65" t="inlineStr"/>
    </row>
    <row r="245">
      <c r="A245" s="68" t="n">
        <v>232</v>
      </c>
      <c r="B245" s="83" t="n">
        <v>231</v>
      </c>
      <c r="C245" s="83">
        <f>B245^2</f>
        <v/>
      </c>
      <c r="D245" s="69" t="n">
        <v>4571.29</v>
      </c>
      <c r="E245" s="69" t="n">
        <v>4595.32933</v>
      </c>
      <c r="F245" s="70">
        <f>D245-E245</f>
        <v/>
      </c>
      <c r="G245" s="69">
        <f>F245^2</f>
        <v/>
      </c>
      <c r="H245" s="68" t="inlineStr"/>
      <c r="I245" s="68" t="inlineStr"/>
    </row>
    <row r="246">
      <c r="A246" s="65" t="n">
        <v>233</v>
      </c>
      <c r="B246" s="82" t="n">
        <v>232</v>
      </c>
      <c r="C246" s="82">
        <f>B246^2</f>
        <v/>
      </c>
      <c r="D246" s="66" t="n">
        <v>4568.51</v>
      </c>
      <c r="E246" s="66" t="n">
        <v>4595.53177</v>
      </c>
      <c r="F246" s="67">
        <f>D246-E246</f>
        <v/>
      </c>
      <c r="G246" s="66">
        <f>F246^2</f>
        <v/>
      </c>
      <c r="H246" s="65" t="inlineStr"/>
      <c r="I246" s="65" t="inlineStr"/>
    </row>
    <row r="247">
      <c r="A247" s="68" t="n">
        <v>234</v>
      </c>
      <c r="B247" s="83" t="n">
        <v>233</v>
      </c>
      <c r="C247" s="83">
        <f>B247^2</f>
        <v/>
      </c>
      <c r="D247" s="69" t="n">
        <v>4565.87</v>
      </c>
      <c r="E247" s="69" t="n">
        <v>4595.73422</v>
      </c>
      <c r="F247" s="70">
        <f>D247-E247</f>
        <v/>
      </c>
      <c r="G247" s="69">
        <f>F247^2</f>
        <v/>
      </c>
      <c r="H247" s="68" t="inlineStr"/>
      <c r="I247" s="68" t="inlineStr"/>
    </row>
    <row r="248">
      <c r="A248" s="65" t="n">
        <v>235</v>
      </c>
      <c r="B248" s="82" t="n">
        <v>234</v>
      </c>
      <c r="C248" s="82">
        <f>B248^2</f>
        <v/>
      </c>
      <c r="D248" s="66" t="n">
        <v>4569.29</v>
      </c>
      <c r="E248" s="66" t="n">
        <v>4595.93666</v>
      </c>
      <c r="F248" s="67">
        <f>D248-E248</f>
        <v/>
      </c>
      <c r="G248" s="66">
        <f>F248^2</f>
        <v/>
      </c>
      <c r="H248" s="65" t="inlineStr"/>
      <c r="I248" s="65" t="inlineStr"/>
    </row>
    <row r="249">
      <c r="A249" s="68" t="n">
        <v>236</v>
      </c>
      <c r="B249" s="83" t="n">
        <v>235</v>
      </c>
      <c r="C249" s="83">
        <f>B249^2</f>
        <v/>
      </c>
      <c r="D249" s="69" t="n">
        <v>4570.62</v>
      </c>
      <c r="E249" s="69" t="n">
        <v>4596.13911</v>
      </c>
      <c r="F249" s="70">
        <f>D249-E249</f>
        <v/>
      </c>
      <c r="G249" s="69">
        <f>F249^2</f>
        <v/>
      </c>
      <c r="H249" s="68" t="inlineStr"/>
      <c r="I249" s="68" t="inlineStr"/>
    </row>
    <row r="250">
      <c r="A250" s="65" t="n">
        <v>237</v>
      </c>
      <c r="B250" s="82" t="n">
        <v>236</v>
      </c>
      <c r="C250" s="82">
        <f>B250^2</f>
        <v/>
      </c>
      <c r="D250" s="66" t="n">
        <v>4563.12</v>
      </c>
      <c r="E250" s="66" t="n">
        <v>4596.34156</v>
      </c>
      <c r="F250" s="67">
        <f>D250-E250</f>
        <v/>
      </c>
      <c r="G250" s="66">
        <f>F250^2</f>
        <v/>
      </c>
      <c r="H250" s="65" t="inlineStr"/>
      <c r="I250" s="65" t="inlineStr"/>
    </row>
    <row r="251">
      <c r="A251" s="68" t="n">
        <v>238</v>
      </c>
      <c r="B251" s="83" t="n">
        <v>237</v>
      </c>
      <c r="C251" s="83">
        <f>B251^2</f>
        <v/>
      </c>
      <c r="D251" s="69" t="n">
        <v>4566.78</v>
      </c>
      <c r="E251" s="69" t="n">
        <v>4596.544</v>
      </c>
      <c r="F251" s="70">
        <f>D251-E251</f>
        <v/>
      </c>
      <c r="G251" s="69">
        <f>F251^2</f>
        <v/>
      </c>
      <c r="H251" s="68" t="inlineStr"/>
      <c r="I251" s="68" t="inlineStr"/>
    </row>
    <row r="252">
      <c r="A252" s="65" t="n">
        <v>239</v>
      </c>
      <c r="B252" s="82" t="n">
        <v>238</v>
      </c>
      <c r="C252" s="82">
        <f>B252^2</f>
        <v/>
      </c>
      <c r="D252" s="66" t="n">
        <v>4572.18</v>
      </c>
      <c r="E252" s="66" t="n">
        <v>4596.74645</v>
      </c>
      <c r="F252" s="67">
        <f>D252-E252</f>
        <v/>
      </c>
      <c r="G252" s="66">
        <f>F252^2</f>
        <v/>
      </c>
      <c r="H252" s="65" t="inlineStr"/>
      <c r="I252" s="65" t="inlineStr"/>
    </row>
    <row r="253">
      <c r="A253" s="68" t="n">
        <v>240</v>
      </c>
      <c r="B253" s="83" t="n">
        <v>239</v>
      </c>
      <c r="C253" s="83">
        <f>B253^2</f>
        <v/>
      </c>
      <c r="D253" s="69" t="n">
        <v>4570.49</v>
      </c>
      <c r="E253" s="69" t="n">
        <v>4596.94889</v>
      </c>
      <c r="F253" s="70">
        <f>D253-E253</f>
        <v/>
      </c>
      <c r="G253" s="69">
        <f>F253^2</f>
        <v/>
      </c>
      <c r="H253" s="68" t="inlineStr"/>
      <c r="I253" s="68" t="inlineStr"/>
    </row>
    <row r="254">
      <c r="A254" s="65" t="n">
        <v>241</v>
      </c>
      <c r="B254" s="82" t="n">
        <v>240</v>
      </c>
      <c r="C254" s="82">
        <f>B254^2</f>
        <v/>
      </c>
      <c r="D254" s="66" t="n">
        <v>4566.67</v>
      </c>
      <c r="E254" s="66" t="n">
        <v>4597.15134</v>
      </c>
      <c r="F254" s="67">
        <f>D254-E254</f>
        <v/>
      </c>
      <c r="G254" s="66">
        <f>F254^2</f>
        <v/>
      </c>
      <c r="H254" s="65" t="inlineStr"/>
      <c r="I254" s="65" t="inlineStr"/>
    </row>
    <row r="255">
      <c r="A255" s="68" t="n">
        <v>242</v>
      </c>
      <c r="B255" s="83" t="n">
        <v>241</v>
      </c>
      <c r="C255" s="83">
        <f>B255^2</f>
        <v/>
      </c>
      <c r="D255" s="69" t="n">
        <v>4565.94</v>
      </c>
      <c r="E255" s="69" t="n">
        <v>4597.35378</v>
      </c>
      <c r="F255" s="70">
        <f>D255-E255</f>
        <v/>
      </c>
      <c r="G255" s="69">
        <f>F255^2</f>
        <v/>
      </c>
      <c r="H255" s="68" t="inlineStr"/>
      <c r="I255" s="68" t="inlineStr"/>
    </row>
    <row r="256">
      <c r="A256" s="65" t="n">
        <v>243</v>
      </c>
      <c r="B256" s="82" t="n">
        <v>242</v>
      </c>
      <c r="C256" s="82">
        <f>B256^2</f>
        <v/>
      </c>
      <c r="D256" s="66" t="n">
        <v>4572.03</v>
      </c>
      <c r="E256" s="66" t="n">
        <v>4597.55623</v>
      </c>
      <c r="F256" s="67">
        <f>D256-E256</f>
        <v/>
      </c>
      <c r="G256" s="66">
        <f>F256^2</f>
        <v/>
      </c>
      <c r="H256" s="65" t="inlineStr"/>
      <c r="I256" s="65" t="inlineStr"/>
    </row>
    <row r="257">
      <c r="A257" s="68" t="n">
        <v>244</v>
      </c>
      <c r="B257" s="83" t="n">
        <v>243</v>
      </c>
      <c r="C257" s="83">
        <f>B257^2</f>
        <v/>
      </c>
      <c r="D257" s="69" t="n">
        <v>4575.75</v>
      </c>
      <c r="E257" s="69" t="n">
        <v>4597.75868</v>
      </c>
      <c r="F257" s="70">
        <f>D257-E257</f>
        <v/>
      </c>
      <c r="G257" s="69">
        <f>F257^2</f>
        <v/>
      </c>
      <c r="H257" s="68" t="inlineStr"/>
      <c r="I257" s="68" t="inlineStr"/>
    </row>
    <row r="258">
      <c r="A258" s="65" t="n">
        <v>245</v>
      </c>
      <c r="B258" s="82" t="n">
        <v>244</v>
      </c>
      <c r="C258" s="82">
        <f>B258^2</f>
        <v/>
      </c>
      <c r="D258" s="66" t="n">
        <v>4578.84</v>
      </c>
      <c r="E258" s="66" t="n">
        <v>4597.96112</v>
      </c>
      <c r="F258" s="67">
        <f>D258-E258</f>
        <v/>
      </c>
      <c r="G258" s="66">
        <f>F258^2</f>
        <v/>
      </c>
      <c r="H258" s="65" t="inlineStr"/>
      <c r="I258" s="65" t="inlineStr"/>
    </row>
    <row r="259">
      <c r="A259" s="68" t="n">
        <v>246</v>
      </c>
      <c r="B259" s="83" t="n">
        <v>245</v>
      </c>
      <c r="C259" s="83">
        <f>B259^2</f>
        <v/>
      </c>
      <c r="D259" s="69" t="n">
        <v>4584.86</v>
      </c>
      <c r="E259" s="69" t="n">
        <v>4598.16357</v>
      </c>
      <c r="F259" s="70">
        <f>D259-E259</f>
        <v/>
      </c>
      <c r="G259" s="69">
        <f>F259^2</f>
        <v/>
      </c>
      <c r="H259" s="68" t="inlineStr"/>
      <c r="I259" s="68" t="inlineStr"/>
    </row>
    <row r="260">
      <c r="A260" s="65" t="n">
        <v>247</v>
      </c>
      <c r="B260" s="82" t="n">
        <v>246</v>
      </c>
      <c r="C260" s="82">
        <f>B260^2</f>
        <v/>
      </c>
      <c r="D260" s="66" t="n">
        <v>4602.95</v>
      </c>
      <c r="E260" s="66" t="n">
        <v>4598.36601</v>
      </c>
      <c r="F260" s="67">
        <f>D260-E260</f>
        <v/>
      </c>
      <c r="G260" s="66">
        <f>F260^2</f>
        <v/>
      </c>
      <c r="H260" s="65" t="inlineStr"/>
      <c r="I260" s="65" t="inlineStr"/>
    </row>
    <row r="261">
      <c r="A261" s="68" t="n">
        <v>248</v>
      </c>
      <c r="B261" s="83" t="n">
        <v>247</v>
      </c>
      <c r="C261" s="83">
        <f>B261^2</f>
        <v/>
      </c>
      <c r="D261" s="69" t="n">
        <v>4591.95</v>
      </c>
      <c r="E261" s="69" t="n">
        <v>4598.56846</v>
      </c>
      <c r="F261" s="70">
        <f>D261-E261</f>
        <v/>
      </c>
      <c r="G261" s="69">
        <f>F261^2</f>
        <v/>
      </c>
      <c r="H261" s="68" t="inlineStr"/>
      <c r="I261" s="68" t="inlineStr"/>
    </row>
    <row r="262">
      <c r="A262" s="65" t="n">
        <v>249</v>
      </c>
      <c r="B262" s="82" t="n">
        <v>248</v>
      </c>
      <c r="C262" s="82">
        <f>B262^2</f>
        <v/>
      </c>
      <c r="D262" s="66" t="n">
        <v>4591.18</v>
      </c>
      <c r="E262" s="66" t="n">
        <v>4598.7709</v>
      </c>
      <c r="F262" s="67">
        <f>D262-E262</f>
        <v/>
      </c>
      <c r="G262" s="66">
        <f>F262^2</f>
        <v/>
      </c>
      <c r="H262" s="65" t="inlineStr"/>
      <c r="I262" s="65" t="inlineStr"/>
    </row>
    <row r="263">
      <c r="A263" s="68" t="n">
        <v>250</v>
      </c>
      <c r="B263" s="83" t="n">
        <v>249</v>
      </c>
      <c r="C263" s="83">
        <f>B263^2</f>
        <v/>
      </c>
      <c r="D263" s="69" t="n">
        <v>4591.32</v>
      </c>
      <c r="E263" s="69" t="n">
        <v>4598.97335</v>
      </c>
      <c r="F263" s="70">
        <f>D263-E263</f>
        <v/>
      </c>
      <c r="G263" s="69">
        <f>F263^2</f>
        <v/>
      </c>
      <c r="H263" s="68" t="inlineStr"/>
      <c r="I263" s="68" t="inlineStr"/>
    </row>
    <row r="264">
      <c r="A264" s="65" t="n">
        <v>251</v>
      </c>
      <c r="B264" s="82" t="n">
        <v>250</v>
      </c>
      <c r="C264" s="82">
        <f>B264^2</f>
        <v/>
      </c>
      <c r="D264" s="66" t="n">
        <v>4589.2</v>
      </c>
      <c r="E264" s="66" t="n">
        <v>4599.1758</v>
      </c>
      <c r="F264" s="67">
        <f>D264-E264</f>
        <v/>
      </c>
      <c r="G264" s="66">
        <f>F264^2</f>
        <v/>
      </c>
      <c r="H264" s="65" t="inlineStr"/>
      <c r="I264" s="65" t="inlineStr"/>
    </row>
    <row r="265">
      <c r="A265" s="68" t="n">
        <v>252</v>
      </c>
      <c r="B265" s="83" t="n">
        <v>251</v>
      </c>
      <c r="C265" s="83">
        <f>B265^2</f>
        <v/>
      </c>
      <c r="D265" s="69" t="n">
        <v>4608.07</v>
      </c>
      <c r="E265" s="69" t="n">
        <v>4599.37824</v>
      </c>
      <c r="F265" s="70">
        <f>D265-E265</f>
        <v/>
      </c>
      <c r="G265" s="69">
        <f>F265^2</f>
        <v/>
      </c>
      <c r="H265" s="68" t="inlineStr"/>
      <c r="I265" s="68" t="inlineStr"/>
    </row>
    <row r="266">
      <c r="A266" s="65" t="n">
        <v>253</v>
      </c>
      <c r="B266" s="82" t="n">
        <v>252</v>
      </c>
      <c r="C266" s="82">
        <f>B266^2</f>
        <v/>
      </c>
      <c r="D266" s="66" t="n">
        <v>4625.7</v>
      </c>
      <c r="E266" s="66" t="n">
        <v>4599.58069</v>
      </c>
      <c r="F266" s="67">
        <f>D266-E266</f>
        <v/>
      </c>
      <c r="G266" s="66">
        <f>F266^2</f>
        <v/>
      </c>
      <c r="H266" s="65" t="inlineStr"/>
      <c r="I266" s="65" t="inlineStr"/>
    </row>
    <row r="267">
      <c r="A267" s="68" t="n">
        <v>254</v>
      </c>
      <c r="B267" s="83" t="n">
        <v>253</v>
      </c>
      <c r="C267" s="83">
        <f>B267^2</f>
        <v/>
      </c>
      <c r="D267" s="69" t="n">
        <v>4656.06</v>
      </c>
      <c r="E267" s="69" t="n">
        <v>4599.78313</v>
      </c>
      <c r="F267" s="70">
        <f>D267-E267</f>
        <v/>
      </c>
      <c r="G267" s="69">
        <f>F267^2</f>
        <v/>
      </c>
      <c r="H267" s="68" t="inlineStr"/>
      <c r="I267" s="68" t="inlineStr"/>
    </row>
    <row r="268">
      <c r="A268" s="65" t="n">
        <v>255</v>
      </c>
      <c r="B268" s="82" t="n">
        <v>254</v>
      </c>
      <c r="C268" s="82">
        <f>B268^2</f>
        <v/>
      </c>
      <c r="D268" s="66" t="n">
        <v>4644.67</v>
      </c>
      <c r="E268" s="66" t="n">
        <v>4599.98558</v>
      </c>
      <c r="F268" s="67">
        <f>D268-E268</f>
        <v/>
      </c>
      <c r="G268" s="66">
        <f>F268^2</f>
        <v/>
      </c>
      <c r="H268" s="65" t="inlineStr"/>
      <c r="I268" s="65" t="inlineStr"/>
    </row>
    <row r="269">
      <c r="A269" s="68" t="n">
        <v>256</v>
      </c>
      <c r="B269" s="83" t="n">
        <v>255</v>
      </c>
      <c r="C269" s="83">
        <f>B269^2</f>
        <v/>
      </c>
      <c r="D269" s="69" t="n">
        <v>4633.23</v>
      </c>
      <c r="E269" s="69" t="n">
        <v>4600.18802</v>
      </c>
      <c r="F269" s="70">
        <f>D269-E269</f>
        <v/>
      </c>
      <c r="G269" s="69">
        <f>F269^2</f>
        <v/>
      </c>
      <c r="H269" s="68" t="inlineStr"/>
      <c r="I269" s="68" t="inlineStr"/>
    </row>
    <row r="270">
      <c r="A270" s="65" t="n">
        <v>257</v>
      </c>
      <c r="B270" s="82" t="n">
        <v>256</v>
      </c>
      <c r="C270" s="82">
        <f>B270^2</f>
        <v/>
      </c>
      <c r="D270" s="66" t="n">
        <v>4632.21</v>
      </c>
      <c r="E270" s="66" t="n">
        <v>4600.39047</v>
      </c>
      <c r="F270" s="67">
        <f>D270-E270</f>
        <v/>
      </c>
      <c r="G270" s="66">
        <f>F270^2</f>
        <v/>
      </c>
      <c r="H270" s="65" t="inlineStr"/>
      <c r="I270" s="65" t="inlineStr"/>
    </row>
    <row r="271">
      <c r="A271" s="68" t="n">
        <v>258</v>
      </c>
      <c r="B271" s="83" t="n">
        <v>257</v>
      </c>
      <c r="C271" s="83">
        <f>B271^2</f>
        <v/>
      </c>
      <c r="D271" s="69" t="n">
        <v>4636.58</v>
      </c>
      <c r="E271" s="69" t="n">
        <v>4600.59291</v>
      </c>
      <c r="F271" s="70">
        <f>D271-E271</f>
        <v/>
      </c>
      <c r="G271" s="69">
        <f>F271^2</f>
        <v/>
      </c>
      <c r="H271" s="68" t="inlineStr"/>
      <c r="I271" s="68" t="inlineStr"/>
    </row>
    <row r="272">
      <c r="A272" s="65" t="n">
        <v>259</v>
      </c>
      <c r="B272" s="82" t="n">
        <v>258</v>
      </c>
      <c r="C272" s="82">
        <f>B272^2</f>
        <v/>
      </c>
      <c r="D272" s="66" t="n">
        <v>4636.46</v>
      </c>
      <c r="E272" s="66" t="n">
        <v>4600.79536</v>
      </c>
      <c r="F272" s="67">
        <f>D272-E272</f>
        <v/>
      </c>
      <c r="G272" s="66">
        <f>F272^2</f>
        <v/>
      </c>
      <c r="H272" s="65" t="inlineStr"/>
      <c r="I272" s="65" t="inlineStr"/>
    </row>
    <row r="273">
      <c r="A273" s="68" t="n">
        <v>260</v>
      </c>
      <c r="B273" s="83" t="n">
        <v>259</v>
      </c>
      <c r="C273" s="83">
        <f>B273^2</f>
        <v/>
      </c>
      <c r="D273" s="69" t="n">
        <v>4643.6</v>
      </c>
      <c r="E273" s="69" t="n">
        <v>4600.99781</v>
      </c>
      <c r="F273" s="70">
        <f>D273-E273</f>
        <v/>
      </c>
      <c r="G273" s="69">
        <f>F273^2</f>
        <v/>
      </c>
      <c r="H273" s="68" t="inlineStr"/>
      <c r="I273" s="68" t="inlineStr"/>
    </row>
    <row r="274">
      <c r="A274" s="65" t="n">
        <v>261</v>
      </c>
      <c r="B274" s="82" t="n">
        <v>260</v>
      </c>
      <c r="C274" s="82">
        <f>B274^2</f>
        <v/>
      </c>
      <c r="D274" s="66" t="n">
        <v>4643.3</v>
      </c>
      <c r="E274" s="66" t="n">
        <v>4601.20025</v>
      </c>
      <c r="F274" s="67">
        <f>D274-E274</f>
        <v/>
      </c>
      <c r="G274" s="66">
        <f>F274^2</f>
        <v/>
      </c>
      <c r="H274" s="65" t="inlineStr"/>
      <c r="I274" s="65" t="inlineStr"/>
    </row>
    <row r="275">
      <c r="A275" s="68" t="n">
        <v>262</v>
      </c>
      <c r="B275" s="83" t="n">
        <v>261</v>
      </c>
      <c r="C275" s="83">
        <f>B275^2</f>
        <v/>
      </c>
      <c r="D275" s="69" t="n">
        <v>4642.75</v>
      </c>
      <c r="E275" s="69" t="n">
        <v>4601.4027</v>
      </c>
      <c r="F275" s="70">
        <f>D275-E275</f>
        <v/>
      </c>
      <c r="G275" s="69">
        <f>F275^2</f>
        <v/>
      </c>
      <c r="H275" s="68" t="inlineStr"/>
      <c r="I275" s="68" t="inlineStr"/>
    </row>
    <row r="276">
      <c r="A276" s="65" t="n">
        <v>263</v>
      </c>
      <c r="B276" s="82" t="n">
        <v>262</v>
      </c>
      <c r="C276" s="82">
        <f>B276^2</f>
        <v/>
      </c>
      <c r="D276" s="66" t="n">
        <v>4637.96</v>
      </c>
      <c r="E276" s="66" t="n">
        <v>4601.60514</v>
      </c>
      <c r="F276" s="67">
        <f>D276-E276</f>
        <v/>
      </c>
      <c r="G276" s="66">
        <f>F276^2</f>
        <v/>
      </c>
      <c r="H276" s="65" t="inlineStr"/>
      <c r="I276" s="65" t="inlineStr"/>
    </row>
    <row r="277">
      <c r="A277" s="68" t="n">
        <v>264</v>
      </c>
      <c r="B277" s="83" t="n">
        <v>263</v>
      </c>
      <c r="C277" s="83">
        <f>B277^2</f>
        <v/>
      </c>
      <c r="D277" s="69" t="n">
        <v>4638.86</v>
      </c>
      <c r="E277" s="69" t="n">
        <v>4601.80759</v>
      </c>
      <c r="F277" s="70">
        <f>D277-E277</f>
        <v/>
      </c>
      <c r="G277" s="69">
        <f>F277^2</f>
        <v/>
      </c>
      <c r="H277" s="68" t="inlineStr"/>
      <c r="I277" s="68" t="inlineStr"/>
    </row>
    <row r="278">
      <c r="A278" s="65" t="n">
        <v>265</v>
      </c>
      <c r="B278" s="82" t="n">
        <v>264</v>
      </c>
      <c r="C278" s="82">
        <f>B278^2</f>
        <v/>
      </c>
      <c r="D278" s="66" t="n">
        <v>4638.72</v>
      </c>
      <c r="E278" s="66" t="n">
        <v>4602.01003</v>
      </c>
      <c r="F278" s="67">
        <f>D278-E278</f>
        <v/>
      </c>
      <c r="G278" s="66">
        <f>F278^2</f>
        <v/>
      </c>
      <c r="H278" s="65" t="inlineStr"/>
      <c r="I278" s="65" t="inlineStr"/>
    </row>
    <row r="279">
      <c r="A279" s="68" t="n">
        <v>266</v>
      </c>
      <c r="B279" s="83" t="n">
        <v>265</v>
      </c>
      <c r="C279" s="83">
        <f>B279^2</f>
        <v/>
      </c>
      <c r="D279" s="69" t="n">
        <v>4639.73</v>
      </c>
      <c r="E279" s="69" t="n">
        <v>4602.21248</v>
      </c>
      <c r="F279" s="70">
        <f>D279-E279</f>
        <v/>
      </c>
      <c r="G279" s="69">
        <f>F279^2</f>
        <v/>
      </c>
      <c r="H279" s="68" t="inlineStr"/>
      <c r="I279" s="68" t="inlineStr"/>
    </row>
    <row r="280">
      <c r="A280" s="65" t="n">
        <v>267</v>
      </c>
      <c r="B280" s="82" t="n">
        <v>266</v>
      </c>
      <c r="C280" s="82">
        <f>B280^2</f>
        <v/>
      </c>
      <c r="D280" s="66" t="n">
        <v>4631.67</v>
      </c>
      <c r="E280" s="66" t="n">
        <v>4602.41493</v>
      </c>
      <c r="F280" s="67">
        <f>D280-E280</f>
        <v/>
      </c>
      <c r="G280" s="66">
        <f>F280^2</f>
        <v/>
      </c>
      <c r="H280" s="65" t="inlineStr"/>
      <c r="I280" s="65" t="inlineStr"/>
    </row>
    <row r="281">
      <c r="A281" s="68" t="n">
        <v>268</v>
      </c>
      <c r="B281" s="83" t="n">
        <v>267</v>
      </c>
      <c r="C281" s="83">
        <f>B281^2</f>
        <v/>
      </c>
      <c r="D281" s="69" t="n">
        <v>4628</v>
      </c>
      <c r="E281" s="69" t="n">
        <v>4602.61737</v>
      </c>
      <c r="F281" s="70">
        <f>D281-E281</f>
        <v/>
      </c>
      <c r="G281" s="69">
        <f>F281^2</f>
        <v/>
      </c>
      <c r="H281" s="68" t="inlineStr"/>
      <c r="I281" s="68" t="inlineStr"/>
    </row>
    <row r="282">
      <c r="A282" s="65" t="n">
        <v>269</v>
      </c>
      <c r="B282" s="82" t="n">
        <v>268</v>
      </c>
      <c r="C282" s="82">
        <f>B282^2</f>
        <v/>
      </c>
      <c r="D282" s="66" t="n">
        <v>4629.43</v>
      </c>
      <c r="E282" s="66" t="n">
        <v>4602.81982</v>
      </c>
      <c r="F282" s="67">
        <f>D282-E282</f>
        <v/>
      </c>
      <c r="G282" s="66">
        <f>F282^2</f>
        <v/>
      </c>
      <c r="H282" s="65" t="inlineStr"/>
      <c r="I282" s="65" t="inlineStr"/>
    </row>
    <row r="283">
      <c r="A283" s="68" t="n">
        <v>270</v>
      </c>
      <c r="B283" s="83" t="n">
        <v>269</v>
      </c>
      <c r="C283" s="83">
        <f>B283^2</f>
        <v/>
      </c>
      <c r="D283" s="69" t="n">
        <v>4615.72</v>
      </c>
      <c r="E283" s="69" t="n">
        <v>4603.02226</v>
      </c>
      <c r="F283" s="70">
        <f>D283-E283</f>
        <v/>
      </c>
      <c r="G283" s="69">
        <f>F283^2</f>
        <v/>
      </c>
      <c r="H283" s="68" t="inlineStr"/>
      <c r="I283" s="68" t="inlineStr"/>
    </row>
    <row r="284">
      <c r="A284" s="65" t="n">
        <v>271</v>
      </c>
      <c r="B284" s="82" t="n">
        <v>270</v>
      </c>
      <c r="C284" s="82">
        <f>B284^2</f>
        <v/>
      </c>
      <c r="D284" s="66" t="n">
        <v>4623.48</v>
      </c>
      <c r="E284" s="66" t="n">
        <v>4603.22471</v>
      </c>
      <c r="F284" s="67">
        <f>D284-E284</f>
        <v/>
      </c>
      <c r="G284" s="66">
        <f>F284^2</f>
        <v/>
      </c>
      <c r="H284" s="65" t="inlineStr"/>
      <c r="I284" s="65" t="inlineStr"/>
    </row>
    <row r="285">
      <c r="A285" s="68" t="n">
        <v>272</v>
      </c>
      <c r="B285" s="83" t="n">
        <v>271</v>
      </c>
      <c r="C285" s="83">
        <f>B285^2</f>
        <v/>
      </c>
      <c r="D285" s="69" t="n">
        <v>4622.32</v>
      </c>
      <c r="E285" s="69" t="n">
        <v>4603.42715</v>
      </c>
      <c r="F285" s="70">
        <f>D285-E285</f>
        <v/>
      </c>
      <c r="G285" s="69">
        <f>F285^2</f>
        <v/>
      </c>
      <c r="H285" s="68" t="inlineStr"/>
      <c r="I285" s="68" t="inlineStr"/>
    </row>
    <row r="286">
      <c r="A286" s="65" t="n">
        <v>273</v>
      </c>
      <c r="B286" s="82" t="n">
        <v>272</v>
      </c>
      <c r="C286" s="82">
        <f>B286^2</f>
        <v/>
      </c>
      <c r="D286" s="66" t="n">
        <v>4624.35</v>
      </c>
      <c r="E286" s="66" t="n">
        <v>4603.6296</v>
      </c>
      <c r="F286" s="67">
        <f>D286-E286</f>
        <v/>
      </c>
      <c r="G286" s="66">
        <f>F286^2</f>
        <v/>
      </c>
      <c r="H286" s="65" t="inlineStr"/>
      <c r="I286" s="65" t="inlineStr"/>
    </row>
    <row r="287">
      <c r="A287" s="68" t="n">
        <v>274</v>
      </c>
      <c r="B287" s="83" t="n">
        <v>273</v>
      </c>
      <c r="C287" s="83">
        <f>B287^2</f>
        <v/>
      </c>
      <c r="D287" s="69" t="n">
        <v>4626.3</v>
      </c>
      <c r="E287" s="69" t="n">
        <v>4603.83205</v>
      </c>
      <c r="F287" s="70">
        <f>D287-E287</f>
        <v/>
      </c>
      <c r="G287" s="69">
        <f>F287^2</f>
        <v/>
      </c>
      <c r="H287" s="68" t="inlineStr"/>
      <c r="I287" s="68" t="inlineStr"/>
    </row>
    <row r="288">
      <c r="A288" s="65" t="n">
        <v>275</v>
      </c>
      <c r="B288" s="82" t="n">
        <v>274</v>
      </c>
      <c r="C288" s="82">
        <f>B288^2</f>
        <v/>
      </c>
      <c r="D288" s="66" t="n">
        <v>4624.4</v>
      </c>
      <c r="E288" s="66" t="n">
        <v>4604.03449</v>
      </c>
      <c r="F288" s="67">
        <f>D288-E288</f>
        <v/>
      </c>
      <c r="G288" s="66">
        <f>F288^2</f>
        <v/>
      </c>
      <c r="H288" s="65" t="inlineStr"/>
      <c r="I288" s="65" t="inlineStr"/>
    </row>
    <row r="289">
      <c r="A289" s="68" t="n">
        <v>276</v>
      </c>
      <c r="B289" s="83" t="n">
        <v>275</v>
      </c>
      <c r="C289" s="83">
        <f>B289^2</f>
        <v/>
      </c>
      <c r="D289" s="69" t="n">
        <v>4611.78</v>
      </c>
      <c r="E289" s="69" t="n">
        <v>4604.23694</v>
      </c>
      <c r="F289" s="70">
        <f>D289-E289</f>
        <v/>
      </c>
      <c r="G289" s="69">
        <f>F289^2</f>
        <v/>
      </c>
      <c r="H289" s="68" t="inlineStr"/>
      <c r="I289" s="68" t="inlineStr"/>
    </row>
    <row r="290">
      <c r="A290" s="65" t="n">
        <v>277</v>
      </c>
      <c r="B290" s="82" t="n">
        <v>276</v>
      </c>
      <c r="C290" s="82">
        <f>B290^2</f>
        <v/>
      </c>
      <c r="D290" s="66" t="n">
        <v>4610.06</v>
      </c>
      <c r="E290" s="66" t="n">
        <v>4604.43938</v>
      </c>
      <c r="F290" s="67">
        <f>D290-E290</f>
        <v/>
      </c>
      <c r="G290" s="66">
        <f>F290^2</f>
        <v/>
      </c>
      <c r="H290" s="65" t="inlineStr"/>
      <c r="I290" s="65" t="inlineStr"/>
    </row>
    <row r="291">
      <c r="A291" s="68" t="n">
        <v>278</v>
      </c>
      <c r="B291" s="83" t="n">
        <v>277</v>
      </c>
      <c r="C291" s="83">
        <f>B291^2</f>
        <v/>
      </c>
      <c r="D291" s="69" t="n">
        <v>4611.41</v>
      </c>
      <c r="E291" s="69" t="n">
        <v>4604.64183</v>
      </c>
      <c r="F291" s="70">
        <f>D291-E291</f>
        <v/>
      </c>
      <c r="G291" s="69">
        <f>F291^2</f>
        <v/>
      </c>
      <c r="H291" s="68" t="inlineStr"/>
      <c r="I291" s="68" t="inlineStr"/>
    </row>
    <row r="292">
      <c r="A292" s="65" t="n">
        <v>279</v>
      </c>
      <c r="B292" s="82" t="n">
        <v>278</v>
      </c>
      <c r="C292" s="82">
        <f>B292^2</f>
        <v/>
      </c>
      <c r="D292" s="66" t="n">
        <v>4613.3</v>
      </c>
      <c r="E292" s="66" t="n">
        <v>4604.84427</v>
      </c>
      <c r="F292" s="67">
        <f>D292-E292</f>
        <v/>
      </c>
      <c r="G292" s="66">
        <f>F292^2</f>
        <v/>
      </c>
      <c r="H292" s="65" t="inlineStr"/>
      <c r="I292" s="65" t="inlineStr"/>
    </row>
    <row r="293">
      <c r="A293" s="68" t="n">
        <v>280</v>
      </c>
      <c r="B293" s="83" t="n">
        <v>279</v>
      </c>
      <c r="C293" s="83">
        <f>B293^2</f>
        <v/>
      </c>
      <c r="D293" s="69" t="n">
        <v>4613.77</v>
      </c>
      <c r="E293" s="69" t="n">
        <v>4605.04672</v>
      </c>
      <c r="F293" s="70">
        <f>D293-E293</f>
        <v/>
      </c>
      <c r="G293" s="69">
        <f>F293^2</f>
        <v/>
      </c>
      <c r="H293" s="68" t="inlineStr"/>
      <c r="I293" s="68" t="inlineStr"/>
    </row>
    <row r="294">
      <c r="A294" s="65" t="n">
        <v>281</v>
      </c>
      <c r="B294" s="82" t="n">
        <v>280</v>
      </c>
      <c r="C294" s="82">
        <f>B294^2</f>
        <v/>
      </c>
      <c r="D294" s="66" t="n">
        <v>4613.98</v>
      </c>
      <c r="E294" s="66" t="n">
        <v>4605.24917</v>
      </c>
      <c r="F294" s="67">
        <f>D294-E294</f>
        <v/>
      </c>
      <c r="G294" s="66">
        <f>F294^2</f>
        <v/>
      </c>
      <c r="H294" s="65" t="inlineStr"/>
      <c r="I294" s="65" t="inlineStr"/>
    </row>
    <row r="295">
      <c r="A295" s="68" t="n">
        <v>282</v>
      </c>
      <c r="B295" s="83" t="n">
        <v>281</v>
      </c>
      <c r="C295" s="83">
        <f>B295^2</f>
        <v/>
      </c>
      <c r="D295" s="69" t="n">
        <v>4623.11</v>
      </c>
      <c r="E295" s="69" t="n">
        <v>4605.45161</v>
      </c>
      <c r="F295" s="70">
        <f>D295-E295</f>
        <v/>
      </c>
      <c r="G295" s="69">
        <f>F295^2</f>
        <v/>
      </c>
      <c r="H295" s="68" t="inlineStr"/>
      <c r="I295" s="68" t="inlineStr"/>
    </row>
    <row r="296">
      <c r="A296" s="65" t="n">
        <v>283</v>
      </c>
      <c r="B296" s="82" t="n">
        <v>282</v>
      </c>
      <c r="C296" s="82">
        <f>B296^2</f>
        <v/>
      </c>
      <c r="D296" s="66" t="n">
        <v>4620.91</v>
      </c>
      <c r="E296" s="66" t="n">
        <v>4605.65406</v>
      </c>
      <c r="F296" s="67">
        <f>D296-E296</f>
        <v/>
      </c>
      <c r="G296" s="66">
        <f>F296^2</f>
        <v/>
      </c>
      <c r="H296" s="65" t="inlineStr"/>
      <c r="I296" s="65" t="inlineStr"/>
    </row>
    <row r="297">
      <c r="A297" s="68" t="n">
        <v>284</v>
      </c>
      <c r="B297" s="83" t="n">
        <v>283</v>
      </c>
      <c r="C297" s="83">
        <f>B297^2</f>
        <v/>
      </c>
      <c r="D297" s="69" t="n">
        <v>4628.2</v>
      </c>
      <c r="E297" s="69" t="n">
        <v>4605.8565</v>
      </c>
      <c r="F297" s="70">
        <f>D297-E297</f>
        <v/>
      </c>
      <c r="G297" s="69">
        <f>F297^2</f>
        <v/>
      </c>
      <c r="H297" s="68" t="inlineStr"/>
      <c r="I297" s="68" t="inlineStr"/>
    </row>
    <row r="298">
      <c r="A298" s="65" t="n">
        <v>285</v>
      </c>
      <c r="B298" s="82" t="n">
        <v>284</v>
      </c>
      <c r="C298" s="82">
        <f>B298^2</f>
        <v/>
      </c>
      <c r="D298" s="66" t="n">
        <v>4618.95</v>
      </c>
      <c r="E298" s="66" t="n">
        <v>4606.05895</v>
      </c>
      <c r="F298" s="67">
        <f>D298-E298</f>
        <v/>
      </c>
      <c r="G298" s="66">
        <f>F298^2</f>
        <v/>
      </c>
      <c r="H298" s="65" t="inlineStr"/>
      <c r="I298" s="65" t="inlineStr"/>
    </row>
    <row r="299">
      <c r="A299" s="68" t="n">
        <v>286</v>
      </c>
      <c r="B299" s="83" t="n">
        <v>285</v>
      </c>
      <c r="C299" s="83">
        <f>B299^2</f>
        <v/>
      </c>
      <c r="D299" s="69" t="n">
        <v>4615.08</v>
      </c>
      <c r="E299" s="69" t="n">
        <v>4606.26139</v>
      </c>
      <c r="F299" s="70">
        <f>D299-E299</f>
        <v/>
      </c>
      <c r="G299" s="69">
        <f>F299^2</f>
        <v/>
      </c>
      <c r="H299" s="68" t="inlineStr"/>
      <c r="I299" s="68" t="inlineStr"/>
    </row>
    <row r="300">
      <c r="A300" s="65" t="n">
        <v>287</v>
      </c>
      <c r="B300" s="82" t="n">
        <v>286</v>
      </c>
      <c r="C300" s="82">
        <f>B300^2</f>
        <v/>
      </c>
      <c r="D300" s="66" t="n">
        <v>4617.09</v>
      </c>
      <c r="E300" s="66" t="n">
        <v>4606.46384</v>
      </c>
      <c r="F300" s="67">
        <f>D300-E300</f>
        <v/>
      </c>
      <c r="G300" s="66">
        <f>F300^2</f>
        <v/>
      </c>
      <c r="H300" s="65" t="inlineStr"/>
      <c r="I300" s="65" t="inlineStr"/>
    </row>
    <row r="301">
      <c r="A301" s="68" t="n">
        <v>288</v>
      </c>
      <c r="B301" s="83" t="n">
        <v>287</v>
      </c>
      <c r="C301" s="83">
        <f>B301^2</f>
        <v/>
      </c>
      <c r="D301" s="69" t="n">
        <v>4613.63</v>
      </c>
      <c r="E301" s="69" t="n">
        <v>4606.66629</v>
      </c>
      <c r="F301" s="70">
        <f>D301-E301</f>
        <v/>
      </c>
      <c r="G301" s="69">
        <f>F301^2</f>
        <v/>
      </c>
      <c r="H301" s="68" t="inlineStr"/>
      <c r="I301" s="68" t="inlineStr"/>
    </row>
    <row r="302">
      <c r="A302" s="65" t="n">
        <v>289</v>
      </c>
      <c r="B302" s="82" t="n">
        <v>288</v>
      </c>
      <c r="C302" s="82">
        <f>B302^2</f>
        <v/>
      </c>
      <c r="D302" s="66" t="n">
        <v>4613.86</v>
      </c>
      <c r="E302" s="66" t="n">
        <v>4606.86873</v>
      </c>
      <c r="F302" s="67">
        <f>D302-E302</f>
        <v/>
      </c>
      <c r="G302" s="66">
        <f>F302^2</f>
        <v/>
      </c>
      <c r="H302" s="65" t="inlineStr"/>
      <c r="I302" s="65" t="inlineStr"/>
    </row>
    <row r="303">
      <c r="A303" s="68" t="n">
        <v>290</v>
      </c>
      <c r="B303" s="83" t="n">
        <v>289</v>
      </c>
      <c r="C303" s="83">
        <f>B303^2</f>
        <v/>
      </c>
      <c r="D303" s="69" t="n">
        <v>4612.3</v>
      </c>
      <c r="E303" s="69" t="n">
        <v>4607.07118</v>
      </c>
      <c r="F303" s="70">
        <f>D303-E303</f>
        <v/>
      </c>
      <c r="G303" s="69">
        <f>F303^2</f>
        <v/>
      </c>
      <c r="H303" s="68" t="inlineStr"/>
      <c r="I303" s="68" t="inlineStr"/>
    </row>
    <row r="304">
      <c r="A304" s="65" t="n">
        <v>291</v>
      </c>
      <c r="B304" s="82" t="n">
        <v>290</v>
      </c>
      <c r="C304" s="82">
        <f>B304^2</f>
        <v/>
      </c>
      <c r="D304" s="66" t="n">
        <v>4606.13</v>
      </c>
      <c r="E304" s="66" t="n">
        <v>4607.27362</v>
      </c>
      <c r="F304" s="67">
        <f>D304-E304</f>
        <v/>
      </c>
      <c r="G304" s="66">
        <f>F304^2</f>
        <v/>
      </c>
      <c r="H304" s="65" t="inlineStr"/>
      <c r="I304" s="65" t="inlineStr"/>
    </row>
    <row r="305">
      <c r="A305" s="68" t="n">
        <v>292</v>
      </c>
      <c r="B305" s="83" t="n">
        <v>291</v>
      </c>
      <c r="C305" s="83">
        <f>B305^2</f>
        <v/>
      </c>
      <c r="D305" s="69" t="n">
        <v>4605.86</v>
      </c>
      <c r="E305" s="69" t="n">
        <v>4607.47607</v>
      </c>
      <c r="F305" s="70">
        <f>D305-E305</f>
        <v/>
      </c>
      <c r="G305" s="69">
        <f>F305^2</f>
        <v/>
      </c>
      <c r="H305" s="68" t="inlineStr"/>
      <c r="I305" s="68" t="inlineStr"/>
    </row>
    <row r="306">
      <c r="A306" s="65" t="n">
        <v>293</v>
      </c>
      <c r="B306" s="82" t="n">
        <v>292</v>
      </c>
      <c r="C306" s="82">
        <f>B306^2</f>
        <v/>
      </c>
      <c r="D306" s="66" t="n">
        <v>4613.01</v>
      </c>
      <c r="E306" s="66" t="n">
        <v>4607.67851</v>
      </c>
      <c r="F306" s="67">
        <f>D306-E306</f>
        <v/>
      </c>
      <c r="G306" s="66">
        <f>F306^2</f>
        <v/>
      </c>
      <c r="H306" s="65" t="inlineStr"/>
      <c r="I306" s="65" t="inlineStr"/>
    </row>
    <row r="307">
      <c r="A307" s="68" t="n">
        <v>294</v>
      </c>
      <c r="B307" s="83" t="n">
        <v>293</v>
      </c>
      <c r="C307" s="83">
        <f>B307^2</f>
        <v/>
      </c>
      <c r="D307" s="69" t="n">
        <v>4600.58</v>
      </c>
      <c r="E307" s="69" t="n">
        <v>4607.88096</v>
      </c>
      <c r="F307" s="70">
        <f>D307-E307</f>
        <v/>
      </c>
      <c r="G307" s="69">
        <f>F307^2</f>
        <v/>
      </c>
      <c r="H307" s="68" t="inlineStr"/>
      <c r="I307" s="68" t="inlineStr"/>
    </row>
    <row r="308">
      <c r="A308" s="65" t="n">
        <v>295</v>
      </c>
      <c r="B308" s="82" t="n">
        <v>294</v>
      </c>
      <c r="C308" s="82">
        <f>B308^2</f>
        <v/>
      </c>
      <c r="D308" s="66" t="n">
        <v>4594.65</v>
      </c>
      <c r="E308" s="66" t="n">
        <v>4608.08341</v>
      </c>
      <c r="F308" s="67">
        <f>D308-E308</f>
        <v/>
      </c>
      <c r="G308" s="66">
        <f>F308^2</f>
        <v/>
      </c>
      <c r="H308" s="65" t="inlineStr"/>
      <c r="I308" s="65" t="inlineStr"/>
    </row>
    <row r="309">
      <c r="A309" s="68" t="n">
        <v>296</v>
      </c>
      <c r="B309" s="83" t="n">
        <v>295</v>
      </c>
      <c r="C309" s="83">
        <f>B309^2</f>
        <v/>
      </c>
      <c r="D309" s="69" t="n">
        <v>4601.59</v>
      </c>
      <c r="E309" s="69" t="n">
        <v>4608.28585</v>
      </c>
      <c r="F309" s="70">
        <f>D309-E309</f>
        <v/>
      </c>
      <c r="G309" s="69">
        <f>F309^2</f>
        <v/>
      </c>
      <c r="H309" s="68" t="inlineStr"/>
      <c r="I309" s="68" t="inlineStr"/>
    </row>
    <row r="310">
      <c r="A310" s="65" t="n">
        <v>297</v>
      </c>
      <c r="B310" s="82" t="n">
        <v>296</v>
      </c>
      <c r="C310" s="82">
        <f>B310^2</f>
        <v/>
      </c>
      <c r="D310" s="66" t="n">
        <v>4613.14</v>
      </c>
      <c r="E310" s="66" t="n">
        <v>4608.4883</v>
      </c>
      <c r="F310" s="67">
        <f>D310-E310</f>
        <v/>
      </c>
      <c r="G310" s="66">
        <f>F310^2</f>
        <v/>
      </c>
      <c r="H310" s="65" t="inlineStr"/>
      <c r="I310" s="65" t="inlineStr"/>
    </row>
    <row r="311">
      <c r="A311" s="68" t="n">
        <v>298</v>
      </c>
      <c r="B311" s="83" t="n">
        <v>297</v>
      </c>
      <c r="C311" s="83">
        <f>B311^2</f>
        <v/>
      </c>
      <c r="D311" s="69" t="n">
        <v>4608.34</v>
      </c>
      <c r="E311" s="69" t="n">
        <v>4608.69074</v>
      </c>
      <c r="F311" s="70">
        <f>D311-E311</f>
        <v/>
      </c>
      <c r="G311" s="69">
        <f>F311^2</f>
        <v/>
      </c>
      <c r="H311" s="68" t="inlineStr"/>
      <c r="I311" s="68" t="inlineStr"/>
    </row>
    <row r="312">
      <c r="A312" s="65" t="n">
        <v>299</v>
      </c>
      <c r="B312" s="82" t="n">
        <v>298</v>
      </c>
      <c r="C312" s="82">
        <f>B312^2</f>
        <v/>
      </c>
      <c r="D312" s="66" t="n">
        <v>4593.09</v>
      </c>
      <c r="E312" s="66" t="n">
        <v>4608.89319</v>
      </c>
      <c r="F312" s="67">
        <f>D312-E312</f>
        <v/>
      </c>
      <c r="G312" s="66">
        <f>F312^2</f>
        <v/>
      </c>
      <c r="H312" s="65" t="inlineStr"/>
      <c r="I312" s="65" t="inlineStr"/>
    </row>
    <row r="313">
      <c r="A313" s="68" t="n">
        <v>300</v>
      </c>
      <c r="B313" s="83" t="n">
        <v>299</v>
      </c>
      <c r="C313" s="83">
        <f>B313^2</f>
        <v/>
      </c>
      <c r="D313" s="69" t="n">
        <v>4603.32</v>
      </c>
      <c r="E313" s="69" t="n">
        <v>4609.09563</v>
      </c>
      <c r="F313" s="70">
        <f>D313-E313</f>
        <v/>
      </c>
      <c r="G313" s="69">
        <f>F313^2</f>
        <v/>
      </c>
      <c r="H313" s="68" t="inlineStr"/>
      <c r="I313" s="68" t="inlineStr"/>
    </row>
    <row r="314">
      <c r="A314" s="65" t="n">
        <v>301</v>
      </c>
      <c r="B314" s="82" t="n">
        <v>300</v>
      </c>
      <c r="C314" s="82">
        <f>B314^2</f>
        <v/>
      </c>
      <c r="D314" s="66" t="n">
        <v>4605.77</v>
      </c>
      <c r="E314" s="66" t="n">
        <v>4609.29808</v>
      </c>
      <c r="F314" s="67">
        <f>D314-E314</f>
        <v/>
      </c>
      <c r="G314" s="66">
        <f>F314^2</f>
        <v/>
      </c>
      <c r="H314" s="65" t="inlineStr"/>
      <c r="I314" s="65" t="inlineStr"/>
    </row>
    <row r="315">
      <c r="A315" s="68" t="n">
        <v>302</v>
      </c>
      <c r="B315" s="83" t="n">
        <v>301</v>
      </c>
      <c r="C315" s="83">
        <f>B315^2</f>
        <v/>
      </c>
      <c r="D315" s="69" t="n">
        <v>4610.07</v>
      </c>
      <c r="E315" s="69" t="n">
        <v>4609.50053</v>
      </c>
      <c r="F315" s="70">
        <f>D315-E315</f>
        <v/>
      </c>
      <c r="G315" s="69">
        <f>F315^2</f>
        <v/>
      </c>
      <c r="H315" s="68" t="inlineStr"/>
      <c r="I315" s="68" t="inlineStr"/>
    </row>
    <row r="316">
      <c r="A316" s="65" t="n">
        <v>303</v>
      </c>
      <c r="B316" s="82" t="n">
        <v>302</v>
      </c>
      <c r="C316" s="82">
        <f>B316^2</f>
        <v/>
      </c>
      <c r="D316" s="66" t="n">
        <v>4610.27</v>
      </c>
      <c r="E316" s="66" t="n">
        <v>4609.70297</v>
      </c>
      <c r="F316" s="67">
        <f>D316-E316</f>
        <v/>
      </c>
      <c r="G316" s="66">
        <f>F316^2</f>
        <v/>
      </c>
      <c r="H316" s="65" t="inlineStr"/>
      <c r="I316" s="65" t="inlineStr"/>
    </row>
    <row r="317">
      <c r="A317" s="68" t="n">
        <v>304</v>
      </c>
      <c r="B317" s="83" t="n">
        <v>303</v>
      </c>
      <c r="C317" s="83">
        <f>B317^2</f>
        <v/>
      </c>
      <c r="D317" s="69" t="n">
        <v>4605.07</v>
      </c>
      <c r="E317" s="69" t="n">
        <v>4609.90542</v>
      </c>
      <c r="F317" s="70">
        <f>D317-E317</f>
        <v/>
      </c>
      <c r="G317" s="69">
        <f>F317^2</f>
        <v/>
      </c>
      <c r="H317" s="68" t="inlineStr"/>
      <c r="I317" s="68" t="inlineStr"/>
    </row>
    <row r="318">
      <c r="A318" s="65" t="n">
        <v>305</v>
      </c>
      <c r="B318" s="82" t="n">
        <v>304</v>
      </c>
      <c r="C318" s="82">
        <f>B318^2</f>
        <v/>
      </c>
      <c r="D318" s="66" t="n">
        <v>4615.09</v>
      </c>
      <c r="E318" s="66" t="n">
        <v>4610.10786</v>
      </c>
      <c r="F318" s="67">
        <f>D318-E318</f>
        <v/>
      </c>
      <c r="G318" s="66">
        <f>F318^2</f>
        <v/>
      </c>
      <c r="H318" s="65" t="inlineStr"/>
      <c r="I318" s="65" t="inlineStr"/>
    </row>
    <row r="319">
      <c r="A319" s="68" t="n">
        <v>306</v>
      </c>
      <c r="B319" s="83" t="n">
        <v>305</v>
      </c>
      <c r="C319" s="83">
        <f>B319^2</f>
        <v/>
      </c>
      <c r="D319" s="69" t="n">
        <v>4611.19</v>
      </c>
      <c r="E319" s="69" t="n">
        <v>4610.31031</v>
      </c>
      <c r="F319" s="70">
        <f>D319-E319</f>
        <v/>
      </c>
      <c r="G319" s="69">
        <f>F319^2</f>
        <v/>
      </c>
      <c r="H319" s="68" t="inlineStr"/>
      <c r="I319" s="68" t="inlineStr"/>
    </row>
    <row r="320">
      <c r="A320" s="65" t="n">
        <v>307</v>
      </c>
      <c r="B320" s="82" t="n">
        <v>306</v>
      </c>
      <c r="C320" s="82">
        <f>B320^2</f>
        <v/>
      </c>
      <c r="D320" s="66" t="n">
        <v>4608.12</v>
      </c>
      <c r="E320" s="66" t="n">
        <v>4610.51275</v>
      </c>
      <c r="F320" s="67">
        <f>D320-E320</f>
        <v/>
      </c>
      <c r="G320" s="66">
        <f>F320^2</f>
        <v/>
      </c>
      <c r="H320" s="65" t="inlineStr"/>
      <c r="I320" s="65" t="inlineStr"/>
    </row>
    <row r="321">
      <c r="A321" s="68" t="n">
        <v>308</v>
      </c>
      <c r="B321" s="83" t="n">
        <v>307</v>
      </c>
      <c r="C321" s="83">
        <f>B321^2</f>
        <v/>
      </c>
      <c r="D321" s="69" t="n">
        <v>4609.32</v>
      </c>
      <c r="E321" s="69" t="n">
        <v>4610.7152</v>
      </c>
      <c r="F321" s="70">
        <f>D321-E321</f>
        <v/>
      </c>
      <c r="G321" s="69">
        <f>F321^2</f>
        <v/>
      </c>
      <c r="H321" s="68" t="inlineStr"/>
      <c r="I321" s="68" t="inlineStr"/>
    </row>
    <row r="322">
      <c r="A322" s="65" t="n">
        <v>309</v>
      </c>
      <c r="B322" s="82" t="n">
        <v>308</v>
      </c>
      <c r="C322" s="82">
        <f>B322^2</f>
        <v/>
      </c>
      <c r="D322" s="66" t="n">
        <v>4606</v>
      </c>
      <c r="E322" s="66" t="n">
        <v>4610.91765</v>
      </c>
      <c r="F322" s="67">
        <f>D322-E322</f>
        <v/>
      </c>
      <c r="G322" s="66">
        <f>F322^2</f>
        <v/>
      </c>
      <c r="H322" s="65" t="inlineStr"/>
      <c r="I322" s="65" t="inlineStr"/>
    </row>
    <row r="323">
      <c r="A323" s="68" t="n">
        <v>310</v>
      </c>
      <c r="B323" s="83" t="n">
        <v>309</v>
      </c>
      <c r="C323" s="83">
        <f>B323^2</f>
        <v/>
      </c>
      <c r="D323" s="69" t="n">
        <v>4603.74</v>
      </c>
      <c r="E323" s="69" t="n">
        <v>4611.12009</v>
      </c>
      <c r="F323" s="70">
        <f>D323-E323</f>
        <v/>
      </c>
      <c r="G323" s="69">
        <f>F323^2</f>
        <v/>
      </c>
      <c r="H323" s="68" t="inlineStr"/>
      <c r="I323" s="68" t="inlineStr"/>
    </row>
    <row r="324">
      <c r="A324" s="65" t="n">
        <v>311</v>
      </c>
      <c r="B324" s="82" t="n">
        <v>310</v>
      </c>
      <c r="C324" s="82">
        <f>B324^2</f>
        <v/>
      </c>
      <c r="D324" s="66" t="n">
        <v>4596.32</v>
      </c>
      <c r="E324" s="66" t="n">
        <v>4611.32254</v>
      </c>
      <c r="F324" s="67">
        <f>D324-E324</f>
        <v/>
      </c>
      <c r="G324" s="66">
        <f>F324^2</f>
        <v/>
      </c>
      <c r="H324" s="65" t="inlineStr"/>
      <c r="I324" s="65" t="inlineStr"/>
    </row>
    <row r="325">
      <c r="A325" s="68" t="n">
        <v>312</v>
      </c>
      <c r="B325" s="83" t="n">
        <v>311</v>
      </c>
      <c r="C325" s="83">
        <f>B325^2</f>
        <v/>
      </c>
      <c r="D325" s="69" t="n">
        <v>4598.85</v>
      </c>
      <c r="E325" s="69" t="n">
        <v>4611.52498</v>
      </c>
      <c r="F325" s="70">
        <f>D325-E325</f>
        <v/>
      </c>
      <c r="G325" s="69">
        <f>F325^2</f>
        <v/>
      </c>
      <c r="H325" s="68" t="inlineStr"/>
      <c r="I325" s="68" t="inlineStr"/>
    </row>
    <row r="326">
      <c r="A326" s="65" t="n">
        <v>313</v>
      </c>
      <c r="B326" s="82" t="n">
        <v>312</v>
      </c>
      <c r="C326" s="82">
        <f>B326^2</f>
        <v/>
      </c>
      <c r="D326" s="66" t="n">
        <v>4599.12</v>
      </c>
      <c r="E326" s="66" t="n">
        <v>4611.72743</v>
      </c>
      <c r="F326" s="67">
        <f>D326-E326</f>
        <v/>
      </c>
      <c r="G326" s="66">
        <f>F326^2</f>
        <v/>
      </c>
      <c r="H326" s="65" t="inlineStr"/>
      <c r="I326" s="65" t="inlineStr"/>
    </row>
    <row r="327">
      <c r="A327" s="68" t="n">
        <v>314</v>
      </c>
      <c r="B327" s="83" t="n">
        <v>313</v>
      </c>
      <c r="C327" s="83">
        <f>B327^2</f>
        <v/>
      </c>
      <c r="D327" s="69" t="n">
        <v>4597.44</v>
      </c>
      <c r="E327" s="69" t="n">
        <v>4611.92987</v>
      </c>
      <c r="F327" s="70">
        <f>D327-E327</f>
        <v/>
      </c>
      <c r="G327" s="69">
        <f>F327^2</f>
        <v/>
      </c>
      <c r="H327" s="68" t="inlineStr"/>
      <c r="I327" s="68" t="inlineStr"/>
    </row>
    <row r="328">
      <c r="A328" s="65" t="n">
        <v>315</v>
      </c>
      <c r="B328" s="82" t="n">
        <v>314</v>
      </c>
      <c r="C328" s="82">
        <f>B328^2</f>
        <v/>
      </c>
      <c r="D328" s="66" t="n">
        <v>4594.08</v>
      </c>
      <c r="E328" s="66" t="n">
        <v>4612.13232</v>
      </c>
      <c r="F328" s="67">
        <f>D328-E328</f>
        <v/>
      </c>
      <c r="G328" s="66">
        <f>F328^2</f>
        <v/>
      </c>
      <c r="H328" s="65" t="inlineStr"/>
      <c r="I328" s="65" t="inlineStr"/>
    </row>
    <row r="329">
      <c r="A329" s="68" t="n">
        <v>316</v>
      </c>
      <c r="B329" s="83" t="n">
        <v>315</v>
      </c>
      <c r="C329" s="83">
        <f>B329^2</f>
        <v/>
      </c>
      <c r="D329" s="69" t="n">
        <v>4585.46</v>
      </c>
      <c r="E329" s="69" t="n">
        <v>4612.33477</v>
      </c>
      <c r="F329" s="70">
        <f>D329-E329</f>
        <v/>
      </c>
      <c r="G329" s="69">
        <f>F329^2</f>
        <v/>
      </c>
      <c r="H329" s="68" t="inlineStr"/>
      <c r="I329" s="68" t="inlineStr"/>
    </row>
    <row r="330">
      <c r="A330" s="65" t="n">
        <v>317</v>
      </c>
      <c r="B330" s="82" t="n">
        <v>316</v>
      </c>
      <c r="C330" s="82">
        <f>B330^2</f>
        <v/>
      </c>
      <c r="D330" s="66" t="n">
        <v>4588.54</v>
      </c>
      <c r="E330" s="66" t="n">
        <v>4612.53721</v>
      </c>
      <c r="F330" s="67">
        <f>D330-E330</f>
        <v/>
      </c>
      <c r="G330" s="66">
        <f>F330^2</f>
        <v/>
      </c>
      <c r="H330" s="65" t="inlineStr"/>
      <c r="I330" s="65" t="inlineStr"/>
    </row>
    <row r="331">
      <c r="A331" s="68" t="n">
        <v>318</v>
      </c>
      <c r="B331" s="83" t="n">
        <v>317</v>
      </c>
      <c r="C331" s="83">
        <f>B331^2</f>
        <v/>
      </c>
      <c r="D331" s="69" t="n">
        <v>4592.16</v>
      </c>
      <c r="E331" s="69" t="n">
        <v>4612.73966</v>
      </c>
      <c r="F331" s="70">
        <f>D331-E331</f>
        <v/>
      </c>
      <c r="G331" s="69">
        <f>F331^2</f>
        <v/>
      </c>
      <c r="H331" s="68" t="inlineStr"/>
      <c r="I331" s="68" t="inlineStr"/>
    </row>
    <row r="332">
      <c r="A332" s="65" t="n">
        <v>319</v>
      </c>
      <c r="B332" s="82" t="n">
        <v>318</v>
      </c>
      <c r="C332" s="82">
        <f>B332^2</f>
        <v/>
      </c>
      <c r="D332" s="66" t="n">
        <v>4585.82</v>
      </c>
      <c r="E332" s="66" t="n">
        <v>4612.9421</v>
      </c>
      <c r="F332" s="67">
        <f>D332-E332</f>
        <v/>
      </c>
      <c r="G332" s="66">
        <f>F332^2</f>
        <v/>
      </c>
      <c r="H332" s="65" t="inlineStr"/>
      <c r="I332" s="65" t="inlineStr"/>
    </row>
    <row r="333">
      <c r="A333" s="68" t="n">
        <v>320</v>
      </c>
      <c r="B333" s="83" t="n">
        <v>319</v>
      </c>
      <c r="C333" s="83">
        <f>B333^2</f>
        <v/>
      </c>
      <c r="D333" s="69" t="n">
        <v>4587.99</v>
      </c>
      <c r="E333" s="69" t="n">
        <v>4613.14455</v>
      </c>
      <c r="F333" s="70">
        <f>D333-E333</f>
        <v/>
      </c>
      <c r="G333" s="69">
        <f>F333^2</f>
        <v/>
      </c>
      <c r="H333" s="68" t="inlineStr"/>
      <c r="I333" s="68" t="inlineStr"/>
    </row>
    <row r="334">
      <c r="A334" s="65" t="n">
        <v>321</v>
      </c>
      <c r="B334" s="82" t="n">
        <v>320</v>
      </c>
      <c r="C334" s="82">
        <f>B334^2</f>
        <v/>
      </c>
      <c r="D334" s="66" t="n">
        <v>4579.06</v>
      </c>
      <c r="E334" s="66" t="n">
        <v>4613.34699</v>
      </c>
      <c r="F334" s="67">
        <f>D334-E334</f>
        <v/>
      </c>
      <c r="G334" s="66">
        <f>F334^2</f>
        <v/>
      </c>
      <c r="H334" s="65" t="inlineStr"/>
      <c r="I334" s="65" t="inlineStr"/>
    </row>
    <row r="335">
      <c r="A335" s="68" t="n">
        <v>322</v>
      </c>
      <c r="B335" s="83" t="n">
        <v>321</v>
      </c>
      <c r="C335" s="83">
        <f>B335^2</f>
        <v/>
      </c>
      <c r="D335" s="69" t="n">
        <v>4580.25</v>
      </c>
      <c r="E335" s="69" t="n">
        <v>4613.54944</v>
      </c>
      <c r="F335" s="70">
        <f>D335-E335</f>
        <v/>
      </c>
      <c r="G335" s="69">
        <f>F335^2</f>
        <v/>
      </c>
      <c r="H335" s="68" t="inlineStr"/>
      <c r="I335" s="68" t="inlineStr"/>
    </row>
    <row r="336">
      <c r="A336" s="65" t="n">
        <v>323</v>
      </c>
      <c r="B336" s="82" t="n">
        <v>322</v>
      </c>
      <c r="C336" s="82">
        <f>B336^2</f>
        <v/>
      </c>
      <c r="D336" s="66" t="n">
        <v>4575.07</v>
      </c>
      <c r="E336" s="66" t="n">
        <v>4613.75189</v>
      </c>
      <c r="F336" s="67">
        <f>D336-E336</f>
        <v/>
      </c>
      <c r="G336" s="66">
        <f>F336^2</f>
        <v/>
      </c>
      <c r="H336" s="65" t="inlineStr"/>
      <c r="I336" s="65" t="inlineStr"/>
    </row>
    <row r="337">
      <c r="A337" s="68" t="n">
        <v>324</v>
      </c>
      <c r="B337" s="83" t="n">
        <v>323</v>
      </c>
      <c r="C337" s="83">
        <f>B337^2</f>
        <v/>
      </c>
      <c r="D337" s="69" t="n">
        <v>4578.09</v>
      </c>
      <c r="E337" s="69" t="n">
        <v>4613.95433</v>
      </c>
      <c r="F337" s="70">
        <f>D337-E337</f>
        <v/>
      </c>
      <c r="G337" s="69">
        <f>F337^2</f>
        <v/>
      </c>
      <c r="H337" s="68" t="inlineStr"/>
      <c r="I337" s="68" t="inlineStr"/>
    </row>
    <row r="338">
      <c r="A338" s="65" t="n">
        <v>325</v>
      </c>
      <c r="B338" s="82" t="n">
        <v>324</v>
      </c>
      <c r="C338" s="82">
        <f>B338^2</f>
        <v/>
      </c>
      <c r="D338" s="66" t="n">
        <v>4577.11</v>
      </c>
      <c r="E338" s="66" t="n">
        <v>4614.15678</v>
      </c>
      <c r="F338" s="67">
        <f>D338-E338</f>
        <v/>
      </c>
      <c r="G338" s="66">
        <f>F338^2</f>
        <v/>
      </c>
      <c r="H338" s="65" t="inlineStr"/>
      <c r="I338" s="65" t="inlineStr"/>
    </row>
    <row r="339">
      <c r="A339" s="68" t="n">
        <v>326</v>
      </c>
      <c r="B339" s="83" t="n">
        <v>325</v>
      </c>
      <c r="C339" s="83">
        <f>B339^2</f>
        <v/>
      </c>
      <c r="D339" s="69" t="n">
        <v>4584.21</v>
      </c>
      <c r="E339" s="69" t="n">
        <v>4614.35922</v>
      </c>
      <c r="F339" s="70">
        <f>D339-E339</f>
        <v/>
      </c>
      <c r="G339" s="69">
        <f>F339^2</f>
        <v/>
      </c>
      <c r="H339" s="68" t="inlineStr"/>
      <c r="I339" s="68" t="inlineStr"/>
    </row>
    <row r="340">
      <c r="A340" s="65" t="n">
        <v>327</v>
      </c>
      <c r="B340" s="82" t="n">
        <v>326</v>
      </c>
      <c r="C340" s="82">
        <f>B340^2</f>
        <v/>
      </c>
      <c r="D340" s="66" t="n">
        <v>4581.15</v>
      </c>
      <c r="E340" s="66" t="n">
        <v>4614.56167</v>
      </c>
      <c r="F340" s="67">
        <f>D340-E340</f>
        <v/>
      </c>
      <c r="G340" s="66">
        <f>F340^2</f>
        <v/>
      </c>
      <c r="H340" s="65" t="inlineStr"/>
      <c r="I340" s="65" t="inlineStr"/>
    </row>
    <row r="341">
      <c r="A341" s="68" t="n">
        <v>328</v>
      </c>
      <c r="B341" s="83" t="n">
        <v>327</v>
      </c>
      <c r="C341" s="83">
        <f>B341^2</f>
        <v/>
      </c>
      <c r="D341" s="69" t="n">
        <v>4581.26</v>
      </c>
      <c r="E341" s="69" t="n">
        <v>4614.76411</v>
      </c>
      <c r="F341" s="70">
        <f>D341-E341</f>
        <v/>
      </c>
      <c r="G341" s="69">
        <f>F341^2</f>
        <v/>
      </c>
      <c r="H341" s="68" t="inlineStr"/>
      <c r="I341" s="68" t="inlineStr"/>
    </row>
    <row r="342">
      <c r="A342" s="65" t="n">
        <v>329</v>
      </c>
      <c r="B342" s="82" t="n">
        <v>328</v>
      </c>
      <c r="C342" s="82">
        <f>B342^2</f>
        <v/>
      </c>
      <c r="D342" s="66" t="n">
        <v>4575.47</v>
      </c>
      <c r="E342" s="66" t="n">
        <v>4614.96656</v>
      </c>
      <c r="F342" s="67">
        <f>D342-E342</f>
        <v/>
      </c>
      <c r="G342" s="66">
        <f>F342^2</f>
        <v/>
      </c>
      <c r="H342" s="65" t="inlineStr"/>
      <c r="I342" s="65" t="inlineStr"/>
    </row>
    <row r="343">
      <c r="A343" s="68" t="n">
        <v>330</v>
      </c>
      <c r="B343" s="83" t="n">
        <v>329</v>
      </c>
      <c r="C343" s="83">
        <f>B343^2</f>
        <v/>
      </c>
      <c r="D343" s="69" t="n">
        <v>4541.79</v>
      </c>
      <c r="E343" s="69" t="n">
        <v>4615.169</v>
      </c>
      <c r="F343" s="70">
        <f>D343-E343</f>
        <v/>
      </c>
      <c r="G343" s="69">
        <f>F343^2</f>
        <v/>
      </c>
      <c r="H343" s="68" t="inlineStr"/>
      <c r="I343" s="68" t="inlineStr"/>
    </row>
    <row r="344">
      <c r="A344" s="65" t="n">
        <v>331</v>
      </c>
      <c r="B344" s="82" t="n">
        <v>330</v>
      </c>
      <c r="C344" s="82">
        <f>B344^2</f>
        <v/>
      </c>
      <c r="D344" s="66" t="n">
        <v>4545</v>
      </c>
      <c r="E344" s="66" t="n">
        <v>4615.37145</v>
      </c>
      <c r="F344" s="67">
        <f>D344-E344</f>
        <v/>
      </c>
      <c r="G344" s="66">
        <f>F344^2</f>
        <v/>
      </c>
      <c r="H344" s="65" t="inlineStr"/>
      <c r="I344" s="65" t="inlineStr"/>
    </row>
    <row r="345">
      <c r="A345" s="68" t="n">
        <v>332</v>
      </c>
      <c r="B345" s="83" t="n">
        <v>331</v>
      </c>
      <c r="C345" s="83">
        <f>B345^2</f>
        <v/>
      </c>
      <c r="D345" s="69" t="n">
        <v>4558.64</v>
      </c>
      <c r="E345" s="69" t="n">
        <v>4615.5739</v>
      </c>
      <c r="F345" s="70">
        <f>D345-E345</f>
        <v/>
      </c>
      <c r="G345" s="69">
        <f>F345^2</f>
        <v/>
      </c>
      <c r="H345" s="68" t="inlineStr"/>
      <c r="I345" s="68" t="inlineStr"/>
    </row>
    <row r="346">
      <c r="A346" s="65" t="n">
        <v>333</v>
      </c>
      <c r="B346" s="82" t="n">
        <v>332</v>
      </c>
      <c r="C346" s="82">
        <f>B346^2</f>
        <v/>
      </c>
      <c r="D346" s="66" t="n">
        <v>4562.67</v>
      </c>
      <c r="E346" s="66" t="n">
        <v>4615.77634</v>
      </c>
      <c r="F346" s="67">
        <f>D346-E346</f>
        <v/>
      </c>
      <c r="G346" s="66">
        <f>F346^2</f>
        <v/>
      </c>
      <c r="H346" s="65" t="inlineStr"/>
      <c r="I346" s="65" t="inlineStr"/>
    </row>
    <row r="347">
      <c r="A347" s="68" t="n">
        <v>334</v>
      </c>
      <c r="B347" s="83" t="n">
        <v>333</v>
      </c>
      <c r="C347" s="83">
        <f>B347^2</f>
        <v/>
      </c>
      <c r="D347" s="69" t="n">
        <v>4565.34</v>
      </c>
      <c r="E347" s="69" t="n">
        <v>4615.97879</v>
      </c>
      <c r="F347" s="70">
        <f>D347-E347</f>
        <v/>
      </c>
      <c r="G347" s="69">
        <f>F347^2</f>
        <v/>
      </c>
      <c r="H347" s="68" t="inlineStr"/>
      <c r="I347" s="68" t="inlineStr"/>
    </row>
    <row r="348">
      <c r="A348" s="65" t="n">
        <v>335</v>
      </c>
      <c r="B348" s="82" t="n">
        <v>334</v>
      </c>
      <c r="C348" s="82">
        <f>B348^2</f>
        <v/>
      </c>
      <c r="D348" s="66" t="n">
        <v>4562.26</v>
      </c>
      <c r="E348" s="66" t="n">
        <v>4616.18123</v>
      </c>
      <c r="F348" s="67">
        <f>D348-E348</f>
        <v/>
      </c>
      <c r="G348" s="66">
        <f>F348^2</f>
        <v/>
      </c>
      <c r="H348" s="65" t="inlineStr"/>
      <c r="I348" s="65" t="inlineStr"/>
    </row>
    <row r="349">
      <c r="A349" s="68" t="n">
        <v>336</v>
      </c>
      <c r="B349" s="83" t="n">
        <v>335</v>
      </c>
      <c r="C349" s="83">
        <f>B349^2</f>
        <v/>
      </c>
      <c r="D349" s="69" t="n">
        <v>4553.65</v>
      </c>
      <c r="E349" s="69" t="n">
        <v>4616.38368</v>
      </c>
      <c r="F349" s="70">
        <f>D349-E349</f>
        <v/>
      </c>
      <c r="G349" s="69">
        <f>F349^2</f>
        <v/>
      </c>
      <c r="H349" s="68" t="inlineStr"/>
      <c r="I349" s="68" t="inlineStr"/>
    </row>
    <row r="350">
      <c r="A350" s="65" t="n">
        <v>337</v>
      </c>
      <c r="B350" s="82" t="n">
        <v>336</v>
      </c>
      <c r="C350" s="82">
        <f>B350^2</f>
        <v/>
      </c>
      <c r="D350" s="66" t="n">
        <v>4559.94</v>
      </c>
      <c r="E350" s="66" t="n">
        <v>4616.58612</v>
      </c>
      <c r="F350" s="67">
        <f>D350-E350</f>
        <v/>
      </c>
      <c r="G350" s="66">
        <f>F350^2</f>
        <v/>
      </c>
      <c r="H350" s="65" t="inlineStr"/>
      <c r="I350" s="65" t="inlineStr"/>
    </row>
    <row r="351">
      <c r="A351" s="68" t="n">
        <v>338</v>
      </c>
      <c r="B351" s="83" t="n">
        <v>337</v>
      </c>
      <c r="C351" s="83">
        <f>B351^2</f>
        <v/>
      </c>
      <c r="D351" s="69" t="n">
        <v>4563.67</v>
      </c>
      <c r="E351" s="69" t="n">
        <v>4616.78857</v>
      </c>
      <c r="F351" s="70">
        <f>D351-E351</f>
        <v/>
      </c>
      <c r="G351" s="69">
        <f>F351^2</f>
        <v/>
      </c>
      <c r="H351" s="68" t="inlineStr"/>
      <c r="I351" s="68" t="inlineStr"/>
    </row>
    <row r="352">
      <c r="A352" s="65" t="n">
        <v>339</v>
      </c>
      <c r="B352" s="82" t="n">
        <v>338</v>
      </c>
      <c r="C352" s="82">
        <f>B352^2</f>
        <v/>
      </c>
      <c r="D352" s="66" t="n">
        <v>4568.68</v>
      </c>
      <c r="E352" s="66" t="n">
        <v>4616.99102</v>
      </c>
      <c r="F352" s="67">
        <f>D352-E352</f>
        <v/>
      </c>
      <c r="G352" s="66">
        <f>F352^2</f>
        <v/>
      </c>
      <c r="H352" s="65" t="inlineStr"/>
      <c r="I352" s="65" t="inlineStr"/>
    </row>
    <row r="353">
      <c r="A353" s="68" t="n">
        <v>340</v>
      </c>
      <c r="B353" s="83" t="n">
        <v>339</v>
      </c>
      <c r="C353" s="83">
        <f>B353^2</f>
        <v/>
      </c>
      <c r="D353" s="69" t="n">
        <v>4570.1</v>
      </c>
      <c r="E353" s="69" t="n">
        <v>4617.19346</v>
      </c>
      <c r="F353" s="70">
        <f>D353-E353</f>
        <v/>
      </c>
      <c r="G353" s="69">
        <f>F353^2</f>
        <v/>
      </c>
      <c r="H353" s="68" t="inlineStr"/>
      <c r="I353" s="68" t="inlineStr"/>
    </row>
    <row r="354">
      <c r="A354" s="65" t="n">
        <v>341</v>
      </c>
      <c r="B354" s="82" t="n">
        <v>340</v>
      </c>
      <c r="C354" s="82">
        <f>B354^2</f>
        <v/>
      </c>
      <c r="D354" s="66" t="n">
        <v>4568.79</v>
      </c>
      <c r="E354" s="66" t="n">
        <v>4617.39591</v>
      </c>
      <c r="F354" s="67">
        <f>D354-E354</f>
        <v/>
      </c>
      <c r="G354" s="66">
        <f>F354^2</f>
        <v/>
      </c>
      <c r="H354" s="65" t="inlineStr"/>
      <c r="I354" s="65" t="inlineStr"/>
    </row>
    <row r="355">
      <c r="A355" s="68" t="n">
        <v>342</v>
      </c>
      <c r="B355" s="83" t="n">
        <v>341</v>
      </c>
      <c r="C355" s="83">
        <f>B355^2</f>
        <v/>
      </c>
      <c r="D355" s="69" t="n">
        <v>4565.98</v>
      </c>
      <c r="E355" s="69" t="n">
        <v>4617.59835</v>
      </c>
      <c r="F355" s="70">
        <f>D355-E355</f>
        <v/>
      </c>
      <c r="G355" s="69">
        <f>F355^2</f>
        <v/>
      </c>
      <c r="H355" s="68" t="inlineStr"/>
      <c r="I355" s="68" t="inlineStr"/>
    </row>
    <row r="356">
      <c r="A356" s="65" t="n">
        <v>343</v>
      </c>
      <c r="B356" s="82" t="n">
        <v>342</v>
      </c>
      <c r="C356" s="82">
        <f>B356^2</f>
        <v/>
      </c>
      <c r="D356" s="66" t="n">
        <v>4561.09</v>
      </c>
      <c r="E356" s="66" t="n">
        <v>4617.8008</v>
      </c>
      <c r="F356" s="67">
        <f>D356-E356</f>
        <v/>
      </c>
      <c r="G356" s="66">
        <f>F356^2</f>
        <v/>
      </c>
      <c r="H356" s="65" t="inlineStr"/>
      <c r="I356" s="65" t="inlineStr"/>
    </row>
    <row r="357">
      <c r="A357" s="68" t="n">
        <v>344</v>
      </c>
      <c r="B357" s="83" t="n">
        <v>343</v>
      </c>
      <c r="C357" s="83">
        <f>B357^2</f>
        <v/>
      </c>
      <c r="D357" s="69" t="n">
        <v>4565.51</v>
      </c>
      <c r="E357" s="69" t="n">
        <v>4618.00324</v>
      </c>
      <c r="F357" s="70">
        <f>D357-E357</f>
        <v/>
      </c>
      <c r="G357" s="69">
        <f>F357^2</f>
        <v/>
      </c>
      <c r="H357" s="68" t="inlineStr"/>
      <c r="I357" s="68" t="inlineStr"/>
    </row>
    <row r="358">
      <c r="A358" s="65" t="n">
        <v>345</v>
      </c>
      <c r="B358" s="82" t="n">
        <v>344</v>
      </c>
      <c r="C358" s="82">
        <f>B358^2</f>
        <v/>
      </c>
      <c r="D358" s="66" t="n">
        <v>4563.85</v>
      </c>
      <c r="E358" s="66" t="n">
        <v>4618.20569</v>
      </c>
      <c r="F358" s="67">
        <f>D358-E358</f>
        <v/>
      </c>
      <c r="G358" s="66">
        <f>F358^2</f>
        <v/>
      </c>
      <c r="H358" s="65" t="inlineStr"/>
      <c r="I358" s="65" t="inlineStr"/>
    </row>
    <row r="359">
      <c r="A359" s="68" t="n">
        <v>346</v>
      </c>
      <c r="B359" s="83" t="n">
        <v>345</v>
      </c>
      <c r="C359" s="83">
        <f>B359^2</f>
        <v/>
      </c>
      <c r="D359" s="69" t="n">
        <v>4560.18</v>
      </c>
      <c r="E359" s="69" t="n">
        <v>4618.40814</v>
      </c>
      <c r="F359" s="70">
        <f>D359-E359</f>
        <v/>
      </c>
      <c r="G359" s="69">
        <f>F359^2</f>
        <v/>
      </c>
      <c r="H359" s="68" t="inlineStr"/>
      <c r="I359" s="68" t="inlineStr"/>
    </row>
    <row r="360">
      <c r="A360" s="65" t="n">
        <v>347</v>
      </c>
      <c r="B360" s="82" t="n">
        <v>346</v>
      </c>
      <c r="C360" s="82">
        <f>B360^2</f>
        <v/>
      </c>
      <c r="D360" s="66" t="n">
        <v>4571.2</v>
      </c>
      <c r="E360" s="66" t="n">
        <v>4618.61058</v>
      </c>
      <c r="F360" s="67">
        <f>D360-E360</f>
        <v/>
      </c>
      <c r="G360" s="66">
        <f>F360^2</f>
        <v/>
      </c>
      <c r="H360" s="65" t="inlineStr"/>
      <c r="I360" s="65" t="inlineStr"/>
    </row>
    <row r="361">
      <c r="A361" s="68" t="n">
        <v>348</v>
      </c>
      <c r="B361" s="83" t="n">
        <v>347</v>
      </c>
      <c r="C361" s="83">
        <f>B361^2</f>
        <v/>
      </c>
      <c r="D361" s="69" t="n">
        <v>4574.38</v>
      </c>
      <c r="E361" s="69" t="n">
        <v>4618.81303</v>
      </c>
      <c r="F361" s="70">
        <f>D361-E361</f>
        <v/>
      </c>
      <c r="G361" s="69">
        <f>F361^2</f>
        <v/>
      </c>
      <c r="H361" s="68" t="inlineStr"/>
      <c r="I361" s="68" t="inlineStr"/>
    </row>
    <row r="362">
      <c r="A362" s="65" t="n">
        <v>349</v>
      </c>
      <c r="B362" s="82" t="n">
        <v>348</v>
      </c>
      <c r="C362" s="82">
        <f>B362^2</f>
        <v/>
      </c>
      <c r="D362" s="66" t="n">
        <v>4561.26</v>
      </c>
      <c r="E362" s="66" t="n">
        <v>4619.01547</v>
      </c>
      <c r="F362" s="67">
        <f>D362-E362</f>
        <v/>
      </c>
      <c r="G362" s="66">
        <f>F362^2</f>
        <v/>
      </c>
      <c r="H362" s="65" t="inlineStr"/>
      <c r="I362" s="65" t="inlineStr"/>
    </row>
    <row r="363">
      <c r="A363" s="68" t="n">
        <v>350</v>
      </c>
      <c r="B363" s="83" t="n">
        <v>349</v>
      </c>
      <c r="C363" s="83">
        <f>B363^2</f>
        <v/>
      </c>
      <c r="D363" s="69" t="n">
        <v>4548.46</v>
      </c>
      <c r="E363" s="69" t="n">
        <v>4619.21792</v>
      </c>
      <c r="F363" s="70">
        <f>D363-E363</f>
        <v/>
      </c>
      <c r="G363" s="69">
        <f>F363^2</f>
        <v/>
      </c>
      <c r="H363" s="68" t="inlineStr"/>
      <c r="I363" s="68" t="inlineStr"/>
    </row>
    <row r="364">
      <c r="A364" s="65" t="n">
        <v>351</v>
      </c>
      <c r="B364" s="82" t="n">
        <v>350</v>
      </c>
      <c r="C364" s="82">
        <f>B364^2</f>
        <v/>
      </c>
      <c r="D364" s="66" t="n">
        <v>4537.95</v>
      </c>
      <c r="E364" s="66" t="n">
        <v>4619.42036</v>
      </c>
      <c r="F364" s="67">
        <f>D364-E364</f>
        <v/>
      </c>
      <c r="G364" s="66">
        <f>F364^2</f>
        <v/>
      </c>
      <c r="H364" s="65" t="inlineStr"/>
      <c r="I364" s="65" t="inlineStr"/>
    </row>
    <row r="365">
      <c r="A365" s="68" t="n">
        <v>352</v>
      </c>
      <c r="B365" s="83" t="n">
        <v>351</v>
      </c>
      <c r="C365" s="83">
        <f>B365^2</f>
        <v/>
      </c>
      <c r="D365" s="69" t="n">
        <v>4535.1</v>
      </c>
      <c r="E365" s="69" t="n">
        <v>4619.62281</v>
      </c>
      <c r="F365" s="70">
        <f>D365-E365</f>
        <v/>
      </c>
      <c r="G365" s="69">
        <f>F365^2</f>
        <v/>
      </c>
      <c r="H365" s="68" t="inlineStr"/>
      <c r="I365" s="68" t="inlineStr"/>
    </row>
    <row r="366">
      <c r="A366" s="65" t="n">
        <v>353</v>
      </c>
      <c r="B366" s="82" t="n">
        <v>352</v>
      </c>
      <c r="C366" s="82">
        <f>B366^2</f>
        <v/>
      </c>
      <c r="D366" s="66" t="n">
        <v>4521.33</v>
      </c>
      <c r="E366" s="66" t="n">
        <v>4619.82526</v>
      </c>
      <c r="F366" s="67">
        <f>D366-E366</f>
        <v/>
      </c>
      <c r="G366" s="66">
        <f>F366^2</f>
        <v/>
      </c>
      <c r="H366" s="65" t="inlineStr"/>
      <c r="I366" s="65" t="inlineStr"/>
    </row>
    <row r="367">
      <c r="A367" s="68" t="n">
        <v>354</v>
      </c>
      <c r="B367" s="83" t="n">
        <v>353</v>
      </c>
      <c r="C367" s="83">
        <f>B367^2</f>
        <v/>
      </c>
      <c r="D367" s="69" t="n">
        <v>4509.88</v>
      </c>
      <c r="E367" s="69" t="n">
        <v>4620.0277</v>
      </c>
      <c r="F367" s="70">
        <f>D367-E367</f>
        <v/>
      </c>
      <c r="G367" s="69">
        <f>F367^2</f>
        <v/>
      </c>
      <c r="H367" s="68" t="inlineStr"/>
      <c r="I367" s="68" t="inlineStr"/>
    </row>
    <row r="368">
      <c r="A368" s="65" t="n">
        <v>355</v>
      </c>
      <c r="B368" s="82" t="n">
        <v>354</v>
      </c>
      <c r="C368" s="82">
        <f>B368^2</f>
        <v/>
      </c>
      <c r="D368" s="66" t="n">
        <v>4515.03</v>
      </c>
      <c r="E368" s="66" t="n">
        <v>4620.23015</v>
      </c>
      <c r="F368" s="67">
        <f>D368-E368</f>
        <v/>
      </c>
      <c r="G368" s="66">
        <f>F368^2</f>
        <v/>
      </c>
      <c r="H368" s="65" t="inlineStr"/>
      <c r="I368" s="65" t="inlineStr"/>
    </row>
    <row r="369">
      <c r="A369" s="68" t="n">
        <v>356</v>
      </c>
      <c r="B369" s="83" t="n">
        <v>355</v>
      </c>
      <c r="C369" s="83">
        <f>B369^2</f>
        <v/>
      </c>
      <c r="D369" s="69" t="n">
        <v>4512.59</v>
      </c>
      <c r="E369" s="69" t="n">
        <v>4620.43259</v>
      </c>
      <c r="F369" s="70">
        <f>D369-E369</f>
        <v/>
      </c>
      <c r="G369" s="69">
        <f>F369^2</f>
        <v/>
      </c>
      <c r="H369" s="68" t="inlineStr"/>
      <c r="I369" s="68" t="inlineStr"/>
    </row>
    <row r="370">
      <c r="A370" s="65" t="n">
        <v>357</v>
      </c>
      <c r="B370" s="82" t="n">
        <v>356</v>
      </c>
      <c r="C370" s="82">
        <f>B370^2</f>
        <v/>
      </c>
      <c r="D370" s="66" t="n">
        <v>4510.69</v>
      </c>
      <c r="E370" s="66" t="n">
        <v>4620.63504</v>
      </c>
      <c r="F370" s="67">
        <f>D370-E370</f>
        <v/>
      </c>
      <c r="G370" s="66">
        <f>F370^2</f>
        <v/>
      </c>
      <c r="H370" s="65" t="inlineStr"/>
      <c r="I370" s="65" t="inlineStr"/>
    </row>
    <row r="371">
      <c r="A371" s="68" t="n">
        <v>358</v>
      </c>
      <c r="B371" s="83" t="n">
        <v>357</v>
      </c>
      <c r="C371" s="83">
        <f>B371^2</f>
        <v/>
      </c>
      <c r="D371" s="69" t="n">
        <v>4522.39</v>
      </c>
      <c r="E371" s="69" t="n">
        <v>4620.83748</v>
      </c>
      <c r="F371" s="70">
        <f>D371-E371</f>
        <v/>
      </c>
      <c r="G371" s="69">
        <f>F371^2</f>
        <v/>
      </c>
      <c r="H371" s="68" t="inlineStr"/>
      <c r="I371" s="68" t="inlineStr"/>
    </row>
    <row r="372">
      <c r="A372" s="65" t="n">
        <v>359</v>
      </c>
      <c r="B372" s="82" t="n">
        <v>358</v>
      </c>
      <c r="C372" s="82">
        <f>B372^2</f>
        <v/>
      </c>
      <c r="D372" s="66" t="n">
        <v>4524.38</v>
      </c>
      <c r="E372" s="66" t="n">
        <v>4621.03993</v>
      </c>
      <c r="F372" s="67">
        <f>D372-E372</f>
        <v/>
      </c>
      <c r="G372" s="66">
        <f>F372^2</f>
        <v/>
      </c>
      <c r="H372" s="65" t="inlineStr"/>
      <c r="I372" s="65" t="inlineStr"/>
    </row>
    <row r="373">
      <c r="A373" s="68" t="n">
        <v>360</v>
      </c>
      <c r="B373" s="83" t="n">
        <v>359</v>
      </c>
      <c r="C373" s="83">
        <f>B373^2</f>
        <v/>
      </c>
      <c r="D373" s="69" t="n">
        <v>4526.1</v>
      </c>
      <c r="E373" s="69" t="n">
        <v>4621.24238</v>
      </c>
      <c r="F373" s="70">
        <f>D373-E373</f>
        <v/>
      </c>
      <c r="G373" s="69">
        <f>F373^2</f>
        <v/>
      </c>
      <c r="H373" s="68" t="inlineStr"/>
      <c r="I373" s="68" t="inlineStr"/>
    </row>
    <row r="374">
      <c r="A374" s="65" t="n">
        <v>361</v>
      </c>
      <c r="B374" s="82" t="n">
        <v>360</v>
      </c>
      <c r="C374" s="82">
        <f>B374^2</f>
        <v/>
      </c>
      <c r="D374" s="66" t="n">
        <v>4522.35</v>
      </c>
      <c r="E374" s="66" t="n">
        <v>4621.44482</v>
      </c>
      <c r="F374" s="67">
        <f>D374-E374</f>
        <v/>
      </c>
      <c r="G374" s="66">
        <f>F374^2</f>
        <v/>
      </c>
      <c r="H374" s="65" t="inlineStr"/>
      <c r="I374" s="65" t="inlineStr"/>
    </row>
    <row r="375">
      <c r="A375" s="68" t="n">
        <v>362</v>
      </c>
      <c r="B375" s="83" t="n">
        <v>361</v>
      </c>
      <c r="C375" s="83">
        <f>B375^2</f>
        <v/>
      </c>
      <c r="D375" s="69" t="n">
        <v>4520.01</v>
      </c>
      <c r="E375" s="69" t="n">
        <v>4621.64727</v>
      </c>
      <c r="F375" s="70">
        <f>D375-E375</f>
        <v/>
      </c>
      <c r="G375" s="69">
        <f>F375^2</f>
        <v/>
      </c>
      <c r="H375" s="68" t="inlineStr"/>
      <c r="I375" s="68" t="inlineStr"/>
    </row>
    <row r="376">
      <c r="A376" s="65" t="n">
        <v>363</v>
      </c>
      <c r="B376" s="82" t="n">
        <v>362</v>
      </c>
      <c r="C376" s="82">
        <f>B376^2</f>
        <v/>
      </c>
      <c r="D376" s="66" t="n">
        <v>4511.95</v>
      </c>
      <c r="E376" s="66" t="n">
        <v>4621.84971</v>
      </c>
      <c r="F376" s="67">
        <f>D376-E376</f>
        <v/>
      </c>
      <c r="G376" s="66">
        <f>F376^2</f>
        <v/>
      </c>
      <c r="H376" s="65" t="inlineStr"/>
      <c r="I376" s="65" t="inlineStr"/>
    </row>
    <row r="377">
      <c r="A377" s="68" t="n">
        <v>364</v>
      </c>
      <c r="B377" s="83" t="n">
        <v>363</v>
      </c>
      <c r="C377" s="83">
        <f>B377^2</f>
        <v/>
      </c>
      <c r="D377" s="69" t="n">
        <v>4511.86</v>
      </c>
      <c r="E377" s="69" t="n">
        <v>4622.05216</v>
      </c>
      <c r="F377" s="70">
        <f>D377-E377</f>
        <v/>
      </c>
      <c r="G377" s="69">
        <f>F377^2</f>
        <v/>
      </c>
      <c r="H377" s="68" t="inlineStr"/>
      <c r="I377" s="68" t="inlineStr"/>
    </row>
    <row r="378">
      <c r="A378" s="65" t="n">
        <v>365</v>
      </c>
      <c r="B378" s="82" t="n">
        <v>364</v>
      </c>
      <c r="C378" s="82">
        <f>B378^2</f>
        <v/>
      </c>
      <c r="D378" s="66" t="n">
        <v>4516.4</v>
      </c>
      <c r="E378" s="66" t="n">
        <v>4622.2546</v>
      </c>
      <c r="F378" s="67">
        <f>D378-E378</f>
        <v/>
      </c>
      <c r="G378" s="66">
        <f>F378^2</f>
        <v/>
      </c>
      <c r="H378" s="65" t="inlineStr"/>
      <c r="I378" s="65" t="inlineStr"/>
    </row>
    <row r="379">
      <c r="A379" s="68" t="n">
        <v>366</v>
      </c>
      <c r="B379" s="83" t="n">
        <v>365</v>
      </c>
      <c r="C379" s="83">
        <f>B379^2</f>
        <v/>
      </c>
      <c r="D379" s="69" t="n">
        <v>4519.05</v>
      </c>
      <c r="E379" s="69" t="n">
        <v>4622.45705</v>
      </c>
      <c r="F379" s="70">
        <f>D379-E379</f>
        <v/>
      </c>
      <c r="G379" s="69">
        <f>F379^2</f>
        <v/>
      </c>
      <c r="H379" s="68" t="inlineStr"/>
      <c r="I379" s="68" t="inlineStr"/>
    </row>
    <row r="380">
      <c r="A380" s="65" t="n">
        <v>367</v>
      </c>
      <c r="B380" s="82" t="n">
        <v>366</v>
      </c>
      <c r="C380" s="82">
        <f>B380^2</f>
        <v/>
      </c>
      <c r="D380" s="66" t="n">
        <v>4522.42</v>
      </c>
      <c r="E380" s="66" t="n">
        <v>4622.6595</v>
      </c>
      <c r="F380" s="67">
        <f>D380-E380</f>
        <v/>
      </c>
      <c r="G380" s="66">
        <f>F380^2</f>
        <v/>
      </c>
      <c r="H380" s="65" t="inlineStr"/>
      <c r="I380" s="65" t="inlineStr"/>
    </row>
    <row r="381">
      <c r="A381" s="68" t="n">
        <v>368</v>
      </c>
      <c r="B381" s="83" t="n">
        <v>367</v>
      </c>
      <c r="C381" s="83">
        <f>B381^2</f>
        <v/>
      </c>
      <c r="D381" s="69" t="n">
        <v>4521.16</v>
      </c>
      <c r="E381" s="69" t="n">
        <v>4622.86194</v>
      </c>
      <c r="F381" s="70">
        <f>D381-E381</f>
        <v/>
      </c>
      <c r="G381" s="69">
        <f>F381^2</f>
        <v/>
      </c>
      <c r="H381" s="68" t="inlineStr"/>
      <c r="I381" s="68" t="inlineStr"/>
    </row>
    <row r="382">
      <c r="A382" s="65" t="n">
        <v>369</v>
      </c>
      <c r="B382" s="82" t="n">
        <v>368</v>
      </c>
      <c r="C382" s="82">
        <f>B382^2</f>
        <v/>
      </c>
      <c r="D382" s="66" t="n">
        <v>4517.46</v>
      </c>
      <c r="E382" s="66" t="n">
        <v>4623.06439</v>
      </c>
      <c r="F382" s="67">
        <f>D382-E382</f>
        <v/>
      </c>
      <c r="G382" s="66">
        <f>F382^2</f>
        <v/>
      </c>
      <c r="H382" s="65" t="inlineStr"/>
      <c r="I382" s="65" t="inlineStr"/>
    </row>
    <row r="383">
      <c r="A383" s="68" t="n">
        <v>370</v>
      </c>
      <c r="B383" s="83" t="n">
        <v>369</v>
      </c>
      <c r="C383" s="83">
        <f>B383^2</f>
        <v/>
      </c>
      <c r="D383" s="69" t="n">
        <v>4514.74</v>
      </c>
      <c r="E383" s="69" t="n">
        <v>4623.26683</v>
      </c>
      <c r="F383" s="70">
        <f>D383-E383</f>
        <v/>
      </c>
      <c r="G383" s="69">
        <f>F383^2</f>
        <v/>
      </c>
      <c r="H383" s="68" t="inlineStr"/>
      <c r="I383" s="68" t="inlineStr"/>
    </row>
    <row r="384">
      <c r="A384" s="65" t="n">
        <v>371</v>
      </c>
      <c r="B384" s="82" t="n">
        <v>370</v>
      </c>
      <c r="C384" s="82">
        <f>B384^2</f>
        <v/>
      </c>
      <c r="D384" s="66" t="n">
        <v>4515.21</v>
      </c>
      <c r="E384" s="66" t="n">
        <v>4623.46928</v>
      </c>
      <c r="F384" s="67">
        <f>D384-E384</f>
        <v/>
      </c>
      <c r="G384" s="66">
        <f>F384^2</f>
        <v/>
      </c>
      <c r="H384" s="65" t="inlineStr"/>
      <c r="I384" s="65" t="inlineStr"/>
    </row>
    <row r="385">
      <c r="A385" s="68" t="n">
        <v>372</v>
      </c>
      <c r="B385" s="83" t="n">
        <v>371</v>
      </c>
      <c r="C385" s="83">
        <f>B385^2</f>
        <v/>
      </c>
      <c r="D385" s="69" t="n">
        <v>4518.75</v>
      </c>
      <c r="E385" s="69" t="n">
        <v>4623.67172</v>
      </c>
      <c r="F385" s="70">
        <f>D385-E385</f>
        <v/>
      </c>
      <c r="G385" s="69">
        <f>F385^2</f>
        <v/>
      </c>
      <c r="H385" s="68" t="inlineStr"/>
      <c r="I385" s="68" t="inlineStr"/>
    </row>
    <row r="386">
      <c r="A386" s="65" t="n">
        <v>373</v>
      </c>
      <c r="B386" s="82" t="n">
        <v>372</v>
      </c>
      <c r="C386" s="82">
        <f>B386^2</f>
        <v/>
      </c>
      <c r="D386" s="66" t="n">
        <v>4523.84</v>
      </c>
      <c r="E386" s="66" t="n">
        <v>4623.87417</v>
      </c>
      <c r="F386" s="67">
        <f>D386-E386</f>
        <v/>
      </c>
      <c r="G386" s="66">
        <f>F386^2</f>
        <v/>
      </c>
      <c r="H386" s="65" t="inlineStr"/>
      <c r="I386" s="65" t="inlineStr"/>
    </row>
    <row r="387">
      <c r="A387" s="68" t="n">
        <v>374</v>
      </c>
      <c r="B387" s="83" t="n">
        <v>373</v>
      </c>
      <c r="C387" s="83">
        <f>B387^2</f>
        <v/>
      </c>
      <c r="D387" s="69" t="n">
        <v>4521.1</v>
      </c>
      <c r="E387" s="69" t="n">
        <v>4624.07662</v>
      </c>
      <c r="F387" s="70">
        <f>D387-E387</f>
        <v/>
      </c>
      <c r="G387" s="69">
        <f>F387^2</f>
        <v/>
      </c>
      <c r="H387" s="68" t="inlineStr"/>
      <c r="I387" s="68" t="inlineStr"/>
    </row>
    <row r="388">
      <c r="A388" s="65" t="n">
        <v>375</v>
      </c>
      <c r="B388" s="82" t="n">
        <v>374</v>
      </c>
      <c r="C388" s="82">
        <f>B388^2</f>
        <v/>
      </c>
      <c r="D388" s="66" t="n">
        <v>4519.66</v>
      </c>
      <c r="E388" s="66" t="n">
        <v>4624.27906</v>
      </c>
      <c r="F388" s="67">
        <f>D388-E388</f>
        <v/>
      </c>
      <c r="G388" s="66">
        <f>F388^2</f>
        <v/>
      </c>
      <c r="H388" s="65" t="inlineStr"/>
      <c r="I388" s="65" t="inlineStr"/>
    </row>
    <row r="389">
      <c r="A389" s="68" t="n">
        <v>376</v>
      </c>
      <c r="B389" s="83" t="n">
        <v>375</v>
      </c>
      <c r="C389" s="83">
        <f>B389^2</f>
        <v/>
      </c>
      <c r="D389" s="69" t="n">
        <v>4519.02</v>
      </c>
      <c r="E389" s="69" t="n">
        <v>4624.48151</v>
      </c>
      <c r="F389" s="70">
        <f>D389-E389</f>
        <v/>
      </c>
      <c r="G389" s="69">
        <f>F389^2</f>
        <v/>
      </c>
      <c r="H389" s="68" t="inlineStr"/>
      <c r="I389" s="68" t="inlineStr"/>
    </row>
    <row r="390">
      <c r="A390" s="65" t="n">
        <v>377</v>
      </c>
      <c r="B390" s="82" t="n">
        <v>376</v>
      </c>
      <c r="C390" s="82">
        <f>B390^2</f>
        <v/>
      </c>
      <c r="D390" s="66" t="n">
        <v>4517.52</v>
      </c>
      <c r="E390" s="66" t="n">
        <v>4624.68395</v>
      </c>
      <c r="F390" s="67">
        <f>D390-E390</f>
        <v/>
      </c>
      <c r="G390" s="66">
        <f>F390^2</f>
        <v/>
      </c>
      <c r="H390" s="65" t="inlineStr"/>
      <c r="I390" s="65" t="inlineStr"/>
    </row>
    <row r="391">
      <c r="A391" s="68" t="n">
        <v>378</v>
      </c>
      <c r="B391" s="83" t="n">
        <v>377</v>
      </c>
      <c r="C391" s="83">
        <f>B391^2</f>
        <v/>
      </c>
      <c r="D391" s="69" t="n">
        <v>4520.44</v>
      </c>
      <c r="E391" s="69" t="n">
        <v>4624.8864</v>
      </c>
      <c r="F391" s="70">
        <f>D391-E391</f>
        <v/>
      </c>
      <c r="G391" s="69">
        <f>F391^2</f>
        <v/>
      </c>
      <c r="H391" s="68" t="inlineStr"/>
      <c r="I391" s="68" t="inlineStr"/>
    </row>
    <row r="392">
      <c r="A392" s="65" t="n">
        <v>379</v>
      </c>
      <c r="B392" s="82" t="n">
        <v>378</v>
      </c>
      <c r="C392" s="82">
        <f>B392^2</f>
        <v/>
      </c>
      <c r="D392" s="66" t="n">
        <v>4521.13</v>
      </c>
      <c r="E392" s="66" t="n">
        <v>4625.08884</v>
      </c>
      <c r="F392" s="67">
        <f>D392-E392</f>
        <v/>
      </c>
      <c r="G392" s="66">
        <f>F392^2</f>
        <v/>
      </c>
      <c r="H392" s="65" t="inlineStr"/>
      <c r="I392" s="65" t="inlineStr"/>
    </row>
    <row r="393">
      <c r="A393" s="68" t="n">
        <v>380</v>
      </c>
      <c r="B393" s="83" t="n">
        <v>379</v>
      </c>
      <c r="C393" s="83">
        <f>B393^2</f>
        <v/>
      </c>
      <c r="D393" s="69" t="n">
        <v>4518.52</v>
      </c>
      <c r="E393" s="69" t="n">
        <v>4625.29129</v>
      </c>
      <c r="F393" s="70">
        <f>D393-E393</f>
        <v/>
      </c>
      <c r="G393" s="69">
        <f>F393^2</f>
        <v/>
      </c>
      <c r="H393" s="68" t="inlineStr"/>
      <c r="I393" s="68" t="inlineStr"/>
    </row>
    <row r="394">
      <c r="A394" s="65" t="n">
        <v>381</v>
      </c>
      <c r="B394" s="82" t="n">
        <v>380</v>
      </c>
      <c r="C394" s="82">
        <f>B394^2</f>
        <v/>
      </c>
      <c r="D394" s="66" t="n">
        <v>4519.04</v>
      </c>
      <c r="E394" s="66" t="n">
        <v>4625.49374</v>
      </c>
      <c r="F394" s="67">
        <f>D394-E394</f>
        <v/>
      </c>
      <c r="G394" s="66">
        <f>F394^2</f>
        <v/>
      </c>
      <c r="H394" s="65" t="inlineStr"/>
      <c r="I394" s="65" t="inlineStr"/>
    </row>
    <row r="395">
      <c r="A395" s="68" t="n">
        <v>382</v>
      </c>
      <c r="B395" s="83" t="n">
        <v>381</v>
      </c>
      <c r="C395" s="83">
        <f>B395^2</f>
        <v/>
      </c>
      <c r="D395" s="69" t="n">
        <v>4527.77</v>
      </c>
      <c r="E395" s="69" t="n">
        <v>4625.69618</v>
      </c>
      <c r="F395" s="70">
        <f>D395-E395</f>
        <v/>
      </c>
      <c r="G395" s="69">
        <f>F395^2</f>
        <v/>
      </c>
      <c r="H395" s="68" t="inlineStr"/>
      <c r="I395" s="68" t="inlineStr"/>
    </row>
    <row r="396">
      <c r="A396" s="65" t="n">
        <v>383</v>
      </c>
      <c r="B396" s="82" t="n">
        <v>382</v>
      </c>
      <c r="C396" s="82">
        <f>B396^2</f>
        <v/>
      </c>
      <c r="D396" s="66" t="n">
        <v>4517.12</v>
      </c>
      <c r="E396" s="66" t="n">
        <v>4625.89863</v>
      </c>
      <c r="F396" s="67">
        <f>D396-E396</f>
        <v/>
      </c>
      <c r="G396" s="66">
        <f>F396^2</f>
        <v/>
      </c>
      <c r="H396" s="65" t="inlineStr"/>
      <c r="I396" s="65" t="inlineStr"/>
    </row>
    <row r="397">
      <c r="A397" s="68" t="n">
        <v>384</v>
      </c>
      <c r="B397" s="83" t="n">
        <v>383</v>
      </c>
      <c r="C397" s="83">
        <f>B397^2</f>
        <v/>
      </c>
      <c r="D397" s="69" t="n">
        <v>4523.87</v>
      </c>
      <c r="E397" s="69" t="n">
        <v>4626.10107</v>
      </c>
      <c r="F397" s="70">
        <f>D397-E397</f>
        <v/>
      </c>
      <c r="G397" s="69">
        <f>F397^2</f>
        <v/>
      </c>
      <c r="H397" s="68" t="inlineStr"/>
      <c r="I397" s="68" t="inlineStr"/>
    </row>
    <row r="398">
      <c r="A398" s="65" t="n">
        <v>385</v>
      </c>
      <c r="B398" s="82" t="n">
        <v>384</v>
      </c>
      <c r="C398" s="82">
        <f>B398^2</f>
        <v/>
      </c>
      <c r="D398" s="66" t="n">
        <v>4530.12</v>
      </c>
      <c r="E398" s="66" t="n">
        <v>4626.30352</v>
      </c>
      <c r="F398" s="67">
        <f>D398-E398</f>
        <v/>
      </c>
      <c r="G398" s="66">
        <f>F398^2</f>
        <v/>
      </c>
      <c r="H398" s="65" t="inlineStr"/>
      <c r="I398" s="65" t="inlineStr"/>
    </row>
    <row r="399">
      <c r="A399" s="68" t="n">
        <v>386</v>
      </c>
      <c r="B399" s="83" t="n">
        <v>385</v>
      </c>
      <c r="C399" s="83">
        <f>B399^2</f>
        <v/>
      </c>
      <c r="D399" s="69" t="n">
        <v>4538.86</v>
      </c>
      <c r="E399" s="69" t="n">
        <v>4626.50596</v>
      </c>
      <c r="F399" s="70">
        <f>D399-E399</f>
        <v/>
      </c>
      <c r="G399" s="69">
        <f>F399^2</f>
        <v/>
      </c>
      <c r="H399" s="68" t="inlineStr"/>
      <c r="I399" s="68" t="inlineStr"/>
    </row>
    <row r="400">
      <c r="A400" s="65" t="n">
        <v>387</v>
      </c>
      <c r="B400" s="82" t="n">
        <v>386</v>
      </c>
      <c r="C400" s="82">
        <f>B400^2</f>
        <v/>
      </c>
      <c r="D400" s="66" t="n">
        <v>4537.8</v>
      </c>
      <c r="E400" s="66" t="n">
        <v>4626.70841</v>
      </c>
      <c r="F400" s="67">
        <f>D400-E400</f>
        <v/>
      </c>
      <c r="G400" s="66">
        <f>F400^2</f>
        <v/>
      </c>
      <c r="H400" s="65" t="inlineStr"/>
      <c r="I400" s="65" t="inlineStr"/>
    </row>
    <row r="401">
      <c r="A401" s="68" t="n">
        <v>388</v>
      </c>
      <c r="B401" s="83" t="n">
        <v>387</v>
      </c>
      <c r="C401" s="83">
        <f>B401^2</f>
        <v/>
      </c>
      <c r="D401" s="69" t="n">
        <v>4536.92</v>
      </c>
      <c r="E401" s="69" t="n">
        <v>4626.91086</v>
      </c>
      <c r="F401" s="70">
        <f>D401-E401</f>
        <v/>
      </c>
      <c r="G401" s="69">
        <f>F401^2</f>
        <v/>
      </c>
      <c r="H401" s="68" t="inlineStr"/>
      <c r="I401" s="68" t="inlineStr"/>
    </row>
    <row r="402">
      <c r="A402" s="65" t="n">
        <v>389</v>
      </c>
      <c r="B402" s="82" t="n">
        <v>388</v>
      </c>
      <c r="C402" s="82">
        <f>B402^2</f>
        <v/>
      </c>
      <c r="D402" s="66" t="n">
        <v>4541.02</v>
      </c>
      <c r="E402" s="66" t="n">
        <v>4627.1133</v>
      </c>
      <c r="F402" s="67">
        <f>D402-E402</f>
        <v/>
      </c>
      <c r="G402" s="66">
        <f>F402^2</f>
        <v/>
      </c>
      <c r="H402" s="65" t="inlineStr"/>
      <c r="I402" s="65" t="inlineStr"/>
    </row>
    <row r="403">
      <c r="A403" s="68" t="n">
        <v>390</v>
      </c>
      <c r="B403" s="83" t="n">
        <v>389</v>
      </c>
      <c r="C403" s="83">
        <f>B403^2</f>
        <v/>
      </c>
      <c r="D403" s="69" t="n">
        <v>4538.55</v>
      </c>
      <c r="E403" s="69" t="n">
        <v>4627.31575</v>
      </c>
      <c r="F403" s="70">
        <f>D403-E403</f>
        <v/>
      </c>
      <c r="G403" s="69">
        <f>F403^2</f>
        <v/>
      </c>
      <c r="H403" s="68" t="inlineStr"/>
      <c r="I403" s="68" t="inlineStr"/>
    </row>
    <row r="404">
      <c r="A404" s="65" t="n">
        <v>391</v>
      </c>
      <c r="B404" s="82" t="n">
        <v>390</v>
      </c>
      <c r="C404" s="82">
        <f>B404^2</f>
        <v/>
      </c>
      <c r="D404" s="66" t="n">
        <v>4541.49</v>
      </c>
      <c r="E404" s="66" t="n">
        <v>4627.51819</v>
      </c>
      <c r="F404" s="67">
        <f>D404-E404</f>
        <v/>
      </c>
      <c r="G404" s="66">
        <f>F404^2</f>
        <v/>
      </c>
      <c r="H404" s="65" t="inlineStr"/>
      <c r="I404" s="65" t="inlineStr"/>
    </row>
    <row r="405">
      <c r="A405" s="68" t="n">
        <v>392</v>
      </c>
      <c r="B405" s="83" t="n">
        <v>391</v>
      </c>
      <c r="C405" s="83">
        <f>B405^2</f>
        <v/>
      </c>
      <c r="D405" s="69" t="n">
        <v>4544.58</v>
      </c>
      <c r="E405" s="69" t="n">
        <v>4627.72064</v>
      </c>
      <c r="F405" s="70">
        <f>D405-E405</f>
        <v/>
      </c>
      <c r="G405" s="69">
        <f>F405^2</f>
        <v/>
      </c>
      <c r="H405" s="68" t="inlineStr"/>
      <c r="I405" s="68" t="inlineStr"/>
    </row>
    <row r="406">
      <c r="A406" s="65" t="n">
        <v>393</v>
      </c>
      <c r="B406" s="82" t="n">
        <v>392</v>
      </c>
      <c r="C406" s="82">
        <f>B406^2</f>
        <v/>
      </c>
      <c r="D406" s="66" t="n">
        <v>4539.17</v>
      </c>
      <c r="E406" s="66" t="n">
        <v>4627.92308</v>
      </c>
      <c r="F406" s="67">
        <f>D406-E406</f>
        <v/>
      </c>
      <c r="G406" s="66">
        <f>F406^2</f>
        <v/>
      </c>
      <c r="H406" s="65" t="inlineStr"/>
      <c r="I406" s="65" t="inlineStr"/>
    </row>
    <row r="407">
      <c r="A407" s="68" t="n">
        <v>394</v>
      </c>
      <c r="B407" s="83" t="n">
        <v>393</v>
      </c>
      <c r="C407" s="83">
        <f>B407^2</f>
        <v/>
      </c>
      <c r="D407" s="69" t="n">
        <v>4542.12</v>
      </c>
      <c r="E407" s="69" t="n">
        <v>4628.12553</v>
      </c>
      <c r="F407" s="70">
        <f>D407-E407</f>
        <v/>
      </c>
      <c r="G407" s="69">
        <f>F407^2</f>
        <v/>
      </c>
      <c r="H407" s="68" t="inlineStr"/>
      <c r="I407" s="68" t="inlineStr"/>
    </row>
    <row r="408">
      <c r="A408" s="65" t="n">
        <v>395</v>
      </c>
      <c r="B408" s="82" t="n">
        <v>394</v>
      </c>
      <c r="C408" s="82">
        <f>B408^2</f>
        <v/>
      </c>
      <c r="D408" s="66" t="n">
        <v>4538.07</v>
      </c>
      <c r="E408" s="66" t="n">
        <v>4628.32798</v>
      </c>
      <c r="F408" s="67">
        <f>D408-E408</f>
        <v/>
      </c>
      <c r="G408" s="66">
        <f>F408^2</f>
        <v/>
      </c>
      <c r="H408" s="65" t="inlineStr"/>
      <c r="I408" s="65" t="inlineStr"/>
    </row>
    <row r="409">
      <c r="A409" s="68" t="n">
        <v>396</v>
      </c>
      <c r="B409" s="83" t="n">
        <v>395</v>
      </c>
      <c r="C409" s="83">
        <f>B409^2</f>
        <v/>
      </c>
      <c r="D409" s="69" t="n">
        <v>4535.98</v>
      </c>
      <c r="E409" s="69" t="n">
        <v>4628.53042</v>
      </c>
      <c r="F409" s="70">
        <f>D409-E409</f>
        <v/>
      </c>
      <c r="G409" s="69">
        <f>F409^2</f>
        <v/>
      </c>
      <c r="H409" s="68" t="inlineStr"/>
      <c r="I409" s="68" t="inlineStr"/>
    </row>
    <row r="410">
      <c r="A410" s="65" t="n">
        <v>397</v>
      </c>
      <c r="B410" s="82" t="n">
        <v>396</v>
      </c>
      <c r="C410" s="82">
        <f>B410^2</f>
        <v/>
      </c>
      <c r="D410" s="66" t="n">
        <v>4534.67</v>
      </c>
      <c r="E410" s="66" t="n">
        <v>4628.73287</v>
      </c>
      <c r="F410" s="67">
        <f>D410-E410</f>
        <v/>
      </c>
      <c r="G410" s="66">
        <f>F410^2</f>
        <v/>
      </c>
      <c r="H410" s="65" t="inlineStr"/>
      <c r="I410" s="65" t="inlineStr"/>
    </row>
    <row r="411">
      <c r="A411" s="68" t="n">
        <v>398</v>
      </c>
      <c r="B411" s="83" t="n">
        <v>397</v>
      </c>
      <c r="C411" s="83">
        <f>B411^2</f>
        <v/>
      </c>
      <c r="D411" s="69" t="n">
        <v>4532.97</v>
      </c>
      <c r="E411" s="69" t="n">
        <v>4628.93531</v>
      </c>
      <c r="F411" s="70">
        <f>D411-E411</f>
        <v/>
      </c>
      <c r="G411" s="69">
        <f>F411^2</f>
        <v/>
      </c>
      <c r="H411" s="68" t="inlineStr"/>
      <c r="I411" s="68" t="inlineStr"/>
    </row>
    <row r="412">
      <c r="A412" s="65" t="n">
        <v>399</v>
      </c>
      <c r="B412" s="82" t="n">
        <v>398</v>
      </c>
      <c r="C412" s="82">
        <f>B412^2</f>
        <v/>
      </c>
      <c r="D412" s="66" t="n">
        <v>4529.71</v>
      </c>
      <c r="E412" s="66" t="n">
        <v>4629.13776</v>
      </c>
      <c r="F412" s="67">
        <f>D412-E412</f>
        <v/>
      </c>
      <c r="G412" s="66">
        <f>F412^2</f>
        <v/>
      </c>
      <c r="H412" s="65" t="inlineStr"/>
      <c r="I412" s="65" t="inlineStr"/>
    </row>
    <row r="413">
      <c r="A413" s="68" t="n">
        <v>400</v>
      </c>
      <c r="B413" s="83" t="n">
        <v>399</v>
      </c>
      <c r="C413" s="83">
        <f>B413^2</f>
        <v/>
      </c>
      <c r="D413" s="69" t="n">
        <v>4531.71</v>
      </c>
      <c r="E413" s="69" t="n">
        <v>4629.3402</v>
      </c>
      <c r="F413" s="70">
        <f>D413-E413</f>
        <v/>
      </c>
      <c r="G413" s="69">
        <f>F413^2</f>
        <v/>
      </c>
      <c r="H413" s="68" t="inlineStr"/>
      <c r="I413" s="68" t="inlineStr"/>
    </row>
    <row r="414">
      <c r="A414" s="65" t="n">
        <v>401</v>
      </c>
      <c r="B414" s="82" t="n">
        <v>400</v>
      </c>
      <c r="C414" s="82">
        <f>B414^2</f>
        <v/>
      </c>
      <c r="D414" s="66" t="n">
        <v>4533.58</v>
      </c>
      <c r="E414" s="66" t="n">
        <v>4629.54265</v>
      </c>
      <c r="F414" s="67">
        <f>D414-E414</f>
        <v/>
      </c>
      <c r="G414" s="66">
        <f>F414^2</f>
        <v/>
      </c>
      <c r="H414" s="65" t="inlineStr"/>
      <c r="I414" s="65" t="inlineStr"/>
    </row>
    <row r="415">
      <c r="A415" s="68" t="n">
        <v>402</v>
      </c>
      <c r="B415" s="83" t="n">
        <v>401</v>
      </c>
      <c r="C415" s="83">
        <f>B415^2</f>
        <v/>
      </c>
      <c r="D415" s="69" t="n">
        <v>4540.2</v>
      </c>
      <c r="E415" s="69" t="n">
        <v>4629.7451</v>
      </c>
      <c r="F415" s="70">
        <f>D415-E415</f>
        <v/>
      </c>
      <c r="G415" s="69">
        <f>F415^2</f>
        <v/>
      </c>
      <c r="H415" s="68" t="inlineStr"/>
      <c r="I415" s="68" t="inlineStr"/>
    </row>
    <row r="416">
      <c r="A416" s="65" t="n">
        <v>403</v>
      </c>
      <c r="B416" s="82" t="n">
        <v>402</v>
      </c>
      <c r="C416" s="82">
        <f>B416^2</f>
        <v/>
      </c>
      <c r="D416" s="66" t="n">
        <v>4540.11</v>
      </c>
      <c r="E416" s="66" t="n">
        <v>4629.94754</v>
      </c>
      <c r="F416" s="67">
        <f>D416-E416</f>
        <v/>
      </c>
      <c r="G416" s="66">
        <f>F416^2</f>
        <v/>
      </c>
      <c r="H416" s="65" t="inlineStr"/>
      <c r="I416" s="65" t="inlineStr"/>
    </row>
    <row r="417">
      <c r="A417" s="68" t="n">
        <v>404</v>
      </c>
      <c r="B417" s="83" t="n">
        <v>403</v>
      </c>
      <c r="C417" s="83">
        <f>B417^2</f>
        <v/>
      </c>
      <c r="D417" s="69" t="n">
        <v>4545.86</v>
      </c>
      <c r="E417" s="69" t="n">
        <v>4630.14999</v>
      </c>
      <c r="F417" s="70">
        <f>D417-E417</f>
        <v/>
      </c>
      <c r="G417" s="69">
        <f>F417^2</f>
        <v/>
      </c>
      <c r="H417" s="68" t="inlineStr"/>
      <c r="I417" s="68" t="inlineStr"/>
    </row>
    <row r="418">
      <c r="A418" s="65" t="n">
        <v>405</v>
      </c>
      <c r="B418" s="82" t="n">
        <v>404</v>
      </c>
      <c r="C418" s="82">
        <f>B418^2</f>
        <v/>
      </c>
      <c r="D418" s="66" t="n">
        <v>4545.73</v>
      </c>
      <c r="E418" s="66" t="n">
        <v>4630.35243</v>
      </c>
      <c r="F418" s="67">
        <f>D418-E418</f>
        <v/>
      </c>
      <c r="G418" s="66">
        <f>F418^2</f>
        <v/>
      </c>
      <c r="H418" s="65" t="inlineStr"/>
      <c r="I418" s="65" t="inlineStr"/>
    </row>
    <row r="419">
      <c r="A419" s="68" t="n">
        <v>406</v>
      </c>
      <c r="B419" s="83" t="n">
        <v>405</v>
      </c>
      <c r="C419" s="83">
        <f>B419^2</f>
        <v/>
      </c>
      <c r="D419" s="69" t="n">
        <v>4543.66</v>
      </c>
      <c r="E419" s="69" t="n">
        <v>4630.55488</v>
      </c>
      <c r="F419" s="70">
        <f>D419-E419</f>
        <v/>
      </c>
      <c r="G419" s="69">
        <f>F419^2</f>
        <v/>
      </c>
      <c r="H419" s="68" t="inlineStr"/>
      <c r="I419" s="68" t="inlineStr"/>
    </row>
    <row r="420">
      <c r="A420" s="65" t="n">
        <v>407</v>
      </c>
      <c r="B420" s="82" t="n">
        <v>406</v>
      </c>
      <c r="C420" s="82">
        <f>B420^2</f>
        <v/>
      </c>
      <c r="D420" s="66" t="n">
        <v>4536.86</v>
      </c>
      <c r="E420" s="66" t="n">
        <v>4630.75732</v>
      </c>
      <c r="F420" s="67">
        <f>D420-E420</f>
        <v/>
      </c>
      <c r="G420" s="66">
        <f>F420^2</f>
        <v/>
      </c>
      <c r="H420" s="65" t="inlineStr"/>
      <c r="I420" s="65" t="inlineStr"/>
    </row>
    <row r="421">
      <c r="A421" s="68" t="n">
        <v>408</v>
      </c>
      <c r="B421" s="83" t="n">
        <v>407</v>
      </c>
      <c r="C421" s="83">
        <f>B421^2</f>
        <v/>
      </c>
      <c r="D421" s="69" t="n">
        <v>4546.17</v>
      </c>
      <c r="E421" s="69" t="n">
        <v>4630.95977</v>
      </c>
      <c r="F421" s="70">
        <f>D421-E421</f>
        <v/>
      </c>
      <c r="G421" s="69">
        <f>F421^2</f>
        <v/>
      </c>
      <c r="H421" s="68" t="inlineStr"/>
      <c r="I421" s="68" t="inlineStr"/>
    </row>
    <row r="422">
      <c r="A422" s="65" t="n">
        <v>409</v>
      </c>
      <c r="B422" s="82" t="n">
        <v>408</v>
      </c>
      <c r="C422" s="82">
        <f>B422^2</f>
        <v/>
      </c>
      <c r="D422" s="66" t="n">
        <v>4548.12</v>
      </c>
      <c r="E422" s="66" t="n">
        <v>4631.16221</v>
      </c>
      <c r="F422" s="67">
        <f>D422-E422</f>
        <v/>
      </c>
      <c r="G422" s="66">
        <f>F422^2</f>
        <v/>
      </c>
      <c r="H422" s="65" t="inlineStr"/>
      <c r="I422" s="65" t="inlineStr"/>
    </row>
    <row r="423">
      <c r="A423" s="68" t="n">
        <v>410</v>
      </c>
      <c r="B423" s="83" t="n">
        <v>409</v>
      </c>
      <c r="C423" s="83">
        <f>B423^2</f>
        <v/>
      </c>
      <c r="D423" s="69" t="n">
        <v>4554.04</v>
      </c>
      <c r="E423" s="69" t="n">
        <v>4631.36466</v>
      </c>
      <c r="F423" s="70">
        <f>D423-E423</f>
        <v/>
      </c>
      <c r="G423" s="69">
        <f>F423^2</f>
        <v/>
      </c>
      <c r="H423" s="68" t="inlineStr"/>
      <c r="I423" s="68" t="inlineStr"/>
    </row>
    <row r="424">
      <c r="A424" s="65" t="n">
        <v>411</v>
      </c>
      <c r="B424" s="82" t="n">
        <v>410</v>
      </c>
      <c r="C424" s="82">
        <f>B424^2</f>
        <v/>
      </c>
      <c r="D424" s="66" t="n">
        <v>4548.94</v>
      </c>
      <c r="E424" s="66" t="n">
        <v>4631.56711</v>
      </c>
      <c r="F424" s="67">
        <f>D424-E424</f>
        <v/>
      </c>
      <c r="G424" s="66">
        <f>F424^2</f>
        <v/>
      </c>
      <c r="H424" s="65" t="inlineStr"/>
      <c r="I424" s="65" t="inlineStr"/>
    </row>
    <row r="425">
      <c r="A425" s="68" t="n">
        <v>412</v>
      </c>
      <c r="B425" s="83" t="n">
        <v>411</v>
      </c>
      <c r="C425" s="83">
        <f>B425^2</f>
        <v/>
      </c>
      <c r="D425" s="69" t="n">
        <v>4551.29</v>
      </c>
      <c r="E425" s="69" t="n">
        <v>4631.76955</v>
      </c>
      <c r="F425" s="70">
        <f>D425-E425</f>
        <v/>
      </c>
      <c r="G425" s="69">
        <f>F425^2</f>
        <v/>
      </c>
      <c r="H425" s="68" t="inlineStr"/>
      <c r="I425" s="68" t="inlineStr"/>
    </row>
    <row r="426">
      <c r="A426" s="65" t="n">
        <v>413</v>
      </c>
      <c r="B426" s="82" t="n">
        <v>412</v>
      </c>
      <c r="C426" s="82">
        <f>B426^2</f>
        <v/>
      </c>
      <c r="D426" s="66" t="n">
        <v>4545.57</v>
      </c>
      <c r="E426" s="66" t="n">
        <v>4631.972</v>
      </c>
      <c r="F426" s="67">
        <f>D426-E426</f>
        <v/>
      </c>
      <c r="G426" s="66">
        <f>F426^2</f>
        <v/>
      </c>
      <c r="H426" s="65" t="inlineStr"/>
      <c r="I426" s="65" t="inlineStr"/>
    </row>
    <row r="427">
      <c r="A427" s="68" t="n">
        <v>414</v>
      </c>
      <c r="B427" s="83" t="n">
        <v>413</v>
      </c>
      <c r="C427" s="83">
        <f>B427^2</f>
        <v/>
      </c>
      <c r="D427" s="69" t="n">
        <v>4551.12</v>
      </c>
      <c r="E427" s="69" t="n">
        <v>4632.17444</v>
      </c>
      <c r="F427" s="70">
        <f>D427-E427</f>
        <v/>
      </c>
      <c r="G427" s="69">
        <f>F427^2</f>
        <v/>
      </c>
      <c r="H427" s="68" t="inlineStr"/>
      <c r="I427" s="68" t="inlineStr"/>
    </row>
    <row r="428">
      <c r="A428" s="65" t="n">
        <v>415</v>
      </c>
      <c r="B428" s="82" t="n">
        <v>414</v>
      </c>
      <c r="C428" s="82">
        <f>B428^2</f>
        <v/>
      </c>
      <c r="D428" s="66" t="n">
        <v>4551.48</v>
      </c>
      <c r="E428" s="66" t="n">
        <v>4632.37689</v>
      </c>
      <c r="F428" s="67">
        <f>D428-E428</f>
        <v/>
      </c>
      <c r="G428" s="66">
        <f>F428^2</f>
        <v/>
      </c>
      <c r="H428" s="65" t="inlineStr"/>
      <c r="I428" s="65" t="inlineStr"/>
    </row>
    <row r="429">
      <c r="A429" s="68" t="n">
        <v>416</v>
      </c>
      <c r="B429" s="83" t="n">
        <v>415</v>
      </c>
      <c r="C429" s="83">
        <f>B429^2</f>
        <v/>
      </c>
      <c r="D429" s="69" t="n">
        <v>4550.32</v>
      </c>
      <c r="E429" s="69" t="n">
        <v>4632.57933</v>
      </c>
      <c r="F429" s="70">
        <f>D429-E429</f>
        <v/>
      </c>
      <c r="G429" s="69">
        <f>F429^2</f>
        <v/>
      </c>
      <c r="H429" s="68" t="inlineStr"/>
      <c r="I429" s="68" t="inlineStr"/>
    </row>
    <row r="430">
      <c r="A430" s="65" t="n">
        <v>417</v>
      </c>
      <c r="B430" s="82" t="n">
        <v>416</v>
      </c>
      <c r="C430" s="82">
        <f>B430^2</f>
        <v/>
      </c>
      <c r="D430" s="66" t="n">
        <v>4558.34</v>
      </c>
      <c r="E430" s="66" t="n">
        <v>4632.78178</v>
      </c>
      <c r="F430" s="67">
        <f>D430-E430</f>
        <v/>
      </c>
      <c r="G430" s="66">
        <f>F430^2</f>
        <v/>
      </c>
      <c r="H430" s="65" t="inlineStr"/>
      <c r="I430" s="65" t="inlineStr"/>
    </row>
    <row r="431">
      <c r="A431" s="68" t="n">
        <v>418</v>
      </c>
      <c r="B431" s="83" t="n">
        <v>417</v>
      </c>
      <c r="C431" s="83">
        <f>B431^2</f>
        <v/>
      </c>
      <c r="D431" s="69" t="n">
        <v>4557.61</v>
      </c>
      <c r="E431" s="69" t="n">
        <v>4632.98423</v>
      </c>
      <c r="F431" s="70">
        <f>D431-E431</f>
        <v/>
      </c>
      <c r="G431" s="69">
        <f>F431^2</f>
        <v/>
      </c>
      <c r="H431" s="68" t="inlineStr"/>
      <c r="I431" s="68" t="inlineStr"/>
    </row>
    <row r="432">
      <c r="A432" s="65" t="n">
        <v>419</v>
      </c>
      <c r="B432" s="82" t="n">
        <v>418</v>
      </c>
      <c r="C432" s="82">
        <f>B432^2</f>
        <v/>
      </c>
      <c r="D432" s="66" t="n">
        <v>4552.3</v>
      </c>
      <c r="E432" s="66" t="n">
        <v>4633.18667</v>
      </c>
      <c r="F432" s="67">
        <f>D432-E432</f>
        <v/>
      </c>
      <c r="G432" s="66">
        <f>F432^2</f>
        <v/>
      </c>
      <c r="H432" s="65" t="inlineStr"/>
      <c r="I432" s="65" t="inlineStr"/>
    </row>
    <row r="433">
      <c r="A433" s="68" t="n">
        <v>420</v>
      </c>
      <c r="B433" s="83" t="n">
        <v>419</v>
      </c>
      <c r="C433" s="83">
        <f>B433^2</f>
        <v/>
      </c>
      <c r="D433" s="69" t="n">
        <v>4555.5</v>
      </c>
      <c r="E433" s="69" t="n">
        <v>4633.38912</v>
      </c>
      <c r="F433" s="70">
        <f>D433-E433</f>
        <v/>
      </c>
      <c r="G433" s="69">
        <f>F433^2</f>
        <v/>
      </c>
      <c r="H433" s="68" t="inlineStr"/>
      <c r="I433" s="68" t="inlineStr"/>
    </row>
    <row r="434">
      <c r="A434" s="65" t="n">
        <v>421</v>
      </c>
      <c r="B434" s="82" t="n">
        <v>420</v>
      </c>
      <c r="C434" s="82">
        <f>B434^2</f>
        <v/>
      </c>
      <c r="D434" s="66" t="n">
        <v>4556.21</v>
      </c>
      <c r="E434" s="66" t="n">
        <v>4633.59156</v>
      </c>
      <c r="F434" s="67">
        <f>D434-E434</f>
        <v/>
      </c>
      <c r="G434" s="66">
        <f>F434^2</f>
        <v/>
      </c>
      <c r="H434" s="65" t="inlineStr"/>
      <c r="I434" s="65" t="inlineStr"/>
    </row>
    <row r="435">
      <c r="A435" s="68" t="n">
        <v>422</v>
      </c>
      <c r="B435" s="83" t="n">
        <v>421</v>
      </c>
      <c r="C435" s="83">
        <f>B435^2</f>
        <v/>
      </c>
      <c r="D435" s="69" t="n">
        <v>4553.01</v>
      </c>
      <c r="E435" s="69" t="n">
        <v>4633.79401</v>
      </c>
      <c r="F435" s="70">
        <f>D435-E435</f>
        <v/>
      </c>
      <c r="G435" s="69">
        <f>F435^2</f>
        <v/>
      </c>
      <c r="H435" s="68" t="inlineStr"/>
      <c r="I435" s="68" t="inlineStr"/>
    </row>
    <row r="436">
      <c r="A436" s="65" t="n">
        <v>423</v>
      </c>
      <c r="B436" s="82" t="n">
        <v>422</v>
      </c>
      <c r="C436" s="82">
        <f>B436^2</f>
        <v/>
      </c>
      <c r="D436" s="66" t="n">
        <v>4547.92</v>
      </c>
      <c r="E436" s="66" t="n">
        <v>4633.99645</v>
      </c>
      <c r="F436" s="67">
        <f>D436-E436</f>
        <v/>
      </c>
      <c r="G436" s="66">
        <f>F436^2</f>
        <v/>
      </c>
      <c r="H436" s="65" t="inlineStr"/>
      <c r="I436" s="65" t="inlineStr"/>
    </row>
    <row r="437">
      <c r="A437" s="68" t="n">
        <v>424</v>
      </c>
      <c r="B437" s="83" t="n">
        <v>423</v>
      </c>
      <c r="C437" s="83">
        <f>B437^2</f>
        <v/>
      </c>
      <c r="D437" s="69" t="n">
        <v>4545.13</v>
      </c>
      <c r="E437" s="69" t="n">
        <v>4634.1989</v>
      </c>
      <c r="F437" s="70">
        <f>D437-E437</f>
        <v/>
      </c>
      <c r="G437" s="69">
        <f>F437^2</f>
        <v/>
      </c>
      <c r="H437" s="68" t="inlineStr"/>
      <c r="I437" s="68" t="inlineStr"/>
    </row>
    <row r="438">
      <c r="A438" s="65" t="n">
        <v>425</v>
      </c>
      <c r="B438" s="82" t="n">
        <v>424</v>
      </c>
      <c r="C438" s="82">
        <f>B438^2</f>
        <v/>
      </c>
      <c r="D438" s="66" t="n">
        <v>4543.73</v>
      </c>
      <c r="E438" s="66" t="n">
        <v>4634.40135</v>
      </c>
      <c r="F438" s="67">
        <f>D438-E438</f>
        <v/>
      </c>
      <c r="G438" s="66">
        <f>F438^2</f>
        <v/>
      </c>
      <c r="H438" s="65" t="inlineStr"/>
      <c r="I438" s="65" t="inlineStr"/>
    </row>
    <row r="439">
      <c r="A439" s="68" t="n">
        <v>426</v>
      </c>
      <c r="B439" s="83" t="n">
        <v>425</v>
      </c>
      <c r="C439" s="83">
        <f>B439^2</f>
        <v/>
      </c>
      <c r="D439" s="69" t="n">
        <v>4552.62</v>
      </c>
      <c r="E439" s="69" t="n">
        <v>4634.60379</v>
      </c>
      <c r="F439" s="70">
        <f>D439-E439</f>
        <v/>
      </c>
      <c r="G439" s="69">
        <f>F439^2</f>
        <v/>
      </c>
      <c r="H439" s="68" t="inlineStr"/>
      <c r="I439" s="68" t="inlineStr"/>
    </row>
    <row r="440">
      <c r="A440" s="65" t="n">
        <v>427</v>
      </c>
      <c r="B440" s="82" t="n">
        <v>426</v>
      </c>
      <c r="C440" s="82">
        <f>B440^2</f>
        <v/>
      </c>
      <c r="D440" s="66" t="n">
        <v>4556.17</v>
      </c>
      <c r="E440" s="66" t="n">
        <v>4634.80624</v>
      </c>
      <c r="F440" s="67">
        <f>D440-E440</f>
        <v/>
      </c>
      <c r="G440" s="66">
        <f>F440^2</f>
        <v/>
      </c>
      <c r="H440" s="65" t="inlineStr"/>
      <c r="I440" s="65" t="inlineStr"/>
    </row>
    <row r="441">
      <c r="A441" s="68" t="n">
        <v>428</v>
      </c>
      <c r="B441" s="83" t="n">
        <v>427</v>
      </c>
      <c r="C441" s="83">
        <f>B441^2</f>
        <v/>
      </c>
      <c r="D441" s="69" t="n">
        <v>4563.32</v>
      </c>
      <c r="E441" s="69" t="n">
        <v>4635.00868</v>
      </c>
      <c r="F441" s="70">
        <f>D441-E441</f>
        <v/>
      </c>
      <c r="G441" s="69">
        <f>F441^2</f>
        <v/>
      </c>
      <c r="H441" s="68" t="inlineStr"/>
      <c r="I441" s="68" t="inlineStr"/>
    </row>
    <row r="442">
      <c r="A442" s="65" t="n">
        <v>429</v>
      </c>
      <c r="B442" s="82" t="n">
        <v>428</v>
      </c>
      <c r="C442" s="82">
        <f>B442^2</f>
        <v/>
      </c>
      <c r="D442" s="66" t="n">
        <v>4562.6</v>
      </c>
      <c r="E442" s="66" t="n">
        <v>4635.21113</v>
      </c>
      <c r="F442" s="67">
        <f>D442-E442</f>
        <v/>
      </c>
      <c r="G442" s="66">
        <f>F442^2</f>
        <v/>
      </c>
      <c r="H442" s="65" t="inlineStr"/>
      <c r="I442" s="65" t="inlineStr"/>
    </row>
    <row r="443">
      <c r="A443" s="68" t="n">
        <v>430</v>
      </c>
      <c r="B443" s="83" t="n">
        <v>429</v>
      </c>
      <c r="C443" s="83">
        <f>B443^2</f>
        <v/>
      </c>
      <c r="D443" s="69" t="n">
        <v>4565</v>
      </c>
      <c r="E443" s="69" t="n">
        <v>4635.41357</v>
      </c>
      <c r="F443" s="70">
        <f>D443-E443</f>
        <v/>
      </c>
      <c r="G443" s="69">
        <f>F443^2</f>
        <v/>
      </c>
      <c r="H443" s="68" t="inlineStr"/>
      <c r="I443" s="68" t="inlineStr"/>
    </row>
    <row r="444">
      <c r="A444" s="65" t="n">
        <v>431</v>
      </c>
      <c r="B444" s="82" t="n">
        <v>430</v>
      </c>
      <c r="C444" s="82">
        <f>B444^2</f>
        <v/>
      </c>
      <c r="D444" s="66" t="n">
        <v>4573.81</v>
      </c>
      <c r="E444" s="66" t="n">
        <v>4635.61602</v>
      </c>
      <c r="F444" s="67">
        <f>D444-E444</f>
        <v/>
      </c>
      <c r="G444" s="66">
        <f>F444^2</f>
        <v/>
      </c>
      <c r="H444" s="65" t="inlineStr"/>
      <c r="I444" s="65" t="inlineStr"/>
    </row>
    <row r="445">
      <c r="A445" s="68" t="n">
        <v>432</v>
      </c>
      <c r="B445" s="83" t="n">
        <v>431</v>
      </c>
      <c r="C445" s="83">
        <f>B445^2</f>
        <v/>
      </c>
      <c r="D445" s="69" t="n">
        <v>4567.11</v>
      </c>
      <c r="E445" s="69" t="n">
        <v>4635.81847</v>
      </c>
      <c r="F445" s="70">
        <f>D445-E445</f>
        <v/>
      </c>
      <c r="G445" s="69">
        <f>F445^2</f>
        <v/>
      </c>
      <c r="H445" s="68" t="inlineStr"/>
      <c r="I445" s="68" t="inlineStr"/>
    </row>
    <row r="446">
      <c r="A446" s="65" t="n">
        <v>433</v>
      </c>
      <c r="B446" s="82" t="n">
        <v>432</v>
      </c>
      <c r="C446" s="82">
        <f>B446^2</f>
        <v/>
      </c>
      <c r="D446" s="66" t="n">
        <v>4564.68</v>
      </c>
      <c r="E446" s="66" t="n">
        <v>4636.02091</v>
      </c>
      <c r="F446" s="67">
        <f>D446-E446</f>
        <v/>
      </c>
      <c r="G446" s="66">
        <f>F446^2</f>
        <v/>
      </c>
      <c r="H446" s="65" t="inlineStr"/>
      <c r="I446" s="65" t="inlineStr"/>
    </row>
    <row r="447">
      <c r="A447" s="68" t="n">
        <v>434</v>
      </c>
      <c r="B447" s="83" t="n">
        <v>433</v>
      </c>
      <c r="C447" s="83">
        <f>B447^2</f>
        <v/>
      </c>
      <c r="D447" s="69" t="n">
        <v>4578.78</v>
      </c>
      <c r="E447" s="69" t="n">
        <v>4636.22336</v>
      </c>
      <c r="F447" s="70">
        <f>D447-E447</f>
        <v/>
      </c>
      <c r="G447" s="69">
        <f>F447^2</f>
        <v/>
      </c>
      <c r="H447" s="68" t="inlineStr"/>
      <c r="I447" s="68" t="inlineStr"/>
    </row>
    <row r="448">
      <c r="A448" s="65" t="n">
        <v>435</v>
      </c>
      <c r="B448" s="82" t="n">
        <v>434</v>
      </c>
      <c r="C448" s="82">
        <f>B448^2</f>
        <v/>
      </c>
      <c r="D448" s="66" t="n">
        <v>4576.85</v>
      </c>
      <c r="E448" s="66" t="n">
        <v>4636.4258</v>
      </c>
      <c r="F448" s="67">
        <f>D448-E448</f>
        <v/>
      </c>
      <c r="G448" s="66">
        <f>F448^2</f>
        <v/>
      </c>
      <c r="H448" s="65" t="inlineStr"/>
      <c r="I448" s="65" t="inlineStr"/>
    </row>
    <row r="449">
      <c r="A449" s="68" t="n">
        <v>436</v>
      </c>
      <c r="B449" s="83" t="n">
        <v>435</v>
      </c>
      <c r="C449" s="83">
        <f>B449^2</f>
        <v/>
      </c>
      <c r="D449" s="69" t="n">
        <v>4574.12</v>
      </c>
      <c r="E449" s="69" t="n">
        <v>4636.62825</v>
      </c>
      <c r="F449" s="70">
        <f>D449-E449</f>
        <v/>
      </c>
      <c r="G449" s="69">
        <f>F449^2</f>
        <v/>
      </c>
      <c r="H449" s="68" t="inlineStr"/>
      <c r="I449" s="68" t="inlineStr"/>
    </row>
    <row r="450">
      <c r="A450" s="65" t="n">
        <v>437</v>
      </c>
      <c r="B450" s="82" t="n">
        <v>436</v>
      </c>
      <c r="C450" s="82">
        <f>B450^2</f>
        <v/>
      </c>
      <c r="D450" s="66" t="n">
        <v>4579.4</v>
      </c>
      <c r="E450" s="66" t="n">
        <v>4636.83069</v>
      </c>
      <c r="F450" s="67">
        <f>D450-E450</f>
        <v/>
      </c>
      <c r="G450" s="66">
        <f>F450^2</f>
        <v/>
      </c>
      <c r="H450" s="65" t="inlineStr"/>
      <c r="I450" s="65" t="inlineStr"/>
    </row>
    <row r="451">
      <c r="A451" s="68" t="n">
        <v>438</v>
      </c>
      <c r="B451" s="83" t="n">
        <v>437</v>
      </c>
      <c r="C451" s="83">
        <f>B451^2</f>
        <v/>
      </c>
      <c r="D451" s="69" t="n">
        <v>4573.57</v>
      </c>
      <c r="E451" s="69" t="n">
        <v>4637.03314</v>
      </c>
      <c r="F451" s="70">
        <f>D451-E451</f>
        <v/>
      </c>
      <c r="G451" s="69">
        <f>F451^2</f>
        <v/>
      </c>
      <c r="H451" s="68" t="inlineStr"/>
      <c r="I451" s="68" t="inlineStr"/>
    </row>
    <row r="452">
      <c r="A452" s="65" t="n">
        <v>439</v>
      </c>
      <c r="B452" s="82" t="n">
        <v>438</v>
      </c>
      <c r="C452" s="82">
        <f>B452^2</f>
        <v/>
      </c>
      <c r="D452" s="66" t="n">
        <v>4584.37</v>
      </c>
      <c r="E452" s="66" t="n">
        <v>4637.23559</v>
      </c>
      <c r="F452" s="67">
        <f>D452-E452</f>
        <v/>
      </c>
      <c r="G452" s="66">
        <f>F452^2</f>
        <v/>
      </c>
      <c r="H452" s="65" t="inlineStr"/>
      <c r="I452" s="65" t="inlineStr"/>
    </row>
    <row r="453">
      <c r="A453" s="68" t="n">
        <v>440</v>
      </c>
      <c r="B453" s="83" t="n">
        <v>439</v>
      </c>
      <c r="C453" s="83">
        <f>B453^2</f>
        <v/>
      </c>
      <c r="D453" s="69" t="n">
        <v>4582.96</v>
      </c>
      <c r="E453" s="69" t="n">
        <v>4637.43803</v>
      </c>
      <c r="F453" s="70">
        <f>D453-E453</f>
        <v/>
      </c>
      <c r="G453" s="69">
        <f>F453^2</f>
        <v/>
      </c>
      <c r="H453" s="68" t="inlineStr"/>
      <c r="I453" s="68" t="inlineStr"/>
    </row>
    <row r="454">
      <c r="A454" s="65" t="n">
        <v>441</v>
      </c>
      <c r="B454" s="82" t="n">
        <v>440</v>
      </c>
      <c r="C454" s="82">
        <f>B454^2</f>
        <v/>
      </c>
      <c r="D454" s="66" t="n">
        <v>4582.46</v>
      </c>
      <c r="E454" s="66" t="n">
        <v>4637.64048</v>
      </c>
      <c r="F454" s="67">
        <f>D454-E454</f>
        <v/>
      </c>
      <c r="G454" s="66">
        <f>F454^2</f>
        <v/>
      </c>
      <c r="H454" s="65" t="inlineStr"/>
      <c r="I454" s="65" t="inlineStr"/>
    </row>
    <row r="455">
      <c r="A455" s="68" t="n">
        <v>442</v>
      </c>
      <c r="B455" s="83" t="n">
        <v>441</v>
      </c>
      <c r="C455" s="83">
        <f>B455^2</f>
        <v/>
      </c>
      <c r="D455" s="69" t="n">
        <v>4580.89</v>
      </c>
      <c r="E455" s="69" t="n">
        <v>4637.84292</v>
      </c>
      <c r="F455" s="70">
        <f>D455-E455</f>
        <v/>
      </c>
      <c r="G455" s="69">
        <f>F455^2</f>
        <v/>
      </c>
      <c r="H455" s="68" t="inlineStr"/>
      <c r="I455" s="68" t="inlineStr"/>
    </row>
    <row r="456">
      <c r="A456" s="65" t="n">
        <v>443</v>
      </c>
      <c r="B456" s="82" t="n">
        <v>442</v>
      </c>
      <c r="C456" s="82">
        <f>B456^2</f>
        <v/>
      </c>
      <c r="D456" s="66" t="n">
        <v>4578.99</v>
      </c>
      <c r="E456" s="66" t="n">
        <v>4638.04537</v>
      </c>
      <c r="F456" s="67">
        <f>D456-E456</f>
        <v/>
      </c>
      <c r="G456" s="66">
        <f>F456^2</f>
        <v/>
      </c>
      <c r="H456" s="65" t="inlineStr"/>
      <c r="I456" s="65" t="inlineStr"/>
    </row>
    <row r="457">
      <c r="A457" s="68" t="n">
        <v>444</v>
      </c>
      <c r="B457" s="83" t="n">
        <v>443</v>
      </c>
      <c r="C457" s="83">
        <f>B457^2</f>
        <v/>
      </c>
      <c r="D457" s="69" t="n">
        <v>4572.95</v>
      </c>
      <c r="E457" s="69" t="n">
        <v>4638.24781</v>
      </c>
      <c r="F457" s="70">
        <f>D457-E457</f>
        <v/>
      </c>
      <c r="G457" s="69">
        <f>F457^2</f>
        <v/>
      </c>
      <c r="H457" s="68" t="inlineStr"/>
      <c r="I457" s="68" t="inlineStr"/>
    </row>
    <row r="458">
      <c r="A458" s="65" t="n">
        <v>445</v>
      </c>
      <c r="B458" s="82" t="n">
        <v>444</v>
      </c>
      <c r="C458" s="82">
        <f>B458^2</f>
        <v/>
      </c>
      <c r="D458" s="66" t="n">
        <v>4568.49</v>
      </c>
      <c r="E458" s="66" t="n">
        <v>4638.45026</v>
      </c>
      <c r="F458" s="67">
        <f>D458-E458</f>
        <v/>
      </c>
      <c r="G458" s="66">
        <f>F458^2</f>
        <v/>
      </c>
      <c r="H458" s="65" t="inlineStr"/>
      <c r="I458" s="65" t="inlineStr"/>
    </row>
    <row r="459">
      <c r="A459" s="68" t="n">
        <v>446</v>
      </c>
      <c r="B459" s="83" t="n">
        <v>445</v>
      </c>
      <c r="C459" s="83">
        <f>B459^2</f>
        <v/>
      </c>
      <c r="D459" s="69" t="n">
        <v>4566.28</v>
      </c>
      <c r="E459" s="69" t="n">
        <v>4638.65271</v>
      </c>
      <c r="F459" s="70">
        <f>D459-E459</f>
        <v/>
      </c>
      <c r="G459" s="69">
        <f>F459^2</f>
        <v/>
      </c>
      <c r="H459" s="68" t="inlineStr"/>
      <c r="I459" s="68" t="inlineStr"/>
    </row>
    <row r="460">
      <c r="A460" s="65" t="n">
        <v>447</v>
      </c>
      <c r="B460" s="82" t="n">
        <v>446</v>
      </c>
      <c r="C460" s="82">
        <f>B460^2</f>
        <v/>
      </c>
      <c r="D460" s="66" t="n">
        <v>4559.7</v>
      </c>
      <c r="E460" s="66" t="n">
        <v>4638.85515</v>
      </c>
      <c r="F460" s="67">
        <f>D460-E460</f>
        <v/>
      </c>
      <c r="G460" s="66">
        <f>F460^2</f>
        <v/>
      </c>
      <c r="H460" s="65" t="inlineStr"/>
      <c r="I460" s="65" t="inlineStr"/>
    </row>
    <row r="461">
      <c r="A461" s="68" t="n">
        <v>448</v>
      </c>
      <c r="B461" s="83" t="n">
        <v>447</v>
      </c>
      <c r="C461" s="83">
        <f>B461^2</f>
        <v/>
      </c>
      <c r="D461" s="69" t="n">
        <v>4556.78</v>
      </c>
      <c r="E461" s="69" t="n">
        <v>4639.0576</v>
      </c>
      <c r="F461" s="70">
        <f>D461-E461</f>
        <v/>
      </c>
      <c r="G461" s="69">
        <f>F461^2</f>
        <v/>
      </c>
      <c r="H461" s="68" t="inlineStr"/>
      <c r="I461" s="68" t="inlineStr"/>
    </row>
    <row r="462">
      <c r="A462" s="65" t="n">
        <v>449</v>
      </c>
      <c r="B462" s="82" t="n">
        <v>448</v>
      </c>
      <c r="C462" s="82">
        <f>B462^2</f>
        <v/>
      </c>
      <c r="D462" s="66" t="n">
        <v>4561.35</v>
      </c>
      <c r="E462" s="66" t="n">
        <v>4639.26004</v>
      </c>
      <c r="F462" s="67">
        <f>D462-E462</f>
        <v/>
      </c>
      <c r="G462" s="66">
        <f>F462^2</f>
        <v/>
      </c>
      <c r="H462" s="65" t="inlineStr"/>
      <c r="I462" s="65" t="inlineStr"/>
    </row>
    <row r="463">
      <c r="A463" s="68" t="n">
        <v>450</v>
      </c>
      <c r="B463" s="83" t="n">
        <v>449</v>
      </c>
      <c r="C463" s="83">
        <f>B463^2</f>
        <v/>
      </c>
      <c r="D463" s="69" t="n">
        <v>4556.2</v>
      </c>
      <c r="E463" s="69" t="n">
        <v>4639.46249</v>
      </c>
      <c r="F463" s="70">
        <f>D463-E463</f>
        <v/>
      </c>
      <c r="G463" s="69">
        <f>F463^2</f>
        <v/>
      </c>
      <c r="H463" s="68" t="inlineStr"/>
      <c r="I463" s="68" t="inlineStr"/>
    </row>
    <row r="464">
      <c r="A464" s="65" t="n">
        <v>451</v>
      </c>
      <c r="B464" s="82" t="n">
        <v>450</v>
      </c>
      <c r="C464" s="82">
        <f>B464^2</f>
        <v/>
      </c>
      <c r="D464" s="66" t="n">
        <v>4558.57</v>
      </c>
      <c r="E464" s="66" t="n">
        <v>4639.66493</v>
      </c>
      <c r="F464" s="67">
        <f>D464-E464</f>
        <v/>
      </c>
      <c r="G464" s="66">
        <f>F464^2</f>
        <v/>
      </c>
      <c r="H464" s="65" t="inlineStr"/>
      <c r="I464" s="65" t="inlineStr"/>
    </row>
    <row r="465">
      <c r="A465" s="68" t="n">
        <v>452</v>
      </c>
      <c r="B465" s="83" t="n">
        <v>451</v>
      </c>
      <c r="C465" s="83">
        <f>B465^2</f>
        <v/>
      </c>
      <c r="D465" s="69" t="n">
        <v>4560.43</v>
      </c>
      <c r="E465" s="69" t="n">
        <v>4639.86738</v>
      </c>
      <c r="F465" s="70">
        <f>D465-E465</f>
        <v/>
      </c>
      <c r="G465" s="69">
        <f>F465^2</f>
        <v/>
      </c>
      <c r="H465" s="68" t="inlineStr"/>
      <c r="I465" s="68" t="inlineStr"/>
    </row>
    <row r="466">
      <c r="A466" s="65" t="n">
        <v>453</v>
      </c>
      <c r="B466" s="82" t="n">
        <v>452</v>
      </c>
      <c r="C466" s="82">
        <f>B466^2</f>
        <v/>
      </c>
      <c r="D466" s="66" t="n">
        <v>4559.93</v>
      </c>
      <c r="E466" s="66" t="n">
        <v>4640.06983</v>
      </c>
      <c r="F466" s="67">
        <f>D466-E466</f>
        <v/>
      </c>
      <c r="G466" s="66">
        <f>F466^2</f>
        <v/>
      </c>
      <c r="H466" s="65" t="inlineStr"/>
      <c r="I466" s="65" t="inlineStr"/>
    </row>
    <row r="467">
      <c r="A467" s="68" t="n">
        <v>454</v>
      </c>
      <c r="B467" s="83" t="n">
        <v>453</v>
      </c>
      <c r="C467" s="83">
        <f>B467^2</f>
        <v/>
      </c>
      <c r="D467" s="69" t="n">
        <v>4564.29</v>
      </c>
      <c r="E467" s="69" t="n">
        <v>4640.27227</v>
      </c>
      <c r="F467" s="70">
        <f>D467-E467</f>
        <v/>
      </c>
      <c r="G467" s="69">
        <f>F467^2</f>
        <v/>
      </c>
      <c r="H467" s="68" t="inlineStr"/>
      <c r="I467" s="68" t="inlineStr"/>
    </row>
    <row r="468">
      <c r="A468" s="65" t="n">
        <v>455</v>
      </c>
      <c r="B468" s="82" t="n">
        <v>454</v>
      </c>
      <c r="C468" s="82">
        <f>B468^2</f>
        <v/>
      </c>
      <c r="D468" s="66" t="n">
        <v>4562.18</v>
      </c>
      <c r="E468" s="66" t="n">
        <v>4640.47472</v>
      </c>
      <c r="F468" s="67">
        <f>D468-E468</f>
        <v/>
      </c>
      <c r="G468" s="66">
        <f>F468^2</f>
        <v/>
      </c>
      <c r="H468" s="65" t="inlineStr"/>
      <c r="I468" s="65" t="inlineStr"/>
    </row>
    <row r="469">
      <c r="A469" s="68" t="n">
        <v>456</v>
      </c>
      <c r="B469" s="83" t="n">
        <v>455</v>
      </c>
      <c r="C469" s="83">
        <f>B469^2</f>
        <v/>
      </c>
      <c r="D469" s="69" t="n">
        <v>4561.56</v>
      </c>
      <c r="E469" s="69" t="n">
        <v>4640.67716</v>
      </c>
      <c r="F469" s="70">
        <f>D469-E469</f>
        <v/>
      </c>
      <c r="G469" s="69">
        <f>F469^2</f>
        <v/>
      </c>
      <c r="H469" s="68" t="inlineStr"/>
      <c r="I469" s="68" t="inlineStr"/>
    </row>
    <row r="470">
      <c r="A470" s="65" t="n">
        <v>457</v>
      </c>
      <c r="B470" s="82" t="n">
        <v>456</v>
      </c>
      <c r="C470" s="82">
        <f>B470^2</f>
        <v/>
      </c>
      <c r="D470" s="66" t="n">
        <v>4561.04</v>
      </c>
      <c r="E470" s="66" t="n">
        <v>4640.87961</v>
      </c>
      <c r="F470" s="67">
        <f>D470-E470</f>
        <v/>
      </c>
      <c r="G470" s="66">
        <f>F470^2</f>
        <v/>
      </c>
      <c r="H470" s="65" t="inlineStr"/>
      <c r="I470" s="65" t="inlineStr"/>
    </row>
    <row r="471">
      <c r="A471" s="68" t="n">
        <v>458</v>
      </c>
      <c r="B471" s="83" t="n">
        <v>457</v>
      </c>
      <c r="C471" s="83">
        <f>B471^2</f>
        <v/>
      </c>
      <c r="D471" s="69" t="n">
        <v>4557.24</v>
      </c>
      <c r="E471" s="69" t="n">
        <v>4641.08205</v>
      </c>
      <c r="F471" s="70">
        <f>D471-E471</f>
        <v/>
      </c>
      <c r="G471" s="69">
        <f>F471^2</f>
        <v/>
      </c>
      <c r="H471" s="68" t="inlineStr"/>
      <c r="I471" s="68" t="inlineStr"/>
    </row>
    <row r="472">
      <c r="A472" s="65" t="n">
        <v>459</v>
      </c>
      <c r="B472" s="82" t="n">
        <v>458</v>
      </c>
      <c r="C472" s="82">
        <f>B472^2</f>
        <v/>
      </c>
      <c r="D472" s="66" t="n">
        <v>4556.32</v>
      </c>
      <c r="E472" s="66" t="n">
        <v>4641.2845</v>
      </c>
      <c r="F472" s="67">
        <f>D472-E472</f>
        <v/>
      </c>
      <c r="G472" s="66">
        <f>F472^2</f>
        <v/>
      </c>
      <c r="H472" s="65" t="inlineStr"/>
      <c r="I472" s="65" t="inlineStr"/>
    </row>
    <row r="473">
      <c r="A473" s="68" t="n">
        <v>460</v>
      </c>
      <c r="B473" s="83" t="n">
        <v>459</v>
      </c>
      <c r="C473" s="83">
        <f>B473^2</f>
        <v/>
      </c>
      <c r="D473" s="69" t="n">
        <v>4555.64</v>
      </c>
      <c r="E473" s="69" t="n">
        <v>4641.48695</v>
      </c>
      <c r="F473" s="70">
        <f>D473-E473</f>
        <v/>
      </c>
      <c r="G473" s="69">
        <f>F473^2</f>
        <v/>
      </c>
      <c r="H473" s="68" t="inlineStr"/>
      <c r="I473" s="68" t="inlineStr"/>
    </row>
    <row r="474">
      <c r="A474" s="65" t="n">
        <v>461</v>
      </c>
      <c r="B474" s="82" t="n">
        <v>460</v>
      </c>
      <c r="C474" s="82">
        <f>B474^2</f>
        <v/>
      </c>
      <c r="D474" s="66" t="n">
        <v>4554.64</v>
      </c>
      <c r="E474" s="66" t="n">
        <v>4641.68939</v>
      </c>
      <c r="F474" s="67">
        <f>D474-E474</f>
        <v/>
      </c>
      <c r="G474" s="66">
        <f>F474^2</f>
        <v/>
      </c>
      <c r="H474" s="65" t="inlineStr"/>
      <c r="I474" s="65" t="inlineStr"/>
    </row>
    <row r="475">
      <c r="A475" s="68" t="n">
        <v>462</v>
      </c>
      <c r="B475" s="83" t="n">
        <v>461</v>
      </c>
      <c r="C475" s="83">
        <f>B475^2</f>
        <v/>
      </c>
      <c r="D475" s="69" t="n">
        <v>4557.01</v>
      </c>
      <c r="E475" s="69" t="n">
        <v>4641.89184</v>
      </c>
      <c r="F475" s="70">
        <f>D475-E475</f>
        <v/>
      </c>
      <c r="G475" s="69">
        <f>F475^2</f>
        <v/>
      </c>
      <c r="H475" s="68" t="inlineStr"/>
      <c r="I475" s="68" t="inlineStr"/>
    </row>
    <row r="476">
      <c r="A476" s="65" t="n">
        <v>463</v>
      </c>
      <c r="B476" s="82" t="n">
        <v>462</v>
      </c>
      <c r="C476" s="82">
        <f>B476^2</f>
        <v/>
      </c>
      <c r="D476" s="66" t="n">
        <v>4559.18</v>
      </c>
      <c r="E476" s="66" t="n">
        <v>4642.09428</v>
      </c>
      <c r="F476" s="67">
        <f>D476-E476</f>
        <v/>
      </c>
      <c r="G476" s="66">
        <f>F476^2</f>
        <v/>
      </c>
      <c r="H476" s="65" t="inlineStr"/>
      <c r="I476" s="65" t="inlineStr"/>
    </row>
    <row r="477">
      <c r="A477" s="68" t="n">
        <v>464</v>
      </c>
      <c r="B477" s="83" t="n">
        <v>463</v>
      </c>
      <c r="C477" s="83">
        <f>B477^2</f>
        <v/>
      </c>
      <c r="D477" s="69" t="n">
        <v>4555.63</v>
      </c>
      <c r="E477" s="69" t="n">
        <v>4642.29673</v>
      </c>
      <c r="F477" s="70">
        <f>D477-E477</f>
        <v/>
      </c>
      <c r="G477" s="69">
        <f>F477^2</f>
        <v/>
      </c>
      <c r="H477" s="68" t="inlineStr"/>
      <c r="I477" s="68" t="inlineStr"/>
    </row>
    <row r="478">
      <c r="A478" s="65" t="n">
        <v>465</v>
      </c>
      <c r="B478" s="82" t="n">
        <v>464</v>
      </c>
      <c r="C478" s="82">
        <f>B478^2</f>
        <v/>
      </c>
      <c r="D478" s="66" t="n">
        <v>4557.58</v>
      </c>
      <c r="E478" s="66" t="n">
        <v>4642.49917</v>
      </c>
      <c r="F478" s="67">
        <f>D478-E478</f>
        <v/>
      </c>
      <c r="G478" s="66">
        <f>F478^2</f>
        <v/>
      </c>
      <c r="H478" s="65" t="inlineStr"/>
      <c r="I478" s="65" t="inlineStr"/>
    </row>
    <row r="479">
      <c r="A479" s="68" t="n">
        <v>466</v>
      </c>
      <c r="B479" s="83" t="n">
        <v>465</v>
      </c>
      <c r="C479" s="83">
        <f>B479^2</f>
        <v/>
      </c>
      <c r="D479" s="69" t="n">
        <v>4550.67</v>
      </c>
      <c r="E479" s="69" t="n">
        <v>4642.70162</v>
      </c>
      <c r="F479" s="70">
        <f>D479-E479</f>
        <v/>
      </c>
      <c r="G479" s="69">
        <f>F479^2</f>
        <v/>
      </c>
      <c r="H479" s="68" t="inlineStr"/>
      <c r="I479" s="68" t="inlineStr"/>
    </row>
    <row r="480">
      <c r="A480" s="65" t="n">
        <v>467</v>
      </c>
      <c r="B480" s="82" t="n">
        <v>466</v>
      </c>
      <c r="C480" s="82">
        <f>B480^2</f>
        <v/>
      </c>
      <c r="D480" s="66" t="n">
        <v>4546.68</v>
      </c>
      <c r="E480" s="66" t="n">
        <v>4642.90407</v>
      </c>
      <c r="F480" s="67">
        <f>D480-E480</f>
        <v/>
      </c>
      <c r="G480" s="66">
        <f>F480^2</f>
        <v/>
      </c>
      <c r="H480" s="65" t="inlineStr"/>
      <c r="I480" s="65" t="inlineStr"/>
    </row>
    <row r="481">
      <c r="A481" s="68" t="n">
        <v>468</v>
      </c>
      <c r="B481" s="83" t="n">
        <v>467</v>
      </c>
      <c r="C481" s="83">
        <f>B481^2</f>
        <v/>
      </c>
      <c r="D481" s="69" t="n">
        <v>4548.82</v>
      </c>
      <c r="E481" s="69" t="n">
        <v>4643.10651</v>
      </c>
      <c r="F481" s="70">
        <f>D481-E481</f>
        <v/>
      </c>
      <c r="G481" s="69">
        <f>F481^2</f>
        <v/>
      </c>
      <c r="H481" s="68" t="inlineStr"/>
      <c r="I481" s="68" t="inlineStr"/>
    </row>
    <row r="482">
      <c r="A482" s="65" t="n">
        <v>469</v>
      </c>
      <c r="B482" s="82" t="n">
        <v>468</v>
      </c>
      <c r="C482" s="82">
        <f>B482^2</f>
        <v/>
      </c>
      <c r="D482" s="66" t="n">
        <v>4573.43</v>
      </c>
      <c r="E482" s="66" t="n">
        <v>4643.30896</v>
      </c>
      <c r="F482" s="67">
        <f>D482-E482</f>
        <v/>
      </c>
      <c r="G482" s="66">
        <f>F482^2</f>
        <v/>
      </c>
      <c r="H482" s="65" t="inlineStr"/>
      <c r="I482" s="65" t="inlineStr"/>
    </row>
    <row r="483">
      <c r="A483" s="68" t="n">
        <v>470</v>
      </c>
      <c r="B483" s="83" t="n">
        <v>469</v>
      </c>
      <c r="C483" s="83">
        <f>B483^2</f>
        <v/>
      </c>
      <c r="D483" s="69" t="n">
        <v>4588.62</v>
      </c>
      <c r="E483" s="69" t="n">
        <v>4643.5114</v>
      </c>
      <c r="F483" s="70">
        <f>D483-E483</f>
        <v/>
      </c>
      <c r="G483" s="69">
        <f>F483^2</f>
        <v/>
      </c>
      <c r="H483" s="68" t="inlineStr"/>
      <c r="I483" s="68" t="inlineStr"/>
    </row>
    <row r="484">
      <c r="A484" s="65" t="n">
        <v>471</v>
      </c>
      <c r="B484" s="82" t="n">
        <v>470</v>
      </c>
      <c r="C484" s="82">
        <f>B484^2</f>
        <v/>
      </c>
      <c r="D484" s="66" t="n">
        <v>4582.1</v>
      </c>
      <c r="E484" s="66" t="n">
        <v>4643.71385</v>
      </c>
      <c r="F484" s="67">
        <f>D484-E484</f>
        <v/>
      </c>
      <c r="G484" s="66">
        <f>F484^2</f>
        <v/>
      </c>
      <c r="H484" s="65" t="inlineStr"/>
      <c r="I484" s="65" t="inlineStr"/>
    </row>
    <row r="485">
      <c r="A485" s="68" t="n">
        <v>472</v>
      </c>
      <c r="B485" s="83" t="n">
        <v>471</v>
      </c>
      <c r="C485" s="83">
        <f>B485^2</f>
        <v/>
      </c>
      <c r="D485" s="69" t="n">
        <v>4584.84</v>
      </c>
      <c r="E485" s="69" t="n">
        <v>4643.91629</v>
      </c>
      <c r="F485" s="70">
        <f>D485-E485</f>
        <v/>
      </c>
      <c r="G485" s="69">
        <f>F485^2</f>
        <v/>
      </c>
      <c r="H485" s="68" t="inlineStr"/>
      <c r="I485" s="68" t="inlineStr"/>
    </row>
    <row r="486">
      <c r="A486" s="65" t="n">
        <v>473</v>
      </c>
      <c r="B486" s="82" t="n">
        <v>472</v>
      </c>
      <c r="C486" s="82">
        <f>B486^2</f>
        <v/>
      </c>
      <c r="D486" s="66" t="n">
        <v>4593.92</v>
      </c>
      <c r="E486" s="66" t="n">
        <v>4644.11874</v>
      </c>
      <c r="F486" s="67">
        <f>D486-E486</f>
        <v/>
      </c>
      <c r="G486" s="66">
        <f>F486^2</f>
        <v/>
      </c>
      <c r="H486" s="65" t="inlineStr"/>
      <c r="I486" s="65" t="inlineStr"/>
    </row>
    <row r="487">
      <c r="A487" s="68" t="n">
        <v>474</v>
      </c>
      <c r="B487" s="83" t="n">
        <v>473</v>
      </c>
      <c r="C487" s="83">
        <f>B487^2</f>
        <v/>
      </c>
      <c r="D487" s="69" t="n">
        <v>4591.76</v>
      </c>
      <c r="E487" s="69" t="n">
        <v>4644.32119</v>
      </c>
      <c r="F487" s="70">
        <f>D487-E487</f>
        <v/>
      </c>
      <c r="G487" s="69">
        <f>F487^2</f>
        <v/>
      </c>
      <c r="H487" s="68" t="inlineStr"/>
      <c r="I487" s="68" t="inlineStr"/>
    </row>
    <row r="488">
      <c r="A488" s="65" t="n">
        <v>475</v>
      </c>
      <c r="B488" s="82" t="n">
        <v>474</v>
      </c>
      <c r="C488" s="82">
        <f>B488^2</f>
        <v/>
      </c>
      <c r="D488" s="66" t="n">
        <v>4602.23</v>
      </c>
      <c r="E488" s="66" t="n">
        <v>4644.52363</v>
      </c>
      <c r="F488" s="67">
        <f>D488-E488</f>
        <v/>
      </c>
      <c r="G488" s="66">
        <f>F488^2</f>
        <v/>
      </c>
      <c r="H488" s="65" t="inlineStr"/>
      <c r="I488" s="65" t="inlineStr"/>
    </row>
    <row r="489">
      <c r="A489" s="68" t="n">
        <v>476</v>
      </c>
      <c r="B489" s="83" t="n">
        <v>475</v>
      </c>
      <c r="C489" s="83">
        <f>B489^2</f>
        <v/>
      </c>
      <c r="D489" s="69" t="n">
        <v>4610.32</v>
      </c>
      <c r="E489" s="69" t="n">
        <v>4644.72608</v>
      </c>
      <c r="F489" s="70">
        <f>D489-E489</f>
        <v/>
      </c>
      <c r="G489" s="69">
        <f>F489^2</f>
        <v/>
      </c>
      <c r="H489" s="68" t="inlineStr"/>
      <c r="I489" s="68" t="inlineStr"/>
    </row>
    <row r="490">
      <c r="A490" s="65" t="n">
        <v>477</v>
      </c>
      <c r="B490" s="82" t="n">
        <v>476</v>
      </c>
      <c r="C490" s="82">
        <f>B490^2</f>
        <v/>
      </c>
      <c r="D490" s="66" t="n">
        <v>4618.87</v>
      </c>
      <c r="E490" s="66" t="n">
        <v>4644.92852</v>
      </c>
      <c r="F490" s="67">
        <f>D490-E490</f>
        <v/>
      </c>
      <c r="G490" s="66">
        <f>F490^2</f>
        <v/>
      </c>
      <c r="H490" s="65" t="inlineStr"/>
      <c r="I490" s="65" t="inlineStr"/>
    </row>
    <row r="491">
      <c r="A491" s="68" t="n">
        <v>478</v>
      </c>
      <c r="B491" s="83" t="n">
        <v>477</v>
      </c>
      <c r="C491" s="83">
        <f>B491^2</f>
        <v/>
      </c>
      <c r="D491" s="69" t="n">
        <v>4611.55</v>
      </c>
      <c r="E491" s="69" t="n">
        <v>4645.13097</v>
      </c>
      <c r="F491" s="70">
        <f>D491-E491</f>
        <v/>
      </c>
      <c r="G491" s="69">
        <f>F491^2</f>
        <v/>
      </c>
      <c r="H491" s="68" t="inlineStr"/>
      <c r="I491" s="68" t="inlineStr"/>
    </row>
    <row r="492">
      <c r="A492" s="65" t="n">
        <v>479</v>
      </c>
      <c r="B492" s="82" t="n">
        <v>478</v>
      </c>
      <c r="C492" s="82">
        <f>B492^2</f>
        <v/>
      </c>
      <c r="D492" s="66" t="n">
        <v>4625</v>
      </c>
      <c r="E492" s="66" t="n">
        <v>4645.33341</v>
      </c>
      <c r="F492" s="67">
        <f>D492-E492</f>
        <v/>
      </c>
      <c r="G492" s="66">
        <f>F492^2</f>
        <v/>
      </c>
      <c r="H492" s="65" t="inlineStr"/>
      <c r="I492" s="65" t="inlineStr"/>
    </row>
    <row r="493">
      <c r="A493" s="68" t="n">
        <v>480</v>
      </c>
      <c r="B493" s="83" t="n">
        <v>479</v>
      </c>
      <c r="C493" s="83">
        <f>B493^2</f>
        <v/>
      </c>
      <c r="D493" s="69" t="n">
        <v>4624.12</v>
      </c>
      <c r="E493" s="69" t="n">
        <v>4645.53586</v>
      </c>
      <c r="F493" s="70">
        <f>D493-E493</f>
        <v/>
      </c>
      <c r="G493" s="69">
        <f>F493^2</f>
        <v/>
      </c>
      <c r="H493" s="68" t="inlineStr"/>
      <c r="I493" s="68" t="inlineStr"/>
    </row>
    <row r="494">
      <c r="A494" s="65" t="n">
        <v>481</v>
      </c>
      <c r="B494" s="82" t="n">
        <v>480</v>
      </c>
      <c r="C494" s="82">
        <f>B494^2</f>
        <v/>
      </c>
      <c r="D494" s="66" t="n">
        <v>4626.18</v>
      </c>
      <c r="E494" s="66" t="n">
        <v>4645.73831</v>
      </c>
      <c r="F494" s="67">
        <f>D494-E494</f>
        <v/>
      </c>
      <c r="G494" s="66">
        <f>F494^2</f>
        <v/>
      </c>
      <c r="H494" s="65" t="inlineStr"/>
      <c r="I494" s="65" t="inlineStr"/>
    </row>
    <row r="495">
      <c r="A495" s="68" t="n">
        <v>482</v>
      </c>
      <c r="B495" s="83" t="n">
        <v>481</v>
      </c>
      <c r="C495" s="83">
        <f>B495^2</f>
        <v/>
      </c>
      <c r="D495" s="69" t="n">
        <v>4633.69</v>
      </c>
      <c r="E495" s="69" t="n">
        <v>4645.94075</v>
      </c>
      <c r="F495" s="70">
        <f>D495-E495</f>
        <v/>
      </c>
      <c r="G495" s="69">
        <f>F495^2</f>
        <v/>
      </c>
      <c r="H495" s="68" t="inlineStr"/>
      <c r="I495" s="68" t="inlineStr"/>
    </row>
    <row r="496">
      <c r="A496" s="65" t="n">
        <v>483</v>
      </c>
      <c r="B496" s="82" t="n">
        <v>482</v>
      </c>
      <c r="C496" s="82">
        <f>B496^2</f>
        <v/>
      </c>
      <c r="D496" s="66" t="n">
        <v>4630.22</v>
      </c>
      <c r="E496" s="66" t="n">
        <v>4646.1432</v>
      </c>
      <c r="F496" s="67">
        <f>D496-E496</f>
        <v/>
      </c>
      <c r="G496" s="66">
        <f>F496^2</f>
        <v/>
      </c>
      <c r="H496" s="65" t="inlineStr"/>
      <c r="I496" s="65" t="inlineStr"/>
    </row>
    <row r="497">
      <c r="A497" s="68" t="n">
        <v>484</v>
      </c>
      <c r="B497" s="83" t="n">
        <v>483</v>
      </c>
      <c r="C497" s="83">
        <f>B497^2</f>
        <v/>
      </c>
      <c r="D497" s="69" t="n">
        <v>4635.01</v>
      </c>
      <c r="E497" s="69" t="n">
        <v>4646.34564</v>
      </c>
      <c r="F497" s="70">
        <f>D497-E497</f>
        <v/>
      </c>
      <c r="G497" s="69">
        <f>F497^2</f>
        <v/>
      </c>
      <c r="H497" s="68" t="inlineStr"/>
      <c r="I497" s="68" t="inlineStr"/>
    </row>
    <row r="498">
      <c r="A498" s="65" t="n">
        <v>485</v>
      </c>
      <c r="B498" s="82" t="n">
        <v>484</v>
      </c>
      <c r="C498" s="82">
        <f>B498^2</f>
        <v/>
      </c>
      <c r="D498" s="66" t="n">
        <v>4640.94</v>
      </c>
      <c r="E498" s="66" t="n">
        <v>4646.54809</v>
      </c>
      <c r="F498" s="67">
        <f>D498-E498</f>
        <v/>
      </c>
      <c r="G498" s="66">
        <f>F498^2</f>
        <v/>
      </c>
      <c r="H498" s="65" t="inlineStr"/>
      <c r="I498" s="65" t="inlineStr"/>
    </row>
    <row r="499">
      <c r="A499" s="68" t="n">
        <v>486</v>
      </c>
      <c r="B499" s="83" t="n">
        <v>485</v>
      </c>
      <c r="C499" s="83">
        <f>B499^2</f>
        <v/>
      </c>
      <c r="D499" s="69" t="n">
        <v>4647.89</v>
      </c>
      <c r="E499" s="69" t="n">
        <v>4646.75053</v>
      </c>
      <c r="F499" s="70">
        <f>D499-E499</f>
        <v/>
      </c>
      <c r="G499" s="69">
        <f>F499^2</f>
        <v/>
      </c>
      <c r="H499" s="68" t="inlineStr"/>
      <c r="I499" s="68" t="inlineStr"/>
    </row>
    <row r="500">
      <c r="A500" s="65" t="n">
        <v>487</v>
      </c>
      <c r="B500" s="82" t="n">
        <v>486</v>
      </c>
      <c r="C500" s="82">
        <f>B500^2</f>
        <v/>
      </c>
      <c r="D500" s="66" t="n">
        <v>4645.81</v>
      </c>
      <c r="E500" s="66" t="n">
        <v>4646.95298</v>
      </c>
      <c r="F500" s="67">
        <f>D500-E500</f>
        <v/>
      </c>
      <c r="G500" s="66">
        <f>F500^2</f>
        <v/>
      </c>
      <c r="H500" s="65" t="inlineStr"/>
      <c r="I500" s="65" t="inlineStr"/>
    </row>
    <row r="501">
      <c r="A501" s="68" t="n">
        <v>488</v>
      </c>
      <c r="B501" s="83" t="n">
        <v>487</v>
      </c>
      <c r="C501" s="83">
        <f>B501^2</f>
        <v/>
      </c>
      <c r="D501" s="69" t="n">
        <v>4647.74</v>
      </c>
      <c r="E501" s="69" t="n">
        <v>4647.15542</v>
      </c>
      <c r="F501" s="70">
        <f>D501-E501</f>
        <v/>
      </c>
      <c r="G501" s="69">
        <f>F501^2</f>
        <v/>
      </c>
      <c r="H501" s="68" t="inlineStr"/>
      <c r="I501" s="68" t="inlineStr"/>
    </row>
    <row r="502">
      <c r="A502" s="65" t="n">
        <v>489</v>
      </c>
      <c r="B502" s="82" t="n">
        <v>488</v>
      </c>
      <c r="C502" s="82">
        <f>B502^2</f>
        <v/>
      </c>
      <c r="D502" s="66" t="n">
        <v>4643.84</v>
      </c>
      <c r="E502" s="66" t="n">
        <v>4647.35787</v>
      </c>
      <c r="F502" s="67">
        <f>D502-E502</f>
        <v/>
      </c>
      <c r="G502" s="66">
        <f>F502^2</f>
        <v/>
      </c>
      <c r="H502" s="65" t="inlineStr"/>
      <c r="I502" s="65" t="inlineStr"/>
    </row>
    <row r="503">
      <c r="A503" s="68" t="n">
        <v>490</v>
      </c>
      <c r="B503" s="83" t="n">
        <v>489</v>
      </c>
      <c r="C503" s="83">
        <f>B503^2</f>
        <v/>
      </c>
      <c r="D503" s="69" t="n">
        <v>4647.59</v>
      </c>
      <c r="E503" s="69" t="n">
        <v>4647.56032</v>
      </c>
      <c r="F503" s="70">
        <f>D503-E503</f>
        <v/>
      </c>
      <c r="G503" s="69">
        <f>F503^2</f>
        <v/>
      </c>
      <c r="H503" s="68" t="inlineStr"/>
      <c r="I503" s="68" t="inlineStr"/>
    </row>
    <row r="504">
      <c r="A504" s="65" t="n">
        <v>491</v>
      </c>
      <c r="B504" s="82" t="n">
        <v>490</v>
      </c>
      <c r="C504" s="82">
        <f>B504^2</f>
        <v/>
      </c>
      <c r="D504" s="66" t="n">
        <v>4653.19</v>
      </c>
      <c r="E504" s="66" t="n">
        <v>4647.76276</v>
      </c>
      <c r="F504" s="67">
        <f>D504-E504</f>
        <v/>
      </c>
      <c r="G504" s="66">
        <f>F504^2</f>
        <v/>
      </c>
      <c r="H504" s="65" t="inlineStr"/>
      <c r="I504" s="65" t="inlineStr"/>
    </row>
    <row r="505">
      <c r="A505" s="68" t="n">
        <v>492</v>
      </c>
      <c r="B505" s="83" t="n">
        <v>491</v>
      </c>
      <c r="C505" s="83">
        <f>B505^2</f>
        <v/>
      </c>
      <c r="D505" s="69" t="n">
        <v>4647.47</v>
      </c>
      <c r="E505" s="69" t="n">
        <v>4647.96521</v>
      </c>
      <c r="F505" s="70">
        <f>D505-E505</f>
        <v/>
      </c>
      <c r="G505" s="69">
        <f>F505^2</f>
        <v/>
      </c>
      <c r="H505" s="68" t="inlineStr"/>
      <c r="I505" s="68" t="inlineStr"/>
    </row>
    <row r="506">
      <c r="A506" s="65" t="n">
        <v>493</v>
      </c>
      <c r="B506" s="82" t="n">
        <v>492</v>
      </c>
      <c r="C506" s="82">
        <f>B506^2</f>
        <v/>
      </c>
      <c r="D506" s="66" t="n">
        <v>4648.72</v>
      </c>
      <c r="E506" s="66" t="n">
        <v>4648.16765</v>
      </c>
      <c r="F506" s="67">
        <f>D506-E506</f>
        <v/>
      </c>
      <c r="G506" s="66">
        <f>F506^2</f>
        <v/>
      </c>
      <c r="H506" s="65" t="inlineStr"/>
      <c r="I506" s="65" t="inlineStr"/>
    </row>
    <row r="507">
      <c r="A507" s="68" t="n">
        <v>494</v>
      </c>
      <c r="B507" s="83" t="n">
        <v>493</v>
      </c>
      <c r="C507" s="83">
        <f>B507^2</f>
        <v/>
      </c>
      <c r="D507" s="69" t="n">
        <v>4654.64</v>
      </c>
      <c r="E507" s="69" t="n">
        <v>4648.3701</v>
      </c>
      <c r="F507" s="70">
        <f>D507-E507</f>
        <v/>
      </c>
      <c r="G507" s="69">
        <f>F507^2</f>
        <v/>
      </c>
      <c r="H507" s="68" t="inlineStr"/>
      <c r="I507" s="68" t="inlineStr"/>
    </row>
    <row r="508">
      <c r="A508" s="65" t="n">
        <v>495</v>
      </c>
      <c r="B508" s="82" t="n">
        <v>494</v>
      </c>
      <c r="C508" s="82">
        <f>B508^2</f>
        <v/>
      </c>
      <c r="D508" s="66" t="n">
        <v>4650.4</v>
      </c>
      <c r="E508" s="66" t="n">
        <v>4648.57254</v>
      </c>
      <c r="F508" s="67">
        <f>D508-E508</f>
        <v/>
      </c>
      <c r="G508" s="66">
        <f>F508^2</f>
        <v/>
      </c>
      <c r="H508" s="65" t="inlineStr"/>
      <c r="I508" s="65" t="inlineStr"/>
    </row>
    <row r="509">
      <c r="A509" s="68" t="n">
        <v>496</v>
      </c>
      <c r="B509" s="83" t="n">
        <v>495</v>
      </c>
      <c r="C509" s="83">
        <f>B509^2</f>
        <v/>
      </c>
      <c r="D509" s="69" t="n">
        <v>4650.19</v>
      </c>
      <c r="E509" s="69" t="n">
        <v>4648.77499</v>
      </c>
      <c r="F509" s="70">
        <f>D509-E509</f>
        <v/>
      </c>
      <c r="G509" s="69">
        <f>F509^2</f>
        <v/>
      </c>
      <c r="H509" s="68" t="inlineStr"/>
      <c r="I509" s="68" t="inlineStr"/>
    </row>
    <row r="510">
      <c r="A510" s="65" t="n">
        <v>497</v>
      </c>
      <c r="B510" s="82" t="n">
        <v>496</v>
      </c>
      <c r="C510" s="82">
        <f>B510^2</f>
        <v/>
      </c>
      <c r="D510" s="66" t="n">
        <v>4663.2</v>
      </c>
      <c r="E510" s="66" t="n">
        <v>4648.97744</v>
      </c>
      <c r="F510" s="67">
        <f>D510-E510</f>
        <v/>
      </c>
      <c r="G510" s="66">
        <f>F510^2</f>
        <v/>
      </c>
      <c r="H510" s="65" t="inlineStr"/>
      <c r="I510" s="65" t="inlineStr"/>
    </row>
    <row r="511">
      <c r="A511" s="68" t="n">
        <v>498</v>
      </c>
      <c r="B511" s="83" t="n">
        <v>497</v>
      </c>
      <c r="C511" s="83">
        <f>B511^2</f>
        <v/>
      </c>
      <c r="D511" s="69" t="n">
        <v>4660.55</v>
      </c>
      <c r="E511" s="69" t="n">
        <v>4649.17988</v>
      </c>
      <c r="F511" s="70">
        <f>D511-E511</f>
        <v/>
      </c>
      <c r="G511" s="69">
        <f>F511^2</f>
        <v/>
      </c>
      <c r="H511" s="68" t="inlineStr"/>
      <c r="I511" s="68" t="inlineStr"/>
    </row>
    <row r="512">
      <c r="A512" s="65" t="n">
        <v>499</v>
      </c>
      <c r="B512" s="82" t="n">
        <v>498</v>
      </c>
      <c r="C512" s="82">
        <f>B512^2</f>
        <v/>
      </c>
      <c r="D512" s="66" t="n">
        <v>4666.15</v>
      </c>
      <c r="E512" s="66" t="n">
        <v>4649.38233</v>
      </c>
      <c r="F512" s="67">
        <f>D512-E512</f>
        <v/>
      </c>
      <c r="G512" s="66">
        <f>F512^2</f>
        <v/>
      </c>
      <c r="H512" s="65" t="inlineStr"/>
      <c r="I512" s="65" t="inlineStr"/>
    </row>
    <row r="513">
      <c r="A513" s="68" t="n">
        <v>500</v>
      </c>
      <c r="B513" s="83" t="n">
        <v>499</v>
      </c>
      <c r="C513" s="83">
        <f>B513^2</f>
        <v/>
      </c>
      <c r="D513" s="69" t="n">
        <v>4664.33</v>
      </c>
      <c r="E513" s="69" t="n">
        <v>4649.58477</v>
      </c>
      <c r="F513" s="70">
        <f>D513-E513</f>
        <v/>
      </c>
      <c r="G513" s="69">
        <f>F513^2</f>
        <v/>
      </c>
      <c r="H513" s="68" t="inlineStr"/>
      <c r="I513" s="68" t="inlineStr"/>
    </row>
    <row r="514">
      <c r="A514" s="65" t="n">
        <v>501</v>
      </c>
      <c r="B514" s="82" t="n">
        <v>500</v>
      </c>
      <c r="C514" s="82">
        <f>B514^2</f>
        <v/>
      </c>
      <c r="D514" s="66" t="n">
        <v>4669.38</v>
      </c>
      <c r="E514" s="66" t="n">
        <v>4649.78722</v>
      </c>
      <c r="F514" s="67">
        <f>D514-E514</f>
        <v/>
      </c>
      <c r="G514" s="66">
        <f>F514^2</f>
        <v/>
      </c>
      <c r="H514" s="65" t="inlineStr"/>
      <c r="I514" s="65" t="inlineStr"/>
    </row>
    <row r="515">
      <c r="A515" s="68" t="n">
        <v>502</v>
      </c>
      <c r="B515" s="83" t="n">
        <v>501</v>
      </c>
      <c r="C515" s="83">
        <f>B515^2</f>
        <v/>
      </c>
      <c r="D515" s="69" t="n">
        <v>4658.43</v>
      </c>
      <c r="E515" s="69" t="n">
        <v>4649.98966</v>
      </c>
      <c r="F515" s="70">
        <f>D515-E515</f>
        <v/>
      </c>
      <c r="G515" s="69">
        <f>F515^2</f>
        <v/>
      </c>
      <c r="H515" s="68" t="inlineStr"/>
      <c r="I515" s="68" t="inlineStr"/>
    </row>
    <row r="516">
      <c r="A516" s="65" t="n">
        <v>503</v>
      </c>
      <c r="B516" s="82" t="n">
        <v>502</v>
      </c>
      <c r="C516" s="82">
        <f>B516^2</f>
        <v/>
      </c>
      <c r="D516" s="66" t="n">
        <v>4667.5</v>
      </c>
      <c r="E516" s="66" t="n">
        <v>4650.19211</v>
      </c>
      <c r="F516" s="67">
        <f>D516-E516</f>
        <v/>
      </c>
      <c r="G516" s="66">
        <f>F516^2</f>
        <v/>
      </c>
      <c r="H516" s="65" t="inlineStr"/>
      <c r="I516" s="65" t="inlineStr"/>
    </row>
    <row r="517">
      <c r="A517" s="68" t="n">
        <v>504</v>
      </c>
      <c r="B517" s="83" t="n">
        <v>503</v>
      </c>
      <c r="C517" s="83">
        <f>B517^2</f>
        <v/>
      </c>
      <c r="D517" s="69" t="n">
        <v>4670.18</v>
      </c>
      <c r="E517" s="69" t="n">
        <v>4650.39456</v>
      </c>
      <c r="F517" s="70">
        <f>D517-E517</f>
        <v/>
      </c>
      <c r="G517" s="69">
        <f>F517^2</f>
        <v/>
      </c>
      <c r="H517" s="68" t="inlineStr"/>
      <c r="I517" s="68" t="inlineStr"/>
    </row>
    <row r="518">
      <c r="A518" s="65" t="n">
        <v>505</v>
      </c>
      <c r="B518" s="82" t="n">
        <v>504</v>
      </c>
      <c r="C518" s="82">
        <f>B518^2</f>
        <v/>
      </c>
      <c r="D518" s="66" t="n">
        <v>4681.72</v>
      </c>
      <c r="E518" s="66" t="n">
        <v>4650.597</v>
      </c>
      <c r="F518" s="67">
        <f>D518-E518</f>
        <v/>
      </c>
      <c r="G518" s="66">
        <f>F518^2</f>
        <v/>
      </c>
      <c r="H518" s="65" t="inlineStr"/>
      <c r="I518" s="65" t="inlineStr"/>
    </row>
    <row r="519">
      <c r="A519" s="68" t="n">
        <v>506</v>
      </c>
      <c r="B519" s="83" t="n">
        <v>505</v>
      </c>
      <c r="C519" s="83">
        <f>B519^2</f>
        <v/>
      </c>
      <c r="D519" s="69" t="n">
        <v>4679.57</v>
      </c>
      <c r="E519" s="69" t="n">
        <v>4650.79945</v>
      </c>
      <c r="F519" s="70">
        <f>D519-E519</f>
        <v/>
      </c>
      <c r="G519" s="69">
        <f>F519^2</f>
        <v/>
      </c>
      <c r="H519" s="68" t="inlineStr"/>
      <c r="I519" s="68" t="inlineStr"/>
    </row>
    <row r="520">
      <c r="A520" s="65" t="n">
        <v>507</v>
      </c>
      <c r="B520" s="82" t="n">
        <v>506</v>
      </c>
      <c r="C520" s="82">
        <f>B520^2</f>
        <v/>
      </c>
      <c r="D520" s="66" t="n">
        <v>4677</v>
      </c>
      <c r="E520" s="66" t="n">
        <v>4651.00189</v>
      </c>
      <c r="F520" s="67">
        <f>D520-E520</f>
        <v/>
      </c>
      <c r="G520" s="66">
        <f>F520^2</f>
        <v/>
      </c>
      <c r="H520" s="65" t="inlineStr"/>
      <c r="I520" s="65" t="inlineStr"/>
    </row>
    <row r="521">
      <c r="A521" s="68" t="n">
        <v>508</v>
      </c>
      <c r="B521" s="83" t="n">
        <v>507</v>
      </c>
      <c r="C521" s="83">
        <f>B521^2</f>
        <v/>
      </c>
      <c r="D521" s="69" t="n">
        <v>4677.27</v>
      </c>
      <c r="E521" s="69" t="n">
        <v>4651.20434</v>
      </c>
      <c r="F521" s="70">
        <f>D521-E521</f>
        <v/>
      </c>
      <c r="G521" s="69">
        <f>F521^2</f>
        <v/>
      </c>
      <c r="H521" s="68" t="inlineStr"/>
      <c r="I521" s="68" t="inlineStr"/>
    </row>
    <row r="522">
      <c r="A522" s="65" t="n">
        <v>509</v>
      </c>
      <c r="B522" s="82" t="n">
        <v>508</v>
      </c>
      <c r="C522" s="82">
        <f>B522^2</f>
        <v/>
      </c>
      <c r="D522" s="66" t="n">
        <v>4700.09</v>
      </c>
      <c r="E522" s="66" t="n">
        <v>4651.40678</v>
      </c>
      <c r="F522" s="67">
        <f>D522-E522</f>
        <v/>
      </c>
      <c r="G522" s="66">
        <f>F522^2</f>
        <v/>
      </c>
      <c r="H522" s="65" t="inlineStr"/>
      <c r="I522" s="65" t="inlineStr"/>
    </row>
    <row r="523">
      <c r="A523" s="68" t="n">
        <v>510</v>
      </c>
      <c r="B523" s="83" t="n">
        <v>509</v>
      </c>
      <c r="C523" s="83">
        <f>B523^2</f>
        <v/>
      </c>
      <c r="D523" s="69" t="n">
        <v>4695.69</v>
      </c>
      <c r="E523" s="69" t="n">
        <v>4651.60923</v>
      </c>
      <c r="F523" s="70">
        <f>D523-E523</f>
        <v/>
      </c>
      <c r="G523" s="69">
        <f>F523^2</f>
        <v/>
      </c>
      <c r="H523" s="68" t="inlineStr"/>
      <c r="I523" s="68" t="inlineStr"/>
    </row>
    <row r="524">
      <c r="A524" s="65" t="n">
        <v>511</v>
      </c>
      <c r="B524" s="82" t="n">
        <v>510</v>
      </c>
      <c r="C524" s="82">
        <f>B524^2</f>
        <v/>
      </c>
      <c r="D524" s="66" t="n">
        <v>4700.12</v>
      </c>
      <c r="E524" s="66" t="n">
        <v>4651.81168</v>
      </c>
      <c r="F524" s="67">
        <f>D524-E524</f>
        <v/>
      </c>
      <c r="G524" s="66">
        <f>F524^2</f>
        <v/>
      </c>
      <c r="H524" s="65" t="inlineStr"/>
      <c r="I524" s="65" t="inlineStr"/>
    </row>
    <row r="525">
      <c r="A525" s="68" t="n">
        <v>512</v>
      </c>
      <c r="B525" s="83" t="n">
        <v>511</v>
      </c>
      <c r="C525" s="83">
        <f>B525^2</f>
        <v/>
      </c>
      <c r="D525" s="69" t="n">
        <v>4696.04</v>
      </c>
      <c r="E525" s="69" t="n">
        <v>4652.01412</v>
      </c>
      <c r="F525" s="70">
        <f>D525-E525</f>
        <v/>
      </c>
      <c r="G525" s="69">
        <f>F525^2</f>
        <v/>
      </c>
      <c r="H525" s="68" t="inlineStr"/>
      <c r="I525" s="68" t="inlineStr"/>
    </row>
    <row r="526">
      <c r="A526" s="65" t="n">
        <v>513</v>
      </c>
      <c r="B526" s="82" t="n">
        <v>512</v>
      </c>
      <c r="C526" s="82">
        <f>B526^2</f>
        <v/>
      </c>
      <c r="D526" s="66" t="n">
        <v>4701.75</v>
      </c>
      <c r="E526" s="66" t="n">
        <v>4652.21657</v>
      </c>
      <c r="F526" s="67">
        <f>D526-E526</f>
        <v/>
      </c>
      <c r="G526" s="66">
        <f>F526^2</f>
        <v/>
      </c>
      <c r="H526" s="65" t="inlineStr"/>
      <c r="I526" s="65" t="inlineStr"/>
    </row>
    <row r="527">
      <c r="A527" s="68" t="n">
        <v>514</v>
      </c>
      <c r="B527" s="83" t="n">
        <v>513</v>
      </c>
      <c r="C527" s="83">
        <f>B527^2</f>
        <v/>
      </c>
      <c r="D527" s="69" t="n">
        <v>4698.2</v>
      </c>
      <c r="E527" s="69" t="n">
        <v>4652.41901</v>
      </c>
      <c r="F527" s="70">
        <f>D527-E527</f>
        <v/>
      </c>
      <c r="G527" s="69">
        <f>F527^2</f>
        <v/>
      </c>
      <c r="H527" s="68" t="inlineStr"/>
      <c r="I527" s="68" t="inlineStr"/>
    </row>
    <row r="528">
      <c r="A528" s="65" t="n">
        <v>515</v>
      </c>
      <c r="B528" s="82" t="n">
        <v>514</v>
      </c>
      <c r="C528" s="82">
        <f>B528^2</f>
        <v/>
      </c>
      <c r="D528" s="66" t="n">
        <v>4704.64</v>
      </c>
      <c r="E528" s="66" t="n">
        <v>4652.62146</v>
      </c>
      <c r="F528" s="67">
        <f>D528-E528</f>
        <v/>
      </c>
      <c r="G528" s="66">
        <f>F528^2</f>
        <v/>
      </c>
      <c r="H528" s="65" t="inlineStr"/>
      <c r="I528" s="65" t="inlineStr"/>
    </row>
    <row r="529">
      <c r="A529" s="68" t="n">
        <v>516</v>
      </c>
      <c r="B529" s="83" t="n">
        <v>515</v>
      </c>
      <c r="C529" s="83">
        <f>B529^2</f>
        <v/>
      </c>
      <c r="D529" s="69" t="n">
        <v>4714.15</v>
      </c>
      <c r="E529" s="69" t="n">
        <v>4652.8239</v>
      </c>
      <c r="F529" s="70">
        <f>D529-E529</f>
        <v/>
      </c>
      <c r="G529" s="69">
        <f>F529^2</f>
        <v/>
      </c>
      <c r="H529" s="68" t="inlineStr"/>
      <c r="I529" s="68" t="inlineStr"/>
    </row>
    <row r="530">
      <c r="A530" s="65" t="n">
        <v>517</v>
      </c>
      <c r="B530" s="82" t="n">
        <v>516</v>
      </c>
      <c r="C530" s="82">
        <f>B530^2</f>
        <v/>
      </c>
      <c r="D530" s="66" t="n">
        <v>4718.25</v>
      </c>
      <c r="E530" s="66" t="n">
        <v>4653.02635</v>
      </c>
      <c r="F530" s="67">
        <f>D530-E530</f>
        <v/>
      </c>
      <c r="G530" s="66">
        <f>F530^2</f>
        <v/>
      </c>
      <c r="H530" s="65" t="inlineStr"/>
      <c r="I530" s="65" t="inlineStr"/>
    </row>
    <row r="531">
      <c r="A531" s="68" t="n">
        <v>518</v>
      </c>
      <c r="B531" s="83" t="n">
        <v>517</v>
      </c>
      <c r="C531" s="83">
        <f>B531^2</f>
        <v/>
      </c>
      <c r="D531" s="69" t="n">
        <v>4711.97</v>
      </c>
      <c r="E531" s="69" t="n">
        <v>4653.2288</v>
      </c>
      <c r="F531" s="70">
        <f>D531-E531</f>
        <v/>
      </c>
      <c r="G531" s="69">
        <f>F531^2</f>
        <v/>
      </c>
      <c r="H531" s="68" t="inlineStr"/>
      <c r="I531" s="68" t="inlineStr"/>
    </row>
    <row r="532">
      <c r="A532" s="65" t="n">
        <v>519</v>
      </c>
      <c r="B532" s="82" t="n">
        <v>518</v>
      </c>
      <c r="C532" s="82">
        <f>B532^2</f>
        <v/>
      </c>
      <c r="D532" s="66" t="n">
        <v>4705.6</v>
      </c>
      <c r="E532" s="66" t="n">
        <v>4653.43124</v>
      </c>
      <c r="F532" s="67">
        <f>D532-E532</f>
        <v/>
      </c>
      <c r="G532" s="66">
        <f>F532^2</f>
        <v/>
      </c>
      <c r="H532" s="65" t="inlineStr"/>
      <c r="I532" s="65" t="inlineStr"/>
    </row>
    <row r="533">
      <c r="A533" s="68" t="n">
        <v>520</v>
      </c>
      <c r="B533" s="83" t="n">
        <v>519</v>
      </c>
      <c r="C533" s="83">
        <f>B533^2</f>
        <v/>
      </c>
      <c r="D533" s="69" t="n">
        <v>4699.65</v>
      </c>
      <c r="E533" s="69" t="n">
        <v>4653.63369</v>
      </c>
      <c r="F533" s="70">
        <f>D533-E533</f>
        <v/>
      </c>
      <c r="G533" s="69">
        <f>F533^2</f>
        <v/>
      </c>
      <c r="H533" s="68" t="inlineStr"/>
      <c r="I533" s="68" t="inlineStr"/>
    </row>
    <row r="534">
      <c r="A534" s="65" t="n">
        <v>521</v>
      </c>
      <c r="B534" s="82" t="n">
        <v>520</v>
      </c>
      <c r="C534" s="82">
        <f>B534^2</f>
        <v/>
      </c>
      <c r="D534" s="66" t="n">
        <v>4692.11</v>
      </c>
      <c r="E534" s="66" t="n">
        <v>4653.83613</v>
      </c>
      <c r="F534" s="67">
        <f>D534-E534</f>
        <v/>
      </c>
      <c r="G534" s="66">
        <f>F534^2</f>
        <v/>
      </c>
      <c r="H534" s="65" t="inlineStr"/>
      <c r="I534" s="65" t="inlineStr"/>
    </row>
    <row r="535">
      <c r="A535" s="68" t="n">
        <v>522</v>
      </c>
      <c r="B535" s="83" t="n">
        <v>521</v>
      </c>
      <c r="C535" s="83">
        <f>B535^2</f>
        <v/>
      </c>
      <c r="D535" s="69" t="n">
        <v>4672.94</v>
      </c>
      <c r="E535" s="69" t="n">
        <v>4654.03858</v>
      </c>
      <c r="F535" s="70">
        <f>D535-E535</f>
        <v/>
      </c>
      <c r="G535" s="69">
        <f>F535^2</f>
        <v/>
      </c>
      <c r="H535" s="68" t="inlineStr"/>
      <c r="I535" s="68" t="inlineStr"/>
    </row>
    <row r="536">
      <c r="A536" s="65" t="n">
        <v>523</v>
      </c>
      <c r="B536" s="82" t="n">
        <v>522</v>
      </c>
      <c r="C536" s="82">
        <f>B536^2</f>
        <v/>
      </c>
      <c r="D536" s="66" t="n">
        <v>4683.36</v>
      </c>
      <c r="E536" s="66" t="n">
        <v>4654.24102</v>
      </c>
      <c r="F536" s="67">
        <f>D536-E536</f>
        <v/>
      </c>
      <c r="G536" s="66">
        <f>F536^2</f>
        <v/>
      </c>
      <c r="H536" s="65" t="inlineStr"/>
      <c r="I536" s="65" t="inlineStr"/>
    </row>
    <row r="537">
      <c r="A537" s="68" t="n">
        <v>524</v>
      </c>
      <c r="B537" s="83" t="n">
        <v>523</v>
      </c>
      <c r="C537" s="83">
        <f>B537^2</f>
        <v/>
      </c>
      <c r="D537" s="69" t="n">
        <v>4682.83</v>
      </c>
      <c r="E537" s="69" t="n">
        <v>4654.44347</v>
      </c>
      <c r="F537" s="70">
        <f>D537-E537</f>
        <v/>
      </c>
      <c r="G537" s="69">
        <f>F537^2</f>
        <v/>
      </c>
      <c r="H537" s="68" t="inlineStr"/>
      <c r="I537" s="68" t="inlineStr"/>
    </row>
    <row r="538">
      <c r="A538" s="65" t="n">
        <v>525</v>
      </c>
      <c r="B538" s="82" t="n">
        <v>524</v>
      </c>
      <c r="C538" s="82">
        <f>B538^2</f>
        <v/>
      </c>
      <c r="D538" s="66" t="n">
        <v>4683.36</v>
      </c>
      <c r="E538" s="66" t="n">
        <v>4654.64592</v>
      </c>
      <c r="F538" s="67">
        <f>D538-E538</f>
        <v/>
      </c>
      <c r="G538" s="66">
        <f>F538^2</f>
        <v/>
      </c>
      <c r="H538" s="65" t="inlineStr"/>
      <c r="I538" s="65" t="inlineStr"/>
    </row>
    <row r="539">
      <c r="A539" s="68" t="n">
        <v>526</v>
      </c>
      <c r="B539" s="83" t="n">
        <v>525</v>
      </c>
      <c r="C539" s="83">
        <f>B539^2</f>
        <v/>
      </c>
      <c r="D539" s="69" t="n">
        <v>4683.63</v>
      </c>
      <c r="E539" s="69" t="n">
        <v>4654.84836</v>
      </c>
      <c r="F539" s="70">
        <f>D539-E539</f>
        <v/>
      </c>
      <c r="G539" s="69">
        <f>F539^2</f>
        <v/>
      </c>
      <c r="H539" s="68" t="inlineStr"/>
      <c r="I539" s="68" t="inlineStr"/>
    </row>
    <row r="540">
      <c r="A540" s="65" t="n">
        <v>527</v>
      </c>
      <c r="B540" s="82" t="n">
        <v>526</v>
      </c>
      <c r="C540" s="82">
        <f>B540^2</f>
        <v/>
      </c>
      <c r="D540" s="66" t="n">
        <v>4685.16</v>
      </c>
      <c r="E540" s="66" t="n">
        <v>4655.05081</v>
      </c>
      <c r="F540" s="67">
        <f>D540-E540</f>
        <v/>
      </c>
      <c r="G540" s="66">
        <f>F540^2</f>
        <v/>
      </c>
      <c r="H540" s="65" t="inlineStr"/>
      <c r="I540" s="65" t="inlineStr"/>
    </row>
    <row r="541">
      <c r="A541" s="68" t="n">
        <v>528</v>
      </c>
      <c r="B541" s="83" t="n">
        <v>527</v>
      </c>
      <c r="C541" s="83">
        <f>B541^2</f>
        <v/>
      </c>
      <c r="D541" s="69" t="n">
        <v>4695.33</v>
      </c>
      <c r="E541" s="69" t="n">
        <v>4655.25325</v>
      </c>
      <c r="F541" s="70">
        <f>D541-E541</f>
        <v/>
      </c>
      <c r="G541" s="69">
        <f>F541^2</f>
        <v/>
      </c>
      <c r="H541" s="68" t="inlineStr"/>
      <c r="I541" s="68" t="inlineStr"/>
    </row>
    <row r="542">
      <c r="A542" s="65" t="n">
        <v>529</v>
      </c>
      <c r="B542" s="82" t="n">
        <v>528</v>
      </c>
      <c r="C542" s="82">
        <f>B542^2</f>
        <v/>
      </c>
      <c r="D542" s="66" t="n">
        <v>4702.21</v>
      </c>
      <c r="E542" s="66" t="n">
        <v>4655.4557</v>
      </c>
      <c r="F542" s="67">
        <f>D542-E542</f>
        <v/>
      </c>
      <c r="G542" s="66">
        <f>F542^2</f>
        <v/>
      </c>
      <c r="H542" s="65" t="inlineStr"/>
      <c r="I542" s="65" t="inlineStr"/>
    </row>
    <row r="543">
      <c r="A543" s="68" t="n">
        <v>530</v>
      </c>
      <c r="B543" s="83" t="n">
        <v>529</v>
      </c>
      <c r="C543" s="83">
        <f>B543^2</f>
        <v/>
      </c>
      <c r="D543" s="69" t="n">
        <v>4711.04</v>
      </c>
      <c r="E543" s="69" t="n">
        <v>4655.65814</v>
      </c>
      <c r="F543" s="70">
        <f>D543-E543</f>
        <v/>
      </c>
      <c r="G543" s="69">
        <f>F543^2</f>
        <v/>
      </c>
      <c r="H543" s="68" t="inlineStr"/>
      <c r="I543" s="68" t="inlineStr"/>
    </row>
    <row r="544">
      <c r="A544" s="65" t="n">
        <v>531</v>
      </c>
      <c r="B544" s="82" t="n">
        <v>530</v>
      </c>
      <c r="C544" s="82">
        <f>B544^2</f>
        <v/>
      </c>
      <c r="D544" s="66" t="n">
        <v>4705.66</v>
      </c>
      <c r="E544" s="66" t="n">
        <v>4655.86059</v>
      </c>
      <c r="F544" s="67">
        <f>D544-E544</f>
        <v/>
      </c>
      <c r="G544" s="66">
        <f>F544^2</f>
        <v/>
      </c>
      <c r="H544" s="65" t="inlineStr"/>
      <c r="I544" s="65" t="inlineStr"/>
    </row>
    <row r="545">
      <c r="A545" s="68" t="n">
        <v>532</v>
      </c>
      <c r="B545" s="83" t="n">
        <v>531</v>
      </c>
      <c r="C545" s="83">
        <f>B545^2</f>
        <v/>
      </c>
      <c r="D545" s="69" t="n">
        <v>4713.4</v>
      </c>
      <c r="E545" s="69" t="n">
        <v>4656.06304</v>
      </c>
      <c r="F545" s="70">
        <f>D545-E545</f>
        <v/>
      </c>
      <c r="G545" s="69">
        <f>F545^2</f>
        <v/>
      </c>
      <c r="H545" s="68" t="inlineStr"/>
      <c r="I545" s="68" t="inlineStr"/>
    </row>
    <row r="546">
      <c r="A546" s="65" t="n">
        <v>533</v>
      </c>
      <c r="B546" s="82" t="n">
        <v>532</v>
      </c>
      <c r="C546" s="82">
        <f>B546^2</f>
        <v/>
      </c>
      <c r="D546" s="66" t="n">
        <v>4703.14</v>
      </c>
      <c r="E546" s="66" t="n">
        <v>4656.26548</v>
      </c>
      <c r="F546" s="67">
        <f>D546-E546</f>
        <v/>
      </c>
      <c r="G546" s="66">
        <f>F546^2</f>
        <v/>
      </c>
      <c r="H546" s="65" t="inlineStr"/>
      <c r="I546" s="65" t="inlineStr"/>
    </row>
    <row r="547">
      <c r="A547" s="68" t="n">
        <v>534</v>
      </c>
      <c r="B547" s="83" t="n">
        <v>533</v>
      </c>
      <c r="C547" s="83">
        <f>B547^2</f>
        <v/>
      </c>
      <c r="D547" s="69" t="n">
        <v>4696.47</v>
      </c>
      <c r="E547" s="69" t="n">
        <v>4656.46793</v>
      </c>
      <c r="F547" s="70">
        <f>D547-E547</f>
        <v/>
      </c>
      <c r="G547" s="69">
        <f>F547^2</f>
        <v/>
      </c>
      <c r="H547" s="68" t="inlineStr"/>
      <c r="I547" s="68" t="inlineStr"/>
    </row>
    <row r="548">
      <c r="A548" s="65" t="n">
        <v>535</v>
      </c>
      <c r="B548" s="82" t="n">
        <v>534</v>
      </c>
      <c r="C548" s="82">
        <f>B548^2</f>
        <v/>
      </c>
      <c r="D548" s="66" t="n">
        <v>4695.45</v>
      </c>
      <c r="E548" s="66" t="n">
        <v>4656.67037</v>
      </c>
      <c r="F548" s="67">
        <f>D548-E548</f>
        <v/>
      </c>
      <c r="G548" s="66">
        <f>F548^2</f>
        <v/>
      </c>
      <c r="H548" s="65" t="inlineStr"/>
      <c r="I548" s="65" t="inlineStr"/>
    </row>
    <row r="549">
      <c r="A549" s="68" t="n">
        <v>536</v>
      </c>
      <c r="B549" s="83" t="n">
        <v>535</v>
      </c>
      <c r="C549" s="83">
        <f>B549^2</f>
        <v/>
      </c>
      <c r="D549" s="69" t="n">
        <v>4692.77</v>
      </c>
      <c r="E549" s="69" t="n">
        <v>4656.87282</v>
      </c>
      <c r="F549" s="70">
        <f>D549-E549</f>
        <v/>
      </c>
      <c r="G549" s="69">
        <f>F549^2</f>
        <v/>
      </c>
      <c r="H549" s="68" t="inlineStr"/>
      <c r="I549" s="68" t="inlineStr"/>
    </row>
    <row r="550">
      <c r="A550" s="65" t="n">
        <v>537</v>
      </c>
      <c r="B550" s="82" t="n">
        <v>536</v>
      </c>
      <c r="C550" s="82">
        <f>B550^2</f>
        <v/>
      </c>
      <c r="D550" s="66" t="n">
        <v>4687.96</v>
      </c>
      <c r="E550" s="66" t="n">
        <v>4657.07526</v>
      </c>
      <c r="F550" s="67">
        <f>D550-E550</f>
        <v/>
      </c>
      <c r="G550" s="66">
        <f>F550^2</f>
        <v/>
      </c>
      <c r="H550" s="65" t="inlineStr"/>
      <c r="I550" s="65" t="inlineStr"/>
    </row>
    <row r="551">
      <c r="A551" s="68" t="n">
        <v>538</v>
      </c>
      <c r="B551" s="83" t="n">
        <v>537</v>
      </c>
      <c r="C551" s="83">
        <f>B551^2</f>
        <v/>
      </c>
      <c r="D551" s="69" t="n">
        <v>4683.69</v>
      </c>
      <c r="E551" s="69" t="n">
        <v>4657.27771</v>
      </c>
      <c r="F551" s="70">
        <f>D551-E551</f>
        <v/>
      </c>
      <c r="G551" s="69">
        <f>F551^2</f>
        <v/>
      </c>
      <c r="H551" s="68" t="inlineStr"/>
      <c r="I551" s="68" t="inlineStr"/>
    </row>
    <row r="552">
      <c r="A552" s="65" t="n">
        <v>539</v>
      </c>
      <c r="B552" s="82" t="n">
        <v>538</v>
      </c>
      <c r="C552" s="82">
        <f>B552^2</f>
        <v/>
      </c>
      <c r="D552" s="66" t="n">
        <v>4688.15</v>
      </c>
      <c r="E552" s="66" t="n">
        <v>4657.48016</v>
      </c>
      <c r="F552" s="67">
        <f>D552-E552</f>
        <v/>
      </c>
      <c r="G552" s="66">
        <f>F552^2</f>
        <v/>
      </c>
      <c r="H552" s="65" t="inlineStr"/>
      <c r="I552" s="65" t="inlineStr"/>
    </row>
    <row r="553">
      <c r="A553" s="68" t="n">
        <v>540</v>
      </c>
      <c r="B553" s="83" t="n">
        <v>539</v>
      </c>
      <c r="C553" s="83">
        <f>B553^2</f>
        <v/>
      </c>
      <c r="D553" s="69" t="n">
        <v>4688.73</v>
      </c>
      <c r="E553" s="69" t="n">
        <v>4657.6826</v>
      </c>
      <c r="F553" s="70">
        <f>D553-E553</f>
        <v/>
      </c>
      <c r="G553" s="69">
        <f>F553^2</f>
        <v/>
      </c>
      <c r="H553" s="68" t="inlineStr"/>
      <c r="I553" s="68" t="inlineStr"/>
    </row>
    <row r="554">
      <c r="A554" s="65" t="n">
        <v>541</v>
      </c>
      <c r="B554" s="82" t="n">
        <v>540</v>
      </c>
      <c r="C554" s="82">
        <f>B554^2</f>
        <v/>
      </c>
      <c r="D554" s="66" t="n">
        <v>4683.1</v>
      </c>
      <c r="E554" s="66" t="n">
        <v>4657.88505</v>
      </c>
      <c r="F554" s="67">
        <f>D554-E554</f>
        <v/>
      </c>
      <c r="G554" s="66">
        <f>F554^2</f>
        <v/>
      </c>
      <c r="H554" s="65" t="inlineStr"/>
      <c r="I554" s="65" t="inlineStr"/>
    </row>
    <row r="555">
      <c r="A555" s="68" t="n">
        <v>542</v>
      </c>
      <c r="B555" s="83" t="n">
        <v>541</v>
      </c>
      <c r="C555" s="83">
        <f>B555^2</f>
        <v/>
      </c>
      <c r="D555" s="69" t="n">
        <v>4685.62</v>
      </c>
      <c r="E555" s="69" t="n">
        <v>4658.08749</v>
      </c>
      <c r="F555" s="70">
        <f>D555-E555</f>
        <v/>
      </c>
      <c r="G555" s="69">
        <f>F555^2</f>
        <v/>
      </c>
      <c r="H555" s="68" t="inlineStr"/>
      <c r="I555" s="68" t="inlineStr"/>
    </row>
    <row r="556">
      <c r="A556" s="65" t="n">
        <v>543</v>
      </c>
      <c r="B556" s="82" t="n">
        <v>542</v>
      </c>
      <c r="C556" s="82">
        <f>B556^2</f>
        <v/>
      </c>
      <c r="D556" s="66" t="n">
        <v>4683.1</v>
      </c>
      <c r="E556" s="66" t="n">
        <v>4658.28994</v>
      </c>
      <c r="F556" s="67">
        <f>D556-E556</f>
        <v/>
      </c>
      <c r="G556" s="66">
        <f>F556^2</f>
        <v/>
      </c>
      <c r="H556" s="65" t="inlineStr"/>
      <c r="I556" s="65" t="inlineStr"/>
    </row>
    <row r="557">
      <c r="A557" s="68" t="n">
        <v>544</v>
      </c>
      <c r="B557" s="83" t="n">
        <v>543</v>
      </c>
      <c r="C557" s="83">
        <f>B557^2</f>
        <v/>
      </c>
      <c r="D557" s="69" t="n">
        <v>4680.64</v>
      </c>
      <c r="E557" s="69" t="n">
        <v>4658.49238</v>
      </c>
      <c r="F557" s="70">
        <f>D557-E557</f>
        <v/>
      </c>
      <c r="G557" s="69">
        <f>F557^2</f>
        <v/>
      </c>
      <c r="H557" s="68" t="inlineStr"/>
      <c r="I557" s="68" t="inlineStr"/>
    </row>
    <row r="558">
      <c r="A558" s="65" t="n">
        <v>545</v>
      </c>
      <c r="B558" s="82" t="n">
        <v>544</v>
      </c>
      <c r="C558" s="82">
        <f>B558^2</f>
        <v/>
      </c>
      <c r="D558" s="66" t="n">
        <v>4684.13</v>
      </c>
      <c r="E558" s="66" t="n">
        <v>4658.69483</v>
      </c>
      <c r="F558" s="67">
        <f>D558-E558</f>
        <v/>
      </c>
      <c r="G558" s="66">
        <f>F558^2</f>
        <v/>
      </c>
      <c r="H558" s="65" t="inlineStr"/>
      <c r="I558" s="65" t="inlineStr"/>
    </row>
    <row r="559">
      <c r="A559" s="68" t="n">
        <v>546</v>
      </c>
      <c r="B559" s="83" t="n">
        <v>545</v>
      </c>
      <c r="C559" s="83">
        <f>B559^2</f>
        <v/>
      </c>
      <c r="D559" s="69" t="n">
        <v>4686.79</v>
      </c>
      <c r="E559" s="69" t="n">
        <v>4658.89728</v>
      </c>
      <c r="F559" s="70">
        <f>D559-E559</f>
        <v/>
      </c>
      <c r="G559" s="69">
        <f>F559^2</f>
        <v/>
      </c>
      <c r="H559" s="68" t="inlineStr"/>
      <c r="I559" s="68" t="inlineStr"/>
    </row>
    <row r="560">
      <c r="A560" s="65" t="n">
        <v>547</v>
      </c>
      <c r="B560" s="82" t="n">
        <v>546</v>
      </c>
      <c r="C560" s="82">
        <f>B560^2</f>
        <v/>
      </c>
      <c r="D560" s="66" t="n">
        <v>4687.85</v>
      </c>
      <c r="E560" s="66" t="n">
        <v>4659.09972</v>
      </c>
      <c r="F560" s="67">
        <f>D560-E560</f>
        <v/>
      </c>
      <c r="G560" s="66">
        <f>F560^2</f>
        <v/>
      </c>
      <c r="H560" s="65" t="inlineStr"/>
      <c r="I560" s="65" t="inlineStr"/>
    </row>
    <row r="561">
      <c r="A561" s="68" t="n">
        <v>548</v>
      </c>
      <c r="B561" s="83" t="n">
        <v>547</v>
      </c>
      <c r="C561" s="83">
        <f>B561^2</f>
        <v/>
      </c>
      <c r="D561" s="69" t="n">
        <v>4686.27</v>
      </c>
      <c r="E561" s="69" t="n">
        <v>4659.30217</v>
      </c>
      <c r="F561" s="70">
        <f>D561-E561</f>
        <v/>
      </c>
      <c r="G561" s="69">
        <f>F561^2</f>
        <v/>
      </c>
      <c r="H561" s="68" t="inlineStr"/>
      <c r="I561" s="68" t="inlineStr"/>
    </row>
    <row r="562">
      <c r="A562" s="65" t="n">
        <v>549</v>
      </c>
      <c r="B562" s="82" t="n">
        <v>548</v>
      </c>
      <c r="C562" s="82">
        <f>B562^2</f>
        <v/>
      </c>
      <c r="D562" s="66" t="n">
        <v>4686.1</v>
      </c>
      <c r="E562" s="66" t="n">
        <v>4659.50461</v>
      </c>
      <c r="F562" s="67">
        <f>D562-E562</f>
        <v/>
      </c>
      <c r="G562" s="66">
        <f>F562^2</f>
        <v/>
      </c>
      <c r="H562" s="65" t="inlineStr"/>
      <c r="I562" s="65" t="inlineStr"/>
    </row>
    <row r="563">
      <c r="A563" s="68" t="n">
        <v>550</v>
      </c>
      <c r="B563" s="83" t="n">
        <v>549</v>
      </c>
      <c r="C563" s="83">
        <f>B563^2</f>
        <v/>
      </c>
      <c r="D563" s="69" t="n">
        <v>4695.28</v>
      </c>
      <c r="E563" s="69" t="n">
        <v>4659.70706</v>
      </c>
      <c r="F563" s="70">
        <f>D563-E563</f>
        <v/>
      </c>
      <c r="G563" s="69">
        <f>F563^2</f>
        <v/>
      </c>
      <c r="H563" s="68" t="inlineStr"/>
      <c r="I563" s="68" t="inlineStr"/>
    </row>
    <row r="564">
      <c r="A564" s="65" t="n">
        <v>551</v>
      </c>
      <c r="B564" s="82" t="n">
        <v>550</v>
      </c>
      <c r="C564" s="82">
        <f>B564^2</f>
        <v/>
      </c>
      <c r="D564" s="66" t="n">
        <v>4698.51</v>
      </c>
      <c r="E564" s="66" t="n">
        <v>4659.9095</v>
      </c>
      <c r="F564" s="67">
        <f>D564-E564</f>
        <v/>
      </c>
      <c r="G564" s="66">
        <f>F564^2</f>
        <v/>
      </c>
      <c r="H564" s="65" t="inlineStr"/>
      <c r="I564" s="65" t="inlineStr"/>
    </row>
    <row r="565">
      <c r="A565" s="68" t="n">
        <v>552</v>
      </c>
      <c r="B565" s="83" t="n">
        <v>551</v>
      </c>
      <c r="C565" s="83">
        <f>B565^2</f>
        <v/>
      </c>
      <c r="D565" s="69" t="n">
        <v>4695.4</v>
      </c>
      <c r="E565" s="69" t="n">
        <v>4660.11195</v>
      </c>
      <c r="F565" s="70">
        <f>D565-E565</f>
        <v/>
      </c>
      <c r="G565" s="69">
        <f>F565^2</f>
        <v/>
      </c>
      <c r="H565" s="68" t="inlineStr"/>
      <c r="I565" s="68" t="inlineStr"/>
    </row>
    <row r="566">
      <c r="A566" s="65" t="n">
        <v>553</v>
      </c>
      <c r="B566" s="82" t="n">
        <v>552</v>
      </c>
      <c r="C566" s="82">
        <f>B566^2</f>
        <v/>
      </c>
      <c r="D566" s="66" t="n">
        <v>4692.6</v>
      </c>
      <c r="E566" s="66" t="n">
        <v>4660.3144</v>
      </c>
      <c r="F566" s="67">
        <f>D566-E566</f>
        <v/>
      </c>
      <c r="G566" s="66">
        <f>F566^2</f>
        <v/>
      </c>
      <c r="H566" s="65" t="inlineStr"/>
      <c r="I566" s="65" t="inlineStr"/>
    </row>
    <row r="567">
      <c r="A567" s="68" t="n">
        <v>554</v>
      </c>
      <c r="B567" s="83" t="n">
        <v>553</v>
      </c>
      <c r="C567" s="83">
        <f>B567^2</f>
        <v/>
      </c>
      <c r="D567" s="69" t="n">
        <v>4698.99</v>
      </c>
      <c r="E567" s="69" t="n">
        <v>4660.51684</v>
      </c>
      <c r="F567" s="70">
        <f>D567-E567</f>
        <v/>
      </c>
      <c r="G567" s="69">
        <f>F567^2</f>
        <v/>
      </c>
      <c r="H567" s="68" t="inlineStr"/>
      <c r="I567" s="68" t="inlineStr"/>
    </row>
    <row r="568">
      <c r="A568" s="65" t="n">
        <v>555</v>
      </c>
      <c r="B568" s="82" t="n">
        <v>554</v>
      </c>
      <c r="C568" s="82">
        <f>B568^2</f>
        <v/>
      </c>
      <c r="D568" s="66" t="n">
        <v>4692.65</v>
      </c>
      <c r="E568" s="66" t="n">
        <v>4660.71929</v>
      </c>
      <c r="F568" s="67">
        <f>D568-E568</f>
        <v/>
      </c>
      <c r="G568" s="66">
        <f>F568^2</f>
        <v/>
      </c>
      <c r="H568" s="65" t="inlineStr"/>
      <c r="I568" s="65" t="inlineStr"/>
    </row>
    <row r="569">
      <c r="A569" s="68" t="n">
        <v>556</v>
      </c>
      <c r="B569" s="83" t="n">
        <v>555</v>
      </c>
      <c r="C569" s="83">
        <f>B569^2</f>
        <v/>
      </c>
      <c r="D569" s="69" t="n">
        <v>4689.09</v>
      </c>
      <c r="E569" s="69" t="n">
        <v>4660.92173</v>
      </c>
      <c r="F569" s="70">
        <f>D569-E569</f>
        <v/>
      </c>
      <c r="G569" s="69">
        <f>F569^2</f>
        <v/>
      </c>
      <c r="H569" s="68" t="inlineStr"/>
      <c r="I569" s="68" t="inlineStr"/>
    </row>
    <row r="570">
      <c r="A570" s="65" t="n">
        <v>557</v>
      </c>
      <c r="B570" s="82" t="n">
        <v>556</v>
      </c>
      <c r="C570" s="82">
        <f>B570^2</f>
        <v/>
      </c>
      <c r="D570" s="66" t="n">
        <v>4690.95</v>
      </c>
      <c r="E570" s="66" t="n">
        <v>4661.12418</v>
      </c>
      <c r="F570" s="67">
        <f>D570-E570</f>
        <v/>
      </c>
      <c r="G570" s="66">
        <f>F570^2</f>
        <v/>
      </c>
      <c r="H570" s="65" t="inlineStr"/>
      <c r="I570" s="65" t="inlineStr"/>
    </row>
    <row r="571">
      <c r="A571" s="68" t="n">
        <v>558</v>
      </c>
      <c r="B571" s="83" t="n">
        <v>557</v>
      </c>
      <c r="C571" s="83">
        <f>B571^2</f>
        <v/>
      </c>
      <c r="D571" s="69" t="n">
        <v>4697.18</v>
      </c>
      <c r="E571" s="69" t="n">
        <v>4661.32662</v>
      </c>
      <c r="F571" s="70">
        <f>D571-E571</f>
        <v/>
      </c>
      <c r="G571" s="69">
        <f>F571^2</f>
        <v/>
      </c>
      <c r="H571" s="68" t="inlineStr"/>
      <c r="I571" s="68" t="inlineStr"/>
    </row>
    <row r="572">
      <c r="A572" s="65" t="n">
        <v>559</v>
      </c>
      <c r="B572" s="82" t="n">
        <v>558</v>
      </c>
      <c r="C572" s="82">
        <f>B572^2</f>
        <v/>
      </c>
      <c r="D572" s="66" t="n">
        <v>4695.42</v>
      </c>
      <c r="E572" s="66" t="n">
        <v>4661.52907</v>
      </c>
      <c r="F572" s="67">
        <f>D572-E572</f>
        <v/>
      </c>
      <c r="G572" s="66">
        <f>F572^2</f>
        <v/>
      </c>
      <c r="H572" s="65" t="inlineStr"/>
      <c r="I572" s="65" t="inlineStr"/>
    </row>
    <row r="573">
      <c r="A573" s="68" t="n">
        <v>560</v>
      </c>
      <c r="B573" s="83" t="n">
        <v>559</v>
      </c>
      <c r="C573" s="83">
        <f>B573^2</f>
        <v/>
      </c>
      <c r="D573" s="69" t="n">
        <v>4698.63</v>
      </c>
      <c r="E573" s="69" t="n">
        <v>4661.73152</v>
      </c>
      <c r="F573" s="70">
        <f>D573-E573</f>
        <v/>
      </c>
      <c r="G573" s="69">
        <f>F573^2</f>
        <v/>
      </c>
      <c r="H573" s="68" t="inlineStr"/>
      <c r="I573" s="68" t="inlineStr"/>
    </row>
    <row r="574">
      <c r="A574" s="65" t="n">
        <v>561</v>
      </c>
      <c r="B574" s="82" t="n">
        <v>560</v>
      </c>
      <c r="C574" s="82">
        <f>B574^2</f>
        <v/>
      </c>
      <c r="D574" s="66" t="n">
        <v>4694.94</v>
      </c>
      <c r="E574" s="66" t="n">
        <v>4661.93396</v>
      </c>
      <c r="F574" s="67">
        <f>D574-E574</f>
        <v/>
      </c>
      <c r="G574" s="66">
        <f>F574^2</f>
        <v/>
      </c>
      <c r="H574" s="65" t="inlineStr"/>
      <c r="I574" s="65" t="inlineStr"/>
    </row>
    <row r="575">
      <c r="A575" s="68" t="n">
        <v>562</v>
      </c>
      <c r="B575" s="83" t="n">
        <v>561</v>
      </c>
      <c r="C575" s="83">
        <f>B575^2</f>
        <v/>
      </c>
      <c r="D575" s="69" t="n">
        <v>4694.41</v>
      </c>
      <c r="E575" s="69" t="n">
        <v>4662.13641</v>
      </c>
      <c r="F575" s="70">
        <f>D575-E575</f>
        <v/>
      </c>
      <c r="G575" s="69">
        <f>F575^2</f>
        <v/>
      </c>
      <c r="H575" s="68" t="inlineStr"/>
      <c r="I575" s="68" t="inlineStr"/>
    </row>
    <row r="576">
      <c r="A576" s="65" t="n">
        <v>563</v>
      </c>
      <c r="B576" s="82" t="n">
        <v>562</v>
      </c>
      <c r="C576" s="82">
        <f>B576^2</f>
        <v/>
      </c>
      <c r="D576" s="66" t="n">
        <v>4693.6</v>
      </c>
      <c r="E576" s="66" t="n">
        <v>4662.33885</v>
      </c>
      <c r="F576" s="67">
        <f>D576-E576</f>
        <v/>
      </c>
      <c r="G576" s="66">
        <f>F576^2</f>
        <v/>
      </c>
      <c r="H576" s="65" t="inlineStr"/>
      <c r="I576" s="65" t="inlineStr"/>
    </row>
    <row r="577">
      <c r="A577" s="68" t="n">
        <v>564</v>
      </c>
      <c r="B577" s="83" t="n">
        <v>563</v>
      </c>
      <c r="C577" s="83">
        <f>B577^2</f>
        <v/>
      </c>
      <c r="D577" s="69" t="n">
        <v>4693.6</v>
      </c>
      <c r="E577" s="69" t="n">
        <v>4662.5413</v>
      </c>
      <c r="F577" s="70">
        <f>D577-E577</f>
        <v/>
      </c>
      <c r="G577" s="69">
        <f>F577^2</f>
        <v/>
      </c>
      <c r="H577" s="68" t="inlineStr"/>
      <c r="I577" s="68" t="inlineStr"/>
    </row>
    <row r="578">
      <c r="A578" s="65" t="n">
        <v>565</v>
      </c>
      <c r="B578" s="82" t="n">
        <v>564</v>
      </c>
      <c r="C578" s="82">
        <f>B578^2</f>
        <v/>
      </c>
      <c r="D578" s="66" t="n">
        <v>4699</v>
      </c>
      <c r="E578" s="66" t="n">
        <v>4662.74374</v>
      </c>
      <c r="F578" s="67">
        <f>D578-E578</f>
        <v/>
      </c>
      <c r="G578" s="66">
        <f>F578^2</f>
        <v/>
      </c>
      <c r="H578" s="65" t="inlineStr"/>
      <c r="I578" s="65" t="inlineStr"/>
    </row>
    <row r="579">
      <c r="A579" s="68" t="n">
        <v>566</v>
      </c>
      <c r="B579" s="83" t="n">
        <v>565</v>
      </c>
      <c r="C579" s="83">
        <f>B579^2</f>
        <v/>
      </c>
      <c r="D579" s="69" t="n">
        <v>4699.88</v>
      </c>
      <c r="E579" s="69" t="n">
        <v>4662.94619</v>
      </c>
      <c r="F579" s="70">
        <f>D579-E579</f>
        <v/>
      </c>
      <c r="G579" s="69">
        <f>F579^2</f>
        <v/>
      </c>
      <c r="H579" s="68" t="inlineStr"/>
      <c r="I579" s="68" t="inlineStr"/>
    </row>
    <row r="580">
      <c r="A580" s="65" t="n">
        <v>567</v>
      </c>
      <c r="B580" s="82" t="n">
        <v>566</v>
      </c>
      <c r="C580" s="82">
        <f>B580^2</f>
        <v/>
      </c>
      <c r="D580" s="66" t="n">
        <v>4692.51</v>
      </c>
      <c r="E580" s="66" t="n">
        <v>4663.14863</v>
      </c>
      <c r="F580" s="67">
        <f>D580-E580</f>
        <v/>
      </c>
      <c r="G580" s="66">
        <f>F580^2</f>
        <v/>
      </c>
      <c r="H580" s="65" t="inlineStr"/>
      <c r="I580" s="65" t="inlineStr"/>
    </row>
    <row r="581">
      <c r="A581" s="68" t="n">
        <v>568</v>
      </c>
      <c r="B581" s="83" t="n">
        <v>567</v>
      </c>
      <c r="C581" s="83">
        <f>B581^2</f>
        <v/>
      </c>
      <c r="D581" s="69" t="n">
        <v>4688.45</v>
      </c>
      <c r="E581" s="69" t="n">
        <v>4663.35108</v>
      </c>
      <c r="F581" s="70">
        <f>D581-E581</f>
        <v/>
      </c>
      <c r="G581" s="69">
        <f>F581^2</f>
        <v/>
      </c>
      <c r="H581" s="68" t="inlineStr"/>
      <c r="I581" s="68" t="inlineStr"/>
    </row>
    <row r="582">
      <c r="A582" s="65" t="n">
        <v>569</v>
      </c>
      <c r="B582" s="82" t="n">
        <v>568</v>
      </c>
      <c r="C582" s="82">
        <f>B582^2</f>
        <v/>
      </c>
      <c r="D582" s="66" t="n">
        <v>4688.57</v>
      </c>
      <c r="E582" s="66" t="n">
        <v>4663.55353</v>
      </c>
      <c r="F582" s="67">
        <f>D582-E582</f>
        <v/>
      </c>
      <c r="G582" s="66">
        <f>F582^2</f>
        <v/>
      </c>
      <c r="H582" s="65" t="inlineStr"/>
      <c r="I582" s="65" t="inlineStr"/>
    </row>
    <row r="583">
      <c r="A583" s="68" t="n">
        <v>570</v>
      </c>
      <c r="B583" s="83" t="n">
        <v>569</v>
      </c>
      <c r="C583" s="83">
        <f>B583^2</f>
        <v/>
      </c>
      <c r="D583" s="69" t="n">
        <v>4709.88</v>
      </c>
      <c r="E583" s="69" t="n">
        <v>4663.75597</v>
      </c>
      <c r="F583" s="70">
        <f>D583-E583</f>
        <v/>
      </c>
      <c r="G583" s="69">
        <f>F583^2</f>
        <v/>
      </c>
      <c r="H583" s="68" t="inlineStr"/>
      <c r="I583" s="68" t="inlineStr"/>
    </row>
    <row r="584">
      <c r="A584" s="65" t="n">
        <v>571</v>
      </c>
      <c r="B584" s="82" t="n">
        <v>570</v>
      </c>
      <c r="C584" s="82">
        <f>B584^2</f>
        <v/>
      </c>
      <c r="D584" s="66" t="n">
        <v>4704.22</v>
      </c>
      <c r="E584" s="66" t="n">
        <v>4663.95842</v>
      </c>
      <c r="F584" s="67">
        <f>D584-E584</f>
        <v/>
      </c>
      <c r="G584" s="66">
        <f>F584^2</f>
        <v/>
      </c>
      <c r="H584" s="65" t="inlineStr"/>
      <c r="I584" s="65" t="inlineStr"/>
    </row>
    <row r="585">
      <c r="A585" s="68" t="n">
        <v>572</v>
      </c>
      <c r="B585" s="83" t="n">
        <v>571</v>
      </c>
      <c r="C585" s="83">
        <f>B585^2</f>
        <v/>
      </c>
      <c r="D585" s="69" t="n">
        <v>4712.93</v>
      </c>
      <c r="E585" s="69" t="n">
        <v>4664.16086</v>
      </c>
      <c r="F585" s="70">
        <f>D585-E585</f>
        <v/>
      </c>
      <c r="G585" s="69">
        <f>F585^2</f>
        <v/>
      </c>
      <c r="H585" s="68" t="inlineStr"/>
      <c r="I585" s="68" t="inlineStr"/>
    </row>
    <row r="586">
      <c r="A586" s="65" t="n">
        <v>573</v>
      </c>
      <c r="B586" s="82" t="n">
        <v>572</v>
      </c>
      <c r="C586" s="82">
        <f>B586^2</f>
        <v/>
      </c>
      <c r="D586" s="66" t="n">
        <v>4714.86</v>
      </c>
      <c r="E586" s="66" t="n">
        <v>4664.36331</v>
      </c>
      <c r="F586" s="67">
        <f>D586-E586</f>
        <v/>
      </c>
      <c r="G586" s="66">
        <f>F586^2</f>
        <v/>
      </c>
      <c r="H586" s="65" t="inlineStr"/>
      <c r="I586" s="65" t="inlineStr"/>
    </row>
    <row r="587">
      <c r="A587" s="68" t="n">
        <v>574</v>
      </c>
      <c r="B587" s="83" t="n">
        <v>573</v>
      </c>
      <c r="C587" s="83">
        <f>B587^2</f>
        <v/>
      </c>
      <c r="D587" s="69" t="n">
        <v>4704.21</v>
      </c>
      <c r="E587" s="69" t="n">
        <v>4664.56575</v>
      </c>
      <c r="F587" s="70">
        <f>D587-E587</f>
        <v/>
      </c>
      <c r="G587" s="69">
        <f>F587^2</f>
        <v/>
      </c>
      <c r="H587" s="68" t="inlineStr"/>
      <c r="I587" s="68" t="inlineStr"/>
    </row>
    <row r="588">
      <c r="A588" s="65" t="n">
        <v>575</v>
      </c>
      <c r="B588" s="82" t="n">
        <v>574</v>
      </c>
      <c r="C588" s="82">
        <f>B588^2</f>
        <v/>
      </c>
      <c r="D588" s="66" t="n">
        <v>4702.84</v>
      </c>
      <c r="E588" s="66" t="n">
        <v>4664.7682</v>
      </c>
      <c r="F588" s="67">
        <f>D588-E588</f>
        <v/>
      </c>
      <c r="G588" s="66">
        <f>F588^2</f>
        <v/>
      </c>
      <c r="H588" s="65" t="inlineStr"/>
      <c r="I588" s="65" t="inlineStr"/>
    </row>
    <row r="589">
      <c r="A589" s="68" t="n">
        <v>576</v>
      </c>
      <c r="B589" s="83" t="n">
        <v>575</v>
      </c>
      <c r="C589" s="83">
        <f>B589^2</f>
        <v/>
      </c>
      <c r="D589" s="69" t="n">
        <v>4704.24</v>
      </c>
      <c r="E589" s="69" t="n">
        <v>4664.97065</v>
      </c>
      <c r="F589" s="70">
        <f>D589-E589</f>
        <v/>
      </c>
      <c r="G589" s="69">
        <f>F589^2</f>
        <v/>
      </c>
      <c r="H589" s="68" t="inlineStr"/>
      <c r="I589" s="68" t="inlineStr"/>
    </row>
    <row r="590">
      <c r="A590" s="65" t="n">
        <v>577</v>
      </c>
      <c r="B590" s="82" t="n">
        <v>576</v>
      </c>
      <c r="C590" s="82">
        <f>B590^2</f>
        <v/>
      </c>
      <c r="D590" s="66" t="n">
        <v>4707.22</v>
      </c>
      <c r="E590" s="66" t="n">
        <v>4665.17309</v>
      </c>
      <c r="F590" s="67">
        <f>D590-E590</f>
        <v/>
      </c>
      <c r="G590" s="66">
        <f>F590^2</f>
        <v/>
      </c>
      <c r="H590" s="65" t="inlineStr"/>
      <c r="I590" s="65" t="inlineStr"/>
    </row>
    <row r="591">
      <c r="A591" s="68" t="n">
        <v>578</v>
      </c>
      <c r="B591" s="83" t="n">
        <v>577</v>
      </c>
      <c r="C591" s="83">
        <f>B591^2</f>
        <v/>
      </c>
      <c r="D591" s="69" t="n">
        <v>4705.93</v>
      </c>
      <c r="E591" s="69" t="n">
        <v>4665.37554</v>
      </c>
      <c r="F591" s="70">
        <f>D591-E591</f>
        <v/>
      </c>
      <c r="G591" s="69">
        <f>F591^2</f>
        <v/>
      </c>
      <c r="H591" s="68" t="inlineStr"/>
      <c r="I591" s="68" t="inlineStr"/>
    </row>
    <row r="592">
      <c r="A592" s="65" t="n">
        <v>579</v>
      </c>
      <c r="B592" s="82" t="n">
        <v>578</v>
      </c>
      <c r="C592" s="82">
        <f>B592^2</f>
        <v/>
      </c>
      <c r="D592" s="66" t="n">
        <v>4704.6</v>
      </c>
      <c r="E592" s="66" t="n">
        <v>4665.57798</v>
      </c>
      <c r="F592" s="67">
        <f>D592-E592</f>
        <v/>
      </c>
      <c r="G592" s="66">
        <f>F592^2</f>
        <v/>
      </c>
      <c r="H592" s="65" t="inlineStr"/>
      <c r="I592" s="65" t="inlineStr"/>
    </row>
    <row r="593">
      <c r="A593" s="68" t="n">
        <v>580</v>
      </c>
      <c r="B593" s="83" t="n">
        <v>579</v>
      </c>
      <c r="C593" s="83">
        <f>B593^2</f>
        <v/>
      </c>
      <c r="D593" s="69" t="n">
        <v>4703.96</v>
      </c>
      <c r="E593" s="69" t="n">
        <v>4665.78043</v>
      </c>
      <c r="F593" s="70">
        <f>D593-E593</f>
        <v/>
      </c>
      <c r="G593" s="69">
        <f>F593^2</f>
        <v/>
      </c>
      <c r="H593" s="68" t="inlineStr"/>
      <c r="I593" s="68" t="inlineStr"/>
    </row>
    <row r="594">
      <c r="A594" s="65" t="n">
        <v>581</v>
      </c>
      <c r="B594" s="82" t="n">
        <v>580</v>
      </c>
      <c r="C594" s="82">
        <f>B594^2</f>
        <v/>
      </c>
      <c r="D594" s="66" t="n">
        <v>4699.11</v>
      </c>
      <c r="E594" s="66" t="n">
        <v>4665.98287</v>
      </c>
      <c r="F594" s="67">
        <f>D594-E594</f>
        <v/>
      </c>
      <c r="G594" s="66">
        <f>F594^2</f>
        <v/>
      </c>
      <c r="H594" s="65" t="inlineStr"/>
      <c r="I594" s="65" t="inlineStr"/>
    </row>
    <row r="595">
      <c r="A595" s="68" t="n">
        <v>582</v>
      </c>
      <c r="B595" s="83" t="n">
        <v>581</v>
      </c>
      <c r="C595" s="83">
        <f>B595^2</f>
        <v/>
      </c>
      <c r="D595" s="69" t="n">
        <v>4696.87</v>
      </c>
      <c r="E595" s="69" t="n">
        <v>4666.18532</v>
      </c>
      <c r="F595" s="70">
        <f>D595-E595</f>
        <v/>
      </c>
      <c r="G595" s="69">
        <f>F595^2</f>
        <v/>
      </c>
      <c r="H595" s="68" t="inlineStr"/>
      <c r="I595" s="68" t="inlineStr"/>
    </row>
    <row r="596">
      <c r="A596" s="65" t="n">
        <v>583</v>
      </c>
      <c r="B596" s="82" t="n">
        <v>582</v>
      </c>
      <c r="C596" s="82">
        <f>B596^2</f>
        <v/>
      </c>
      <c r="D596" s="66" t="n">
        <v>4696.79</v>
      </c>
      <c r="E596" s="66" t="n">
        <v>4666.38777</v>
      </c>
      <c r="F596" s="67">
        <f>D596-E596</f>
        <v/>
      </c>
      <c r="G596" s="66">
        <f>F596^2</f>
        <v/>
      </c>
      <c r="H596" s="65" t="inlineStr"/>
      <c r="I596" s="65" t="inlineStr"/>
    </row>
    <row r="597">
      <c r="A597" s="68" t="n">
        <v>584</v>
      </c>
      <c r="B597" s="83" t="n">
        <v>583</v>
      </c>
      <c r="C597" s="83">
        <f>B597^2</f>
        <v/>
      </c>
      <c r="D597" s="69" t="n">
        <v>4698.15</v>
      </c>
      <c r="E597" s="69" t="n">
        <v>4666.59021</v>
      </c>
      <c r="F597" s="70">
        <f>D597-E597</f>
        <v/>
      </c>
      <c r="G597" s="69">
        <f>F597^2</f>
        <v/>
      </c>
      <c r="H597" s="68" t="inlineStr"/>
      <c r="I597" s="68" t="inlineStr"/>
    </row>
    <row r="598">
      <c r="A598" s="65" t="n">
        <v>585</v>
      </c>
      <c r="B598" s="82" t="n">
        <v>584</v>
      </c>
      <c r="C598" s="82">
        <f>B598^2</f>
        <v/>
      </c>
      <c r="D598" s="66" t="n">
        <v>4696.48</v>
      </c>
      <c r="E598" s="66" t="n">
        <v>4666.79266</v>
      </c>
      <c r="F598" s="67">
        <f>D598-E598</f>
        <v/>
      </c>
      <c r="G598" s="66">
        <f>F598^2</f>
        <v/>
      </c>
      <c r="H598" s="65" t="inlineStr"/>
      <c r="I598" s="65" t="inlineStr"/>
    </row>
    <row r="599">
      <c r="A599" s="68" t="n">
        <v>586</v>
      </c>
      <c r="B599" s="83" t="n">
        <v>585</v>
      </c>
      <c r="C599" s="83">
        <f>B599^2</f>
        <v/>
      </c>
      <c r="D599" s="69" t="n">
        <v>4700.45</v>
      </c>
      <c r="E599" s="69" t="n">
        <v>4666.9951</v>
      </c>
      <c r="F599" s="70">
        <f>D599-E599</f>
        <v/>
      </c>
      <c r="G599" s="69">
        <f>F599^2</f>
        <v/>
      </c>
      <c r="H599" s="68" t="inlineStr"/>
      <c r="I599" s="68" t="inlineStr"/>
    </row>
    <row r="600">
      <c r="A600" s="65" t="n">
        <v>587</v>
      </c>
      <c r="B600" s="82" t="n">
        <v>586</v>
      </c>
      <c r="C600" s="82">
        <f>B600^2</f>
        <v/>
      </c>
      <c r="D600" s="66" t="n">
        <v>4696.05</v>
      </c>
      <c r="E600" s="66" t="n">
        <v>4667.19755</v>
      </c>
      <c r="F600" s="67">
        <f>D600-E600</f>
        <v/>
      </c>
      <c r="G600" s="66">
        <f>F600^2</f>
        <v/>
      </c>
      <c r="H600" s="65" t="inlineStr"/>
      <c r="I600" s="65" t="inlineStr"/>
    </row>
    <row r="601">
      <c r="A601" s="68" t="n">
        <v>588</v>
      </c>
      <c r="B601" s="83" t="n">
        <v>587</v>
      </c>
      <c r="C601" s="83">
        <f>B601^2</f>
        <v/>
      </c>
      <c r="D601" s="69" t="n">
        <v>4703.63</v>
      </c>
      <c r="E601" s="69" t="n">
        <v>4667.39999</v>
      </c>
      <c r="F601" s="70">
        <f>D601-E601</f>
        <v/>
      </c>
      <c r="G601" s="69">
        <f>F601^2</f>
        <v/>
      </c>
      <c r="H601" s="68" t="inlineStr"/>
      <c r="I601" s="68" t="inlineStr"/>
    </row>
    <row r="602">
      <c r="A602" s="65" t="n">
        <v>589</v>
      </c>
      <c r="B602" s="82" t="n">
        <v>588</v>
      </c>
      <c r="C602" s="82">
        <f>B602^2</f>
        <v/>
      </c>
      <c r="D602" s="66" t="n">
        <v>4701.22</v>
      </c>
      <c r="E602" s="66" t="n">
        <v>4667.60244</v>
      </c>
      <c r="F602" s="67">
        <f>D602-E602</f>
        <v/>
      </c>
      <c r="G602" s="66">
        <f>F602^2</f>
        <v/>
      </c>
      <c r="H602" s="65" t="inlineStr"/>
      <c r="I602" s="65" t="inlineStr"/>
    </row>
    <row r="603">
      <c r="A603" s="68" t="n">
        <v>590</v>
      </c>
      <c r="B603" s="83" t="n">
        <v>589</v>
      </c>
      <c r="C603" s="83">
        <f>B603^2</f>
        <v/>
      </c>
      <c r="D603" s="69" t="n">
        <v>4708.23</v>
      </c>
      <c r="E603" s="69" t="n">
        <v>4667.80489</v>
      </c>
      <c r="F603" s="70">
        <f>D603-E603</f>
        <v/>
      </c>
      <c r="G603" s="69">
        <f>F603^2</f>
        <v/>
      </c>
      <c r="H603" s="68" t="inlineStr"/>
      <c r="I603" s="68" t="inlineStr"/>
    </row>
    <row r="604">
      <c r="A604" s="65" t="n">
        <v>591</v>
      </c>
      <c r="B604" s="82" t="n">
        <v>590</v>
      </c>
      <c r="C604" s="82">
        <f>B604^2</f>
        <v/>
      </c>
      <c r="D604" s="66" t="n">
        <v>4717.42</v>
      </c>
      <c r="E604" s="66" t="n">
        <v>4668.00733</v>
      </c>
      <c r="F604" s="67">
        <f>D604-E604</f>
        <v/>
      </c>
      <c r="G604" s="66">
        <f>F604^2</f>
        <v/>
      </c>
      <c r="H604" s="65" t="inlineStr"/>
      <c r="I604" s="65" t="inlineStr"/>
    </row>
    <row r="605">
      <c r="A605" s="68" t="n">
        <v>592</v>
      </c>
      <c r="B605" s="83" t="n">
        <v>591</v>
      </c>
      <c r="C605" s="83">
        <f>B605^2</f>
        <v/>
      </c>
      <c r="D605" s="69" t="n">
        <v>4746.02</v>
      </c>
      <c r="E605" s="69" t="n">
        <v>4668.20978</v>
      </c>
      <c r="F605" s="70">
        <f>D605-E605</f>
        <v/>
      </c>
      <c r="G605" s="69">
        <f>F605^2</f>
        <v/>
      </c>
      <c r="H605" s="68" t="inlineStr"/>
      <c r="I605" s="68" t="inlineStr"/>
    </row>
    <row r="606">
      <c r="A606" s="65" t="n">
        <v>593</v>
      </c>
      <c r="B606" s="82" t="n">
        <v>592</v>
      </c>
      <c r="C606" s="82">
        <f>B606^2</f>
        <v/>
      </c>
      <c r="D606" s="66" t="n">
        <v>4739.12</v>
      </c>
      <c r="E606" s="66" t="n">
        <v>4668.41222</v>
      </c>
      <c r="F606" s="67">
        <f>D606-E606</f>
        <v/>
      </c>
      <c r="G606" s="66">
        <f>F606^2</f>
        <v/>
      </c>
      <c r="H606" s="65" t="inlineStr"/>
      <c r="I606" s="65" t="inlineStr"/>
    </row>
    <row r="607">
      <c r="A607" s="68" t="n">
        <v>594</v>
      </c>
      <c r="B607" s="83" t="n">
        <v>593</v>
      </c>
      <c r="C607" s="83">
        <f>B607^2</f>
        <v/>
      </c>
      <c r="D607" s="69" t="n">
        <v>4749.05</v>
      </c>
      <c r="E607" s="69" t="n">
        <v>4668.61467</v>
      </c>
      <c r="F607" s="70">
        <f>D607-E607</f>
        <v/>
      </c>
      <c r="G607" s="69">
        <f>F607^2</f>
        <v/>
      </c>
      <c r="H607" s="68" t="inlineStr"/>
      <c r="I607" s="68" t="inlineStr"/>
    </row>
    <row r="608">
      <c r="A608" s="65" t="n">
        <v>595</v>
      </c>
      <c r="B608" s="82" t="n">
        <v>594</v>
      </c>
      <c r="C608" s="82">
        <f>B608^2</f>
        <v/>
      </c>
      <c r="D608" s="66" t="n">
        <v>4739.5</v>
      </c>
      <c r="E608" s="66" t="n">
        <v>4668.81711</v>
      </c>
      <c r="F608" s="67">
        <f>D608-E608</f>
        <v/>
      </c>
      <c r="G608" s="66">
        <f>F608^2</f>
        <v/>
      </c>
      <c r="H608" s="65" t="inlineStr"/>
      <c r="I608" s="65" t="inlineStr"/>
    </row>
    <row r="609">
      <c r="A609" s="68" t="n">
        <v>596</v>
      </c>
      <c r="B609" s="83" t="n">
        <v>595</v>
      </c>
      <c r="C609" s="83">
        <f>B609^2</f>
        <v/>
      </c>
      <c r="D609" s="69" t="n">
        <v>4742.88</v>
      </c>
      <c r="E609" s="69" t="n">
        <v>4669.01956</v>
      </c>
      <c r="F609" s="70">
        <f>D609-E609</f>
        <v/>
      </c>
      <c r="G609" s="69">
        <f>F609^2</f>
        <v/>
      </c>
      <c r="H609" s="68" t="inlineStr"/>
      <c r="I609" s="68" t="inlineStr"/>
    </row>
    <row r="610">
      <c r="A610" s="65" t="n">
        <v>597</v>
      </c>
      <c r="B610" s="82" t="n">
        <v>596</v>
      </c>
      <c r="C610" s="82">
        <f>B610^2</f>
        <v/>
      </c>
      <c r="D610" s="66" t="n">
        <v>4743.06</v>
      </c>
      <c r="E610" s="66" t="n">
        <v>4669.22201</v>
      </c>
      <c r="F610" s="67">
        <f>D610-E610</f>
        <v/>
      </c>
      <c r="G610" s="66">
        <f>F610^2</f>
        <v/>
      </c>
      <c r="H610" s="65" t="inlineStr"/>
      <c r="I610" s="65" t="inlineStr"/>
    </row>
    <row r="611">
      <c r="A611" s="68" t="n">
        <v>598</v>
      </c>
      <c r="B611" s="83" t="n">
        <v>597</v>
      </c>
      <c r="C611" s="83">
        <f>B611^2</f>
        <v/>
      </c>
      <c r="D611" s="69" t="n">
        <v>4742.66</v>
      </c>
      <c r="E611" s="69" t="n">
        <v>4669.42445</v>
      </c>
      <c r="F611" s="70">
        <f>D611-E611</f>
        <v/>
      </c>
      <c r="G611" s="69">
        <f>F611^2</f>
        <v/>
      </c>
      <c r="H611" s="68" t="inlineStr"/>
      <c r="I611" s="68" t="inlineStr"/>
    </row>
    <row r="612">
      <c r="A612" s="65" t="n">
        <v>599</v>
      </c>
      <c r="B612" s="82" t="n">
        <v>598</v>
      </c>
      <c r="C612" s="82">
        <f>B612^2</f>
        <v/>
      </c>
      <c r="D612" s="66" t="n">
        <v>4739.74</v>
      </c>
      <c r="E612" s="66" t="n">
        <v>4669.6269</v>
      </c>
      <c r="F612" s="67">
        <f>D612-E612</f>
        <v/>
      </c>
      <c r="G612" s="66">
        <f>F612^2</f>
        <v/>
      </c>
      <c r="H612" s="65" t="inlineStr"/>
      <c r="I612" s="65" t="inlineStr"/>
    </row>
    <row r="613">
      <c r="A613" s="68" t="n">
        <v>600</v>
      </c>
      <c r="B613" s="83" t="n">
        <v>599</v>
      </c>
      <c r="C613" s="83">
        <f>B613^2</f>
        <v/>
      </c>
      <c r="D613" s="69" t="n">
        <v>4735.34</v>
      </c>
      <c r="E613" s="69" t="n">
        <v>4669.82934</v>
      </c>
      <c r="F613" s="70">
        <f>D613-E613</f>
        <v/>
      </c>
      <c r="G613" s="69">
        <f>F613^2</f>
        <v/>
      </c>
      <c r="H613" s="68" t="inlineStr"/>
      <c r="I613" s="68" t="inlineStr"/>
    </row>
    <row r="614">
      <c r="A614" s="65" t="n">
        <v>601</v>
      </c>
      <c r="B614" s="82" t="n">
        <v>600</v>
      </c>
      <c r="C614" s="82">
        <f>B614^2</f>
        <v/>
      </c>
      <c r="D614" s="66" t="n">
        <v>4731.02</v>
      </c>
      <c r="E614" s="66" t="n">
        <v>4670.03179</v>
      </c>
      <c r="F614" s="67">
        <f>D614-E614</f>
        <v/>
      </c>
      <c r="G614" s="66">
        <f>F614^2</f>
        <v/>
      </c>
      <c r="H614" s="65" t="inlineStr"/>
      <c r="I614" s="65" t="inlineStr"/>
    </row>
    <row r="615">
      <c r="A615" s="68" t="n">
        <v>602</v>
      </c>
      <c r="B615" s="83" t="n">
        <v>601</v>
      </c>
      <c r="C615" s="83">
        <f>B615^2</f>
        <v/>
      </c>
      <c r="D615" s="69" t="n">
        <v>4734.22</v>
      </c>
      <c r="E615" s="69" t="n">
        <v>4670.23423</v>
      </c>
      <c r="F615" s="70">
        <f>D615-E615</f>
        <v/>
      </c>
      <c r="G615" s="69">
        <f>F615^2</f>
        <v/>
      </c>
      <c r="H615" s="68" t="inlineStr"/>
      <c r="I615" s="68" t="inlineStr"/>
    </row>
    <row r="616">
      <c r="A616" s="65" t="n">
        <v>603</v>
      </c>
      <c r="B616" s="82" t="n">
        <v>602</v>
      </c>
      <c r="C616" s="82">
        <f>B616^2</f>
        <v/>
      </c>
      <c r="D616" s="66" t="n">
        <v>4735.64</v>
      </c>
      <c r="E616" s="66" t="n">
        <v>4670.43668</v>
      </c>
      <c r="F616" s="67">
        <f>D616-E616</f>
        <v/>
      </c>
      <c r="G616" s="66">
        <f>F616^2</f>
        <v/>
      </c>
      <c r="H616" s="65" t="inlineStr"/>
      <c r="I616" s="65" t="inlineStr"/>
    </row>
    <row r="617">
      <c r="A617" s="68" t="n">
        <v>604</v>
      </c>
      <c r="B617" s="83" t="n">
        <v>603</v>
      </c>
      <c r="C617" s="83">
        <f>B617^2</f>
        <v/>
      </c>
      <c r="D617" s="69" t="n">
        <v>4737.77</v>
      </c>
      <c r="E617" s="69" t="n">
        <v>4670.63913</v>
      </c>
      <c r="F617" s="70">
        <f>D617-E617</f>
        <v/>
      </c>
      <c r="G617" s="69">
        <f>F617^2</f>
        <v/>
      </c>
      <c r="H617" s="68" t="inlineStr"/>
      <c r="I617" s="68" t="inlineStr"/>
    </row>
    <row r="618">
      <c r="A618" s="65" t="n">
        <v>605</v>
      </c>
      <c r="B618" s="82" t="n">
        <v>604</v>
      </c>
      <c r="C618" s="82">
        <f>B618^2</f>
        <v/>
      </c>
      <c r="D618" s="66" t="n">
        <v>4729.06</v>
      </c>
      <c r="E618" s="66" t="n">
        <v>4670.84157</v>
      </c>
      <c r="F618" s="67">
        <f>D618-E618</f>
        <v/>
      </c>
      <c r="G618" s="66">
        <f>F618^2</f>
        <v/>
      </c>
      <c r="H618" s="65" t="inlineStr"/>
      <c r="I618" s="65" t="inlineStr"/>
    </row>
    <row r="619">
      <c r="A619" s="68" t="n">
        <v>606</v>
      </c>
      <c r="B619" s="83" t="n">
        <v>605</v>
      </c>
      <c r="C619" s="83">
        <f>B619^2</f>
        <v/>
      </c>
      <c r="D619" s="69" t="n">
        <v>4734.98</v>
      </c>
      <c r="E619" s="69" t="n">
        <v>4671.04402</v>
      </c>
      <c r="F619" s="70">
        <f>D619-E619</f>
        <v/>
      </c>
      <c r="G619" s="69">
        <f>F619^2</f>
        <v/>
      </c>
      <c r="H619" s="68" t="inlineStr"/>
      <c r="I619" s="68" t="inlineStr"/>
    </row>
    <row r="620">
      <c r="A620" s="65" t="n">
        <v>607</v>
      </c>
      <c r="B620" s="82" t="n">
        <v>606</v>
      </c>
      <c r="C620" s="82">
        <f>B620^2</f>
        <v/>
      </c>
      <c r="D620" s="66" t="n">
        <v>4732.57</v>
      </c>
      <c r="E620" s="66" t="n">
        <v>4671.24646</v>
      </c>
      <c r="F620" s="67">
        <f>D620-E620</f>
        <v/>
      </c>
      <c r="G620" s="66">
        <f>F620^2</f>
        <v/>
      </c>
      <c r="H620" s="65" t="inlineStr"/>
      <c r="I620" s="65" t="inlineStr"/>
    </row>
    <row r="621">
      <c r="A621" s="68" t="n">
        <v>608</v>
      </c>
      <c r="B621" s="83" t="n">
        <v>607</v>
      </c>
      <c r="C621" s="83">
        <f>B621^2</f>
        <v/>
      </c>
      <c r="D621" s="69" t="n">
        <v>4739.17</v>
      </c>
      <c r="E621" s="69" t="n">
        <v>4671.44891</v>
      </c>
      <c r="F621" s="70">
        <f>D621-E621</f>
        <v/>
      </c>
      <c r="G621" s="69">
        <f>F621^2</f>
        <v/>
      </c>
      <c r="H621" s="68" t="inlineStr"/>
      <c r="I621" s="68" t="inlineStr"/>
    </row>
    <row r="622">
      <c r="A622" s="65" t="n">
        <v>609</v>
      </c>
      <c r="B622" s="82" t="n">
        <v>608</v>
      </c>
      <c r="C622" s="82">
        <f>B622^2</f>
        <v/>
      </c>
      <c r="D622" s="66" t="n">
        <v>4735.69</v>
      </c>
      <c r="E622" s="66" t="n">
        <v>4671.65135</v>
      </c>
      <c r="F622" s="67">
        <f>D622-E622</f>
        <v/>
      </c>
      <c r="G622" s="66">
        <f>F622^2</f>
        <v/>
      </c>
      <c r="H622" s="65" t="inlineStr"/>
      <c r="I622" s="65" t="inlineStr"/>
    </row>
    <row r="623">
      <c r="A623" s="68" t="n">
        <v>610</v>
      </c>
      <c r="B623" s="83" t="n">
        <v>609</v>
      </c>
      <c r="C623" s="83">
        <f>B623^2</f>
        <v/>
      </c>
      <c r="D623" s="69" t="n">
        <v>4730.38</v>
      </c>
      <c r="E623" s="69" t="n">
        <v>4671.8538</v>
      </c>
      <c r="F623" s="70">
        <f>D623-E623</f>
        <v/>
      </c>
      <c r="G623" s="69">
        <f>F623^2</f>
        <v/>
      </c>
      <c r="H623" s="68" t="inlineStr"/>
      <c r="I623" s="68" t="inlineStr"/>
    </row>
    <row r="624">
      <c r="A624" s="65" t="n">
        <v>611</v>
      </c>
      <c r="B624" s="82" t="n">
        <v>610</v>
      </c>
      <c r="C624" s="82">
        <f>B624^2</f>
        <v/>
      </c>
      <c r="D624" s="66" t="n">
        <v>4732.68</v>
      </c>
      <c r="E624" s="66" t="n">
        <v>4672.05625</v>
      </c>
      <c r="F624" s="67">
        <f>D624-E624</f>
        <v/>
      </c>
      <c r="G624" s="66">
        <f>F624^2</f>
        <v/>
      </c>
      <c r="H624" s="65" t="inlineStr"/>
      <c r="I624" s="65" t="inlineStr"/>
    </row>
    <row r="625">
      <c r="A625" s="68" t="n">
        <v>612</v>
      </c>
      <c r="B625" s="83" t="n">
        <v>611</v>
      </c>
      <c r="C625" s="83">
        <f>B625^2</f>
        <v/>
      </c>
      <c r="D625" s="69" t="n">
        <v>4736.98</v>
      </c>
      <c r="E625" s="69" t="n">
        <v>4672.25869</v>
      </c>
      <c r="F625" s="70">
        <f>D625-E625</f>
        <v/>
      </c>
      <c r="G625" s="69">
        <f>F625^2</f>
        <v/>
      </c>
      <c r="H625" s="68" t="inlineStr"/>
      <c r="I625" s="68" t="inlineStr"/>
    </row>
    <row r="626">
      <c r="A626" s="65" t="n">
        <v>613</v>
      </c>
      <c r="B626" s="82" t="n">
        <v>612</v>
      </c>
      <c r="C626" s="82">
        <f>B626^2</f>
        <v/>
      </c>
      <c r="D626" s="66" t="n">
        <v>4742.8</v>
      </c>
      <c r="E626" s="66" t="n">
        <v>4672.46114</v>
      </c>
      <c r="F626" s="67">
        <f>D626-E626</f>
        <v/>
      </c>
      <c r="G626" s="66">
        <f>F626^2</f>
        <v/>
      </c>
      <c r="H626" s="65" t="inlineStr"/>
      <c r="I626" s="65" t="inlineStr"/>
    </row>
    <row r="627">
      <c r="A627" s="68" t="n">
        <v>614</v>
      </c>
      <c r="B627" s="83" t="n">
        <v>613</v>
      </c>
      <c r="C627" s="83">
        <f>B627^2</f>
        <v/>
      </c>
      <c r="D627" s="69" t="n">
        <v>4744.19</v>
      </c>
      <c r="E627" s="69" t="n">
        <v>4672.66358</v>
      </c>
      <c r="F627" s="70">
        <f>D627-E627</f>
        <v/>
      </c>
      <c r="G627" s="69">
        <f>F627^2</f>
        <v/>
      </c>
      <c r="H627" s="68" t="inlineStr"/>
      <c r="I627" s="68" t="inlineStr"/>
    </row>
    <row r="628">
      <c r="A628" s="65" t="n">
        <v>615</v>
      </c>
      <c r="B628" s="82" t="n">
        <v>614</v>
      </c>
      <c r="C628" s="82">
        <f>B628^2</f>
        <v/>
      </c>
      <c r="D628" s="66" t="n">
        <v>4738.16</v>
      </c>
      <c r="E628" s="66" t="n">
        <v>4672.86603</v>
      </c>
      <c r="F628" s="67">
        <f>D628-E628</f>
        <v/>
      </c>
      <c r="G628" s="66">
        <f>F628^2</f>
        <v/>
      </c>
      <c r="H628" s="65" t="inlineStr"/>
      <c r="I628" s="65" t="inlineStr"/>
    </row>
    <row r="629">
      <c r="A629" s="68" t="n">
        <v>616</v>
      </c>
      <c r="B629" s="83" t="n">
        <v>615</v>
      </c>
      <c r="C629" s="83">
        <f>B629^2</f>
        <v/>
      </c>
      <c r="D629" s="69" t="n">
        <v>4751.15</v>
      </c>
      <c r="E629" s="69" t="n">
        <v>4673.06847</v>
      </c>
      <c r="F629" s="70">
        <f>D629-E629</f>
        <v/>
      </c>
      <c r="G629" s="69">
        <f>F629^2</f>
        <v/>
      </c>
      <c r="H629" s="68" t="inlineStr"/>
      <c r="I629" s="68" t="inlineStr"/>
    </row>
    <row r="630">
      <c r="A630" s="65" t="n">
        <v>617</v>
      </c>
      <c r="B630" s="82" t="n">
        <v>616</v>
      </c>
      <c r="C630" s="82">
        <f>B630^2</f>
        <v/>
      </c>
      <c r="D630" s="66" t="n">
        <v>4749.99</v>
      </c>
      <c r="E630" s="66" t="n">
        <v>4673.27092</v>
      </c>
      <c r="F630" s="67">
        <f>D630-E630</f>
        <v/>
      </c>
      <c r="G630" s="66">
        <f>F630^2</f>
        <v/>
      </c>
      <c r="H630" s="65" t="inlineStr"/>
      <c r="I630" s="65" t="inlineStr"/>
    </row>
    <row r="631">
      <c r="A631" s="68" t="n">
        <v>618</v>
      </c>
      <c r="B631" s="83" t="n">
        <v>617</v>
      </c>
      <c r="C631" s="83">
        <f>B631^2</f>
        <v/>
      </c>
      <c r="D631" s="69" t="n">
        <v>4733.46</v>
      </c>
      <c r="E631" s="69" t="n">
        <v>4673.47337</v>
      </c>
      <c r="F631" s="70">
        <f>D631-E631</f>
        <v/>
      </c>
      <c r="G631" s="69">
        <f>F631^2</f>
        <v/>
      </c>
      <c r="H631" s="68" t="inlineStr"/>
      <c r="I631" s="68" t="inlineStr"/>
    </row>
    <row r="632">
      <c r="A632" s="65" t="n">
        <v>619</v>
      </c>
      <c r="B632" s="82" t="n">
        <v>618</v>
      </c>
      <c r="C632" s="82">
        <f>B632^2</f>
        <v/>
      </c>
      <c r="D632" s="66" t="n">
        <v>4745.53</v>
      </c>
      <c r="E632" s="66" t="n">
        <v>4673.67581</v>
      </c>
      <c r="F632" s="67">
        <f>D632-E632</f>
        <v/>
      </c>
      <c r="G632" s="66">
        <f>F632^2</f>
        <v/>
      </c>
      <c r="H632" s="65" t="inlineStr"/>
      <c r="I632" s="65" t="inlineStr"/>
    </row>
    <row r="633">
      <c r="A633" s="68" t="n">
        <v>620</v>
      </c>
      <c r="B633" s="83" t="n">
        <v>619</v>
      </c>
      <c r="C633" s="83">
        <f>B633^2</f>
        <v/>
      </c>
      <c r="D633" s="69" t="n">
        <v>4748.49</v>
      </c>
      <c r="E633" s="69" t="n">
        <v>4673.87826</v>
      </c>
      <c r="F633" s="70">
        <f>D633-E633</f>
        <v/>
      </c>
      <c r="G633" s="69">
        <f>F633^2</f>
        <v/>
      </c>
      <c r="H633" s="68" t="inlineStr"/>
      <c r="I633" s="68" t="inlineStr"/>
    </row>
    <row r="634">
      <c r="A634" s="65" t="n">
        <v>621</v>
      </c>
      <c r="B634" s="82" t="n">
        <v>620</v>
      </c>
      <c r="C634" s="82">
        <f>B634^2</f>
        <v/>
      </c>
      <c r="D634" s="66" t="n">
        <v>4746.18</v>
      </c>
      <c r="E634" s="66" t="n">
        <v>4674.0807</v>
      </c>
      <c r="F634" s="67">
        <f>D634-E634</f>
        <v/>
      </c>
      <c r="G634" s="66">
        <f>F634^2</f>
        <v/>
      </c>
      <c r="H634" s="65" t="inlineStr"/>
      <c r="I634" s="65" t="inlineStr"/>
    </row>
    <row r="635">
      <c r="A635" s="68" t="n">
        <v>622</v>
      </c>
      <c r="B635" s="83" t="n">
        <v>621</v>
      </c>
      <c r="C635" s="83">
        <f>B635^2</f>
        <v/>
      </c>
      <c r="D635" s="69" t="n">
        <v>4752.05</v>
      </c>
      <c r="E635" s="69" t="n">
        <v>4674.28315</v>
      </c>
      <c r="F635" s="70">
        <f>D635-E635</f>
        <v/>
      </c>
      <c r="G635" s="69">
        <f>F635^2</f>
        <v/>
      </c>
      <c r="H635" s="68" t="inlineStr"/>
      <c r="I635" s="68" t="inlineStr"/>
    </row>
    <row r="636">
      <c r="A636" s="65" t="n">
        <v>623</v>
      </c>
      <c r="B636" s="82" t="n">
        <v>622</v>
      </c>
      <c r="C636" s="82">
        <f>B636^2</f>
        <v/>
      </c>
      <c r="D636" s="66" t="n">
        <v>4756.66</v>
      </c>
      <c r="E636" s="66" t="n">
        <v>4674.48559</v>
      </c>
      <c r="F636" s="67">
        <f>D636-E636</f>
        <v/>
      </c>
      <c r="G636" s="66">
        <f>F636^2</f>
        <v/>
      </c>
      <c r="H636" s="65" t="inlineStr"/>
      <c r="I636" s="65" t="inlineStr"/>
    </row>
    <row r="637">
      <c r="A637" s="68" t="n">
        <v>624</v>
      </c>
      <c r="B637" s="83" t="n">
        <v>623</v>
      </c>
      <c r="C637" s="83">
        <f>B637^2</f>
        <v/>
      </c>
      <c r="D637" s="69" t="n">
        <v>4751.91</v>
      </c>
      <c r="E637" s="69" t="n">
        <v>4674.68804</v>
      </c>
      <c r="F637" s="70">
        <f>D637-E637</f>
        <v/>
      </c>
      <c r="G637" s="69">
        <f>F637^2</f>
        <v/>
      </c>
      <c r="H637" s="68" t="inlineStr"/>
      <c r="I637" s="68" t="inlineStr"/>
    </row>
    <row r="638">
      <c r="A638" s="65" t="n">
        <v>625</v>
      </c>
      <c r="B638" s="82" t="n">
        <v>624</v>
      </c>
      <c r="C638" s="82">
        <f>B638^2</f>
        <v/>
      </c>
      <c r="D638" s="66" t="n">
        <v>4762.74</v>
      </c>
      <c r="E638" s="66" t="n">
        <v>4674.89049</v>
      </c>
      <c r="F638" s="67">
        <f>D638-E638</f>
        <v/>
      </c>
      <c r="G638" s="66">
        <f>F638^2</f>
        <v/>
      </c>
      <c r="H638" s="65" t="inlineStr"/>
      <c r="I638" s="65" t="inlineStr"/>
    </row>
    <row r="639">
      <c r="A639" s="68" t="n">
        <v>626</v>
      </c>
      <c r="B639" s="83" t="n">
        <v>625</v>
      </c>
      <c r="C639" s="83">
        <f>B639^2</f>
        <v/>
      </c>
      <c r="D639" s="69" t="n">
        <v>4754.77</v>
      </c>
      <c r="E639" s="69" t="n">
        <v>4675.09293</v>
      </c>
      <c r="F639" s="70">
        <f>D639-E639</f>
        <v/>
      </c>
      <c r="G639" s="69">
        <f>F639^2</f>
        <v/>
      </c>
      <c r="H639" s="68" t="inlineStr"/>
      <c r="I639" s="68" t="inlineStr"/>
    </row>
    <row r="640">
      <c r="A640" s="65" t="n">
        <v>627</v>
      </c>
      <c r="B640" s="82" t="n">
        <v>626</v>
      </c>
      <c r="C640" s="82">
        <f>B640^2</f>
        <v/>
      </c>
      <c r="D640" s="66" t="n">
        <v>4740.18</v>
      </c>
      <c r="E640" s="66" t="n">
        <v>4675.29538</v>
      </c>
      <c r="F640" s="67">
        <f>D640-E640</f>
        <v/>
      </c>
      <c r="G640" s="66">
        <f>F640^2</f>
        <v/>
      </c>
      <c r="H640" s="65" t="inlineStr"/>
      <c r="I640" s="65" t="inlineStr"/>
    </row>
    <row r="641">
      <c r="A641" s="68" t="n">
        <v>628</v>
      </c>
      <c r="B641" s="83" t="n">
        <v>627</v>
      </c>
      <c r="C641" s="83">
        <f>B641^2</f>
        <v/>
      </c>
      <c r="D641" s="69" t="n">
        <v>4738.92</v>
      </c>
      <c r="E641" s="69" t="n">
        <v>4675.49782</v>
      </c>
      <c r="F641" s="70">
        <f>D641-E641</f>
        <v/>
      </c>
      <c r="G641" s="69">
        <f>F641^2</f>
        <v/>
      </c>
      <c r="H641" s="68" t="inlineStr"/>
      <c r="I641" s="68" t="inlineStr"/>
    </row>
    <row r="642">
      <c r="A642" s="65" t="n">
        <v>629</v>
      </c>
      <c r="B642" s="82" t="n">
        <v>628</v>
      </c>
      <c r="C642" s="82">
        <f>B642^2</f>
        <v/>
      </c>
      <c r="D642" s="66" t="n">
        <v>4729.17</v>
      </c>
      <c r="E642" s="66" t="n">
        <v>4675.70027</v>
      </c>
      <c r="F642" s="67">
        <f>D642-E642</f>
        <v/>
      </c>
      <c r="G642" s="66">
        <f>F642^2</f>
        <v/>
      </c>
      <c r="H642" s="65" t="inlineStr"/>
      <c r="I642" s="65" t="inlineStr"/>
    </row>
    <row r="643">
      <c r="A643" s="68" t="n">
        <v>630</v>
      </c>
      <c r="B643" s="83" t="n">
        <v>629</v>
      </c>
      <c r="C643" s="83">
        <f>B643^2</f>
        <v/>
      </c>
      <c r="D643" s="69" t="n">
        <v>4714.99</v>
      </c>
      <c r="E643" s="69" t="n">
        <v>4675.90271</v>
      </c>
      <c r="F643" s="70">
        <f>D643-E643</f>
        <v/>
      </c>
      <c r="G643" s="69">
        <f>F643^2</f>
        <v/>
      </c>
      <c r="H643" s="68" t="inlineStr"/>
      <c r="I643" s="68" t="inlineStr"/>
    </row>
    <row r="644">
      <c r="A644" s="65" t="n">
        <v>631</v>
      </c>
      <c r="B644" s="82" t="n">
        <v>630</v>
      </c>
      <c r="C644" s="82">
        <f>B644^2</f>
        <v/>
      </c>
      <c r="D644" s="66" t="n">
        <v>4719.84</v>
      </c>
      <c r="E644" s="66" t="n">
        <v>4676.10516</v>
      </c>
      <c r="F644" s="67">
        <f>D644-E644</f>
        <v/>
      </c>
      <c r="G644" s="66">
        <f>F644^2</f>
        <v/>
      </c>
      <c r="H644" s="65" t="inlineStr"/>
      <c r="I644" s="65" t="inlineStr"/>
    </row>
    <row r="645">
      <c r="A645" s="68" t="n">
        <v>632</v>
      </c>
      <c r="B645" s="83" t="n">
        <v>631</v>
      </c>
      <c r="C645" s="83">
        <f>B645^2</f>
        <v/>
      </c>
      <c r="D645" s="69" t="n">
        <v>4711.23</v>
      </c>
      <c r="E645" s="69" t="n">
        <v>4676.30761</v>
      </c>
      <c r="F645" s="70">
        <f>D645-E645</f>
        <v/>
      </c>
      <c r="G645" s="69">
        <f>F645^2</f>
        <v/>
      </c>
      <c r="H645" s="68" t="inlineStr"/>
      <c r="I645" s="68" t="inlineStr"/>
    </row>
    <row r="646">
      <c r="A646" s="65" t="n">
        <v>633</v>
      </c>
      <c r="B646" s="82" t="n">
        <v>632</v>
      </c>
      <c r="C646" s="82">
        <f>B646^2</f>
        <v/>
      </c>
      <c r="D646" s="66" t="n">
        <v>4715</v>
      </c>
      <c r="E646" s="66" t="n">
        <v>4676.51005</v>
      </c>
      <c r="F646" s="67">
        <f>D646-E646</f>
        <v/>
      </c>
      <c r="G646" s="66">
        <f>F646^2</f>
        <v/>
      </c>
      <c r="H646" s="65" t="inlineStr"/>
      <c r="I646" s="65" t="inlineStr"/>
    </row>
    <row r="647">
      <c r="A647" s="68" t="n">
        <v>634</v>
      </c>
      <c r="B647" s="83" t="n">
        <v>633</v>
      </c>
      <c r="C647" s="83">
        <f>B647^2</f>
        <v/>
      </c>
      <c r="D647" s="69" t="n">
        <v>4714.61</v>
      </c>
      <c r="E647" s="69" t="n">
        <v>4676.7125</v>
      </c>
      <c r="F647" s="70">
        <f>D647-E647</f>
        <v/>
      </c>
      <c r="G647" s="69">
        <f>F647^2</f>
        <v/>
      </c>
      <c r="H647" s="68" t="inlineStr"/>
      <c r="I647" s="68" t="inlineStr"/>
    </row>
    <row r="648">
      <c r="A648" s="65" t="n">
        <v>635</v>
      </c>
      <c r="B648" s="82" t="n">
        <v>634</v>
      </c>
      <c r="C648" s="82">
        <f>B648^2</f>
        <v/>
      </c>
      <c r="D648" s="66" t="n">
        <v>4699.29</v>
      </c>
      <c r="E648" s="66" t="n">
        <v>4676.91494</v>
      </c>
      <c r="F648" s="67">
        <f>D648-E648</f>
        <v/>
      </c>
      <c r="G648" s="66">
        <f>F648^2</f>
        <v/>
      </c>
      <c r="H648" s="65" t="inlineStr"/>
      <c r="I648" s="65" t="inlineStr"/>
    </row>
    <row r="649">
      <c r="A649" s="68" t="n">
        <v>636</v>
      </c>
      <c r="B649" s="83" t="n">
        <v>635</v>
      </c>
      <c r="C649" s="83">
        <f>B649^2</f>
        <v/>
      </c>
      <c r="D649" s="69" t="n">
        <v>4699.72</v>
      </c>
      <c r="E649" s="69" t="n">
        <v>4677.11739</v>
      </c>
      <c r="F649" s="70">
        <f>D649-E649</f>
        <v/>
      </c>
      <c r="G649" s="69">
        <f>F649^2</f>
        <v/>
      </c>
      <c r="H649" s="68" t="inlineStr"/>
      <c r="I649" s="68" t="inlineStr"/>
    </row>
    <row r="650">
      <c r="A650" s="65" t="n">
        <v>637</v>
      </c>
      <c r="B650" s="82" t="n">
        <v>636</v>
      </c>
      <c r="C650" s="82">
        <f>B650^2</f>
        <v/>
      </c>
      <c r="D650" s="66" t="n">
        <v>4711.45</v>
      </c>
      <c r="E650" s="66" t="n">
        <v>4677.31983</v>
      </c>
      <c r="F650" s="67">
        <f>D650-E650</f>
        <v/>
      </c>
      <c r="G650" s="66">
        <f>F650^2</f>
        <v/>
      </c>
      <c r="H650" s="65" t="inlineStr"/>
      <c r="I650" s="65" t="inlineStr"/>
    </row>
    <row r="651">
      <c r="A651" s="68" t="n">
        <v>638</v>
      </c>
      <c r="B651" s="83" t="n">
        <v>637</v>
      </c>
      <c r="C651" s="83">
        <f>B651^2</f>
        <v/>
      </c>
      <c r="D651" s="69" t="n">
        <v>4708.08</v>
      </c>
      <c r="E651" s="69" t="n">
        <v>4677.52228</v>
      </c>
      <c r="F651" s="70">
        <f>D651-E651</f>
        <v/>
      </c>
      <c r="G651" s="69">
        <f>F651^2</f>
        <v/>
      </c>
      <c r="H651" s="68" t="inlineStr"/>
      <c r="I651" s="68" t="inlineStr"/>
    </row>
    <row r="652">
      <c r="A652" s="65" t="n">
        <v>639</v>
      </c>
      <c r="B652" s="82" t="n">
        <v>638</v>
      </c>
      <c r="C652" s="82">
        <f>B652^2</f>
        <v/>
      </c>
      <c r="D652" s="66" t="n">
        <v>4712.9</v>
      </c>
      <c r="E652" s="66" t="n">
        <v>4677.72473</v>
      </c>
      <c r="F652" s="67">
        <f>D652-E652</f>
        <v/>
      </c>
      <c r="G652" s="66">
        <f>F652^2</f>
        <v/>
      </c>
      <c r="H652" s="65" t="inlineStr"/>
      <c r="I652" s="65" t="inlineStr"/>
    </row>
    <row r="653">
      <c r="A653" s="68" t="n">
        <v>640</v>
      </c>
      <c r="B653" s="83" t="n">
        <v>639</v>
      </c>
      <c r="C653" s="83">
        <f>B653^2</f>
        <v/>
      </c>
      <c r="D653" s="69" t="n">
        <v>4705.96</v>
      </c>
      <c r="E653" s="69" t="n">
        <v>4677.92717</v>
      </c>
      <c r="F653" s="70">
        <f>D653-E653</f>
        <v/>
      </c>
      <c r="G653" s="69">
        <f>F653^2</f>
        <v/>
      </c>
      <c r="H653" s="68" t="inlineStr"/>
      <c r="I653" s="68" t="inlineStr"/>
    </row>
    <row r="654">
      <c r="A654" s="65" t="n">
        <v>641</v>
      </c>
      <c r="B654" s="82" t="n">
        <v>640</v>
      </c>
      <c r="C654" s="82">
        <f>B654^2</f>
        <v/>
      </c>
      <c r="D654" s="66" t="n">
        <v>4709.55</v>
      </c>
      <c r="E654" s="66" t="n">
        <v>4678.12962</v>
      </c>
      <c r="F654" s="67">
        <f>D654-E654</f>
        <v/>
      </c>
      <c r="G654" s="66">
        <f>F654^2</f>
        <v/>
      </c>
      <c r="H654" s="65" t="inlineStr"/>
      <c r="I654" s="65" t="inlineStr"/>
    </row>
    <row r="655">
      <c r="A655" s="68" t="n">
        <v>642</v>
      </c>
      <c r="B655" s="83" t="n">
        <v>641</v>
      </c>
      <c r="C655" s="83">
        <f>B655^2</f>
        <v/>
      </c>
      <c r="D655" s="69" t="n">
        <v>4710.04</v>
      </c>
      <c r="E655" s="69" t="n">
        <v>4678.33206</v>
      </c>
      <c r="F655" s="70">
        <f>D655-E655</f>
        <v/>
      </c>
      <c r="G655" s="69">
        <f>F655^2</f>
        <v/>
      </c>
      <c r="H655" s="68" t="inlineStr"/>
      <c r="I655" s="68" t="inlineStr"/>
    </row>
    <row r="656">
      <c r="A656" s="65" t="n">
        <v>643</v>
      </c>
      <c r="B656" s="82" t="n">
        <v>642</v>
      </c>
      <c r="C656" s="82">
        <f>B656^2</f>
        <v/>
      </c>
      <c r="D656" s="66" t="n">
        <v>4705.05</v>
      </c>
      <c r="E656" s="66" t="n">
        <v>4678.53451</v>
      </c>
      <c r="F656" s="67">
        <f>D656-E656</f>
        <v/>
      </c>
      <c r="G656" s="66">
        <f>F656^2</f>
        <v/>
      </c>
      <c r="H656" s="65" t="inlineStr"/>
      <c r="I656" s="65" t="inlineStr"/>
    </row>
    <row r="657">
      <c r="A657" s="68" t="n">
        <v>644</v>
      </c>
      <c r="B657" s="83" t="n">
        <v>643</v>
      </c>
      <c r="C657" s="83">
        <f>B657^2</f>
        <v/>
      </c>
      <c r="D657" s="69" t="n">
        <v>4709.69</v>
      </c>
      <c r="E657" s="69" t="n">
        <v>4678.73695</v>
      </c>
      <c r="F657" s="70">
        <f>D657-E657</f>
        <v/>
      </c>
      <c r="G657" s="69">
        <f>F657^2</f>
        <v/>
      </c>
      <c r="H657" s="68" t="inlineStr"/>
      <c r="I657" s="68" t="inlineStr"/>
    </row>
    <row r="658">
      <c r="A658" s="65" t="n">
        <v>645</v>
      </c>
      <c r="B658" s="82" t="n">
        <v>644</v>
      </c>
      <c r="C658" s="82">
        <f>B658^2</f>
        <v/>
      </c>
      <c r="D658" s="66" t="n">
        <v>4702.9</v>
      </c>
      <c r="E658" s="66" t="n">
        <v>4678.9394</v>
      </c>
      <c r="F658" s="67">
        <f>D658-E658</f>
        <v/>
      </c>
      <c r="G658" s="66">
        <f>F658^2</f>
        <v/>
      </c>
      <c r="H658" s="65" t="inlineStr"/>
      <c r="I658" s="65" t="inlineStr"/>
    </row>
    <row r="659">
      <c r="A659" s="68" t="n">
        <v>646</v>
      </c>
      <c r="B659" s="83" t="n">
        <v>645</v>
      </c>
      <c r="C659" s="83">
        <f>B659^2</f>
        <v/>
      </c>
      <c r="D659" s="69" t="n">
        <v>4711.55</v>
      </c>
      <c r="E659" s="69" t="n">
        <v>4679.14184</v>
      </c>
      <c r="F659" s="70">
        <f>D659-E659</f>
        <v/>
      </c>
      <c r="G659" s="69">
        <f>F659^2</f>
        <v/>
      </c>
      <c r="H659" s="68" t="inlineStr"/>
      <c r="I659" s="68" t="inlineStr"/>
    </row>
    <row r="660">
      <c r="A660" s="65" t="n">
        <v>647</v>
      </c>
      <c r="B660" s="82" t="n">
        <v>646</v>
      </c>
      <c r="C660" s="82">
        <f>B660^2</f>
        <v/>
      </c>
      <c r="D660" s="66" t="n">
        <v>4712.98</v>
      </c>
      <c r="E660" s="66" t="n">
        <v>4679.34429</v>
      </c>
      <c r="F660" s="67">
        <f>D660-E660</f>
        <v/>
      </c>
      <c r="G660" s="66">
        <f>F660^2</f>
        <v/>
      </c>
      <c r="H660" s="65" t="inlineStr"/>
      <c r="I660" s="65" t="inlineStr"/>
    </row>
    <row r="661">
      <c r="A661" s="68" t="n">
        <v>648</v>
      </c>
      <c r="B661" s="83" t="n">
        <v>647</v>
      </c>
      <c r="C661" s="83">
        <f>B661^2</f>
        <v/>
      </c>
      <c r="D661" s="69" t="n">
        <v>4703.9</v>
      </c>
      <c r="E661" s="69" t="n">
        <v>4679.54674</v>
      </c>
      <c r="F661" s="70">
        <f>D661-E661</f>
        <v/>
      </c>
      <c r="G661" s="69">
        <f>F661^2</f>
        <v/>
      </c>
      <c r="H661" s="68" t="inlineStr"/>
      <c r="I661" s="68" t="inlineStr"/>
    </row>
    <row r="662">
      <c r="A662" s="65" t="n">
        <v>649</v>
      </c>
      <c r="B662" s="82" t="n">
        <v>648</v>
      </c>
      <c r="C662" s="82">
        <f>B662^2</f>
        <v/>
      </c>
      <c r="D662" s="66" t="n">
        <v>4687.24</v>
      </c>
      <c r="E662" s="66" t="n">
        <v>4679.74918</v>
      </c>
      <c r="F662" s="67">
        <f>D662-E662</f>
        <v/>
      </c>
      <c r="G662" s="66">
        <f>F662^2</f>
        <v/>
      </c>
      <c r="H662" s="65" t="inlineStr"/>
      <c r="I662" s="65" t="inlineStr"/>
    </row>
    <row r="663">
      <c r="A663" s="68" t="n">
        <v>650</v>
      </c>
      <c r="B663" s="83" t="n">
        <v>649</v>
      </c>
      <c r="C663" s="83">
        <f>B663^2</f>
        <v/>
      </c>
      <c r="D663" s="69" t="n">
        <v>4691.37</v>
      </c>
      <c r="E663" s="69" t="n">
        <v>4679.95163</v>
      </c>
      <c r="F663" s="70">
        <f>D663-E663</f>
        <v/>
      </c>
      <c r="G663" s="69">
        <f>F663^2</f>
        <v/>
      </c>
      <c r="H663" s="68" t="inlineStr"/>
      <c r="I663" s="68" t="inlineStr"/>
    </row>
    <row r="664">
      <c r="A664" s="65" t="n">
        <v>651</v>
      </c>
      <c r="B664" s="82" t="n">
        <v>650</v>
      </c>
      <c r="C664" s="82">
        <f>B664^2</f>
        <v/>
      </c>
      <c r="D664" s="66" t="n">
        <v>4693.91</v>
      </c>
      <c r="E664" s="66" t="n">
        <v>4680.15407</v>
      </c>
      <c r="F664" s="67">
        <f>D664-E664</f>
        <v/>
      </c>
      <c r="G664" s="66">
        <f>F664^2</f>
        <v/>
      </c>
      <c r="H664" s="65" t="inlineStr"/>
      <c r="I664" s="65" t="inlineStr"/>
    </row>
    <row r="665">
      <c r="A665" s="68" t="n">
        <v>652</v>
      </c>
      <c r="B665" s="83" t="n">
        <v>651</v>
      </c>
      <c r="C665" s="83">
        <f>B665^2</f>
        <v/>
      </c>
      <c r="D665" s="69" t="n">
        <v>4687.16</v>
      </c>
      <c r="E665" s="69" t="n">
        <v>4680.35652</v>
      </c>
      <c r="F665" s="70">
        <f>D665-E665</f>
        <v/>
      </c>
      <c r="G665" s="69">
        <f>F665^2</f>
        <v/>
      </c>
      <c r="H665" s="68" t="inlineStr"/>
      <c r="I665" s="68" t="inlineStr"/>
    </row>
    <row r="666">
      <c r="A666" s="65" t="n">
        <v>653</v>
      </c>
      <c r="B666" s="82" t="n">
        <v>652</v>
      </c>
      <c r="C666" s="82">
        <f>B666^2</f>
        <v/>
      </c>
      <c r="D666" s="66" t="n">
        <v>4686.04</v>
      </c>
      <c r="E666" s="66" t="n">
        <v>4680.55896</v>
      </c>
      <c r="F666" s="67">
        <f>D666-E666</f>
        <v/>
      </c>
      <c r="G666" s="66">
        <f>F666^2</f>
        <v/>
      </c>
      <c r="H666" s="65" t="inlineStr"/>
      <c r="I666" s="65" t="inlineStr"/>
    </row>
    <row r="667">
      <c r="A667" s="68" t="n">
        <v>654</v>
      </c>
      <c r="B667" s="83" t="n">
        <v>653</v>
      </c>
      <c r="C667" s="83">
        <f>B667^2</f>
        <v/>
      </c>
      <c r="D667" s="69" t="n">
        <v>4691.8</v>
      </c>
      <c r="E667" s="69" t="n">
        <v>4680.76141</v>
      </c>
      <c r="F667" s="70">
        <f>D667-E667</f>
        <v/>
      </c>
      <c r="G667" s="69">
        <f>F667^2</f>
        <v/>
      </c>
      <c r="H667" s="68" t="inlineStr"/>
      <c r="I667" s="68" t="inlineStr"/>
    </row>
    <row r="668">
      <c r="A668" s="65" t="n">
        <v>655</v>
      </c>
      <c r="B668" s="82" t="n">
        <v>654</v>
      </c>
      <c r="C668" s="82">
        <f>B668^2</f>
        <v/>
      </c>
      <c r="D668" s="66" t="n">
        <v>4696.57</v>
      </c>
      <c r="E668" s="66" t="n">
        <v>4680.96386</v>
      </c>
      <c r="F668" s="67">
        <f>D668-E668</f>
        <v/>
      </c>
      <c r="G668" s="66">
        <f>F668^2</f>
        <v/>
      </c>
      <c r="H668" s="65" t="inlineStr"/>
      <c r="I668" s="65" t="inlineStr"/>
    </row>
    <row r="669">
      <c r="A669" s="68" t="n">
        <v>656</v>
      </c>
      <c r="B669" s="83" t="n">
        <v>655</v>
      </c>
      <c r="C669" s="83">
        <f>B669^2</f>
        <v/>
      </c>
      <c r="D669" s="69" t="n">
        <v>4697.81</v>
      </c>
      <c r="E669" s="69" t="n">
        <v>4681.1663</v>
      </c>
      <c r="F669" s="70">
        <f>D669-E669</f>
        <v/>
      </c>
      <c r="G669" s="69">
        <f>F669^2</f>
        <v/>
      </c>
      <c r="H669" s="68" t="inlineStr"/>
      <c r="I669" s="68" t="inlineStr"/>
    </row>
    <row r="670">
      <c r="A670" s="65" t="n">
        <v>657</v>
      </c>
      <c r="B670" s="82" t="n">
        <v>656</v>
      </c>
      <c r="C670" s="82">
        <f>B670^2</f>
        <v/>
      </c>
      <c r="D670" s="66" t="n">
        <v>4704.54</v>
      </c>
      <c r="E670" s="66" t="n">
        <v>4681.36875</v>
      </c>
      <c r="F670" s="67">
        <f>D670-E670</f>
        <v/>
      </c>
      <c r="G670" s="66">
        <f>F670^2</f>
        <v/>
      </c>
      <c r="H670" s="65" t="inlineStr"/>
      <c r="I670" s="65" t="inlineStr"/>
    </row>
    <row r="671">
      <c r="A671" s="68" t="n">
        <v>658</v>
      </c>
      <c r="B671" s="83" t="n">
        <v>657</v>
      </c>
      <c r="C671" s="83">
        <f>B671^2</f>
        <v/>
      </c>
      <c r="D671" s="69" t="n">
        <v>4702.79</v>
      </c>
      <c r="E671" s="69" t="n">
        <v>4681.57119</v>
      </c>
      <c r="F671" s="70">
        <f>D671-E671</f>
        <v/>
      </c>
      <c r="G671" s="69">
        <f>F671^2</f>
        <v/>
      </c>
      <c r="H671" s="68" t="inlineStr"/>
      <c r="I671" s="68" t="inlineStr"/>
    </row>
    <row r="672">
      <c r="A672" s="65" t="n">
        <v>659</v>
      </c>
      <c r="B672" s="82" t="n">
        <v>658</v>
      </c>
      <c r="C672" s="82">
        <f>B672^2</f>
        <v/>
      </c>
      <c r="D672" s="66" t="n">
        <v>4697.35</v>
      </c>
      <c r="E672" s="66" t="n">
        <v>4681.77364</v>
      </c>
      <c r="F672" s="67">
        <f>D672-E672</f>
        <v/>
      </c>
      <c r="G672" s="66">
        <f>F672^2</f>
        <v/>
      </c>
      <c r="H672" s="65" t="inlineStr"/>
      <c r="I672" s="65" t="inlineStr"/>
    </row>
    <row r="673">
      <c r="A673" s="68" t="n">
        <v>660</v>
      </c>
      <c r="B673" s="83" t="n">
        <v>659</v>
      </c>
      <c r="C673" s="83">
        <f>B673^2</f>
        <v/>
      </c>
      <c r="D673" s="69" t="n">
        <v>4705.16</v>
      </c>
      <c r="E673" s="69" t="n">
        <v>4681.97608</v>
      </c>
      <c r="F673" s="70">
        <f>D673-E673</f>
        <v/>
      </c>
      <c r="G673" s="69">
        <f>F673^2</f>
        <v/>
      </c>
      <c r="H673" s="68" t="inlineStr"/>
      <c r="I673" s="68" t="inlineStr"/>
    </row>
    <row r="674">
      <c r="A674" s="65" t="n">
        <v>661</v>
      </c>
      <c r="B674" s="82" t="n">
        <v>660</v>
      </c>
      <c r="C674" s="82">
        <f>B674^2</f>
        <v/>
      </c>
      <c r="D674" s="66" t="n">
        <v>4701.44</v>
      </c>
      <c r="E674" s="66" t="n">
        <v>4682.17853</v>
      </c>
      <c r="F674" s="67">
        <f>D674-E674</f>
        <v/>
      </c>
      <c r="G674" s="66">
        <f>F674^2</f>
        <v/>
      </c>
      <c r="H674" s="65" t="inlineStr"/>
      <c r="I674" s="65" t="inlineStr"/>
    </row>
    <row r="675">
      <c r="A675" s="68" t="n">
        <v>662</v>
      </c>
      <c r="B675" s="83" t="n">
        <v>661</v>
      </c>
      <c r="C675" s="83">
        <f>B675^2</f>
        <v/>
      </c>
      <c r="D675" s="69" t="n">
        <v>4714.05</v>
      </c>
      <c r="E675" s="69" t="n">
        <v>4682.38098</v>
      </c>
      <c r="F675" s="70">
        <f>D675-E675</f>
        <v/>
      </c>
      <c r="G675" s="69">
        <f>F675^2</f>
        <v/>
      </c>
      <c r="H675" s="68" t="inlineStr"/>
      <c r="I675" s="68" t="inlineStr"/>
    </row>
    <row r="676">
      <c r="A676" s="65" t="n">
        <v>663</v>
      </c>
      <c r="B676" s="82" t="n">
        <v>662</v>
      </c>
      <c r="C676" s="82">
        <f>B676^2</f>
        <v/>
      </c>
      <c r="D676" s="66" t="n">
        <v>4712.82</v>
      </c>
      <c r="E676" s="66" t="n">
        <v>4682.58342</v>
      </c>
      <c r="F676" s="67">
        <f>D676-E676</f>
        <v/>
      </c>
      <c r="G676" s="66">
        <f>F676^2</f>
        <v/>
      </c>
      <c r="H676" s="65" t="inlineStr"/>
      <c r="I676" s="65" t="inlineStr"/>
    </row>
    <row r="677">
      <c r="A677" s="68" t="n">
        <v>664</v>
      </c>
      <c r="B677" s="83" t="n">
        <v>663</v>
      </c>
      <c r="C677" s="83">
        <f>B677^2</f>
        <v/>
      </c>
      <c r="D677" s="69" t="n">
        <v>4711.08</v>
      </c>
      <c r="E677" s="69" t="n">
        <v>4682.78587</v>
      </c>
      <c r="F677" s="70">
        <f>D677-E677</f>
        <v/>
      </c>
      <c r="G677" s="69">
        <f>F677^2</f>
        <v/>
      </c>
      <c r="H677" s="68" t="inlineStr"/>
      <c r="I677" s="68" t="inlineStr"/>
    </row>
    <row r="678">
      <c r="A678" s="65" t="n">
        <v>665</v>
      </c>
      <c r="B678" s="82" t="n">
        <v>664</v>
      </c>
      <c r="C678" s="82">
        <f>B678^2</f>
        <v/>
      </c>
      <c r="D678" s="66" t="n">
        <v>4722.98</v>
      </c>
      <c r="E678" s="66" t="n">
        <v>4682.98831</v>
      </c>
      <c r="F678" s="67">
        <f>D678-E678</f>
        <v/>
      </c>
      <c r="G678" s="66">
        <f>F678^2</f>
        <v/>
      </c>
      <c r="H678" s="65" t="inlineStr"/>
      <c r="I678" s="65" t="inlineStr"/>
    </row>
    <row r="679">
      <c r="A679" s="68" t="n">
        <v>666</v>
      </c>
      <c r="B679" s="83" t="n">
        <v>665</v>
      </c>
      <c r="C679" s="83">
        <f>B679^2</f>
        <v/>
      </c>
      <c r="D679" s="69" t="n">
        <v>4723.99</v>
      </c>
      <c r="E679" s="69" t="n">
        <v>4683.19076</v>
      </c>
      <c r="F679" s="70">
        <f>D679-E679</f>
        <v/>
      </c>
      <c r="G679" s="69">
        <f>F679^2</f>
        <v/>
      </c>
      <c r="H679" s="68" t="inlineStr"/>
      <c r="I679" s="68" t="inlineStr"/>
    </row>
    <row r="680">
      <c r="A680" s="65" t="n">
        <v>667</v>
      </c>
      <c r="B680" s="82" t="n">
        <v>666</v>
      </c>
      <c r="C680" s="82">
        <f>B680^2</f>
        <v/>
      </c>
      <c r="D680" s="66" t="n">
        <v>4721.39</v>
      </c>
      <c r="E680" s="66" t="n">
        <v>4683.3932</v>
      </c>
      <c r="F680" s="67">
        <f>D680-E680</f>
        <v/>
      </c>
      <c r="G680" s="66">
        <f>F680^2</f>
        <v/>
      </c>
      <c r="H680" s="65" t="inlineStr"/>
      <c r="I680" s="65" t="inlineStr"/>
    </row>
    <row r="681">
      <c r="A681" s="68" t="n">
        <v>668</v>
      </c>
      <c r="B681" s="83" t="n">
        <v>667</v>
      </c>
      <c r="C681" s="83">
        <f>B681^2</f>
        <v/>
      </c>
      <c r="D681" s="69" t="n">
        <v>4710.27</v>
      </c>
      <c r="E681" s="69" t="n">
        <v>4683.59565</v>
      </c>
      <c r="F681" s="70">
        <f>D681-E681</f>
        <v/>
      </c>
      <c r="G681" s="69">
        <f>F681^2</f>
        <v/>
      </c>
      <c r="H681" s="68" t="inlineStr"/>
      <c r="I681" s="68" t="inlineStr"/>
    </row>
    <row r="682">
      <c r="A682" s="65" t="n">
        <v>669</v>
      </c>
      <c r="B682" s="82" t="n">
        <v>668</v>
      </c>
      <c r="C682" s="82">
        <f>B682^2</f>
        <v/>
      </c>
      <c r="D682" s="66" t="n">
        <v>4713.68</v>
      </c>
      <c r="E682" s="66" t="n">
        <v>4683.7981</v>
      </c>
      <c r="F682" s="67">
        <f>D682-E682</f>
        <v/>
      </c>
      <c r="G682" s="66">
        <f>F682^2</f>
        <v/>
      </c>
      <c r="H682" s="65" t="inlineStr"/>
      <c r="I682" s="65" t="inlineStr"/>
    </row>
    <row r="683">
      <c r="A683" s="68" t="n">
        <v>670</v>
      </c>
      <c r="B683" s="83" t="n">
        <v>669</v>
      </c>
      <c r="C683" s="83">
        <f>B683^2</f>
        <v/>
      </c>
      <c r="D683" s="69" t="n">
        <v>4720.15</v>
      </c>
      <c r="E683" s="69" t="n">
        <v>4684.00054</v>
      </c>
      <c r="F683" s="70">
        <f>D683-E683</f>
        <v/>
      </c>
      <c r="G683" s="69">
        <f>F683^2</f>
        <v/>
      </c>
      <c r="H683" s="68" t="inlineStr"/>
      <c r="I683" s="68" t="inlineStr"/>
    </row>
    <row r="684">
      <c r="A684" s="65" t="n">
        <v>671</v>
      </c>
      <c r="B684" s="82" t="n">
        <v>670</v>
      </c>
      <c r="C684" s="82">
        <f>B684^2</f>
        <v/>
      </c>
      <c r="D684" s="66" t="n">
        <v>4720.44</v>
      </c>
      <c r="E684" s="66" t="n">
        <v>4684.20299</v>
      </c>
      <c r="F684" s="67">
        <f>D684-E684</f>
        <v/>
      </c>
      <c r="G684" s="66">
        <f>F684^2</f>
        <v/>
      </c>
      <c r="H684" s="65" t="inlineStr"/>
      <c r="I684" s="65" t="inlineStr"/>
    </row>
    <row r="685">
      <c r="A685" s="68" t="n">
        <v>672</v>
      </c>
      <c r="B685" s="83" t="n">
        <v>671</v>
      </c>
      <c r="C685" s="83">
        <f>B685^2</f>
        <v/>
      </c>
      <c r="D685" s="69" t="n">
        <v>4724.99</v>
      </c>
      <c r="E685" s="69" t="n">
        <v>4684.40543</v>
      </c>
      <c r="F685" s="70">
        <f>D685-E685</f>
        <v/>
      </c>
      <c r="G685" s="69">
        <f>F685^2</f>
        <v/>
      </c>
      <c r="H685" s="68" t="inlineStr"/>
      <c r="I685" s="68" t="inlineStr"/>
    </row>
    <row r="686">
      <c r="A686" s="65" t="n">
        <v>673</v>
      </c>
      <c r="B686" s="82" t="n">
        <v>672</v>
      </c>
      <c r="C686" s="82">
        <f>B686^2</f>
        <v/>
      </c>
      <c r="D686" s="66" t="n">
        <v>4719.62</v>
      </c>
      <c r="E686" s="66" t="n">
        <v>4684.60788</v>
      </c>
      <c r="F686" s="67">
        <f>D686-E686</f>
        <v/>
      </c>
      <c r="G686" s="66">
        <f>F686^2</f>
        <v/>
      </c>
      <c r="H686" s="65" t="inlineStr"/>
      <c r="I686" s="65" t="inlineStr"/>
    </row>
    <row r="687">
      <c r="A687" s="68" t="n">
        <v>674</v>
      </c>
      <c r="B687" s="83" t="n">
        <v>673</v>
      </c>
      <c r="C687" s="83">
        <f>B687^2</f>
        <v/>
      </c>
      <c r="D687" s="69" t="n">
        <v>4715.08</v>
      </c>
      <c r="E687" s="69" t="n">
        <v>4684.81032</v>
      </c>
      <c r="F687" s="70">
        <f>D687-E687</f>
        <v/>
      </c>
      <c r="G687" s="69">
        <f>F687^2</f>
        <v/>
      </c>
      <c r="H687" s="68" t="inlineStr"/>
      <c r="I687" s="68" t="inlineStr"/>
    </row>
    <row r="688">
      <c r="A688" s="65" t="n">
        <v>675</v>
      </c>
      <c r="B688" s="82" t="n">
        <v>674</v>
      </c>
      <c r="C688" s="82">
        <f>B688^2</f>
        <v/>
      </c>
      <c r="D688" s="66" t="n">
        <v>4717.4</v>
      </c>
      <c r="E688" s="66" t="n">
        <v>4685.01277</v>
      </c>
      <c r="F688" s="67">
        <f>D688-E688</f>
        <v/>
      </c>
      <c r="G688" s="66">
        <f>F688^2</f>
        <v/>
      </c>
      <c r="H688" s="65" t="inlineStr"/>
      <c r="I688" s="65" t="inlineStr"/>
    </row>
    <row r="689">
      <c r="A689" s="68" t="n">
        <v>676</v>
      </c>
      <c r="B689" s="83" t="n">
        <v>675</v>
      </c>
      <c r="C689" s="83">
        <f>B689^2</f>
        <v/>
      </c>
      <c r="D689" s="69" t="n">
        <v>4712.14</v>
      </c>
      <c r="E689" s="69" t="n">
        <v>4685.21522</v>
      </c>
      <c r="F689" s="70">
        <f>D689-E689</f>
        <v/>
      </c>
      <c r="G689" s="69">
        <f>F689^2</f>
        <v/>
      </c>
      <c r="H689" s="68" t="inlineStr"/>
      <c r="I689" s="68" t="inlineStr"/>
    </row>
    <row r="690">
      <c r="A690" s="65" t="n">
        <v>677</v>
      </c>
      <c r="B690" s="82" t="n">
        <v>676</v>
      </c>
      <c r="C690" s="82">
        <f>B690^2</f>
        <v/>
      </c>
      <c r="D690" s="66" t="n">
        <v>4711.09</v>
      </c>
      <c r="E690" s="66" t="n">
        <v>4685.41766</v>
      </c>
      <c r="F690" s="67">
        <f>D690-E690</f>
        <v/>
      </c>
      <c r="G690" s="66">
        <f>F690^2</f>
        <v/>
      </c>
      <c r="H690" s="65" t="inlineStr"/>
      <c r="I690" s="65" t="inlineStr"/>
    </row>
    <row r="691">
      <c r="A691" s="68" t="n">
        <v>678</v>
      </c>
      <c r="B691" s="83" t="n">
        <v>677</v>
      </c>
      <c r="C691" s="83">
        <f>B691^2</f>
        <v/>
      </c>
      <c r="D691" s="69" t="n">
        <v>4712.09</v>
      </c>
      <c r="E691" s="69" t="n">
        <v>4685.62011</v>
      </c>
      <c r="F691" s="70">
        <f>D691-E691</f>
        <v/>
      </c>
      <c r="G691" s="69">
        <f>F691^2</f>
        <v/>
      </c>
      <c r="H691" s="68" t="inlineStr"/>
      <c r="I691" s="68" t="inlineStr"/>
    </row>
    <row r="692">
      <c r="A692" s="65" t="n">
        <v>679</v>
      </c>
      <c r="B692" s="82" t="n">
        <v>678</v>
      </c>
      <c r="C692" s="82">
        <f>B692^2</f>
        <v/>
      </c>
      <c r="D692" s="66" t="n">
        <v>4719.37</v>
      </c>
      <c r="E692" s="66" t="n">
        <v>4685.82255</v>
      </c>
      <c r="F692" s="67">
        <f>D692-E692</f>
        <v/>
      </c>
      <c r="G692" s="66">
        <f>F692^2</f>
        <v/>
      </c>
      <c r="H692" s="65" t="inlineStr"/>
      <c r="I692" s="65" t="inlineStr"/>
    </row>
    <row r="693">
      <c r="A693" s="68" t="n">
        <v>680</v>
      </c>
      <c r="B693" s="83" t="n">
        <v>679</v>
      </c>
      <c r="C693" s="83">
        <f>B693^2</f>
        <v/>
      </c>
      <c r="D693" s="69" t="n">
        <v>4724.62</v>
      </c>
      <c r="E693" s="69" t="n">
        <v>4686.025</v>
      </c>
      <c r="F693" s="70">
        <f>D693-E693</f>
        <v/>
      </c>
      <c r="G693" s="69">
        <f>F693^2</f>
        <v/>
      </c>
      <c r="H693" s="68" t="inlineStr"/>
      <c r="I693" s="68" t="inlineStr"/>
    </row>
    <row r="694">
      <c r="A694" s="65" t="n">
        <v>681</v>
      </c>
      <c r="B694" s="82" t="n">
        <v>680</v>
      </c>
      <c r="C694" s="82">
        <f>B694^2</f>
        <v/>
      </c>
      <c r="D694" s="66" t="n">
        <v>4727.43</v>
      </c>
      <c r="E694" s="66" t="n">
        <v>4686.22744</v>
      </c>
      <c r="F694" s="67">
        <f>D694-E694</f>
        <v/>
      </c>
      <c r="G694" s="66">
        <f>F694^2</f>
        <v/>
      </c>
      <c r="H694" s="65" t="inlineStr"/>
      <c r="I694" s="65" t="inlineStr"/>
    </row>
    <row r="695">
      <c r="A695" s="68" t="n">
        <v>682</v>
      </c>
      <c r="B695" s="83" t="n">
        <v>681</v>
      </c>
      <c r="C695" s="83">
        <f>B695^2</f>
        <v/>
      </c>
      <c r="D695" s="69" t="n">
        <v>4723.03</v>
      </c>
      <c r="E695" s="69" t="n">
        <v>4686.42989</v>
      </c>
      <c r="F695" s="70">
        <f>D695-E695</f>
        <v/>
      </c>
      <c r="G695" s="69">
        <f>F695^2</f>
        <v/>
      </c>
      <c r="H695" s="68" t="inlineStr"/>
      <c r="I695" s="68" t="inlineStr"/>
    </row>
    <row r="696">
      <c r="A696" s="65" t="n">
        <v>683</v>
      </c>
      <c r="B696" s="82" t="n">
        <v>682</v>
      </c>
      <c r="C696" s="82">
        <f>B696^2</f>
        <v/>
      </c>
      <c r="D696" s="66" t="n">
        <v>4733.47</v>
      </c>
      <c r="E696" s="66" t="n">
        <v>4686.63234</v>
      </c>
      <c r="F696" s="67">
        <f>D696-E696</f>
        <v/>
      </c>
      <c r="G696" s="66">
        <f>F696^2</f>
        <v/>
      </c>
      <c r="H696" s="65" t="inlineStr"/>
      <c r="I696" s="65" t="inlineStr"/>
    </row>
    <row r="697">
      <c r="A697" s="68" t="n">
        <v>684</v>
      </c>
      <c r="B697" s="83" t="n">
        <v>683</v>
      </c>
      <c r="C697" s="83">
        <f>B697^2</f>
        <v/>
      </c>
      <c r="D697" s="69" t="n">
        <v>4728.52</v>
      </c>
      <c r="E697" s="69" t="n">
        <v>4686.83478</v>
      </c>
      <c r="F697" s="70">
        <f>D697-E697</f>
        <v/>
      </c>
      <c r="G697" s="69">
        <f>F697^2</f>
        <v/>
      </c>
      <c r="H697" s="68" t="inlineStr"/>
      <c r="I697" s="68" t="inlineStr"/>
    </row>
    <row r="698">
      <c r="A698" s="65" t="n">
        <v>685</v>
      </c>
      <c r="B698" s="82" t="n">
        <v>684</v>
      </c>
      <c r="C698" s="82">
        <f>B698^2</f>
        <v/>
      </c>
      <c r="D698" s="66" t="n">
        <v>4725.67</v>
      </c>
      <c r="E698" s="66" t="n">
        <v>4687.03723</v>
      </c>
      <c r="F698" s="67">
        <f>D698-E698</f>
        <v/>
      </c>
      <c r="G698" s="66">
        <f>F698^2</f>
        <v/>
      </c>
      <c r="H698" s="65" t="inlineStr"/>
      <c r="I698" s="65" t="inlineStr"/>
    </row>
    <row r="699">
      <c r="A699" s="68" t="n">
        <v>686</v>
      </c>
      <c r="B699" s="83" t="n">
        <v>685</v>
      </c>
      <c r="C699" s="83">
        <f>B699^2</f>
        <v/>
      </c>
      <c r="D699" s="69" t="n">
        <v>4715.31</v>
      </c>
      <c r="E699" s="69" t="n">
        <v>4687.23967</v>
      </c>
      <c r="F699" s="70">
        <f>D699-E699</f>
        <v/>
      </c>
      <c r="G699" s="69">
        <f>F699^2</f>
        <v/>
      </c>
      <c r="H699" s="68" t="inlineStr"/>
      <c r="I699" s="68" t="inlineStr"/>
    </row>
    <row r="700">
      <c r="A700" s="65" t="n">
        <v>687</v>
      </c>
      <c r="B700" s="82" t="n">
        <v>686</v>
      </c>
      <c r="C700" s="82">
        <f>B700^2</f>
        <v/>
      </c>
      <c r="D700" s="66" t="n">
        <v>4706.67</v>
      </c>
      <c r="E700" s="66" t="n">
        <v>4687.44212</v>
      </c>
      <c r="F700" s="67">
        <f>D700-E700</f>
        <v/>
      </c>
      <c r="G700" s="66">
        <f>F700^2</f>
        <v/>
      </c>
      <c r="H700" s="65" t="inlineStr"/>
      <c r="I700" s="65" t="inlineStr"/>
    </row>
    <row r="701">
      <c r="A701" s="68" t="n">
        <v>688</v>
      </c>
      <c r="B701" s="83" t="n">
        <v>687</v>
      </c>
      <c r="C701" s="83">
        <f>B701^2</f>
        <v/>
      </c>
      <c r="D701" s="69" t="n">
        <v>4708.14</v>
      </c>
      <c r="E701" s="69" t="n">
        <v>4687.64456</v>
      </c>
      <c r="F701" s="70">
        <f>D701-E701</f>
        <v/>
      </c>
      <c r="G701" s="69">
        <f>F701^2</f>
        <v/>
      </c>
      <c r="H701" s="68" t="inlineStr"/>
      <c r="I701" s="68" t="inlineStr"/>
    </row>
    <row r="702">
      <c r="A702" s="65" t="n">
        <v>689</v>
      </c>
      <c r="B702" s="82" t="n">
        <v>688</v>
      </c>
      <c r="C702" s="82">
        <f>B702^2</f>
        <v/>
      </c>
      <c r="D702" s="66" t="n">
        <v>4707.87</v>
      </c>
      <c r="E702" s="66" t="n">
        <v>4687.84701</v>
      </c>
      <c r="F702" s="67">
        <f>D702-E702</f>
        <v/>
      </c>
      <c r="G702" s="66">
        <f>F702^2</f>
        <v/>
      </c>
      <c r="H702" s="65" t="inlineStr"/>
      <c r="I702" s="65" t="inlineStr"/>
    </row>
    <row r="703">
      <c r="A703" s="68" t="n">
        <v>690</v>
      </c>
      <c r="B703" s="83" t="n">
        <v>689</v>
      </c>
      <c r="C703" s="83">
        <f>B703^2</f>
        <v/>
      </c>
      <c r="D703" s="69" t="n">
        <v>4711.45</v>
      </c>
      <c r="E703" s="69" t="n">
        <v>4688.04946</v>
      </c>
      <c r="F703" s="70">
        <f>D703-E703</f>
        <v/>
      </c>
      <c r="G703" s="69">
        <f>F703^2</f>
        <v/>
      </c>
      <c r="H703" s="68" t="inlineStr"/>
      <c r="I703" s="68" t="inlineStr"/>
    </row>
    <row r="704">
      <c r="A704" s="65" t="n">
        <v>691</v>
      </c>
      <c r="B704" s="82" t="n">
        <v>690</v>
      </c>
      <c r="C704" s="82">
        <f>B704^2</f>
        <v/>
      </c>
      <c r="D704" s="66" t="n">
        <v>4716.82</v>
      </c>
      <c r="E704" s="66" t="n">
        <v>4688.2519</v>
      </c>
      <c r="F704" s="67">
        <f>D704-E704</f>
        <v/>
      </c>
      <c r="G704" s="66">
        <f>F704^2</f>
        <v/>
      </c>
      <c r="H704" s="65" t="inlineStr"/>
      <c r="I704" s="65" t="inlineStr"/>
    </row>
    <row r="705">
      <c r="A705" s="68" t="n">
        <v>692</v>
      </c>
      <c r="B705" s="83" t="n">
        <v>691</v>
      </c>
      <c r="C705" s="83">
        <f>B705^2</f>
        <v/>
      </c>
      <c r="D705" s="69" t="n">
        <v>4716.85</v>
      </c>
      <c r="E705" s="69" t="n">
        <v>4688.45435</v>
      </c>
      <c r="F705" s="70">
        <f>D705-E705</f>
        <v/>
      </c>
      <c r="G705" s="69">
        <f>F705^2</f>
        <v/>
      </c>
      <c r="H705" s="68" t="inlineStr"/>
      <c r="I705" s="68" t="inlineStr"/>
    </row>
    <row r="706">
      <c r="A706" s="65" t="n">
        <v>693</v>
      </c>
      <c r="B706" s="82" t="n">
        <v>692</v>
      </c>
      <c r="C706" s="82">
        <f>B706^2</f>
        <v/>
      </c>
      <c r="D706" s="66" t="n">
        <v>4715.7</v>
      </c>
      <c r="E706" s="66" t="n">
        <v>4688.65679</v>
      </c>
      <c r="F706" s="67">
        <f>D706-E706</f>
        <v/>
      </c>
      <c r="G706" s="66">
        <f>F706^2</f>
        <v/>
      </c>
      <c r="H706" s="65" t="inlineStr"/>
      <c r="I706" s="65" t="inlineStr"/>
    </row>
    <row r="707">
      <c r="A707" s="68" t="n">
        <v>694</v>
      </c>
      <c r="B707" s="83" t="n">
        <v>693</v>
      </c>
      <c r="C707" s="83">
        <f>B707^2</f>
        <v/>
      </c>
      <c r="D707" s="69" t="n">
        <v>4718.38</v>
      </c>
      <c r="E707" s="69" t="n">
        <v>4688.85924</v>
      </c>
      <c r="F707" s="70">
        <f>D707-E707</f>
        <v/>
      </c>
      <c r="G707" s="69">
        <f>F707^2</f>
        <v/>
      </c>
      <c r="H707" s="68" t="inlineStr"/>
      <c r="I707" s="68" t="inlineStr"/>
    </row>
    <row r="708">
      <c r="A708" s="65" t="n">
        <v>695</v>
      </c>
      <c r="B708" s="82" t="n">
        <v>694</v>
      </c>
      <c r="C708" s="82">
        <f>B708^2</f>
        <v/>
      </c>
      <c r="D708" s="66" t="n">
        <v>4717.81</v>
      </c>
      <c r="E708" s="66" t="n">
        <v>4689.06168</v>
      </c>
      <c r="F708" s="67">
        <f>D708-E708</f>
        <v/>
      </c>
      <c r="G708" s="66">
        <f>F708^2</f>
        <v/>
      </c>
      <c r="H708" s="65" t="inlineStr"/>
      <c r="I708" s="65" t="inlineStr"/>
    </row>
    <row r="709">
      <c r="A709" s="68" t="n">
        <v>696</v>
      </c>
      <c r="B709" s="83" t="n">
        <v>695</v>
      </c>
      <c r="C709" s="83">
        <f>B709^2</f>
        <v/>
      </c>
      <c r="D709" s="69" t="n">
        <v>4713.35</v>
      </c>
      <c r="E709" s="69" t="n">
        <v>4689.26413</v>
      </c>
      <c r="F709" s="70">
        <f>D709-E709</f>
        <v/>
      </c>
      <c r="G709" s="69">
        <f>F709^2</f>
        <v/>
      </c>
      <c r="H709" s="68" t="inlineStr"/>
      <c r="I709" s="68" t="inlineStr"/>
    </row>
    <row r="710">
      <c r="A710" s="65" t="n">
        <v>697</v>
      </c>
      <c r="B710" s="82" t="n">
        <v>696</v>
      </c>
      <c r="C710" s="82">
        <f>B710^2</f>
        <v/>
      </c>
      <c r="D710" s="66" t="n">
        <v>4711.79</v>
      </c>
      <c r="E710" s="66" t="n">
        <v>4689.46658</v>
      </c>
      <c r="F710" s="67">
        <f>D710-E710</f>
        <v/>
      </c>
      <c r="G710" s="66">
        <f>F710^2</f>
        <v/>
      </c>
      <c r="H710" s="65" t="inlineStr"/>
      <c r="I710" s="65" t="inlineStr"/>
    </row>
    <row r="711">
      <c r="A711" s="68" t="n">
        <v>698</v>
      </c>
      <c r="B711" s="83" t="n">
        <v>697</v>
      </c>
      <c r="C711" s="83">
        <f>B711^2</f>
        <v/>
      </c>
      <c r="D711" s="69" t="n">
        <v>4718.94</v>
      </c>
      <c r="E711" s="69" t="n">
        <v>4689.66902</v>
      </c>
      <c r="F711" s="70">
        <f>D711-E711</f>
        <v/>
      </c>
      <c r="G711" s="69">
        <f>F711^2</f>
        <v/>
      </c>
      <c r="H711" s="68" t="inlineStr"/>
      <c r="I711" s="68" t="inlineStr"/>
    </row>
    <row r="712">
      <c r="A712" s="65" t="n">
        <v>699</v>
      </c>
      <c r="B712" s="82" t="n">
        <v>698</v>
      </c>
      <c r="C712" s="82">
        <f>B712^2</f>
        <v/>
      </c>
      <c r="D712" s="66" t="n">
        <v>4720.38</v>
      </c>
      <c r="E712" s="66" t="n">
        <v>4689.87147</v>
      </c>
      <c r="F712" s="67">
        <f>D712-E712</f>
        <v/>
      </c>
      <c r="G712" s="66">
        <f>F712^2</f>
        <v/>
      </c>
      <c r="H712" s="65" t="inlineStr"/>
      <c r="I712" s="65" t="inlineStr"/>
    </row>
    <row r="713">
      <c r="A713" s="68" t="n">
        <v>700</v>
      </c>
      <c r="B713" s="83" t="n">
        <v>699</v>
      </c>
      <c r="C713" s="83">
        <f>B713^2</f>
        <v/>
      </c>
      <c r="D713" s="69" t="n">
        <v>4724.48</v>
      </c>
      <c r="E713" s="69" t="n">
        <v>4690.07391</v>
      </c>
      <c r="F713" s="70">
        <f>D713-E713</f>
        <v/>
      </c>
      <c r="G713" s="69">
        <f>F713^2</f>
        <v/>
      </c>
      <c r="H713" s="68" t="inlineStr"/>
      <c r="I713" s="68" t="inlineStr"/>
    </row>
    <row r="714">
      <c r="A714" s="65" t="n">
        <v>701</v>
      </c>
      <c r="B714" s="82" t="n">
        <v>700</v>
      </c>
      <c r="C714" s="82">
        <f>B714^2</f>
        <v/>
      </c>
      <c r="D714" s="66" t="n">
        <v>4719.94</v>
      </c>
      <c r="E714" s="66" t="n">
        <v>4690.27636</v>
      </c>
      <c r="F714" s="67">
        <f>D714-E714</f>
        <v/>
      </c>
      <c r="G714" s="66">
        <f>F714^2</f>
        <v/>
      </c>
      <c r="H714" s="65" t="inlineStr"/>
      <c r="I714" s="65" t="inlineStr"/>
    </row>
    <row r="715">
      <c r="A715" s="68" t="n">
        <v>702</v>
      </c>
      <c r="B715" s="83" t="n">
        <v>701</v>
      </c>
      <c r="C715" s="83">
        <f>B715^2</f>
        <v/>
      </c>
      <c r="D715" s="69" t="n">
        <v>4722.05</v>
      </c>
      <c r="E715" s="69" t="n">
        <v>4690.4788</v>
      </c>
      <c r="F715" s="70">
        <f>D715-E715</f>
        <v/>
      </c>
      <c r="G715" s="69">
        <f>F715^2</f>
        <v/>
      </c>
      <c r="H715" s="68" t="inlineStr"/>
      <c r="I715" s="68" t="inlineStr"/>
    </row>
    <row r="716">
      <c r="A716" s="65" t="n">
        <v>703</v>
      </c>
      <c r="B716" s="82" t="n">
        <v>702</v>
      </c>
      <c r="C716" s="82">
        <f>B716^2</f>
        <v/>
      </c>
      <c r="D716" s="66" t="n">
        <v>4724.08</v>
      </c>
      <c r="E716" s="66" t="n">
        <v>4690.68125</v>
      </c>
      <c r="F716" s="67">
        <f>D716-E716</f>
        <v/>
      </c>
      <c r="G716" s="66">
        <f>F716^2</f>
        <v/>
      </c>
      <c r="H716" s="65" t="inlineStr"/>
      <c r="I716" s="65" t="inlineStr"/>
    </row>
    <row r="717">
      <c r="A717" s="68" t="n">
        <v>704</v>
      </c>
      <c r="B717" s="83" t="n">
        <v>703</v>
      </c>
      <c r="C717" s="83">
        <f>B717^2</f>
        <v/>
      </c>
      <c r="D717" s="69" t="n">
        <v>4721.18</v>
      </c>
      <c r="E717" s="69" t="n">
        <v>4690.8837</v>
      </c>
      <c r="F717" s="70">
        <f>D717-E717</f>
        <v/>
      </c>
      <c r="G717" s="69">
        <f>F717^2</f>
        <v/>
      </c>
      <c r="H717" s="68" t="inlineStr"/>
      <c r="I717" s="68" t="inlineStr"/>
    </row>
    <row r="718">
      <c r="A718" s="65" t="n">
        <v>705</v>
      </c>
      <c r="B718" s="82" t="n">
        <v>704</v>
      </c>
      <c r="C718" s="82">
        <f>B718^2</f>
        <v/>
      </c>
      <c r="D718" s="66" t="n">
        <v>4717.8</v>
      </c>
      <c r="E718" s="66" t="n">
        <v>4691.08614</v>
      </c>
      <c r="F718" s="67">
        <f>D718-E718</f>
        <v/>
      </c>
      <c r="G718" s="66">
        <f>F718^2</f>
        <v/>
      </c>
      <c r="H718" s="65" t="inlineStr"/>
      <c r="I718" s="65" t="inlineStr"/>
    </row>
    <row r="719">
      <c r="A719" s="68" t="n">
        <v>706</v>
      </c>
      <c r="B719" s="83" t="n">
        <v>705</v>
      </c>
      <c r="C719" s="83">
        <f>B719^2</f>
        <v/>
      </c>
      <c r="D719" s="69" t="n">
        <v>4704.7</v>
      </c>
      <c r="E719" s="69" t="n">
        <v>4691.28859</v>
      </c>
      <c r="F719" s="70">
        <f>D719-E719</f>
        <v/>
      </c>
      <c r="G719" s="69">
        <f>F719^2</f>
        <v/>
      </c>
      <c r="H719" s="68" t="inlineStr"/>
      <c r="I719" s="68" t="inlineStr"/>
    </row>
    <row r="720">
      <c r="A720" s="65" t="n">
        <v>707</v>
      </c>
      <c r="B720" s="82" t="n">
        <v>706</v>
      </c>
      <c r="C720" s="82">
        <f>B720^2</f>
        <v/>
      </c>
      <c r="D720" s="66" t="n">
        <v>4710.4</v>
      </c>
      <c r="E720" s="66" t="n">
        <v>4691.49103</v>
      </c>
      <c r="F720" s="67">
        <f>D720-E720</f>
        <v/>
      </c>
      <c r="G720" s="66">
        <f>F720^2</f>
        <v/>
      </c>
      <c r="H720" s="65" t="inlineStr"/>
      <c r="I720" s="65" t="inlineStr"/>
    </row>
    <row r="721">
      <c r="A721" s="68" t="n">
        <v>708</v>
      </c>
      <c r="B721" s="83" t="n">
        <v>707</v>
      </c>
      <c r="C721" s="83">
        <f>B721^2</f>
        <v/>
      </c>
      <c r="D721" s="69" t="n">
        <v>4723.84</v>
      </c>
      <c r="E721" s="69" t="n">
        <v>4691.69348</v>
      </c>
      <c r="F721" s="70">
        <f>D721-E721</f>
        <v/>
      </c>
      <c r="G721" s="69">
        <f>F721^2</f>
        <v/>
      </c>
      <c r="H721" s="68" t="inlineStr"/>
      <c r="I721" s="68" t="inlineStr"/>
    </row>
    <row r="722">
      <c r="A722" s="65" t="n">
        <v>709</v>
      </c>
      <c r="B722" s="82" t="n">
        <v>708</v>
      </c>
      <c r="C722" s="82">
        <f>B722^2</f>
        <v/>
      </c>
      <c r="D722" s="66" t="n">
        <v>4724.41</v>
      </c>
      <c r="E722" s="66" t="n">
        <v>4691.89592</v>
      </c>
      <c r="F722" s="67">
        <f>D722-E722</f>
        <v/>
      </c>
      <c r="G722" s="66">
        <f>F722^2</f>
        <v/>
      </c>
      <c r="H722" s="65" t="inlineStr"/>
      <c r="I722" s="65" t="inlineStr"/>
    </row>
    <row r="723">
      <c r="A723" s="68" t="n">
        <v>710</v>
      </c>
      <c r="B723" s="83" t="n">
        <v>709</v>
      </c>
      <c r="C723" s="83">
        <f>B723^2</f>
        <v/>
      </c>
      <c r="D723" s="69" t="n">
        <v>4720.41</v>
      </c>
      <c r="E723" s="69" t="n">
        <v>4692.09837</v>
      </c>
      <c r="F723" s="70">
        <f>D723-E723</f>
        <v/>
      </c>
      <c r="G723" s="69">
        <f>F723^2</f>
        <v/>
      </c>
      <c r="H723" s="68" t="inlineStr"/>
      <c r="I723" s="68" t="inlineStr"/>
    </row>
    <row r="724">
      <c r="A724" s="65" t="n">
        <v>711</v>
      </c>
      <c r="B724" s="82" t="n">
        <v>710</v>
      </c>
      <c r="C724" s="82">
        <f>B724^2</f>
        <v/>
      </c>
      <c r="D724" s="66" t="n">
        <v>4727.11</v>
      </c>
      <c r="E724" s="66" t="n">
        <v>4692.30082</v>
      </c>
      <c r="F724" s="67">
        <f>D724-E724</f>
        <v/>
      </c>
      <c r="G724" s="66">
        <f>F724^2</f>
        <v/>
      </c>
      <c r="H724" s="65" t="inlineStr"/>
      <c r="I724" s="65" t="inlineStr"/>
    </row>
    <row r="725">
      <c r="A725" s="68" t="n">
        <v>712</v>
      </c>
      <c r="B725" s="83" t="n">
        <v>711</v>
      </c>
      <c r="C725" s="83">
        <f>B725^2</f>
        <v/>
      </c>
      <c r="D725" s="69" t="n">
        <v>4738.02</v>
      </c>
      <c r="E725" s="69" t="n">
        <v>4692.50326</v>
      </c>
      <c r="F725" s="70">
        <f>D725-E725</f>
        <v/>
      </c>
      <c r="G725" s="69">
        <f>F725^2</f>
        <v/>
      </c>
      <c r="H725" s="68" t="inlineStr"/>
      <c r="I725" s="68" t="inlineStr"/>
    </row>
    <row r="726">
      <c r="A726" s="65" t="n">
        <v>713</v>
      </c>
      <c r="B726" s="82" t="n">
        <v>712</v>
      </c>
      <c r="C726" s="82">
        <f>B726^2</f>
        <v/>
      </c>
      <c r="D726" s="66" t="n">
        <v>4747.9</v>
      </c>
      <c r="E726" s="66" t="n">
        <v>4692.70571</v>
      </c>
      <c r="F726" s="67">
        <f>D726-E726</f>
        <v/>
      </c>
      <c r="G726" s="66">
        <f>F726^2</f>
        <v/>
      </c>
      <c r="H726" s="65" t="inlineStr"/>
      <c r="I726" s="65" t="inlineStr"/>
    </row>
    <row r="727">
      <c r="A727" s="68" t="n">
        <v>714</v>
      </c>
      <c r="B727" s="83" t="n">
        <v>713</v>
      </c>
      <c r="C727" s="83">
        <f>B727^2</f>
        <v/>
      </c>
      <c r="D727" s="69" t="n">
        <v>4731.78</v>
      </c>
      <c r="E727" s="69" t="n">
        <v>4692.90815</v>
      </c>
      <c r="F727" s="70">
        <f>D727-E727</f>
        <v/>
      </c>
      <c r="G727" s="69">
        <f>F727^2</f>
        <v/>
      </c>
      <c r="H727" s="68" t="inlineStr"/>
      <c r="I727" s="68" t="inlineStr"/>
    </row>
    <row r="728">
      <c r="A728" s="65" t="n">
        <v>715</v>
      </c>
      <c r="B728" s="82" t="n">
        <v>714</v>
      </c>
      <c r="C728" s="82">
        <f>B728^2</f>
        <v/>
      </c>
      <c r="D728" s="66" t="n">
        <v>4719.14</v>
      </c>
      <c r="E728" s="66" t="n">
        <v>4693.1106</v>
      </c>
      <c r="F728" s="67">
        <f>D728-E728</f>
        <v/>
      </c>
      <c r="G728" s="66">
        <f>F728^2</f>
        <v/>
      </c>
      <c r="H728" s="65" t="inlineStr"/>
      <c r="I728" s="65" t="inlineStr"/>
    </row>
    <row r="729">
      <c r="A729" s="68" t="n">
        <v>716</v>
      </c>
      <c r="B729" s="83" t="n">
        <v>715</v>
      </c>
      <c r="C729" s="83">
        <f>B729^2</f>
        <v/>
      </c>
      <c r="D729" s="69" t="n">
        <v>4722.71</v>
      </c>
      <c r="E729" s="69" t="n">
        <v>4693.31304</v>
      </c>
      <c r="F729" s="70">
        <f>D729-E729</f>
        <v/>
      </c>
      <c r="G729" s="69">
        <f>F729^2</f>
        <v/>
      </c>
      <c r="H729" s="68" t="inlineStr"/>
      <c r="I729" s="68" t="inlineStr"/>
    </row>
    <row r="730">
      <c r="A730" s="65" t="n">
        <v>717</v>
      </c>
      <c r="B730" s="82" t="n">
        <v>716</v>
      </c>
      <c r="C730" s="82">
        <f>B730^2</f>
        <v/>
      </c>
      <c r="D730" s="66" t="n">
        <v>4716.02</v>
      </c>
      <c r="E730" s="66" t="n">
        <v>4693.51549</v>
      </c>
      <c r="F730" s="67">
        <f>D730-E730</f>
        <v/>
      </c>
      <c r="G730" s="66">
        <f>F730^2</f>
        <v/>
      </c>
      <c r="H730" s="65" t="inlineStr"/>
      <c r="I730" s="65" t="inlineStr"/>
    </row>
    <row r="731">
      <c r="A731" s="68" t="n">
        <v>718</v>
      </c>
      <c r="B731" s="83" t="n">
        <v>717</v>
      </c>
      <c r="C731" s="83">
        <f>B731^2</f>
        <v/>
      </c>
      <c r="D731" s="69" t="n">
        <v>4707.62</v>
      </c>
      <c r="E731" s="69" t="n">
        <v>4693.71794</v>
      </c>
      <c r="F731" s="70">
        <f>D731-E731</f>
        <v/>
      </c>
      <c r="G731" s="69">
        <f>F731^2</f>
        <v/>
      </c>
      <c r="H731" s="68" t="inlineStr"/>
      <c r="I731" s="68" t="inlineStr"/>
    </row>
    <row r="732">
      <c r="A732" s="65" t="n">
        <v>719</v>
      </c>
      <c r="B732" s="82" t="n">
        <v>718</v>
      </c>
      <c r="C732" s="82">
        <f>B732^2</f>
        <v/>
      </c>
      <c r="D732" s="66" t="n">
        <v>4713.43</v>
      </c>
      <c r="E732" s="66" t="n">
        <v>4693.92038</v>
      </c>
      <c r="F732" s="67">
        <f>D732-E732</f>
        <v/>
      </c>
      <c r="G732" s="66">
        <f>F732^2</f>
        <v/>
      </c>
      <c r="H732" s="65" t="inlineStr"/>
      <c r="I732" s="65" t="inlineStr"/>
    </row>
    <row r="733">
      <c r="A733" s="68" t="n">
        <v>720</v>
      </c>
      <c r="B733" s="83" t="n">
        <v>719</v>
      </c>
      <c r="C733" s="83">
        <f>B733^2</f>
        <v/>
      </c>
      <c r="D733" s="69" t="n">
        <v>4705.96</v>
      </c>
      <c r="E733" s="69" t="n">
        <v>4694.12283</v>
      </c>
      <c r="F733" s="70">
        <f>D733-E733</f>
        <v/>
      </c>
      <c r="G733" s="69">
        <f>F733^2</f>
        <v/>
      </c>
      <c r="H733" s="68" t="inlineStr"/>
      <c r="I733" s="68" t="inlineStr"/>
    </row>
    <row r="734">
      <c r="A734" s="65" t="n">
        <v>721</v>
      </c>
      <c r="B734" s="82" t="n">
        <v>720</v>
      </c>
      <c r="C734" s="82">
        <f>B734^2</f>
        <v/>
      </c>
      <c r="D734" s="66" t="n">
        <v>4707.13</v>
      </c>
      <c r="E734" s="66" t="n">
        <v>4694.32527</v>
      </c>
      <c r="F734" s="67">
        <f>D734-E734</f>
        <v/>
      </c>
      <c r="G734" s="66">
        <f>F734^2</f>
        <v/>
      </c>
      <c r="H734" s="65" t="inlineStr"/>
      <c r="I734" s="65" t="inlineStr"/>
    </row>
    <row r="735">
      <c r="A735" s="68" t="n">
        <v>722</v>
      </c>
      <c r="B735" s="83" t="n">
        <v>721</v>
      </c>
      <c r="C735" s="83">
        <f>B735^2</f>
        <v/>
      </c>
      <c r="D735" s="69" t="n">
        <v>4711.49</v>
      </c>
      <c r="E735" s="69" t="n">
        <v>4694.52772</v>
      </c>
      <c r="F735" s="70">
        <f>D735-E735</f>
        <v/>
      </c>
      <c r="G735" s="69">
        <f>F735^2</f>
        <v/>
      </c>
      <c r="H735" s="68" t="inlineStr"/>
      <c r="I735" s="68" t="inlineStr"/>
    </row>
    <row r="736">
      <c r="A736" s="65" t="n">
        <v>723</v>
      </c>
      <c r="B736" s="82" t="n">
        <v>722</v>
      </c>
      <c r="C736" s="82">
        <f>B736^2</f>
        <v/>
      </c>
      <c r="D736" s="66" t="n">
        <v>4717.67</v>
      </c>
      <c r="E736" s="66" t="n">
        <v>4694.73016</v>
      </c>
      <c r="F736" s="67">
        <f>D736-E736</f>
        <v/>
      </c>
      <c r="G736" s="66">
        <f>F736^2</f>
        <v/>
      </c>
      <c r="H736" s="65" t="inlineStr"/>
      <c r="I736" s="65" t="inlineStr"/>
    </row>
    <row r="737">
      <c r="A737" s="68" t="n">
        <v>724</v>
      </c>
      <c r="B737" s="83" t="n">
        <v>723</v>
      </c>
      <c r="C737" s="83">
        <f>B737^2</f>
        <v/>
      </c>
      <c r="D737" s="69" t="n">
        <v>4713.4</v>
      </c>
      <c r="E737" s="69" t="n">
        <v>4694.93261</v>
      </c>
      <c r="F737" s="70">
        <f>D737-E737</f>
        <v/>
      </c>
      <c r="G737" s="69">
        <f>F737^2</f>
        <v/>
      </c>
      <c r="H737" s="68" t="inlineStr"/>
      <c r="I737" s="68" t="inlineStr"/>
    </row>
    <row r="738">
      <c r="A738" s="65" t="n">
        <v>725</v>
      </c>
      <c r="B738" s="82" t="n">
        <v>724</v>
      </c>
      <c r="C738" s="82">
        <f>B738^2</f>
        <v/>
      </c>
      <c r="D738" s="66" t="n">
        <v>4712.52</v>
      </c>
      <c r="E738" s="66" t="n">
        <v>4695.13505</v>
      </c>
      <c r="F738" s="67">
        <f>D738-E738</f>
        <v/>
      </c>
      <c r="G738" s="66">
        <f>F738^2</f>
        <v/>
      </c>
      <c r="H738" s="65" t="inlineStr"/>
      <c r="I738" s="65" t="inlineStr"/>
    </row>
    <row r="739">
      <c r="A739" s="68" t="n">
        <v>726</v>
      </c>
      <c r="B739" s="83" t="n">
        <v>725</v>
      </c>
      <c r="C739" s="83">
        <f>B739^2</f>
        <v/>
      </c>
      <c r="D739" s="69" t="n">
        <v>4715.4</v>
      </c>
      <c r="E739" s="69" t="n">
        <v>4695.3375</v>
      </c>
      <c r="F739" s="70">
        <f>D739-E739</f>
        <v/>
      </c>
      <c r="G739" s="69">
        <f>F739^2</f>
        <v/>
      </c>
      <c r="H739" s="68" t="inlineStr"/>
      <c r="I739" s="68" t="inlineStr"/>
    </row>
    <row r="740">
      <c r="A740" s="65" t="n">
        <v>727</v>
      </c>
      <c r="B740" s="82" t="n">
        <v>726</v>
      </c>
      <c r="C740" s="82">
        <f>B740^2</f>
        <v/>
      </c>
      <c r="D740" s="66" t="n">
        <v>4720.64</v>
      </c>
      <c r="E740" s="66" t="n">
        <v>4695.53995</v>
      </c>
      <c r="F740" s="67">
        <f>D740-E740</f>
        <v/>
      </c>
      <c r="G740" s="66">
        <f>F740^2</f>
        <v/>
      </c>
      <c r="H740" s="65" t="inlineStr"/>
      <c r="I740" s="65" t="inlineStr"/>
    </row>
    <row r="741">
      <c r="A741" s="68" t="n">
        <v>728</v>
      </c>
      <c r="B741" s="83" t="n">
        <v>727</v>
      </c>
      <c r="C741" s="83">
        <f>B741^2</f>
        <v/>
      </c>
      <c r="D741" s="69" t="n">
        <v>4720.74</v>
      </c>
      <c r="E741" s="69" t="n">
        <v>4695.74239</v>
      </c>
      <c r="F741" s="70">
        <f>D741-E741</f>
        <v/>
      </c>
      <c r="G741" s="69">
        <f>F741^2</f>
        <v/>
      </c>
      <c r="H741" s="68" t="inlineStr"/>
      <c r="I741" s="68" t="inlineStr"/>
    </row>
    <row r="742">
      <c r="A742" s="65" t="n">
        <v>729</v>
      </c>
      <c r="B742" s="82" t="n">
        <v>728</v>
      </c>
      <c r="C742" s="82">
        <f>B742^2</f>
        <v/>
      </c>
      <c r="D742" s="66" t="n">
        <v>4720.99</v>
      </c>
      <c r="E742" s="66" t="n">
        <v>4695.94484</v>
      </c>
      <c r="F742" s="67">
        <f>D742-E742</f>
        <v/>
      </c>
      <c r="G742" s="66">
        <f>F742^2</f>
        <v/>
      </c>
      <c r="H742" s="65" t="inlineStr"/>
      <c r="I742" s="65" t="inlineStr"/>
    </row>
    <row r="743">
      <c r="A743" s="68" t="n">
        <v>730</v>
      </c>
      <c r="B743" s="83" t="n">
        <v>729</v>
      </c>
      <c r="C743" s="83">
        <f>B743^2</f>
        <v/>
      </c>
      <c r="D743" s="69" t="n">
        <v>4727.48</v>
      </c>
      <c r="E743" s="69" t="n">
        <v>4696.14728</v>
      </c>
      <c r="F743" s="70">
        <f>D743-E743</f>
        <v/>
      </c>
      <c r="G743" s="69">
        <f>F743^2</f>
        <v/>
      </c>
      <c r="H743" s="68" t="inlineStr"/>
      <c r="I743" s="68" t="inlineStr"/>
    </row>
    <row r="744">
      <c r="A744" s="65" t="n">
        <v>731</v>
      </c>
      <c r="B744" s="82" t="n">
        <v>730</v>
      </c>
      <c r="C744" s="82">
        <f>B744^2</f>
        <v/>
      </c>
      <c r="D744" s="66" t="n">
        <v>4725.66</v>
      </c>
      <c r="E744" s="66" t="n">
        <v>4696.34973</v>
      </c>
      <c r="F744" s="67">
        <f>D744-E744</f>
        <v/>
      </c>
      <c r="G744" s="66">
        <f>F744^2</f>
        <v/>
      </c>
      <c r="H744" s="65" t="inlineStr"/>
      <c r="I744" s="65" t="inlineStr"/>
    </row>
    <row r="745">
      <c r="A745" s="68" t="n">
        <v>732</v>
      </c>
      <c r="B745" s="83" t="n">
        <v>731</v>
      </c>
      <c r="C745" s="83">
        <f>B745^2</f>
        <v/>
      </c>
      <c r="D745" s="69" t="n">
        <v>4724.59</v>
      </c>
      <c r="E745" s="69" t="n">
        <v>4696.55217</v>
      </c>
      <c r="F745" s="70">
        <f>D745-E745</f>
        <v/>
      </c>
      <c r="G745" s="69">
        <f>F745^2</f>
        <v/>
      </c>
      <c r="H745" s="68" t="inlineStr"/>
      <c r="I745" s="68" t="inlineStr"/>
    </row>
    <row r="746">
      <c r="A746" s="65" t="n">
        <v>733</v>
      </c>
      <c r="B746" s="82" t="n">
        <v>732</v>
      </c>
      <c r="C746" s="82">
        <f>B746^2</f>
        <v/>
      </c>
      <c r="D746" s="66" t="n">
        <v>4721.83</v>
      </c>
      <c r="E746" s="66" t="n">
        <v>4696.75462</v>
      </c>
      <c r="F746" s="67">
        <f>D746-E746</f>
        <v/>
      </c>
      <c r="G746" s="66">
        <f>F746^2</f>
        <v/>
      </c>
      <c r="H746" s="65" t="inlineStr"/>
      <c r="I746" s="65" t="inlineStr"/>
    </row>
    <row r="747">
      <c r="A747" s="68" t="n">
        <v>734</v>
      </c>
      <c r="B747" s="83" t="n">
        <v>733</v>
      </c>
      <c r="C747" s="83">
        <f>B747^2</f>
        <v/>
      </c>
      <c r="D747" s="69" t="n">
        <v>4723.57</v>
      </c>
      <c r="E747" s="69" t="n">
        <v>4696.95707</v>
      </c>
      <c r="F747" s="70">
        <f>D747-E747</f>
        <v/>
      </c>
      <c r="G747" s="69">
        <f>F747^2</f>
        <v/>
      </c>
      <c r="H747" s="68" t="inlineStr"/>
      <c r="I747" s="68" t="inlineStr"/>
    </row>
    <row r="748">
      <c r="A748" s="65" t="n">
        <v>735</v>
      </c>
      <c r="B748" s="82" t="n">
        <v>734</v>
      </c>
      <c r="C748" s="82">
        <f>B748^2</f>
        <v/>
      </c>
      <c r="D748" s="66" t="n">
        <v>4723.71</v>
      </c>
      <c r="E748" s="66" t="n">
        <v>4697.15951</v>
      </c>
      <c r="F748" s="67">
        <f>D748-E748</f>
        <v/>
      </c>
      <c r="G748" s="66">
        <f>F748^2</f>
        <v/>
      </c>
      <c r="H748" s="65" t="inlineStr"/>
      <c r="I748" s="65" t="inlineStr"/>
    </row>
    <row r="749">
      <c r="A749" s="68" t="n">
        <v>736</v>
      </c>
      <c r="B749" s="83" t="n">
        <v>735</v>
      </c>
      <c r="C749" s="83">
        <f>B749^2</f>
        <v/>
      </c>
      <c r="D749" s="69" t="n">
        <v>4725.3</v>
      </c>
      <c r="E749" s="69" t="n">
        <v>4697.36196</v>
      </c>
      <c r="F749" s="70">
        <f>D749-E749</f>
        <v/>
      </c>
      <c r="G749" s="69">
        <f>F749^2</f>
        <v/>
      </c>
      <c r="H749" s="68" t="inlineStr"/>
      <c r="I749" s="68" t="inlineStr"/>
    </row>
    <row r="750">
      <c r="A750" s="65" t="n">
        <v>737</v>
      </c>
      <c r="B750" s="82" t="n">
        <v>736</v>
      </c>
      <c r="C750" s="82">
        <f>B750^2</f>
        <v/>
      </c>
      <c r="D750" s="66" t="n">
        <v>4724.02</v>
      </c>
      <c r="E750" s="66" t="n">
        <v>4697.5644</v>
      </c>
      <c r="F750" s="67">
        <f>D750-E750</f>
        <v/>
      </c>
      <c r="G750" s="66">
        <f>F750^2</f>
        <v/>
      </c>
      <c r="H750" s="65" t="inlineStr"/>
      <c r="I750" s="65" t="inlineStr"/>
    </row>
    <row r="751">
      <c r="A751" s="68" t="n">
        <v>738</v>
      </c>
      <c r="B751" s="83" t="n">
        <v>737</v>
      </c>
      <c r="C751" s="83">
        <f>B751^2</f>
        <v/>
      </c>
      <c r="D751" s="69" t="n">
        <v>4718.85</v>
      </c>
      <c r="E751" s="69" t="n">
        <v>4697.76685</v>
      </c>
      <c r="F751" s="70">
        <f>D751-E751</f>
        <v/>
      </c>
      <c r="G751" s="69">
        <f>F751^2</f>
        <v/>
      </c>
      <c r="H751" s="68" t="inlineStr"/>
      <c r="I751" s="68" t="inlineStr"/>
    </row>
    <row r="752">
      <c r="A752" s="65" t="n">
        <v>739</v>
      </c>
      <c r="B752" s="82" t="n">
        <v>738</v>
      </c>
      <c r="C752" s="82">
        <f>B752^2</f>
        <v/>
      </c>
      <c r="D752" s="66" t="n">
        <v>4717.38</v>
      </c>
      <c r="E752" s="66" t="n">
        <v>4697.96929</v>
      </c>
      <c r="F752" s="67">
        <f>D752-E752</f>
        <v/>
      </c>
      <c r="G752" s="66">
        <f>F752^2</f>
        <v/>
      </c>
      <c r="H752" s="65" t="inlineStr"/>
      <c r="I752" s="65" t="inlineStr"/>
    </row>
    <row r="753">
      <c r="A753" s="68" t="n">
        <v>740</v>
      </c>
      <c r="B753" s="83" t="n">
        <v>739</v>
      </c>
      <c r="C753" s="83">
        <f>B753^2</f>
        <v/>
      </c>
      <c r="D753" s="69" t="n">
        <v>4716.4</v>
      </c>
      <c r="E753" s="69" t="n">
        <v>4698.17174</v>
      </c>
      <c r="F753" s="70">
        <f>D753-E753</f>
        <v/>
      </c>
      <c r="G753" s="69">
        <f>F753^2</f>
        <v/>
      </c>
      <c r="H753" s="68" t="inlineStr"/>
      <c r="I753" s="68" t="inlineStr"/>
    </row>
    <row r="754">
      <c r="A754" s="65" t="n">
        <v>741</v>
      </c>
      <c r="B754" s="82" t="n">
        <v>740</v>
      </c>
      <c r="C754" s="82">
        <f>B754^2</f>
        <v/>
      </c>
      <c r="D754" s="66" t="n">
        <v>4715.36</v>
      </c>
      <c r="E754" s="66" t="n">
        <v>4698.37419</v>
      </c>
      <c r="F754" s="67">
        <f>D754-E754</f>
        <v/>
      </c>
      <c r="G754" s="66">
        <f>F754^2</f>
        <v/>
      </c>
      <c r="H754" s="65" t="inlineStr"/>
      <c r="I754" s="65" t="inlineStr"/>
    </row>
    <row r="756" ht="18" customHeight="1" s="28">
      <c r="A756" s="61" t="inlineStr">
        <is>
          <t>STEP 2 — Auxiliary OLS via LINEST:  eᵢ² = γ₀ + γ₁·X + γ₂·X²   (two-column predictor range B:C passed to LINEST)</t>
        </is>
      </c>
    </row>
    <row r="757">
      <c r="A757" s="79" t="inlineStr">
        <is>
          <t>LINEST with 2 predictors: slopes in Row 1 listed RIGHT→LEFT  →  col1=γ₂(X²), col2=γ₁(X), col3=γ₀(intercept).  R²_aux is always at INDEX(LINEST(…),3,1).</t>
        </is>
      </c>
    </row>
    <row r="758">
      <c r="A758" s="72" t="inlineStr">
        <is>
          <t>γ₂  — slope of X²  [INDEX(LINEST(…),1,1)]</t>
        </is>
      </c>
      <c r="B758" s="63" t="n"/>
      <c r="C758" s="63" t="n"/>
      <c r="D758" s="63" t="n"/>
      <c r="E758" s="64" t="n"/>
      <c r="F758" s="75">
        <f>INDEX(LINEST(G14:G754,B14:C754,TRUE,TRUE),1,1)</f>
        <v/>
      </c>
      <c r="G758" s="63" t="n"/>
      <c r="H758" s="63" t="n"/>
      <c r="I758" s="64" t="n"/>
    </row>
    <row r="759">
      <c r="A759" s="72" t="inlineStr">
        <is>
          <t>γ₁  — slope of X   [INDEX(LINEST(…),1,2)]</t>
        </is>
      </c>
      <c r="B759" s="63" t="n"/>
      <c r="C759" s="63" t="n"/>
      <c r="D759" s="63" t="n"/>
      <c r="E759" s="64" t="n"/>
      <c r="F759" s="75">
        <f>INDEX(LINEST(G14:G754,B14:C754,TRUE,TRUE),1,2)</f>
        <v/>
      </c>
      <c r="G759" s="63" t="n"/>
      <c r="H759" s="63" t="n"/>
      <c r="I759" s="64" t="n"/>
    </row>
    <row r="760">
      <c r="A760" s="72" t="inlineStr">
        <is>
          <t>γ₀  — intercept    [INDEX(LINEST(…),1,3)]</t>
        </is>
      </c>
      <c r="B760" s="63" t="n"/>
      <c r="C760" s="63" t="n"/>
      <c r="D760" s="63" t="n"/>
      <c r="E760" s="64" t="n"/>
      <c r="F760" s="75">
        <f>INDEX(LINEST(G14:G754,B14:C754,TRUE,TRUE),1,3)</f>
        <v/>
      </c>
      <c r="G760" s="63" t="n"/>
      <c r="H760" s="63" t="n"/>
      <c r="I760" s="64" t="n"/>
    </row>
    <row r="761">
      <c r="A761" s="72" t="inlineStr">
        <is>
          <t>R²_aux  =  INDEX(LINEST(eᵢ², {X, X²}, TRUE, TRUE), 3, 1)</t>
        </is>
      </c>
      <c r="B761" s="63" t="n"/>
      <c r="C761" s="63" t="n"/>
      <c r="D761" s="63" t="n"/>
      <c r="E761" s="64" t="n"/>
      <c r="F761" s="75">
        <f>INDEX(LINEST(G14:G754,B14:C754,TRUE,TRUE),3,1)</f>
        <v/>
      </c>
      <c r="G761" s="63" t="n"/>
      <c r="H761" s="63" t="n"/>
      <c r="I761" s="64" t="n"/>
    </row>
    <row r="762">
      <c r="A762" s="72" t="inlineStr">
        <is>
          <t>SE of auxiliary regression  [INDEX(LINEST(…),3,2)]</t>
        </is>
      </c>
      <c r="B762" s="63" t="n"/>
      <c r="C762" s="63" t="n"/>
      <c r="D762" s="63" t="n"/>
      <c r="E762" s="64" t="n"/>
      <c r="F762" s="77">
        <f>INDEX(LINEST(G14:G754,B14:C754,TRUE,TRUE),3,2)</f>
        <v/>
      </c>
      <c r="G762" s="63" t="n"/>
      <c r="H762" s="63" t="n"/>
      <c r="I762" s="64" t="n"/>
    </row>
    <row r="763">
      <c r="A763" s="72" t="inlineStr">
        <is>
          <t>F-statistic  [INDEX(LINEST(…),4,1)]</t>
        </is>
      </c>
      <c r="B763" s="63" t="n"/>
      <c r="C763" s="63" t="n"/>
      <c r="D763" s="63" t="n"/>
      <c r="E763" s="64" t="n"/>
      <c r="F763" s="74">
        <f>INDEX(LINEST(G14:G754,B14:C754,TRUE,TRUE),4,1)</f>
        <v/>
      </c>
      <c r="G763" s="63" t="n"/>
      <c r="H763" s="63" t="n"/>
      <c r="I763" s="64" t="n"/>
    </row>
    <row r="764">
      <c r="A764" s="72" t="inlineStr">
        <is>
          <t>df residual  [INDEX(LINEST(…),4,2)]</t>
        </is>
      </c>
      <c r="B764" s="63" t="n"/>
      <c r="C764" s="63" t="n"/>
      <c r="D764" s="63" t="n"/>
      <c r="E764" s="64" t="n"/>
      <c r="F764" s="73">
        <f>INDEX(LINEST(G14:G754,B14:C754,TRUE,TRUE),4,2)</f>
        <v/>
      </c>
      <c r="G764" s="63" t="n"/>
      <c r="H764" s="63" t="n"/>
      <c r="I764" s="64" t="n"/>
    </row>
    <row r="766" ht="18" customHeight="1" s="28">
      <c r="A766" s="61" t="inlineStr">
        <is>
          <t>STEP 3 — LM Test Statistic  =  n · R²_aux   ~  χ²(2)</t>
        </is>
      </c>
    </row>
    <row r="767">
      <c r="A767" s="72" t="inlineStr">
        <is>
          <t>n  (sample size)</t>
        </is>
      </c>
      <c r="B767" s="63" t="n"/>
      <c r="C767" s="63" t="n"/>
      <c r="D767" s="63" t="n"/>
      <c r="E767" s="64" t="n"/>
      <c r="F767" s="73" t="n">
        <v>741</v>
      </c>
      <c r="G767" s="63" t="n"/>
      <c r="H767" s="63" t="n"/>
      <c r="I767" s="64" t="n"/>
    </row>
    <row r="768">
      <c r="A768" s="72" t="inlineStr">
        <is>
          <t>k  (predictors in aux. reg.  = X + X²)</t>
        </is>
      </c>
      <c r="B768" s="63" t="n"/>
      <c r="C768" s="63" t="n"/>
      <c r="D768" s="63" t="n"/>
      <c r="E768" s="64" t="n"/>
      <c r="F768" s="73" t="n">
        <v>2</v>
      </c>
      <c r="G768" s="63" t="n"/>
      <c r="H768" s="63" t="n"/>
      <c r="I768" s="64" t="n"/>
    </row>
    <row r="769">
      <c r="A769" s="72" t="inlineStr">
        <is>
          <t>R²_aux  (from LINEST Step 2)</t>
        </is>
      </c>
      <c r="B769" s="63" t="n"/>
      <c r="C769" s="63" t="n"/>
      <c r="D769" s="63" t="n"/>
      <c r="E769" s="64" t="n"/>
      <c r="F769" s="75">
        <f>F761</f>
        <v/>
      </c>
      <c r="G769" s="63" t="n"/>
      <c r="H769" s="63" t="n"/>
      <c r="I769" s="64" t="n"/>
    </row>
    <row r="770">
      <c r="A770" s="72" t="inlineStr">
        <is>
          <t>LM  =  n · R²_aux</t>
        </is>
      </c>
      <c r="B770" s="63" t="n"/>
      <c r="C770" s="63" t="n"/>
      <c r="D770" s="63" t="n"/>
      <c r="E770" s="64" t="n"/>
      <c r="F770" s="75">
        <f>F767*F769</f>
        <v/>
      </c>
      <c r="G770" s="63" t="n"/>
      <c r="H770" s="63" t="n"/>
      <c r="I770" s="64" t="n"/>
    </row>
    <row r="771">
      <c r="A771" s="72" t="inlineStr">
        <is>
          <t>p-value  =  CHIDIST(LM, k)</t>
        </is>
      </c>
      <c r="B771" s="63" t="n"/>
      <c r="C771" s="63" t="n"/>
      <c r="D771" s="63" t="n"/>
      <c r="E771" s="64" t="n"/>
      <c r="F771" s="80">
        <f>CHIDIST(F770,F768)</f>
        <v/>
      </c>
      <c r="G771" s="63" t="n"/>
      <c r="H771" s="63" t="n"/>
      <c r="I771" s="64" t="n"/>
    </row>
    <row r="772">
      <c r="A772" s="72" t="inlineStr">
        <is>
          <t>Reference LM  (statsmodels)</t>
        </is>
      </c>
      <c r="B772" s="63" t="n"/>
      <c r="C772" s="63" t="n"/>
      <c r="D772" s="63" t="n"/>
      <c r="E772" s="64" t="n"/>
      <c r="F772" s="75" t="n">
        <v>129.839242</v>
      </c>
      <c r="G772" s="63" t="n"/>
      <c r="H772" s="63" t="n"/>
      <c r="I772" s="64" t="n"/>
    </row>
    <row r="773">
      <c r="A773" s="72" t="inlineStr">
        <is>
          <t>Reference p-value  (statsmodels)</t>
        </is>
      </c>
      <c r="B773" s="63" t="n"/>
      <c r="C773" s="63" t="n"/>
      <c r="D773" s="63" t="n"/>
      <c r="E773" s="64" t="n"/>
      <c r="F773" s="84" t="n">
        <v>0</v>
      </c>
      <c r="G773" s="63" t="n"/>
      <c r="H773" s="63" t="n"/>
      <c r="I773" s="64" t="n"/>
    </row>
    <row r="774">
      <c r="A774" s="72" t="inlineStr">
        <is>
          <t>α  (significance level)</t>
        </is>
      </c>
      <c r="B774" s="63" t="n"/>
      <c r="C774" s="63" t="n"/>
      <c r="D774" s="63" t="n"/>
      <c r="E774" s="64" t="n"/>
      <c r="F774" s="77" t="n">
        <v>0.05</v>
      </c>
      <c r="G774" s="63" t="n"/>
      <c r="H774" s="63" t="n"/>
      <c r="I774" s="64" t="n"/>
    </row>
    <row r="775" ht="22" customHeight="1" s="28">
      <c r="A775" s="78" t="inlineStr">
        <is>
          <t>DECISION:  p-value ≈ 6.39e-29 &lt; α (0.05)  ⟹  REJECT H₀  →  Significant HETEROSCEDASTICITY in Base_FL residuals  [LM ≈ 129.84 | Variance of (close−Base_FL) changes with bar_index — consider Robust Standard Errors or WLS]</t>
        </is>
      </c>
    </row>
  </sheetData>
  <mergeCells count="46">
    <mergeCell ref="A769:E769"/>
    <mergeCell ref="F764:I764"/>
    <mergeCell ref="B7:I7"/>
    <mergeCell ref="A760:E760"/>
    <mergeCell ref="F761:I761"/>
    <mergeCell ref="B3:I3"/>
    <mergeCell ref="F770:I770"/>
    <mergeCell ref="A12:I12"/>
    <mergeCell ref="F769:I769"/>
    <mergeCell ref="F760:I760"/>
    <mergeCell ref="A762:E762"/>
    <mergeCell ref="A775:I775"/>
    <mergeCell ref="B2:I2"/>
    <mergeCell ref="F771:I771"/>
    <mergeCell ref="F762:I762"/>
    <mergeCell ref="B8:I8"/>
    <mergeCell ref="A758:E758"/>
    <mergeCell ref="A773:E773"/>
    <mergeCell ref="A767:E767"/>
    <mergeCell ref="A763:E763"/>
    <mergeCell ref="A772:E772"/>
    <mergeCell ref="F758:I758"/>
    <mergeCell ref="F767:I767"/>
    <mergeCell ref="B10:I10"/>
    <mergeCell ref="B4:I4"/>
    <mergeCell ref="H13:I13"/>
    <mergeCell ref="A768:E768"/>
    <mergeCell ref="F773:I773"/>
    <mergeCell ref="A759:E759"/>
    <mergeCell ref="B9:I9"/>
    <mergeCell ref="A766:I766"/>
    <mergeCell ref="F772:I772"/>
    <mergeCell ref="A771:E771"/>
    <mergeCell ref="A757:I757"/>
    <mergeCell ref="F763:I763"/>
    <mergeCell ref="B6:I6"/>
    <mergeCell ref="A756:I756"/>
    <mergeCell ref="F768:I768"/>
    <mergeCell ref="A1:I1"/>
    <mergeCell ref="A770:E770"/>
    <mergeCell ref="A774:E774"/>
    <mergeCell ref="B5:I5"/>
    <mergeCell ref="A761:E761"/>
    <mergeCell ref="F774:I774"/>
    <mergeCell ref="A764:E764"/>
    <mergeCell ref="F759:I75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K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28" min="1" max="1"/>
    <col width="10" customWidth="1" style="28" min="2" max="2"/>
    <col width="9" customWidth="1" style="28" min="3" max="3"/>
    <col width="16" customWidth="1" style="28" min="4" max="4"/>
    <col width="12" customWidth="1" style="28" min="5" max="5"/>
    <col width="16" customWidth="1" style="28" min="6" max="6"/>
    <col width="12" customWidth="1" style="28" min="7" max="7"/>
    <col width="14" customWidth="1" style="28" min="8" max="8"/>
    <col width="12" customWidth="1" style="28" min="9" max="9"/>
    <col width="12" customWidth="1" style="28" min="10" max="10"/>
    <col width="34" customWidth="1" style="28" min="11" max="11"/>
  </cols>
  <sheetData>
    <row r="1" ht="32" customHeight="1" s="28">
      <c r="A1" s="85" t="inlineStr">
        <is>
          <t>MACD-Like Statistical Influence Divergence Model</t>
        </is>
      </c>
    </row>
    <row r="2" ht="22" customHeight="1" s="28">
      <c r="A2" s="86" t="inlineStr">
        <is>
          <t>Detecting Changes in Base_FL / EDT Regression Influence — XAUUSD M15</t>
        </is>
      </c>
    </row>
    <row r="3">
      <c r="A3" s="87" t="inlineStr">
        <is>
          <t>Source: EDT-Centroid-Regression-Statistic-Refresh-Export-v16.mq5</t>
        </is>
      </c>
    </row>
    <row r="4" ht="10" customHeight="1" s="28"/>
    <row r="5" ht="20" customHeight="1" s="28">
      <c r="A5" s="88" t="inlineStr">
        <is>
          <t xml:space="preserve">  MACD Analogy</t>
        </is>
      </c>
    </row>
    <row r="6">
      <c r="A6" s="89" t="inlineStr">
        <is>
          <t>MACD Component</t>
        </is>
      </c>
      <c r="B6" s="89" t="inlineStr">
        <is>
          <t>This Model Equivalent</t>
        </is>
      </c>
      <c r="D6" s="89" t="inlineStr">
        <is>
          <t>Description</t>
        </is>
      </c>
      <c r="E6" s="168" t="n"/>
      <c r="F6" s="168" t="n"/>
      <c r="G6" s="168" t="n"/>
      <c r="H6" s="168" t="n"/>
      <c r="I6" s="168" t="n"/>
      <c r="J6" s="168" t="n"/>
      <c r="K6" s="169" t="n"/>
    </row>
    <row r="7" ht="16" customHeight="1" s="28">
      <c r="A7" s="90" t="inlineStr">
        <is>
          <t>Slow EMA</t>
        </is>
      </c>
      <c r="B7" s="91" t="inlineStr">
        <is>
          <t>Stat A — Full Window</t>
        </is>
      </c>
      <c r="D7" s="92" t="inlineStr">
        <is>
          <t>Statistics computed over the complete observation window (all n bars)</t>
        </is>
      </c>
      <c r="E7" s="168" t="n"/>
      <c r="F7" s="168" t="n"/>
      <c r="G7" s="168" t="n"/>
      <c r="H7" s="168" t="n"/>
      <c r="I7" s="168" t="n"/>
      <c r="J7" s="168" t="n"/>
      <c r="K7" s="169" t="n"/>
    </row>
    <row r="8" ht="16" customHeight="1" s="28">
      <c r="A8" s="93" t="inlineStr">
        <is>
          <t>Fast EMA</t>
        </is>
      </c>
      <c r="B8" s="94" t="inlineStr">
        <is>
          <t>Stat B — Last Half</t>
        </is>
      </c>
      <c r="D8" s="95" t="inlineStr">
        <is>
          <t>Statistics computed over only the most recent n/2 bars</t>
        </is>
      </c>
      <c r="E8" s="168" t="n"/>
      <c r="F8" s="168" t="n"/>
      <c r="G8" s="168" t="n"/>
      <c r="H8" s="168" t="n"/>
      <c r="I8" s="168" t="n"/>
      <c r="J8" s="168" t="n"/>
      <c r="K8" s="169" t="n"/>
    </row>
    <row r="9" ht="16" customHeight="1" s="28">
      <c r="A9" s="90" t="inlineStr">
        <is>
          <t>MACD Line</t>
        </is>
      </c>
      <c r="B9" s="91" t="inlineStr">
        <is>
          <t>Divergence (B − A)</t>
        </is>
      </c>
      <c r="D9" s="92" t="inlineStr">
        <is>
          <t>Signed normalized difference: how much has the last-half diverged from full-window?</t>
        </is>
      </c>
      <c r="E9" s="168" t="n"/>
      <c r="F9" s="168" t="n"/>
      <c r="G9" s="168" t="n"/>
      <c r="H9" s="168" t="n"/>
      <c r="I9" s="168" t="n"/>
      <c r="J9" s="168" t="n"/>
      <c r="K9" s="169" t="n"/>
    </row>
    <row r="10" ht="16" customHeight="1" s="28">
      <c r="A10" s="93" t="inlineStr">
        <is>
          <t>Histogram</t>
        </is>
      </c>
      <c r="B10" s="94" t="inlineStr">
        <is>
          <t>Composite Score</t>
        </is>
      </c>
      <c r="D10" s="95" t="inlineStr">
        <is>
          <t>Weighted sum of all 8 divergence signals, normalized to 100-point scale</t>
        </is>
      </c>
      <c r="E10" s="168" t="n"/>
      <c r="F10" s="168" t="n"/>
      <c r="G10" s="168" t="n"/>
      <c r="H10" s="168" t="n"/>
      <c r="I10" s="168" t="n"/>
      <c r="J10" s="168" t="n"/>
      <c r="K10" s="169" t="n"/>
    </row>
    <row r="11" ht="16" customHeight="1" s="28">
      <c r="A11" s="90" t="inlineStr">
        <is>
          <t>Zero Cross</t>
        </is>
      </c>
      <c r="B11" s="91" t="inlineStr">
        <is>
          <t>Score crosses ±15</t>
        </is>
      </c>
      <c r="D11" s="92" t="inlineStr">
        <is>
          <t>Potential regime change: influence is meaningfully shifting</t>
        </is>
      </c>
      <c r="E11" s="168" t="n"/>
      <c r="F11" s="168" t="n"/>
      <c r="G11" s="168" t="n"/>
      <c r="H11" s="168" t="n"/>
      <c r="I11" s="168" t="n"/>
      <c r="J11" s="168" t="n"/>
      <c r="K11" s="169" t="n"/>
    </row>
    <row r="12" ht="8" customHeight="1" s="28"/>
    <row r="13" ht="20" customHeight="1" s="28">
      <c r="A13" s="96" t="inlineStr">
        <is>
          <t xml:space="preserve">  Revised Weight Structure — 4 Independent Dimensions</t>
        </is>
      </c>
    </row>
    <row r="14">
      <c r="A14" s="97" t="inlineStr">
        <is>
          <t>Dimension</t>
        </is>
      </c>
      <c r="B14" s="97" t="inlineStr">
        <is>
          <t>Statistic</t>
        </is>
      </c>
      <c r="C14" s="169" t="n"/>
      <c r="D14" s="97" t="inlineStr">
        <is>
          <t>Weight</t>
        </is>
      </c>
      <c r="E14" s="97" t="inlineStr">
        <is>
          <t>Min Better</t>
        </is>
      </c>
      <c r="F14" s="169" t="n"/>
      <c r="G14" s="97" t="inlineStr">
        <is>
          <t>Rationale</t>
        </is>
      </c>
      <c r="H14" s="168" t="n"/>
      <c r="I14" s="168" t="n"/>
      <c r="J14" s="168" t="n"/>
      <c r="K14" s="169" t="n"/>
    </row>
    <row r="15" ht="16" customHeight="1" s="28">
      <c r="A15" s="98" t="inlineStr">
        <is>
          <t>Reversion Dynamics</t>
        </is>
      </c>
      <c r="B15" s="98" t="inlineStr">
        <is>
          <t>Half-Life AR(1)</t>
        </is>
      </c>
      <c r="C15" s="169" t="n"/>
      <c r="D15" s="90" t="inlineStr">
        <is>
          <t>30%</t>
        </is>
      </c>
      <c r="E15" s="99" t="inlineStr">
        <is>
          <t>Lower</t>
        </is>
      </c>
      <c r="F15" s="169" t="n"/>
      <c r="G15" s="100" t="inlineStr">
        <is>
          <t>Most forward-looking: how fast price reverts to Base_FL</t>
        </is>
      </c>
      <c r="H15" s="168" t="n"/>
      <c r="I15" s="168" t="n"/>
      <c r="J15" s="168" t="n"/>
      <c r="K15" s="169" t="n"/>
    </row>
    <row r="16" ht="16" customHeight="1" s="28">
      <c r="A16" s="101" t="inlineStr">
        <is>
          <t>Temporal Stability</t>
        </is>
      </c>
      <c r="B16" s="101" t="inlineStr">
        <is>
          <t>Homoscedasticity LM</t>
        </is>
      </c>
      <c r="C16" s="169" t="n"/>
      <c r="D16" s="93" t="inlineStr">
        <is>
          <t>20%</t>
        </is>
      </c>
      <c r="E16" s="102" t="inlineStr">
        <is>
          <t>Lower (near 0)</t>
        </is>
      </c>
      <c r="F16" s="169" t="n"/>
      <c r="G16" s="103" t="inlineStr">
        <is>
          <t>Variance consistency signals stable Base_FL anchor</t>
        </is>
      </c>
      <c r="H16" s="168" t="n"/>
      <c r="I16" s="168" t="n"/>
      <c r="J16" s="168" t="n"/>
      <c r="K16" s="169" t="n"/>
    </row>
    <row r="17" ht="16" customHeight="1" s="28">
      <c r="A17" s="98" t="inlineStr"/>
      <c r="B17" s="98" t="inlineStr">
        <is>
          <t>Variance Ratio</t>
        </is>
      </c>
      <c r="C17" s="169" t="n"/>
      <c r="D17" s="90" t="inlineStr">
        <is>
          <t>10%</t>
        </is>
      </c>
      <c r="E17" s="99" t="inlineStr">
        <is>
          <t>Closer to 1.0</t>
        </is>
      </c>
      <c r="F17" s="169" t="n"/>
      <c r="G17" s="100" t="inlineStr">
        <is>
          <t>Random-walk test; VR=1.0 = pure diffusion</t>
        </is>
      </c>
      <c r="H17" s="168" t="n"/>
      <c r="I17" s="168" t="n"/>
      <c r="J17" s="168" t="n"/>
      <c r="K17" s="169" t="n"/>
    </row>
    <row r="18" ht="16" customHeight="1" s="28">
      <c r="A18" s="101" t="inlineStr">
        <is>
          <t>Fit Quality</t>
        </is>
      </c>
      <c r="B18" s="101" t="inlineStr">
        <is>
          <t>R-Square</t>
        </is>
      </c>
      <c r="C18" s="169" t="n"/>
      <c r="D18" s="93" t="inlineStr">
        <is>
          <t>20%</t>
        </is>
      </c>
      <c r="E18" s="102" t="inlineStr">
        <is>
          <t>Higher</t>
        </is>
      </c>
      <c r="F18" s="169" t="n"/>
      <c r="G18" s="103" t="inlineStr">
        <is>
          <t>Direct measure of Base_FL/EDT regression influence</t>
        </is>
      </c>
      <c r="H18" s="168" t="n"/>
      <c r="I18" s="168" t="n"/>
      <c r="J18" s="168" t="n"/>
      <c r="K18" s="169" t="n"/>
    </row>
    <row r="19" ht="16" customHeight="1" s="28">
      <c r="A19" s="98" t="inlineStr"/>
      <c r="B19" s="98" t="inlineStr">
        <is>
          <t>MSE</t>
        </is>
      </c>
      <c r="C19" s="169" t="n"/>
      <c r="D19" s="90" t="inlineStr">
        <is>
          <t xml:space="preserve"> 5%</t>
        </is>
      </c>
      <c r="E19" s="99" t="inlineStr">
        <is>
          <t>Lower</t>
        </is>
      </c>
      <c r="F19" s="169" t="n"/>
      <c r="G19" s="100" t="inlineStr">
        <is>
          <t>Precision of fit; complements but does not duplicate R²</t>
        </is>
      </c>
      <c r="H19" s="168" t="n"/>
      <c r="I19" s="168" t="n"/>
      <c r="J19" s="168" t="n"/>
      <c r="K19" s="169" t="n"/>
    </row>
    <row r="20" ht="16" customHeight="1" s="28">
      <c r="A20" s="101" t="inlineStr">
        <is>
          <t>Distribution Shape</t>
        </is>
      </c>
      <c r="B20" s="101" t="inlineStr">
        <is>
          <t>Normality stat</t>
        </is>
      </c>
      <c r="C20" s="169" t="n"/>
      <c r="D20" s="93" t="inlineStr">
        <is>
          <t xml:space="preserve"> 7%</t>
        </is>
      </c>
      <c r="E20" s="102" t="inlineStr">
        <is>
          <t>SW higher/JB lower</t>
        </is>
      </c>
      <c r="F20" s="169" t="n"/>
      <c r="G20" s="103" t="inlineStr">
        <is>
          <t>Valid p-values require approximately normal residuals</t>
        </is>
      </c>
      <c r="H20" s="168" t="n"/>
      <c r="I20" s="168" t="n"/>
      <c r="J20" s="168" t="n"/>
      <c r="K20" s="169" t="n"/>
    </row>
    <row r="21" ht="16" customHeight="1" s="28">
      <c r="A21" s="98" t="inlineStr"/>
      <c r="B21" s="98" t="inlineStr">
        <is>
          <t>Skewness</t>
        </is>
      </c>
      <c r="C21" s="169" t="n"/>
      <c r="D21" s="90" t="inlineStr">
        <is>
          <t xml:space="preserve"> 5%</t>
        </is>
      </c>
      <c r="E21" s="99" t="inlineStr">
        <is>
          <t>Closer to 0.0</t>
        </is>
      </c>
      <c r="F21" s="169" t="n"/>
      <c r="G21" s="100" t="inlineStr">
        <is>
          <t>Symmetry: asymmetric residuals indicate directional bias</t>
        </is>
      </c>
      <c r="H21" s="168" t="n"/>
      <c r="I21" s="168" t="n"/>
      <c r="J21" s="168" t="n"/>
      <c r="K21" s="169" t="n"/>
    </row>
    <row r="22" ht="16" customHeight="1" s="28">
      <c r="A22" s="101" t="inlineStr"/>
      <c r="B22" s="101" t="inlineStr">
        <is>
          <t>Kurtosis</t>
        </is>
      </c>
      <c r="C22" s="169" t="n"/>
      <c r="D22" s="93" t="inlineStr">
        <is>
          <t xml:space="preserve"> 3%</t>
        </is>
      </c>
      <c r="E22" s="102" t="inlineStr">
        <is>
          <t>Closer to 3.0</t>
        </is>
      </c>
      <c r="F22" s="169" t="n"/>
      <c r="G22" s="103" t="inlineStr">
        <is>
          <t>Tail behaviour; lowest weight — least actionable alone</t>
        </is>
      </c>
      <c r="H22" s="168" t="n"/>
      <c r="I22" s="168" t="n"/>
      <c r="J22" s="168" t="n"/>
      <c r="K22" s="169" t="n"/>
    </row>
    <row r="23" ht="16" customHeight="1" s="28">
      <c r="A23" s="104" t="inlineStr">
        <is>
          <t>TOTAL</t>
        </is>
      </c>
      <c r="B23" s="105" t="inlineStr"/>
      <c r="C23" s="169" t="n"/>
      <c r="D23" s="106" t="inlineStr">
        <is>
          <t>100%</t>
        </is>
      </c>
      <c r="E23" s="107" t="inlineStr"/>
      <c r="F23" s="169" t="n"/>
      <c r="G23" s="108" t="inlineStr"/>
      <c r="H23" s="168" t="n"/>
      <c r="I23" s="168" t="n"/>
      <c r="J23" s="168" t="n"/>
      <c r="K23" s="169" t="n"/>
    </row>
    <row r="24" ht="8" customHeight="1" s="28"/>
    <row r="25" ht="20" customHeight="1" s="28">
      <c r="A25" s="96" t="inlineStr">
        <is>
          <t xml:space="preserve">  Minimum n Threshold Guard Conditions</t>
        </is>
      </c>
    </row>
    <row r="26">
      <c r="A26" s="97" t="inlineStr">
        <is>
          <t>Statistic</t>
        </is>
      </c>
      <c r="B26" s="169" t="n"/>
      <c r="C26" s="97" t="inlineStr">
        <is>
          <t>Min n</t>
        </is>
      </c>
      <c r="D26" s="97" t="inlineStr">
        <is>
          <t>Caution Zone</t>
        </is>
      </c>
      <c r="E26" s="97" t="inlineStr">
        <is>
          <t>Excluded if</t>
        </is>
      </c>
      <c r="F26" s="97" t="inlineStr">
        <is>
          <t>Test Used</t>
        </is>
      </c>
      <c r="G26" s="169" t="n"/>
      <c r="H26" s="97" t="inlineStr">
        <is>
          <t>Rationale</t>
        </is>
      </c>
      <c r="I26" s="168" t="n"/>
      <c r="J26" s="168" t="n"/>
      <c r="K26" s="169" t="n"/>
    </row>
    <row r="27" ht="16" customHeight="1" s="28">
      <c r="A27" s="109" t="inlineStr">
        <is>
          <t>Half-Life AR(1)</t>
        </is>
      </c>
      <c r="B27" s="169" t="n"/>
      <c r="C27" s="110" t="n">
        <v>30</v>
      </c>
      <c r="D27" s="111" t="inlineStr">
        <is>
          <t>30 – 44</t>
        </is>
      </c>
      <c r="E27" s="112" t="inlineStr">
        <is>
          <t>&lt; 30</t>
        </is>
      </c>
      <c r="F27" s="109" t="inlineStr">
        <is>
          <t>AR(1) OLS</t>
        </is>
      </c>
      <c r="G27" s="169" t="n"/>
      <c r="H27" s="113" t="inlineStr">
        <is>
          <t>Needs n-1 observation pairs; power degrades below 30</t>
        </is>
      </c>
      <c r="I27" s="168" t="n"/>
      <c r="J27" s="168" t="n"/>
      <c r="K27" s="169" t="n"/>
    </row>
    <row r="28" ht="16" customHeight="1" s="28">
      <c r="A28" s="101" t="inlineStr">
        <is>
          <t>R-Square</t>
        </is>
      </c>
      <c r="B28" s="169" t="n"/>
      <c r="C28" s="114" t="n">
        <v>20</v>
      </c>
      <c r="D28" s="111" t="inlineStr">
        <is>
          <t>20 – 29</t>
        </is>
      </c>
      <c r="E28" s="112" t="inlineStr">
        <is>
          <t>&lt; 20</t>
        </is>
      </c>
      <c r="F28" s="101" t="inlineStr">
        <is>
          <t>OLS Regression</t>
        </is>
      </c>
      <c r="G28" s="169" t="n"/>
      <c r="H28" s="95" t="inlineStr">
        <is>
          <t>k+2 observations required for reliable R²</t>
        </is>
      </c>
      <c r="I28" s="168" t="n"/>
      <c r="J28" s="168" t="n"/>
      <c r="K28" s="169" t="n"/>
    </row>
    <row r="29" ht="16" customHeight="1" s="28">
      <c r="A29" s="109" t="inlineStr">
        <is>
          <t>MSE</t>
        </is>
      </c>
      <c r="B29" s="169" t="n"/>
      <c r="C29" s="110" t="n">
        <v>10</v>
      </c>
      <c r="D29" s="111" t="inlineStr">
        <is>
          <t>10 – 14</t>
        </is>
      </c>
      <c r="E29" s="112" t="inlineStr">
        <is>
          <t>&lt; 10</t>
        </is>
      </c>
      <c r="F29" s="109" t="inlineStr">
        <is>
          <t>OLS Regression</t>
        </is>
      </c>
      <c r="G29" s="169" t="n"/>
      <c r="H29" s="113" t="inlineStr">
        <is>
          <t>Minimum regression sample; rarely the binding constraint</t>
        </is>
      </c>
      <c r="I29" s="168" t="n"/>
      <c r="J29" s="168" t="n"/>
      <c r="K29" s="169" t="n"/>
    </row>
    <row r="30" ht="16" customHeight="1" s="28">
      <c r="A30" s="101" t="inlineStr">
        <is>
          <t>Variance Ratio</t>
        </is>
      </c>
      <c r="B30" s="169" t="n"/>
      <c r="C30" s="114" t="n">
        <v>40</v>
      </c>
      <c r="D30" s="111" t="inlineStr">
        <is>
          <t>40 – 59</t>
        </is>
      </c>
      <c r="E30" s="112" t="inlineStr">
        <is>
          <t>&lt; 40</t>
        </is>
      </c>
      <c r="F30" s="101" t="inlineStr">
        <is>
          <t>Runs Test</t>
        </is>
      </c>
      <c r="G30" s="169" t="n"/>
      <c r="H30" s="95" t="inlineStr">
        <is>
          <t>Each sub-half needs ≥20 observations</t>
        </is>
      </c>
      <c r="I30" s="168" t="n"/>
      <c r="J30" s="168" t="n"/>
      <c r="K30" s="169" t="n"/>
    </row>
    <row r="31" ht="16" customHeight="1" s="28">
      <c r="A31" s="109" t="inlineStr">
        <is>
          <t>Normality — SW</t>
        </is>
      </c>
      <c r="B31" s="169" t="n"/>
      <c r="C31" s="110" t="n">
        <v>30</v>
      </c>
      <c r="D31" s="111" t="inlineStr">
        <is>
          <t>30 – 44</t>
        </is>
      </c>
      <c r="E31" s="112" t="inlineStr">
        <is>
          <t>&lt; 30</t>
        </is>
      </c>
      <c r="F31" s="109" t="inlineStr">
        <is>
          <t>Shapiro-Wilk</t>
        </is>
      </c>
      <c r="G31" s="169" t="n"/>
      <c r="H31" s="113" t="inlineStr">
        <is>
          <t>Recommended for n &lt; 200; power degrades below 30</t>
        </is>
      </c>
      <c r="I31" s="168" t="n"/>
      <c r="J31" s="168" t="n"/>
      <c r="K31" s="169" t="n"/>
    </row>
    <row r="32" ht="16" customHeight="1" s="28">
      <c r="A32" s="101" t="inlineStr">
        <is>
          <t>Normality — JB</t>
        </is>
      </c>
      <c r="B32" s="169" t="n"/>
      <c r="C32" s="114" t="n">
        <v>200</v>
      </c>
      <c r="D32" s="111" t="inlineStr">
        <is>
          <t>200 – 299</t>
        </is>
      </c>
      <c r="E32" s="112" t="inlineStr">
        <is>
          <t>&lt; 200</t>
        </is>
      </c>
      <c r="F32" s="101" t="inlineStr">
        <is>
          <t>Jarque-Bera</t>
        </is>
      </c>
      <c r="G32" s="169" t="n"/>
      <c r="H32" s="95" t="inlineStr">
        <is>
          <t>CLT requires large n for chi-sq approximation</t>
        </is>
      </c>
      <c r="I32" s="168" t="n"/>
      <c r="J32" s="168" t="n"/>
      <c r="K32" s="169" t="n"/>
    </row>
    <row r="33" ht="16" customHeight="1" s="28">
      <c r="A33" s="109" t="inlineStr">
        <is>
          <t>Homoscedasticity — BP</t>
        </is>
      </c>
      <c r="B33" s="169" t="n"/>
      <c r="C33" s="110" t="n">
        <v>50</v>
      </c>
      <c r="D33" s="111" t="inlineStr">
        <is>
          <t>50 – 74</t>
        </is>
      </c>
      <c r="E33" s="112" t="inlineStr">
        <is>
          <t>&lt; 50</t>
        </is>
      </c>
      <c r="F33" s="109" t="inlineStr">
        <is>
          <t>Breusch-Pagan</t>
        </is>
      </c>
      <c r="G33" s="169" t="n"/>
      <c r="H33" s="113" t="inlineStr">
        <is>
          <t>Chi-sq approx. unreliable for small samples</t>
        </is>
      </c>
      <c r="I33" s="168" t="n"/>
      <c r="J33" s="168" t="n"/>
      <c r="K33" s="169" t="n"/>
    </row>
    <row r="34" ht="16" customHeight="1" s="28">
      <c r="A34" s="101" t="inlineStr">
        <is>
          <t>Homoscedasticity — W</t>
        </is>
      </c>
      <c r="B34" s="169" t="n"/>
      <c r="C34" s="114" t="n">
        <v>100</v>
      </c>
      <c r="D34" s="111" t="inlineStr">
        <is>
          <t>100 – 149</t>
        </is>
      </c>
      <c r="E34" s="112" t="inlineStr">
        <is>
          <t>&lt; 100</t>
        </is>
      </c>
      <c r="F34" s="101" t="inlineStr">
        <is>
          <t>White's Test</t>
        </is>
      </c>
      <c r="G34" s="169" t="n"/>
      <c r="H34" s="95" t="inlineStr">
        <is>
          <t>High degrees of freedom: needs large n</t>
        </is>
      </c>
      <c r="I34" s="168" t="n"/>
      <c r="J34" s="168" t="n"/>
      <c r="K34" s="169" t="n"/>
    </row>
    <row r="35" ht="16" customHeight="1" s="28">
      <c r="A35" s="109" t="inlineStr">
        <is>
          <t>Skewness</t>
        </is>
      </c>
      <c r="B35" s="169" t="n"/>
      <c r="C35" s="110" t="n">
        <v>20</v>
      </c>
      <c r="D35" s="111" t="inlineStr">
        <is>
          <t>20 – 29</t>
        </is>
      </c>
      <c r="E35" s="112" t="inlineStr">
        <is>
          <t>&lt; 20</t>
        </is>
      </c>
      <c r="F35" s="109" t="inlineStr">
        <is>
          <t>3rd Moment</t>
        </is>
      </c>
      <c r="G35" s="169" t="n"/>
      <c r="H35" s="113" t="inlineStr">
        <is>
          <t>3rd central moment stability</t>
        </is>
      </c>
      <c r="I35" s="168" t="n"/>
      <c r="J35" s="168" t="n"/>
      <c r="K35" s="169" t="n"/>
    </row>
    <row r="36" ht="16" customHeight="1" s="28">
      <c r="A36" s="101" t="inlineStr">
        <is>
          <t>Kurtosis</t>
        </is>
      </c>
      <c r="B36" s="169" t="n"/>
      <c r="C36" s="114" t="n">
        <v>20</v>
      </c>
      <c r="D36" s="111" t="inlineStr">
        <is>
          <t>20 – 29</t>
        </is>
      </c>
      <c r="E36" s="112" t="inlineStr">
        <is>
          <t>&lt; 20</t>
        </is>
      </c>
      <c r="F36" s="101" t="inlineStr">
        <is>
          <t>4th Moment</t>
        </is>
      </c>
      <c r="G36" s="169" t="n"/>
      <c r="H36" s="95" t="inlineStr">
        <is>
          <t>4th central moment stability</t>
        </is>
      </c>
      <c r="I36" s="168" t="n"/>
      <c r="J36" s="168" t="n"/>
      <c r="K36" s="169" t="n"/>
    </row>
    <row r="37" ht="16" customHeight="1" s="28">
      <c r="A37" s="115" t="inlineStr">
        <is>
          <t>Legend:  ✓ VALID = n ≥ min threshold   |   ⚠ CAUTION = n within 150% of min (included with flag)   |   ✗ EXCLUDED = n &lt; min threshold (removed from composite)</t>
        </is>
      </c>
      <c r="B37" s="168" t="n"/>
      <c r="C37" s="168" t="n"/>
      <c r="D37" s="168" t="n"/>
      <c r="E37" s="168" t="n"/>
      <c r="F37" s="168" t="n"/>
      <c r="G37" s="168" t="n"/>
      <c r="H37" s="168" t="n"/>
      <c r="I37" s="168" t="n"/>
      <c r="J37" s="168" t="n"/>
      <c r="K37" s="169" t="n"/>
    </row>
    <row r="38" ht="8" customHeight="1" s="28"/>
    <row r="39" ht="8" customHeight="1" s="28"/>
    <row r="40" ht="24" customHeight="1" s="28">
      <c r="A40" s="116" t="inlineStr">
        <is>
          <t xml:space="preserve">  MODEL A: ssa − Base_FL  |  SSA Crossings Only  (residual = ssa_crossing − Base_FL)</t>
        </is>
      </c>
    </row>
    <row r="41" ht="16" customHeight="1" s="28">
      <c r="A41" s="117" t="inlineStr">
        <is>
          <t xml:space="preserve">  Stat A (Full Window): n = 65     |     Stat B (Last Half): n = 33     |     Normality Test: SW     |     Homoscedasticity Test: BP</t>
        </is>
      </c>
    </row>
    <row r="42" ht="30" customHeight="1" s="28">
      <c r="A42" s="118" t="inlineStr">
        <is>
          <t>Statistic</t>
        </is>
      </c>
      <c r="B42" s="118" t="inlineStr">
        <is>
          <t>Weight</t>
        </is>
      </c>
      <c r="C42" s="118" t="inlineStr">
        <is>
          <t>Min n</t>
        </is>
      </c>
      <c r="D42" s="118" t="inlineStr">
        <is>
          <t>Stat A
(n=65)</t>
        </is>
      </c>
      <c r="E42" s="118" t="inlineStr">
        <is>
          <t>Stat A
Status</t>
        </is>
      </c>
      <c r="F42" s="118" t="inlineStr">
        <is>
          <t>Stat B
(n=33)</t>
        </is>
      </c>
      <c r="G42" s="118" t="inlineStr">
        <is>
          <t>Stat B
Status</t>
        </is>
      </c>
      <c r="H42" s="118" t="inlineStr">
        <is>
          <t>In
Composite</t>
        </is>
      </c>
      <c r="I42" s="118" t="inlineStr">
        <is>
          <t>Norm Signal
[-1 to +1]</t>
        </is>
      </c>
      <c r="J42" s="118" t="inlineStr">
        <is>
          <t>Weighted
Score</t>
        </is>
      </c>
      <c r="K42" s="118" t="inlineStr">
        <is>
          <t>Signal Interpretation</t>
        </is>
      </c>
    </row>
    <row r="43" ht="16" customHeight="1" s="28">
      <c r="A43" s="119" t="inlineStr">
        <is>
          <t>Half-Life AR(1)</t>
        </is>
      </c>
      <c r="B43" s="120" t="inlineStr">
        <is>
          <t>30%</t>
        </is>
      </c>
      <c r="C43" s="120" t="n">
        <v>30</v>
      </c>
      <c r="D43" s="121" t="inlineStr">
        <is>
          <t>3.71</t>
        </is>
      </c>
      <c r="E43" s="122" t="inlineStr">
        <is>
          <t>✓ VALID</t>
        </is>
      </c>
      <c r="F43" s="111" t="inlineStr">
        <is>
          <t>2.86</t>
        </is>
      </c>
      <c r="G43" s="123" t="inlineStr">
        <is>
          <t>⚠ CAUTION</t>
        </is>
      </c>
      <c r="H43" s="123" t="inlineStr">
        <is>
          <t>⚠ YES (caution)</t>
        </is>
      </c>
      <c r="I43" s="124" t="inlineStr">
        <is>
          <t>+0.2291</t>
        </is>
      </c>
      <c r="J43" s="125" t="inlineStr">
        <is>
          <t>+0.06873</t>
        </is>
      </c>
      <c r="K43" s="126" t="inlineStr">
        <is>
          <t>Strengthening ↑  |  Lower = faster reversion</t>
        </is>
      </c>
    </row>
    <row r="44" ht="16" customHeight="1" s="28">
      <c r="A44" s="94" t="inlineStr">
        <is>
          <t>Homoscedasticity (BP)</t>
        </is>
      </c>
      <c r="B44" s="93" t="inlineStr">
        <is>
          <t>20%</t>
        </is>
      </c>
      <c r="C44" s="93" t="n">
        <v>50</v>
      </c>
      <c r="D44" s="127" t="inlineStr">
        <is>
          <t>0.0715</t>
        </is>
      </c>
      <c r="E44" s="123" t="inlineStr">
        <is>
          <t>⚠ CAUTION</t>
        </is>
      </c>
      <c r="F44" s="112" t="inlineStr">
        <is>
          <t>16.2620</t>
        </is>
      </c>
      <c r="G44" s="128" t="inlineStr">
        <is>
          <t>✗ EXCLUDED</t>
        </is>
      </c>
      <c r="H44" s="128" t="inlineStr">
        <is>
          <t>✗ EXCLUDED</t>
        </is>
      </c>
      <c r="I44" s="129" t="inlineStr">
        <is>
          <t>— excl. —</t>
        </is>
      </c>
      <c r="J44" s="129" t="inlineStr">
        <is>
          <t>—</t>
        </is>
      </c>
      <c r="K44" s="130" t="inlineStr">
        <is>
          <t>EXCLUDED — n=33 &lt; min 50. Not enough data to compute Stat B reliably.</t>
        </is>
      </c>
    </row>
    <row r="45" ht="16" customHeight="1" s="28">
      <c r="A45" s="119" t="inlineStr">
        <is>
          <t>R-Square</t>
        </is>
      </c>
      <c r="B45" s="120" t="inlineStr">
        <is>
          <t>20%</t>
        </is>
      </c>
      <c r="C45" s="120" t="n">
        <v>20</v>
      </c>
      <c r="D45" s="121" t="inlineStr">
        <is>
          <t>0.4778</t>
        </is>
      </c>
      <c r="E45" s="122" t="inlineStr">
        <is>
          <t>✓ VALID</t>
        </is>
      </c>
      <c r="F45" s="125" t="inlineStr">
        <is>
          <t>0.4081</t>
        </is>
      </c>
      <c r="G45" s="122" t="inlineStr">
        <is>
          <t>✓ VALID</t>
        </is>
      </c>
      <c r="H45" s="131" t="inlineStr">
        <is>
          <t>✓ YES</t>
        </is>
      </c>
      <c r="I45" s="132" t="inlineStr">
        <is>
          <t>-0.1459</t>
        </is>
      </c>
      <c r="J45" s="112" t="inlineStr">
        <is>
          <t>-0.02918</t>
        </is>
      </c>
      <c r="K45" s="126" t="inlineStr">
        <is>
          <t>Weakening ↓  |  Higher = stronger Base_FL fit</t>
        </is>
      </c>
    </row>
    <row r="46" ht="16" customHeight="1" s="28">
      <c r="A46" s="94" t="inlineStr">
        <is>
          <t>Variance Ratio</t>
        </is>
      </c>
      <c r="B46" s="93" t="inlineStr">
        <is>
          <t>10%</t>
        </is>
      </c>
      <c r="C46" s="93" t="n">
        <v>40</v>
      </c>
      <c r="D46" s="121" t="inlineStr">
        <is>
          <t>1.0469</t>
        </is>
      </c>
      <c r="E46" s="122" t="inlineStr">
        <is>
          <t>✓ VALID</t>
        </is>
      </c>
      <c r="F46" s="112" t="inlineStr">
        <is>
          <t>0.0900</t>
        </is>
      </c>
      <c r="G46" s="128" t="inlineStr">
        <is>
          <t>✗ EXCLUDED</t>
        </is>
      </c>
      <c r="H46" s="128" t="inlineStr">
        <is>
          <t>✗ EXCLUDED</t>
        </is>
      </c>
      <c r="I46" s="129" t="inlineStr">
        <is>
          <t>— excl. —</t>
        </is>
      </c>
      <c r="J46" s="129" t="inlineStr">
        <is>
          <t>—</t>
        </is>
      </c>
      <c r="K46" s="130" t="inlineStr">
        <is>
          <t>EXCLUDED — n=33 &lt; min 40. Not enough data to compute Stat B reliably.</t>
        </is>
      </c>
    </row>
    <row r="47" ht="16" customHeight="1" s="28">
      <c r="A47" s="119" t="inlineStr">
        <is>
          <t>Normality (SW)</t>
        </is>
      </c>
      <c r="B47" s="120" t="inlineStr">
        <is>
          <t>7%</t>
        </is>
      </c>
      <c r="C47" s="120" t="n">
        <v>30</v>
      </c>
      <c r="D47" s="121" t="inlineStr">
        <is>
          <t>0.8520</t>
        </is>
      </c>
      <c r="E47" s="122" t="inlineStr">
        <is>
          <t>✓ VALID</t>
        </is>
      </c>
      <c r="F47" s="111" t="inlineStr">
        <is>
          <t>0.7746</t>
        </is>
      </c>
      <c r="G47" s="123" t="inlineStr">
        <is>
          <t>⚠ CAUTION</t>
        </is>
      </c>
      <c r="H47" s="123" t="inlineStr">
        <is>
          <t>⚠ YES (caution)</t>
        </is>
      </c>
      <c r="I47" s="132" t="inlineStr">
        <is>
          <t>-0.0908</t>
        </is>
      </c>
      <c r="J47" s="112" t="inlineStr">
        <is>
          <t>-0.00636</t>
        </is>
      </c>
      <c r="K47" s="126" t="inlineStr">
        <is>
          <t>Weakening ↓  |  More normal residuals</t>
        </is>
      </c>
    </row>
    <row r="48" ht="16" customHeight="1" s="28">
      <c r="A48" s="94" t="inlineStr">
        <is>
          <t>Skewness</t>
        </is>
      </c>
      <c r="B48" s="93" t="inlineStr">
        <is>
          <t>5%</t>
        </is>
      </c>
      <c r="C48" s="93" t="n">
        <v>20</v>
      </c>
      <c r="D48" s="121" t="inlineStr">
        <is>
          <t>-0.8668</t>
        </is>
      </c>
      <c r="E48" s="122" t="inlineStr">
        <is>
          <t>✓ VALID</t>
        </is>
      </c>
      <c r="F48" s="125" t="inlineStr">
        <is>
          <t>-0.9772</t>
        </is>
      </c>
      <c r="G48" s="122" t="inlineStr">
        <is>
          <t>✓ VALID</t>
        </is>
      </c>
      <c r="H48" s="131" t="inlineStr">
        <is>
          <t>✓ YES</t>
        </is>
      </c>
      <c r="I48" s="132" t="inlineStr">
        <is>
          <t>-0.1274</t>
        </is>
      </c>
      <c r="J48" s="112" t="inlineStr">
        <is>
          <t>-0.00637</t>
        </is>
      </c>
      <c r="K48" s="130" t="inlineStr">
        <is>
          <t>Weakening ↓  |  Closer to 0.0 = symmetric</t>
        </is>
      </c>
    </row>
    <row r="49" ht="16" customHeight="1" s="28">
      <c r="A49" s="119" t="inlineStr">
        <is>
          <t>MSE</t>
        </is>
      </c>
      <c r="B49" s="120" t="inlineStr">
        <is>
          <t>5%</t>
        </is>
      </c>
      <c r="C49" s="120" t="n">
        <v>10</v>
      </c>
      <c r="D49" s="121" t="inlineStr">
        <is>
          <t>2763.50</t>
        </is>
      </c>
      <c r="E49" s="122" t="inlineStr">
        <is>
          <t>✓ VALID</t>
        </is>
      </c>
      <c r="F49" s="125" t="inlineStr">
        <is>
          <t>2833.94</t>
        </is>
      </c>
      <c r="G49" s="122" t="inlineStr">
        <is>
          <t>✓ VALID</t>
        </is>
      </c>
      <c r="H49" s="131" t="inlineStr">
        <is>
          <t>✓ YES</t>
        </is>
      </c>
      <c r="I49" s="132" t="inlineStr">
        <is>
          <t>-0.0255</t>
        </is>
      </c>
      <c r="J49" s="112" t="inlineStr">
        <is>
          <t>-0.00128</t>
        </is>
      </c>
      <c r="K49" s="126" t="inlineStr">
        <is>
          <t>Neutral →  |  Lower = better fit precision</t>
        </is>
      </c>
    </row>
    <row r="50" ht="16" customHeight="1" s="28">
      <c r="A50" s="94" t="inlineStr">
        <is>
          <t>Kurtosis</t>
        </is>
      </c>
      <c r="B50" s="93" t="inlineStr">
        <is>
          <t>3%</t>
        </is>
      </c>
      <c r="C50" s="93" t="n">
        <v>20</v>
      </c>
      <c r="D50" s="121" t="inlineStr">
        <is>
          <t>2.3932</t>
        </is>
      </c>
      <c r="E50" s="122" t="inlineStr">
        <is>
          <t>✓ VALID</t>
        </is>
      </c>
      <c r="F50" s="125" t="inlineStr">
        <is>
          <t>2.4283</t>
        </is>
      </c>
      <c r="G50" s="122" t="inlineStr">
        <is>
          <t>✓ VALID</t>
        </is>
      </c>
      <c r="H50" s="131" t="inlineStr">
        <is>
          <t>✓ YES</t>
        </is>
      </c>
      <c r="I50" s="124" t="inlineStr">
        <is>
          <t>+0.0578</t>
        </is>
      </c>
      <c r="J50" s="125" t="inlineStr">
        <is>
          <t>+0.00173</t>
        </is>
      </c>
      <c r="K50" s="130" t="inlineStr">
        <is>
          <t>Strengthening ↑  |  Closer to 3.0 = normal tails</t>
        </is>
      </c>
    </row>
    <row r="51" ht="8" customHeight="1" s="28">
      <c r="A51" s="133" t="n"/>
      <c r="B51" s="133" t="n"/>
      <c r="C51" s="133" t="n"/>
      <c r="D51" s="133" t="n"/>
      <c r="E51" s="133" t="n"/>
      <c r="F51" s="133" t="n"/>
      <c r="G51" s="133" t="n"/>
      <c r="H51" s="133" t="n"/>
      <c r="I51" s="133" t="n"/>
      <c r="J51" s="133" t="n"/>
      <c r="K51" s="133" t="n"/>
    </row>
    <row r="52" ht="18" customHeight="1" s="28">
      <c r="A52" s="134" t="inlineStr">
        <is>
          <t xml:space="preserve">  Valid Statistics: 6 of 8   |   Weight in Composite: 70%   |   Excluded Weight: 30%</t>
        </is>
      </c>
      <c r="H52" s="135" t="inlineStr">
        <is>
          <t>Composite = Σ(valid weighted scores) / 0.70 × 100</t>
        </is>
      </c>
    </row>
    <row r="53" ht="28" customHeight="1" s="28">
      <c r="A53" s="136" t="inlineStr">
        <is>
          <t xml:space="preserve">  ► COMPOSITE SCORE</t>
        </is>
      </c>
      <c r="D53" s="137" t="inlineStr">
        <is>
          <t>+3.90</t>
        </is>
      </c>
      <c r="F53" s="138" t="inlineStr">
        <is>
          <t xml:space="preserve">  NEUTRAL — No significant divergence detected</t>
        </is>
      </c>
    </row>
    <row r="54" ht="8" customHeight="1" s="28"/>
    <row r="55" ht="24" customHeight="1" s="28">
      <c r="A55" s="139" t="inlineStr">
        <is>
          <t xml:space="preserve">  MODEL B: close − Base_FL  |  All Bars  (residual = close − Base_FL)</t>
        </is>
      </c>
    </row>
    <row r="56" ht="16" customHeight="1" s="28">
      <c r="A56" s="117" t="inlineStr">
        <is>
          <t xml:space="preserve">  Stat A (Full Window): n = 741     |     Stat B (Last Half): n = 371     |     Normality Test: JB     |     Homoscedasticity Test: White</t>
        </is>
      </c>
    </row>
    <row r="57" ht="30" customHeight="1" s="28">
      <c r="A57" s="118" t="inlineStr">
        <is>
          <t>Statistic</t>
        </is>
      </c>
      <c r="B57" s="118" t="inlineStr">
        <is>
          <t>Weight</t>
        </is>
      </c>
      <c r="C57" s="118" t="inlineStr">
        <is>
          <t>Min n</t>
        </is>
      </c>
      <c r="D57" s="118" t="inlineStr">
        <is>
          <t>Stat A
(n=741)</t>
        </is>
      </c>
      <c r="E57" s="118" t="inlineStr">
        <is>
          <t>Stat A
Status</t>
        </is>
      </c>
      <c r="F57" s="118" t="inlineStr">
        <is>
          <t>Stat B
(n=371)</t>
        </is>
      </c>
      <c r="G57" s="118" t="inlineStr">
        <is>
          <t>Stat B
Status</t>
        </is>
      </c>
      <c r="H57" s="118" t="inlineStr">
        <is>
          <t>In
Composite</t>
        </is>
      </c>
      <c r="I57" s="118" t="inlineStr">
        <is>
          <t>Norm Signal
[-1 to +1]</t>
        </is>
      </c>
      <c r="J57" s="118" t="inlineStr">
        <is>
          <t>Weighted
Score</t>
        </is>
      </c>
      <c r="K57" s="118" t="inlineStr">
        <is>
          <t>Signal Interpretation</t>
        </is>
      </c>
    </row>
    <row r="58" ht="16" customHeight="1" s="28">
      <c r="A58" s="119" t="inlineStr">
        <is>
          <t>Half-Life AR(1)</t>
        </is>
      </c>
      <c r="B58" s="120" t="inlineStr">
        <is>
          <t>30%</t>
        </is>
      </c>
      <c r="C58" s="120" t="n">
        <v>30</v>
      </c>
      <c r="D58" s="121" t="inlineStr">
        <is>
          <t>72.53</t>
        </is>
      </c>
      <c r="E58" s="122" t="inlineStr">
        <is>
          <t>✓ VALID</t>
        </is>
      </c>
      <c r="F58" s="125" t="inlineStr">
        <is>
          <t>59.91</t>
        </is>
      </c>
      <c r="G58" s="122" t="inlineStr">
        <is>
          <t>✓ VALID</t>
        </is>
      </c>
      <c r="H58" s="131" t="inlineStr">
        <is>
          <t>✓ YES</t>
        </is>
      </c>
      <c r="I58" s="124" t="inlineStr">
        <is>
          <t>+0.1740</t>
        </is>
      </c>
      <c r="J58" s="125" t="inlineStr">
        <is>
          <t>+0.05220</t>
        </is>
      </c>
      <c r="K58" s="126" t="inlineStr">
        <is>
          <t>Strengthening ↑  |  Lower = faster reversion</t>
        </is>
      </c>
    </row>
    <row r="59" ht="16" customHeight="1" s="28">
      <c r="A59" s="94" t="inlineStr">
        <is>
          <t>Homoscedasticity (White)</t>
        </is>
      </c>
      <c r="B59" s="93" t="inlineStr">
        <is>
          <t>20%</t>
        </is>
      </c>
      <c r="C59" s="93" t="n">
        <v>100</v>
      </c>
      <c r="D59" s="121" t="inlineStr">
        <is>
          <t>129.8390</t>
        </is>
      </c>
      <c r="E59" s="122" t="inlineStr">
        <is>
          <t>✓ VALID</t>
        </is>
      </c>
      <c r="F59" s="125" t="inlineStr">
        <is>
          <t>220.6490</t>
        </is>
      </c>
      <c r="G59" s="122" t="inlineStr">
        <is>
          <t>✓ VALID</t>
        </is>
      </c>
      <c r="H59" s="131" t="inlineStr">
        <is>
          <t>✓ YES</t>
        </is>
      </c>
      <c r="I59" s="132" t="inlineStr">
        <is>
          <t>-0.6994</t>
        </is>
      </c>
      <c r="J59" s="112" t="inlineStr">
        <is>
          <t>-0.13988</t>
        </is>
      </c>
      <c r="K59" s="130" t="inlineStr">
        <is>
          <t>Weakening ↓  |  Lower LM = more homoscedastic</t>
        </is>
      </c>
    </row>
    <row r="60" ht="16" customHeight="1" s="28">
      <c r="A60" s="119" t="inlineStr">
        <is>
          <t>R-Square</t>
        </is>
      </c>
      <c r="B60" s="120" t="inlineStr">
        <is>
          <t>20%</t>
        </is>
      </c>
      <c r="C60" s="120" t="n">
        <v>20</v>
      </c>
      <c r="D60" s="121" t="inlineStr">
        <is>
          <t>0.5003</t>
        </is>
      </c>
      <c r="E60" s="122" t="inlineStr">
        <is>
          <t>✓ VALID</t>
        </is>
      </c>
      <c r="F60" s="125" t="inlineStr">
        <is>
          <t>0.4300</t>
        </is>
      </c>
      <c r="G60" s="122" t="inlineStr">
        <is>
          <t>✓ VALID</t>
        </is>
      </c>
      <c r="H60" s="131" t="inlineStr">
        <is>
          <t>✓ YES</t>
        </is>
      </c>
      <c r="I60" s="132" t="inlineStr">
        <is>
          <t>-0.1405</t>
        </is>
      </c>
      <c r="J60" s="112" t="inlineStr">
        <is>
          <t>-0.02810</t>
        </is>
      </c>
      <c r="K60" s="126" t="inlineStr">
        <is>
          <t>Weakening ↓  |  Higher = stronger Base_FL fit</t>
        </is>
      </c>
    </row>
    <row r="61" ht="16" customHeight="1" s="28">
      <c r="A61" s="94" t="inlineStr">
        <is>
          <t>Variance Ratio</t>
        </is>
      </c>
      <c r="B61" s="93" t="inlineStr">
        <is>
          <t>10%</t>
        </is>
      </c>
      <c r="C61" s="93" t="n">
        <v>40</v>
      </c>
      <c r="D61" s="121" t="inlineStr">
        <is>
          <t>2.0000</t>
        </is>
      </c>
      <c r="E61" s="122" t="inlineStr">
        <is>
          <t>✓ VALID</t>
        </is>
      </c>
      <c r="F61" s="125" t="inlineStr">
        <is>
          <t>0.1105</t>
        </is>
      </c>
      <c r="G61" s="122" t="inlineStr">
        <is>
          <t>✓ VALID</t>
        </is>
      </c>
      <c r="H61" s="131" t="inlineStr">
        <is>
          <t>✓ YES</t>
        </is>
      </c>
      <c r="I61" s="124" t="inlineStr">
        <is>
          <t>+0.1105</t>
        </is>
      </c>
      <c r="J61" s="125" t="inlineStr">
        <is>
          <t>+0.01105</t>
        </is>
      </c>
      <c r="K61" s="130" t="inlineStr">
        <is>
          <t>Strengthening ↑  |  Closer to 1.0 = mean-reverting</t>
        </is>
      </c>
    </row>
    <row r="62" ht="16" customHeight="1" s="28">
      <c r="A62" s="119" t="inlineStr">
        <is>
          <t>Normality (JB)</t>
        </is>
      </c>
      <c r="B62" s="120" t="inlineStr">
        <is>
          <t>7%</t>
        </is>
      </c>
      <c r="C62" s="120" t="n">
        <v>200</v>
      </c>
      <c r="D62" s="121" t="inlineStr">
        <is>
          <t>83.1542</t>
        </is>
      </c>
      <c r="E62" s="122" t="inlineStr">
        <is>
          <t>✓ VALID</t>
        </is>
      </c>
      <c r="F62" s="125" t="inlineStr">
        <is>
          <t>45.2600</t>
        </is>
      </c>
      <c r="G62" s="122" t="inlineStr">
        <is>
          <t>✓ VALID</t>
        </is>
      </c>
      <c r="H62" s="131" t="inlineStr">
        <is>
          <t>✓ YES</t>
        </is>
      </c>
      <c r="I62" s="124" t="inlineStr">
        <is>
          <t>+0.4557</t>
        </is>
      </c>
      <c r="J62" s="125" t="inlineStr">
        <is>
          <t>+0.03190</t>
        </is>
      </c>
      <c r="K62" s="126" t="inlineStr">
        <is>
          <t>Strengthening ↑  |  More normal residuals</t>
        </is>
      </c>
    </row>
    <row r="63" ht="16" customHeight="1" s="28">
      <c r="A63" s="94" t="inlineStr">
        <is>
          <t>Skewness</t>
        </is>
      </c>
      <c r="B63" s="93" t="inlineStr">
        <is>
          <t>5%</t>
        </is>
      </c>
      <c r="C63" s="93" t="n">
        <v>20</v>
      </c>
      <c r="D63" s="121" t="inlineStr">
        <is>
          <t>-0.7945</t>
        </is>
      </c>
      <c r="E63" s="122" t="inlineStr">
        <is>
          <t>✓ VALID</t>
        </is>
      </c>
      <c r="F63" s="125" t="inlineStr">
        <is>
          <t>-0.6988</t>
        </is>
      </c>
      <c r="G63" s="122" t="inlineStr">
        <is>
          <t>✓ VALID</t>
        </is>
      </c>
      <c r="H63" s="131" t="inlineStr">
        <is>
          <t>✓ YES</t>
        </is>
      </c>
      <c r="I63" s="124" t="inlineStr">
        <is>
          <t>+0.1205</t>
        </is>
      </c>
      <c r="J63" s="125" t="inlineStr">
        <is>
          <t>+0.00602</t>
        </is>
      </c>
      <c r="K63" s="130" t="inlineStr">
        <is>
          <t>Strengthening ↑  |  Closer to 0.0 = symmetric</t>
        </is>
      </c>
    </row>
    <row r="64" ht="16" customHeight="1" s="28">
      <c r="A64" s="119" t="inlineStr">
        <is>
          <t>MSE</t>
        </is>
      </c>
      <c r="B64" s="120" t="inlineStr">
        <is>
          <t>5%</t>
        </is>
      </c>
      <c r="C64" s="120" t="n">
        <v>10</v>
      </c>
      <c r="D64" s="121" t="inlineStr">
        <is>
          <t>2305.98</t>
        </is>
      </c>
      <c r="E64" s="122" t="inlineStr">
        <is>
          <t>✓ VALID</t>
        </is>
      </c>
      <c r="F64" s="125" t="inlineStr">
        <is>
          <t>3071.07</t>
        </is>
      </c>
      <c r="G64" s="122" t="inlineStr">
        <is>
          <t>✓ VALID</t>
        </is>
      </c>
      <c r="H64" s="131" t="inlineStr">
        <is>
          <t>✓ YES</t>
        </is>
      </c>
      <c r="I64" s="132" t="inlineStr">
        <is>
          <t>-0.3318</t>
        </is>
      </c>
      <c r="J64" s="112" t="inlineStr">
        <is>
          <t>-0.01659</t>
        </is>
      </c>
      <c r="K64" s="126" t="inlineStr">
        <is>
          <t>Weakening ↓  |  Lower = better fit precision</t>
        </is>
      </c>
    </row>
    <row r="65" ht="16" customHeight="1" s="28">
      <c r="A65" s="94" t="inlineStr">
        <is>
          <t>Kurtosis</t>
        </is>
      </c>
      <c r="B65" s="93" t="inlineStr">
        <is>
          <t>3%</t>
        </is>
      </c>
      <c r="C65" s="93" t="n">
        <v>20</v>
      </c>
      <c r="D65" s="121" t="inlineStr">
        <is>
          <t>2.5901</t>
        </is>
      </c>
      <c r="E65" s="122" t="inlineStr">
        <is>
          <t>✓ VALID</t>
        </is>
      </c>
      <c r="F65" s="125" t="inlineStr">
        <is>
          <t>2.0127</t>
        </is>
      </c>
      <c r="G65" s="122" t="inlineStr">
        <is>
          <t>✓ VALID</t>
        </is>
      </c>
      <c r="H65" s="131" t="inlineStr">
        <is>
          <t>✓ YES</t>
        </is>
      </c>
      <c r="I65" s="132" t="inlineStr">
        <is>
          <t>-1.0000</t>
        </is>
      </c>
      <c r="J65" s="112" t="inlineStr">
        <is>
          <t>-0.03000</t>
        </is>
      </c>
      <c r="K65" s="130" t="inlineStr">
        <is>
          <t>Weakening ↓  |  Closer to 3.0 = normal tails</t>
        </is>
      </c>
    </row>
    <row r="66" ht="8" customHeight="1" s="28">
      <c r="A66" s="133" t="n"/>
      <c r="B66" s="133" t="n"/>
      <c r="C66" s="133" t="n"/>
      <c r="D66" s="133" t="n"/>
      <c r="E66" s="133" t="n"/>
      <c r="F66" s="133" t="n"/>
      <c r="G66" s="133" t="n"/>
      <c r="H66" s="133" t="n"/>
      <c r="I66" s="133" t="n"/>
      <c r="J66" s="133" t="n"/>
      <c r="K66" s="133" t="n"/>
    </row>
    <row r="67" ht="18" customHeight="1" s="28">
      <c r="A67" s="134" t="inlineStr">
        <is>
          <t xml:space="preserve">  Valid Statistics: 8 of 8   |   Weight in Composite: 100%   |   Excluded Weight: 0%</t>
        </is>
      </c>
      <c r="H67" s="135" t="inlineStr">
        <is>
          <t>Composite = Σ(valid weighted scores) / 1.00 × 100</t>
        </is>
      </c>
    </row>
    <row r="68" ht="28" customHeight="1" s="28">
      <c r="A68" s="140" t="inlineStr">
        <is>
          <t xml:space="preserve">  ► COMPOSITE SCORE</t>
        </is>
      </c>
      <c r="D68" s="141" t="inlineStr">
        <is>
          <t>-11.34</t>
        </is>
      </c>
      <c r="F68" s="142" t="inlineStr">
        <is>
          <t xml:space="preserve">  Mild Weakening — Slight deterioration in recent window</t>
        </is>
      </c>
    </row>
    <row r="69" ht="8" customHeight="1" s="28"/>
    <row r="70" ht="20" customHeight="1" s="28">
      <c r="A70" s="96" t="inlineStr">
        <is>
          <t xml:space="preserve">  Summary Comparison</t>
        </is>
      </c>
    </row>
    <row r="71">
      <c r="A71" s="97" t="inlineStr">
        <is>
          <t>Model</t>
        </is>
      </c>
      <c r="B71" s="97" t="inlineStr">
        <is>
          <t>n Full</t>
        </is>
      </c>
      <c r="C71" s="97" t="inlineStr">
        <is>
          <t>n Half</t>
        </is>
      </c>
      <c r="D71" s="97" t="inlineStr">
        <is>
          <t>Valid Stats</t>
        </is>
      </c>
      <c r="E71" s="97" t="inlineStr">
        <is>
          <t>Weight in Comp</t>
        </is>
      </c>
      <c r="F71" s="97" t="inlineStr">
        <is>
          <t>Composite Score</t>
        </is>
      </c>
      <c r="G71" s="169" t="n"/>
      <c r="H71" s="97" t="inlineStr">
        <is>
          <t>Interpretation</t>
        </is>
      </c>
      <c r="I71" s="168" t="n"/>
      <c r="J71" s="168" t="n"/>
      <c r="K71" s="169" t="n"/>
    </row>
    <row r="72" ht="22" customHeight="1" s="28">
      <c r="A72" s="143" t="inlineStr">
        <is>
          <t>Model A (SSA − Base_FL)</t>
        </is>
      </c>
      <c r="B72" s="129" t="n">
        <v>65</v>
      </c>
      <c r="C72" s="129" t="n">
        <v>33</v>
      </c>
      <c r="D72" s="129" t="inlineStr">
        <is>
          <t>6/8</t>
        </is>
      </c>
      <c r="E72" s="129" t="inlineStr">
        <is>
          <t>70%</t>
        </is>
      </c>
      <c r="F72" s="144" t="inlineStr">
        <is>
          <t>+3.90</t>
        </is>
      </c>
      <c r="G72" s="169" t="n"/>
      <c r="H72" s="145" t="inlineStr">
        <is>
          <t>Neutral</t>
        </is>
      </c>
      <c r="I72" s="168" t="n"/>
      <c r="J72" s="168" t="n"/>
      <c r="K72" s="169" t="n"/>
    </row>
    <row r="73" ht="22" customHeight="1" s="28">
      <c r="A73" s="146" t="inlineStr">
        <is>
          <t>Model B (close − Base_FL)</t>
        </is>
      </c>
      <c r="B73" s="129" t="n">
        <v>741</v>
      </c>
      <c r="C73" s="129" t="n">
        <v>371</v>
      </c>
      <c r="D73" s="129" t="inlineStr">
        <is>
          <t>8/8</t>
        </is>
      </c>
      <c r="E73" s="129" t="inlineStr">
        <is>
          <t>100%</t>
        </is>
      </c>
      <c r="F73" s="147" t="inlineStr">
        <is>
          <t>-11.34</t>
        </is>
      </c>
      <c r="G73" s="169" t="n"/>
      <c r="H73" s="148" t="inlineStr">
        <is>
          <t>Mild Weakening</t>
        </is>
      </c>
      <c r="I73" s="168" t="n"/>
      <c r="J73" s="168" t="n"/>
      <c r="K73" s="169" t="n"/>
    </row>
    <row r="74" ht="8" customHeight="1" s="28"/>
    <row r="75" ht="20" customHeight="1" s="28">
      <c r="A75" s="96" t="inlineStr">
        <is>
          <t xml:space="preserve">  Composite Score Interpretation Guide</t>
        </is>
      </c>
    </row>
    <row r="76">
      <c r="A76" s="97" t="inlineStr">
        <is>
          <t>Score Range</t>
        </is>
      </c>
      <c r="B76" s="97" t="inlineStr">
        <is>
          <t>Zone</t>
        </is>
      </c>
      <c r="C76" s="169" t="n"/>
      <c r="D76" s="97" t="inlineStr">
        <is>
          <t>Label</t>
        </is>
      </c>
      <c r="E76" s="169" t="n"/>
      <c r="F76" s="97" t="inlineStr">
        <is>
          <t>Trading Implication</t>
        </is>
      </c>
      <c r="G76" s="168" t="n"/>
      <c r="H76" s="168" t="n"/>
      <c r="I76" s="168" t="n"/>
      <c r="J76" s="168" t="n"/>
      <c r="K76" s="169" t="n"/>
    </row>
    <row r="77" ht="18" customHeight="1" s="28">
      <c r="A77" s="149" t="inlineStr">
        <is>
          <t>&gt; +15</t>
        </is>
      </c>
      <c r="B77" s="150" t="inlineStr"/>
      <c r="C77" s="169" t="n"/>
      <c r="D77" s="124" t="inlineStr">
        <is>
          <t>STRENGTHENING</t>
        </is>
      </c>
      <c r="E77" s="169" t="n"/>
      <c r="F77" s="151" t="inlineStr">
        <is>
          <t>Stat B statistically stronger than Stat A across most dimensions. Base_FL/EDT influence is increasing in the recent half window. Expect continued mean-reversion tendency.</t>
        </is>
      </c>
      <c r="G77" s="168" t="n"/>
      <c r="H77" s="168" t="n"/>
      <c r="I77" s="168" t="n"/>
      <c r="J77" s="168" t="n"/>
      <c r="K77" s="169" t="n"/>
    </row>
    <row r="78" ht="18" customHeight="1" s="28">
      <c r="A78" s="152" t="inlineStr">
        <is>
          <t>+5 to +15</t>
        </is>
      </c>
      <c r="B78" s="153" t="inlineStr"/>
      <c r="C78" s="169" t="n"/>
      <c r="D78" s="154" t="inlineStr">
        <is>
          <t>Mild Strengthening</t>
        </is>
      </c>
      <c r="E78" s="169" t="n"/>
      <c r="F78" s="155" t="inlineStr">
        <is>
          <t>Modest improvement in last-half stats. Influence edging upward. Monitor for confirmation.</t>
        </is>
      </c>
      <c r="G78" s="168" t="n"/>
      <c r="H78" s="168" t="n"/>
      <c r="I78" s="168" t="n"/>
      <c r="J78" s="168" t="n"/>
      <c r="K78" s="169" t="n"/>
    </row>
    <row r="79" ht="18" customHeight="1" s="28">
      <c r="A79" s="156" t="inlineStr">
        <is>
          <t>−5 to +5</t>
        </is>
      </c>
      <c r="B79" s="157" t="inlineStr"/>
      <c r="C79" s="169" t="n"/>
      <c r="D79" s="158" t="inlineStr">
        <is>
          <t>NEUTRAL</t>
        </is>
      </c>
      <c r="E79" s="169" t="n"/>
      <c r="F79" s="159" t="inlineStr">
        <is>
          <t>No significant divergence between windows. Influence is stable. Existing regime likely to persist.</t>
        </is>
      </c>
      <c r="G79" s="168" t="n"/>
      <c r="H79" s="168" t="n"/>
      <c r="I79" s="168" t="n"/>
      <c r="J79" s="168" t="n"/>
      <c r="K79" s="169" t="n"/>
    </row>
    <row r="80" ht="18" customHeight="1" s="28">
      <c r="A80" s="160" t="inlineStr">
        <is>
          <t>−15 to −5</t>
        </is>
      </c>
      <c r="B80" s="161" t="inlineStr"/>
      <c r="C80" s="169" t="n"/>
      <c r="D80" s="162" t="inlineStr">
        <is>
          <t>Mild Weakening</t>
        </is>
      </c>
      <c r="E80" s="169" t="n"/>
      <c r="F80" s="163" t="inlineStr">
        <is>
          <t>Last-half stats deteriorating slightly. Influence beginning to wane. Consider tighter stops or reduced size.</t>
        </is>
      </c>
      <c r="G80" s="168" t="n"/>
      <c r="H80" s="168" t="n"/>
      <c r="I80" s="168" t="n"/>
      <c r="J80" s="168" t="n"/>
      <c r="K80" s="169" t="n"/>
    </row>
    <row r="81" ht="18" customHeight="1" s="28">
      <c r="A81" s="164" t="inlineStr">
        <is>
          <t>&lt; −15</t>
        </is>
      </c>
      <c r="B81" s="165" t="inlineStr"/>
      <c r="C81" s="169" t="n"/>
      <c r="D81" s="132" t="inlineStr">
        <is>
          <t>WEAKENING</t>
        </is>
      </c>
      <c r="E81" s="169" t="n"/>
      <c r="F81" s="166" t="inlineStr">
        <is>
          <t>Stat B materially weaker across multiple dimensions. Base_FL/EDT influence is fading in recent bars. Price may be breaking free from regression anchor.</t>
        </is>
      </c>
      <c r="G81" s="168" t="n"/>
      <c r="H81" s="168" t="n"/>
      <c r="I81" s="168" t="n"/>
      <c r="J81" s="168" t="n"/>
      <c r="K81" s="169" t="n"/>
    </row>
    <row r="82" ht="8" customHeight="1" s="28"/>
    <row r="83" ht="20" customHeight="1" s="28">
      <c r="A83" s="96" t="inlineStr">
        <is>
          <t xml:space="preserve">  Python Development Reference — Key Formulas &amp; Logic</t>
        </is>
      </c>
    </row>
    <row r="84" ht="28" customHeight="1" s="28">
      <c r="A84" s="119" t="inlineStr">
        <is>
          <t>Guard Conditions</t>
        </is>
      </c>
      <c r="B84" s="169" t="n"/>
      <c r="C84" s="167" t="inlineStr">
        <is>
          <t>def get_status(n, min_n):      return 'EXCLUDED' if n&lt;min_n else 'CAUTION' if n&lt;min_n*1.5 else 'VALID'</t>
        </is>
      </c>
      <c r="D84" s="168" t="n"/>
      <c r="E84" s="168" t="n"/>
      <c r="F84" s="168" t="n"/>
      <c r="G84" s="168" t="n"/>
      <c r="H84" s="168" t="n"/>
      <c r="I84" s="168" t="n"/>
      <c r="J84" s="168" t="n"/>
      <c r="K84" s="169" t="n"/>
    </row>
    <row r="85" ht="28" customHeight="1" s="28">
      <c r="A85" s="94" t="inlineStr">
        <is>
          <t>Norm Signal</t>
        </is>
      </c>
      <c r="B85" s="169" t="n"/>
      <c r="C85" s="167" t="inlineStr">
        <is>
          <t>def norm_signal(a, b, stat):      # r2→higher better; mse,hom,hl→lower better; vr→closer to 1; skew→closer to 0; kurt→closer to 3      raw = ...  ;  return max(-1.0, min(1.0, raw))</t>
        </is>
      </c>
      <c r="D85" s="168" t="n"/>
      <c r="E85" s="168" t="n"/>
      <c r="F85" s="168" t="n"/>
      <c r="G85" s="168" t="n"/>
      <c r="H85" s="168" t="n"/>
      <c r="I85" s="168" t="n"/>
      <c r="J85" s="168" t="n"/>
      <c r="K85" s="169" t="n"/>
    </row>
    <row r="86" ht="28" customHeight="1" s="28">
      <c r="A86" s="119" t="inlineStr">
        <is>
          <t>Composite</t>
        </is>
      </c>
      <c r="B86" s="169" t="n"/>
      <c r="C86" s="167" t="inlineStr">
        <is>
          <t>valid_w = sum(w[k] for k in stats if status_b[k]!='EXCLUDED')  comp    = sum(signal[k]*w[k] for k in stats if status_b[k]!='EXCLUDED') / valid_w * 100</t>
        </is>
      </c>
      <c r="D86" s="168" t="n"/>
      <c r="E86" s="168" t="n"/>
      <c r="F86" s="168" t="n"/>
      <c r="G86" s="168" t="n"/>
      <c r="H86" s="168" t="n"/>
      <c r="I86" s="168" t="n"/>
      <c r="J86" s="168" t="n"/>
      <c r="K86" s="169" t="n"/>
    </row>
    <row r="87" ht="28" customHeight="1" s="28">
      <c r="A87" s="94" t="inlineStr">
        <is>
          <t>MIN_N dict</t>
        </is>
      </c>
      <c r="B87" s="169" t="n"/>
      <c r="C87" s="167" t="inlineStr">
        <is>
          <t>MIN_N = {'r2':20,'mse':10,'vr':40,'skew':20,'kurt':20,           'norm_sw':30,'norm_jb':200,'hom_bp':50,'hom_wt':100,'hl':30}</t>
        </is>
      </c>
      <c r="D87" s="168" t="n"/>
      <c r="E87" s="168" t="n"/>
      <c r="F87" s="168" t="n"/>
      <c r="G87" s="168" t="n"/>
      <c r="H87" s="168" t="n"/>
      <c r="I87" s="168" t="n"/>
      <c r="J87" s="168" t="n"/>
      <c r="K87" s="169" t="n"/>
    </row>
    <row r="88" ht="28" customHeight="1" s="28">
      <c r="A88" s="119" t="inlineStr">
        <is>
          <t>Weights dict</t>
        </is>
      </c>
      <c r="B88" s="169" t="n"/>
      <c r="C88" s="167" t="inlineStr">
        <is>
          <t>WEIGHTS = {'hl':0.30,'hom':0.20,'r2':0.20,'vr':0.10,             'norm':0.07,'skew':0.05,'mse':0.05,'kurt':0.03}</t>
        </is>
      </c>
      <c r="D88" s="168" t="n"/>
      <c r="E88" s="168" t="n"/>
      <c r="F88" s="168" t="n"/>
      <c r="G88" s="168" t="n"/>
      <c r="H88" s="168" t="n"/>
      <c r="I88" s="168" t="n"/>
      <c r="J88" s="168" t="n"/>
      <c r="K88" s="169" t="n"/>
    </row>
    <row r="89" ht="28" customHeight="1" s="28">
      <c r="A89" s="94" t="inlineStr">
        <is>
          <t>AR(1) Half-Life</t>
        </is>
      </c>
      <c r="B89" s="169" t="n"/>
      <c r="C89" s="167" t="inlineStr">
        <is>
          <t>alpha = OLS(delta_e ~ e_lag).coef   ;   half_life = -ln(2) / ln(1 + alpha)</t>
        </is>
      </c>
      <c r="D89" s="168" t="n"/>
      <c r="E89" s="168" t="n"/>
      <c r="F89" s="168" t="n"/>
      <c r="G89" s="168" t="n"/>
      <c r="H89" s="168" t="n"/>
      <c r="I89" s="168" t="n"/>
      <c r="J89" s="168" t="n"/>
      <c r="K89" s="169" t="n"/>
    </row>
    <row r="90" ht="28" customHeight="1" s="28">
      <c r="A90" s="119" t="inlineStr">
        <is>
          <t>Adaptive Test Select</t>
        </is>
      </c>
      <c r="B90" s="169" t="n"/>
      <c r="C90" s="167" t="inlineStr">
        <is>
          <t>norm_test = 'SW' if n&lt;200 else 'JB'   ;   hom_test = 'BP' if n&lt;100 else 'White'</t>
        </is>
      </c>
      <c r="D90" s="168" t="n"/>
      <c r="E90" s="168" t="n"/>
      <c r="F90" s="168" t="n"/>
      <c r="G90" s="168" t="n"/>
      <c r="H90" s="168" t="n"/>
      <c r="I90" s="168" t="n"/>
      <c r="J90" s="168" t="n"/>
      <c r="K90" s="169" t="n"/>
    </row>
  </sheetData>
  <mergeCells count="173">
    <mergeCell ref="E26"/>
    <mergeCell ref="H27:K27"/>
    <mergeCell ref="F29:G29"/>
    <mergeCell ref="E57"/>
    <mergeCell ref="B22:C22"/>
    <mergeCell ref="E23:F23"/>
    <mergeCell ref="A88:B88"/>
    <mergeCell ref="D14"/>
    <mergeCell ref="K57"/>
    <mergeCell ref="H33:K33"/>
    <mergeCell ref="C57"/>
    <mergeCell ref="A70:K70"/>
    <mergeCell ref="B77:C77"/>
    <mergeCell ref="B21:C21"/>
    <mergeCell ref="D77:E77"/>
    <mergeCell ref="H26:K26"/>
    <mergeCell ref="A90:B90"/>
    <mergeCell ref="H35:K35"/>
    <mergeCell ref="A41:K41"/>
    <mergeCell ref="B14:C14"/>
    <mergeCell ref="C42"/>
    <mergeCell ref="H67:K67"/>
    <mergeCell ref="E42"/>
    <mergeCell ref="A27:B27"/>
    <mergeCell ref="G42"/>
    <mergeCell ref="A56:K56"/>
    <mergeCell ref="F77:K77"/>
    <mergeCell ref="B78:C78"/>
    <mergeCell ref="G15:K15"/>
    <mergeCell ref="D78:E78"/>
    <mergeCell ref="F72:G72"/>
    <mergeCell ref="A33:B33"/>
    <mergeCell ref="A85:B85"/>
    <mergeCell ref="A2:K2"/>
    <mergeCell ref="D57"/>
    <mergeCell ref="F53:K53"/>
    <mergeCell ref="F71:G71"/>
    <mergeCell ref="A35:B35"/>
    <mergeCell ref="H52:K52"/>
    <mergeCell ref="G16:K16"/>
    <mergeCell ref="A28:B28"/>
    <mergeCell ref="E22:F22"/>
    <mergeCell ref="H72:K72"/>
    <mergeCell ref="A30:B30"/>
    <mergeCell ref="B16:C16"/>
    <mergeCell ref="F80:K80"/>
    <mergeCell ref="F34:G34"/>
    <mergeCell ref="F79:K79"/>
    <mergeCell ref="E14:F14"/>
    <mergeCell ref="A52:G52"/>
    <mergeCell ref="B18:C18"/>
    <mergeCell ref="H42"/>
    <mergeCell ref="H71:K71"/>
    <mergeCell ref="J42"/>
    <mergeCell ref="A87:B87"/>
    <mergeCell ref="C90:K90"/>
    <mergeCell ref="F81:K81"/>
    <mergeCell ref="F30:G30"/>
    <mergeCell ref="D76:E76"/>
    <mergeCell ref="A15"/>
    <mergeCell ref="F33:G33"/>
    <mergeCell ref="A89:B89"/>
    <mergeCell ref="E71"/>
    <mergeCell ref="D53:E53"/>
    <mergeCell ref="A26:B26"/>
    <mergeCell ref="D7:K7"/>
    <mergeCell ref="C26"/>
    <mergeCell ref="H34:K34"/>
    <mergeCell ref="G14:K14"/>
    <mergeCell ref="A16"/>
    <mergeCell ref="F31:G31"/>
    <mergeCell ref="F28:G28"/>
    <mergeCell ref="G57"/>
    <mergeCell ref="C86:K86"/>
    <mergeCell ref="H36:K36"/>
    <mergeCell ref="B15:C15"/>
    <mergeCell ref="E16:F16"/>
    <mergeCell ref="D8:K8"/>
    <mergeCell ref="A18"/>
    <mergeCell ref="F68:K68"/>
    <mergeCell ref="B80:C80"/>
    <mergeCell ref="A42"/>
    <mergeCell ref="B79:C79"/>
    <mergeCell ref="E18:F18"/>
    <mergeCell ref="D79:E79"/>
    <mergeCell ref="A34:B34"/>
    <mergeCell ref="D71"/>
    <mergeCell ref="C85:K85"/>
    <mergeCell ref="F73:G73"/>
    <mergeCell ref="H28:K28"/>
    <mergeCell ref="A83:K83"/>
    <mergeCell ref="A22"/>
    <mergeCell ref="H57"/>
    <mergeCell ref="B81:C81"/>
    <mergeCell ref="C84:K84"/>
    <mergeCell ref="D81:E81"/>
    <mergeCell ref="A20"/>
    <mergeCell ref="A36:B36"/>
    <mergeCell ref="D42"/>
    <mergeCell ref="A1:K1"/>
    <mergeCell ref="G17:K17"/>
    <mergeCell ref="A14"/>
    <mergeCell ref="F57"/>
    <mergeCell ref="E20:F20"/>
    <mergeCell ref="A67:G67"/>
    <mergeCell ref="D6:K6"/>
    <mergeCell ref="D11:K11"/>
    <mergeCell ref="G19:K19"/>
    <mergeCell ref="F36:G36"/>
    <mergeCell ref="B17:C17"/>
    <mergeCell ref="J57"/>
    <mergeCell ref="A37:K37"/>
    <mergeCell ref="E15:F15"/>
    <mergeCell ref="I57"/>
    <mergeCell ref="B19:C19"/>
    <mergeCell ref="A32:B32"/>
    <mergeCell ref="F42"/>
    <mergeCell ref="E21:F21"/>
    <mergeCell ref="B20:C20"/>
    <mergeCell ref="B76:C76"/>
    <mergeCell ref="A71"/>
    <mergeCell ref="C88:K88"/>
    <mergeCell ref="C71"/>
    <mergeCell ref="A76"/>
    <mergeCell ref="I42"/>
    <mergeCell ref="A40:K40"/>
    <mergeCell ref="K42"/>
    <mergeCell ref="A17"/>
    <mergeCell ref="G21:K21"/>
    <mergeCell ref="F76:K76"/>
    <mergeCell ref="D10:K10"/>
    <mergeCell ref="D80:E80"/>
    <mergeCell ref="E17:F17"/>
    <mergeCell ref="A19"/>
    <mergeCell ref="G23:K23"/>
    <mergeCell ref="D26"/>
    <mergeCell ref="H30:K30"/>
    <mergeCell ref="E19:F19"/>
    <mergeCell ref="A25:K25"/>
    <mergeCell ref="B23:C23"/>
    <mergeCell ref="A84:B84"/>
    <mergeCell ref="H29:K29"/>
    <mergeCell ref="F32:G32"/>
    <mergeCell ref="A53:C53"/>
    <mergeCell ref="F26:G26"/>
    <mergeCell ref="A75:K75"/>
    <mergeCell ref="G18:K18"/>
    <mergeCell ref="F35:G35"/>
    <mergeCell ref="B71"/>
    <mergeCell ref="A68:C68"/>
    <mergeCell ref="A86:B86"/>
    <mergeCell ref="A3:K3"/>
    <mergeCell ref="H31:K31"/>
    <mergeCell ref="A55:K55"/>
    <mergeCell ref="B42"/>
    <mergeCell ref="C87:K87"/>
    <mergeCell ref="H73:K73"/>
    <mergeCell ref="F27:G27"/>
    <mergeCell ref="A5:K5"/>
    <mergeCell ref="F78:K78"/>
    <mergeCell ref="B57"/>
    <mergeCell ref="D9:K9"/>
    <mergeCell ref="A29:B29"/>
    <mergeCell ref="G20:K20"/>
    <mergeCell ref="D68:E68"/>
    <mergeCell ref="A21"/>
    <mergeCell ref="C89:K89"/>
    <mergeCell ref="A57"/>
    <mergeCell ref="H32:K32"/>
    <mergeCell ref="A13:K13"/>
    <mergeCell ref="A31:B31"/>
    <mergeCell ref="G22:K22"/>
    <mergeCell ref="A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0" customWidth="1" style="28" min="1" max="1"/>
    <col width="20" customWidth="1" style="28" min="2" max="2"/>
  </cols>
  <sheetData>
    <row r="1" ht="26" customHeight="1" s="28">
      <c r="A1" s="170" t="inlineStr">
        <is>
          <t>STATISTIC 2 — V3894 Dataset Summary</t>
        </is>
      </c>
    </row>
    <row r="2">
      <c r="A2" s="171" t="inlineStr">
        <is>
          <t>XAUUSD M15  |  DavinTrade_V3894_Data_XAUUSD_M15.txt</t>
        </is>
      </c>
    </row>
    <row r="3" ht="8" customHeight="1" s="28"/>
    <row r="4" ht="18" customHeight="1" s="28">
      <c r="A4" s="172" t="inlineStr">
        <is>
          <t>Export Parameters</t>
        </is>
      </c>
    </row>
    <row r="5" ht="16" customHeight="1" s="28">
      <c r="A5" s="173" t="inlineStr">
        <is>
          <t>Regression Centroids (Box B)</t>
        </is>
      </c>
      <c r="B5" s="174" t="inlineStr">
        <is>
          <t>4</t>
        </is>
      </c>
    </row>
    <row r="6" ht="16" customHeight="1" s="28">
      <c r="A6" s="175" t="inlineStr">
        <is>
          <t>Excluded Recent Centroids (Box A)</t>
        </is>
      </c>
      <c r="B6" s="176" t="inlineStr">
        <is>
          <t>2</t>
        </is>
      </c>
    </row>
    <row r="7" ht="16" customHeight="1" s="28">
      <c r="A7" s="173" t="inlineStr">
        <is>
          <t>Math Search Window (Bars)</t>
        </is>
      </c>
      <c r="B7" s="174" t="inlineStr">
        <is>
          <t>3,000</t>
        </is>
      </c>
    </row>
    <row r="8" ht="16" customHeight="1" s="28">
      <c r="A8" s="175" t="inlineStr">
        <is>
          <t>Visual EDT Window (Bars)</t>
        </is>
      </c>
      <c r="B8" s="176" t="inlineStr">
        <is>
          <t>1,496</t>
        </is>
      </c>
    </row>
    <row r="9" ht="16" customHeight="1" s="28">
      <c r="A9" s="173" t="inlineStr">
        <is>
          <t>Observation Window / Sample B (n)</t>
        </is>
      </c>
      <c r="B9" s="174" t="inlineStr">
        <is>
          <t>1,135</t>
        </is>
      </c>
    </row>
    <row r="10" ht="16" customHeight="1" s="28">
      <c r="A10" s="175" t="inlineStr">
        <is>
          <t>Total Crossings / Sample A (n)</t>
        </is>
      </c>
      <c r="B10" s="176" t="inlineStr">
        <is>
          <t>107</t>
        </is>
      </c>
    </row>
    <row r="11" ht="16" customHeight="1" s="28">
      <c r="A11" s="173" t="inlineStr">
        <is>
          <t>Timeframe</t>
        </is>
      </c>
      <c r="B11" s="174" t="inlineStr">
        <is>
          <t>M15 (900 sec)</t>
        </is>
      </c>
    </row>
    <row r="12" ht="16" customHeight="1" s="28">
      <c r="A12" s="175" t="inlineStr">
        <is>
          <t>Raw Slope (b)</t>
        </is>
      </c>
      <c r="B12" s="176" t="inlineStr">
        <is>
          <t>-0.26760</t>
        </is>
      </c>
    </row>
    <row r="13" ht="16" customHeight="1" s="28">
      <c r="A13" s="173" t="inlineStr">
        <is>
          <t>Regression Angle</t>
        </is>
      </c>
      <c r="B13" s="174" t="inlineStr">
        <is>
          <t>-29.73°</t>
        </is>
      </c>
    </row>
    <row r="14" ht="16" customHeight="1" s="28">
      <c r="A14" s="175" t="inlineStr">
        <is>
          <t>Anchored Y-Intercept</t>
        </is>
      </c>
      <c r="B14" s="176" t="inlineStr">
        <is>
          <t>4,417.30201</t>
        </is>
      </c>
    </row>
    <row r="15" ht="8" customHeight="1" s="28"/>
    <row r="16" ht="18" customHeight="1" s="28">
      <c r="A16" s="172" t="inlineStr">
        <is>
          <t>MODEL A — SSA Crossings (n = 107)</t>
        </is>
      </c>
    </row>
    <row r="17" ht="16" customHeight="1" s="28">
      <c r="A17" s="177" t="inlineStr">
        <is>
          <t>Sample (n)</t>
        </is>
      </c>
      <c r="B17" s="178" t="inlineStr">
        <is>
          <t>107</t>
        </is>
      </c>
    </row>
    <row r="18" ht="16" customHeight="1" s="28">
      <c r="A18" s="179" t="inlineStr">
        <is>
          <t>OLS R-Square (ssa ~ bar_idx)</t>
        </is>
      </c>
      <c r="B18" s="180" t="inlineStr">
        <is>
          <t>0.8568</t>
        </is>
      </c>
    </row>
    <row r="19" ht="16" customHeight="1" s="28">
      <c r="A19" s="177" t="inlineStr">
        <is>
          <t>OLS Intercept</t>
        </is>
      </c>
      <c r="B19" s="178" t="inlineStr">
        <is>
          <t>4834.5505</t>
        </is>
      </c>
    </row>
    <row r="20" ht="16" customHeight="1" s="28">
      <c r="A20" s="179" t="inlineStr">
        <is>
          <t>OLS Slope</t>
        </is>
      </c>
      <c r="B20" s="180" t="inlineStr">
        <is>
          <t>-0.260122</t>
        </is>
      </c>
    </row>
    <row r="21" ht="16" customHeight="1" s="28">
      <c r="A21" s="177" t="inlineStr">
        <is>
          <t>MSE (OLS residuals)</t>
        </is>
      </c>
      <c r="B21" s="178" t="inlineStr">
        <is>
          <t>1267.5784</t>
        </is>
      </c>
    </row>
    <row r="22" ht="16" customHeight="1" s="28">
      <c r="A22" s="179" t="inlineStr">
        <is>
          <t>MSE (Base_FL residuals)</t>
        </is>
      </c>
      <c r="B22" s="180" t="inlineStr">
        <is>
          <t>1722.1930</t>
        </is>
      </c>
    </row>
    <row r="23" ht="16" customHeight="1" s="28">
      <c r="A23" s="177" t="inlineStr">
        <is>
          <t>R² (Base_FL as fitted line)</t>
        </is>
      </c>
      <c r="B23" s="178" t="inlineStr">
        <is>
          <t>0.8055</t>
        </is>
      </c>
    </row>
    <row r="24" ht="16" customHeight="1" s="28">
      <c r="A24" s="179" t="inlineStr">
        <is>
          <t>Variance Ratio</t>
        </is>
      </c>
      <c r="B24" s="180" t="inlineStr">
        <is>
          <t>0.5128</t>
        </is>
      </c>
    </row>
    <row r="25" ht="16" customHeight="1" s="28">
      <c r="A25" s="177" t="inlineStr">
        <is>
          <t>Skewness</t>
        </is>
      </c>
      <c r="B25" s="178" t="inlineStr">
        <is>
          <t>-0.2081</t>
        </is>
      </c>
    </row>
    <row r="26" ht="16" customHeight="1" s="28">
      <c r="A26" s="179" t="inlineStr">
        <is>
          <t>Kurtosis (Pearson)</t>
        </is>
      </c>
      <c r="B26" s="180" t="inlineStr">
        <is>
          <t>2.2149</t>
        </is>
      </c>
    </row>
    <row r="27" ht="16" customHeight="1" s="28">
      <c r="A27" s="177" t="inlineStr">
        <is>
          <t>AR(1) Half-Life (bars)</t>
        </is>
      </c>
      <c r="B27" s="178" t="inlineStr">
        <is>
          <t>2.8205</t>
        </is>
      </c>
    </row>
    <row r="28" ht="16" customHeight="1" s="28">
      <c r="A28" s="179" t="inlineStr">
        <is>
          <t>Shapiro-Wilk W (OLS resid)</t>
        </is>
      </c>
      <c r="B28" s="180" t="inlineStr">
        <is>
          <t>0.977608</t>
        </is>
      </c>
    </row>
    <row r="29" ht="16" customHeight="1" s="28">
      <c r="A29" s="177" t="inlineStr">
        <is>
          <t>Shapiro-Wilk p (OLS resid)</t>
        </is>
      </c>
      <c r="B29" s="178" t="inlineStr">
        <is>
          <t>6.7548e-02</t>
        </is>
      </c>
    </row>
    <row r="30" ht="16" customHeight="1" s="28">
      <c r="A30" s="179" t="inlineStr">
        <is>
          <t>Shapiro-Wilk W (Base_FL resid)</t>
        </is>
      </c>
      <c r="B30" s="180" t="inlineStr">
        <is>
          <t>0.978948</t>
        </is>
      </c>
    </row>
    <row r="31" ht="16" customHeight="1" s="28">
      <c r="A31" s="177" t="inlineStr">
        <is>
          <t>Shapiro-Wilk p (Base_FL resid)</t>
        </is>
      </c>
      <c r="B31" s="178" t="inlineStr">
        <is>
          <t>8.7400e-02</t>
        </is>
      </c>
    </row>
    <row r="32" ht="16" customHeight="1" s="28">
      <c r="A32" s="179" t="inlineStr">
        <is>
          <t>Breusch-Pagan LM (OLS resid)</t>
        </is>
      </c>
      <c r="B32" s="180" t="inlineStr">
        <is>
          <t>3.8644</t>
        </is>
      </c>
    </row>
    <row r="33" ht="16" customHeight="1" s="28">
      <c r="A33" s="177" t="inlineStr">
        <is>
          <t>Breusch-Pagan p (OLS resid)</t>
        </is>
      </c>
      <c r="B33" s="178" t="inlineStr">
        <is>
          <t>4.9320e-02</t>
        </is>
      </c>
    </row>
    <row r="34" ht="16" customHeight="1" s="28">
      <c r="A34" s="179" t="inlineStr">
        <is>
          <t>Breusch-Pagan LM (Base_FL resid)</t>
        </is>
      </c>
      <c r="B34" s="180" t="inlineStr">
        <is>
          <t>4.4267</t>
        </is>
      </c>
    </row>
    <row r="35" ht="16" customHeight="1" s="28">
      <c r="A35" s="177" t="inlineStr">
        <is>
          <t>Breusch-Pagan p (Base_FL resid)</t>
        </is>
      </c>
      <c r="B35" s="178" t="inlineStr">
        <is>
          <t>3.5382e-02</t>
        </is>
      </c>
    </row>
    <row r="36" ht="8" customHeight="1" s="28"/>
    <row r="37" ht="18" customHeight="1" s="28">
      <c r="A37" s="172" t="inlineStr">
        <is>
          <t>MODEL B — All Bars (n = 1,135)</t>
        </is>
      </c>
    </row>
    <row r="38" ht="16" customHeight="1" s="28">
      <c r="A38" s="177" t="inlineStr">
        <is>
          <t>Sample (n)</t>
        </is>
      </c>
      <c r="B38" s="178" t="inlineStr">
        <is>
          <t>1135</t>
        </is>
      </c>
    </row>
    <row r="39" ht="16" customHeight="1" s="28">
      <c r="A39" s="179" t="inlineStr">
        <is>
          <t>OLS R-Square (close ~ bar_idx)</t>
        </is>
      </c>
      <c r="B39" s="180" t="inlineStr">
        <is>
          <t>0.8506</t>
        </is>
      </c>
    </row>
    <row r="40" ht="16" customHeight="1" s="28">
      <c r="A40" s="177" t="inlineStr">
        <is>
          <t>OLS Intercept</t>
        </is>
      </c>
      <c r="B40" s="178" t="inlineStr">
        <is>
          <t>4830.2333</t>
        </is>
      </c>
    </row>
    <row r="41" ht="16" customHeight="1" s="28">
      <c r="A41" s="179" t="inlineStr">
        <is>
          <t>OLS Slope</t>
        </is>
      </c>
      <c r="B41" s="180" t="inlineStr">
        <is>
          <t>-0.253895</t>
        </is>
      </c>
    </row>
    <row r="42" ht="16" customHeight="1" s="28">
      <c r="A42" s="177" t="inlineStr">
        <is>
          <t>MSE (OLS residuals)</t>
        </is>
      </c>
      <c r="B42" s="178" t="inlineStr">
        <is>
          <t>1215.0339</t>
        </is>
      </c>
    </row>
    <row r="43" ht="16" customHeight="1" s="28">
      <c r="A43" s="179" t="inlineStr">
        <is>
          <t>MSE (Base_FL residuals)</t>
        </is>
      </c>
      <c r="B43" s="180" t="inlineStr">
        <is>
          <t>1661.0493</t>
        </is>
      </c>
    </row>
    <row r="44" ht="16" customHeight="1" s="28">
      <c r="A44" s="177" t="inlineStr">
        <is>
          <t>R² (Base_FL as fitted line)</t>
        </is>
      </c>
      <c r="B44" s="178" t="inlineStr">
        <is>
          <t>0.7958</t>
        </is>
      </c>
    </row>
    <row r="45" ht="16" customHeight="1" s="28">
      <c r="A45" s="179" t="inlineStr">
        <is>
          <t>Variance Ratio</t>
        </is>
      </c>
      <c r="B45" s="180" t="inlineStr">
        <is>
          <t>0.4353</t>
        </is>
      </c>
    </row>
    <row r="46" ht="16" customHeight="1" s="28">
      <c r="A46" s="177" t="inlineStr">
        <is>
          <t>Skewness</t>
        </is>
      </c>
      <c r="B46" s="178" t="inlineStr">
        <is>
          <t>-0.2198</t>
        </is>
      </c>
    </row>
    <row r="47" ht="16" customHeight="1" s="28">
      <c r="A47" s="179" t="inlineStr">
        <is>
          <t>Kurtosis (Pearson)</t>
        </is>
      </c>
      <c r="B47" s="180" t="inlineStr">
        <is>
          <t>2.3299</t>
        </is>
      </c>
    </row>
    <row r="48" ht="16" customHeight="1" s="28">
      <c r="A48" s="177" t="inlineStr">
        <is>
          <t>AR(1) Half-Life (bars)</t>
        </is>
      </c>
      <c r="B48" s="178" t="inlineStr">
        <is>
          <t>48.6347</t>
        </is>
      </c>
    </row>
    <row r="49" ht="16" customHeight="1" s="28">
      <c r="A49" s="179" t="inlineStr">
        <is>
          <t>Jarque-Bera stat (OLS resid)</t>
        </is>
      </c>
      <c r="B49" s="180" t="inlineStr">
        <is>
          <t>34.5546</t>
        </is>
      </c>
    </row>
    <row r="50" ht="16" customHeight="1" s="28">
      <c r="A50" s="177" t="inlineStr">
        <is>
          <t>Jarque-Bera p (OLS resid)</t>
        </is>
      </c>
      <c r="B50" s="178" t="inlineStr">
        <is>
          <t>3.1373e-08</t>
        </is>
      </c>
    </row>
    <row r="51" ht="16" customHeight="1" s="28">
      <c r="A51" s="179" t="inlineStr">
        <is>
          <t>Jarque-Bera stat (Base_FL resid)</t>
        </is>
      </c>
      <c r="B51" s="180" t="inlineStr">
        <is>
          <t>30.3779</t>
        </is>
      </c>
    </row>
    <row r="52" ht="16" customHeight="1" s="28">
      <c r="A52" s="177" t="inlineStr">
        <is>
          <t>Jarque-Bera p (Base_FL resid)</t>
        </is>
      </c>
      <c r="B52" s="178" t="inlineStr">
        <is>
          <t>2.5324e-07</t>
        </is>
      </c>
    </row>
    <row r="53" ht="16" customHeight="1" s="28">
      <c r="A53" s="179" t="inlineStr">
        <is>
          <t>White Test LM (OLS resid)</t>
        </is>
      </c>
      <c r="B53" s="180" t="inlineStr">
        <is>
          <t>58.3479</t>
        </is>
      </c>
    </row>
    <row r="54" ht="16" customHeight="1" s="28">
      <c r="A54" s="177" t="inlineStr">
        <is>
          <t>White Test p (OLS resid)</t>
        </is>
      </c>
      <c r="B54" s="178" t="inlineStr">
        <is>
          <t>2.1376e-13</t>
        </is>
      </c>
    </row>
    <row r="55" ht="16" customHeight="1" s="28">
      <c r="A55" s="179" t="inlineStr">
        <is>
          <t>White Test LM (Base_FL resid)</t>
        </is>
      </c>
      <c r="B55" s="180" t="inlineStr">
        <is>
          <t>136.0516</t>
        </is>
      </c>
    </row>
    <row r="56" ht="16" customHeight="1" s="28">
      <c r="A56" s="177" t="inlineStr">
        <is>
          <t>White Test p (Base_FL resid)</t>
        </is>
      </c>
      <c r="B56" s="178" t="inlineStr">
        <is>
          <t>2.8627e-30</t>
        </is>
      </c>
    </row>
  </sheetData>
  <mergeCells count="5">
    <mergeCell ref="A4:B4"/>
    <mergeCell ref="A16:B16"/>
    <mergeCell ref="A2:B2"/>
    <mergeCell ref="A37:B37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8" min="1" max="1"/>
    <col width="8" customWidth="1" style="28" min="2" max="2"/>
    <col width="10" customWidth="1" style="28" min="3" max="3"/>
    <col width="10" customWidth="1" style="28" min="4" max="4"/>
    <col width="12" customWidth="1" style="28" min="5" max="5"/>
    <col width="12" customWidth="1" style="28" min="6" max="6"/>
    <col width="12" customWidth="1" style="28" min="7" max="7"/>
    <col width="9" customWidth="1" style="28" min="8" max="8"/>
    <col width="10" customWidth="1" style="28" min="9" max="9"/>
    <col width="12" customWidth="1" style="28" min="10" max="10"/>
    <col width="12" customWidth="1" style="28" min="11" max="11"/>
  </cols>
  <sheetData>
    <row r="1" ht="20" customHeight="1" s="28">
      <c r="A1" s="62" t="inlineStr">
        <is>
          <t>Timestamp</t>
        </is>
      </c>
      <c r="B1" s="62" t="inlineStr">
        <is>
          <t>Symbol</t>
        </is>
      </c>
      <c r="C1" s="62" t="inlineStr">
        <is>
          <t>Timeframe</t>
        </is>
      </c>
      <c r="D1" s="62" t="inlineStr">
        <is>
          <t>Close</t>
        </is>
      </c>
      <c r="E1" s="62" t="inlineStr">
        <is>
          <t>Base_FL</t>
        </is>
      </c>
      <c r="F1" s="62" t="inlineStr">
        <is>
          <t>SSA</t>
        </is>
      </c>
      <c r="G1" s="62" t="inlineStr">
        <is>
          <t>EMA_SSA</t>
        </is>
      </c>
      <c r="H1" s="62" t="inlineStr">
        <is>
          <t>Crossing</t>
        </is>
      </c>
      <c r="I1" s="62" t="inlineStr">
        <is>
          <t>Bar Index</t>
        </is>
      </c>
      <c r="J1" s="62" t="inlineStr">
        <is>
          <t>Resid OLS B</t>
        </is>
      </c>
      <c r="K1" s="62" t="inlineStr">
        <is>
          <t>Resid FL B</t>
        </is>
      </c>
    </row>
    <row r="2" ht="15" customHeight="1" s="28">
      <c r="A2" s="181" t="n">
        <v>1776351602</v>
      </c>
      <c r="B2" s="181" t="inlineStr">
        <is>
          <t>XAUUSD</t>
        </is>
      </c>
      <c r="C2" s="181" t="inlineStr">
        <is>
          <t>M15</t>
        </is>
      </c>
      <c r="D2" s="181" t="n">
        <v>4806.71</v>
      </c>
      <c r="E2" s="181" t="n">
        <v>4817.37013</v>
      </c>
      <c r="F2" s="181" t="n">
        <v>4798.97491</v>
      </c>
      <c r="G2" s="181" t="n">
        <v>4798.29464</v>
      </c>
      <c r="H2" s="181" t="n">
        <v>1</v>
      </c>
      <c r="I2" s="181" t="n">
        <v>0</v>
      </c>
      <c r="J2" s="181" t="n">
        <v>-23.5233</v>
      </c>
      <c r="K2" s="181" t="n">
        <v>-10.6601</v>
      </c>
    </row>
    <row r="3" ht="15" customHeight="1" s="28">
      <c r="A3" s="182" t="n">
        <v>1776352502</v>
      </c>
      <c r="B3" s="182" t="inlineStr">
        <is>
          <t>XAUUSD</t>
        </is>
      </c>
      <c r="C3" s="182" t="inlineStr">
        <is>
          <t>M15</t>
        </is>
      </c>
      <c r="D3" s="182" t="n">
        <v>4802.1</v>
      </c>
      <c r="E3" s="182" t="n">
        <v>4817.10252</v>
      </c>
      <c r="F3" s="182" t="n">
        <v>4800.8624</v>
      </c>
      <c r="G3" s="182" t="n">
        <v>4799.57852</v>
      </c>
      <c r="H3" s="182" t="n">
        <v>0</v>
      </c>
      <c r="I3" s="182" t="n">
        <v>1</v>
      </c>
      <c r="J3" s="182" t="n">
        <v>-27.8794</v>
      </c>
      <c r="K3" s="182" t="n">
        <v>-15.0025</v>
      </c>
    </row>
    <row r="4" ht="15" customHeight="1" s="28">
      <c r="A4" s="181" t="n">
        <v>1776353402</v>
      </c>
      <c r="B4" s="181" t="inlineStr">
        <is>
          <t>XAUUSD</t>
        </is>
      </c>
      <c r="C4" s="181" t="inlineStr">
        <is>
          <t>M15</t>
        </is>
      </c>
      <c r="D4" s="181" t="n">
        <v>4802.98</v>
      </c>
      <c r="E4" s="181" t="n">
        <v>4816.83492</v>
      </c>
      <c r="F4" s="181" t="n">
        <v>4802.26499</v>
      </c>
      <c r="G4" s="181" t="n">
        <v>4800.92176</v>
      </c>
      <c r="H4" s="181" t="n">
        <v>0</v>
      </c>
      <c r="I4" s="181" t="n">
        <v>2</v>
      </c>
      <c r="J4" s="181" t="n">
        <v>-26.7455</v>
      </c>
      <c r="K4" s="181" t="n">
        <v>-13.8549</v>
      </c>
    </row>
    <row r="5" ht="15" customHeight="1" s="28">
      <c r="A5" s="182" t="n">
        <v>1776354302</v>
      </c>
      <c r="B5" s="182" t="inlineStr">
        <is>
          <t>XAUUSD</t>
        </is>
      </c>
      <c r="C5" s="182" t="inlineStr">
        <is>
          <t>M15</t>
        </is>
      </c>
      <c r="D5" s="182" t="n">
        <v>4807.09</v>
      </c>
      <c r="E5" s="182" t="n">
        <v>4816.56731</v>
      </c>
      <c r="F5" s="182" t="n">
        <v>4802.68904</v>
      </c>
      <c r="G5" s="182" t="n">
        <v>4801.8054</v>
      </c>
      <c r="H5" s="182" t="n">
        <v>0</v>
      </c>
      <c r="I5" s="182" t="n">
        <v>3</v>
      </c>
      <c r="J5" s="182" t="n">
        <v>-22.3816</v>
      </c>
      <c r="K5" s="182" t="n">
        <v>-9.4773</v>
      </c>
    </row>
    <row r="6" ht="15" customHeight="1" s="28">
      <c r="A6" s="181" t="n">
        <v>1776355202</v>
      </c>
      <c r="B6" s="181" t="inlineStr">
        <is>
          <t>XAUUSD</t>
        </is>
      </c>
      <c r="C6" s="181" t="inlineStr">
        <is>
          <t>M15</t>
        </is>
      </c>
      <c r="D6" s="181" t="n">
        <v>4805.02</v>
      </c>
      <c r="E6" s="181" t="n">
        <v>4816.29971</v>
      </c>
      <c r="F6" s="181" t="n">
        <v>4801.75857</v>
      </c>
      <c r="G6" s="181" t="n">
        <v>4801.78198</v>
      </c>
      <c r="H6" s="181" t="n">
        <v>1</v>
      </c>
      <c r="I6" s="181" t="n">
        <v>4</v>
      </c>
      <c r="J6" s="181" t="n">
        <v>-24.1977</v>
      </c>
      <c r="K6" s="181" t="n">
        <v>-11.2797</v>
      </c>
    </row>
    <row r="7" ht="15" customHeight="1" s="28">
      <c r="A7" s="182" t="n">
        <v>1776356102</v>
      </c>
      <c r="B7" s="182" t="inlineStr">
        <is>
          <t>XAUUSD</t>
        </is>
      </c>
      <c r="C7" s="182" t="inlineStr">
        <is>
          <t>M15</t>
        </is>
      </c>
      <c r="D7" s="182" t="n">
        <v>4799.31</v>
      </c>
      <c r="E7" s="182" t="n">
        <v>4816.03211</v>
      </c>
      <c r="F7" s="182" t="n">
        <v>4799.54366</v>
      </c>
      <c r="G7" s="182" t="n">
        <v>4800.66282</v>
      </c>
      <c r="H7" s="182" t="n">
        <v>0</v>
      </c>
      <c r="I7" s="182" t="n">
        <v>5</v>
      </c>
      <c r="J7" s="182" t="n">
        <v>-29.6538</v>
      </c>
      <c r="K7" s="182" t="n">
        <v>-16.7221</v>
      </c>
    </row>
    <row r="8" ht="15" customHeight="1" s="28">
      <c r="A8" s="181" t="n">
        <v>1776357002</v>
      </c>
      <c r="B8" s="181" t="inlineStr">
        <is>
          <t>XAUUSD</t>
        </is>
      </c>
      <c r="C8" s="181" t="inlineStr">
        <is>
          <t>M15</t>
        </is>
      </c>
      <c r="D8" s="181" t="n">
        <v>4790.11</v>
      </c>
      <c r="E8" s="181" t="n">
        <v>4815.7645</v>
      </c>
      <c r="F8" s="181" t="n">
        <v>4796.48611</v>
      </c>
      <c r="G8" s="181" t="n">
        <v>4798.57446</v>
      </c>
      <c r="H8" s="181" t="n">
        <v>0</v>
      </c>
      <c r="I8" s="181" t="n">
        <v>6</v>
      </c>
      <c r="J8" s="181" t="n">
        <v>-38.5999</v>
      </c>
      <c r="K8" s="181" t="n">
        <v>-25.6545</v>
      </c>
    </row>
    <row r="9" ht="15" customHeight="1" s="28">
      <c r="A9" s="182" t="n">
        <v>1776357902</v>
      </c>
      <c r="B9" s="182" t="inlineStr">
        <is>
          <t>XAUUSD</t>
        </is>
      </c>
      <c r="C9" s="182" t="inlineStr">
        <is>
          <t>M15</t>
        </is>
      </c>
      <c r="D9" s="182" t="n">
        <v>4791.99</v>
      </c>
      <c r="E9" s="182" t="n">
        <v>4815.4969</v>
      </c>
      <c r="F9" s="182" t="n">
        <v>4793.29138</v>
      </c>
      <c r="G9" s="182" t="n">
        <v>4795.93292</v>
      </c>
      <c r="H9" s="182" t="n">
        <v>0</v>
      </c>
      <c r="I9" s="182" t="n">
        <v>7</v>
      </c>
      <c r="J9" s="182" t="n">
        <v>-36.466</v>
      </c>
      <c r="K9" s="182" t="n">
        <v>-23.5069</v>
      </c>
    </row>
    <row r="10" ht="15" customHeight="1" s="28">
      <c r="A10" s="181" t="n">
        <v>1776358802</v>
      </c>
      <c r="B10" s="181" t="inlineStr">
        <is>
          <t>XAUUSD</t>
        </is>
      </c>
      <c r="C10" s="181" t="inlineStr">
        <is>
          <t>M15</t>
        </is>
      </c>
      <c r="D10" s="181" t="n">
        <v>4791.41</v>
      </c>
      <c r="E10" s="181" t="n">
        <v>4815.22929</v>
      </c>
      <c r="F10" s="181" t="n">
        <v>4790.37153</v>
      </c>
      <c r="G10" s="181" t="n">
        <v>4793.15223</v>
      </c>
      <c r="H10" s="181" t="n">
        <v>0</v>
      </c>
      <c r="I10" s="181" t="n">
        <v>8</v>
      </c>
      <c r="J10" s="181" t="n">
        <v>-36.7921</v>
      </c>
      <c r="K10" s="181" t="n">
        <v>-23.8193</v>
      </c>
    </row>
    <row r="11" ht="15" customHeight="1" s="28">
      <c r="A11" s="182" t="n">
        <v>1776359702</v>
      </c>
      <c r="B11" s="182" t="inlineStr">
        <is>
          <t>XAUUSD</t>
        </is>
      </c>
      <c r="C11" s="182" t="inlineStr">
        <is>
          <t>M15</t>
        </is>
      </c>
      <c r="D11" s="182" t="n">
        <v>4785.04</v>
      </c>
      <c r="E11" s="182" t="n">
        <v>4814.96169</v>
      </c>
      <c r="F11" s="182" t="n">
        <v>4788.08063</v>
      </c>
      <c r="G11" s="182" t="n">
        <v>4790.61643</v>
      </c>
      <c r="H11" s="182" t="n">
        <v>0</v>
      </c>
      <c r="I11" s="182" t="n">
        <v>9</v>
      </c>
      <c r="J11" s="182" t="n">
        <v>-42.9082</v>
      </c>
      <c r="K11" s="182" t="n">
        <v>-29.9217</v>
      </c>
    </row>
    <row r="12" ht="15" customHeight="1" s="28">
      <c r="A12" s="181" t="n">
        <v>1776360602</v>
      </c>
      <c r="B12" s="181" t="inlineStr">
        <is>
          <t>XAUUSD</t>
        </is>
      </c>
      <c r="C12" s="181" t="inlineStr">
        <is>
          <t>M15</t>
        </is>
      </c>
      <c r="D12" s="181" t="n">
        <v>4787.16</v>
      </c>
      <c r="E12" s="181" t="n">
        <v>4814.69409</v>
      </c>
      <c r="F12" s="181" t="n">
        <v>4786.79662</v>
      </c>
      <c r="G12" s="181" t="n">
        <v>4788.70652</v>
      </c>
      <c r="H12" s="181" t="n">
        <v>0</v>
      </c>
      <c r="I12" s="181" t="n">
        <v>10</v>
      </c>
      <c r="J12" s="181" t="n">
        <v>-40.5343</v>
      </c>
      <c r="K12" s="181" t="n">
        <v>-27.5341</v>
      </c>
    </row>
    <row r="13" ht="15" customHeight="1" s="28">
      <c r="A13" s="182" t="n">
        <v>1776361502</v>
      </c>
      <c r="B13" s="182" t="inlineStr">
        <is>
          <t>XAUUSD</t>
        </is>
      </c>
      <c r="C13" s="182" t="inlineStr">
        <is>
          <t>M15</t>
        </is>
      </c>
      <c r="D13" s="182" t="n">
        <v>4789.22</v>
      </c>
      <c r="E13" s="182" t="n">
        <v>4814.42648</v>
      </c>
      <c r="F13" s="182" t="n">
        <v>4786.51606</v>
      </c>
      <c r="G13" s="182" t="n">
        <v>4787.61129</v>
      </c>
      <c r="H13" s="182" t="n">
        <v>0</v>
      </c>
      <c r="I13" s="182" t="n">
        <v>11</v>
      </c>
      <c r="J13" s="182" t="n">
        <v>-38.2204</v>
      </c>
      <c r="K13" s="182" t="n">
        <v>-25.2065</v>
      </c>
    </row>
    <row r="14" ht="15" customHeight="1" s="28">
      <c r="A14" s="181" t="n">
        <v>1776362402</v>
      </c>
      <c r="B14" s="181" t="inlineStr">
        <is>
          <t>XAUUSD</t>
        </is>
      </c>
      <c r="C14" s="181" t="inlineStr">
        <is>
          <t>M15</t>
        </is>
      </c>
      <c r="D14" s="181" t="n">
        <v>4790.1</v>
      </c>
      <c r="E14" s="181" t="n">
        <v>4814.15888</v>
      </c>
      <c r="F14" s="181" t="n">
        <v>4787.06761</v>
      </c>
      <c r="G14" s="181" t="n">
        <v>4787.33945</v>
      </c>
      <c r="H14" s="181" t="n">
        <v>0</v>
      </c>
      <c r="I14" s="181" t="n">
        <v>12</v>
      </c>
      <c r="J14" s="181" t="n">
        <v>-37.0865</v>
      </c>
      <c r="K14" s="181" t="n">
        <v>-24.0589</v>
      </c>
    </row>
    <row r="15" ht="15" customHeight="1" s="28">
      <c r="A15" s="182" t="n">
        <v>1776363302</v>
      </c>
      <c r="B15" s="182" t="inlineStr">
        <is>
          <t>XAUUSD</t>
        </is>
      </c>
      <c r="C15" s="182" t="inlineStr">
        <is>
          <t>M15</t>
        </is>
      </c>
      <c r="D15" s="182" t="n">
        <v>4786.98</v>
      </c>
      <c r="E15" s="182" t="n">
        <v>4813.89127</v>
      </c>
      <c r="F15" s="182" t="n">
        <v>4788.17987</v>
      </c>
      <c r="G15" s="182" t="n">
        <v>4787.75966</v>
      </c>
      <c r="H15" s="182" t="n">
        <v>1</v>
      </c>
      <c r="I15" s="182" t="n">
        <v>13</v>
      </c>
      <c r="J15" s="182" t="n">
        <v>-39.9526</v>
      </c>
      <c r="K15" s="182" t="n">
        <v>-26.9113</v>
      </c>
    </row>
    <row r="16" ht="15" customHeight="1" s="28">
      <c r="A16" s="181" t="n">
        <v>1776364202</v>
      </c>
      <c r="B16" s="181" t="inlineStr">
        <is>
          <t>XAUUSD</t>
        </is>
      </c>
      <c r="C16" s="181" t="inlineStr">
        <is>
          <t>M15</t>
        </is>
      </c>
      <c r="D16" s="181" t="n">
        <v>4790.43</v>
      </c>
      <c r="E16" s="181" t="n">
        <v>4813.62367</v>
      </c>
      <c r="F16" s="181" t="n">
        <v>4789.62866</v>
      </c>
      <c r="G16" s="181" t="n">
        <v>4788.69416</v>
      </c>
      <c r="H16" s="181" t="n">
        <v>0</v>
      </c>
      <c r="I16" s="181" t="n">
        <v>14</v>
      </c>
      <c r="J16" s="181" t="n">
        <v>-36.2487</v>
      </c>
      <c r="K16" s="181" t="n">
        <v>-23.1937</v>
      </c>
    </row>
    <row r="17" ht="15" customHeight="1" s="28">
      <c r="A17" s="182" t="n">
        <v>1776365102</v>
      </c>
      <c r="B17" s="182" t="inlineStr">
        <is>
          <t>XAUUSD</t>
        </is>
      </c>
      <c r="C17" s="182" t="inlineStr">
        <is>
          <t>M15</t>
        </is>
      </c>
      <c r="D17" s="182" t="n">
        <v>4789.64</v>
      </c>
      <c r="E17" s="182" t="n">
        <v>4813.35607</v>
      </c>
      <c r="F17" s="182" t="n">
        <v>4790.99086</v>
      </c>
      <c r="G17" s="182" t="n">
        <v>4789.84251</v>
      </c>
      <c r="H17" s="182" t="n">
        <v>0</v>
      </c>
      <c r="I17" s="182" t="n">
        <v>15</v>
      </c>
      <c r="J17" s="182" t="n">
        <v>-36.7848</v>
      </c>
      <c r="K17" s="182" t="n">
        <v>-23.7161</v>
      </c>
    </row>
    <row r="18" ht="15" customHeight="1" s="28">
      <c r="A18" s="181" t="n">
        <v>1776366002</v>
      </c>
      <c r="B18" s="181" t="inlineStr">
        <is>
          <t>XAUUSD</t>
        </is>
      </c>
      <c r="C18" s="181" t="inlineStr">
        <is>
          <t>M15</t>
        </is>
      </c>
      <c r="D18" s="181" t="n">
        <v>4790.03</v>
      </c>
      <c r="E18" s="181" t="n">
        <v>4813.08846</v>
      </c>
      <c r="F18" s="181" t="n">
        <v>4792.05313</v>
      </c>
      <c r="G18" s="181" t="n">
        <v>4790.94782</v>
      </c>
      <c r="H18" s="181" t="n">
        <v>0</v>
      </c>
      <c r="I18" s="181" t="n">
        <v>16</v>
      </c>
      <c r="J18" s="181" t="n">
        <v>-36.1409</v>
      </c>
      <c r="K18" s="181" t="n">
        <v>-23.0585</v>
      </c>
    </row>
    <row r="19" ht="15" customHeight="1" s="28">
      <c r="A19" s="182" t="n">
        <v>1776366902</v>
      </c>
      <c r="B19" s="182" t="inlineStr">
        <is>
          <t>XAUUSD</t>
        </is>
      </c>
      <c r="C19" s="182" t="inlineStr">
        <is>
          <t>M15</t>
        </is>
      </c>
      <c r="D19" s="182" t="n">
        <v>4790.76</v>
      </c>
      <c r="E19" s="182" t="n">
        <v>4812.82086</v>
      </c>
      <c r="F19" s="182" t="n">
        <v>4792.66974</v>
      </c>
      <c r="G19" s="182" t="n">
        <v>4791.80878</v>
      </c>
      <c r="H19" s="182" t="n">
        <v>0</v>
      </c>
      <c r="I19" s="182" t="n">
        <v>17</v>
      </c>
      <c r="J19" s="182" t="n">
        <v>-35.1571</v>
      </c>
      <c r="K19" s="182" t="n">
        <v>-22.0609</v>
      </c>
    </row>
    <row r="20" ht="15" customHeight="1" s="28">
      <c r="A20" s="181" t="n">
        <v>1776367802</v>
      </c>
      <c r="B20" s="181" t="inlineStr">
        <is>
          <t>XAUUSD</t>
        </is>
      </c>
      <c r="C20" s="181" t="inlineStr">
        <is>
          <t>M15</t>
        </is>
      </c>
      <c r="D20" s="181" t="n">
        <v>4797.59</v>
      </c>
      <c r="E20" s="181" t="n">
        <v>4812.55325</v>
      </c>
      <c r="F20" s="181" t="n">
        <v>4792.80391</v>
      </c>
      <c r="G20" s="181" t="n">
        <v>4792.30634</v>
      </c>
      <c r="H20" s="181" t="n">
        <v>0</v>
      </c>
      <c r="I20" s="181" t="n">
        <v>18</v>
      </c>
      <c r="J20" s="181" t="n">
        <v>-28.0732</v>
      </c>
      <c r="K20" s="181" t="n">
        <v>-14.9632</v>
      </c>
    </row>
    <row r="21" ht="15" customHeight="1" s="28">
      <c r="A21" s="182" t="n">
        <v>1776368702</v>
      </c>
      <c r="B21" s="182" t="inlineStr">
        <is>
          <t>XAUUSD</t>
        </is>
      </c>
      <c r="C21" s="182" t="inlineStr">
        <is>
          <t>M15</t>
        </is>
      </c>
      <c r="D21" s="182" t="n">
        <v>4793.52</v>
      </c>
      <c r="E21" s="182" t="n">
        <v>4812.28565</v>
      </c>
      <c r="F21" s="182" t="n">
        <v>4792.38352</v>
      </c>
      <c r="G21" s="182" t="n">
        <v>4792.34493</v>
      </c>
      <c r="H21" s="182" t="n">
        <v>0</v>
      </c>
      <c r="I21" s="182" t="n">
        <v>19</v>
      </c>
      <c r="J21" s="182" t="n">
        <v>-31.8893</v>
      </c>
      <c r="K21" s="182" t="n">
        <v>-18.7656</v>
      </c>
    </row>
    <row r="22" ht="15" customHeight="1" s="28">
      <c r="A22" s="181" t="n">
        <v>1776369602</v>
      </c>
      <c r="B22" s="181" t="inlineStr">
        <is>
          <t>XAUUSD</t>
        </is>
      </c>
      <c r="C22" s="181" t="inlineStr">
        <is>
          <t>M15</t>
        </is>
      </c>
      <c r="D22" s="181" t="n">
        <v>4790.59</v>
      </c>
      <c r="E22" s="181" t="n">
        <v>4812.01804</v>
      </c>
      <c r="F22" s="181" t="n">
        <v>4791.73717</v>
      </c>
      <c r="G22" s="181" t="n">
        <v>4792.04105</v>
      </c>
      <c r="H22" s="181" t="n">
        <v>1</v>
      </c>
      <c r="I22" s="181" t="n">
        <v>20</v>
      </c>
      <c r="J22" s="181" t="n">
        <v>-34.5654</v>
      </c>
      <c r="K22" s="181" t="n">
        <v>-21.428</v>
      </c>
    </row>
    <row r="23" ht="15" customHeight="1" s="28">
      <c r="A23" s="182" t="n">
        <v>1776370502</v>
      </c>
      <c r="B23" s="182" t="inlineStr">
        <is>
          <t>XAUUSD</t>
        </is>
      </c>
      <c r="C23" s="182" t="inlineStr">
        <is>
          <t>M15</t>
        </is>
      </c>
      <c r="D23" s="182" t="n">
        <v>4789.04</v>
      </c>
      <c r="E23" s="182" t="n">
        <v>4811.75044</v>
      </c>
      <c r="F23" s="182" t="n">
        <v>4791.18585</v>
      </c>
      <c r="G23" s="182" t="n">
        <v>4791.61345</v>
      </c>
      <c r="H23" s="182" t="n">
        <v>0</v>
      </c>
      <c r="I23" s="182" t="n">
        <v>21</v>
      </c>
      <c r="J23" s="182" t="n">
        <v>-35.8615</v>
      </c>
      <c r="K23" s="182" t="n">
        <v>-22.7104</v>
      </c>
    </row>
    <row r="24" ht="15" customHeight="1" s="28">
      <c r="A24" s="181" t="n">
        <v>1776371402</v>
      </c>
      <c r="B24" s="181" t="inlineStr">
        <is>
          <t>XAUUSD</t>
        </is>
      </c>
      <c r="C24" s="181" t="inlineStr">
        <is>
          <t>M15</t>
        </is>
      </c>
      <c r="D24" s="181" t="n">
        <v>4788.68</v>
      </c>
      <c r="E24" s="181" t="n">
        <v>4811.48284</v>
      </c>
      <c r="F24" s="181" t="n">
        <v>4790.9851</v>
      </c>
      <c r="G24" s="181" t="n">
        <v>4791.29927</v>
      </c>
      <c r="H24" s="181" t="n">
        <v>0</v>
      </c>
      <c r="I24" s="181" t="n">
        <v>22</v>
      </c>
      <c r="J24" s="181" t="n">
        <v>-35.9676</v>
      </c>
      <c r="K24" s="181" t="n">
        <v>-22.8028</v>
      </c>
    </row>
    <row r="25" ht="15" customHeight="1" s="28">
      <c r="A25" s="182" t="n">
        <v>1776372302</v>
      </c>
      <c r="B25" s="182" t="inlineStr">
        <is>
          <t>XAUUSD</t>
        </is>
      </c>
      <c r="C25" s="182" t="inlineStr">
        <is>
          <t>M15</t>
        </is>
      </c>
      <c r="D25" s="182" t="n">
        <v>4790.84</v>
      </c>
      <c r="E25" s="182" t="n">
        <v>4811.21523</v>
      </c>
      <c r="F25" s="182" t="n">
        <v>4791.2623</v>
      </c>
      <c r="G25" s="182" t="n">
        <v>4791.28079</v>
      </c>
      <c r="H25" s="182" t="n">
        <v>0</v>
      </c>
      <c r="I25" s="182" t="n">
        <v>23</v>
      </c>
      <c r="J25" s="182" t="n">
        <v>-33.5537</v>
      </c>
      <c r="K25" s="182" t="n">
        <v>-20.3752</v>
      </c>
    </row>
    <row r="26" ht="15" customHeight="1" s="28">
      <c r="A26" s="181" t="n">
        <v>1776376802</v>
      </c>
      <c r="B26" s="181" t="inlineStr">
        <is>
          <t>XAUUSD</t>
        </is>
      </c>
      <c r="C26" s="181" t="inlineStr">
        <is>
          <t>M15</t>
        </is>
      </c>
      <c r="D26" s="181" t="n">
        <v>4795.24</v>
      </c>
      <c r="E26" s="181" t="n">
        <v>4810.94763</v>
      </c>
      <c r="F26" s="181" t="n">
        <v>4791.96931</v>
      </c>
      <c r="G26" s="181" t="n">
        <v>4791.62505</v>
      </c>
      <c r="H26" s="181" t="n">
        <v>1</v>
      </c>
      <c r="I26" s="181" t="n">
        <v>24</v>
      </c>
      <c r="J26" s="181" t="n">
        <v>-28.8998</v>
      </c>
      <c r="K26" s="181" t="n">
        <v>-15.7076</v>
      </c>
    </row>
    <row r="27" ht="15" customHeight="1" s="28">
      <c r="A27" s="182" t="n">
        <v>1776377702</v>
      </c>
      <c r="B27" s="182" t="inlineStr">
        <is>
          <t>XAUUSD</t>
        </is>
      </c>
      <c r="C27" s="182" t="inlineStr">
        <is>
          <t>M15</t>
        </is>
      </c>
      <c r="D27" s="182" t="n">
        <v>4794</v>
      </c>
      <c r="E27" s="182" t="n">
        <v>4810.68002</v>
      </c>
      <c r="F27" s="182" t="n">
        <v>4792.9005</v>
      </c>
      <c r="G27" s="182" t="n">
        <v>4792.26277</v>
      </c>
      <c r="H27" s="182" t="n">
        <v>0</v>
      </c>
      <c r="I27" s="182" t="n">
        <v>25</v>
      </c>
      <c r="J27" s="182" t="n">
        <v>-29.8859</v>
      </c>
      <c r="K27" s="182" t="n">
        <v>-16.68</v>
      </c>
    </row>
    <row r="28" ht="15" customHeight="1" s="28">
      <c r="A28" s="181" t="n">
        <v>1776378602</v>
      </c>
      <c r="B28" s="181" t="inlineStr">
        <is>
          <t>XAUUSD</t>
        </is>
      </c>
      <c r="C28" s="181" t="inlineStr">
        <is>
          <t>M15</t>
        </is>
      </c>
      <c r="D28" s="181" t="n">
        <v>4795.5</v>
      </c>
      <c r="E28" s="181" t="n">
        <v>4810.41242</v>
      </c>
      <c r="F28" s="181" t="n">
        <v>4793.97036</v>
      </c>
      <c r="G28" s="181" t="n">
        <v>4793.11657</v>
      </c>
      <c r="H28" s="181" t="n">
        <v>0</v>
      </c>
      <c r="I28" s="181" t="n">
        <v>26</v>
      </c>
      <c r="J28" s="181" t="n">
        <v>-28.132</v>
      </c>
      <c r="K28" s="181" t="n">
        <v>-14.9124</v>
      </c>
    </row>
    <row r="29" ht="15" customHeight="1" s="28">
      <c r="A29" s="182" t="n">
        <v>1776379502</v>
      </c>
      <c r="B29" s="182" t="inlineStr">
        <is>
          <t>XAUUSD</t>
        </is>
      </c>
      <c r="C29" s="182" t="inlineStr">
        <is>
          <t>M15</t>
        </is>
      </c>
      <c r="D29" s="182" t="n">
        <v>4795.41</v>
      </c>
      <c r="E29" s="182" t="n">
        <v>4810.14482</v>
      </c>
      <c r="F29" s="182" t="n">
        <v>4794.94128</v>
      </c>
      <c r="G29" s="182" t="n">
        <v>4794.02892</v>
      </c>
      <c r="H29" s="182" t="n">
        <v>0</v>
      </c>
      <c r="I29" s="182" t="n">
        <v>27</v>
      </c>
      <c r="J29" s="182" t="n">
        <v>-27.9681</v>
      </c>
      <c r="K29" s="182" t="n">
        <v>-14.7348</v>
      </c>
    </row>
    <row r="30" ht="15" customHeight="1" s="28">
      <c r="A30" s="181" t="n">
        <v>1776380402</v>
      </c>
      <c r="B30" s="181" t="inlineStr">
        <is>
          <t>XAUUSD</t>
        </is>
      </c>
      <c r="C30" s="181" t="inlineStr">
        <is>
          <t>M15</t>
        </is>
      </c>
      <c r="D30" s="181" t="n">
        <v>4793.16</v>
      </c>
      <c r="E30" s="181" t="n">
        <v>4809.87721</v>
      </c>
      <c r="F30" s="181" t="n">
        <v>4795.61882</v>
      </c>
      <c r="G30" s="181" t="n">
        <v>4794.82387</v>
      </c>
      <c r="H30" s="181" t="n">
        <v>0</v>
      </c>
      <c r="I30" s="181" t="n">
        <v>28</v>
      </c>
      <c r="J30" s="181" t="n">
        <v>-29.9642</v>
      </c>
      <c r="K30" s="181" t="n">
        <v>-16.7172</v>
      </c>
    </row>
    <row r="31" ht="15" customHeight="1" s="28">
      <c r="A31" s="182" t="n">
        <v>1776381302</v>
      </c>
      <c r="B31" s="182" t="inlineStr">
        <is>
          <t>XAUUSD</t>
        </is>
      </c>
      <c r="C31" s="182" t="inlineStr">
        <is>
          <t>M15</t>
        </is>
      </c>
      <c r="D31" s="182" t="n">
        <v>4794.46</v>
      </c>
      <c r="E31" s="182" t="n">
        <v>4809.60961</v>
      </c>
      <c r="F31" s="182" t="n">
        <v>4795.90128</v>
      </c>
      <c r="G31" s="182" t="n">
        <v>4795.36258</v>
      </c>
      <c r="H31" s="182" t="n">
        <v>0</v>
      </c>
      <c r="I31" s="182" t="n">
        <v>29</v>
      </c>
      <c r="J31" s="182" t="n">
        <v>-28.4103</v>
      </c>
      <c r="K31" s="182" t="n">
        <v>-15.1496</v>
      </c>
    </row>
    <row r="32" ht="15" customHeight="1" s="28">
      <c r="A32" s="181" t="n">
        <v>1776382202</v>
      </c>
      <c r="B32" s="181" t="inlineStr">
        <is>
          <t>XAUUSD</t>
        </is>
      </c>
      <c r="C32" s="181" t="inlineStr">
        <is>
          <t>M15</t>
        </is>
      </c>
      <c r="D32" s="181" t="n">
        <v>4795.82</v>
      </c>
      <c r="E32" s="181" t="n">
        <v>4809.342</v>
      </c>
      <c r="F32" s="181" t="n">
        <v>4795.61815</v>
      </c>
      <c r="G32" s="181" t="n">
        <v>4795.49036</v>
      </c>
      <c r="H32" s="181" t="n">
        <v>0</v>
      </c>
      <c r="I32" s="181" t="n">
        <v>30</v>
      </c>
      <c r="J32" s="181" t="n">
        <v>-26.7964</v>
      </c>
      <c r="K32" s="181" t="n">
        <v>-13.522</v>
      </c>
    </row>
    <row r="33" ht="15" customHeight="1" s="28">
      <c r="A33" s="182" t="n">
        <v>1776383102</v>
      </c>
      <c r="B33" s="182" t="inlineStr">
        <is>
          <t>XAUUSD</t>
        </is>
      </c>
      <c r="C33" s="182" t="inlineStr">
        <is>
          <t>M15</t>
        </is>
      </c>
      <c r="D33" s="182" t="n">
        <v>4792.13</v>
      </c>
      <c r="E33" s="182" t="n">
        <v>4809.0744</v>
      </c>
      <c r="F33" s="182" t="n">
        <v>4794.635</v>
      </c>
      <c r="G33" s="182" t="n">
        <v>4795.06268</v>
      </c>
      <c r="H33" s="182" t="n">
        <v>1</v>
      </c>
      <c r="I33" s="182" t="n">
        <v>31</v>
      </c>
      <c r="J33" s="182" t="n">
        <v>-30.2325</v>
      </c>
      <c r="K33" s="182" t="n">
        <v>-16.9444</v>
      </c>
    </row>
    <row r="34" ht="15" customHeight="1" s="28">
      <c r="A34" s="181" t="n">
        <v>1776384002</v>
      </c>
      <c r="B34" s="181" t="inlineStr">
        <is>
          <t>XAUUSD</t>
        </is>
      </c>
      <c r="C34" s="181" t="inlineStr">
        <is>
          <t>M15</t>
        </is>
      </c>
      <c r="D34" s="181" t="n">
        <v>4790.4</v>
      </c>
      <c r="E34" s="181" t="n">
        <v>4808.8068</v>
      </c>
      <c r="F34" s="181" t="n">
        <v>4793.08901</v>
      </c>
      <c r="G34" s="181" t="n">
        <v>4794.07584</v>
      </c>
      <c r="H34" s="181" t="n">
        <v>0</v>
      </c>
      <c r="I34" s="181" t="n">
        <v>32</v>
      </c>
      <c r="J34" s="181" t="n">
        <v>-31.7086</v>
      </c>
      <c r="K34" s="181" t="n">
        <v>-18.4068</v>
      </c>
    </row>
    <row r="35" ht="15" customHeight="1" s="28">
      <c r="A35" s="182" t="n">
        <v>1776384902</v>
      </c>
      <c r="B35" s="182" t="inlineStr">
        <is>
          <t>XAUUSD</t>
        </is>
      </c>
      <c r="C35" s="182" t="inlineStr">
        <is>
          <t>M15</t>
        </is>
      </c>
      <c r="D35" s="182" t="n">
        <v>4792.86</v>
      </c>
      <c r="E35" s="182" t="n">
        <v>4808.53919</v>
      </c>
      <c r="F35" s="182" t="n">
        <v>4791.15936</v>
      </c>
      <c r="G35" s="182" t="n">
        <v>4792.6176</v>
      </c>
      <c r="H35" s="182" t="n">
        <v>0</v>
      </c>
      <c r="I35" s="182" t="n">
        <v>33</v>
      </c>
      <c r="J35" s="182" t="n">
        <v>-28.9947</v>
      </c>
      <c r="K35" s="182" t="n">
        <v>-15.6792</v>
      </c>
    </row>
    <row r="36" ht="15" customHeight="1" s="28">
      <c r="A36" s="181" t="n">
        <v>1776385802</v>
      </c>
      <c r="B36" s="181" t="inlineStr">
        <is>
          <t>XAUUSD</t>
        </is>
      </c>
      <c r="C36" s="181" t="inlineStr">
        <is>
          <t>M15</t>
        </is>
      </c>
      <c r="D36" s="181" t="n">
        <v>4798.4</v>
      </c>
      <c r="E36" s="181" t="n">
        <v>4808.27159</v>
      </c>
      <c r="F36" s="181" t="n">
        <v>4788.95945</v>
      </c>
      <c r="G36" s="181" t="n">
        <v>4790.78852</v>
      </c>
      <c r="H36" s="181" t="n">
        <v>0</v>
      </c>
      <c r="I36" s="181" t="n">
        <v>34</v>
      </c>
      <c r="J36" s="181" t="n">
        <v>-23.2008</v>
      </c>
      <c r="K36" s="181" t="n">
        <v>-9.871600000000001</v>
      </c>
    </row>
    <row r="37" ht="15" customHeight="1" s="28">
      <c r="A37" s="182" t="n">
        <v>1776386702</v>
      </c>
      <c r="B37" s="182" t="inlineStr">
        <is>
          <t>XAUUSD</t>
        </is>
      </c>
      <c r="C37" s="182" t="inlineStr">
        <is>
          <t>M15</t>
        </is>
      </c>
      <c r="D37" s="182" t="n">
        <v>4794.9</v>
      </c>
      <c r="E37" s="182" t="n">
        <v>4808.00398</v>
      </c>
      <c r="F37" s="182" t="n">
        <v>4786.58535</v>
      </c>
      <c r="G37" s="182" t="n">
        <v>4788.68694</v>
      </c>
      <c r="H37" s="182" t="n">
        <v>0</v>
      </c>
      <c r="I37" s="182" t="n">
        <v>35</v>
      </c>
      <c r="J37" s="182" t="n">
        <v>-26.4469</v>
      </c>
      <c r="K37" s="182" t="n">
        <v>-13.104</v>
      </c>
    </row>
    <row r="38" ht="15" customHeight="1" s="28">
      <c r="A38" s="181" t="n">
        <v>1776387602</v>
      </c>
      <c r="B38" s="181" t="inlineStr">
        <is>
          <t>XAUUSD</t>
        </is>
      </c>
      <c r="C38" s="181" t="inlineStr">
        <is>
          <t>M15</t>
        </is>
      </c>
      <c r="D38" s="181" t="n">
        <v>4779.32</v>
      </c>
      <c r="E38" s="181" t="n">
        <v>4807.73638</v>
      </c>
      <c r="F38" s="181" t="n">
        <v>4784.4296</v>
      </c>
      <c r="G38" s="181" t="n">
        <v>4786.55827</v>
      </c>
      <c r="H38" s="181" t="n">
        <v>0</v>
      </c>
      <c r="I38" s="181" t="n">
        <v>36</v>
      </c>
      <c r="J38" s="181" t="n">
        <v>-41.773</v>
      </c>
      <c r="K38" s="181" t="n">
        <v>-28.4164</v>
      </c>
    </row>
    <row r="39" ht="15" customHeight="1" s="28">
      <c r="A39" s="182" t="n">
        <v>1776388502</v>
      </c>
      <c r="B39" s="182" t="inlineStr">
        <is>
          <t>XAUUSD</t>
        </is>
      </c>
      <c r="C39" s="182" t="inlineStr">
        <is>
          <t>M15</t>
        </is>
      </c>
      <c r="D39" s="182" t="n">
        <v>4769.01</v>
      </c>
      <c r="E39" s="182" t="n">
        <v>4807.46878</v>
      </c>
      <c r="F39" s="182" t="n">
        <v>4783.17604</v>
      </c>
      <c r="G39" s="182" t="n">
        <v>4784.86715</v>
      </c>
      <c r="H39" s="182" t="n">
        <v>0</v>
      </c>
      <c r="I39" s="182" t="n">
        <v>37</v>
      </c>
      <c r="J39" s="182" t="n">
        <v>-51.8291</v>
      </c>
      <c r="K39" s="182" t="n">
        <v>-38.4588</v>
      </c>
    </row>
    <row r="40" ht="15" customHeight="1" s="28">
      <c r="A40" s="181" t="n">
        <v>1776389402</v>
      </c>
      <c r="B40" s="181" t="inlineStr">
        <is>
          <t>XAUUSD</t>
        </is>
      </c>
      <c r="C40" s="181" t="inlineStr">
        <is>
          <t>M15</t>
        </is>
      </c>
      <c r="D40" s="181" t="n">
        <v>4777.87</v>
      </c>
      <c r="E40" s="181" t="n">
        <v>4807.20117</v>
      </c>
      <c r="F40" s="181" t="n">
        <v>4783.2232</v>
      </c>
      <c r="G40" s="181" t="n">
        <v>4784.04518</v>
      </c>
      <c r="H40" s="181" t="n">
        <v>0</v>
      </c>
      <c r="I40" s="181" t="n">
        <v>38</v>
      </c>
      <c r="J40" s="181" t="n">
        <v>-42.7152</v>
      </c>
      <c r="K40" s="181" t="n">
        <v>-29.3312</v>
      </c>
    </row>
    <row r="41" ht="15" customHeight="1" s="28">
      <c r="A41" s="182" t="n">
        <v>1776390302</v>
      </c>
      <c r="B41" s="182" t="inlineStr">
        <is>
          <t>XAUUSD</t>
        </is>
      </c>
      <c r="C41" s="182" t="inlineStr">
        <is>
          <t>M15</t>
        </is>
      </c>
      <c r="D41" s="182" t="n">
        <v>4789.48</v>
      </c>
      <c r="E41" s="182" t="n">
        <v>4806.93357</v>
      </c>
      <c r="F41" s="182" t="n">
        <v>4784.24453</v>
      </c>
      <c r="G41" s="182" t="n">
        <v>4784.14486</v>
      </c>
      <c r="H41" s="182" t="n">
        <v>1</v>
      </c>
      <c r="I41" s="182" t="n">
        <v>39</v>
      </c>
      <c r="J41" s="182" t="n">
        <v>-30.8514</v>
      </c>
      <c r="K41" s="182" t="n">
        <v>-17.4536</v>
      </c>
    </row>
    <row r="42" ht="15" customHeight="1" s="28">
      <c r="A42" s="181" t="n">
        <v>1776391202</v>
      </c>
      <c r="B42" s="181" t="inlineStr">
        <is>
          <t>XAUUSD</t>
        </is>
      </c>
      <c r="C42" s="181" t="inlineStr">
        <is>
          <t>M15</t>
        </is>
      </c>
      <c r="D42" s="181" t="n">
        <v>4791.35</v>
      </c>
      <c r="E42" s="181" t="n">
        <v>4806.66596</v>
      </c>
      <c r="F42" s="181" t="n">
        <v>4785.69925</v>
      </c>
      <c r="G42" s="181" t="n">
        <v>4784.92206</v>
      </c>
      <c r="H42" s="181" t="n">
        <v>0</v>
      </c>
      <c r="I42" s="181" t="n">
        <v>40</v>
      </c>
      <c r="J42" s="181" t="n">
        <v>-28.7275</v>
      </c>
      <c r="K42" s="181" t="n">
        <v>-15.316</v>
      </c>
    </row>
    <row r="43" ht="15" customHeight="1" s="28">
      <c r="A43" s="182" t="n">
        <v>1776392102</v>
      </c>
      <c r="B43" s="182" t="inlineStr">
        <is>
          <t>XAUUSD</t>
        </is>
      </c>
      <c r="C43" s="182" t="inlineStr">
        <is>
          <t>M15</t>
        </is>
      </c>
      <c r="D43" s="182" t="n">
        <v>4788.86</v>
      </c>
      <c r="E43" s="182" t="n">
        <v>4806.39836</v>
      </c>
      <c r="F43" s="182" t="n">
        <v>4787.28938</v>
      </c>
      <c r="G43" s="182" t="n">
        <v>4786.10572</v>
      </c>
      <c r="H43" s="182" t="n">
        <v>0</v>
      </c>
      <c r="I43" s="182" t="n">
        <v>41</v>
      </c>
      <c r="J43" s="182" t="n">
        <v>-30.9636</v>
      </c>
      <c r="K43" s="182" t="n">
        <v>-17.5384</v>
      </c>
    </row>
    <row r="44" ht="15" customHeight="1" s="28">
      <c r="A44" s="181" t="n">
        <v>1776393002</v>
      </c>
      <c r="B44" s="181" t="inlineStr">
        <is>
          <t>XAUUSD</t>
        </is>
      </c>
      <c r="C44" s="181" t="inlineStr">
        <is>
          <t>M15</t>
        </is>
      </c>
      <c r="D44" s="181" t="n">
        <v>4791.57</v>
      </c>
      <c r="E44" s="181" t="n">
        <v>4806.13075</v>
      </c>
      <c r="F44" s="181" t="n">
        <v>4788.90242</v>
      </c>
      <c r="G44" s="181" t="n">
        <v>4787.50407</v>
      </c>
      <c r="H44" s="181" t="n">
        <v>0</v>
      </c>
      <c r="I44" s="181" t="n">
        <v>42</v>
      </c>
      <c r="J44" s="181" t="n">
        <v>-27.9997</v>
      </c>
      <c r="K44" s="181" t="n">
        <v>-14.5608</v>
      </c>
    </row>
    <row r="45" ht="15" customHeight="1" s="28">
      <c r="A45" s="182" t="n">
        <v>1776393902</v>
      </c>
      <c r="B45" s="182" t="inlineStr">
        <is>
          <t>XAUUSD</t>
        </is>
      </c>
      <c r="C45" s="182" t="inlineStr">
        <is>
          <t>M15</t>
        </is>
      </c>
      <c r="D45" s="182" t="n">
        <v>4784.81</v>
      </c>
      <c r="E45" s="182" t="n">
        <v>4805.86315</v>
      </c>
      <c r="F45" s="182" t="n">
        <v>4790.37268</v>
      </c>
      <c r="G45" s="182" t="n">
        <v>4788.93837</v>
      </c>
      <c r="H45" s="182" t="n">
        <v>0</v>
      </c>
      <c r="I45" s="182" t="n">
        <v>43</v>
      </c>
      <c r="J45" s="182" t="n">
        <v>-34.5058</v>
      </c>
      <c r="K45" s="182" t="n">
        <v>-21.0531</v>
      </c>
    </row>
    <row r="46" ht="15" customHeight="1" s="28">
      <c r="A46" s="181" t="n">
        <v>1776394802</v>
      </c>
      <c r="B46" s="181" t="inlineStr">
        <is>
          <t>XAUUSD</t>
        </is>
      </c>
      <c r="C46" s="181" t="inlineStr">
        <is>
          <t>M15</t>
        </is>
      </c>
      <c r="D46" s="181" t="n">
        <v>4795.86</v>
      </c>
      <c r="E46" s="181" t="n">
        <v>4805.59555</v>
      </c>
      <c r="F46" s="181" t="n">
        <v>4791.89811</v>
      </c>
      <c r="G46" s="181" t="n">
        <v>4790.41824</v>
      </c>
      <c r="H46" s="181" t="n">
        <v>0</v>
      </c>
      <c r="I46" s="181" t="n">
        <v>44</v>
      </c>
      <c r="J46" s="181" t="n">
        <v>-23.2019</v>
      </c>
      <c r="K46" s="181" t="n">
        <v>-9.7356</v>
      </c>
    </row>
    <row r="47" ht="15" customHeight="1" s="28">
      <c r="A47" s="182" t="n">
        <v>1776395702</v>
      </c>
      <c r="B47" s="182" t="inlineStr">
        <is>
          <t>XAUUSD</t>
        </is>
      </c>
      <c r="C47" s="182" t="inlineStr">
        <is>
          <t>M15</t>
        </is>
      </c>
      <c r="D47" s="182" t="n">
        <v>4793.93</v>
      </c>
      <c r="E47" s="182" t="n">
        <v>4805.32794</v>
      </c>
      <c r="F47" s="182" t="n">
        <v>4793.24504</v>
      </c>
      <c r="G47" s="182" t="n">
        <v>4791.83164</v>
      </c>
      <c r="H47" s="182" t="n">
        <v>0</v>
      </c>
      <c r="I47" s="182" t="n">
        <v>45</v>
      </c>
      <c r="J47" s="182" t="n">
        <v>-24.878</v>
      </c>
      <c r="K47" s="182" t="n">
        <v>-11.3979</v>
      </c>
    </row>
    <row r="48" ht="15" customHeight="1" s="28">
      <c r="A48" s="181" t="n">
        <v>1776396602</v>
      </c>
      <c r="B48" s="181" t="inlineStr">
        <is>
          <t>XAUUSD</t>
        </is>
      </c>
      <c r="C48" s="181" t="inlineStr">
        <is>
          <t>M15</t>
        </is>
      </c>
      <c r="D48" s="181" t="n">
        <v>4794.26</v>
      </c>
      <c r="E48" s="181" t="n">
        <v>4805.06034</v>
      </c>
      <c r="F48" s="181" t="n">
        <v>4794.5677</v>
      </c>
      <c r="G48" s="181" t="n">
        <v>4793.19967</v>
      </c>
      <c r="H48" s="181" t="n">
        <v>0</v>
      </c>
      <c r="I48" s="181" t="n">
        <v>46</v>
      </c>
      <c r="J48" s="181" t="n">
        <v>-24.2941</v>
      </c>
      <c r="K48" s="181" t="n">
        <v>-10.8003</v>
      </c>
    </row>
    <row r="49" ht="15" customHeight="1" s="28">
      <c r="A49" s="182" t="n">
        <v>1776397502</v>
      </c>
      <c r="B49" s="182" t="inlineStr">
        <is>
          <t>XAUUSD</t>
        </is>
      </c>
      <c r="C49" s="182" t="inlineStr">
        <is>
          <t>M15</t>
        </is>
      </c>
      <c r="D49" s="182" t="n">
        <v>4793.09</v>
      </c>
      <c r="E49" s="182" t="n">
        <v>4804.79273</v>
      </c>
      <c r="F49" s="182" t="n">
        <v>4795.95502</v>
      </c>
      <c r="G49" s="182" t="n">
        <v>4794.57734</v>
      </c>
      <c r="H49" s="182" t="n">
        <v>0</v>
      </c>
      <c r="I49" s="182" t="n">
        <v>47</v>
      </c>
      <c r="J49" s="182" t="n">
        <v>-25.2102</v>
      </c>
      <c r="K49" s="182" t="n">
        <v>-11.7027</v>
      </c>
    </row>
    <row r="50" ht="15" customHeight="1" s="28">
      <c r="A50" s="181" t="n">
        <v>1776398402</v>
      </c>
      <c r="B50" s="181" t="inlineStr">
        <is>
          <t>XAUUSD</t>
        </is>
      </c>
      <c r="C50" s="181" t="inlineStr">
        <is>
          <t>M15</t>
        </is>
      </c>
      <c r="D50" s="181" t="n">
        <v>4795.16</v>
      </c>
      <c r="E50" s="181" t="n">
        <v>4804.52513</v>
      </c>
      <c r="F50" s="181" t="n">
        <v>4797.45445</v>
      </c>
      <c r="G50" s="181" t="n">
        <v>4796.0159</v>
      </c>
      <c r="H50" s="181" t="n">
        <v>0</v>
      </c>
      <c r="I50" s="181" t="n">
        <v>48</v>
      </c>
      <c r="J50" s="181" t="n">
        <v>-22.8863</v>
      </c>
      <c r="K50" s="181" t="n">
        <v>-9.3651</v>
      </c>
    </row>
    <row r="51" ht="15" customHeight="1" s="28">
      <c r="A51" s="182" t="n">
        <v>1776399302</v>
      </c>
      <c r="B51" s="182" t="inlineStr">
        <is>
          <t>XAUUSD</t>
        </is>
      </c>
      <c r="C51" s="182" t="inlineStr">
        <is>
          <t>M15</t>
        </is>
      </c>
      <c r="D51" s="182" t="n">
        <v>4795.87</v>
      </c>
      <c r="E51" s="182" t="n">
        <v>4804.25753</v>
      </c>
      <c r="F51" s="182" t="n">
        <v>4798.91719</v>
      </c>
      <c r="G51" s="182" t="n">
        <v>4797.46654</v>
      </c>
      <c r="H51" s="182" t="n">
        <v>0</v>
      </c>
      <c r="I51" s="182" t="n">
        <v>49</v>
      </c>
      <c r="J51" s="182" t="n">
        <v>-21.9224</v>
      </c>
      <c r="K51" s="182" t="n">
        <v>-8.387499999999999</v>
      </c>
    </row>
    <row r="52" ht="15" customHeight="1" s="28">
      <c r="A52" s="181" t="n">
        <v>1776400202</v>
      </c>
      <c r="B52" s="181" t="inlineStr">
        <is>
          <t>XAUUSD</t>
        </is>
      </c>
      <c r="C52" s="181" t="inlineStr">
        <is>
          <t>M15</t>
        </is>
      </c>
      <c r="D52" s="181" t="n">
        <v>4801.05</v>
      </c>
      <c r="E52" s="181" t="n">
        <v>4803.98992</v>
      </c>
      <c r="F52" s="181" t="n">
        <v>4800.16653</v>
      </c>
      <c r="G52" s="181" t="n">
        <v>4798.81654</v>
      </c>
      <c r="H52" s="181" t="n">
        <v>0</v>
      </c>
      <c r="I52" s="181" t="n">
        <v>50</v>
      </c>
      <c r="J52" s="181" t="n">
        <v>-16.4885</v>
      </c>
      <c r="K52" s="181" t="n">
        <v>-2.9399</v>
      </c>
    </row>
    <row r="53" ht="15" customHeight="1" s="28">
      <c r="A53" s="182" t="n">
        <v>1776401102</v>
      </c>
      <c r="B53" s="182" t="inlineStr">
        <is>
          <t>XAUUSD</t>
        </is>
      </c>
      <c r="C53" s="182" t="inlineStr">
        <is>
          <t>M15</t>
        </is>
      </c>
      <c r="D53" s="182" t="n">
        <v>4803.04</v>
      </c>
      <c r="E53" s="182" t="n">
        <v>4803.72232</v>
      </c>
      <c r="F53" s="182" t="n">
        <v>4800.84185</v>
      </c>
      <c r="G53" s="182" t="n">
        <v>4799.82919</v>
      </c>
      <c r="H53" s="182" t="n">
        <v>0</v>
      </c>
      <c r="I53" s="182" t="n">
        <v>51</v>
      </c>
      <c r="J53" s="182" t="n">
        <v>-14.2446</v>
      </c>
      <c r="K53" s="182" t="n">
        <v>-0.6823</v>
      </c>
    </row>
    <row r="54" ht="15" customHeight="1" s="28">
      <c r="A54" s="181" t="n">
        <v>1776402002</v>
      </c>
      <c r="B54" s="181" t="inlineStr">
        <is>
          <t>XAUUSD</t>
        </is>
      </c>
      <c r="C54" s="181" t="inlineStr">
        <is>
          <t>M15</t>
        </is>
      </c>
      <c r="D54" s="181" t="n">
        <v>4804.78</v>
      </c>
      <c r="E54" s="181" t="n">
        <v>4803.45471</v>
      </c>
      <c r="F54" s="181" t="n">
        <v>4800.67177</v>
      </c>
      <c r="G54" s="181" t="n">
        <v>4800.25048</v>
      </c>
      <c r="H54" s="181" t="n">
        <v>0</v>
      </c>
      <c r="I54" s="181" t="n">
        <v>52</v>
      </c>
      <c r="J54" s="181" t="n">
        <v>-12.2507</v>
      </c>
      <c r="K54" s="181" t="n">
        <v>1.3253</v>
      </c>
    </row>
    <row r="55" ht="15" customHeight="1" s="28">
      <c r="A55" s="182" t="n">
        <v>1776402902</v>
      </c>
      <c r="B55" s="182" t="inlineStr">
        <is>
          <t>XAUUSD</t>
        </is>
      </c>
      <c r="C55" s="182" t="inlineStr">
        <is>
          <t>M15</t>
        </is>
      </c>
      <c r="D55" s="182" t="n">
        <v>4803.25</v>
      </c>
      <c r="E55" s="182" t="n">
        <v>4803.18711</v>
      </c>
      <c r="F55" s="182" t="n">
        <v>4799.49116</v>
      </c>
      <c r="G55" s="182" t="n">
        <v>4799.87082</v>
      </c>
      <c r="H55" s="182" t="n">
        <v>1</v>
      </c>
      <c r="I55" s="182" t="n">
        <v>53</v>
      </c>
      <c r="J55" s="182" t="n">
        <v>-13.5268</v>
      </c>
      <c r="K55" s="182" t="n">
        <v>0.0629</v>
      </c>
    </row>
    <row r="56" ht="15" customHeight="1" s="28">
      <c r="A56" s="181" t="n">
        <v>1776403802</v>
      </c>
      <c r="B56" s="181" t="inlineStr">
        <is>
          <t>XAUUSD</t>
        </is>
      </c>
      <c r="C56" s="181" t="inlineStr">
        <is>
          <t>M15</t>
        </is>
      </c>
      <c r="D56" s="181" t="n">
        <v>4796.48</v>
      </c>
      <c r="E56" s="181" t="n">
        <v>4802.91951</v>
      </c>
      <c r="F56" s="181" t="n">
        <v>4797.33624</v>
      </c>
      <c r="G56" s="181" t="n">
        <v>4798.60353</v>
      </c>
      <c r="H56" s="181" t="n">
        <v>0</v>
      </c>
      <c r="I56" s="181" t="n">
        <v>54</v>
      </c>
      <c r="J56" s="181" t="n">
        <v>-20.0429</v>
      </c>
      <c r="K56" s="181" t="n">
        <v>-6.4395</v>
      </c>
    </row>
    <row r="57" ht="15" customHeight="1" s="28">
      <c r="A57" s="182" t="n">
        <v>1776404702</v>
      </c>
      <c r="B57" s="182" t="inlineStr">
        <is>
          <t>XAUUSD</t>
        </is>
      </c>
      <c r="C57" s="182" t="inlineStr">
        <is>
          <t>M15</t>
        </is>
      </c>
      <c r="D57" s="182" t="n">
        <v>4794.41</v>
      </c>
      <c r="E57" s="182" t="n">
        <v>4802.6519</v>
      </c>
      <c r="F57" s="182" t="n">
        <v>4794.52465</v>
      </c>
      <c r="G57" s="182" t="n">
        <v>4796.56409</v>
      </c>
      <c r="H57" s="182" t="n">
        <v>0</v>
      </c>
      <c r="I57" s="182" t="n">
        <v>55</v>
      </c>
      <c r="J57" s="182" t="n">
        <v>-21.859</v>
      </c>
      <c r="K57" s="182" t="n">
        <v>-8.241899999999999</v>
      </c>
    </row>
    <row r="58" ht="15" customHeight="1" s="28">
      <c r="A58" s="181" t="n">
        <v>1776405602</v>
      </c>
      <c r="B58" s="181" t="inlineStr">
        <is>
          <t>XAUUSD</t>
        </is>
      </c>
      <c r="C58" s="181" t="inlineStr">
        <is>
          <t>M15</t>
        </is>
      </c>
      <c r="D58" s="181" t="n">
        <v>4787.73</v>
      </c>
      <c r="E58" s="181" t="n">
        <v>4802.3843</v>
      </c>
      <c r="F58" s="181" t="n">
        <v>4791.4825</v>
      </c>
      <c r="G58" s="181" t="n">
        <v>4794.0233</v>
      </c>
      <c r="H58" s="181" t="n">
        <v>0</v>
      </c>
      <c r="I58" s="181" t="n">
        <v>56</v>
      </c>
      <c r="J58" s="181" t="n">
        <v>-28.2851</v>
      </c>
      <c r="K58" s="181" t="n">
        <v>-14.6543</v>
      </c>
    </row>
    <row r="59" ht="15" customHeight="1" s="28">
      <c r="A59" s="182" t="n">
        <v>1776406502</v>
      </c>
      <c r="B59" s="182" t="inlineStr">
        <is>
          <t>XAUUSD</t>
        </is>
      </c>
      <c r="C59" s="182" t="inlineStr">
        <is>
          <t>M15</t>
        </is>
      </c>
      <c r="D59" s="182" t="n">
        <v>4783.78</v>
      </c>
      <c r="E59" s="182" t="n">
        <v>4802.11669</v>
      </c>
      <c r="F59" s="182" t="n">
        <v>4788.69965</v>
      </c>
      <c r="G59" s="182" t="n">
        <v>4791.36147</v>
      </c>
      <c r="H59" s="182" t="n">
        <v>0</v>
      </c>
      <c r="I59" s="182" t="n">
        <v>57</v>
      </c>
      <c r="J59" s="182" t="n">
        <v>-31.9812</v>
      </c>
      <c r="K59" s="182" t="n">
        <v>-18.3367</v>
      </c>
    </row>
    <row r="60" ht="15" customHeight="1" s="28">
      <c r="A60" s="181" t="n">
        <v>1776407402</v>
      </c>
      <c r="B60" s="181" t="inlineStr">
        <is>
          <t>XAUUSD</t>
        </is>
      </c>
      <c r="C60" s="181" t="inlineStr">
        <is>
          <t>M15</t>
        </is>
      </c>
      <c r="D60" s="181" t="n">
        <v>4785.67</v>
      </c>
      <c r="E60" s="181" t="n">
        <v>4801.84909</v>
      </c>
      <c r="F60" s="181" t="n">
        <v>4786.53074</v>
      </c>
      <c r="G60" s="181" t="n">
        <v>4788.94611</v>
      </c>
      <c r="H60" s="181" t="n">
        <v>0</v>
      </c>
      <c r="I60" s="181" t="n">
        <v>58</v>
      </c>
      <c r="J60" s="181" t="n">
        <v>-29.8373</v>
      </c>
      <c r="K60" s="181" t="n">
        <v>-16.1791</v>
      </c>
    </row>
    <row r="61" ht="15" customHeight="1" s="28">
      <c r="A61" s="182" t="n">
        <v>1776408302</v>
      </c>
      <c r="B61" s="182" t="inlineStr">
        <is>
          <t>XAUUSD</t>
        </is>
      </c>
      <c r="C61" s="182" t="inlineStr">
        <is>
          <t>M15</t>
        </is>
      </c>
      <c r="D61" s="182" t="n">
        <v>4785.07</v>
      </c>
      <c r="E61" s="182" t="n">
        <v>4801.58149</v>
      </c>
      <c r="F61" s="182" t="n">
        <v>4785.1178</v>
      </c>
      <c r="G61" s="182" t="n">
        <v>4787.03196</v>
      </c>
      <c r="H61" s="182" t="n">
        <v>0</v>
      </c>
      <c r="I61" s="182" t="n">
        <v>59</v>
      </c>
      <c r="J61" s="182" t="n">
        <v>-30.1834</v>
      </c>
      <c r="K61" s="182" t="n">
        <v>-16.5115</v>
      </c>
    </row>
    <row r="62" ht="15" customHeight="1" s="28">
      <c r="A62" s="181" t="n">
        <v>1776409202</v>
      </c>
      <c r="B62" s="181" t="inlineStr">
        <is>
          <t>XAUUSD</t>
        </is>
      </c>
      <c r="C62" s="181" t="inlineStr">
        <is>
          <t>M15</t>
        </is>
      </c>
      <c r="D62" s="181" t="n">
        <v>4787.12</v>
      </c>
      <c r="E62" s="181" t="n">
        <v>4801.31388</v>
      </c>
      <c r="F62" s="181" t="n">
        <v>4784.51632</v>
      </c>
      <c r="G62" s="181" t="n">
        <v>4785.77414</v>
      </c>
      <c r="H62" s="181" t="n">
        <v>0</v>
      </c>
      <c r="I62" s="181" t="n">
        <v>60</v>
      </c>
      <c r="J62" s="181" t="n">
        <v>-27.8795</v>
      </c>
      <c r="K62" s="181" t="n">
        <v>-14.1939</v>
      </c>
    </row>
    <row r="63" ht="15" customHeight="1" s="28">
      <c r="A63" s="182" t="n">
        <v>1776410102</v>
      </c>
      <c r="B63" s="182" t="inlineStr">
        <is>
          <t>XAUUSD</t>
        </is>
      </c>
      <c r="C63" s="182" t="inlineStr">
        <is>
          <t>M15</t>
        </is>
      </c>
      <c r="D63" s="182" t="n">
        <v>4791.72</v>
      </c>
      <c r="E63" s="182" t="n">
        <v>4801.04628</v>
      </c>
      <c r="F63" s="182" t="n">
        <v>4784.61543</v>
      </c>
      <c r="G63" s="182" t="n">
        <v>4785.19478</v>
      </c>
      <c r="H63" s="182" t="n">
        <v>0</v>
      </c>
      <c r="I63" s="182" t="n">
        <v>61</v>
      </c>
      <c r="J63" s="182" t="n">
        <v>-23.0256</v>
      </c>
      <c r="K63" s="182" t="n">
        <v>-9.3263</v>
      </c>
    </row>
    <row r="64" ht="15" customHeight="1" s="28">
      <c r="A64" s="181" t="n">
        <v>1776411002</v>
      </c>
      <c r="B64" s="181" t="inlineStr">
        <is>
          <t>XAUUSD</t>
        </is>
      </c>
      <c r="C64" s="181" t="inlineStr">
        <is>
          <t>M15</t>
        </is>
      </c>
      <c r="D64" s="181" t="n">
        <v>4785.87</v>
      </c>
      <c r="E64" s="181" t="n">
        <v>4800.77867</v>
      </c>
      <c r="F64" s="181" t="n">
        <v>4785.21554</v>
      </c>
      <c r="G64" s="181" t="n">
        <v>4785.20516</v>
      </c>
      <c r="H64" s="181" t="n">
        <v>1</v>
      </c>
      <c r="I64" s="181" t="n">
        <v>62</v>
      </c>
      <c r="J64" s="181" t="n">
        <v>-28.6218</v>
      </c>
      <c r="K64" s="181" t="n">
        <v>-14.9087</v>
      </c>
    </row>
    <row r="65" ht="15" customHeight="1" s="28">
      <c r="A65" s="182" t="n">
        <v>1776411902</v>
      </c>
      <c r="B65" s="182" t="inlineStr">
        <is>
          <t>XAUUSD</t>
        </is>
      </c>
      <c r="C65" s="182" t="inlineStr">
        <is>
          <t>M15</t>
        </is>
      </c>
      <c r="D65" s="182" t="n">
        <v>4784.38</v>
      </c>
      <c r="E65" s="182" t="n">
        <v>4800.51107</v>
      </c>
      <c r="F65" s="182" t="n">
        <v>4786.38043</v>
      </c>
      <c r="G65" s="182" t="n">
        <v>4785.7928</v>
      </c>
      <c r="H65" s="182" t="n">
        <v>0</v>
      </c>
      <c r="I65" s="182" t="n">
        <v>63</v>
      </c>
      <c r="J65" s="182" t="n">
        <v>-29.8579</v>
      </c>
      <c r="K65" s="182" t="n">
        <v>-16.1311</v>
      </c>
    </row>
    <row r="66" ht="15" customHeight="1" s="28">
      <c r="A66" s="181" t="n">
        <v>1776412802</v>
      </c>
      <c r="B66" s="181" t="inlineStr">
        <is>
          <t>XAUUSD</t>
        </is>
      </c>
      <c r="C66" s="181" t="inlineStr">
        <is>
          <t>M15</t>
        </is>
      </c>
      <c r="D66" s="181" t="n">
        <v>4783.7</v>
      </c>
      <c r="E66" s="181" t="n">
        <v>4800.24347</v>
      </c>
      <c r="F66" s="181" t="n">
        <v>4788.01037</v>
      </c>
      <c r="G66" s="181" t="n">
        <v>4786.90158</v>
      </c>
      <c r="H66" s="181" t="n">
        <v>0</v>
      </c>
      <c r="I66" s="181" t="n">
        <v>64</v>
      </c>
      <c r="J66" s="181" t="n">
        <v>-30.284</v>
      </c>
      <c r="K66" s="181" t="n">
        <v>-16.5435</v>
      </c>
    </row>
    <row r="67" ht="15" customHeight="1" s="28">
      <c r="A67" s="182" t="n">
        <v>1776413702</v>
      </c>
      <c r="B67" s="182" t="inlineStr">
        <is>
          <t>XAUUSD</t>
        </is>
      </c>
      <c r="C67" s="182" t="inlineStr">
        <is>
          <t>M15</t>
        </is>
      </c>
      <c r="D67" s="182" t="n">
        <v>4784.58</v>
      </c>
      <c r="E67" s="182" t="n">
        <v>4799.97586</v>
      </c>
      <c r="F67" s="182" t="n">
        <v>4789.94651</v>
      </c>
      <c r="G67" s="182" t="n">
        <v>4788.42405</v>
      </c>
      <c r="H67" s="182" t="n">
        <v>0</v>
      </c>
      <c r="I67" s="182" t="n">
        <v>65</v>
      </c>
      <c r="J67" s="182" t="n">
        <v>-29.1501</v>
      </c>
      <c r="K67" s="182" t="n">
        <v>-15.3959</v>
      </c>
    </row>
    <row r="68" ht="15" customHeight="1" s="28">
      <c r="A68" s="181" t="n">
        <v>1776414602</v>
      </c>
      <c r="B68" s="181" t="inlineStr">
        <is>
          <t>XAUUSD</t>
        </is>
      </c>
      <c r="C68" s="181" t="inlineStr">
        <is>
          <t>M15</t>
        </is>
      </c>
      <c r="D68" s="181" t="n">
        <v>4797.03</v>
      </c>
      <c r="E68" s="181" t="n">
        <v>4799.70826</v>
      </c>
      <c r="F68" s="181" t="n">
        <v>4791.94102</v>
      </c>
      <c r="G68" s="181" t="n">
        <v>4790.18253</v>
      </c>
      <c r="H68" s="181" t="n">
        <v>0</v>
      </c>
      <c r="I68" s="181" t="n">
        <v>66</v>
      </c>
      <c r="J68" s="181" t="n">
        <v>-16.4462</v>
      </c>
      <c r="K68" s="181" t="n">
        <v>-2.6783</v>
      </c>
    </row>
    <row r="69" ht="15" customHeight="1" s="28">
      <c r="A69" s="182" t="n">
        <v>1776415502</v>
      </c>
      <c r="B69" s="182" t="inlineStr">
        <is>
          <t>XAUUSD</t>
        </is>
      </c>
      <c r="C69" s="182" t="inlineStr">
        <is>
          <t>M15</t>
        </is>
      </c>
      <c r="D69" s="182" t="n">
        <v>4796.09</v>
      </c>
      <c r="E69" s="182" t="n">
        <v>4799.44065</v>
      </c>
      <c r="F69" s="182" t="n">
        <v>4793.46194</v>
      </c>
      <c r="G69" s="182" t="n">
        <v>4791.82224</v>
      </c>
      <c r="H69" s="182" t="n">
        <v>0</v>
      </c>
      <c r="I69" s="182" t="n">
        <v>67</v>
      </c>
      <c r="J69" s="182" t="n">
        <v>-17.1323</v>
      </c>
      <c r="K69" s="182" t="n">
        <v>-3.3506</v>
      </c>
    </row>
    <row r="70" ht="15" customHeight="1" s="28">
      <c r="A70" s="181" t="n">
        <v>1776416402</v>
      </c>
      <c r="B70" s="181" t="inlineStr">
        <is>
          <t>XAUUSD</t>
        </is>
      </c>
      <c r="C70" s="181" t="inlineStr">
        <is>
          <t>M15</t>
        </is>
      </c>
      <c r="D70" s="181" t="n">
        <v>4793.1</v>
      </c>
      <c r="E70" s="181" t="n">
        <v>4799.17305</v>
      </c>
      <c r="F70" s="181" t="n">
        <v>4794.39592</v>
      </c>
      <c r="G70" s="181" t="n">
        <v>4793.10908</v>
      </c>
      <c r="H70" s="181" t="n">
        <v>0</v>
      </c>
      <c r="I70" s="181" t="n">
        <v>68</v>
      </c>
      <c r="J70" s="181" t="n">
        <v>-19.8684</v>
      </c>
      <c r="K70" s="181" t="n">
        <v>-6.073</v>
      </c>
    </row>
    <row r="71" ht="15" customHeight="1" s="28">
      <c r="A71" s="182" t="n">
        <v>1776417302</v>
      </c>
      <c r="B71" s="182" t="inlineStr">
        <is>
          <t>XAUUSD</t>
        </is>
      </c>
      <c r="C71" s="182" t="inlineStr">
        <is>
          <t>M15</t>
        </is>
      </c>
      <c r="D71" s="182" t="n">
        <v>4795.93</v>
      </c>
      <c r="E71" s="182" t="n">
        <v>4798.90544</v>
      </c>
      <c r="F71" s="182" t="n">
        <v>4794.68958</v>
      </c>
      <c r="G71" s="182" t="n">
        <v>4793.89933</v>
      </c>
      <c r="H71" s="182" t="n">
        <v>0</v>
      </c>
      <c r="I71" s="182" t="n">
        <v>69</v>
      </c>
      <c r="J71" s="182" t="n">
        <v>-16.7845</v>
      </c>
      <c r="K71" s="182" t="n">
        <v>-2.9754</v>
      </c>
    </row>
    <row r="72" ht="15" customHeight="1" s="28">
      <c r="A72" s="181" t="n">
        <v>1776418202</v>
      </c>
      <c r="B72" s="181" t="inlineStr">
        <is>
          <t>XAUUSD</t>
        </is>
      </c>
      <c r="C72" s="181" t="inlineStr">
        <is>
          <t>M15</t>
        </is>
      </c>
      <c r="D72" s="181" t="n">
        <v>4794.67</v>
      </c>
      <c r="E72" s="181" t="n">
        <v>4798.63784</v>
      </c>
      <c r="F72" s="181" t="n">
        <v>4794.17982</v>
      </c>
      <c r="G72" s="181" t="n">
        <v>4794.03958</v>
      </c>
      <c r="H72" s="181" t="n">
        <v>0</v>
      </c>
      <c r="I72" s="181" t="n">
        <v>70</v>
      </c>
      <c r="J72" s="181" t="n">
        <v>-17.7906</v>
      </c>
      <c r="K72" s="181" t="n">
        <v>-3.9678</v>
      </c>
    </row>
    <row r="73" ht="15" customHeight="1" s="28">
      <c r="A73" s="182" t="n">
        <v>1776419102</v>
      </c>
      <c r="B73" s="182" t="inlineStr">
        <is>
          <t>XAUUSD</t>
        </is>
      </c>
      <c r="C73" s="182" t="inlineStr">
        <is>
          <t>M15</t>
        </is>
      </c>
      <c r="D73" s="182" t="n">
        <v>4790.39</v>
      </c>
      <c r="E73" s="182" t="n">
        <v>4798.37024</v>
      </c>
      <c r="F73" s="182" t="n">
        <v>4792.92581</v>
      </c>
      <c r="G73" s="182" t="n">
        <v>4793.48269</v>
      </c>
      <c r="H73" s="182" t="n">
        <v>1</v>
      </c>
      <c r="I73" s="182" t="n">
        <v>71</v>
      </c>
      <c r="J73" s="182" t="n">
        <v>-21.8167</v>
      </c>
      <c r="K73" s="182" t="n">
        <v>-7.9802</v>
      </c>
    </row>
    <row r="74" ht="15" customHeight="1" s="28">
      <c r="A74" s="181" t="n">
        <v>1776420002</v>
      </c>
      <c r="B74" s="181" t="inlineStr">
        <is>
          <t>XAUUSD</t>
        </is>
      </c>
      <c r="C74" s="181" t="inlineStr">
        <is>
          <t>M15</t>
        </is>
      </c>
      <c r="D74" s="181" t="n">
        <v>4791.33</v>
      </c>
      <c r="E74" s="181" t="n">
        <v>4798.10263</v>
      </c>
      <c r="F74" s="181" t="n">
        <v>4791.19144</v>
      </c>
      <c r="G74" s="181" t="n">
        <v>4792.33706</v>
      </c>
      <c r="H74" s="181" t="n">
        <v>0</v>
      </c>
      <c r="I74" s="181" t="n">
        <v>72</v>
      </c>
      <c r="J74" s="181" t="n">
        <v>-20.6228</v>
      </c>
      <c r="K74" s="181" t="n">
        <v>-6.7726</v>
      </c>
    </row>
    <row r="75" ht="15" customHeight="1" s="28">
      <c r="A75" s="182" t="n">
        <v>1776420902</v>
      </c>
      <c r="B75" s="182" t="inlineStr">
        <is>
          <t>XAUUSD</t>
        </is>
      </c>
      <c r="C75" s="182" t="inlineStr">
        <is>
          <t>M15</t>
        </is>
      </c>
      <c r="D75" s="182" t="n">
        <v>4789.59</v>
      </c>
      <c r="E75" s="182" t="n">
        <v>4797.83503</v>
      </c>
      <c r="F75" s="182" t="n">
        <v>4789.21106</v>
      </c>
      <c r="G75" s="182" t="n">
        <v>4790.77406</v>
      </c>
      <c r="H75" s="182" t="n">
        <v>0</v>
      </c>
      <c r="I75" s="182" t="n">
        <v>73</v>
      </c>
      <c r="J75" s="182" t="n">
        <v>-22.1089</v>
      </c>
      <c r="K75" s="182" t="n">
        <v>-8.244999999999999</v>
      </c>
    </row>
    <row r="76" ht="15" customHeight="1" s="28">
      <c r="A76" s="181" t="n">
        <v>1776421802</v>
      </c>
      <c r="B76" s="181" t="inlineStr">
        <is>
          <t>XAUUSD</t>
        </is>
      </c>
      <c r="C76" s="181" t="inlineStr">
        <is>
          <t>M15</t>
        </is>
      </c>
      <c r="D76" s="181" t="n">
        <v>4784.95</v>
      </c>
      <c r="E76" s="181" t="n">
        <v>4797.56742</v>
      </c>
      <c r="F76" s="181" t="n">
        <v>4787.42769</v>
      </c>
      <c r="G76" s="181" t="n">
        <v>4789.10088</v>
      </c>
      <c r="H76" s="181" t="n">
        <v>0</v>
      </c>
      <c r="I76" s="181" t="n">
        <v>74</v>
      </c>
      <c r="J76" s="181" t="n">
        <v>-26.495</v>
      </c>
      <c r="K76" s="181" t="n">
        <v>-12.6174</v>
      </c>
    </row>
    <row r="77" ht="15" customHeight="1" s="28">
      <c r="A77" s="182" t="n">
        <v>1776422702</v>
      </c>
      <c r="B77" s="182" t="inlineStr">
        <is>
          <t>XAUUSD</t>
        </is>
      </c>
      <c r="C77" s="182" t="inlineStr">
        <is>
          <t>M15</t>
        </is>
      </c>
      <c r="D77" s="182" t="n">
        <v>4787.41</v>
      </c>
      <c r="E77" s="182" t="n">
        <v>4797.29982</v>
      </c>
      <c r="F77" s="182" t="n">
        <v>4786.46729</v>
      </c>
      <c r="G77" s="182" t="n">
        <v>4787.78408</v>
      </c>
      <c r="H77" s="182" t="n">
        <v>0</v>
      </c>
      <c r="I77" s="182" t="n">
        <v>75</v>
      </c>
      <c r="J77" s="182" t="n">
        <v>-23.7811</v>
      </c>
      <c r="K77" s="182" t="n">
        <v>-9.889799999999999</v>
      </c>
    </row>
    <row r="78" ht="15" customHeight="1" s="28">
      <c r="A78" s="181" t="n">
        <v>1776423602</v>
      </c>
      <c r="B78" s="181" t="inlineStr">
        <is>
          <t>XAUUSD</t>
        </is>
      </c>
      <c r="C78" s="181" t="inlineStr">
        <is>
          <t>M15</t>
        </is>
      </c>
      <c r="D78" s="181" t="n">
        <v>4786.45</v>
      </c>
      <c r="E78" s="181" t="n">
        <v>4797.03222</v>
      </c>
      <c r="F78" s="181" t="n">
        <v>4786.84013</v>
      </c>
      <c r="G78" s="181" t="n">
        <v>4787.3121</v>
      </c>
      <c r="H78" s="181" t="n">
        <v>0</v>
      </c>
      <c r="I78" s="181" t="n">
        <v>76</v>
      </c>
      <c r="J78" s="181" t="n">
        <v>-24.4872</v>
      </c>
      <c r="K78" s="181" t="n">
        <v>-10.5822</v>
      </c>
    </row>
    <row r="79" ht="15" customHeight="1" s="28">
      <c r="A79" s="182" t="n">
        <v>1776424502</v>
      </c>
      <c r="B79" s="182" t="inlineStr">
        <is>
          <t>XAUUSD</t>
        </is>
      </c>
      <c r="C79" s="182" t="inlineStr">
        <is>
          <t>M15</t>
        </is>
      </c>
      <c r="D79" s="182" t="n">
        <v>4793.07</v>
      </c>
      <c r="E79" s="182" t="n">
        <v>4796.76461</v>
      </c>
      <c r="F79" s="182" t="n">
        <v>4789.13598</v>
      </c>
      <c r="G79" s="182" t="n">
        <v>4788.22404</v>
      </c>
      <c r="H79" s="182" t="n">
        <v>1</v>
      </c>
      <c r="I79" s="182" t="n">
        <v>77</v>
      </c>
      <c r="J79" s="182" t="n">
        <v>-17.6133</v>
      </c>
      <c r="K79" s="182" t="n">
        <v>-3.6946</v>
      </c>
    </row>
    <row r="80" ht="15" customHeight="1" s="28">
      <c r="A80" s="181" t="n">
        <v>1776425402</v>
      </c>
      <c r="B80" s="181" t="inlineStr">
        <is>
          <t>XAUUSD</t>
        </is>
      </c>
      <c r="C80" s="181" t="inlineStr">
        <is>
          <t>M15</t>
        </is>
      </c>
      <c r="D80" s="181" t="n">
        <v>4798.64</v>
      </c>
      <c r="E80" s="181" t="n">
        <v>4796.49701</v>
      </c>
      <c r="F80" s="181" t="n">
        <v>4793.64663</v>
      </c>
      <c r="G80" s="181" t="n">
        <v>4790.93534</v>
      </c>
      <c r="H80" s="181" t="n">
        <v>0</v>
      </c>
      <c r="I80" s="181" t="n">
        <v>78</v>
      </c>
      <c r="J80" s="181" t="n">
        <v>-11.7894</v>
      </c>
      <c r="K80" s="181" t="n">
        <v>2.143</v>
      </c>
    </row>
    <row r="81" ht="15" customHeight="1" s="28">
      <c r="A81" s="182" t="n">
        <v>1776426302</v>
      </c>
      <c r="B81" s="182" t="inlineStr">
        <is>
          <t>XAUUSD</t>
        </is>
      </c>
      <c r="C81" s="182" t="inlineStr">
        <is>
          <t>M15</t>
        </is>
      </c>
      <c r="D81" s="182" t="n">
        <v>4799.19</v>
      </c>
      <c r="E81" s="182" t="n">
        <v>4796.2294</v>
      </c>
      <c r="F81" s="182" t="n">
        <v>4800.49579</v>
      </c>
      <c r="G81" s="182" t="n">
        <v>4795.71557</v>
      </c>
      <c r="H81" s="182" t="n">
        <v>0</v>
      </c>
      <c r="I81" s="182" t="n">
        <v>79</v>
      </c>
      <c r="J81" s="182" t="n">
        <v>-10.9855</v>
      </c>
      <c r="K81" s="182" t="n">
        <v>2.9606</v>
      </c>
    </row>
    <row r="82" ht="15" customHeight="1" s="28">
      <c r="A82" s="181" t="n">
        <v>1776427202</v>
      </c>
      <c r="B82" s="181" t="inlineStr">
        <is>
          <t>XAUUSD</t>
        </is>
      </c>
      <c r="C82" s="181" t="inlineStr">
        <is>
          <t>M15</t>
        </is>
      </c>
      <c r="D82" s="181" t="n">
        <v>4803.86</v>
      </c>
      <c r="E82" s="181" t="n">
        <v>4795.9618</v>
      </c>
      <c r="F82" s="181" t="n">
        <v>4809.6919</v>
      </c>
      <c r="G82" s="181" t="n">
        <v>4802.70373</v>
      </c>
      <c r="H82" s="181" t="n">
        <v>0</v>
      </c>
      <c r="I82" s="181" t="n">
        <v>80</v>
      </c>
      <c r="J82" s="181" t="n">
        <v>-6.0616</v>
      </c>
      <c r="K82" s="181" t="n">
        <v>7.8982</v>
      </c>
    </row>
    <row r="83" ht="15" customHeight="1" s="28">
      <c r="A83" s="182" t="n">
        <v>1776428102</v>
      </c>
      <c r="B83" s="182" t="inlineStr">
        <is>
          <t>XAUUSD</t>
        </is>
      </c>
      <c r="C83" s="182" t="inlineStr">
        <is>
          <t>M15</t>
        </is>
      </c>
      <c r="D83" s="182" t="n">
        <v>4816.87</v>
      </c>
      <c r="E83" s="182" t="n">
        <v>4795.6942</v>
      </c>
      <c r="F83" s="182" t="n">
        <v>4820.81248</v>
      </c>
      <c r="G83" s="182" t="n">
        <v>4811.75811</v>
      </c>
      <c r="H83" s="182" t="n">
        <v>0</v>
      </c>
      <c r="I83" s="182" t="n">
        <v>81</v>
      </c>
      <c r="J83" s="182" t="n">
        <v>7.2023</v>
      </c>
      <c r="K83" s="182" t="n">
        <v>21.1758</v>
      </c>
    </row>
    <row r="84" ht="15" customHeight="1" s="28">
      <c r="A84" s="181" t="n">
        <v>1776429002</v>
      </c>
      <c r="B84" s="181" t="inlineStr">
        <is>
          <t>XAUUSD</t>
        </is>
      </c>
      <c r="C84" s="181" t="inlineStr">
        <is>
          <t>M15</t>
        </is>
      </c>
      <c r="D84" s="181" t="n">
        <v>4823.45</v>
      </c>
      <c r="E84" s="181" t="n">
        <v>4795.42659</v>
      </c>
      <c r="F84" s="181" t="n">
        <v>4832.94049</v>
      </c>
      <c r="G84" s="181" t="n">
        <v>4822.3493</v>
      </c>
      <c r="H84" s="181" t="n">
        <v>0</v>
      </c>
      <c r="I84" s="181" t="n">
        <v>82</v>
      </c>
      <c r="J84" s="181" t="n">
        <v>14.0362</v>
      </c>
      <c r="K84" s="181" t="n">
        <v>28.0234</v>
      </c>
    </row>
    <row r="85" ht="15" customHeight="1" s="28">
      <c r="A85" s="182" t="n">
        <v>1776429902</v>
      </c>
      <c r="B85" s="182" t="inlineStr">
        <is>
          <t>XAUUSD</t>
        </is>
      </c>
      <c r="C85" s="182" t="inlineStr">
        <is>
          <t>M15</t>
        </is>
      </c>
      <c r="D85" s="182" t="n">
        <v>4846.75</v>
      </c>
      <c r="E85" s="182" t="n">
        <v>4795.15899</v>
      </c>
      <c r="F85" s="182" t="n">
        <v>4845.15343</v>
      </c>
      <c r="G85" s="182" t="n">
        <v>4833.75136</v>
      </c>
      <c r="H85" s="182" t="n">
        <v>0</v>
      </c>
      <c r="I85" s="182" t="n">
        <v>83</v>
      </c>
      <c r="J85" s="182" t="n">
        <v>37.5901</v>
      </c>
      <c r="K85" s="182" t="n">
        <v>51.591</v>
      </c>
    </row>
    <row r="86" ht="15" customHeight="1" s="28">
      <c r="A86" s="181" t="n">
        <v>1776430802</v>
      </c>
      <c r="B86" s="181" t="inlineStr">
        <is>
          <t>XAUUSD</t>
        </is>
      </c>
      <c r="C86" s="181" t="inlineStr">
        <is>
          <t>M15</t>
        </is>
      </c>
      <c r="D86" s="181" t="n">
        <v>4883.6</v>
      </c>
      <c r="E86" s="181" t="n">
        <v>4794.89138</v>
      </c>
      <c r="F86" s="181" t="n">
        <v>4856.03101</v>
      </c>
      <c r="G86" s="181" t="n">
        <v>4844.89119</v>
      </c>
      <c r="H86" s="181" t="n">
        <v>0</v>
      </c>
      <c r="I86" s="181" t="n">
        <v>84</v>
      </c>
      <c r="J86" s="181" t="n">
        <v>74.6939</v>
      </c>
      <c r="K86" s="181" t="n">
        <v>88.7086</v>
      </c>
    </row>
    <row r="87" ht="15" customHeight="1" s="28">
      <c r="A87" s="182" t="n">
        <v>1776431702</v>
      </c>
      <c r="B87" s="182" t="inlineStr">
        <is>
          <t>XAUUSD</t>
        </is>
      </c>
      <c r="C87" s="182" t="inlineStr">
        <is>
          <t>M15</t>
        </is>
      </c>
      <c r="D87" s="182" t="n">
        <v>4851.59</v>
      </c>
      <c r="E87" s="182" t="n">
        <v>4794.62378</v>
      </c>
      <c r="F87" s="182" t="n">
        <v>4864.02056</v>
      </c>
      <c r="G87" s="182" t="n">
        <v>4854.45587</v>
      </c>
      <c r="H87" s="182" t="n">
        <v>0</v>
      </c>
      <c r="I87" s="182" t="n">
        <v>85</v>
      </c>
      <c r="J87" s="182" t="n">
        <v>42.9378</v>
      </c>
      <c r="K87" s="182" t="n">
        <v>56.9662</v>
      </c>
    </row>
    <row r="88" ht="15" customHeight="1" s="28">
      <c r="A88" s="181" t="n">
        <v>1776432602</v>
      </c>
      <c r="B88" s="181" t="inlineStr">
        <is>
          <t>XAUUSD</t>
        </is>
      </c>
      <c r="C88" s="181" t="inlineStr">
        <is>
          <t>M15</t>
        </is>
      </c>
      <c r="D88" s="181" t="n">
        <v>4864.42</v>
      </c>
      <c r="E88" s="181" t="n">
        <v>4794.35618</v>
      </c>
      <c r="F88" s="181" t="n">
        <v>4869.80746</v>
      </c>
      <c r="G88" s="181" t="n">
        <v>4862.13167</v>
      </c>
      <c r="H88" s="181" t="n">
        <v>0</v>
      </c>
      <c r="I88" s="181" t="n">
        <v>86</v>
      </c>
      <c r="J88" s="181" t="n">
        <v>56.0217</v>
      </c>
      <c r="K88" s="181" t="n">
        <v>70.0638</v>
      </c>
    </row>
    <row r="89" ht="15" customHeight="1" s="28">
      <c r="A89" s="182" t="n">
        <v>1776433502</v>
      </c>
      <c r="B89" s="182" t="inlineStr">
        <is>
          <t>XAUUSD</t>
        </is>
      </c>
      <c r="C89" s="182" t="inlineStr">
        <is>
          <t>M15</t>
        </is>
      </c>
      <c r="D89" s="182" t="n">
        <v>4880.26</v>
      </c>
      <c r="E89" s="182" t="n">
        <v>4794.08857</v>
      </c>
      <c r="F89" s="182" t="n">
        <v>4873.23271</v>
      </c>
      <c r="G89" s="182" t="n">
        <v>4867.68219</v>
      </c>
      <c r="H89" s="182" t="n">
        <v>0</v>
      </c>
      <c r="I89" s="182" t="n">
        <v>87</v>
      </c>
      <c r="J89" s="182" t="n">
        <v>72.1156</v>
      </c>
      <c r="K89" s="182" t="n">
        <v>86.17140000000001</v>
      </c>
    </row>
    <row r="90" ht="15" customHeight="1" s="28">
      <c r="A90" s="181" t="n">
        <v>1776434402</v>
      </c>
      <c r="B90" s="181" t="inlineStr">
        <is>
          <t>XAUUSD</t>
        </is>
      </c>
      <c r="C90" s="181" t="inlineStr">
        <is>
          <t>M15</t>
        </is>
      </c>
      <c r="D90" s="181" t="n">
        <v>4867.03</v>
      </c>
      <c r="E90" s="181" t="n">
        <v>4793.82097</v>
      </c>
      <c r="F90" s="181" t="n">
        <v>4874.22342</v>
      </c>
      <c r="G90" s="181" t="n">
        <v>4870.95281</v>
      </c>
      <c r="H90" s="181" t="n">
        <v>0</v>
      </c>
      <c r="I90" s="181" t="n">
        <v>88</v>
      </c>
      <c r="J90" s="181" t="n">
        <v>59.1395</v>
      </c>
      <c r="K90" s="181" t="n">
        <v>73.209</v>
      </c>
    </row>
    <row r="91" ht="15" customHeight="1" s="28">
      <c r="A91" s="182" t="n">
        <v>1776435302</v>
      </c>
      <c r="B91" s="182" t="inlineStr">
        <is>
          <t>XAUUSD</t>
        </is>
      </c>
      <c r="C91" s="182" t="inlineStr">
        <is>
          <t>M15</t>
        </is>
      </c>
      <c r="D91" s="182" t="n">
        <v>4871.43</v>
      </c>
      <c r="E91" s="182" t="n">
        <v>4793.55336</v>
      </c>
      <c r="F91" s="182" t="n">
        <v>4873.6899</v>
      </c>
      <c r="G91" s="182" t="n">
        <v>4872.32135</v>
      </c>
      <c r="H91" s="182" t="n">
        <v>0</v>
      </c>
      <c r="I91" s="182" t="n">
        <v>89</v>
      </c>
      <c r="J91" s="182" t="n">
        <v>63.7934</v>
      </c>
      <c r="K91" s="182" t="n">
        <v>77.8766</v>
      </c>
    </row>
    <row r="92" ht="15" customHeight="1" s="28">
      <c r="A92" s="181" t="n">
        <v>1776436202</v>
      </c>
      <c r="B92" s="181" t="inlineStr">
        <is>
          <t>XAUUSD</t>
        </is>
      </c>
      <c r="C92" s="181" t="inlineStr">
        <is>
          <t>M15</t>
        </is>
      </c>
      <c r="D92" s="181" t="n">
        <v>4877.31</v>
      </c>
      <c r="E92" s="181" t="n">
        <v>4793.28576</v>
      </c>
      <c r="F92" s="181" t="n">
        <v>4872.14144</v>
      </c>
      <c r="G92" s="181" t="n">
        <v>4872.2314</v>
      </c>
      <c r="H92" s="181" t="n">
        <v>1</v>
      </c>
      <c r="I92" s="181" t="n">
        <v>90</v>
      </c>
      <c r="J92" s="181" t="n">
        <v>69.9273</v>
      </c>
      <c r="K92" s="181" t="n">
        <v>84.02419999999999</v>
      </c>
    </row>
    <row r="93" ht="15" customHeight="1" s="28">
      <c r="A93" s="182" t="n">
        <v>1776437102</v>
      </c>
      <c r="B93" s="182" t="inlineStr">
        <is>
          <t>XAUUSD</t>
        </is>
      </c>
      <c r="C93" s="182" t="inlineStr">
        <is>
          <t>M15</t>
        </is>
      </c>
      <c r="D93" s="182" t="n">
        <v>4873.15</v>
      </c>
      <c r="E93" s="182" t="n">
        <v>4793.01815</v>
      </c>
      <c r="F93" s="182" t="n">
        <v>4870.03546</v>
      </c>
      <c r="G93" s="182" t="n">
        <v>4871.13343</v>
      </c>
      <c r="H93" s="182" t="n">
        <v>0</v>
      </c>
      <c r="I93" s="182" t="n">
        <v>91</v>
      </c>
      <c r="J93" s="182" t="n">
        <v>66.02119999999999</v>
      </c>
      <c r="K93" s="182" t="n">
        <v>80.1318</v>
      </c>
    </row>
    <row r="94" ht="15" customHeight="1" s="28">
      <c r="A94" s="181" t="n">
        <v>1776438002</v>
      </c>
      <c r="B94" s="181" t="inlineStr">
        <is>
          <t>XAUUSD</t>
        </is>
      </c>
      <c r="C94" s="181" t="inlineStr">
        <is>
          <t>M15</t>
        </is>
      </c>
      <c r="D94" s="181" t="n">
        <v>4867.01</v>
      </c>
      <c r="E94" s="181" t="n">
        <v>4792.75055</v>
      </c>
      <c r="F94" s="181" t="n">
        <v>4868.01273</v>
      </c>
      <c r="G94" s="181" t="n">
        <v>4869.57308</v>
      </c>
      <c r="H94" s="181" t="n">
        <v>0</v>
      </c>
      <c r="I94" s="181" t="n">
        <v>92</v>
      </c>
      <c r="J94" s="181" t="n">
        <v>60.1351</v>
      </c>
      <c r="K94" s="181" t="n">
        <v>74.2595</v>
      </c>
    </row>
    <row r="95" ht="15" customHeight="1" s="28">
      <c r="A95" s="182" t="n">
        <v>1776438902</v>
      </c>
      <c r="B95" s="182" t="inlineStr">
        <is>
          <t>XAUUSD</t>
        </is>
      </c>
      <c r="C95" s="182" t="inlineStr">
        <is>
          <t>M15</t>
        </is>
      </c>
      <c r="D95" s="182" t="n">
        <v>4865.86</v>
      </c>
      <c r="E95" s="182" t="n">
        <v>4792.48295</v>
      </c>
      <c r="F95" s="182" t="n">
        <v>4866.63487</v>
      </c>
      <c r="G95" s="182" t="n">
        <v>4868.10398</v>
      </c>
      <c r="H95" s="182" t="n">
        <v>0</v>
      </c>
      <c r="I95" s="182" t="n">
        <v>93</v>
      </c>
      <c r="J95" s="182" t="n">
        <v>59.239</v>
      </c>
      <c r="K95" s="182" t="n">
        <v>73.3771</v>
      </c>
    </row>
    <row r="96" ht="15" customHeight="1" s="28">
      <c r="A96" s="181" t="n">
        <v>1776439802</v>
      </c>
      <c r="B96" s="181" t="inlineStr">
        <is>
          <t>XAUUSD</t>
        </is>
      </c>
      <c r="C96" s="181" t="inlineStr">
        <is>
          <t>M15</t>
        </is>
      </c>
      <c r="D96" s="181" t="n">
        <v>4858.58</v>
      </c>
      <c r="E96" s="181" t="n">
        <v>4792.21534</v>
      </c>
      <c r="F96" s="181" t="n">
        <v>4866.04238</v>
      </c>
      <c r="G96" s="181" t="n">
        <v>4867.07318</v>
      </c>
      <c r="H96" s="181" t="n">
        <v>0</v>
      </c>
      <c r="I96" s="181" t="n">
        <v>94</v>
      </c>
      <c r="J96" s="181" t="n">
        <v>52.2129</v>
      </c>
      <c r="K96" s="181" t="n">
        <v>66.3647</v>
      </c>
    </row>
    <row r="97" ht="15" customHeight="1" s="28">
      <c r="A97" s="182" t="n">
        <v>1776440702</v>
      </c>
      <c r="B97" s="182" t="inlineStr">
        <is>
          <t>XAUUSD</t>
        </is>
      </c>
      <c r="C97" s="182" t="inlineStr">
        <is>
          <t>M15</t>
        </is>
      </c>
      <c r="D97" s="182" t="n">
        <v>4867.57</v>
      </c>
      <c r="E97" s="182" t="n">
        <v>4791.94774</v>
      </c>
      <c r="F97" s="182" t="n">
        <v>4866.29834</v>
      </c>
      <c r="G97" s="182" t="n">
        <v>4866.68576</v>
      </c>
      <c r="H97" s="182" t="n">
        <v>0</v>
      </c>
      <c r="I97" s="182" t="n">
        <v>95</v>
      </c>
      <c r="J97" s="182" t="n">
        <v>61.4568</v>
      </c>
      <c r="K97" s="182" t="n">
        <v>75.6223</v>
      </c>
    </row>
    <row r="98" ht="15" customHeight="1" s="28">
      <c r="A98" s="181" t="n">
        <v>1776441602</v>
      </c>
      <c r="B98" s="181" t="inlineStr">
        <is>
          <t>XAUUSD</t>
        </is>
      </c>
      <c r="C98" s="181" t="inlineStr">
        <is>
          <t>M15</t>
        </is>
      </c>
      <c r="D98" s="181" t="n">
        <v>4871.66</v>
      </c>
      <c r="E98" s="181" t="n">
        <v>4791.68013</v>
      </c>
      <c r="F98" s="181" t="n">
        <v>4866.79109</v>
      </c>
      <c r="G98" s="181" t="n">
        <v>4866.73842</v>
      </c>
      <c r="H98" s="181" t="n">
        <v>1</v>
      </c>
      <c r="I98" s="181" t="n">
        <v>96</v>
      </c>
      <c r="J98" s="181" t="n">
        <v>65.80070000000001</v>
      </c>
      <c r="K98" s="181" t="n">
        <v>79.9799</v>
      </c>
    </row>
    <row r="99" ht="15" customHeight="1" s="28">
      <c r="A99" s="182" t="n">
        <v>1776442502</v>
      </c>
      <c r="B99" s="182" t="inlineStr">
        <is>
          <t>XAUUSD</t>
        </is>
      </c>
      <c r="C99" s="182" t="inlineStr">
        <is>
          <t>M15</t>
        </is>
      </c>
      <c r="D99" s="182" t="n">
        <v>4867.71</v>
      </c>
      <c r="E99" s="182" t="n">
        <v>4791.41253</v>
      </c>
      <c r="F99" s="182" t="n">
        <v>4866.99342</v>
      </c>
      <c r="G99" s="182" t="n">
        <v>4866.86592</v>
      </c>
      <c r="H99" s="182" t="n">
        <v>0</v>
      </c>
      <c r="I99" s="182" t="n">
        <v>97</v>
      </c>
      <c r="J99" s="182" t="n">
        <v>62.1046</v>
      </c>
      <c r="K99" s="182" t="n">
        <v>76.2975</v>
      </c>
    </row>
    <row r="100" ht="15" customHeight="1" s="28">
      <c r="A100" s="181" t="n">
        <v>1776443402</v>
      </c>
      <c r="B100" s="181" t="inlineStr">
        <is>
          <t>XAUUSD</t>
        </is>
      </c>
      <c r="C100" s="181" t="inlineStr">
        <is>
          <t>M15</t>
        </is>
      </c>
      <c r="D100" s="181" t="n">
        <v>4868.37</v>
      </c>
      <c r="E100" s="181" t="n">
        <v>4791.14493</v>
      </c>
      <c r="F100" s="181" t="n">
        <v>4866.68822</v>
      </c>
      <c r="G100" s="181" t="n">
        <v>4866.77707</v>
      </c>
      <c r="H100" s="181" t="n">
        <v>1</v>
      </c>
      <c r="I100" s="181" t="n">
        <v>98</v>
      </c>
      <c r="J100" s="181" t="n">
        <v>63.0185</v>
      </c>
      <c r="K100" s="181" t="n">
        <v>77.2251</v>
      </c>
    </row>
    <row r="101" ht="15" customHeight="1" s="28">
      <c r="A101" s="182" t="n">
        <v>1776444302</v>
      </c>
      <c r="B101" s="182" t="inlineStr">
        <is>
          <t>XAUUSD</t>
        </is>
      </c>
      <c r="C101" s="182" t="inlineStr">
        <is>
          <t>M15</t>
        </is>
      </c>
      <c r="D101" s="182" t="n">
        <v>4867.12</v>
      </c>
      <c r="E101" s="182" t="n">
        <v>4790.87732</v>
      </c>
      <c r="F101" s="182" t="n">
        <v>4865.68712</v>
      </c>
      <c r="G101" s="182" t="n">
        <v>4866.23209</v>
      </c>
      <c r="H101" s="182" t="n">
        <v>0</v>
      </c>
      <c r="I101" s="182" t="n">
        <v>99</v>
      </c>
      <c r="J101" s="182" t="n">
        <v>62.0224</v>
      </c>
      <c r="K101" s="182" t="n">
        <v>76.2427</v>
      </c>
    </row>
    <row r="102" ht="15" customHeight="1" s="28">
      <c r="A102" s="181" t="n">
        <v>1776445202</v>
      </c>
      <c r="B102" s="181" t="inlineStr">
        <is>
          <t>XAUUSD</t>
        </is>
      </c>
      <c r="C102" s="181" t="inlineStr">
        <is>
          <t>M15</t>
        </is>
      </c>
      <c r="D102" s="181" t="n">
        <v>4862.89</v>
      </c>
      <c r="E102" s="181" t="n">
        <v>4790.60972</v>
      </c>
      <c r="F102" s="181" t="n">
        <v>4864.07221</v>
      </c>
      <c r="G102" s="181" t="n">
        <v>4865.15215</v>
      </c>
      <c r="H102" s="181" t="n">
        <v>0</v>
      </c>
      <c r="I102" s="181" t="n">
        <v>100</v>
      </c>
      <c r="J102" s="181" t="n">
        <v>58.0463</v>
      </c>
      <c r="K102" s="181" t="n">
        <v>72.2803</v>
      </c>
    </row>
    <row r="103" ht="15" customHeight="1" s="28">
      <c r="A103" s="182" t="n">
        <v>1776446102</v>
      </c>
      <c r="B103" s="182" t="inlineStr">
        <is>
          <t>XAUUSD</t>
        </is>
      </c>
      <c r="C103" s="182" t="inlineStr">
        <is>
          <t>M15</t>
        </is>
      </c>
      <c r="D103" s="182" t="n">
        <v>4858.63</v>
      </c>
      <c r="E103" s="182" t="n">
        <v>4790.34211</v>
      </c>
      <c r="F103" s="182" t="n">
        <v>4862.19924</v>
      </c>
      <c r="G103" s="182" t="n">
        <v>4863.67569</v>
      </c>
      <c r="H103" s="182" t="n">
        <v>0</v>
      </c>
      <c r="I103" s="182" t="n">
        <v>101</v>
      </c>
      <c r="J103" s="182" t="n">
        <v>54.0402</v>
      </c>
      <c r="K103" s="182" t="n">
        <v>68.28789999999999</v>
      </c>
    </row>
    <row r="104" ht="15" customHeight="1" s="28">
      <c r="A104" s="181" t="n">
        <v>1776447002</v>
      </c>
      <c r="B104" s="181" t="inlineStr">
        <is>
          <t>XAUUSD</t>
        </is>
      </c>
      <c r="C104" s="181" t="inlineStr">
        <is>
          <t>M15</t>
        </is>
      </c>
      <c r="D104" s="181" t="n">
        <v>4855.01</v>
      </c>
      <c r="E104" s="181" t="n">
        <v>4790.07451</v>
      </c>
      <c r="F104" s="181" t="n">
        <v>4860.5184</v>
      </c>
      <c r="G104" s="181" t="n">
        <v>4862.09705</v>
      </c>
      <c r="H104" s="181" t="n">
        <v>0</v>
      </c>
      <c r="I104" s="181" t="n">
        <v>102</v>
      </c>
      <c r="J104" s="181" t="n">
        <v>50.6741</v>
      </c>
      <c r="K104" s="181" t="n">
        <v>64.9355</v>
      </c>
    </row>
    <row r="105" ht="15" customHeight="1" s="28">
      <c r="A105" s="182" t="n">
        <v>1776447902</v>
      </c>
      <c r="B105" s="182" t="inlineStr">
        <is>
          <t>XAUUSD</t>
        </is>
      </c>
      <c r="C105" s="182" t="inlineStr">
        <is>
          <t>M15</t>
        </is>
      </c>
      <c r="D105" s="182" t="n">
        <v>4862.6</v>
      </c>
      <c r="E105" s="182" t="n">
        <v>4789.80691</v>
      </c>
      <c r="F105" s="182" t="n">
        <v>4859.42543</v>
      </c>
      <c r="G105" s="182" t="n">
        <v>4860.76124</v>
      </c>
      <c r="H105" s="182" t="n">
        <v>0</v>
      </c>
      <c r="I105" s="182" t="n">
        <v>103</v>
      </c>
      <c r="J105" s="182" t="n">
        <v>58.518</v>
      </c>
      <c r="K105" s="182" t="n">
        <v>72.7931</v>
      </c>
    </row>
    <row r="106" ht="15" customHeight="1" s="28">
      <c r="A106" s="181" t="n">
        <v>1776448802</v>
      </c>
      <c r="B106" s="181" t="inlineStr">
        <is>
          <t>XAUUSD</t>
        </is>
      </c>
      <c r="C106" s="181" t="inlineStr">
        <is>
          <t>M15</t>
        </is>
      </c>
      <c r="D106" s="181" t="n">
        <v>4861.17</v>
      </c>
      <c r="E106" s="181" t="n">
        <v>4789.5393</v>
      </c>
      <c r="F106" s="181" t="n">
        <v>4858.87394</v>
      </c>
      <c r="G106" s="181" t="n">
        <v>4859.81759</v>
      </c>
      <c r="H106" s="181" t="n">
        <v>0</v>
      </c>
      <c r="I106" s="181" t="n">
        <v>104</v>
      </c>
      <c r="J106" s="181" t="n">
        <v>57.3419</v>
      </c>
      <c r="K106" s="181" t="n">
        <v>71.6307</v>
      </c>
    </row>
    <row r="107" ht="15" customHeight="1" s="28">
      <c r="A107" s="182" t="n">
        <v>1776449702</v>
      </c>
      <c r="B107" s="182" t="inlineStr">
        <is>
          <t>XAUUSD</t>
        </is>
      </c>
      <c r="C107" s="182" t="inlineStr">
        <is>
          <t>M15</t>
        </is>
      </c>
      <c r="D107" s="182" t="n">
        <v>4860.87</v>
      </c>
      <c r="E107" s="182" t="n">
        <v>4789.2717</v>
      </c>
      <c r="F107" s="182" t="n">
        <v>4858.91318</v>
      </c>
      <c r="G107" s="182" t="n">
        <v>4859.36538</v>
      </c>
      <c r="H107" s="182" t="n">
        <v>0</v>
      </c>
      <c r="I107" s="182" t="n">
        <v>105</v>
      </c>
      <c r="J107" s="182" t="n">
        <v>57.2958</v>
      </c>
      <c r="K107" s="182" t="n">
        <v>71.59829999999999</v>
      </c>
    </row>
    <row r="108" ht="15" customHeight="1" s="28">
      <c r="A108" s="181" t="n">
        <v>1776450602</v>
      </c>
      <c r="B108" s="181" t="inlineStr">
        <is>
          <t>XAUUSD</t>
        </is>
      </c>
      <c r="C108" s="181" t="inlineStr">
        <is>
          <t>M15</t>
        </is>
      </c>
      <c r="D108" s="181" t="n">
        <v>4862.4</v>
      </c>
      <c r="E108" s="181" t="n">
        <v>4789.00409</v>
      </c>
      <c r="F108" s="181" t="n">
        <v>4859.37272</v>
      </c>
      <c r="G108" s="181" t="n">
        <v>4859.36905</v>
      </c>
      <c r="H108" s="181" t="n">
        <v>1</v>
      </c>
      <c r="I108" s="181" t="n">
        <v>106</v>
      </c>
      <c r="J108" s="181" t="n">
        <v>59.0796</v>
      </c>
      <c r="K108" s="181" t="n">
        <v>73.3959</v>
      </c>
    </row>
    <row r="109" ht="15" customHeight="1" s="28">
      <c r="A109" s="182" t="n">
        <v>1776451502</v>
      </c>
      <c r="B109" s="182" t="inlineStr">
        <is>
          <t>XAUUSD</t>
        </is>
      </c>
      <c r="C109" s="182" t="inlineStr">
        <is>
          <t>M15</t>
        </is>
      </c>
      <c r="D109" s="182" t="n">
        <v>4858.16</v>
      </c>
      <c r="E109" s="182" t="n">
        <v>4788.73649</v>
      </c>
      <c r="F109" s="182" t="n">
        <v>4859.89857</v>
      </c>
      <c r="G109" s="182" t="n">
        <v>4859.63381</v>
      </c>
      <c r="H109" s="182" t="n">
        <v>0</v>
      </c>
      <c r="I109" s="182" t="n">
        <v>107</v>
      </c>
      <c r="J109" s="182" t="n">
        <v>55.0935</v>
      </c>
      <c r="K109" s="182" t="n">
        <v>69.4235</v>
      </c>
    </row>
    <row r="110" ht="15" customHeight="1" s="28">
      <c r="A110" s="181" t="n">
        <v>1776452402</v>
      </c>
      <c r="B110" s="181" t="inlineStr">
        <is>
          <t>XAUUSD</t>
        </is>
      </c>
      <c r="C110" s="181" t="inlineStr">
        <is>
          <t>M15</t>
        </is>
      </c>
      <c r="D110" s="181" t="n">
        <v>4856.59</v>
      </c>
      <c r="E110" s="181" t="n">
        <v>4788.46889</v>
      </c>
      <c r="F110" s="181" t="n">
        <v>4860.15411</v>
      </c>
      <c r="G110" s="181" t="n">
        <v>4859.89396</v>
      </c>
      <c r="H110" s="181" t="n">
        <v>0</v>
      </c>
      <c r="I110" s="181" t="n">
        <v>108</v>
      </c>
      <c r="J110" s="181" t="n">
        <v>53.7774</v>
      </c>
      <c r="K110" s="181" t="n">
        <v>68.1211</v>
      </c>
    </row>
    <row r="111" ht="15" customHeight="1" s="28">
      <c r="A111" s="182" t="n">
        <v>1776453302</v>
      </c>
      <c r="B111" s="182" t="inlineStr">
        <is>
          <t>XAUUSD</t>
        </is>
      </c>
      <c r="C111" s="182" t="inlineStr">
        <is>
          <t>M15</t>
        </is>
      </c>
      <c r="D111" s="182" t="n">
        <v>4856.91</v>
      </c>
      <c r="E111" s="182" t="n">
        <v>4788.20128</v>
      </c>
      <c r="F111" s="182" t="n">
        <v>4859.67104</v>
      </c>
      <c r="G111" s="182" t="n">
        <v>4859.7825</v>
      </c>
      <c r="H111" s="182" t="n">
        <v>1</v>
      </c>
      <c r="I111" s="182" t="n">
        <v>109</v>
      </c>
      <c r="J111" s="182" t="n">
        <v>54.3513</v>
      </c>
      <c r="K111" s="182" t="n">
        <v>68.70869999999999</v>
      </c>
    </row>
    <row r="112" ht="15" customHeight="1" s="28">
      <c r="A112" s="181" t="n">
        <v>1776454202</v>
      </c>
      <c r="B112" s="181" t="inlineStr">
        <is>
          <t>XAUUSD</t>
        </is>
      </c>
      <c r="C112" s="181" t="inlineStr">
        <is>
          <t>M15</t>
        </is>
      </c>
      <c r="D112" s="181" t="n">
        <v>4860.34</v>
      </c>
      <c r="E112" s="181" t="n">
        <v>4787.93368</v>
      </c>
      <c r="F112" s="181" t="n">
        <v>4857.9269</v>
      </c>
      <c r="G112" s="181" t="n">
        <v>4858.8547</v>
      </c>
      <c r="H112" s="181" t="n">
        <v>0</v>
      </c>
      <c r="I112" s="181" t="n">
        <v>110</v>
      </c>
      <c r="J112" s="181" t="n">
        <v>58.0352</v>
      </c>
      <c r="K112" s="181" t="n">
        <v>72.4063</v>
      </c>
    </row>
    <row r="113" ht="15" customHeight="1" s="28">
      <c r="A113" s="182" t="n">
        <v>1776455102</v>
      </c>
      <c r="B113" s="182" t="inlineStr">
        <is>
          <t>XAUUSD</t>
        </is>
      </c>
      <c r="C113" s="182" t="inlineStr">
        <is>
          <t>M15</t>
        </is>
      </c>
      <c r="D113" s="182" t="n">
        <v>4854.73</v>
      </c>
      <c r="E113" s="182" t="n">
        <v>4787.66607</v>
      </c>
      <c r="F113" s="182" t="n">
        <v>4854.35758</v>
      </c>
      <c r="G113" s="182" t="n">
        <v>4856.60614</v>
      </c>
      <c r="H113" s="182" t="n">
        <v>0</v>
      </c>
      <c r="I113" s="182" t="n">
        <v>111</v>
      </c>
      <c r="J113" s="182" t="n">
        <v>52.6791</v>
      </c>
      <c r="K113" s="182" t="n">
        <v>67.0639</v>
      </c>
    </row>
    <row r="114" ht="15" customHeight="1" s="28">
      <c r="A114" s="181" t="n">
        <v>1776456002</v>
      </c>
      <c r="B114" s="181" t="inlineStr">
        <is>
          <t>XAUUSD</t>
        </is>
      </c>
      <c r="C114" s="181" t="inlineStr">
        <is>
          <t>M15</t>
        </is>
      </c>
      <c r="D114" s="181" t="n">
        <v>4845.91</v>
      </c>
      <c r="E114" s="181" t="n">
        <v>4787.39847</v>
      </c>
      <c r="F114" s="181" t="n">
        <v>4848.75129</v>
      </c>
      <c r="G114" s="181" t="n">
        <v>4852.67872</v>
      </c>
      <c r="H114" s="181" t="n">
        <v>0</v>
      </c>
      <c r="I114" s="181" t="n">
        <v>112</v>
      </c>
      <c r="J114" s="181" t="n">
        <v>44.113</v>
      </c>
      <c r="K114" s="181" t="n">
        <v>58.5115</v>
      </c>
    </row>
    <row r="115" ht="15" customHeight="1" s="28">
      <c r="A115" s="182" t="n">
        <v>1776456902</v>
      </c>
      <c r="B115" s="182" t="inlineStr">
        <is>
          <t>XAUUSD</t>
        </is>
      </c>
      <c r="C115" s="182" t="inlineStr">
        <is>
          <t>M15</t>
        </is>
      </c>
      <c r="D115" s="182" t="n">
        <v>4845.96</v>
      </c>
      <c r="E115" s="182" t="n">
        <v>4787.13086</v>
      </c>
      <c r="F115" s="182" t="n">
        <v>4841.15421</v>
      </c>
      <c r="G115" s="182" t="n">
        <v>4846.91646</v>
      </c>
      <c r="H115" s="182" t="n">
        <v>0</v>
      </c>
      <c r="I115" s="182" t="n">
        <v>113</v>
      </c>
      <c r="J115" s="182" t="n">
        <v>44.4169</v>
      </c>
      <c r="K115" s="182" t="n">
        <v>58.8291</v>
      </c>
    </row>
    <row r="116" ht="15" customHeight="1" s="28">
      <c r="A116" s="181" t="n">
        <v>1776457802</v>
      </c>
      <c r="B116" s="181" t="inlineStr">
        <is>
          <t>XAUUSD</t>
        </is>
      </c>
      <c r="C116" s="181" t="inlineStr">
        <is>
          <t>M15</t>
        </is>
      </c>
      <c r="D116" s="181" t="n">
        <v>4835.81</v>
      </c>
      <c r="E116" s="181" t="n">
        <v>4786.86326</v>
      </c>
      <c r="F116" s="181" t="n">
        <v>4831.47546</v>
      </c>
      <c r="G116" s="181" t="n">
        <v>4839.19596</v>
      </c>
      <c r="H116" s="181" t="n">
        <v>0</v>
      </c>
      <c r="I116" s="181" t="n">
        <v>114</v>
      </c>
      <c r="J116" s="181" t="n">
        <v>34.5208</v>
      </c>
      <c r="K116" s="181" t="n">
        <v>48.9467</v>
      </c>
    </row>
    <row r="117" ht="15" customHeight="1" s="28">
      <c r="A117" s="182" t="n">
        <v>1776458702</v>
      </c>
      <c r="B117" s="182" t="inlineStr">
        <is>
          <t>XAUUSD</t>
        </is>
      </c>
      <c r="C117" s="182" t="inlineStr">
        <is>
          <t>M15</t>
        </is>
      </c>
      <c r="D117" s="182" t="n">
        <v>4833.02</v>
      </c>
      <c r="E117" s="182" t="n">
        <v>4786.59566</v>
      </c>
      <c r="F117" s="182" t="n">
        <v>4820.06582</v>
      </c>
      <c r="G117" s="182" t="n">
        <v>4829.63089</v>
      </c>
      <c r="H117" s="182" t="n">
        <v>0</v>
      </c>
      <c r="I117" s="182" t="n">
        <v>115</v>
      </c>
      <c r="J117" s="182" t="n">
        <v>31.9847</v>
      </c>
      <c r="K117" s="182" t="n">
        <v>46.4243</v>
      </c>
    </row>
    <row r="118" ht="15" customHeight="1" s="28">
      <c r="A118" s="181" t="n">
        <v>1776636002</v>
      </c>
      <c r="B118" s="181" t="inlineStr">
        <is>
          <t>XAUUSD</t>
        </is>
      </c>
      <c r="C118" s="181" t="inlineStr">
        <is>
          <t>M15</t>
        </is>
      </c>
      <c r="D118" s="181" t="n">
        <v>4790.21</v>
      </c>
      <c r="E118" s="181" t="n">
        <v>4786.32805</v>
      </c>
      <c r="F118" s="181" t="n">
        <v>4807.39385</v>
      </c>
      <c r="G118" s="181" t="n">
        <v>4818.51237</v>
      </c>
      <c r="H118" s="181" t="n">
        <v>0</v>
      </c>
      <c r="I118" s="181" t="n">
        <v>116</v>
      </c>
      <c r="J118" s="181" t="n">
        <v>-10.5714</v>
      </c>
      <c r="K118" s="181" t="n">
        <v>3.8819</v>
      </c>
    </row>
    <row r="119" ht="15" customHeight="1" s="28">
      <c r="A119" s="182" t="n">
        <v>1776636902</v>
      </c>
      <c r="B119" s="182" t="inlineStr">
        <is>
          <t>XAUUSD</t>
        </is>
      </c>
      <c r="C119" s="182" t="inlineStr">
        <is>
          <t>M15</t>
        </is>
      </c>
      <c r="D119" s="182" t="n">
        <v>4784.84</v>
      </c>
      <c r="E119" s="182" t="n">
        <v>4786.06045</v>
      </c>
      <c r="F119" s="182" t="n">
        <v>4795.08615</v>
      </c>
      <c r="G119" s="182" t="n">
        <v>4806.79926</v>
      </c>
      <c r="H119" s="182" t="n">
        <v>0</v>
      </c>
      <c r="I119" s="182" t="n">
        <v>117</v>
      </c>
      <c r="J119" s="182" t="n">
        <v>-15.6875</v>
      </c>
      <c r="K119" s="182" t="n">
        <v>-1.2204</v>
      </c>
    </row>
    <row r="120" ht="15" customHeight="1" s="28">
      <c r="A120" s="181" t="n">
        <v>1776637802</v>
      </c>
      <c r="B120" s="181" t="inlineStr">
        <is>
          <t>XAUUSD</t>
        </is>
      </c>
      <c r="C120" s="181" t="inlineStr">
        <is>
          <t>M15</t>
        </is>
      </c>
      <c r="D120" s="181" t="n">
        <v>4780.29</v>
      </c>
      <c r="E120" s="181" t="n">
        <v>4785.79284</v>
      </c>
      <c r="F120" s="181" t="n">
        <v>4783.68017</v>
      </c>
      <c r="G120" s="181" t="n">
        <v>4795.23972</v>
      </c>
      <c r="H120" s="181" t="n">
        <v>0</v>
      </c>
      <c r="I120" s="181" t="n">
        <v>118</v>
      </c>
      <c r="J120" s="181" t="n">
        <v>-19.9836</v>
      </c>
      <c r="K120" s="181" t="n">
        <v>-5.5028</v>
      </c>
    </row>
    <row r="121" ht="15" customHeight="1" s="28">
      <c r="A121" s="182" t="n">
        <v>1776638702</v>
      </c>
      <c r="B121" s="182" t="inlineStr">
        <is>
          <t>XAUUSD</t>
        </is>
      </c>
      <c r="C121" s="182" t="inlineStr">
        <is>
          <t>M15</t>
        </is>
      </c>
      <c r="D121" s="182" t="n">
        <v>4779.23</v>
      </c>
      <c r="E121" s="182" t="n">
        <v>4785.52524</v>
      </c>
      <c r="F121" s="182" t="n">
        <v>4773.6806</v>
      </c>
      <c r="G121" s="182" t="n">
        <v>4784.46016</v>
      </c>
      <c r="H121" s="182" t="n">
        <v>0</v>
      </c>
      <c r="I121" s="182" t="n">
        <v>119</v>
      </c>
      <c r="J121" s="182" t="n">
        <v>-20.7897</v>
      </c>
      <c r="K121" s="182" t="n">
        <v>-6.2952</v>
      </c>
    </row>
    <row r="122" ht="15" customHeight="1" s="28">
      <c r="A122" s="181" t="n">
        <v>1776639602</v>
      </c>
      <c r="B122" s="181" t="inlineStr">
        <is>
          <t>XAUUSD</t>
        </is>
      </c>
      <c r="C122" s="181" t="inlineStr">
        <is>
          <t>M15</t>
        </is>
      </c>
      <c r="D122" s="181" t="n">
        <v>4772.65</v>
      </c>
      <c r="E122" s="181" t="n">
        <v>4785.25764</v>
      </c>
      <c r="F122" s="181" t="n">
        <v>4765.42377</v>
      </c>
      <c r="G122" s="181" t="n">
        <v>4774.94196</v>
      </c>
      <c r="H122" s="181" t="n">
        <v>0</v>
      </c>
      <c r="I122" s="181" t="n">
        <v>120</v>
      </c>
      <c r="J122" s="181" t="n">
        <v>-27.1158</v>
      </c>
      <c r="K122" s="181" t="n">
        <v>-12.6076</v>
      </c>
    </row>
    <row r="123" ht="15" customHeight="1" s="28">
      <c r="A123" s="182" t="n">
        <v>1776640502</v>
      </c>
      <c r="B123" s="182" t="inlineStr">
        <is>
          <t>XAUUSD</t>
        </is>
      </c>
      <c r="C123" s="182" t="inlineStr">
        <is>
          <t>M15</t>
        </is>
      </c>
      <c r="D123" s="182" t="n">
        <v>4769.43</v>
      </c>
      <c r="E123" s="182" t="n">
        <v>4784.99003</v>
      </c>
      <c r="F123" s="182" t="n">
        <v>4759.3575</v>
      </c>
      <c r="G123" s="182" t="n">
        <v>4767.14973</v>
      </c>
      <c r="H123" s="182" t="n">
        <v>0</v>
      </c>
      <c r="I123" s="182" t="n">
        <v>121</v>
      </c>
      <c r="J123" s="182" t="n">
        <v>-30.0819</v>
      </c>
      <c r="K123" s="182" t="n">
        <v>-15.56</v>
      </c>
    </row>
    <row r="124" ht="15" customHeight="1" s="28">
      <c r="A124" s="181" t="n">
        <v>1776641402</v>
      </c>
      <c r="B124" s="181" t="inlineStr">
        <is>
          <t>XAUUSD</t>
        </is>
      </c>
      <c r="C124" s="181" t="inlineStr">
        <is>
          <t>M15</t>
        </is>
      </c>
      <c r="D124" s="181" t="n">
        <v>4752.06</v>
      </c>
      <c r="E124" s="181" t="n">
        <v>4784.72243</v>
      </c>
      <c r="F124" s="181" t="n">
        <v>4755.83216</v>
      </c>
      <c r="G124" s="181" t="n">
        <v>4761.49094</v>
      </c>
      <c r="H124" s="181" t="n">
        <v>0</v>
      </c>
      <c r="I124" s="181" t="n">
        <v>122</v>
      </c>
      <c r="J124" s="181" t="n">
        <v>-47.198</v>
      </c>
      <c r="K124" s="181" t="n">
        <v>-32.6624</v>
      </c>
    </row>
    <row r="125" ht="15" customHeight="1" s="28">
      <c r="A125" s="182" t="n">
        <v>1776642302</v>
      </c>
      <c r="B125" s="182" t="inlineStr">
        <is>
          <t>XAUUSD</t>
        </is>
      </c>
      <c r="C125" s="182" t="inlineStr">
        <is>
          <t>M15</t>
        </is>
      </c>
      <c r="D125" s="182" t="n">
        <v>4755.07</v>
      </c>
      <c r="E125" s="182" t="n">
        <v>4784.45482</v>
      </c>
      <c r="F125" s="182" t="n">
        <v>4755.50535</v>
      </c>
      <c r="G125" s="182" t="n">
        <v>4758.49815</v>
      </c>
      <c r="H125" s="182" t="n">
        <v>0</v>
      </c>
      <c r="I125" s="182" t="n">
        <v>123</v>
      </c>
      <c r="J125" s="182" t="n">
        <v>-43.9341</v>
      </c>
      <c r="K125" s="182" t="n">
        <v>-29.3848</v>
      </c>
    </row>
    <row r="126" ht="15" customHeight="1" s="28">
      <c r="A126" s="181" t="n">
        <v>1776643202</v>
      </c>
      <c r="B126" s="181" t="inlineStr">
        <is>
          <t>XAUUSD</t>
        </is>
      </c>
      <c r="C126" s="181" t="inlineStr">
        <is>
          <t>M15</t>
        </is>
      </c>
      <c r="D126" s="181" t="n">
        <v>4752.17</v>
      </c>
      <c r="E126" s="181" t="n">
        <v>4784.18722</v>
      </c>
      <c r="F126" s="181" t="n">
        <v>4758.26888</v>
      </c>
      <c r="G126" s="181" t="n">
        <v>4758.38351</v>
      </c>
      <c r="H126" s="181" t="n">
        <v>0</v>
      </c>
      <c r="I126" s="181" t="n">
        <v>124</v>
      </c>
      <c r="J126" s="181" t="n">
        <v>-46.5802</v>
      </c>
      <c r="K126" s="181" t="n">
        <v>-32.0172</v>
      </c>
    </row>
    <row r="127" ht="15" customHeight="1" s="28">
      <c r="A127" s="182" t="n">
        <v>1776644102</v>
      </c>
      <c r="B127" s="182" t="inlineStr">
        <is>
          <t>XAUUSD</t>
        </is>
      </c>
      <c r="C127" s="182" t="inlineStr">
        <is>
          <t>M15</t>
        </is>
      </c>
      <c r="D127" s="182" t="n">
        <v>4765.66</v>
      </c>
      <c r="E127" s="182" t="n">
        <v>4783.91962</v>
      </c>
      <c r="F127" s="182" t="n">
        <v>4763.91219</v>
      </c>
      <c r="G127" s="182" t="n">
        <v>4761.14785</v>
      </c>
      <c r="H127" s="182" t="n">
        <v>1</v>
      </c>
      <c r="I127" s="182" t="n">
        <v>125</v>
      </c>
      <c r="J127" s="182" t="n">
        <v>-32.8363</v>
      </c>
      <c r="K127" s="182" t="n">
        <v>-18.2596</v>
      </c>
    </row>
    <row r="128" ht="15" customHeight="1" s="28">
      <c r="A128" s="181" t="n">
        <v>1776645002</v>
      </c>
      <c r="B128" s="181" t="inlineStr">
        <is>
          <t>XAUUSD</t>
        </is>
      </c>
      <c r="C128" s="181" t="inlineStr">
        <is>
          <t>M15</t>
        </is>
      </c>
      <c r="D128" s="181" t="n">
        <v>4764.3</v>
      </c>
      <c r="E128" s="181" t="n">
        <v>4783.65201</v>
      </c>
      <c r="F128" s="181" t="n">
        <v>4771.48109</v>
      </c>
      <c r="G128" s="181" t="n">
        <v>4766.31447</v>
      </c>
      <c r="H128" s="181" t="n">
        <v>0</v>
      </c>
      <c r="I128" s="181" t="n">
        <v>126</v>
      </c>
      <c r="J128" s="181" t="n">
        <v>-33.9424</v>
      </c>
      <c r="K128" s="181" t="n">
        <v>-19.352</v>
      </c>
    </row>
    <row r="129" ht="15" customHeight="1" s="28">
      <c r="A129" s="182" t="n">
        <v>1776645902</v>
      </c>
      <c r="B129" s="182" t="inlineStr">
        <is>
          <t>XAUUSD</t>
        </is>
      </c>
      <c r="C129" s="182" t="inlineStr">
        <is>
          <t>M15</t>
        </is>
      </c>
      <c r="D129" s="182" t="n">
        <v>4772.93</v>
      </c>
      <c r="E129" s="182" t="n">
        <v>4783.38441</v>
      </c>
      <c r="F129" s="182" t="n">
        <v>4780.20504</v>
      </c>
      <c r="G129" s="182" t="n">
        <v>4773.25976</v>
      </c>
      <c r="H129" s="182" t="n">
        <v>0</v>
      </c>
      <c r="I129" s="182" t="n">
        <v>127</v>
      </c>
      <c r="J129" s="182" t="n">
        <v>-25.0585</v>
      </c>
      <c r="K129" s="182" t="n">
        <v>-10.4544</v>
      </c>
    </row>
    <row r="130" ht="15" customHeight="1" s="28">
      <c r="A130" s="181" t="n">
        <v>1776646802</v>
      </c>
      <c r="B130" s="181" t="inlineStr">
        <is>
          <t>XAUUSD</t>
        </is>
      </c>
      <c r="C130" s="181" t="inlineStr">
        <is>
          <t>M15</t>
        </is>
      </c>
      <c r="D130" s="181" t="n">
        <v>4793.92</v>
      </c>
      <c r="E130" s="181" t="n">
        <v>4783.1168</v>
      </c>
      <c r="F130" s="181" t="n">
        <v>4788.94333</v>
      </c>
      <c r="G130" s="181" t="n">
        <v>4781.10154</v>
      </c>
      <c r="H130" s="181" t="n">
        <v>0</v>
      </c>
      <c r="I130" s="181" t="n">
        <v>128</v>
      </c>
      <c r="J130" s="181" t="n">
        <v>-3.8147</v>
      </c>
      <c r="K130" s="181" t="n">
        <v>10.8032</v>
      </c>
    </row>
    <row r="131" ht="15" customHeight="1" s="28">
      <c r="A131" s="182" t="n">
        <v>1776647702</v>
      </c>
      <c r="B131" s="182" t="inlineStr">
        <is>
          <t>XAUUSD</t>
        </is>
      </c>
      <c r="C131" s="182" t="inlineStr">
        <is>
          <t>M15</t>
        </is>
      </c>
      <c r="D131" s="182" t="n">
        <v>4802.69</v>
      </c>
      <c r="E131" s="182" t="n">
        <v>4782.8492</v>
      </c>
      <c r="F131" s="182" t="n">
        <v>4796.27257</v>
      </c>
      <c r="G131" s="182" t="n">
        <v>4788.68706</v>
      </c>
      <c r="H131" s="182" t="n">
        <v>0</v>
      </c>
      <c r="I131" s="182" t="n">
        <v>129</v>
      </c>
      <c r="J131" s="182" t="n">
        <v>5.2092</v>
      </c>
      <c r="K131" s="182" t="n">
        <v>19.8408</v>
      </c>
    </row>
    <row r="132" ht="15" customHeight="1" s="28">
      <c r="A132" s="181" t="n">
        <v>1776648602</v>
      </c>
      <c r="B132" s="181" t="inlineStr">
        <is>
          <t>XAUUSD</t>
        </is>
      </c>
      <c r="C132" s="181" t="inlineStr">
        <is>
          <t>M15</t>
        </is>
      </c>
      <c r="D132" s="181" t="n">
        <v>4807.2</v>
      </c>
      <c r="E132" s="181" t="n">
        <v>4782.5816</v>
      </c>
      <c r="F132" s="181" t="n">
        <v>4801.36294</v>
      </c>
      <c r="G132" s="181" t="n">
        <v>4795.025</v>
      </c>
      <c r="H132" s="181" t="n">
        <v>0</v>
      </c>
      <c r="I132" s="181" t="n">
        <v>130</v>
      </c>
      <c r="J132" s="181" t="n">
        <v>9.973100000000001</v>
      </c>
      <c r="K132" s="181" t="n">
        <v>24.6184</v>
      </c>
    </row>
    <row r="133" ht="15" customHeight="1" s="28">
      <c r="A133" s="182" t="n">
        <v>1776649502</v>
      </c>
      <c r="B133" s="182" t="inlineStr">
        <is>
          <t>XAUUSD</t>
        </is>
      </c>
      <c r="C133" s="182" t="inlineStr">
        <is>
          <t>M15</t>
        </is>
      </c>
      <c r="D133" s="182" t="n">
        <v>4807.6</v>
      </c>
      <c r="E133" s="182" t="n">
        <v>4782.31399</v>
      </c>
      <c r="F133" s="182" t="n">
        <v>4803.90859</v>
      </c>
      <c r="G133" s="182" t="n">
        <v>4799.4668</v>
      </c>
      <c r="H133" s="182" t="n">
        <v>0</v>
      </c>
      <c r="I133" s="182" t="n">
        <v>131</v>
      </c>
      <c r="J133" s="182" t="n">
        <v>10.627</v>
      </c>
      <c r="K133" s="182" t="n">
        <v>25.286</v>
      </c>
    </row>
    <row r="134" ht="15" customHeight="1" s="28">
      <c r="A134" s="181" t="n">
        <v>1776650402</v>
      </c>
      <c r="B134" s="181" t="inlineStr">
        <is>
          <t>XAUUSD</t>
        </is>
      </c>
      <c r="C134" s="181" t="inlineStr">
        <is>
          <t>M15</t>
        </is>
      </c>
      <c r="D134" s="181" t="n">
        <v>4800.99</v>
      </c>
      <c r="E134" s="181" t="n">
        <v>4782.04639</v>
      </c>
      <c r="F134" s="181" t="n">
        <v>4804.12047</v>
      </c>
      <c r="G134" s="181" t="n">
        <v>4801.79363</v>
      </c>
      <c r="H134" s="181" t="n">
        <v>0</v>
      </c>
      <c r="I134" s="181" t="n">
        <v>132</v>
      </c>
      <c r="J134" s="181" t="n">
        <v>4.2709</v>
      </c>
      <c r="K134" s="181" t="n">
        <v>18.9436</v>
      </c>
    </row>
    <row r="135" ht="15" customHeight="1" s="28">
      <c r="A135" s="182" t="n">
        <v>1776651302</v>
      </c>
      <c r="B135" s="182" t="inlineStr">
        <is>
          <t>XAUUSD</t>
        </is>
      </c>
      <c r="C135" s="182" t="inlineStr">
        <is>
          <t>M15</t>
        </is>
      </c>
      <c r="D135" s="182" t="n">
        <v>4800.46</v>
      </c>
      <c r="E135" s="182" t="n">
        <v>4781.77878</v>
      </c>
      <c r="F135" s="182" t="n">
        <v>4802.69386</v>
      </c>
      <c r="G135" s="182" t="n">
        <v>4802.24375</v>
      </c>
      <c r="H135" s="182" t="n">
        <v>0</v>
      </c>
      <c r="I135" s="182" t="n">
        <v>133</v>
      </c>
      <c r="J135" s="182" t="n">
        <v>3.9948</v>
      </c>
      <c r="K135" s="182" t="n">
        <v>18.6812</v>
      </c>
    </row>
    <row r="136" ht="15" customHeight="1" s="28">
      <c r="A136" s="181" t="n">
        <v>1776652202</v>
      </c>
      <c r="B136" s="181" t="inlineStr">
        <is>
          <t>XAUUSD</t>
        </is>
      </c>
      <c r="C136" s="181" t="inlineStr">
        <is>
          <t>M15</t>
        </is>
      </c>
      <c r="D136" s="181" t="n">
        <v>4796.33</v>
      </c>
      <c r="E136" s="181" t="n">
        <v>4781.51118</v>
      </c>
      <c r="F136" s="181" t="n">
        <v>4800.27677</v>
      </c>
      <c r="G136" s="181" t="n">
        <v>4801.26026</v>
      </c>
      <c r="H136" s="181" t="n">
        <v>1</v>
      </c>
      <c r="I136" s="181" t="n">
        <v>134</v>
      </c>
      <c r="J136" s="181" t="n">
        <v>0.1187</v>
      </c>
      <c r="K136" s="181" t="n">
        <v>14.8188</v>
      </c>
    </row>
    <row r="137" ht="15" customHeight="1" s="28">
      <c r="A137" s="182" t="n">
        <v>1776653102</v>
      </c>
      <c r="B137" s="182" t="inlineStr">
        <is>
          <t>XAUUSD</t>
        </is>
      </c>
      <c r="C137" s="182" t="inlineStr">
        <is>
          <t>M15</t>
        </is>
      </c>
      <c r="D137" s="182" t="n">
        <v>4797.41</v>
      </c>
      <c r="E137" s="182" t="n">
        <v>4781.24357</v>
      </c>
      <c r="F137" s="182" t="n">
        <v>4797.60853</v>
      </c>
      <c r="G137" s="182" t="n">
        <v>4799.43439</v>
      </c>
      <c r="H137" s="182" t="n">
        <v>0</v>
      </c>
      <c r="I137" s="182" t="n">
        <v>135</v>
      </c>
      <c r="J137" s="182" t="n">
        <v>1.4526</v>
      </c>
      <c r="K137" s="182" t="n">
        <v>16.1664</v>
      </c>
    </row>
    <row r="138" ht="15" customHeight="1" s="28">
      <c r="A138" s="181" t="n">
        <v>1776654002</v>
      </c>
      <c r="B138" s="181" t="inlineStr">
        <is>
          <t>XAUUSD</t>
        </is>
      </c>
      <c r="C138" s="181" t="inlineStr">
        <is>
          <t>M15</t>
        </is>
      </c>
      <c r="D138" s="181" t="n">
        <v>4791.47</v>
      </c>
      <c r="E138" s="181" t="n">
        <v>4780.97597</v>
      </c>
      <c r="F138" s="181" t="n">
        <v>4795.15064</v>
      </c>
      <c r="G138" s="181" t="n">
        <v>4797.29252</v>
      </c>
      <c r="H138" s="181" t="n">
        <v>0</v>
      </c>
      <c r="I138" s="181" t="n">
        <v>136</v>
      </c>
      <c r="J138" s="181" t="n">
        <v>-4.2335</v>
      </c>
      <c r="K138" s="181" t="n">
        <v>10.494</v>
      </c>
    </row>
    <row r="139" ht="15" customHeight="1" s="28">
      <c r="A139" s="182" t="n">
        <v>1776654902</v>
      </c>
      <c r="B139" s="182" t="inlineStr">
        <is>
          <t>XAUUSD</t>
        </is>
      </c>
      <c r="C139" s="182" t="inlineStr">
        <is>
          <t>M15</t>
        </is>
      </c>
      <c r="D139" s="182" t="n">
        <v>4795.1</v>
      </c>
      <c r="E139" s="182" t="n">
        <v>4780.70837</v>
      </c>
      <c r="F139" s="182" t="n">
        <v>4793.34583</v>
      </c>
      <c r="G139" s="182" t="n">
        <v>4795.31917</v>
      </c>
      <c r="H139" s="182" t="n">
        <v>0</v>
      </c>
      <c r="I139" s="182" t="n">
        <v>137</v>
      </c>
      <c r="J139" s="182" t="n">
        <v>-0.3496</v>
      </c>
      <c r="K139" s="182" t="n">
        <v>14.3916</v>
      </c>
    </row>
    <row r="140" ht="15" customHeight="1" s="28">
      <c r="A140" s="181" t="n">
        <v>1776655802</v>
      </c>
      <c r="B140" s="181" t="inlineStr">
        <is>
          <t>XAUUSD</t>
        </is>
      </c>
      <c r="C140" s="181" t="inlineStr">
        <is>
          <t>M15</t>
        </is>
      </c>
      <c r="D140" s="181" t="n">
        <v>4793.76</v>
      </c>
      <c r="E140" s="181" t="n">
        <v>4780.44076</v>
      </c>
      <c r="F140" s="181" t="n">
        <v>4792.13821</v>
      </c>
      <c r="G140" s="181" t="n">
        <v>4793.72869</v>
      </c>
      <c r="H140" s="181" t="n">
        <v>0</v>
      </c>
      <c r="I140" s="181" t="n">
        <v>138</v>
      </c>
      <c r="J140" s="181" t="n">
        <v>-1.4357</v>
      </c>
      <c r="K140" s="181" t="n">
        <v>13.3192</v>
      </c>
    </row>
    <row r="141" ht="15" customHeight="1" s="28">
      <c r="A141" s="182" t="n">
        <v>1776656702</v>
      </c>
      <c r="B141" s="182" t="inlineStr">
        <is>
          <t>XAUUSD</t>
        </is>
      </c>
      <c r="C141" s="182" t="inlineStr">
        <is>
          <t>M15</t>
        </is>
      </c>
      <c r="D141" s="182" t="n">
        <v>4790.91</v>
      </c>
      <c r="E141" s="182" t="n">
        <v>4780.17316</v>
      </c>
      <c r="F141" s="182" t="n">
        <v>4791.42163</v>
      </c>
      <c r="G141" s="182" t="n">
        <v>4792.57516</v>
      </c>
      <c r="H141" s="182" t="n">
        <v>0</v>
      </c>
      <c r="I141" s="182" t="n">
        <v>139</v>
      </c>
      <c r="J141" s="182" t="n">
        <v>-4.0318</v>
      </c>
      <c r="K141" s="182" t="n">
        <v>10.7368</v>
      </c>
    </row>
    <row r="142" ht="15" customHeight="1" s="28">
      <c r="A142" s="181" t="n">
        <v>1776657602</v>
      </c>
      <c r="B142" s="181" t="inlineStr">
        <is>
          <t>XAUUSD</t>
        </is>
      </c>
      <c r="C142" s="181" t="inlineStr">
        <is>
          <t>M15</t>
        </is>
      </c>
      <c r="D142" s="181" t="n">
        <v>4793.12</v>
      </c>
      <c r="E142" s="181" t="n">
        <v>4779.90555</v>
      </c>
      <c r="F142" s="181" t="n">
        <v>4791.00434</v>
      </c>
      <c r="G142" s="181" t="n">
        <v>4791.78975</v>
      </c>
      <c r="H142" s="181" t="n">
        <v>0</v>
      </c>
      <c r="I142" s="181" t="n">
        <v>140</v>
      </c>
      <c r="J142" s="181" t="n">
        <v>-1.5679</v>
      </c>
      <c r="K142" s="181" t="n">
        <v>13.2144</v>
      </c>
    </row>
    <row r="143" ht="15" customHeight="1" s="28">
      <c r="A143" s="182" t="n">
        <v>1776658502</v>
      </c>
      <c r="B143" s="182" t="inlineStr">
        <is>
          <t>XAUUSD</t>
        </is>
      </c>
      <c r="C143" s="182" t="inlineStr">
        <is>
          <t>M15</t>
        </is>
      </c>
      <c r="D143" s="182" t="n">
        <v>4794.79</v>
      </c>
      <c r="E143" s="182" t="n">
        <v>4779.63795</v>
      </c>
      <c r="F143" s="182" t="n">
        <v>4790.52726</v>
      </c>
      <c r="G143" s="182" t="n">
        <v>4791.15851</v>
      </c>
      <c r="H143" s="182" t="n">
        <v>0</v>
      </c>
      <c r="I143" s="182" t="n">
        <v>141</v>
      </c>
      <c r="J143" s="182" t="n">
        <v>0.356</v>
      </c>
      <c r="K143" s="182" t="n">
        <v>15.152</v>
      </c>
    </row>
    <row r="144" ht="15" customHeight="1" s="28">
      <c r="A144" s="181" t="n">
        <v>1776659402</v>
      </c>
      <c r="B144" s="181" t="inlineStr">
        <is>
          <t>XAUUSD</t>
        </is>
      </c>
      <c r="C144" s="181" t="inlineStr">
        <is>
          <t>M15</t>
        </is>
      </c>
      <c r="D144" s="181" t="n">
        <v>4787.34</v>
      </c>
      <c r="E144" s="181" t="n">
        <v>4779.37035</v>
      </c>
      <c r="F144" s="181" t="n">
        <v>4789.74327</v>
      </c>
      <c r="G144" s="181" t="n">
        <v>4790.45089</v>
      </c>
      <c r="H144" s="181" t="n">
        <v>0</v>
      </c>
      <c r="I144" s="181" t="n">
        <v>142</v>
      </c>
      <c r="J144" s="181" t="n">
        <v>-6.8401</v>
      </c>
      <c r="K144" s="181" t="n">
        <v>7.9697</v>
      </c>
    </row>
    <row r="145" ht="15" customHeight="1" s="28">
      <c r="A145" s="182" t="n">
        <v>1776660302</v>
      </c>
      <c r="B145" s="182" t="inlineStr">
        <is>
          <t>XAUUSD</t>
        </is>
      </c>
      <c r="C145" s="182" t="inlineStr">
        <is>
          <t>M15</t>
        </is>
      </c>
      <c r="D145" s="182" t="n">
        <v>4789.02</v>
      </c>
      <c r="E145" s="182" t="n">
        <v>4779.10274</v>
      </c>
      <c r="F145" s="182" t="n">
        <v>4788.84509</v>
      </c>
      <c r="G145" s="182" t="n">
        <v>4789.64799</v>
      </c>
      <c r="H145" s="182" t="n">
        <v>0</v>
      </c>
      <c r="I145" s="182" t="n">
        <v>143</v>
      </c>
      <c r="J145" s="182" t="n">
        <v>-4.9062</v>
      </c>
      <c r="K145" s="182" t="n">
        <v>9.917299999999999</v>
      </c>
    </row>
    <row r="146" ht="15" customHeight="1" s="28">
      <c r="A146" s="181" t="n">
        <v>1776661202</v>
      </c>
      <c r="B146" s="181" t="inlineStr">
        <is>
          <t>XAUUSD</t>
        </is>
      </c>
      <c r="C146" s="181" t="inlineStr">
        <is>
          <t>M15</t>
        </is>
      </c>
      <c r="D146" s="181" t="n">
        <v>4786.62</v>
      </c>
      <c r="E146" s="181" t="n">
        <v>4778.83514</v>
      </c>
      <c r="F146" s="181" t="n">
        <v>4787.90806</v>
      </c>
      <c r="G146" s="181" t="n">
        <v>4788.77802</v>
      </c>
      <c r="H146" s="181" t="n">
        <v>0</v>
      </c>
      <c r="I146" s="181" t="n">
        <v>144</v>
      </c>
      <c r="J146" s="181" t="n">
        <v>-7.0523</v>
      </c>
      <c r="K146" s="181" t="n">
        <v>7.7849</v>
      </c>
    </row>
    <row r="147" ht="15" customHeight="1" s="28">
      <c r="A147" s="182" t="n">
        <v>1776662102</v>
      </c>
      <c r="B147" s="182" t="inlineStr">
        <is>
          <t>XAUUSD</t>
        </is>
      </c>
      <c r="C147" s="182" t="inlineStr">
        <is>
          <t>M15</t>
        </is>
      </c>
      <c r="D147" s="182" t="n">
        <v>4788.05</v>
      </c>
      <c r="E147" s="182" t="n">
        <v>4778.56753</v>
      </c>
      <c r="F147" s="182" t="n">
        <v>4787.20744</v>
      </c>
      <c r="G147" s="182" t="n">
        <v>4787.99273</v>
      </c>
      <c r="H147" s="182" t="n">
        <v>0</v>
      </c>
      <c r="I147" s="182" t="n">
        <v>145</v>
      </c>
      <c r="J147" s="182" t="n">
        <v>-5.3684</v>
      </c>
      <c r="K147" s="182" t="n">
        <v>9.4825</v>
      </c>
    </row>
    <row r="148" ht="15" customHeight="1" s="28">
      <c r="A148" s="181" t="n">
        <v>1776663002</v>
      </c>
      <c r="B148" s="181" t="inlineStr">
        <is>
          <t>XAUUSD</t>
        </is>
      </c>
      <c r="C148" s="181" t="inlineStr">
        <is>
          <t>M15</t>
        </is>
      </c>
      <c r="D148" s="181" t="n">
        <v>4780.97</v>
      </c>
      <c r="E148" s="181" t="n">
        <v>4778.29993</v>
      </c>
      <c r="F148" s="181" t="n">
        <v>4786.92061</v>
      </c>
      <c r="G148" s="181" t="n">
        <v>4787.45667</v>
      </c>
      <c r="H148" s="181" t="n">
        <v>0</v>
      </c>
      <c r="I148" s="181" t="n">
        <v>146</v>
      </c>
      <c r="J148" s="181" t="n">
        <v>-12.1945</v>
      </c>
      <c r="K148" s="181" t="n">
        <v>2.6701</v>
      </c>
    </row>
    <row r="149" ht="15" customHeight="1" s="28">
      <c r="A149" s="182" t="n">
        <v>1776663902</v>
      </c>
      <c r="B149" s="182" t="inlineStr">
        <is>
          <t>XAUUSD</t>
        </is>
      </c>
      <c r="C149" s="182" t="inlineStr">
        <is>
          <t>M15</t>
        </is>
      </c>
      <c r="D149" s="182" t="n">
        <v>4790.87</v>
      </c>
      <c r="E149" s="182" t="n">
        <v>4778.03233</v>
      </c>
      <c r="F149" s="182" t="n">
        <v>4787.43444</v>
      </c>
      <c r="G149" s="182" t="n">
        <v>4787.44556</v>
      </c>
      <c r="H149" s="182" t="n">
        <v>0</v>
      </c>
      <c r="I149" s="182" t="n">
        <v>147</v>
      </c>
      <c r="J149" s="182" t="n">
        <v>-2.0406</v>
      </c>
      <c r="K149" s="182" t="n">
        <v>12.8377</v>
      </c>
    </row>
    <row r="150" ht="15" customHeight="1" s="28">
      <c r="A150" s="181" t="n">
        <v>1776664802</v>
      </c>
      <c r="B150" s="181" t="inlineStr">
        <is>
          <t>XAUUSD</t>
        </is>
      </c>
      <c r="C150" s="181" t="inlineStr">
        <is>
          <t>M15</t>
        </is>
      </c>
      <c r="D150" s="181" t="n">
        <v>4790.56</v>
      </c>
      <c r="E150" s="181" t="n">
        <v>4777.76472</v>
      </c>
      <c r="F150" s="181" t="n">
        <v>4788.48188</v>
      </c>
      <c r="G150" s="181" t="n">
        <v>4787.96372</v>
      </c>
      <c r="H150" s="181" t="n">
        <v>1</v>
      </c>
      <c r="I150" s="181" t="n">
        <v>148</v>
      </c>
      <c r="J150" s="181" t="n">
        <v>-2.0967</v>
      </c>
      <c r="K150" s="181" t="n">
        <v>12.7953</v>
      </c>
    </row>
    <row r="151" ht="15" customHeight="1" s="28">
      <c r="A151" s="182" t="n">
        <v>1776665702</v>
      </c>
      <c r="B151" s="182" t="inlineStr">
        <is>
          <t>XAUUSD</t>
        </is>
      </c>
      <c r="C151" s="182" t="inlineStr">
        <is>
          <t>M15</t>
        </is>
      </c>
      <c r="D151" s="182" t="n">
        <v>4786.12</v>
      </c>
      <c r="E151" s="182" t="n">
        <v>4777.49712</v>
      </c>
      <c r="F151" s="182" t="n">
        <v>4789.95339</v>
      </c>
      <c r="G151" s="182" t="n">
        <v>4788.95855</v>
      </c>
      <c r="H151" s="182" t="n">
        <v>0</v>
      </c>
      <c r="I151" s="182" t="n">
        <v>149</v>
      </c>
      <c r="J151" s="182" t="n">
        <v>-6.2828</v>
      </c>
      <c r="K151" s="182" t="n">
        <v>8.6229</v>
      </c>
    </row>
    <row r="152" ht="15" customHeight="1" s="28">
      <c r="A152" s="181" t="n">
        <v>1776666602</v>
      </c>
      <c r="B152" s="181" t="inlineStr">
        <is>
          <t>XAUUSD</t>
        </is>
      </c>
      <c r="C152" s="181" t="inlineStr">
        <is>
          <t>M15</t>
        </is>
      </c>
      <c r="D152" s="181" t="n">
        <v>4790.24</v>
      </c>
      <c r="E152" s="181" t="n">
        <v>4777.22951</v>
      </c>
      <c r="F152" s="181" t="n">
        <v>4791.73886</v>
      </c>
      <c r="G152" s="181" t="n">
        <v>4790.34871</v>
      </c>
      <c r="H152" s="181" t="n">
        <v>0</v>
      </c>
      <c r="I152" s="181" t="n">
        <v>150</v>
      </c>
      <c r="J152" s="181" t="n">
        <v>-1.909</v>
      </c>
      <c r="K152" s="181" t="n">
        <v>13.0105</v>
      </c>
    </row>
    <row r="153" ht="15" customHeight="1" s="28">
      <c r="A153" s="182" t="n">
        <v>1776667502</v>
      </c>
      <c r="B153" s="182" t="inlineStr">
        <is>
          <t>XAUUSD</t>
        </is>
      </c>
      <c r="C153" s="182" t="inlineStr">
        <is>
          <t>M15</t>
        </is>
      </c>
      <c r="D153" s="182" t="n">
        <v>4795.46</v>
      </c>
      <c r="E153" s="182" t="n">
        <v>4776.96191</v>
      </c>
      <c r="F153" s="182" t="n">
        <v>4793.43341</v>
      </c>
      <c r="G153" s="182" t="n">
        <v>4791.89106</v>
      </c>
      <c r="H153" s="182" t="n">
        <v>0</v>
      </c>
      <c r="I153" s="182" t="n">
        <v>151</v>
      </c>
      <c r="J153" s="182" t="n">
        <v>3.5649</v>
      </c>
      <c r="K153" s="182" t="n">
        <v>18.4981</v>
      </c>
    </row>
    <row r="154" ht="15" customHeight="1" s="28">
      <c r="A154" s="181" t="n">
        <v>1776668402</v>
      </c>
      <c r="B154" s="181" t="inlineStr">
        <is>
          <t>XAUUSD</t>
        </is>
      </c>
      <c r="C154" s="181" t="inlineStr">
        <is>
          <t>M15</t>
        </is>
      </c>
      <c r="D154" s="181" t="n">
        <v>4797.47</v>
      </c>
      <c r="E154" s="181" t="n">
        <v>4776.69431</v>
      </c>
      <c r="F154" s="181" t="n">
        <v>4794.61082</v>
      </c>
      <c r="G154" s="181" t="n">
        <v>4793.25094</v>
      </c>
      <c r="H154" s="181" t="n">
        <v>0</v>
      </c>
      <c r="I154" s="181" t="n">
        <v>152</v>
      </c>
      <c r="J154" s="181" t="n">
        <v>5.8288</v>
      </c>
      <c r="K154" s="181" t="n">
        <v>20.7757</v>
      </c>
    </row>
    <row r="155" ht="15" customHeight="1" s="28">
      <c r="A155" s="182" t="n">
        <v>1776669302</v>
      </c>
      <c r="B155" s="182" t="inlineStr">
        <is>
          <t>XAUUSD</t>
        </is>
      </c>
      <c r="C155" s="182" t="inlineStr">
        <is>
          <t>M15</t>
        </is>
      </c>
      <c r="D155" s="182" t="n">
        <v>4797.92</v>
      </c>
      <c r="E155" s="182" t="n">
        <v>4776.4267</v>
      </c>
      <c r="F155" s="182" t="n">
        <v>4795.1086</v>
      </c>
      <c r="G155" s="182" t="n">
        <v>4794.17977</v>
      </c>
      <c r="H155" s="182" t="n">
        <v>0</v>
      </c>
      <c r="I155" s="182" t="n">
        <v>153</v>
      </c>
      <c r="J155" s="182" t="n">
        <v>6.5327</v>
      </c>
      <c r="K155" s="182" t="n">
        <v>21.4933</v>
      </c>
    </row>
    <row r="156" ht="15" customHeight="1" s="28">
      <c r="A156" s="181" t="n">
        <v>1776670202</v>
      </c>
      <c r="B156" s="181" t="inlineStr">
        <is>
          <t>XAUUSD</t>
        </is>
      </c>
      <c r="C156" s="181" t="inlineStr">
        <is>
          <t>M15</t>
        </is>
      </c>
      <c r="D156" s="181" t="n">
        <v>4797.69</v>
      </c>
      <c r="E156" s="181" t="n">
        <v>4776.1591</v>
      </c>
      <c r="F156" s="181" t="n">
        <v>4794.93535</v>
      </c>
      <c r="G156" s="181" t="n">
        <v>4794.55756</v>
      </c>
      <c r="H156" s="181" t="n">
        <v>0</v>
      </c>
      <c r="I156" s="181" t="n">
        <v>154</v>
      </c>
      <c r="J156" s="181" t="n">
        <v>6.5566</v>
      </c>
      <c r="K156" s="181" t="n">
        <v>21.5309</v>
      </c>
    </row>
    <row r="157" ht="15" customHeight="1" s="28">
      <c r="A157" s="182" t="n">
        <v>1776671102</v>
      </c>
      <c r="B157" s="182" t="inlineStr">
        <is>
          <t>XAUUSD</t>
        </is>
      </c>
      <c r="C157" s="182" t="inlineStr">
        <is>
          <t>M15</t>
        </is>
      </c>
      <c r="D157" s="182" t="n">
        <v>4789.7</v>
      </c>
      <c r="E157" s="182" t="n">
        <v>4775.89149</v>
      </c>
      <c r="F157" s="182" t="n">
        <v>4794.27461</v>
      </c>
      <c r="G157" s="182" t="n">
        <v>4794.41608</v>
      </c>
      <c r="H157" s="182" t="n">
        <v>1</v>
      </c>
      <c r="I157" s="182" t="n">
        <v>155</v>
      </c>
      <c r="J157" s="182" t="n">
        <v>-1.1795</v>
      </c>
      <c r="K157" s="182" t="n">
        <v>13.8085</v>
      </c>
    </row>
    <row r="158" ht="15" customHeight="1" s="28">
      <c r="A158" s="181" t="n">
        <v>1776672002</v>
      </c>
      <c r="B158" s="181" t="inlineStr">
        <is>
          <t>XAUUSD</t>
        </is>
      </c>
      <c r="C158" s="181" t="inlineStr">
        <is>
          <t>M15</t>
        </is>
      </c>
      <c r="D158" s="181" t="n">
        <v>4789.48</v>
      </c>
      <c r="E158" s="181" t="n">
        <v>4775.62389</v>
      </c>
      <c r="F158" s="181" t="n">
        <v>4793.55397</v>
      </c>
      <c r="G158" s="181" t="n">
        <v>4793.98503</v>
      </c>
      <c r="H158" s="181" t="n">
        <v>0</v>
      </c>
      <c r="I158" s="181" t="n">
        <v>156</v>
      </c>
      <c r="J158" s="181" t="n">
        <v>-1.1456</v>
      </c>
      <c r="K158" s="181" t="n">
        <v>13.8561</v>
      </c>
    </row>
    <row r="159" ht="15" customHeight="1" s="28">
      <c r="A159" s="182" t="n">
        <v>1776672902</v>
      </c>
      <c r="B159" s="182" t="inlineStr">
        <is>
          <t>XAUUSD</t>
        </is>
      </c>
      <c r="C159" s="182" t="inlineStr">
        <is>
          <t>M15</t>
        </is>
      </c>
      <c r="D159" s="182" t="n">
        <v>4792.11</v>
      </c>
      <c r="E159" s="182" t="n">
        <v>4775.35628</v>
      </c>
      <c r="F159" s="182" t="n">
        <v>4793.04286</v>
      </c>
      <c r="G159" s="182" t="n">
        <v>4793.51395</v>
      </c>
      <c r="H159" s="182" t="n">
        <v>0</v>
      </c>
      <c r="I159" s="182" t="n">
        <v>157</v>
      </c>
      <c r="J159" s="182" t="n">
        <v>1.7383</v>
      </c>
      <c r="K159" s="182" t="n">
        <v>16.7537</v>
      </c>
    </row>
    <row r="160" ht="15" customHeight="1" s="28">
      <c r="A160" s="181" t="n">
        <v>1776673802</v>
      </c>
      <c r="B160" s="181" t="inlineStr">
        <is>
          <t>XAUUSD</t>
        </is>
      </c>
      <c r="C160" s="181" t="inlineStr">
        <is>
          <t>M15</t>
        </is>
      </c>
      <c r="D160" s="181" t="n">
        <v>4792.48</v>
      </c>
      <c r="E160" s="181" t="n">
        <v>4775.08868</v>
      </c>
      <c r="F160" s="181" t="n">
        <v>4792.82566</v>
      </c>
      <c r="G160" s="181" t="n">
        <v>4793.1698</v>
      </c>
      <c r="H160" s="181" t="n">
        <v>0</v>
      </c>
      <c r="I160" s="181" t="n">
        <v>158</v>
      </c>
      <c r="J160" s="181" t="n">
        <v>2.3622</v>
      </c>
      <c r="K160" s="181" t="n">
        <v>17.3913</v>
      </c>
    </row>
    <row r="161" ht="15" customHeight="1" s="28">
      <c r="A161" s="182" t="n">
        <v>1776674702</v>
      </c>
      <c r="B161" s="182" t="inlineStr">
        <is>
          <t>XAUUSD</t>
        </is>
      </c>
      <c r="C161" s="182" t="inlineStr">
        <is>
          <t>M15</t>
        </is>
      </c>
      <c r="D161" s="182" t="n">
        <v>4796.19</v>
      </c>
      <c r="E161" s="182" t="n">
        <v>4774.82108</v>
      </c>
      <c r="F161" s="182" t="n">
        <v>4792.91799</v>
      </c>
      <c r="G161" s="182" t="n">
        <v>4793.0439</v>
      </c>
      <c r="H161" s="182" t="n">
        <v>0</v>
      </c>
      <c r="I161" s="182" t="n">
        <v>159</v>
      </c>
      <c r="J161" s="182" t="n">
        <v>6.3261</v>
      </c>
      <c r="K161" s="182" t="n">
        <v>21.3689</v>
      </c>
    </row>
    <row r="162" ht="15" customHeight="1" s="28">
      <c r="A162" s="181" t="n">
        <v>1776675602</v>
      </c>
      <c r="B162" s="181" t="inlineStr">
        <is>
          <t>XAUUSD</t>
        </is>
      </c>
      <c r="C162" s="181" t="inlineStr">
        <is>
          <t>M15</t>
        </is>
      </c>
      <c r="D162" s="181" t="n">
        <v>4796.07</v>
      </c>
      <c r="E162" s="181" t="n">
        <v>4774.55347</v>
      </c>
      <c r="F162" s="181" t="n">
        <v>4793.16111</v>
      </c>
      <c r="G162" s="181" t="n">
        <v>4793.1025</v>
      </c>
      <c r="H162" s="181" t="n">
        <v>1</v>
      </c>
      <c r="I162" s="181" t="n">
        <v>160</v>
      </c>
      <c r="J162" s="181" t="n">
        <v>6.46</v>
      </c>
      <c r="K162" s="181" t="n">
        <v>21.5165</v>
      </c>
    </row>
    <row r="163" ht="15" customHeight="1" s="28">
      <c r="A163" s="182" t="n">
        <v>1776676502</v>
      </c>
      <c r="B163" s="182" t="inlineStr">
        <is>
          <t>XAUUSD</t>
        </is>
      </c>
      <c r="C163" s="182" t="inlineStr">
        <is>
          <t>M15</t>
        </is>
      </c>
      <c r="D163" s="182" t="n">
        <v>4792.33</v>
      </c>
      <c r="E163" s="182" t="n">
        <v>4774.28587</v>
      </c>
      <c r="F163" s="182" t="n">
        <v>4793.45986</v>
      </c>
      <c r="G163" s="182" t="n">
        <v>4793.28118</v>
      </c>
      <c r="H163" s="182" t="n">
        <v>0</v>
      </c>
      <c r="I163" s="182" t="n">
        <v>161</v>
      </c>
      <c r="J163" s="182" t="n">
        <v>2.9739</v>
      </c>
      <c r="K163" s="182" t="n">
        <v>18.0441</v>
      </c>
    </row>
    <row r="164" ht="15" customHeight="1" s="28">
      <c r="A164" s="181" t="n">
        <v>1776677402</v>
      </c>
      <c r="B164" s="181" t="inlineStr">
        <is>
          <t>XAUUSD</t>
        </is>
      </c>
      <c r="C164" s="181" t="inlineStr">
        <is>
          <t>M15</t>
        </is>
      </c>
      <c r="D164" s="181" t="n">
        <v>4791.96</v>
      </c>
      <c r="E164" s="181" t="n">
        <v>4774.01826</v>
      </c>
      <c r="F164" s="181" t="n">
        <v>4793.8042</v>
      </c>
      <c r="G164" s="181" t="n">
        <v>4793.54269</v>
      </c>
      <c r="H164" s="181" t="n">
        <v>0</v>
      </c>
      <c r="I164" s="181" t="n">
        <v>162</v>
      </c>
      <c r="J164" s="181" t="n">
        <v>2.8578</v>
      </c>
      <c r="K164" s="181" t="n">
        <v>17.9417</v>
      </c>
    </row>
    <row r="165" ht="15" customHeight="1" s="28">
      <c r="A165" s="182" t="n">
        <v>1776678302</v>
      </c>
      <c r="B165" s="182" t="inlineStr">
        <is>
          <t>XAUUSD</t>
        </is>
      </c>
      <c r="C165" s="182" t="inlineStr">
        <is>
          <t>M15</t>
        </is>
      </c>
      <c r="D165" s="182" t="n">
        <v>4791.6</v>
      </c>
      <c r="E165" s="182" t="n">
        <v>4773.75066</v>
      </c>
      <c r="F165" s="182" t="n">
        <v>4794.11574</v>
      </c>
      <c r="G165" s="182" t="n">
        <v>4793.82922</v>
      </c>
      <c r="H165" s="182" t="n">
        <v>0</v>
      </c>
      <c r="I165" s="182" t="n">
        <v>163</v>
      </c>
      <c r="J165" s="182" t="n">
        <v>2.7517</v>
      </c>
      <c r="K165" s="182" t="n">
        <v>17.8493</v>
      </c>
    </row>
    <row r="166" ht="15" customHeight="1" s="28">
      <c r="A166" s="181" t="n">
        <v>1776679202</v>
      </c>
      <c r="B166" s="181" t="inlineStr">
        <is>
          <t>XAUUSD</t>
        </is>
      </c>
      <c r="C166" s="181" t="inlineStr">
        <is>
          <t>M15</t>
        </is>
      </c>
      <c r="D166" s="181" t="n">
        <v>4795.76</v>
      </c>
      <c r="E166" s="181" t="n">
        <v>4773.48306</v>
      </c>
      <c r="F166" s="181" t="n">
        <v>4794.34499</v>
      </c>
      <c r="G166" s="181" t="n">
        <v>4794.08711</v>
      </c>
      <c r="H166" s="181" t="n">
        <v>0</v>
      </c>
      <c r="I166" s="181" t="n">
        <v>164</v>
      </c>
      <c r="J166" s="181" t="n">
        <v>7.1656</v>
      </c>
      <c r="K166" s="181" t="n">
        <v>22.2769</v>
      </c>
    </row>
    <row r="167" ht="15" customHeight="1" s="28">
      <c r="A167" s="182" t="n">
        <v>1776680102</v>
      </c>
      <c r="B167" s="182" t="inlineStr">
        <is>
          <t>XAUUSD</t>
        </is>
      </c>
      <c r="C167" s="182" t="inlineStr">
        <is>
          <t>M15</t>
        </is>
      </c>
      <c r="D167" s="182" t="n">
        <v>4798.24</v>
      </c>
      <c r="E167" s="182" t="n">
        <v>4773.21545</v>
      </c>
      <c r="F167" s="182" t="n">
        <v>4794.39122</v>
      </c>
      <c r="G167" s="182" t="n">
        <v>4794.23917</v>
      </c>
      <c r="H167" s="182" t="n">
        <v>0</v>
      </c>
      <c r="I167" s="182" t="n">
        <v>165</v>
      </c>
      <c r="J167" s="182" t="n">
        <v>9.8995</v>
      </c>
      <c r="K167" s="182" t="n">
        <v>25.0246</v>
      </c>
    </row>
    <row r="168" ht="15" customHeight="1" s="28">
      <c r="A168" s="181" t="n">
        <v>1776681002</v>
      </c>
      <c r="B168" s="181" t="inlineStr">
        <is>
          <t>XAUUSD</t>
        </is>
      </c>
      <c r="C168" s="181" t="inlineStr">
        <is>
          <t>M15</t>
        </is>
      </c>
      <c r="D168" s="181" t="n">
        <v>4795.08</v>
      </c>
      <c r="E168" s="181" t="n">
        <v>4772.94785</v>
      </c>
      <c r="F168" s="181" t="n">
        <v>4794.27887</v>
      </c>
      <c r="G168" s="181" t="n">
        <v>4794.25902</v>
      </c>
      <c r="H168" s="181" t="n">
        <v>0</v>
      </c>
      <c r="I168" s="181" t="n">
        <v>166</v>
      </c>
      <c r="J168" s="181" t="n">
        <v>6.9934</v>
      </c>
      <c r="K168" s="181" t="n">
        <v>22.1322</v>
      </c>
    </row>
    <row r="169" ht="15" customHeight="1" s="28">
      <c r="A169" s="182" t="n">
        <v>1776681902</v>
      </c>
      <c r="B169" s="182" t="inlineStr">
        <is>
          <t>XAUUSD</t>
        </is>
      </c>
      <c r="C169" s="182" t="inlineStr">
        <is>
          <t>M15</t>
        </is>
      </c>
      <c r="D169" s="182" t="n">
        <v>4795.91</v>
      </c>
      <c r="E169" s="182" t="n">
        <v>4772.68024</v>
      </c>
      <c r="F169" s="182" t="n">
        <v>4794.26873</v>
      </c>
      <c r="G169" s="182" t="n">
        <v>4794.26387</v>
      </c>
      <c r="H169" s="182" t="n">
        <v>0</v>
      </c>
      <c r="I169" s="182" t="n">
        <v>167</v>
      </c>
      <c r="J169" s="182" t="n">
        <v>8.077299999999999</v>
      </c>
      <c r="K169" s="182" t="n">
        <v>23.2298</v>
      </c>
    </row>
    <row r="170" ht="15" customHeight="1" s="28">
      <c r="A170" s="181" t="n">
        <v>1776682802</v>
      </c>
      <c r="B170" s="181" t="inlineStr">
        <is>
          <t>XAUUSD</t>
        </is>
      </c>
      <c r="C170" s="181" t="inlineStr">
        <is>
          <t>M15</t>
        </is>
      </c>
      <c r="D170" s="181" t="n">
        <v>4789.77</v>
      </c>
      <c r="E170" s="181" t="n">
        <v>4772.41264</v>
      </c>
      <c r="F170" s="181" t="n">
        <v>4794.56929</v>
      </c>
      <c r="G170" s="181" t="n">
        <v>4794.41658</v>
      </c>
      <c r="H170" s="181" t="n">
        <v>0</v>
      </c>
      <c r="I170" s="181" t="n">
        <v>168</v>
      </c>
      <c r="J170" s="181" t="n">
        <v>2.1912</v>
      </c>
      <c r="K170" s="181" t="n">
        <v>17.3574</v>
      </c>
    </row>
    <row r="171" ht="15" customHeight="1" s="28">
      <c r="A171" s="182" t="n">
        <v>1776683702</v>
      </c>
      <c r="B171" s="182" t="inlineStr">
        <is>
          <t>XAUUSD</t>
        </is>
      </c>
      <c r="C171" s="182" t="inlineStr">
        <is>
          <t>M15</t>
        </is>
      </c>
      <c r="D171" s="182" t="n">
        <v>4788.34</v>
      </c>
      <c r="E171" s="182" t="n">
        <v>4772.14504</v>
      </c>
      <c r="F171" s="182" t="n">
        <v>4795.57866</v>
      </c>
      <c r="G171" s="182" t="n">
        <v>4794.99762</v>
      </c>
      <c r="H171" s="182" t="n">
        <v>0</v>
      </c>
      <c r="I171" s="182" t="n">
        <v>169</v>
      </c>
      <c r="J171" s="182" t="n">
        <v>1.0151</v>
      </c>
      <c r="K171" s="182" t="n">
        <v>16.195</v>
      </c>
    </row>
    <row r="172" ht="15" customHeight="1" s="28">
      <c r="A172" s="181" t="n">
        <v>1776684602</v>
      </c>
      <c r="B172" s="181" t="inlineStr">
        <is>
          <t>XAUUSD</t>
        </is>
      </c>
      <c r="C172" s="181" t="inlineStr">
        <is>
          <t>M15</t>
        </is>
      </c>
      <c r="D172" s="181" t="n">
        <v>4794.36</v>
      </c>
      <c r="E172" s="181" t="n">
        <v>4771.87743</v>
      </c>
      <c r="F172" s="181" t="n">
        <v>4797.4928</v>
      </c>
      <c r="G172" s="181" t="n">
        <v>4796.24521</v>
      </c>
      <c r="H172" s="181" t="n">
        <v>0</v>
      </c>
      <c r="I172" s="181" t="n">
        <v>170</v>
      </c>
      <c r="J172" s="181" t="n">
        <v>7.289</v>
      </c>
      <c r="K172" s="181" t="n">
        <v>22.4826</v>
      </c>
    </row>
    <row r="173" ht="15" customHeight="1" s="28">
      <c r="A173" s="182" t="n">
        <v>1776685502</v>
      </c>
      <c r="B173" s="182" t="inlineStr">
        <is>
          <t>XAUUSD</t>
        </is>
      </c>
      <c r="C173" s="182" t="inlineStr">
        <is>
          <t>M15</t>
        </is>
      </c>
      <c r="D173" s="182" t="n">
        <v>4810.44</v>
      </c>
      <c r="E173" s="182" t="n">
        <v>4771.60983</v>
      </c>
      <c r="F173" s="182" t="n">
        <v>4800.16394</v>
      </c>
      <c r="G173" s="182" t="n">
        <v>4798.20457</v>
      </c>
      <c r="H173" s="182" t="n">
        <v>0</v>
      </c>
      <c r="I173" s="182" t="n">
        <v>171</v>
      </c>
      <c r="J173" s="182" t="n">
        <v>23.6229</v>
      </c>
      <c r="K173" s="182" t="n">
        <v>38.8302</v>
      </c>
    </row>
    <row r="174" ht="15" customHeight="1" s="28">
      <c r="A174" s="181" t="n">
        <v>1776686402</v>
      </c>
      <c r="B174" s="181" t="inlineStr">
        <is>
          <t>XAUUSD</t>
        </is>
      </c>
      <c r="C174" s="181" t="inlineStr">
        <is>
          <t>M15</t>
        </is>
      </c>
      <c r="D174" s="181" t="n">
        <v>4811.06</v>
      </c>
      <c r="E174" s="181" t="n">
        <v>4771.34222</v>
      </c>
      <c r="F174" s="181" t="n">
        <v>4803.09739</v>
      </c>
      <c r="G174" s="181" t="n">
        <v>4800.65098</v>
      </c>
      <c r="H174" s="181" t="n">
        <v>0</v>
      </c>
      <c r="I174" s="181" t="n">
        <v>172</v>
      </c>
      <c r="J174" s="181" t="n">
        <v>24.4968</v>
      </c>
      <c r="K174" s="181" t="n">
        <v>39.7178</v>
      </c>
    </row>
    <row r="175" ht="15" customHeight="1" s="28">
      <c r="A175" s="182" t="n">
        <v>1776687302</v>
      </c>
      <c r="B175" s="182" t="inlineStr">
        <is>
          <t>XAUUSD</t>
        </is>
      </c>
      <c r="C175" s="182" t="inlineStr">
        <is>
          <t>M15</t>
        </is>
      </c>
      <c r="D175" s="182" t="n">
        <v>4805.51</v>
      </c>
      <c r="E175" s="182" t="n">
        <v>4771.07462</v>
      </c>
      <c r="F175" s="182" t="n">
        <v>4806.21525</v>
      </c>
      <c r="G175" s="182" t="n">
        <v>4803.43311</v>
      </c>
      <c r="H175" s="182" t="n">
        <v>0</v>
      </c>
      <c r="I175" s="182" t="n">
        <v>173</v>
      </c>
      <c r="J175" s="182" t="n">
        <v>19.2006</v>
      </c>
      <c r="K175" s="182" t="n">
        <v>34.4354</v>
      </c>
    </row>
    <row r="176" ht="15" customHeight="1" s="28">
      <c r="A176" s="181" t="n">
        <v>1776688202</v>
      </c>
      <c r="B176" s="181" t="inlineStr">
        <is>
          <t>XAUUSD</t>
        </is>
      </c>
      <c r="C176" s="181" t="inlineStr">
        <is>
          <t>M15</t>
        </is>
      </c>
      <c r="D176" s="181" t="n">
        <v>4806.11</v>
      </c>
      <c r="E176" s="181" t="n">
        <v>4770.80702</v>
      </c>
      <c r="F176" s="181" t="n">
        <v>4809.55679</v>
      </c>
      <c r="G176" s="181" t="n">
        <v>4806.49495</v>
      </c>
      <c r="H176" s="181" t="n">
        <v>0</v>
      </c>
      <c r="I176" s="181" t="n">
        <v>174</v>
      </c>
      <c r="J176" s="181" t="n">
        <v>20.0545</v>
      </c>
      <c r="K176" s="181" t="n">
        <v>35.303</v>
      </c>
    </row>
    <row r="177" ht="15" customHeight="1" s="28">
      <c r="A177" s="182" t="n">
        <v>1776689102</v>
      </c>
      <c r="B177" s="182" t="inlineStr">
        <is>
          <t>XAUUSD</t>
        </is>
      </c>
      <c r="C177" s="182" t="inlineStr">
        <is>
          <t>M15</t>
        </is>
      </c>
      <c r="D177" s="182" t="n">
        <v>4803.49</v>
      </c>
      <c r="E177" s="182" t="n">
        <v>4770.53941</v>
      </c>
      <c r="F177" s="182" t="n">
        <v>4812.94601</v>
      </c>
      <c r="G177" s="182" t="n">
        <v>4809.72048</v>
      </c>
      <c r="H177" s="182" t="n">
        <v>0</v>
      </c>
      <c r="I177" s="182" t="n">
        <v>175</v>
      </c>
      <c r="J177" s="182" t="n">
        <v>17.6884</v>
      </c>
      <c r="K177" s="182" t="n">
        <v>32.9506</v>
      </c>
    </row>
    <row r="178" ht="15" customHeight="1" s="28">
      <c r="A178" s="181" t="n">
        <v>1776690002</v>
      </c>
      <c r="B178" s="181" t="inlineStr">
        <is>
          <t>XAUUSD</t>
        </is>
      </c>
      <c r="C178" s="181" t="inlineStr">
        <is>
          <t>M15</t>
        </is>
      </c>
      <c r="D178" s="181" t="n">
        <v>4815.51</v>
      </c>
      <c r="E178" s="181" t="n">
        <v>4770.27181</v>
      </c>
      <c r="F178" s="181" t="n">
        <v>4816.20475</v>
      </c>
      <c r="G178" s="181" t="n">
        <v>4812.96261</v>
      </c>
      <c r="H178" s="181" t="n">
        <v>0</v>
      </c>
      <c r="I178" s="181" t="n">
        <v>176</v>
      </c>
      <c r="J178" s="181" t="n">
        <v>29.9623</v>
      </c>
      <c r="K178" s="181" t="n">
        <v>45.2382</v>
      </c>
    </row>
    <row r="179" ht="15" customHeight="1" s="28">
      <c r="A179" s="182" t="n">
        <v>1776690902</v>
      </c>
      <c r="B179" s="182" t="inlineStr">
        <is>
          <t>XAUUSD</t>
        </is>
      </c>
      <c r="C179" s="182" t="inlineStr">
        <is>
          <t>M15</t>
        </is>
      </c>
      <c r="D179" s="182" t="n">
        <v>4824.19</v>
      </c>
      <c r="E179" s="182" t="n">
        <v>4770.0042</v>
      </c>
      <c r="F179" s="182" t="n">
        <v>4818.71924</v>
      </c>
      <c r="G179" s="182" t="n">
        <v>4815.84093</v>
      </c>
      <c r="H179" s="182" t="n">
        <v>0</v>
      </c>
      <c r="I179" s="182" t="n">
        <v>177</v>
      </c>
      <c r="J179" s="182" t="n">
        <v>38.8962</v>
      </c>
      <c r="K179" s="182" t="n">
        <v>54.1858</v>
      </c>
    </row>
    <row r="180" ht="15" customHeight="1" s="28">
      <c r="A180" s="181" t="n">
        <v>1776691802</v>
      </c>
      <c r="B180" s="181" t="inlineStr">
        <is>
          <t>XAUUSD</t>
        </is>
      </c>
      <c r="C180" s="181" t="inlineStr">
        <is>
          <t>M15</t>
        </is>
      </c>
      <c r="D180" s="181" t="n">
        <v>4822.18</v>
      </c>
      <c r="E180" s="181" t="n">
        <v>4769.7366</v>
      </c>
      <c r="F180" s="181" t="n">
        <v>4819.96905</v>
      </c>
      <c r="G180" s="181" t="n">
        <v>4817.90499</v>
      </c>
      <c r="H180" s="181" t="n">
        <v>0</v>
      </c>
      <c r="I180" s="181" t="n">
        <v>178</v>
      </c>
      <c r="J180" s="181" t="n">
        <v>37.1401</v>
      </c>
      <c r="K180" s="181" t="n">
        <v>52.4434</v>
      </c>
    </row>
    <row r="181" ht="15" customHeight="1" s="28">
      <c r="A181" s="182" t="n">
        <v>1776692702</v>
      </c>
      <c r="B181" s="182" t="inlineStr">
        <is>
          <t>XAUUSD</t>
        </is>
      </c>
      <c r="C181" s="182" t="inlineStr">
        <is>
          <t>M15</t>
        </is>
      </c>
      <c r="D181" s="182" t="n">
        <v>4817.9</v>
      </c>
      <c r="E181" s="182" t="n">
        <v>4769.46899</v>
      </c>
      <c r="F181" s="182" t="n">
        <v>4819.8619</v>
      </c>
      <c r="G181" s="182" t="n">
        <v>4818.88344</v>
      </c>
      <c r="H181" s="182" t="n">
        <v>0</v>
      </c>
      <c r="I181" s="182" t="n">
        <v>179</v>
      </c>
      <c r="J181" s="182" t="n">
        <v>33.114</v>
      </c>
      <c r="K181" s="182" t="n">
        <v>48.431</v>
      </c>
    </row>
    <row r="182" ht="15" customHeight="1" s="28">
      <c r="A182" s="181" t="n">
        <v>1776693602</v>
      </c>
      <c r="B182" s="181" t="inlineStr">
        <is>
          <t>XAUUSD</t>
        </is>
      </c>
      <c r="C182" s="181" t="inlineStr">
        <is>
          <t>M15</t>
        </is>
      </c>
      <c r="D182" s="181" t="n">
        <v>4816.39</v>
      </c>
      <c r="E182" s="181" t="n">
        <v>4769.20139</v>
      </c>
      <c r="F182" s="181" t="n">
        <v>4818.54172</v>
      </c>
      <c r="G182" s="181" t="n">
        <v>4818.71258</v>
      </c>
      <c r="H182" s="181" t="n">
        <v>1</v>
      </c>
      <c r="I182" s="181" t="n">
        <v>180</v>
      </c>
      <c r="J182" s="181" t="n">
        <v>31.8579</v>
      </c>
      <c r="K182" s="181" t="n">
        <v>47.1886</v>
      </c>
    </row>
    <row r="183" ht="15" customHeight="1" s="28">
      <c r="A183" s="182" t="n">
        <v>1776694502</v>
      </c>
      <c r="B183" s="182" t="inlineStr">
        <is>
          <t>XAUUSD</t>
        </is>
      </c>
      <c r="C183" s="182" t="inlineStr">
        <is>
          <t>M15</t>
        </is>
      </c>
      <c r="D183" s="182" t="n">
        <v>4823.4</v>
      </c>
      <c r="E183" s="182" t="n">
        <v>4768.93379</v>
      </c>
      <c r="F183" s="182" t="n">
        <v>4816.18321</v>
      </c>
      <c r="G183" s="182" t="n">
        <v>4817.44789</v>
      </c>
      <c r="H183" s="182" t="n">
        <v>0</v>
      </c>
      <c r="I183" s="182" t="n">
        <v>181</v>
      </c>
      <c r="J183" s="182" t="n">
        <v>39.1218</v>
      </c>
      <c r="K183" s="182" t="n">
        <v>54.4662</v>
      </c>
    </row>
    <row r="184" ht="15" customHeight="1" s="28">
      <c r="A184" s="181" t="n">
        <v>1776695402</v>
      </c>
      <c r="B184" s="181" t="inlineStr">
        <is>
          <t>XAUUSD</t>
        </is>
      </c>
      <c r="C184" s="181" t="inlineStr">
        <is>
          <t>M15</t>
        </is>
      </c>
      <c r="D184" s="181" t="n">
        <v>4814.18</v>
      </c>
      <c r="E184" s="181" t="n">
        <v>4768.66618</v>
      </c>
      <c r="F184" s="181" t="n">
        <v>4812.84391</v>
      </c>
      <c r="G184" s="181" t="n">
        <v>4815.1459</v>
      </c>
      <c r="H184" s="181" t="n">
        <v>0</v>
      </c>
      <c r="I184" s="181" t="n">
        <v>182</v>
      </c>
      <c r="J184" s="181" t="n">
        <v>30.1557</v>
      </c>
      <c r="K184" s="181" t="n">
        <v>45.5138</v>
      </c>
    </row>
    <row r="185" ht="15" customHeight="1" s="28">
      <c r="A185" s="182" t="n">
        <v>1776696302</v>
      </c>
      <c r="B185" s="182" t="inlineStr">
        <is>
          <t>XAUUSD</t>
        </is>
      </c>
      <c r="C185" s="182" t="inlineStr">
        <is>
          <t>M15</t>
        </is>
      </c>
      <c r="D185" s="182" t="n">
        <v>4805.31</v>
      </c>
      <c r="E185" s="182" t="n">
        <v>4768.39858</v>
      </c>
      <c r="F185" s="182" t="n">
        <v>4809.12279</v>
      </c>
      <c r="G185" s="182" t="n">
        <v>4812.13435</v>
      </c>
      <c r="H185" s="182" t="n">
        <v>0</v>
      </c>
      <c r="I185" s="182" t="n">
        <v>183</v>
      </c>
      <c r="J185" s="182" t="n">
        <v>21.5396</v>
      </c>
      <c r="K185" s="182" t="n">
        <v>36.9114</v>
      </c>
    </row>
    <row r="186" ht="15" customHeight="1" s="28">
      <c r="A186" s="181" t="n">
        <v>1776697202</v>
      </c>
      <c r="B186" s="181" t="inlineStr">
        <is>
          <t>XAUUSD</t>
        </is>
      </c>
      <c r="C186" s="181" t="inlineStr">
        <is>
          <t>M15</t>
        </is>
      </c>
      <c r="D186" s="181" t="n">
        <v>4798.2</v>
      </c>
      <c r="E186" s="181" t="n">
        <v>4768.13097</v>
      </c>
      <c r="F186" s="181" t="n">
        <v>4805.63643</v>
      </c>
      <c r="G186" s="181" t="n">
        <v>4808.88539</v>
      </c>
      <c r="H186" s="181" t="n">
        <v>0</v>
      </c>
      <c r="I186" s="181" t="n">
        <v>184</v>
      </c>
      <c r="J186" s="181" t="n">
        <v>14.6835</v>
      </c>
      <c r="K186" s="181" t="n">
        <v>30.069</v>
      </c>
    </row>
    <row r="187" ht="15" customHeight="1" s="28">
      <c r="A187" s="182" t="n">
        <v>1776698102</v>
      </c>
      <c r="B187" s="182" t="inlineStr">
        <is>
          <t>XAUUSD</t>
        </is>
      </c>
      <c r="C187" s="182" t="inlineStr">
        <is>
          <t>M15</t>
        </is>
      </c>
      <c r="D187" s="182" t="n">
        <v>4808.64</v>
      </c>
      <c r="E187" s="182" t="n">
        <v>4767.86337</v>
      </c>
      <c r="F187" s="182" t="n">
        <v>4802.89189</v>
      </c>
      <c r="G187" s="182" t="n">
        <v>4805.88864</v>
      </c>
      <c r="H187" s="182" t="n">
        <v>0</v>
      </c>
      <c r="I187" s="182" t="n">
        <v>185</v>
      </c>
      <c r="J187" s="182" t="n">
        <v>25.3774</v>
      </c>
      <c r="K187" s="182" t="n">
        <v>40.7766</v>
      </c>
    </row>
    <row r="188" ht="15" customHeight="1" s="28">
      <c r="A188" s="181" t="n">
        <v>1776699002</v>
      </c>
      <c r="B188" s="181" t="inlineStr">
        <is>
          <t>XAUUSD</t>
        </is>
      </c>
      <c r="C188" s="181" t="inlineStr">
        <is>
          <t>M15</t>
        </is>
      </c>
      <c r="D188" s="181" t="n">
        <v>4800.36</v>
      </c>
      <c r="E188" s="181" t="n">
        <v>4767.59577</v>
      </c>
      <c r="F188" s="181" t="n">
        <v>4800.82181</v>
      </c>
      <c r="G188" s="181" t="n">
        <v>4803.35522</v>
      </c>
      <c r="H188" s="181" t="n">
        <v>0</v>
      </c>
      <c r="I188" s="181" t="n">
        <v>186</v>
      </c>
      <c r="J188" s="181" t="n">
        <v>17.3513</v>
      </c>
      <c r="K188" s="181" t="n">
        <v>32.7642</v>
      </c>
    </row>
    <row r="189" ht="15" customHeight="1" s="28">
      <c r="A189" s="182" t="n">
        <v>1776699902</v>
      </c>
      <c r="B189" s="182" t="inlineStr">
        <is>
          <t>XAUUSD</t>
        </is>
      </c>
      <c r="C189" s="182" t="inlineStr">
        <is>
          <t>M15</t>
        </is>
      </c>
      <c r="D189" s="182" t="n">
        <v>4799.8</v>
      </c>
      <c r="E189" s="182" t="n">
        <v>4767.32816</v>
      </c>
      <c r="F189" s="182" t="n">
        <v>4799.74563</v>
      </c>
      <c r="G189" s="182" t="n">
        <v>4801.55043</v>
      </c>
      <c r="H189" s="182" t="n">
        <v>0</v>
      </c>
      <c r="I189" s="182" t="n">
        <v>187</v>
      </c>
      <c r="J189" s="182" t="n">
        <v>17.0452</v>
      </c>
      <c r="K189" s="182" t="n">
        <v>32.4718</v>
      </c>
    </row>
    <row r="190" ht="15" customHeight="1" s="28">
      <c r="A190" s="181" t="n">
        <v>1776700802</v>
      </c>
      <c r="B190" s="181" t="inlineStr">
        <is>
          <t>XAUUSD</t>
        </is>
      </c>
      <c r="C190" s="181" t="inlineStr">
        <is>
          <t>M15</t>
        </is>
      </c>
      <c r="D190" s="181" t="n">
        <v>4798.42</v>
      </c>
      <c r="E190" s="181" t="n">
        <v>4767.06056</v>
      </c>
      <c r="F190" s="181" t="n">
        <v>4799.69274</v>
      </c>
      <c r="G190" s="181" t="n">
        <v>4800.62158</v>
      </c>
      <c r="H190" s="181" t="n">
        <v>0</v>
      </c>
      <c r="I190" s="181" t="n">
        <v>188</v>
      </c>
      <c r="J190" s="181" t="n">
        <v>15.9191</v>
      </c>
      <c r="K190" s="181" t="n">
        <v>31.3594</v>
      </c>
    </row>
    <row r="191" ht="15" customHeight="1" s="28">
      <c r="A191" s="182" t="n">
        <v>1776701702</v>
      </c>
      <c r="B191" s="182" t="inlineStr">
        <is>
          <t>XAUUSD</t>
        </is>
      </c>
      <c r="C191" s="182" t="inlineStr">
        <is>
          <t>M15</t>
        </is>
      </c>
      <c r="D191" s="182" t="n">
        <v>4801.22</v>
      </c>
      <c r="E191" s="182" t="n">
        <v>4766.79295</v>
      </c>
      <c r="F191" s="182" t="n">
        <v>4800.59872</v>
      </c>
      <c r="G191" s="182" t="n">
        <v>4800.61015</v>
      </c>
      <c r="H191" s="182" t="n">
        <v>0</v>
      </c>
      <c r="I191" s="182" t="n">
        <v>189</v>
      </c>
      <c r="J191" s="182" t="n">
        <v>18.973</v>
      </c>
      <c r="K191" s="182" t="n">
        <v>34.4271</v>
      </c>
    </row>
    <row r="192" ht="15" customHeight="1" s="28">
      <c r="A192" s="181" t="n">
        <v>1776702602</v>
      </c>
      <c r="B192" s="181" t="inlineStr">
        <is>
          <t>XAUUSD</t>
        </is>
      </c>
      <c r="C192" s="181" t="inlineStr">
        <is>
          <t>M15</t>
        </is>
      </c>
      <c r="D192" s="181" t="n">
        <v>4801.79</v>
      </c>
      <c r="E192" s="181" t="n">
        <v>4766.52535</v>
      </c>
      <c r="F192" s="181" t="n">
        <v>4802.20723</v>
      </c>
      <c r="G192" s="181" t="n">
        <v>4801.40869</v>
      </c>
      <c r="H192" s="181" t="n">
        <v>1</v>
      </c>
      <c r="I192" s="181" t="n">
        <v>190</v>
      </c>
      <c r="J192" s="181" t="n">
        <v>19.7969</v>
      </c>
      <c r="K192" s="181" t="n">
        <v>35.2647</v>
      </c>
    </row>
    <row r="193" ht="15" customHeight="1" s="28">
      <c r="A193" s="182" t="n">
        <v>1776703502</v>
      </c>
      <c r="B193" s="182" t="inlineStr">
        <is>
          <t>XAUUSD</t>
        </is>
      </c>
      <c r="C193" s="182" t="inlineStr">
        <is>
          <t>M15</t>
        </is>
      </c>
      <c r="D193" s="182" t="n">
        <v>4805.59</v>
      </c>
      <c r="E193" s="182" t="n">
        <v>4766.25775</v>
      </c>
      <c r="F193" s="182" t="n">
        <v>4804.30842</v>
      </c>
      <c r="G193" s="182" t="n">
        <v>4802.85855</v>
      </c>
      <c r="H193" s="182" t="n">
        <v>0</v>
      </c>
      <c r="I193" s="182" t="n">
        <v>191</v>
      </c>
      <c r="J193" s="182" t="n">
        <v>23.8508</v>
      </c>
      <c r="K193" s="182" t="n">
        <v>39.3323</v>
      </c>
    </row>
    <row r="194" ht="15" customHeight="1" s="28">
      <c r="A194" s="181" t="n">
        <v>1776704402</v>
      </c>
      <c r="B194" s="181" t="inlineStr">
        <is>
          <t>XAUUSD</t>
        </is>
      </c>
      <c r="C194" s="181" t="inlineStr">
        <is>
          <t>M15</t>
        </is>
      </c>
      <c r="D194" s="181" t="n">
        <v>4808.86</v>
      </c>
      <c r="E194" s="181" t="n">
        <v>4765.99014</v>
      </c>
      <c r="F194" s="181" t="n">
        <v>4806.58606</v>
      </c>
      <c r="G194" s="181" t="n">
        <v>4804.72231</v>
      </c>
      <c r="H194" s="181" t="n">
        <v>0</v>
      </c>
      <c r="I194" s="181" t="n">
        <v>192</v>
      </c>
      <c r="J194" s="181" t="n">
        <v>27.3747</v>
      </c>
      <c r="K194" s="181" t="n">
        <v>42.8699</v>
      </c>
    </row>
    <row r="195" ht="15" customHeight="1" s="28">
      <c r="A195" s="182" t="n">
        <v>1776705302</v>
      </c>
      <c r="B195" s="182" t="inlineStr">
        <is>
          <t>XAUUSD</t>
        </is>
      </c>
      <c r="C195" s="182" t="inlineStr">
        <is>
          <t>M15</t>
        </is>
      </c>
      <c r="D195" s="182" t="n">
        <v>4810.07</v>
      </c>
      <c r="E195" s="182" t="n">
        <v>4765.72254</v>
      </c>
      <c r="F195" s="182" t="n">
        <v>4808.77747</v>
      </c>
      <c r="G195" s="182" t="n">
        <v>4806.74989</v>
      </c>
      <c r="H195" s="182" t="n">
        <v>0</v>
      </c>
      <c r="I195" s="182" t="n">
        <v>193</v>
      </c>
      <c r="J195" s="182" t="n">
        <v>28.8386</v>
      </c>
      <c r="K195" s="182" t="n">
        <v>44.3475</v>
      </c>
    </row>
    <row r="196" ht="15" customHeight="1" s="28">
      <c r="A196" s="181" t="n">
        <v>1776706202</v>
      </c>
      <c r="B196" s="181" t="inlineStr">
        <is>
          <t>XAUUSD</t>
        </is>
      </c>
      <c r="C196" s="181" t="inlineStr">
        <is>
          <t>M15</t>
        </is>
      </c>
      <c r="D196" s="181" t="n">
        <v>4809.55</v>
      </c>
      <c r="E196" s="181" t="n">
        <v>4765.45493</v>
      </c>
      <c r="F196" s="181" t="n">
        <v>4810.72121</v>
      </c>
      <c r="G196" s="181" t="n">
        <v>4808.73555</v>
      </c>
      <c r="H196" s="181" t="n">
        <v>0</v>
      </c>
      <c r="I196" s="181" t="n">
        <v>194</v>
      </c>
      <c r="J196" s="181" t="n">
        <v>28.5725</v>
      </c>
      <c r="K196" s="181" t="n">
        <v>44.0951</v>
      </c>
    </row>
    <row r="197" ht="15" customHeight="1" s="28">
      <c r="A197" s="182" t="n">
        <v>1776707102</v>
      </c>
      <c r="B197" s="182" t="inlineStr">
        <is>
          <t>XAUUSD</t>
        </is>
      </c>
      <c r="C197" s="182" t="inlineStr">
        <is>
          <t>M15</t>
        </is>
      </c>
      <c r="D197" s="182" t="n">
        <v>4806.62</v>
      </c>
      <c r="E197" s="182" t="n">
        <v>4765.18733</v>
      </c>
      <c r="F197" s="182" t="n">
        <v>4812.33905</v>
      </c>
      <c r="G197" s="182" t="n">
        <v>4810.5373</v>
      </c>
      <c r="H197" s="182" t="n">
        <v>0</v>
      </c>
      <c r="I197" s="182" t="n">
        <v>195</v>
      </c>
      <c r="J197" s="182" t="n">
        <v>25.8963</v>
      </c>
      <c r="K197" s="182" t="n">
        <v>41.4327</v>
      </c>
    </row>
    <row r="198" ht="15" customHeight="1" s="28">
      <c r="A198" s="181" t="n">
        <v>1776708002</v>
      </c>
      <c r="B198" s="181" t="inlineStr">
        <is>
          <t>XAUUSD</t>
        </is>
      </c>
      <c r="C198" s="181" t="inlineStr">
        <is>
          <t>M15</t>
        </is>
      </c>
      <c r="D198" s="181" t="n">
        <v>4815.51</v>
      </c>
      <c r="E198" s="181" t="n">
        <v>4764.91973</v>
      </c>
      <c r="F198" s="181" t="n">
        <v>4813.65439</v>
      </c>
      <c r="G198" s="181" t="n">
        <v>4812.09584</v>
      </c>
      <c r="H198" s="181" t="n">
        <v>0</v>
      </c>
      <c r="I198" s="181" t="n">
        <v>196</v>
      </c>
      <c r="J198" s="181" t="n">
        <v>35.0402</v>
      </c>
      <c r="K198" s="181" t="n">
        <v>50.5903</v>
      </c>
    </row>
    <row r="199" ht="15" customHeight="1" s="28">
      <c r="A199" s="182" t="n">
        <v>1776708902</v>
      </c>
      <c r="B199" s="182" t="inlineStr">
        <is>
          <t>XAUUSD</t>
        </is>
      </c>
      <c r="C199" s="182" t="inlineStr">
        <is>
          <t>M15</t>
        </is>
      </c>
      <c r="D199" s="182" t="n">
        <v>4813.5</v>
      </c>
      <c r="E199" s="182" t="n">
        <v>4764.65212</v>
      </c>
      <c r="F199" s="182" t="n">
        <v>4814.42225</v>
      </c>
      <c r="G199" s="182" t="n">
        <v>4813.25905</v>
      </c>
      <c r="H199" s="182" t="n">
        <v>0</v>
      </c>
      <c r="I199" s="182" t="n">
        <v>197</v>
      </c>
      <c r="J199" s="182" t="n">
        <v>33.2841</v>
      </c>
      <c r="K199" s="182" t="n">
        <v>48.8479</v>
      </c>
    </row>
    <row r="200" ht="15" customHeight="1" s="28">
      <c r="A200" s="181" t="n">
        <v>1776709802</v>
      </c>
      <c r="B200" s="181" t="inlineStr">
        <is>
          <t>XAUUSD</t>
        </is>
      </c>
      <c r="C200" s="181" t="inlineStr">
        <is>
          <t>M15</t>
        </is>
      </c>
      <c r="D200" s="181" t="n">
        <v>4814.44</v>
      </c>
      <c r="E200" s="181" t="n">
        <v>4764.38452</v>
      </c>
      <c r="F200" s="181" t="n">
        <v>4814.75207</v>
      </c>
      <c r="G200" s="181" t="n">
        <v>4814.00556</v>
      </c>
      <c r="H200" s="181" t="n">
        <v>0</v>
      </c>
      <c r="I200" s="181" t="n">
        <v>198</v>
      </c>
      <c r="J200" s="181" t="n">
        <v>34.478</v>
      </c>
      <c r="K200" s="181" t="n">
        <v>50.0555</v>
      </c>
    </row>
    <row r="201" ht="15" customHeight="1" s="28">
      <c r="A201" s="182" t="n">
        <v>1776710702</v>
      </c>
      <c r="B201" s="182" t="inlineStr">
        <is>
          <t>XAUUSD</t>
        </is>
      </c>
      <c r="C201" s="182" t="inlineStr">
        <is>
          <t>M15</t>
        </is>
      </c>
      <c r="D201" s="182" t="n">
        <v>4814.05</v>
      </c>
      <c r="E201" s="182" t="n">
        <v>4764.11691</v>
      </c>
      <c r="F201" s="182" t="n">
        <v>4814.76</v>
      </c>
      <c r="G201" s="182" t="n">
        <v>4814.38278</v>
      </c>
      <c r="H201" s="182" t="n">
        <v>0</v>
      </c>
      <c r="I201" s="182" t="n">
        <v>199</v>
      </c>
      <c r="J201" s="182" t="n">
        <v>34.3419</v>
      </c>
      <c r="K201" s="182" t="n">
        <v>49.9331</v>
      </c>
    </row>
    <row r="202" ht="15" customHeight="1" s="28">
      <c r="A202" s="181" t="n">
        <v>1776711602</v>
      </c>
      <c r="B202" s="181" t="inlineStr">
        <is>
          <t>XAUUSD</t>
        </is>
      </c>
      <c r="C202" s="181" t="inlineStr">
        <is>
          <t>M15</t>
        </is>
      </c>
      <c r="D202" s="181" t="n">
        <v>4820.26</v>
      </c>
      <c r="E202" s="181" t="n">
        <v>4763.84931</v>
      </c>
      <c r="F202" s="181" t="n">
        <v>4814.62487</v>
      </c>
      <c r="G202" s="181" t="n">
        <v>4814.50382</v>
      </c>
      <c r="H202" s="181" t="n">
        <v>0</v>
      </c>
      <c r="I202" s="181" t="n">
        <v>200</v>
      </c>
      <c r="J202" s="181" t="n">
        <v>40.8058</v>
      </c>
      <c r="K202" s="181" t="n">
        <v>56.4107</v>
      </c>
    </row>
    <row r="203" ht="15" customHeight="1" s="28">
      <c r="A203" s="182" t="n">
        <v>1776712502</v>
      </c>
      <c r="B203" s="182" t="inlineStr">
        <is>
          <t>XAUUSD</t>
        </is>
      </c>
      <c r="C203" s="182" t="inlineStr">
        <is>
          <t>M15</t>
        </is>
      </c>
      <c r="D203" s="182" t="n">
        <v>4817.26</v>
      </c>
      <c r="E203" s="182" t="n">
        <v>4763.5817</v>
      </c>
      <c r="F203" s="182" t="n">
        <v>4814.364</v>
      </c>
      <c r="G203" s="182" t="n">
        <v>4814.43391</v>
      </c>
      <c r="H203" s="182" t="n">
        <v>1</v>
      </c>
      <c r="I203" s="182" t="n">
        <v>201</v>
      </c>
      <c r="J203" s="182" t="n">
        <v>38.0597</v>
      </c>
      <c r="K203" s="182" t="n">
        <v>53.6783</v>
      </c>
    </row>
    <row r="204" ht="15" customHeight="1" s="28">
      <c r="A204" s="181" t="n">
        <v>1776713402</v>
      </c>
      <c r="B204" s="181" t="inlineStr">
        <is>
          <t>XAUUSD</t>
        </is>
      </c>
      <c r="C204" s="181" t="inlineStr">
        <is>
          <t>M15</t>
        </is>
      </c>
      <c r="D204" s="181" t="n">
        <v>4811.66</v>
      </c>
      <c r="E204" s="181" t="n">
        <v>4763.3141</v>
      </c>
      <c r="F204" s="181" t="n">
        <v>4814.24508</v>
      </c>
      <c r="G204" s="181" t="n">
        <v>4814.3395</v>
      </c>
      <c r="H204" s="181" t="n">
        <v>0</v>
      </c>
      <c r="I204" s="181" t="n">
        <v>202</v>
      </c>
      <c r="J204" s="181" t="n">
        <v>32.7136</v>
      </c>
      <c r="K204" s="181" t="n">
        <v>48.3459</v>
      </c>
    </row>
    <row r="205" ht="15" customHeight="1" s="28">
      <c r="A205" s="182" t="n">
        <v>1776714302</v>
      </c>
      <c r="B205" s="182" t="inlineStr">
        <is>
          <t>XAUUSD</t>
        </is>
      </c>
      <c r="C205" s="182" t="inlineStr">
        <is>
          <t>M15</t>
        </is>
      </c>
      <c r="D205" s="182" t="n">
        <v>4814.24</v>
      </c>
      <c r="E205" s="182" t="n">
        <v>4763.0465</v>
      </c>
      <c r="F205" s="182" t="n">
        <v>4814.63707</v>
      </c>
      <c r="G205" s="182" t="n">
        <v>4814.48828</v>
      </c>
      <c r="H205" s="182" t="n">
        <v>1</v>
      </c>
      <c r="I205" s="182" t="n">
        <v>203</v>
      </c>
      <c r="J205" s="182" t="n">
        <v>35.5475</v>
      </c>
      <c r="K205" s="182" t="n">
        <v>51.1935</v>
      </c>
    </row>
    <row r="206" ht="15" customHeight="1" s="28">
      <c r="A206" s="181" t="n">
        <v>1776715202</v>
      </c>
      <c r="B206" s="181" t="inlineStr">
        <is>
          <t>XAUUSD</t>
        </is>
      </c>
      <c r="C206" s="181" t="inlineStr">
        <is>
          <t>M15</t>
        </is>
      </c>
      <c r="D206" s="181" t="n">
        <v>4813.42</v>
      </c>
      <c r="E206" s="181" t="n">
        <v>4762.77889</v>
      </c>
      <c r="F206" s="181" t="n">
        <v>4815.63318</v>
      </c>
      <c r="G206" s="181" t="n">
        <v>4815.06073</v>
      </c>
      <c r="H206" s="181" t="n">
        <v>0</v>
      </c>
      <c r="I206" s="181" t="n">
        <v>204</v>
      </c>
      <c r="J206" s="181" t="n">
        <v>34.9814</v>
      </c>
      <c r="K206" s="181" t="n">
        <v>50.6411</v>
      </c>
    </row>
    <row r="207" ht="15" customHeight="1" s="28">
      <c r="A207" s="182" t="n">
        <v>1776716102</v>
      </c>
      <c r="B207" s="182" t="inlineStr">
        <is>
          <t>XAUUSD</t>
        </is>
      </c>
      <c r="C207" s="182" t="inlineStr">
        <is>
          <t>M15</t>
        </is>
      </c>
      <c r="D207" s="182" t="n">
        <v>4815.85</v>
      </c>
      <c r="E207" s="182" t="n">
        <v>4762.51129</v>
      </c>
      <c r="F207" s="182" t="n">
        <v>4817.30574</v>
      </c>
      <c r="G207" s="182" t="n">
        <v>4816.18323</v>
      </c>
      <c r="H207" s="182" t="n">
        <v>0</v>
      </c>
      <c r="I207" s="182" t="n">
        <v>205</v>
      </c>
      <c r="J207" s="182" t="n">
        <v>37.6653</v>
      </c>
      <c r="K207" s="182" t="n">
        <v>53.3387</v>
      </c>
    </row>
    <row r="208" ht="15" customHeight="1" s="28">
      <c r="A208" s="181" t="n">
        <v>1776717002</v>
      </c>
      <c r="B208" s="181" t="inlineStr">
        <is>
          <t>XAUUSD</t>
        </is>
      </c>
      <c r="C208" s="181" t="inlineStr">
        <is>
          <t>M15</t>
        </is>
      </c>
      <c r="D208" s="181" t="n">
        <v>4816.71</v>
      </c>
      <c r="E208" s="181" t="n">
        <v>4762.24368</v>
      </c>
      <c r="F208" s="181" t="n">
        <v>4819.52338</v>
      </c>
      <c r="G208" s="181" t="n">
        <v>4817.85331</v>
      </c>
      <c r="H208" s="181" t="n">
        <v>0</v>
      </c>
      <c r="I208" s="181" t="n">
        <v>206</v>
      </c>
      <c r="J208" s="181" t="n">
        <v>38.7792</v>
      </c>
      <c r="K208" s="181" t="n">
        <v>54.4663</v>
      </c>
    </row>
    <row r="209" ht="15" customHeight="1" s="28">
      <c r="A209" s="182" t="n">
        <v>1776717902</v>
      </c>
      <c r="B209" s="182" t="inlineStr">
        <is>
          <t>XAUUSD</t>
        </is>
      </c>
      <c r="C209" s="182" t="inlineStr">
        <is>
          <t>M15</t>
        </is>
      </c>
      <c r="D209" s="182" t="n">
        <v>4820.81</v>
      </c>
      <c r="E209" s="182" t="n">
        <v>4761.97608</v>
      </c>
      <c r="F209" s="182" t="n">
        <v>4822.05342</v>
      </c>
      <c r="G209" s="182" t="n">
        <v>4819.95336</v>
      </c>
      <c r="H209" s="182" t="n">
        <v>0</v>
      </c>
      <c r="I209" s="182" t="n">
        <v>207</v>
      </c>
      <c r="J209" s="182" t="n">
        <v>43.1331</v>
      </c>
      <c r="K209" s="182" t="n">
        <v>58.8339</v>
      </c>
    </row>
    <row r="210" ht="15" customHeight="1" s="28">
      <c r="A210" s="181" t="n">
        <v>1776722402</v>
      </c>
      <c r="B210" s="181" t="inlineStr">
        <is>
          <t>XAUUSD</t>
        </is>
      </c>
      <c r="C210" s="181" t="inlineStr">
        <is>
          <t>M15</t>
        </is>
      </c>
      <c r="D210" s="181" t="n">
        <v>4829.14</v>
      </c>
      <c r="E210" s="181" t="n">
        <v>4761.70848</v>
      </c>
      <c r="F210" s="181" t="n">
        <v>4824.51022</v>
      </c>
      <c r="G210" s="181" t="n">
        <v>4822.23179</v>
      </c>
      <c r="H210" s="181" t="n">
        <v>0</v>
      </c>
      <c r="I210" s="181" t="n">
        <v>208</v>
      </c>
      <c r="J210" s="181" t="n">
        <v>51.717</v>
      </c>
      <c r="K210" s="181" t="n">
        <v>67.4315</v>
      </c>
    </row>
    <row r="211" ht="15" customHeight="1" s="28">
      <c r="A211" s="182" t="n">
        <v>1776723302</v>
      </c>
      <c r="B211" s="182" t="inlineStr">
        <is>
          <t>XAUUSD</t>
        </is>
      </c>
      <c r="C211" s="182" t="inlineStr">
        <is>
          <t>M15</t>
        </is>
      </c>
      <c r="D211" s="182" t="n">
        <v>4828.53</v>
      </c>
      <c r="E211" s="182" t="n">
        <v>4761.44087</v>
      </c>
      <c r="F211" s="182" t="n">
        <v>4826.40474</v>
      </c>
      <c r="G211" s="182" t="n">
        <v>4824.31827</v>
      </c>
      <c r="H211" s="182" t="n">
        <v>0</v>
      </c>
      <c r="I211" s="182" t="n">
        <v>209</v>
      </c>
      <c r="J211" s="182" t="n">
        <v>51.3609</v>
      </c>
      <c r="K211" s="182" t="n">
        <v>67.0891</v>
      </c>
    </row>
    <row r="212" ht="15" customHeight="1" s="28">
      <c r="A212" s="181" t="n">
        <v>1776724202</v>
      </c>
      <c r="B212" s="181" t="inlineStr">
        <is>
          <t>XAUUSD</t>
        </is>
      </c>
      <c r="C212" s="181" t="inlineStr">
        <is>
          <t>M15</t>
        </is>
      </c>
      <c r="D212" s="181" t="n">
        <v>4830.44</v>
      </c>
      <c r="E212" s="181" t="n">
        <v>4761.17327</v>
      </c>
      <c r="F212" s="181" t="n">
        <v>4827.61595</v>
      </c>
      <c r="G212" s="181" t="n">
        <v>4825.96711</v>
      </c>
      <c r="H212" s="181" t="n">
        <v>0</v>
      </c>
      <c r="I212" s="181" t="n">
        <v>210</v>
      </c>
      <c r="J212" s="181" t="n">
        <v>53.5248</v>
      </c>
      <c r="K212" s="181" t="n">
        <v>69.2667</v>
      </c>
    </row>
    <row r="213" ht="15" customHeight="1" s="28">
      <c r="A213" s="182" t="n">
        <v>1776725102</v>
      </c>
      <c r="B213" s="182" t="inlineStr">
        <is>
          <t>XAUUSD</t>
        </is>
      </c>
      <c r="C213" s="182" t="inlineStr">
        <is>
          <t>M15</t>
        </is>
      </c>
      <c r="D213" s="182" t="n">
        <v>4827.62</v>
      </c>
      <c r="E213" s="182" t="n">
        <v>4760.90566</v>
      </c>
      <c r="F213" s="182" t="n">
        <v>4828.03821</v>
      </c>
      <c r="G213" s="182" t="n">
        <v>4827.00266</v>
      </c>
      <c r="H213" s="182" t="n">
        <v>0</v>
      </c>
      <c r="I213" s="182" t="n">
        <v>211</v>
      </c>
      <c r="J213" s="182" t="n">
        <v>50.9587</v>
      </c>
      <c r="K213" s="182" t="n">
        <v>66.71429999999999</v>
      </c>
    </row>
    <row r="214" ht="15" customHeight="1" s="28">
      <c r="A214" s="181" t="n">
        <v>1776726002</v>
      </c>
      <c r="B214" s="181" t="inlineStr">
        <is>
          <t>XAUUSD</t>
        </is>
      </c>
      <c r="C214" s="181" t="inlineStr">
        <is>
          <t>M15</t>
        </is>
      </c>
      <c r="D214" s="181" t="n">
        <v>4825.77</v>
      </c>
      <c r="E214" s="181" t="n">
        <v>4760.63806</v>
      </c>
      <c r="F214" s="181" t="n">
        <v>4827.79621</v>
      </c>
      <c r="G214" s="181" t="n">
        <v>4827.39944</v>
      </c>
      <c r="H214" s="181" t="n">
        <v>0</v>
      </c>
      <c r="I214" s="181" t="n">
        <v>212</v>
      </c>
      <c r="J214" s="181" t="n">
        <v>49.3626</v>
      </c>
      <c r="K214" s="181" t="n">
        <v>65.1319</v>
      </c>
    </row>
    <row r="215" ht="15" customHeight="1" s="28">
      <c r="A215" s="182" t="n">
        <v>1776726902</v>
      </c>
      <c r="B215" s="182" t="inlineStr">
        <is>
          <t>XAUUSD</t>
        </is>
      </c>
      <c r="C215" s="182" t="inlineStr">
        <is>
          <t>M15</t>
        </is>
      </c>
      <c r="D215" s="182" t="n">
        <v>4825.84</v>
      </c>
      <c r="E215" s="182" t="n">
        <v>4760.37046</v>
      </c>
      <c r="F215" s="182" t="n">
        <v>4827.07491</v>
      </c>
      <c r="G215" s="182" t="n">
        <v>4827.23717</v>
      </c>
      <c r="H215" s="182" t="n">
        <v>1</v>
      </c>
      <c r="I215" s="182" t="n">
        <v>213</v>
      </c>
      <c r="J215" s="182" t="n">
        <v>49.6865</v>
      </c>
      <c r="K215" s="182" t="n">
        <v>65.4695</v>
      </c>
    </row>
    <row r="216" ht="15" customHeight="1" s="28">
      <c r="A216" s="181" t="n">
        <v>1776727802</v>
      </c>
      <c r="B216" s="181" t="inlineStr">
        <is>
          <t>XAUUSD</t>
        </is>
      </c>
      <c r="C216" s="181" t="inlineStr">
        <is>
          <t>M15</t>
        </is>
      </c>
      <c r="D216" s="181" t="n">
        <v>4824.16</v>
      </c>
      <c r="E216" s="181" t="n">
        <v>4760.10285</v>
      </c>
      <c r="F216" s="181" t="n">
        <v>4826.0394</v>
      </c>
      <c r="G216" s="181" t="n">
        <v>4826.63829</v>
      </c>
      <c r="H216" s="181" t="n">
        <v>0</v>
      </c>
      <c r="I216" s="181" t="n">
        <v>214</v>
      </c>
      <c r="J216" s="181" t="n">
        <v>48.2604</v>
      </c>
      <c r="K216" s="181" t="n">
        <v>64.05710000000001</v>
      </c>
    </row>
    <row r="217" ht="15" customHeight="1" s="28">
      <c r="A217" s="182" t="n">
        <v>1776728702</v>
      </c>
      <c r="B217" s="182" t="inlineStr">
        <is>
          <t>XAUUSD</t>
        </is>
      </c>
      <c r="C217" s="182" t="inlineStr">
        <is>
          <t>M15</t>
        </is>
      </c>
      <c r="D217" s="182" t="n">
        <v>4821.76</v>
      </c>
      <c r="E217" s="182" t="n">
        <v>4759.83525</v>
      </c>
      <c r="F217" s="182" t="n">
        <v>4824.8706</v>
      </c>
      <c r="G217" s="182" t="n">
        <v>4825.75444</v>
      </c>
      <c r="H217" s="182" t="n">
        <v>0</v>
      </c>
      <c r="I217" s="182" t="n">
        <v>215</v>
      </c>
      <c r="J217" s="182" t="n">
        <v>46.1143</v>
      </c>
      <c r="K217" s="182" t="n">
        <v>61.9248</v>
      </c>
    </row>
    <row r="218" ht="15" customHeight="1" s="28">
      <c r="A218" s="181" t="n">
        <v>1776729602</v>
      </c>
      <c r="B218" s="181" t="inlineStr">
        <is>
          <t>XAUUSD</t>
        </is>
      </c>
      <c r="C218" s="181" t="inlineStr">
        <is>
          <t>M15</t>
        </is>
      </c>
      <c r="D218" s="181" t="n">
        <v>4828.53</v>
      </c>
      <c r="E218" s="181" t="n">
        <v>4759.56764</v>
      </c>
      <c r="F218" s="181" t="n">
        <v>4823.68968</v>
      </c>
      <c r="G218" s="181" t="n">
        <v>4824.72206</v>
      </c>
      <c r="H218" s="181" t="n">
        <v>0</v>
      </c>
      <c r="I218" s="181" t="n">
        <v>216</v>
      </c>
      <c r="J218" s="181" t="n">
        <v>53.1382</v>
      </c>
      <c r="K218" s="181" t="n">
        <v>68.9624</v>
      </c>
    </row>
    <row r="219" ht="15" customHeight="1" s="28">
      <c r="A219" s="182" t="n">
        <v>1776730502</v>
      </c>
      <c r="B219" s="182" t="inlineStr">
        <is>
          <t>XAUUSD</t>
        </is>
      </c>
      <c r="C219" s="182" t="inlineStr">
        <is>
          <t>M15</t>
        </is>
      </c>
      <c r="D219" s="182" t="n">
        <v>4819.92</v>
      </c>
      <c r="E219" s="182" t="n">
        <v>4759.30004</v>
      </c>
      <c r="F219" s="182" t="n">
        <v>4822.33583</v>
      </c>
      <c r="G219" s="182" t="n">
        <v>4823.52895</v>
      </c>
      <c r="H219" s="182" t="n">
        <v>0</v>
      </c>
      <c r="I219" s="182" t="n">
        <v>217</v>
      </c>
      <c r="J219" s="182" t="n">
        <v>44.782</v>
      </c>
      <c r="K219" s="182" t="n">
        <v>60.62</v>
      </c>
    </row>
    <row r="220" ht="15" customHeight="1" s="28">
      <c r="A220" s="181" t="n">
        <v>1776731402</v>
      </c>
      <c r="B220" s="181" t="inlineStr">
        <is>
          <t>XAUUSD</t>
        </is>
      </c>
      <c r="C220" s="181" t="inlineStr">
        <is>
          <t>M15</t>
        </is>
      </c>
      <c r="D220" s="181" t="n">
        <v>4822.66</v>
      </c>
      <c r="E220" s="181" t="n">
        <v>4759.03244</v>
      </c>
      <c r="F220" s="181" t="n">
        <v>4821.02227</v>
      </c>
      <c r="G220" s="181" t="n">
        <v>4822.27561</v>
      </c>
      <c r="H220" s="181" t="n">
        <v>0</v>
      </c>
      <c r="I220" s="181" t="n">
        <v>218</v>
      </c>
      <c r="J220" s="181" t="n">
        <v>47.7759</v>
      </c>
      <c r="K220" s="181" t="n">
        <v>63.6276</v>
      </c>
    </row>
    <row r="221" ht="15" customHeight="1" s="28">
      <c r="A221" s="182" t="n">
        <v>1776732302</v>
      </c>
      <c r="B221" s="182" t="inlineStr">
        <is>
          <t>XAUUSD</t>
        </is>
      </c>
      <c r="C221" s="182" t="inlineStr">
        <is>
          <t>M15</t>
        </is>
      </c>
      <c r="D221" s="182" t="n">
        <v>4823.76</v>
      </c>
      <c r="E221" s="182" t="n">
        <v>4758.76483</v>
      </c>
      <c r="F221" s="182" t="n">
        <v>4819.62179</v>
      </c>
      <c r="G221" s="182" t="n">
        <v>4820.9487</v>
      </c>
      <c r="H221" s="182" t="n">
        <v>0</v>
      </c>
      <c r="I221" s="182" t="n">
        <v>219</v>
      </c>
      <c r="J221" s="182" t="n">
        <v>49.1298</v>
      </c>
      <c r="K221" s="182" t="n">
        <v>64.9952</v>
      </c>
    </row>
    <row r="222" ht="15" customHeight="1" s="28">
      <c r="A222" s="181" t="n">
        <v>1776733202</v>
      </c>
      <c r="B222" s="181" t="inlineStr">
        <is>
          <t>XAUUSD</t>
        </is>
      </c>
      <c r="C222" s="181" t="inlineStr">
        <is>
          <t>M15</t>
        </is>
      </c>
      <c r="D222" s="181" t="n">
        <v>4814.78</v>
      </c>
      <c r="E222" s="181" t="n">
        <v>4758.49723</v>
      </c>
      <c r="F222" s="181" t="n">
        <v>4817.98753</v>
      </c>
      <c r="G222" s="181" t="n">
        <v>4819.46811</v>
      </c>
      <c r="H222" s="181" t="n">
        <v>0</v>
      </c>
      <c r="I222" s="181" t="n">
        <v>220</v>
      </c>
      <c r="J222" s="181" t="n">
        <v>40.4037</v>
      </c>
      <c r="K222" s="181" t="n">
        <v>56.2828</v>
      </c>
    </row>
    <row r="223" ht="15" customHeight="1" s="28">
      <c r="A223" s="182" t="n">
        <v>1776734102</v>
      </c>
      <c r="B223" s="182" t="inlineStr">
        <is>
          <t>XAUUSD</t>
        </is>
      </c>
      <c r="C223" s="182" t="inlineStr">
        <is>
          <t>M15</t>
        </is>
      </c>
      <c r="D223" s="182" t="n">
        <v>4818.7</v>
      </c>
      <c r="E223" s="182" t="n">
        <v>4758.22962</v>
      </c>
      <c r="F223" s="182" t="n">
        <v>4816.27363</v>
      </c>
      <c r="G223" s="182" t="n">
        <v>4817.87087</v>
      </c>
      <c r="H223" s="182" t="n">
        <v>0</v>
      </c>
      <c r="I223" s="182" t="n">
        <v>221</v>
      </c>
      <c r="J223" s="182" t="n">
        <v>44.5776</v>
      </c>
      <c r="K223" s="182" t="n">
        <v>60.4704</v>
      </c>
    </row>
    <row r="224" ht="15" customHeight="1" s="28">
      <c r="A224" s="181" t="n">
        <v>1776735002</v>
      </c>
      <c r="B224" s="181" t="inlineStr">
        <is>
          <t>XAUUSD</t>
        </is>
      </c>
      <c r="C224" s="181" t="inlineStr">
        <is>
          <t>M15</t>
        </is>
      </c>
      <c r="D224" s="181" t="n">
        <v>4813.59</v>
      </c>
      <c r="E224" s="181" t="n">
        <v>4757.96202</v>
      </c>
      <c r="F224" s="181" t="n">
        <v>4814.30994</v>
      </c>
      <c r="G224" s="181" t="n">
        <v>4816.0904</v>
      </c>
      <c r="H224" s="181" t="n">
        <v>0</v>
      </c>
      <c r="I224" s="181" t="n">
        <v>222</v>
      </c>
      <c r="J224" s="181" t="n">
        <v>39.7215</v>
      </c>
      <c r="K224" s="181" t="n">
        <v>55.628</v>
      </c>
    </row>
    <row r="225" ht="15" customHeight="1" s="28">
      <c r="A225" s="182" t="n">
        <v>1776735902</v>
      </c>
      <c r="B225" s="182" t="inlineStr">
        <is>
          <t>XAUUSD</t>
        </is>
      </c>
      <c r="C225" s="182" t="inlineStr">
        <is>
          <t>M15</t>
        </is>
      </c>
      <c r="D225" s="182" t="n">
        <v>4810.06</v>
      </c>
      <c r="E225" s="182" t="n">
        <v>4757.69441</v>
      </c>
      <c r="F225" s="182" t="n">
        <v>4812.19078</v>
      </c>
      <c r="G225" s="182" t="n">
        <v>4814.14059</v>
      </c>
      <c r="H225" s="182" t="n">
        <v>0</v>
      </c>
      <c r="I225" s="182" t="n">
        <v>223</v>
      </c>
      <c r="J225" s="182" t="n">
        <v>36.4454</v>
      </c>
      <c r="K225" s="182" t="n">
        <v>52.3656</v>
      </c>
    </row>
    <row r="226" ht="15" customHeight="1" s="28">
      <c r="A226" s="181" t="n">
        <v>1776736802</v>
      </c>
      <c r="B226" s="181" t="inlineStr">
        <is>
          <t>XAUUSD</t>
        </is>
      </c>
      <c r="C226" s="181" t="inlineStr">
        <is>
          <t>M15</t>
        </is>
      </c>
      <c r="D226" s="181" t="n">
        <v>4807.3</v>
      </c>
      <c r="E226" s="181" t="n">
        <v>4757.42681</v>
      </c>
      <c r="F226" s="181" t="n">
        <v>4809.99548</v>
      </c>
      <c r="G226" s="181" t="n">
        <v>4812.06803</v>
      </c>
      <c r="H226" s="181" t="n">
        <v>0</v>
      </c>
      <c r="I226" s="181" t="n">
        <v>224</v>
      </c>
      <c r="J226" s="181" t="n">
        <v>33.9393</v>
      </c>
      <c r="K226" s="181" t="n">
        <v>49.8732</v>
      </c>
    </row>
    <row r="227" ht="15" customHeight="1" s="28">
      <c r="A227" s="182" t="n">
        <v>1776737702</v>
      </c>
      <c r="B227" s="182" t="inlineStr">
        <is>
          <t>XAUUSD</t>
        </is>
      </c>
      <c r="C227" s="182" t="inlineStr">
        <is>
          <t>M15</t>
        </is>
      </c>
      <c r="D227" s="182" t="n">
        <v>4807.73</v>
      </c>
      <c r="E227" s="182" t="n">
        <v>4757.15921</v>
      </c>
      <c r="F227" s="182" t="n">
        <v>4807.7812</v>
      </c>
      <c r="G227" s="182" t="n">
        <v>4809.92462</v>
      </c>
      <c r="H227" s="182" t="n">
        <v>0</v>
      </c>
      <c r="I227" s="182" t="n">
        <v>225</v>
      </c>
      <c r="J227" s="182" t="n">
        <v>34.6232</v>
      </c>
      <c r="K227" s="182" t="n">
        <v>50.5708</v>
      </c>
    </row>
    <row r="228" ht="15" customHeight="1" s="28">
      <c r="A228" s="181" t="n">
        <v>1776738602</v>
      </c>
      <c r="B228" s="181" t="inlineStr">
        <is>
          <t>XAUUSD</t>
        </is>
      </c>
      <c r="C228" s="181" t="inlineStr">
        <is>
          <t>M15</t>
        </is>
      </c>
      <c r="D228" s="181" t="n">
        <v>4806.61</v>
      </c>
      <c r="E228" s="181" t="n">
        <v>4756.8916</v>
      </c>
      <c r="F228" s="181" t="n">
        <v>4805.54048</v>
      </c>
      <c r="G228" s="181" t="n">
        <v>4807.73255</v>
      </c>
      <c r="H228" s="181" t="n">
        <v>0</v>
      </c>
      <c r="I228" s="181" t="n">
        <v>226</v>
      </c>
      <c r="J228" s="181" t="n">
        <v>33.7571</v>
      </c>
      <c r="K228" s="181" t="n">
        <v>49.7184</v>
      </c>
    </row>
    <row r="229" ht="15" customHeight="1" s="28">
      <c r="A229" s="182" t="n">
        <v>1776739502</v>
      </c>
      <c r="B229" s="182" t="inlineStr">
        <is>
          <t>XAUUSD</t>
        </is>
      </c>
      <c r="C229" s="182" t="inlineStr">
        <is>
          <t>M15</t>
        </is>
      </c>
      <c r="D229" s="182" t="n">
        <v>4806.9</v>
      </c>
      <c r="E229" s="182" t="n">
        <v>4756.624</v>
      </c>
      <c r="F229" s="182" t="n">
        <v>4803.28927</v>
      </c>
      <c r="G229" s="182" t="n">
        <v>4805.51091</v>
      </c>
      <c r="H229" s="182" t="n">
        <v>0</v>
      </c>
      <c r="I229" s="182" t="n">
        <v>227</v>
      </c>
      <c r="J229" s="182" t="n">
        <v>34.301</v>
      </c>
      <c r="K229" s="182" t="n">
        <v>50.276</v>
      </c>
    </row>
    <row r="230" ht="15" customHeight="1" s="28">
      <c r="A230" s="181" t="n">
        <v>1776740402</v>
      </c>
      <c r="B230" s="181" t="inlineStr">
        <is>
          <t>XAUUSD</t>
        </is>
      </c>
      <c r="C230" s="181" t="inlineStr">
        <is>
          <t>M15</t>
        </is>
      </c>
      <c r="D230" s="181" t="n">
        <v>4800.74</v>
      </c>
      <c r="E230" s="181" t="n">
        <v>4756.35639</v>
      </c>
      <c r="F230" s="181" t="n">
        <v>4801.03397</v>
      </c>
      <c r="G230" s="181" t="n">
        <v>4803.27244</v>
      </c>
      <c r="H230" s="181" t="n">
        <v>0</v>
      </c>
      <c r="I230" s="181" t="n">
        <v>228</v>
      </c>
      <c r="J230" s="181" t="n">
        <v>28.3949</v>
      </c>
      <c r="K230" s="181" t="n">
        <v>44.3836</v>
      </c>
    </row>
    <row r="231" ht="15" customHeight="1" s="28">
      <c r="A231" s="182" t="n">
        <v>1776741302</v>
      </c>
      <c r="B231" s="182" t="inlineStr">
        <is>
          <t>XAUUSD</t>
        </is>
      </c>
      <c r="C231" s="182" t="inlineStr">
        <is>
          <t>M15</t>
        </is>
      </c>
      <c r="D231" s="182" t="n">
        <v>4798.75</v>
      </c>
      <c r="E231" s="182" t="n">
        <v>4756.08879</v>
      </c>
      <c r="F231" s="182" t="n">
        <v>4798.959</v>
      </c>
      <c r="G231" s="182" t="n">
        <v>4801.11572</v>
      </c>
      <c r="H231" s="182" t="n">
        <v>0</v>
      </c>
      <c r="I231" s="182" t="n">
        <v>229</v>
      </c>
      <c r="J231" s="182" t="n">
        <v>26.6588</v>
      </c>
      <c r="K231" s="182" t="n">
        <v>42.6612</v>
      </c>
    </row>
    <row r="232" ht="15" customHeight="1" s="28">
      <c r="A232" s="181" t="n">
        <v>1776742202</v>
      </c>
      <c r="B232" s="181" t="inlineStr">
        <is>
          <t>XAUUSD</t>
        </is>
      </c>
      <c r="C232" s="181" t="inlineStr">
        <is>
          <t>M15</t>
        </is>
      </c>
      <c r="D232" s="181" t="n">
        <v>4795.2</v>
      </c>
      <c r="E232" s="181" t="n">
        <v>4755.82119</v>
      </c>
      <c r="F232" s="181" t="n">
        <v>4797.12518</v>
      </c>
      <c r="G232" s="181" t="n">
        <v>4799.12045</v>
      </c>
      <c r="H232" s="181" t="n">
        <v>0</v>
      </c>
      <c r="I232" s="181" t="n">
        <v>230</v>
      </c>
      <c r="J232" s="181" t="n">
        <v>23.3627</v>
      </c>
      <c r="K232" s="181" t="n">
        <v>39.3788</v>
      </c>
    </row>
    <row r="233" ht="15" customHeight="1" s="28">
      <c r="A233" s="182" t="n">
        <v>1776743102</v>
      </c>
      <c r="B233" s="182" t="inlineStr">
        <is>
          <t>XAUUSD</t>
        </is>
      </c>
      <c r="C233" s="182" t="inlineStr">
        <is>
          <t>M15</t>
        </is>
      </c>
      <c r="D233" s="182" t="n">
        <v>4797.36</v>
      </c>
      <c r="E233" s="182" t="n">
        <v>4755.55358</v>
      </c>
      <c r="F233" s="182" t="n">
        <v>4795.60858</v>
      </c>
      <c r="G233" s="182" t="n">
        <v>4797.36451</v>
      </c>
      <c r="H233" s="182" t="n">
        <v>0</v>
      </c>
      <c r="I233" s="182" t="n">
        <v>231</v>
      </c>
      <c r="J233" s="182" t="n">
        <v>25.7766</v>
      </c>
      <c r="K233" s="182" t="n">
        <v>41.8064</v>
      </c>
    </row>
    <row r="234" ht="15" customHeight="1" s="28">
      <c r="A234" s="181" t="n">
        <v>1776744002</v>
      </c>
      <c r="B234" s="181" t="inlineStr">
        <is>
          <t>XAUUSD</t>
        </is>
      </c>
      <c r="C234" s="181" t="inlineStr">
        <is>
          <t>M15</t>
        </is>
      </c>
      <c r="D234" s="181" t="n">
        <v>4794.24</v>
      </c>
      <c r="E234" s="181" t="n">
        <v>4755.28598</v>
      </c>
      <c r="F234" s="181" t="n">
        <v>4794.28785</v>
      </c>
      <c r="G234" s="181" t="n">
        <v>4795.82618</v>
      </c>
      <c r="H234" s="181" t="n">
        <v>0</v>
      </c>
      <c r="I234" s="181" t="n">
        <v>232</v>
      </c>
      <c r="J234" s="181" t="n">
        <v>22.9105</v>
      </c>
      <c r="K234" s="181" t="n">
        <v>38.954</v>
      </c>
    </row>
    <row r="235" ht="15" customHeight="1" s="28">
      <c r="A235" s="182" t="n">
        <v>1776744902</v>
      </c>
      <c r="B235" s="182" t="inlineStr">
        <is>
          <t>XAUUSD</t>
        </is>
      </c>
      <c r="C235" s="182" t="inlineStr">
        <is>
          <t>M15</t>
        </is>
      </c>
      <c r="D235" s="182" t="n">
        <v>4792.33</v>
      </c>
      <c r="E235" s="182" t="n">
        <v>4755.01837</v>
      </c>
      <c r="F235" s="182" t="n">
        <v>4793.15131</v>
      </c>
      <c r="G235" s="182" t="n">
        <v>4794.48874</v>
      </c>
      <c r="H235" s="182" t="n">
        <v>0</v>
      </c>
      <c r="I235" s="182" t="n">
        <v>233</v>
      </c>
      <c r="J235" s="182" t="n">
        <v>21.2544</v>
      </c>
      <c r="K235" s="182" t="n">
        <v>37.3116</v>
      </c>
    </row>
    <row r="236" ht="15" customHeight="1" s="28">
      <c r="A236" s="181" t="n">
        <v>1776745802</v>
      </c>
      <c r="B236" s="181" t="inlineStr">
        <is>
          <t>XAUUSD</t>
        </is>
      </c>
      <c r="C236" s="181" t="inlineStr">
        <is>
          <t>M15</t>
        </is>
      </c>
      <c r="D236" s="181" t="n">
        <v>4791.74</v>
      </c>
      <c r="E236" s="181" t="n">
        <v>4754.75077</v>
      </c>
      <c r="F236" s="181" t="n">
        <v>4792.13856</v>
      </c>
      <c r="G236" s="181" t="n">
        <v>4793.31365</v>
      </c>
      <c r="H236" s="181" t="n">
        <v>0</v>
      </c>
      <c r="I236" s="181" t="n">
        <v>234</v>
      </c>
      <c r="J236" s="181" t="n">
        <v>20.9183</v>
      </c>
      <c r="K236" s="181" t="n">
        <v>36.9892</v>
      </c>
    </row>
    <row r="237" ht="15" customHeight="1" s="28">
      <c r="A237" s="182" t="n">
        <v>1776746702</v>
      </c>
      <c r="B237" s="182" t="inlineStr">
        <is>
          <t>XAUUSD</t>
        </is>
      </c>
      <c r="C237" s="182" t="inlineStr">
        <is>
          <t>M15</t>
        </is>
      </c>
      <c r="D237" s="182" t="n">
        <v>4789.16</v>
      </c>
      <c r="E237" s="182" t="n">
        <v>4754.48317</v>
      </c>
      <c r="F237" s="182" t="n">
        <v>4791.15407</v>
      </c>
      <c r="G237" s="182" t="n">
        <v>4792.23386</v>
      </c>
      <c r="H237" s="182" t="n">
        <v>0</v>
      </c>
      <c r="I237" s="182" t="n">
        <v>235</v>
      </c>
      <c r="J237" s="182" t="n">
        <v>18.5922</v>
      </c>
      <c r="K237" s="182" t="n">
        <v>34.6768</v>
      </c>
    </row>
    <row r="238" ht="15" customHeight="1" s="28">
      <c r="A238" s="181" t="n">
        <v>1776747602</v>
      </c>
      <c r="B238" s="181" t="inlineStr">
        <is>
          <t>XAUUSD</t>
        </is>
      </c>
      <c r="C238" s="181" t="inlineStr">
        <is>
          <t>M15</t>
        </is>
      </c>
      <c r="D238" s="181" t="n">
        <v>4789.51</v>
      </c>
      <c r="E238" s="181" t="n">
        <v>4754.21556</v>
      </c>
      <c r="F238" s="181" t="n">
        <v>4790.15661</v>
      </c>
      <c r="G238" s="181" t="n">
        <v>4791.19524</v>
      </c>
      <c r="H238" s="181" t="n">
        <v>0</v>
      </c>
      <c r="I238" s="181" t="n">
        <v>236</v>
      </c>
      <c r="J238" s="181" t="n">
        <v>19.1961</v>
      </c>
      <c r="K238" s="181" t="n">
        <v>35.2944</v>
      </c>
    </row>
    <row r="239" ht="15" customHeight="1" s="28">
      <c r="A239" s="182" t="n">
        <v>1776748502</v>
      </c>
      <c r="B239" s="182" t="inlineStr">
        <is>
          <t>XAUUSD</t>
        </is>
      </c>
      <c r="C239" s="182" t="inlineStr">
        <is>
          <t>M15</t>
        </is>
      </c>
      <c r="D239" s="182" t="n">
        <v>4787.58</v>
      </c>
      <c r="E239" s="182" t="n">
        <v>4753.94796</v>
      </c>
      <c r="F239" s="182" t="n">
        <v>4789.02178</v>
      </c>
      <c r="G239" s="182" t="n">
        <v>4790.10851</v>
      </c>
      <c r="H239" s="182" t="n">
        <v>0</v>
      </c>
      <c r="I239" s="182" t="n">
        <v>237</v>
      </c>
      <c r="J239" s="182" t="n">
        <v>17.52</v>
      </c>
      <c r="K239" s="182" t="n">
        <v>33.632</v>
      </c>
    </row>
    <row r="240" ht="15" customHeight="1" s="28">
      <c r="A240" s="181" t="n">
        <v>1776749402</v>
      </c>
      <c r="B240" s="181" t="inlineStr">
        <is>
          <t>XAUUSD</t>
        </is>
      </c>
      <c r="C240" s="181" t="inlineStr">
        <is>
          <t>M15</t>
        </is>
      </c>
      <c r="D240" s="181" t="n">
        <v>4796.37</v>
      </c>
      <c r="E240" s="181" t="n">
        <v>4753.68035</v>
      </c>
      <c r="F240" s="181" t="n">
        <v>4787.71372</v>
      </c>
      <c r="G240" s="181" t="n">
        <v>4788.91112</v>
      </c>
      <c r="H240" s="181" t="n">
        <v>0</v>
      </c>
      <c r="I240" s="181" t="n">
        <v>238</v>
      </c>
      <c r="J240" s="181" t="n">
        <v>26.5639</v>
      </c>
      <c r="K240" s="181" t="n">
        <v>42.6897</v>
      </c>
    </row>
    <row r="241" ht="15" customHeight="1" s="28">
      <c r="A241" s="182" t="n">
        <v>1776750302</v>
      </c>
      <c r="B241" s="182" t="inlineStr">
        <is>
          <t>XAUUSD</t>
        </is>
      </c>
      <c r="C241" s="182" t="inlineStr">
        <is>
          <t>M15</t>
        </is>
      </c>
      <c r="D241" s="182" t="n">
        <v>4784.33</v>
      </c>
      <c r="E241" s="182" t="n">
        <v>4753.41275</v>
      </c>
      <c r="F241" s="182" t="n">
        <v>4785.99147</v>
      </c>
      <c r="G241" s="182" t="n">
        <v>4787.45129</v>
      </c>
      <c r="H241" s="182" t="n">
        <v>0</v>
      </c>
      <c r="I241" s="182" t="n">
        <v>239</v>
      </c>
      <c r="J241" s="182" t="n">
        <v>14.7777</v>
      </c>
      <c r="K241" s="182" t="n">
        <v>30.9172</v>
      </c>
    </row>
    <row r="242" ht="15" customHeight="1" s="28">
      <c r="A242" s="181" t="n">
        <v>1776751202</v>
      </c>
      <c r="B242" s="181" t="inlineStr">
        <is>
          <t>XAUUSD</t>
        </is>
      </c>
      <c r="C242" s="181" t="inlineStr">
        <is>
          <t>M15</t>
        </is>
      </c>
      <c r="D242" s="181" t="n">
        <v>4785.01</v>
      </c>
      <c r="E242" s="181" t="n">
        <v>4753.14515</v>
      </c>
      <c r="F242" s="181" t="n">
        <v>4784.26119</v>
      </c>
      <c r="G242" s="181" t="n">
        <v>4785.85624</v>
      </c>
      <c r="H242" s="181" t="n">
        <v>0</v>
      </c>
      <c r="I242" s="181" t="n">
        <v>240</v>
      </c>
      <c r="J242" s="181" t="n">
        <v>15.7116</v>
      </c>
      <c r="K242" s="181" t="n">
        <v>31.8648</v>
      </c>
    </row>
    <row r="243" ht="15" customHeight="1" s="28">
      <c r="A243" s="182" t="n">
        <v>1776752102</v>
      </c>
      <c r="B243" s="182" t="inlineStr">
        <is>
          <t>XAUUSD</t>
        </is>
      </c>
      <c r="C243" s="182" t="inlineStr">
        <is>
          <t>M15</t>
        </is>
      </c>
      <c r="D243" s="182" t="n">
        <v>4778.93</v>
      </c>
      <c r="E243" s="182" t="n">
        <v>4752.87754</v>
      </c>
      <c r="F243" s="182" t="n">
        <v>4782.64916</v>
      </c>
      <c r="G243" s="182" t="n">
        <v>4784.2527</v>
      </c>
      <c r="H243" s="182" t="n">
        <v>0</v>
      </c>
      <c r="I243" s="182" t="n">
        <v>241</v>
      </c>
      <c r="J243" s="182" t="n">
        <v>9.8855</v>
      </c>
      <c r="K243" s="182" t="n">
        <v>26.0525</v>
      </c>
    </row>
    <row r="244" ht="15" customHeight="1" s="28">
      <c r="A244" s="181" t="n">
        <v>1776753002</v>
      </c>
      <c r="B244" s="181" t="inlineStr">
        <is>
          <t>XAUUSD</t>
        </is>
      </c>
      <c r="C244" s="181" t="inlineStr">
        <is>
          <t>M15</t>
        </is>
      </c>
      <c r="D244" s="181" t="n">
        <v>4780.6</v>
      </c>
      <c r="E244" s="181" t="n">
        <v>4752.60994</v>
      </c>
      <c r="F244" s="181" t="n">
        <v>4781.54014</v>
      </c>
      <c r="G244" s="181" t="n">
        <v>4782.89642</v>
      </c>
      <c r="H244" s="181" t="n">
        <v>0</v>
      </c>
      <c r="I244" s="181" t="n">
        <v>242</v>
      </c>
      <c r="J244" s="181" t="n">
        <v>11.8094</v>
      </c>
      <c r="K244" s="181" t="n">
        <v>27.9901</v>
      </c>
    </row>
    <row r="245" ht="15" customHeight="1" s="28">
      <c r="A245" s="182" t="n">
        <v>1776753902</v>
      </c>
      <c r="B245" s="182" t="inlineStr">
        <is>
          <t>XAUUSD</t>
        </is>
      </c>
      <c r="C245" s="182" t="inlineStr">
        <is>
          <t>M15</t>
        </is>
      </c>
      <c r="D245" s="182" t="n">
        <v>4778.73</v>
      </c>
      <c r="E245" s="182" t="n">
        <v>4752.34233</v>
      </c>
      <c r="F245" s="182" t="n">
        <v>4781.04479</v>
      </c>
      <c r="G245" s="182" t="n">
        <v>4781.97061</v>
      </c>
      <c r="H245" s="182" t="n">
        <v>0</v>
      </c>
      <c r="I245" s="182" t="n">
        <v>243</v>
      </c>
      <c r="J245" s="182" t="n">
        <v>10.1933</v>
      </c>
      <c r="K245" s="182" t="n">
        <v>26.3877</v>
      </c>
    </row>
    <row r="246" ht="15" customHeight="1" s="28">
      <c r="A246" s="181" t="n">
        <v>1776754802</v>
      </c>
      <c r="B246" s="181" t="inlineStr">
        <is>
          <t>XAUUSD</t>
        </is>
      </c>
      <c r="C246" s="181" t="inlineStr">
        <is>
          <t>M15</t>
        </is>
      </c>
      <c r="D246" s="181" t="n">
        <v>4782.82</v>
      </c>
      <c r="E246" s="181" t="n">
        <v>4752.07473</v>
      </c>
      <c r="F246" s="181" t="n">
        <v>4781.27052</v>
      </c>
      <c r="G246" s="181" t="n">
        <v>4781.62056</v>
      </c>
      <c r="H246" s="181" t="n">
        <v>0</v>
      </c>
      <c r="I246" s="181" t="n">
        <v>244</v>
      </c>
      <c r="J246" s="181" t="n">
        <v>14.5372</v>
      </c>
      <c r="K246" s="181" t="n">
        <v>30.7453</v>
      </c>
    </row>
    <row r="247" ht="15" customHeight="1" s="28">
      <c r="A247" s="182" t="n">
        <v>1776755702</v>
      </c>
      <c r="B247" s="182" t="inlineStr">
        <is>
          <t>XAUUSD</t>
        </is>
      </c>
      <c r="C247" s="182" t="inlineStr">
        <is>
          <t>M15</t>
        </is>
      </c>
      <c r="D247" s="182" t="n">
        <v>4783.35</v>
      </c>
      <c r="E247" s="182" t="n">
        <v>4751.80712</v>
      </c>
      <c r="F247" s="182" t="n">
        <v>4782.07631</v>
      </c>
      <c r="G247" s="182" t="n">
        <v>4781.84844</v>
      </c>
      <c r="H247" s="182" t="n">
        <v>1</v>
      </c>
      <c r="I247" s="182" t="n">
        <v>245</v>
      </c>
      <c r="J247" s="182" t="n">
        <v>15.3211</v>
      </c>
      <c r="K247" s="182" t="n">
        <v>31.5429</v>
      </c>
    </row>
    <row r="248" ht="15" customHeight="1" s="28">
      <c r="A248" s="181" t="n">
        <v>1776756602</v>
      </c>
      <c r="B248" s="181" t="inlineStr">
        <is>
          <t>XAUUSD</t>
        </is>
      </c>
      <c r="C248" s="181" t="inlineStr">
        <is>
          <t>M15</t>
        </is>
      </c>
      <c r="D248" s="181" t="n">
        <v>4786.75</v>
      </c>
      <c r="E248" s="181" t="n">
        <v>4751.53952</v>
      </c>
      <c r="F248" s="181" t="n">
        <v>4783.25381</v>
      </c>
      <c r="G248" s="181" t="n">
        <v>4782.55112</v>
      </c>
      <c r="H248" s="181" t="n">
        <v>0</v>
      </c>
      <c r="I248" s="181" t="n">
        <v>246</v>
      </c>
      <c r="J248" s="181" t="n">
        <v>18.975</v>
      </c>
      <c r="K248" s="181" t="n">
        <v>35.2105</v>
      </c>
    </row>
    <row r="249" ht="15" customHeight="1" s="28">
      <c r="A249" s="182" t="n">
        <v>1776757502</v>
      </c>
      <c r="B249" s="182" t="inlineStr">
        <is>
          <t>XAUUSD</t>
        </is>
      </c>
      <c r="C249" s="182" t="inlineStr">
        <is>
          <t>M15</t>
        </is>
      </c>
      <c r="D249" s="182" t="n">
        <v>4785.87</v>
      </c>
      <c r="E249" s="182" t="n">
        <v>4751.27192</v>
      </c>
      <c r="F249" s="182" t="n">
        <v>4784.41239</v>
      </c>
      <c r="G249" s="182" t="n">
        <v>4783.48176</v>
      </c>
      <c r="H249" s="182" t="n">
        <v>0</v>
      </c>
      <c r="I249" s="182" t="n">
        <v>247</v>
      </c>
      <c r="J249" s="182" t="n">
        <v>18.3489</v>
      </c>
      <c r="K249" s="182" t="n">
        <v>34.5981</v>
      </c>
    </row>
    <row r="250" ht="15" customHeight="1" s="28">
      <c r="A250" s="181" t="n">
        <v>1776758402</v>
      </c>
      <c r="B250" s="181" t="inlineStr">
        <is>
          <t>XAUUSD</t>
        </is>
      </c>
      <c r="C250" s="181" t="inlineStr">
        <is>
          <t>M15</t>
        </is>
      </c>
      <c r="D250" s="181" t="n">
        <v>4776.03</v>
      </c>
      <c r="E250" s="181" t="n">
        <v>4751.00431</v>
      </c>
      <c r="F250" s="181" t="n">
        <v>4785.34761</v>
      </c>
      <c r="G250" s="181" t="n">
        <v>4784.41468</v>
      </c>
      <c r="H250" s="181" t="n">
        <v>0</v>
      </c>
      <c r="I250" s="181" t="n">
        <v>248</v>
      </c>
      <c r="J250" s="181" t="n">
        <v>8.7628</v>
      </c>
      <c r="K250" s="181" t="n">
        <v>25.0257</v>
      </c>
    </row>
    <row r="251" ht="15" customHeight="1" s="28">
      <c r="A251" s="182" t="n">
        <v>1776759302</v>
      </c>
      <c r="B251" s="182" t="inlineStr">
        <is>
          <t>XAUUSD</t>
        </is>
      </c>
      <c r="C251" s="182" t="inlineStr">
        <is>
          <t>M15</t>
        </is>
      </c>
      <c r="D251" s="182" t="n">
        <v>4787.2</v>
      </c>
      <c r="E251" s="182" t="n">
        <v>4750.73671</v>
      </c>
      <c r="F251" s="182" t="n">
        <v>4786.12541</v>
      </c>
      <c r="G251" s="182" t="n">
        <v>4785.27005</v>
      </c>
      <c r="H251" s="182" t="n">
        <v>0</v>
      </c>
      <c r="I251" s="182" t="n">
        <v>249</v>
      </c>
      <c r="J251" s="182" t="n">
        <v>20.1867</v>
      </c>
      <c r="K251" s="182" t="n">
        <v>36.4633</v>
      </c>
    </row>
    <row r="252" ht="15" customHeight="1" s="28">
      <c r="A252" s="181" t="n">
        <v>1776760202</v>
      </c>
      <c r="B252" s="181" t="inlineStr">
        <is>
          <t>XAUUSD</t>
        </is>
      </c>
      <c r="C252" s="181" t="inlineStr">
        <is>
          <t>M15</t>
        </is>
      </c>
      <c r="D252" s="181" t="n">
        <v>4791.78</v>
      </c>
      <c r="E252" s="181" t="n">
        <v>4750.4691</v>
      </c>
      <c r="F252" s="181" t="n">
        <v>4786.33799</v>
      </c>
      <c r="G252" s="181" t="n">
        <v>4785.80402</v>
      </c>
      <c r="H252" s="181" t="n">
        <v>0</v>
      </c>
      <c r="I252" s="181" t="n">
        <v>250</v>
      </c>
      <c r="J252" s="181" t="n">
        <v>25.0206</v>
      </c>
      <c r="K252" s="181" t="n">
        <v>41.3109</v>
      </c>
    </row>
    <row r="253" ht="15" customHeight="1" s="28">
      <c r="A253" s="182" t="n">
        <v>1776761102</v>
      </c>
      <c r="B253" s="182" t="inlineStr">
        <is>
          <t>XAUUSD</t>
        </is>
      </c>
      <c r="C253" s="182" t="inlineStr">
        <is>
          <t>M15</t>
        </is>
      </c>
      <c r="D253" s="182" t="n">
        <v>4786.04</v>
      </c>
      <c r="E253" s="182" t="n">
        <v>4750.2015</v>
      </c>
      <c r="F253" s="182" t="n">
        <v>4785.91941</v>
      </c>
      <c r="G253" s="182" t="n">
        <v>4785.86171</v>
      </c>
      <c r="H253" s="182" t="n">
        <v>0</v>
      </c>
      <c r="I253" s="182" t="n">
        <v>251</v>
      </c>
      <c r="J253" s="182" t="n">
        <v>19.5345</v>
      </c>
      <c r="K253" s="182" t="n">
        <v>35.8385</v>
      </c>
    </row>
    <row r="254" ht="15" customHeight="1" s="28">
      <c r="A254" s="181" t="n">
        <v>1776762002</v>
      </c>
      <c r="B254" s="181" t="inlineStr">
        <is>
          <t>XAUUSD</t>
        </is>
      </c>
      <c r="C254" s="181" t="inlineStr">
        <is>
          <t>M15</t>
        </is>
      </c>
      <c r="D254" s="181" t="n">
        <v>4784.2</v>
      </c>
      <c r="E254" s="181" t="n">
        <v>4749.9339</v>
      </c>
      <c r="F254" s="181" t="n">
        <v>4785.19286</v>
      </c>
      <c r="G254" s="181" t="n">
        <v>4785.52728</v>
      </c>
      <c r="H254" s="181" t="n">
        <v>1</v>
      </c>
      <c r="I254" s="181" t="n">
        <v>252</v>
      </c>
      <c r="J254" s="181" t="n">
        <v>17.9484</v>
      </c>
      <c r="K254" s="181" t="n">
        <v>34.2661</v>
      </c>
    </row>
    <row r="255" ht="15" customHeight="1" s="28">
      <c r="A255" s="182" t="n">
        <v>1776762902</v>
      </c>
      <c r="B255" s="182" t="inlineStr">
        <is>
          <t>XAUUSD</t>
        </is>
      </c>
      <c r="C255" s="182" t="inlineStr">
        <is>
          <t>M15</t>
        </is>
      </c>
      <c r="D255" s="182" t="n">
        <v>4782.14</v>
      </c>
      <c r="E255" s="182" t="n">
        <v>4749.66629</v>
      </c>
      <c r="F255" s="182" t="n">
        <v>4784.44546</v>
      </c>
      <c r="G255" s="182" t="n">
        <v>4784.98637</v>
      </c>
      <c r="H255" s="182" t="n">
        <v>0</v>
      </c>
      <c r="I255" s="182" t="n">
        <v>253</v>
      </c>
      <c r="J255" s="182" t="n">
        <v>16.1423</v>
      </c>
      <c r="K255" s="182" t="n">
        <v>32.4737</v>
      </c>
    </row>
    <row r="256" ht="15" customHeight="1" s="28">
      <c r="A256" s="181" t="n">
        <v>1776763802</v>
      </c>
      <c r="B256" s="181" t="inlineStr">
        <is>
          <t>XAUUSD</t>
        </is>
      </c>
      <c r="C256" s="181" t="inlineStr">
        <is>
          <t>M15</t>
        </is>
      </c>
      <c r="D256" s="181" t="n">
        <v>4787.2</v>
      </c>
      <c r="E256" s="181" t="n">
        <v>4749.39869</v>
      </c>
      <c r="F256" s="181" t="n">
        <v>4783.97823</v>
      </c>
      <c r="G256" s="181" t="n">
        <v>4784.4823</v>
      </c>
      <c r="H256" s="181" t="n">
        <v>0</v>
      </c>
      <c r="I256" s="181" t="n">
        <v>254</v>
      </c>
      <c r="J256" s="181" t="n">
        <v>21.4562</v>
      </c>
      <c r="K256" s="181" t="n">
        <v>37.8013</v>
      </c>
    </row>
    <row r="257" ht="15" customHeight="1" s="28">
      <c r="A257" s="182" t="n">
        <v>1776764702</v>
      </c>
      <c r="B257" s="182" t="inlineStr">
        <is>
          <t>XAUUSD</t>
        </is>
      </c>
      <c r="C257" s="182" t="inlineStr">
        <is>
          <t>M15</t>
        </is>
      </c>
      <c r="D257" s="182" t="n">
        <v>4783.8</v>
      </c>
      <c r="E257" s="182" t="n">
        <v>4749.13108</v>
      </c>
      <c r="F257" s="182" t="n">
        <v>4783.81954</v>
      </c>
      <c r="G257" s="182" t="n">
        <v>4784.15092</v>
      </c>
      <c r="H257" s="182" t="n">
        <v>0</v>
      </c>
      <c r="I257" s="182" t="n">
        <v>255</v>
      </c>
      <c r="J257" s="182" t="n">
        <v>18.3101</v>
      </c>
      <c r="K257" s="182" t="n">
        <v>34.6689</v>
      </c>
    </row>
    <row r="258" ht="15" customHeight="1" s="28">
      <c r="A258" s="181" t="n">
        <v>1776765602</v>
      </c>
      <c r="B258" s="181" t="inlineStr">
        <is>
          <t>XAUUSD</t>
        </is>
      </c>
      <c r="C258" s="181" t="inlineStr">
        <is>
          <t>M15</t>
        </is>
      </c>
      <c r="D258" s="181" t="n">
        <v>4783.02</v>
      </c>
      <c r="E258" s="181" t="n">
        <v>4748.86348</v>
      </c>
      <c r="F258" s="181" t="n">
        <v>4784.12581</v>
      </c>
      <c r="G258" s="181" t="n">
        <v>4784.13837</v>
      </c>
      <c r="H258" s="181" t="n">
        <v>0</v>
      </c>
      <c r="I258" s="181" t="n">
        <v>256</v>
      </c>
      <c r="J258" s="181" t="n">
        <v>17.784</v>
      </c>
      <c r="K258" s="181" t="n">
        <v>34.1565</v>
      </c>
    </row>
    <row r="259" ht="15" customHeight="1" s="28">
      <c r="A259" s="182" t="n">
        <v>1776766502</v>
      </c>
      <c r="B259" s="182" t="inlineStr">
        <is>
          <t>XAUUSD</t>
        </is>
      </c>
      <c r="C259" s="182" t="inlineStr">
        <is>
          <t>M15</t>
        </is>
      </c>
      <c r="D259" s="182" t="n">
        <v>4783.07</v>
      </c>
      <c r="E259" s="182" t="n">
        <v>4748.59588</v>
      </c>
      <c r="F259" s="182" t="n">
        <v>4784.83732</v>
      </c>
      <c r="G259" s="182" t="n">
        <v>4784.48784</v>
      </c>
      <c r="H259" s="182" t="n">
        <v>1</v>
      </c>
      <c r="I259" s="182" t="n">
        <v>257</v>
      </c>
      <c r="J259" s="182" t="n">
        <v>18.0879</v>
      </c>
      <c r="K259" s="182" t="n">
        <v>34.4741</v>
      </c>
    </row>
    <row r="260" ht="15" customHeight="1" s="28">
      <c r="A260" s="181" t="n">
        <v>1776767402</v>
      </c>
      <c r="B260" s="181" t="inlineStr">
        <is>
          <t>XAUUSD</t>
        </is>
      </c>
      <c r="C260" s="181" t="inlineStr">
        <is>
          <t>M15</t>
        </is>
      </c>
      <c r="D260" s="181" t="n">
        <v>4786.25</v>
      </c>
      <c r="E260" s="181" t="n">
        <v>4748.32827</v>
      </c>
      <c r="F260" s="181" t="n">
        <v>4785.818</v>
      </c>
      <c r="G260" s="181" t="n">
        <v>4785.15292</v>
      </c>
      <c r="H260" s="181" t="n">
        <v>0</v>
      </c>
      <c r="I260" s="181" t="n">
        <v>258</v>
      </c>
      <c r="J260" s="181" t="n">
        <v>21.5218</v>
      </c>
      <c r="K260" s="181" t="n">
        <v>37.9217</v>
      </c>
    </row>
    <row r="261" ht="15" customHeight="1" s="28">
      <c r="A261" s="182" t="n">
        <v>1776768302</v>
      </c>
      <c r="B261" s="182" t="inlineStr">
        <is>
          <t>XAUUSD</t>
        </is>
      </c>
      <c r="C261" s="182" t="inlineStr">
        <is>
          <t>M15</t>
        </is>
      </c>
      <c r="D261" s="182" t="n">
        <v>4789.79</v>
      </c>
      <c r="E261" s="182" t="n">
        <v>4748.06067</v>
      </c>
      <c r="F261" s="182" t="n">
        <v>4786.79737</v>
      </c>
      <c r="G261" s="182" t="n">
        <v>4785.97515</v>
      </c>
      <c r="H261" s="182" t="n">
        <v>0</v>
      </c>
      <c r="I261" s="182" t="n">
        <v>259</v>
      </c>
      <c r="J261" s="182" t="n">
        <v>25.3157</v>
      </c>
      <c r="K261" s="182" t="n">
        <v>41.7293</v>
      </c>
    </row>
    <row r="262" ht="15" customHeight="1" s="28">
      <c r="A262" s="181" t="n">
        <v>1776769202</v>
      </c>
      <c r="B262" s="181" t="inlineStr">
        <is>
          <t>XAUUSD</t>
        </is>
      </c>
      <c r="C262" s="181" t="inlineStr">
        <is>
          <t>M15</t>
        </is>
      </c>
      <c r="D262" s="181" t="n">
        <v>4781.77</v>
      </c>
      <c r="E262" s="181" t="n">
        <v>4747.79306</v>
      </c>
      <c r="F262" s="181" t="n">
        <v>4787.4864</v>
      </c>
      <c r="G262" s="181" t="n">
        <v>4786.73077</v>
      </c>
      <c r="H262" s="181" t="n">
        <v>0</v>
      </c>
      <c r="I262" s="181" t="n">
        <v>260</v>
      </c>
      <c r="J262" s="181" t="n">
        <v>17.5496</v>
      </c>
      <c r="K262" s="181" t="n">
        <v>33.9769</v>
      </c>
    </row>
    <row r="263" ht="15" customHeight="1" s="28">
      <c r="A263" s="182" t="n">
        <v>1776770102</v>
      </c>
      <c r="B263" s="182" t="inlineStr">
        <is>
          <t>XAUUSD</t>
        </is>
      </c>
      <c r="C263" s="182" t="inlineStr">
        <is>
          <t>M15</t>
        </is>
      </c>
      <c r="D263" s="182" t="n">
        <v>4783.57</v>
      </c>
      <c r="E263" s="182" t="n">
        <v>4747.52546</v>
      </c>
      <c r="F263" s="182" t="n">
        <v>4787.92563</v>
      </c>
      <c r="G263" s="182" t="n">
        <v>4787.3282</v>
      </c>
      <c r="H263" s="182" t="n">
        <v>0</v>
      </c>
      <c r="I263" s="182" t="n">
        <v>261</v>
      </c>
      <c r="J263" s="182" t="n">
        <v>19.6034</v>
      </c>
      <c r="K263" s="182" t="n">
        <v>36.0445</v>
      </c>
    </row>
    <row r="264" ht="15" customHeight="1" s="28">
      <c r="A264" s="181" t="n">
        <v>1776771002</v>
      </c>
      <c r="B264" s="181" t="inlineStr">
        <is>
          <t>XAUUSD</t>
        </is>
      </c>
      <c r="C264" s="181" t="inlineStr">
        <is>
          <t>M15</t>
        </is>
      </c>
      <c r="D264" s="181" t="n">
        <v>4793.1</v>
      </c>
      <c r="E264" s="181" t="n">
        <v>4747.25786</v>
      </c>
      <c r="F264" s="181" t="n">
        <v>4787.93018</v>
      </c>
      <c r="G264" s="181" t="n">
        <v>4787.62919</v>
      </c>
      <c r="H264" s="181" t="n">
        <v>0</v>
      </c>
      <c r="I264" s="181" t="n">
        <v>262</v>
      </c>
      <c r="J264" s="181" t="n">
        <v>29.3873</v>
      </c>
      <c r="K264" s="181" t="n">
        <v>45.8421</v>
      </c>
    </row>
    <row r="265" ht="15" customHeight="1" s="28">
      <c r="A265" s="182" t="n">
        <v>1776771902</v>
      </c>
      <c r="B265" s="182" t="inlineStr">
        <is>
          <t>XAUUSD</t>
        </is>
      </c>
      <c r="C265" s="182" t="inlineStr">
        <is>
          <t>M15</t>
        </is>
      </c>
      <c r="D265" s="182" t="n">
        <v>4794.61</v>
      </c>
      <c r="E265" s="182" t="n">
        <v>4746.99025</v>
      </c>
      <c r="F265" s="182" t="n">
        <v>4787.21124</v>
      </c>
      <c r="G265" s="182" t="n">
        <v>4787.42022</v>
      </c>
      <c r="H265" s="182" t="n">
        <v>1</v>
      </c>
      <c r="I265" s="182" t="n">
        <v>263</v>
      </c>
      <c r="J265" s="182" t="n">
        <v>31.1512</v>
      </c>
      <c r="K265" s="182" t="n">
        <v>47.6197</v>
      </c>
    </row>
    <row r="266" ht="15" customHeight="1" s="28">
      <c r="A266" s="181" t="n">
        <v>1776772802</v>
      </c>
      <c r="B266" s="181" t="inlineStr">
        <is>
          <t>XAUUSD</t>
        </is>
      </c>
      <c r="C266" s="181" t="inlineStr">
        <is>
          <t>M15</t>
        </is>
      </c>
      <c r="D266" s="181" t="n">
        <v>4791.06</v>
      </c>
      <c r="E266" s="181" t="n">
        <v>4746.72265</v>
      </c>
      <c r="F266" s="181" t="n">
        <v>4785.80212</v>
      </c>
      <c r="G266" s="181" t="n">
        <v>4786.61117</v>
      </c>
      <c r="H266" s="181" t="n">
        <v>0</v>
      </c>
      <c r="I266" s="181" t="n">
        <v>264</v>
      </c>
      <c r="J266" s="181" t="n">
        <v>27.8551</v>
      </c>
      <c r="K266" s="181" t="n">
        <v>44.3374</v>
      </c>
    </row>
    <row r="267" ht="15" customHeight="1" s="28">
      <c r="A267" s="182" t="n">
        <v>1776773702</v>
      </c>
      <c r="B267" s="182" t="inlineStr">
        <is>
          <t>XAUUSD</t>
        </is>
      </c>
      <c r="C267" s="182" t="inlineStr">
        <is>
          <t>M15</t>
        </is>
      </c>
      <c r="D267" s="182" t="n">
        <v>4780.61</v>
      </c>
      <c r="E267" s="182" t="n">
        <v>4746.45504</v>
      </c>
      <c r="F267" s="182" t="n">
        <v>4784.03656</v>
      </c>
      <c r="G267" s="182" t="n">
        <v>4785.32387</v>
      </c>
      <c r="H267" s="182" t="n">
        <v>0</v>
      </c>
      <c r="I267" s="182" t="n">
        <v>265</v>
      </c>
      <c r="J267" s="182" t="n">
        <v>17.659</v>
      </c>
      <c r="K267" s="182" t="n">
        <v>34.155</v>
      </c>
    </row>
    <row r="268" ht="15" customHeight="1" s="28">
      <c r="A268" s="181" t="n">
        <v>1776774602</v>
      </c>
      <c r="B268" s="181" t="inlineStr">
        <is>
          <t>XAUUSD</t>
        </is>
      </c>
      <c r="C268" s="181" t="inlineStr">
        <is>
          <t>M15</t>
        </is>
      </c>
      <c r="D268" s="181" t="n">
        <v>4778.89</v>
      </c>
      <c r="E268" s="181" t="n">
        <v>4746.18744</v>
      </c>
      <c r="F268" s="181" t="n">
        <v>4782.33943</v>
      </c>
      <c r="G268" s="181" t="n">
        <v>4783.83165</v>
      </c>
      <c r="H268" s="181" t="n">
        <v>0</v>
      </c>
      <c r="I268" s="181" t="n">
        <v>266</v>
      </c>
      <c r="J268" s="181" t="n">
        <v>16.1929</v>
      </c>
      <c r="K268" s="181" t="n">
        <v>32.7026</v>
      </c>
    </row>
    <row r="269" ht="15" customHeight="1" s="28">
      <c r="A269" s="182" t="n">
        <v>1776775502</v>
      </c>
      <c r="B269" s="182" t="inlineStr">
        <is>
          <t>XAUUSD</t>
        </is>
      </c>
      <c r="C269" s="182" t="inlineStr">
        <is>
          <t>M15</t>
        </is>
      </c>
      <c r="D269" s="182" t="n">
        <v>4778.78</v>
      </c>
      <c r="E269" s="182" t="n">
        <v>4745.91984</v>
      </c>
      <c r="F269" s="182" t="n">
        <v>4780.77437</v>
      </c>
      <c r="G269" s="182" t="n">
        <v>4782.30301</v>
      </c>
      <c r="H269" s="182" t="n">
        <v>0</v>
      </c>
      <c r="I269" s="182" t="n">
        <v>267</v>
      </c>
      <c r="J269" s="182" t="n">
        <v>16.3368</v>
      </c>
      <c r="K269" s="182" t="n">
        <v>32.8602</v>
      </c>
    </row>
    <row r="270" ht="15" customHeight="1" s="28">
      <c r="A270" s="181" t="n">
        <v>1776776402</v>
      </c>
      <c r="B270" s="181" t="inlineStr">
        <is>
          <t>XAUUSD</t>
        </is>
      </c>
      <c r="C270" s="181" t="inlineStr">
        <is>
          <t>M15</t>
        </is>
      </c>
      <c r="D270" s="181" t="n">
        <v>4765.33</v>
      </c>
      <c r="E270" s="181" t="n">
        <v>4745.65223</v>
      </c>
      <c r="F270" s="181" t="n">
        <v>4779.25347</v>
      </c>
      <c r="G270" s="181" t="n">
        <v>4780.77824</v>
      </c>
      <c r="H270" s="181" t="n">
        <v>0</v>
      </c>
      <c r="I270" s="181" t="n">
        <v>268</v>
      </c>
      <c r="J270" s="181" t="n">
        <v>3.1407</v>
      </c>
      <c r="K270" s="181" t="n">
        <v>19.6778</v>
      </c>
    </row>
    <row r="271" ht="15" customHeight="1" s="28">
      <c r="A271" s="182" t="n">
        <v>1776777302</v>
      </c>
      <c r="B271" s="182" t="inlineStr">
        <is>
          <t>XAUUSD</t>
        </is>
      </c>
      <c r="C271" s="182" t="inlineStr">
        <is>
          <t>M15</t>
        </is>
      </c>
      <c r="D271" s="182" t="n">
        <v>4774.96</v>
      </c>
      <c r="E271" s="182" t="n">
        <v>4745.38463</v>
      </c>
      <c r="F271" s="182" t="n">
        <v>4777.9154</v>
      </c>
      <c r="G271" s="182" t="n">
        <v>4779.34682</v>
      </c>
      <c r="H271" s="182" t="n">
        <v>0</v>
      </c>
      <c r="I271" s="182" t="n">
        <v>269</v>
      </c>
      <c r="J271" s="182" t="n">
        <v>13.0246</v>
      </c>
      <c r="K271" s="182" t="n">
        <v>29.5754</v>
      </c>
    </row>
    <row r="272" ht="15" customHeight="1" s="28">
      <c r="A272" s="181" t="n">
        <v>1776778202</v>
      </c>
      <c r="B272" s="181" t="inlineStr">
        <is>
          <t>XAUUSD</t>
        </is>
      </c>
      <c r="C272" s="181" t="inlineStr">
        <is>
          <t>M15</t>
        </is>
      </c>
      <c r="D272" s="181" t="n">
        <v>4789.04</v>
      </c>
      <c r="E272" s="181" t="n">
        <v>4745.11702</v>
      </c>
      <c r="F272" s="181" t="n">
        <v>4776.2013</v>
      </c>
      <c r="G272" s="181" t="n">
        <v>4777.77406</v>
      </c>
      <c r="H272" s="181" t="n">
        <v>0</v>
      </c>
      <c r="I272" s="181" t="n">
        <v>270</v>
      </c>
      <c r="J272" s="181" t="n">
        <v>27.3585</v>
      </c>
      <c r="K272" s="181" t="n">
        <v>43.923</v>
      </c>
    </row>
    <row r="273" ht="15" customHeight="1" s="28">
      <c r="A273" s="182" t="n">
        <v>1776779102</v>
      </c>
      <c r="B273" s="182" t="inlineStr">
        <is>
          <t>XAUUSD</t>
        </is>
      </c>
      <c r="C273" s="182" t="inlineStr">
        <is>
          <t>M15</t>
        </is>
      </c>
      <c r="D273" s="182" t="n">
        <v>4779.16</v>
      </c>
      <c r="E273" s="182" t="n">
        <v>4744.84942</v>
      </c>
      <c r="F273" s="182" t="n">
        <v>4773.42706</v>
      </c>
      <c r="G273" s="182" t="n">
        <v>4775.60056</v>
      </c>
      <c r="H273" s="182" t="n">
        <v>0</v>
      </c>
      <c r="I273" s="182" t="n">
        <v>271</v>
      </c>
      <c r="J273" s="182" t="n">
        <v>17.7324</v>
      </c>
      <c r="K273" s="182" t="n">
        <v>34.3106</v>
      </c>
    </row>
    <row r="274" ht="15" customHeight="1" s="28">
      <c r="A274" s="181" t="n">
        <v>1776780002</v>
      </c>
      <c r="B274" s="181" t="inlineStr">
        <is>
          <t>XAUUSD</t>
        </is>
      </c>
      <c r="C274" s="181" t="inlineStr">
        <is>
          <t>M15</t>
        </is>
      </c>
      <c r="D274" s="181" t="n">
        <v>4778.53</v>
      </c>
      <c r="E274" s="181" t="n">
        <v>4744.58181</v>
      </c>
      <c r="F274" s="181" t="n">
        <v>4769.69839</v>
      </c>
      <c r="G274" s="181" t="n">
        <v>4772.64948</v>
      </c>
      <c r="H274" s="181" t="n">
        <v>0</v>
      </c>
      <c r="I274" s="181" t="n">
        <v>272</v>
      </c>
      <c r="J274" s="181" t="n">
        <v>17.3563</v>
      </c>
      <c r="K274" s="181" t="n">
        <v>33.9482</v>
      </c>
    </row>
    <row r="275" ht="15" customHeight="1" s="28">
      <c r="A275" s="182" t="n">
        <v>1776780902</v>
      </c>
      <c r="B275" s="182" t="inlineStr">
        <is>
          <t>XAUUSD</t>
        </is>
      </c>
      <c r="C275" s="182" t="inlineStr">
        <is>
          <t>M15</t>
        </is>
      </c>
      <c r="D275" s="182" t="n">
        <v>4774.24</v>
      </c>
      <c r="E275" s="182" t="n">
        <v>4744.31421</v>
      </c>
      <c r="F275" s="182" t="n">
        <v>4764.9909</v>
      </c>
      <c r="G275" s="182" t="n">
        <v>4768.82019</v>
      </c>
      <c r="H275" s="182" t="n">
        <v>0</v>
      </c>
      <c r="I275" s="182" t="n">
        <v>273</v>
      </c>
      <c r="J275" s="182" t="n">
        <v>13.3202</v>
      </c>
      <c r="K275" s="182" t="n">
        <v>29.9258</v>
      </c>
    </row>
    <row r="276" ht="15" customHeight="1" s="28">
      <c r="A276" s="181" t="n">
        <v>1776781802</v>
      </c>
      <c r="B276" s="181" t="inlineStr">
        <is>
          <t>XAUUSD</t>
        </is>
      </c>
      <c r="C276" s="181" t="inlineStr">
        <is>
          <t>M15</t>
        </is>
      </c>
      <c r="D276" s="181" t="n">
        <v>4744.7</v>
      </c>
      <c r="E276" s="181" t="n">
        <v>4744.04661</v>
      </c>
      <c r="F276" s="181" t="n">
        <v>4759.49783</v>
      </c>
      <c r="G276" s="181" t="n">
        <v>4764.15901</v>
      </c>
      <c r="H276" s="181" t="n">
        <v>0</v>
      </c>
      <c r="I276" s="181" t="n">
        <v>274</v>
      </c>
      <c r="J276" s="181" t="n">
        <v>-15.9659</v>
      </c>
      <c r="K276" s="181" t="n">
        <v>0.6534</v>
      </c>
    </row>
    <row r="277" ht="15" customHeight="1" s="28">
      <c r="A277" s="182" t="n">
        <v>1776782702</v>
      </c>
      <c r="B277" s="182" t="inlineStr">
        <is>
          <t>XAUUSD</t>
        </is>
      </c>
      <c r="C277" s="182" t="inlineStr">
        <is>
          <t>M15</t>
        </is>
      </c>
      <c r="D277" s="182" t="n">
        <v>4738.97</v>
      </c>
      <c r="E277" s="182" t="n">
        <v>4743.779</v>
      </c>
      <c r="F277" s="182" t="n">
        <v>4754.12855</v>
      </c>
      <c r="G277" s="182" t="n">
        <v>4759.14378</v>
      </c>
      <c r="H277" s="182" t="n">
        <v>0</v>
      </c>
      <c r="I277" s="182" t="n">
        <v>275</v>
      </c>
      <c r="J277" s="182" t="n">
        <v>-21.442</v>
      </c>
      <c r="K277" s="182" t="n">
        <v>-4.809</v>
      </c>
    </row>
    <row r="278" ht="15" customHeight="1" s="28">
      <c r="A278" s="181" t="n">
        <v>1776783602</v>
      </c>
      <c r="B278" s="181" t="inlineStr">
        <is>
          <t>XAUUSD</t>
        </is>
      </c>
      <c r="C278" s="181" t="inlineStr">
        <is>
          <t>M15</t>
        </is>
      </c>
      <c r="D278" s="181" t="n">
        <v>4748.21</v>
      </c>
      <c r="E278" s="181" t="n">
        <v>4743.5114</v>
      </c>
      <c r="F278" s="181" t="n">
        <v>4749.06783</v>
      </c>
      <c r="G278" s="181" t="n">
        <v>4754.1058</v>
      </c>
      <c r="H278" s="181" t="n">
        <v>0</v>
      </c>
      <c r="I278" s="181" t="n">
        <v>276</v>
      </c>
      <c r="J278" s="181" t="n">
        <v>-11.9481</v>
      </c>
      <c r="K278" s="181" t="n">
        <v>4.6986</v>
      </c>
    </row>
    <row r="279" ht="15" customHeight="1" s="28">
      <c r="A279" s="182" t="n">
        <v>1776784502</v>
      </c>
      <c r="B279" s="182" t="inlineStr">
        <is>
          <t>XAUUSD</t>
        </is>
      </c>
      <c r="C279" s="182" t="inlineStr">
        <is>
          <t>M15</t>
        </is>
      </c>
      <c r="D279" s="182" t="n">
        <v>4742.57</v>
      </c>
      <c r="E279" s="182" t="n">
        <v>4743.24379</v>
      </c>
      <c r="F279" s="182" t="n">
        <v>4743.96764</v>
      </c>
      <c r="G279" s="182" t="n">
        <v>4749.03672</v>
      </c>
      <c r="H279" s="182" t="n">
        <v>0</v>
      </c>
      <c r="I279" s="182" t="n">
        <v>277</v>
      </c>
      <c r="J279" s="182" t="n">
        <v>-17.3342</v>
      </c>
      <c r="K279" s="182" t="n">
        <v>-0.6738</v>
      </c>
    </row>
    <row r="280" ht="15" customHeight="1" s="28">
      <c r="A280" s="181" t="n">
        <v>1776785402</v>
      </c>
      <c r="B280" s="181" t="inlineStr">
        <is>
          <t>XAUUSD</t>
        </is>
      </c>
      <c r="C280" s="181" t="inlineStr">
        <is>
          <t>M15</t>
        </is>
      </c>
      <c r="D280" s="181" t="n">
        <v>4745.93</v>
      </c>
      <c r="E280" s="181" t="n">
        <v>4742.97619</v>
      </c>
      <c r="F280" s="181" t="n">
        <v>4738.84018</v>
      </c>
      <c r="G280" s="181" t="n">
        <v>4743.93845</v>
      </c>
      <c r="H280" s="181" t="n">
        <v>0</v>
      </c>
      <c r="I280" s="181" t="n">
        <v>278</v>
      </c>
      <c r="J280" s="181" t="n">
        <v>-13.7203</v>
      </c>
      <c r="K280" s="181" t="n">
        <v>2.9538</v>
      </c>
    </row>
    <row r="281" ht="15" customHeight="1" s="28">
      <c r="A281" s="182" t="n">
        <v>1776786302</v>
      </c>
      <c r="B281" s="182" t="inlineStr">
        <is>
          <t>XAUUSD</t>
        </is>
      </c>
      <c r="C281" s="182" t="inlineStr">
        <is>
          <t>M15</t>
        </is>
      </c>
      <c r="D281" s="182" t="n">
        <v>4741.81</v>
      </c>
      <c r="E281" s="182" t="n">
        <v>4742.70859</v>
      </c>
      <c r="F281" s="182" t="n">
        <v>4733.50311</v>
      </c>
      <c r="G281" s="182" t="n">
        <v>4738.72078</v>
      </c>
      <c r="H281" s="182" t="n">
        <v>0</v>
      </c>
      <c r="I281" s="182" t="n">
        <v>279</v>
      </c>
      <c r="J281" s="182" t="n">
        <v>-17.5864</v>
      </c>
      <c r="K281" s="182" t="n">
        <v>-0.8986</v>
      </c>
    </row>
    <row r="282" ht="15" customHeight="1" s="28">
      <c r="A282" s="181" t="n">
        <v>1776787202</v>
      </c>
      <c r="B282" s="181" t="inlineStr">
        <is>
          <t>XAUUSD</t>
        </is>
      </c>
      <c r="C282" s="181" t="inlineStr">
        <is>
          <t>M15</t>
        </is>
      </c>
      <c r="D282" s="181" t="n">
        <v>4730.44</v>
      </c>
      <c r="E282" s="181" t="n">
        <v>4742.44098</v>
      </c>
      <c r="F282" s="181" t="n">
        <v>4728.041</v>
      </c>
      <c r="G282" s="181" t="n">
        <v>4733.38089</v>
      </c>
      <c r="H282" s="181" t="n">
        <v>0</v>
      </c>
      <c r="I282" s="181" t="n">
        <v>280</v>
      </c>
      <c r="J282" s="181" t="n">
        <v>-28.7025</v>
      </c>
      <c r="K282" s="181" t="n">
        <v>-12.001</v>
      </c>
    </row>
    <row r="283" ht="15" customHeight="1" s="28">
      <c r="A283" s="182" t="n">
        <v>1776788102</v>
      </c>
      <c r="B283" s="182" t="inlineStr">
        <is>
          <t>XAUUSD</t>
        </is>
      </c>
      <c r="C283" s="182" t="inlineStr">
        <is>
          <t>M15</t>
        </is>
      </c>
      <c r="D283" s="182" t="n">
        <v>4720.86</v>
      </c>
      <c r="E283" s="182" t="n">
        <v>4742.17338</v>
      </c>
      <c r="F283" s="182" t="n">
        <v>4722.84116</v>
      </c>
      <c r="G283" s="182" t="n">
        <v>4728.11103</v>
      </c>
      <c r="H283" s="182" t="n">
        <v>0</v>
      </c>
      <c r="I283" s="182" t="n">
        <v>281</v>
      </c>
      <c r="J283" s="182" t="n">
        <v>-38.0286</v>
      </c>
      <c r="K283" s="182" t="n">
        <v>-21.3134</v>
      </c>
    </row>
    <row r="284" ht="15" customHeight="1" s="28">
      <c r="A284" s="181" t="n">
        <v>1776789002</v>
      </c>
      <c r="B284" s="181" t="inlineStr">
        <is>
          <t>XAUUSD</t>
        </is>
      </c>
      <c r="C284" s="181" t="inlineStr">
        <is>
          <t>M15</t>
        </is>
      </c>
      <c r="D284" s="181" t="n">
        <v>4721.05</v>
      </c>
      <c r="E284" s="181" t="n">
        <v>4741.90577</v>
      </c>
      <c r="F284" s="181" t="n">
        <v>4718.29378</v>
      </c>
      <c r="G284" s="181" t="n">
        <v>4723.2024</v>
      </c>
      <c r="H284" s="181" t="n">
        <v>0</v>
      </c>
      <c r="I284" s="181" t="n">
        <v>282</v>
      </c>
      <c r="J284" s="181" t="n">
        <v>-37.5847</v>
      </c>
      <c r="K284" s="181" t="n">
        <v>-20.8558</v>
      </c>
    </row>
    <row r="285" ht="15" customHeight="1" s="28">
      <c r="A285" s="182" t="n">
        <v>1776789902</v>
      </c>
      <c r="B285" s="182" t="inlineStr">
        <is>
          <t>XAUUSD</t>
        </is>
      </c>
      <c r="C285" s="182" t="inlineStr">
        <is>
          <t>M15</t>
        </is>
      </c>
      <c r="D285" s="182" t="n">
        <v>4711.56</v>
      </c>
      <c r="E285" s="182" t="n">
        <v>4741.63817</v>
      </c>
      <c r="F285" s="182" t="n">
        <v>4714.47889</v>
      </c>
      <c r="G285" s="182" t="n">
        <v>4718.84065</v>
      </c>
      <c r="H285" s="182" t="n">
        <v>0</v>
      </c>
      <c r="I285" s="182" t="n">
        <v>283</v>
      </c>
      <c r="J285" s="182" t="n">
        <v>-46.8208</v>
      </c>
      <c r="K285" s="182" t="n">
        <v>-30.0782</v>
      </c>
    </row>
    <row r="286" ht="15" customHeight="1" s="28">
      <c r="A286" s="181" t="n">
        <v>1776790802</v>
      </c>
      <c r="B286" s="181" t="inlineStr">
        <is>
          <t>XAUUSD</t>
        </is>
      </c>
      <c r="C286" s="181" t="inlineStr">
        <is>
          <t>M15</t>
        </is>
      </c>
      <c r="D286" s="181" t="n">
        <v>4706.5</v>
      </c>
      <c r="E286" s="181" t="n">
        <v>4741.37057</v>
      </c>
      <c r="F286" s="181" t="n">
        <v>4711.63926</v>
      </c>
      <c r="G286" s="181" t="n">
        <v>4715.23995</v>
      </c>
      <c r="H286" s="181" t="n">
        <v>0</v>
      </c>
      <c r="I286" s="181" t="n">
        <v>284</v>
      </c>
      <c r="J286" s="181" t="n">
        <v>-51.627</v>
      </c>
      <c r="K286" s="181" t="n">
        <v>-34.8706</v>
      </c>
    </row>
    <row r="287" ht="15" customHeight="1" s="28">
      <c r="A287" s="182" t="n">
        <v>1776791702</v>
      </c>
      <c r="B287" s="182" t="inlineStr">
        <is>
          <t>XAUUSD</t>
        </is>
      </c>
      <c r="C287" s="182" t="inlineStr">
        <is>
          <t>M15</t>
        </is>
      </c>
      <c r="D287" s="182" t="n">
        <v>4700.29</v>
      </c>
      <c r="E287" s="182" t="n">
        <v>4741.10296</v>
      </c>
      <c r="F287" s="182" t="n">
        <v>4709.7586</v>
      </c>
      <c r="G287" s="182" t="n">
        <v>4712.49927</v>
      </c>
      <c r="H287" s="182" t="n">
        <v>0</v>
      </c>
      <c r="I287" s="182" t="n">
        <v>285</v>
      </c>
      <c r="J287" s="182" t="n">
        <v>-57.5831</v>
      </c>
      <c r="K287" s="182" t="n">
        <v>-40.813</v>
      </c>
    </row>
    <row r="288" ht="15" customHeight="1" s="28">
      <c r="A288" s="181" t="n">
        <v>1776792602</v>
      </c>
      <c r="B288" s="181" t="inlineStr">
        <is>
          <t>XAUUSD</t>
        </is>
      </c>
      <c r="C288" s="181" t="inlineStr">
        <is>
          <t>M15</t>
        </is>
      </c>
      <c r="D288" s="181" t="n">
        <v>4717.89</v>
      </c>
      <c r="E288" s="181" t="n">
        <v>4740.83536</v>
      </c>
      <c r="F288" s="181" t="n">
        <v>4708.71964</v>
      </c>
      <c r="G288" s="181" t="n">
        <v>4710.60946</v>
      </c>
      <c r="H288" s="181" t="n">
        <v>0</v>
      </c>
      <c r="I288" s="181" t="n">
        <v>286</v>
      </c>
      <c r="J288" s="181" t="n">
        <v>-39.7292</v>
      </c>
      <c r="K288" s="181" t="n">
        <v>-22.9454</v>
      </c>
    </row>
    <row r="289" ht="15" customHeight="1" s="28">
      <c r="A289" s="182" t="n">
        <v>1776793502</v>
      </c>
      <c r="B289" s="182" t="inlineStr">
        <is>
          <t>XAUUSD</t>
        </is>
      </c>
      <c r="C289" s="182" t="inlineStr">
        <is>
          <t>M15</t>
        </is>
      </c>
      <c r="D289" s="182" t="n">
        <v>4711.38</v>
      </c>
      <c r="E289" s="182" t="n">
        <v>4740.56775</v>
      </c>
      <c r="F289" s="182" t="n">
        <v>4707.65864</v>
      </c>
      <c r="G289" s="182" t="n">
        <v>4709.13405</v>
      </c>
      <c r="H289" s="182" t="n">
        <v>0</v>
      </c>
      <c r="I289" s="182" t="n">
        <v>287</v>
      </c>
      <c r="J289" s="182" t="n">
        <v>-45.9853</v>
      </c>
      <c r="K289" s="182" t="n">
        <v>-29.1878</v>
      </c>
    </row>
    <row r="290" ht="15" customHeight="1" s="28">
      <c r="A290" s="181" t="n">
        <v>1776794402</v>
      </c>
      <c r="B290" s="181" t="inlineStr">
        <is>
          <t>XAUUSD</t>
        </is>
      </c>
      <c r="C290" s="181" t="inlineStr">
        <is>
          <t>M15</t>
        </is>
      </c>
      <c r="D290" s="181" t="n">
        <v>4704.63</v>
      </c>
      <c r="E290" s="181" t="n">
        <v>4740.30015</v>
      </c>
      <c r="F290" s="181" t="n">
        <v>4706.40683</v>
      </c>
      <c r="G290" s="181" t="n">
        <v>4707.77044</v>
      </c>
      <c r="H290" s="181" t="n">
        <v>0</v>
      </c>
      <c r="I290" s="181" t="n">
        <v>288</v>
      </c>
      <c r="J290" s="181" t="n">
        <v>-52.4814</v>
      </c>
      <c r="K290" s="181" t="n">
        <v>-35.6701</v>
      </c>
    </row>
    <row r="291" ht="15" customHeight="1" s="28">
      <c r="A291" s="182" t="n">
        <v>1776795302</v>
      </c>
      <c r="B291" s="182" t="inlineStr">
        <is>
          <t>XAUUSD</t>
        </is>
      </c>
      <c r="C291" s="182" t="inlineStr">
        <is>
          <t>M15</t>
        </is>
      </c>
      <c r="D291" s="182" t="n">
        <v>4696.62</v>
      </c>
      <c r="E291" s="182" t="n">
        <v>4740.03255</v>
      </c>
      <c r="F291" s="182" t="n">
        <v>4704.91246</v>
      </c>
      <c r="G291" s="182" t="n">
        <v>4706.34145</v>
      </c>
      <c r="H291" s="182" t="n">
        <v>0</v>
      </c>
      <c r="I291" s="182" t="n">
        <v>289</v>
      </c>
      <c r="J291" s="182" t="n">
        <v>-60.2375</v>
      </c>
      <c r="K291" s="182" t="n">
        <v>-43.4126</v>
      </c>
    </row>
    <row r="292" ht="15" customHeight="1" s="28">
      <c r="A292" s="181" t="n">
        <v>1776796202</v>
      </c>
      <c r="B292" s="181" t="inlineStr">
        <is>
          <t>XAUUSD</t>
        </is>
      </c>
      <c r="C292" s="181" t="inlineStr">
        <is>
          <t>M15</t>
        </is>
      </c>
      <c r="D292" s="181" t="n">
        <v>4703.21</v>
      </c>
      <c r="E292" s="181" t="n">
        <v>4739.76494</v>
      </c>
      <c r="F292" s="181" t="n">
        <v>4703.26184</v>
      </c>
      <c r="G292" s="181" t="n">
        <v>4704.80164</v>
      </c>
      <c r="H292" s="181" t="n">
        <v>0</v>
      </c>
      <c r="I292" s="181" t="n">
        <v>290</v>
      </c>
      <c r="J292" s="181" t="n">
        <v>-53.3936</v>
      </c>
      <c r="K292" s="181" t="n">
        <v>-36.5549</v>
      </c>
    </row>
    <row r="293" ht="15" customHeight="1" s="28">
      <c r="A293" s="182" t="n">
        <v>1776797102</v>
      </c>
      <c r="B293" s="182" t="inlineStr">
        <is>
          <t>XAUUSD</t>
        </is>
      </c>
      <c r="C293" s="182" t="inlineStr">
        <is>
          <t>M15</t>
        </is>
      </c>
      <c r="D293" s="182" t="n">
        <v>4709.51</v>
      </c>
      <c r="E293" s="182" t="n">
        <v>4739.49734</v>
      </c>
      <c r="F293" s="182" t="n">
        <v>4701.29942</v>
      </c>
      <c r="G293" s="182" t="n">
        <v>4703.05053</v>
      </c>
      <c r="H293" s="182" t="n">
        <v>0</v>
      </c>
      <c r="I293" s="182" t="n">
        <v>291</v>
      </c>
      <c r="J293" s="182" t="n">
        <v>-46.8397</v>
      </c>
      <c r="K293" s="182" t="n">
        <v>-29.9873</v>
      </c>
    </row>
    <row r="294" ht="15" customHeight="1" s="28">
      <c r="A294" s="181" t="n">
        <v>1776798002</v>
      </c>
      <c r="B294" s="181" t="inlineStr">
        <is>
          <t>XAUUSD</t>
        </is>
      </c>
      <c r="C294" s="181" t="inlineStr">
        <is>
          <t>M15</t>
        </is>
      </c>
      <c r="D294" s="181" t="n">
        <v>4707.33</v>
      </c>
      <c r="E294" s="181" t="n">
        <v>4739.22973</v>
      </c>
      <c r="F294" s="181" t="n">
        <v>4699.02568</v>
      </c>
      <c r="G294" s="181" t="n">
        <v>4701.03811</v>
      </c>
      <c r="H294" s="181" t="n">
        <v>0</v>
      </c>
      <c r="I294" s="181" t="n">
        <v>292</v>
      </c>
      <c r="J294" s="181" t="n">
        <v>-48.7658</v>
      </c>
      <c r="K294" s="181" t="n">
        <v>-31.8997</v>
      </c>
    </row>
    <row r="295" ht="15" customHeight="1" s="28">
      <c r="A295" s="182" t="n">
        <v>1776798902</v>
      </c>
      <c r="B295" s="182" t="inlineStr">
        <is>
          <t>XAUUSD</t>
        </is>
      </c>
      <c r="C295" s="182" t="inlineStr">
        <is>
          <t>M15</t>
        </is>
      </c>
      <c r="D295" s="182" t="n">
        <v>4714.21</v>
      </c>
      <c r="E295" s="182" t="n">
        <v>4738.96213</v>
      </c>
      <c r="F295" s="182" t="n">
        <v>4696.85403</v>
      </c>
      <c r="G295" s="182" t="n">
        <v>4698.94607</v>
      </c>
      <c r="H295" s="182" t="n">
        <v>0</v>
      </c>
      <c r="I295" s="182" t="n">
        <v>293</v>
      </c>
      <c r="J295" s="182" t="n">
        <v>-41.6319</v>
      </c>
      <c r="K295" s="182" t="n">
        <v>-24.7521</v>
      </c>
    </row>
    <row r="296" ht="15" customHeight="1" s="28">
      <c r="A296" s="181" t="n">
        <v>1776799802</v>
      </c>
      <c r="B296" s="181" t="inlineStr">
        <is>
          <t>XAUUSD</t>
        </is>
      </c>
      <c r="C296" s="181" t="inlineStr">
        <is>
          <t>M15</t>
        </is>
      </c>
      <c r="D296" s="181" t="n">
        <v>4671.47</v>
      </c>
      <c r="E296" s="181" t="n">
        <v>4738.69452</v>
      </c>
      <c r="F296" s="181" t="n">
        <v>4695.08787</v>
      </c>
      <c r="G296" s="181" t="n">
        <v>4697.01697</v>
      </c>
      <c r="H296" s="181" t="n">
        <v>0</v>
      </c>
      <c r="I296" s="181" t="n">
        <v>294</v>
      </c>
      <c r="J296" s="181" t="n">
        <v>-84.11799999999999</v>
      </c>
      <c r="K296" s="181" t="n">
        <v>-67.22450000000001</v>
      </c>
    </row>
    <row r="297" ht="15" customHeight="1" s="28">
      <c r="A297" s="182" t="n">
        <v>1776800702</v>
      </c>
      <c r="B297" s="182" t="inlineStr">
        <is>
          <t>XAUUSD</t>
        </is>
      </c>
      <c r="C297" s="182" t="inlineStr">
        <is>
          <t>M15</t>
        </is>
      </c>
      <c r="D297" s="182" t="n">
        <v>4679.23</v>
      </c>
      <c r="E297" s="182" t="n">
        <v>4738.42692</v>
      </c>
      <c r="F297" s="182" t="n">
        <v>4695.36857</v>
      </c>
      <c r="G297" s="182" t="n">
        <v>4696.19277</v>
      </c>
      <c r="H297" s="182" t="n">
        <v>0</v>
      </c>
      <c r="I297" s="182" t="n">
        <v>295</v>
      </c>
      <c r="J297" s="182" t="n">
        <v>-76.1041</v>
      </c>
      <c r="K297" s="182" t="n">
        <v>-59.1969</v>
      </c>
    </row>
    <row r="298" ht="15" customHeight="1" s="28">
      <c r="A298" s="181" t="n">
        <v>1776801602</v>
      </c>
      <c r="B298" s="181" t="inlineStr">
        <is>
          <t>XAUUSD</t>
        </is>
      </c>
      <c r="C298" s="181" t="inlineStr">
        <is>
          <t>M15</t>
        </is>
      </c>
      <c r="D298" s="181" t="n">
        <v>4696.98</v>
      </c>
      <c r="E298" s="181" t="n">
        <v>4738.15932</v>
      </c>
      <c r="F298" s="181" t="n">
        <v>4697.71023</v>
      </c>
      <c r="G298" s="181" t="n">
        <v>4696.9515</v>
      </c>
      <c r="H298" s="181" t="n">
        <v>1</v>
      </c>
      <c r="I298" s="181" t="n">
        <v>296</v>
      </c>
      <c r="J298" s="181" t="n">
        <v>-58.1002</v>
      </c>
      <c r="K298" s="181" t="n">
        <v>-41.1793</v>
      </c>
    </row>
    <row r="299" ht="15" customHeight="1" s="28">
      <c r="A299" s="182" t="n">
        <v>1776802502</v>
      </c>
      <c r="B299" s="182" t="inlineStr">
        <is>
          <t>XAUUSD</t>
        </is>
      </c>
      <c r="C299" s="182" t="inlineStr">
        <is>
          <t>M15</t>
        </is>
      </c>
      <c r="D299" s="182" t="n">
        <v>4705.65</v>
      </c>
      <c r="E299" s="182" t="n">
        <v>4737.89171</v>
      </c>
      <c r="F299" s="182" t="n">
        <v>4701.50399</v>
      </c>
      <c r="G299" s="182" t="n">
        <v>4699.22775</v>
      </c>
      <c r="H299" s="182" t="n">
        <v>0</v>
      </c>
      <c r="I299" s="182" t="n">
        <v>297</v>
      </c>
      <c r="J299" s="182" t="n">
        <v>-49.1763</v>
      </c>
      <c r="K299" s="182" t="n">
        <v>-32.2417</v>
      </c>
    </row>
    <row r="300" ht="15" customHeight="1" s="28">
      <c r="A300" s="181" t="n">
        <v>1776803402</v>
      </c>
      <c r="B300" s="181" t="inlineStr">
        <is>
          <t>XAUUSD</t>
        </is>
      </c>
      <c r="C300" s="181" t="inlineStr">
        <is>
          <t>M15</t>
        </is>
      </c>
      <c r="D300" s="181" t="n">
        <v>4711.42</v>
      </c>
      <c r="E300" s="181" t="n">
        <v>4737.62411</v>
      </c>
      <c r="F300" s="181" t="n">
        <v>4706.169</v>
      </c>
      <c r="G300" s="181" t="n">
        <v>4702.69837</v>
      </c>
      <c r="H300" s="181" t="n">
        <v>0</v>
      </c>
      <c r="I300" s="181" t="n">
        <v>298</v>
      </c>
      <c r="J300" s="181" t="n">
        <v>-43.1524</v>
      </c>
      <c r="K300" s="181" t="n">
        <v>-26.2041</v>
      </c>
    </row>
    <row r="301" ht="15" customHeight="1" s="28">
      <c r="A301" s="182" t="n">
        <v>1776804302</v>
      </c>
      <c r="B301" s="182" t="inlineStr">
        <is>
          <t>XAUUSD</t>
        </is>
      </c>
      <c r="C301" s="182" t="inlineStr">
        <is>
          <t>M15</t>
        </is>
      </c>
      <c r="D301" s="182" t="n">
        <v>4720.16</v>
      </c>
      <c r="E301" s="182" t="n">
        <v>4737.3565</v>
      </c>
      <c r="F301" s="182" t="n">
        <v>4711.13674</v>
      </c>
      <c r="G301" s="182" t="n">
        <v>4706.91755</v>
      </c>
      <c r="H301" s="182" t="n">
        <v>0</v>
      </c>
      <c r="I301" s="182" t="n">
        <v>299</v>
      </c>
      <c r="J301" s="182" t="n">
        <v>-34.1585</v>
      </c>
      <c r="K301" s="182" t="n">
        <v>-17.1965</v>
      </c>
    </row>
    <row r="302" ht="15" customHeight="1" s="28">
      <c r="A302" s="181" t="n">
        <v>1776808802</v>
      </c>
      <c r="B302" s="181" t="inlineStr">
        <is>
          <t>XAUUSD</t>
        </is>
      </c>
      <c r="C302" s="181" t="inlineStr">
        <is>
          <t>M15</t>
        </is>
      </c>
      <c r="D302" s="181" t="n">
        <v>4721.88</v>
      </c>
      <c r="E302" s="181" t="n">
        <v>4737.0889</v>
      </c>
      <c r="F302" s="181" t="n">
        <v>4715.74831</v>
      </c>
      <c r="G302" s="181" t="n">
        <v>4711.33293</v>
      </c>
      <c r="H302" s="181" t="n">
        <v>0</v>
      </c>
      <c r="I302" s="181" t="n">
        <v>300</v>
      </c>
      <c r="J302" s="181" t="n">
        <v>-32.1846</v>
      </c>
      <c r="K302" s="181" t="n">
        <v>-15.2089</v>
      </c>
    </row>
    <row r="303" ht="15" customHeight="1" s="28">
      <c r="A303" s="182" t="n">
        <v>1776809702</v>
      </c>
      <c r="B303" s="182" t="inlineStr">
        <is>
          <t>XAUUSD</t>
        </is>
      </c>
      <c r="C303" s="182" t="inlineStr">
        <is>
          <t>M15</t>
        </is>
      </c>
      <c r="D303" s="182" t="n">
        <v>4719.05</v>
      </c>
      <c r="E303" s="182" t="n">
        <v>4736.8213</v>
      </c>
      <c r="F303" s="182" t="n">
        <v>4719.6942</v>
      </c>
      <c r="G303" s="182" t="n">
        <v>4715.51357</v>
      </c>
      <c r="H303" s="182" t="n">
        <v>0</v>
      </c>
      <c r="I303" s="182" t="n">
        <v>301</v>
      </c>
      <c r="J303" s="182" t="n">
        <v>-34.7607</v>
      </c>
      <c r="K303" s="182" t="n">
        <v>-17.7713</v>
      </c>
    </row>
    <row r="304" ht="15" customHeight="1" s="28">
      <c r="A304" s="181" t="n">
        <v>1776810602</v>
      </c>
      <c r="B304" s="181" t="inlineStr">
        <is>
          <t>XAUUSD</t>
        </is>
      </c>
      <c r="C304" s="181" t="inlineStr">
        <is>
          <t>M15</t>
        </is>
      </c>
      <c r="D304" s="181" t="n">
        <v>4716.95</v>
      </c>
      <c r="E304" s="181" t="n">
        <v>4736.55369</v>
      </c>
      <c r="F304" s="181" t="n">
        <v>4723.03002</v>
      </c>
      <c r="G304" s="181" t="n">
        <v>4719.2718</v>
      </c>
      <c r="H304" s="181" t="n">
        <v>0</v>
      </c>
      <c r="I304" s="181" t="n">
        <v>302</v>
      </c>
      <c r="J304" s="181" t="n">
        <v>-36.6068</v>
      </c>
      <c r="K304" s="181" t="n">
        <v>-19.6037</v>
      </c>
    </row>
    <row r="305" ht="15" customHeight="1" s="28">
      <c r="A305" s="182" t="n">
        <v>1776811502</v>
      </c>
      <c r="B305" s="182" t="inlineStr">
        <is>
          <t>XAUUSD</t>
        </is>
      </c>
      <c r="C305" s="182" t="inlineStr">
        <is>
          <t>M15</t>
        </is>
      </c>
      <c r="D305" s="182" t="n">
        <v>4719.51</v>
      </c>
      <c r="E305" s="182" t="n">
        <v>4736.28609</v>
      </c>
      <c r="F305" s="182" t="n">
        <v>4725.94303</v>
      </c>
      <c r="G305" s="182" t="n">
        <v>4722.60742</v>
      </c>
      <c r="H305" s="182" t="n">
        <v>0</v>
      </c>
      <c r="I305" s="182" t="n">
        <v>303</v>
      </c>
      <c r="J305" s="182" t="n">
        <v>-33.7929</v>
      </c>
      <c r="K305" s="182" t="n">
        <v>-16.7761</v>
      </c>
    </row>
    <row r="306" ht="15" customHeight="1" s="28">
      <c r="A306" s="181" t="n">
        <v>1776812402</v>
      </c>
      <c r="B306" s="181" t="inlineStr">
        <is>
          <t>XAUUSD</t>
        </is>
      </c>
      <c r="C306" s="181" t="inlineStr">
        <is>
          <t>M15</t>
        </is>
      </c>
      <c r="D306" s="181" t="n">
        <v>4727.47</v>
      </c>
      <c r="E306" s="181" t="n">
        <v>4736.01848</v>
      </c>
      <c r="F306" s="181" t="n">
        <v>4728.56833</v>
      </c>
      <c r="G306" s="181" t="n">
        <v>4725.58787</v>
      </c>
      <c r="H306" s="181" t="n">
        <v>0</v>
      </c>
      <c r="I306" s="181" t="n">
        <v>304</v>
      </c>
      <c r="J306" s="181" t="n">
        <v>-25.579</v>
      </c>
      <c r="K306" s="181" t="n">
        <v>-8.548500000000001</v>
      </c>
    </row>
    <row r="307" ht="15" customHeight="1" s="28">
      <c r="A307" s="182" t="n">
        <v>1776813302</v>
      </c>
      <c r="B307" s="182" t="inlineStr">
        <is>
          <t>XAUUSD</t>
        </is>
      </c>
      <c r="C307" s="182" t="inlineStr">
        <is>
          <t>M15</t>
        </is>
      </c>
      <c r="D307" s="182" t="n">
        <v>4730</v>
      </c>
      <c r="E307" s="182" t="n">
        <v>4735.75088</v>
      </c>
      <c r="F307" s="182" t="n">
        <v>4730.96557</v>
      </c>
      <c r="G307" s="182" t="n">
        <v>4728.27672</v>
      </c>
      <c r="H307" s="182" t="n">
        <v>0</v>
      </c>
      <c r="I307" s="182" t="n">
        <v>305</v>
      </c>
      <c r="J307" s="182" t="n">
        <v>-22.7951</v>
      </c>
      <c r="K307" s="182" t="n">
        <v>-5.7509</v>
      </c>
    </row>
    <row r="308" ht="15" customHeight="1" s="28">
      <c r="A308" s="181" t="n">
        <v>1776814202</v>
      </c>
      <c r="B308" s="181" t="inlineStr">
        <is>
          <t>XAUUSD</t>
        </is>
      </c>
      <c r="C308" s="181" t="inlineStr">
        <is>
          <t>M15</t>
        </is>
      </c>
      <c r="D308" s="181" t="n">
        <v>4731.94</v>
      </c>
      <c r="E308" s="181" t="n">
        <v>4735.48328</v>
      </c>
      <c r="F308" s="181" t="n">
        <v>4733.2586</v>
      </c>
      <c r="G308" s="181" t="n">
        <v>4730.76766</v>
      </c>
      <c r="H308" s="181" t="n">
        <v>0</v>
      </c>
      <c r="I308" s="181" t="n">
        <v>306</v>
      </c>
      <c r="J308" s="181" t="n">
        <v>-20.6013</v>
      </c>
      <c r="K308" s="181" t="n">
        <v>-3.5433</v>
      </c>
    </row>
    <row r="309" ht="15" customHeight="1" s="28">
      <c r="A309" s="182" t="n">
        <v>1776815102</v>
      </c>
      <c r="B309" s="182" t="inlineStr">
        <is>
          <t>XAUUSD</t>
        </is>
      </c>
      <c r="C309" s="182" t="inlineStr">
        <is>
          <t>M15</t>
        </is>
      </c>
      <c r="D309" s="182" t="n">
        <v>4737.96</v>
      </c>
      <c r="E309" s="182" t="n">
        <v>4735.21567</v>
      </c>
      <c r="F309" s="182" t="n">
        <v>4735.50278</v>
      </c>
      <c r="G309" s="182" t="n">
        <v>4733.13522</v>
      </c>
      <c r="H309" s="182" t="n">
        <v>0</v>
      </c>
      <c r="I309" s="182" t="n">
        <v>307</v>
      </c>
      <c r="J309" s="182" t="n">
        <v>-14.3274</v>
      </c>
      <c r="K309" s="182" t="n">
        <v>2.7443</v>
      </c>
    </row>
    <row r="310" ht="15" customHeight="1" s="28">
      <c r="A310" s="181" t="n">
        <v>1776816002</v>
      </c>
      <c r="B310" s="181" t="inlineStr">
        <is>
          <t>XAUUSD</t>
        </is>
      </c>
      <c r="C310" s="181" t="inlineStr">
        <is>
          <t>M15</t>
        </is>
      </c>
      <c r="D310" s="181" t="n">
        <v>4742.93</v>
      </c>
      <c r="E310" s="181" t="n">
        <v>4734.94807</v>
      </c>
      <c r="F310" s="181" t="n">
        <v>4737.5975</v>
      </c>
      <c r="G310" s="181" t="n">
        <v>4735.36636</v>
      </c>
      <c r="H310" s="181" t="n">
        <v>0</v>
      </c>
      <c r="I310" s="181" t="n">
        <v>308</v>
      </c>
      <c r="J310" s="181" t="n">
        <v>-9.1035</v>
      </c>
      <c r="K310" s="181" t="n">
        <v>7.9819</v>
      </c>
    </row>
    <row r="311" ht="15" customHeight="1" s="28">
      <c r="A311" s="182" t="n">
        <v>1776816902</v>
      </c>
      <c r="B311" s="182" t="inlineStr">
        <is>
          <t>XAUUSD</t>
        </is>
      </c>
      <c r="C311" s="182" t="inlineStr">
        <is>
          <t>M15</t>
        </is>
      </c>
      <c r="D311" s="182" t="n">
        <v>4742.51</v>
      </c>
      <c r="E311" s="182" t="n">
        <v>4734.68046</v>
      </c>
      <c r="F311" s="182" t="n">
        <v>4739.43903</v>
      </c>
      <c r="G311" s="182" t="n">
        <v>4737.4027</v>
      </c>
      <c r="H311" s="182" t="n">
        <v>0</v>
      </c>
      <c r="I311" s="182" t="n">
        <v>309</v>
      </c>
      <c r="J311" s="182" t="n">
        <v>-9.269600000000001</v>
      </c>
      <c r="K311" s="182" t="n">
        <v>7.8295</v>
      </c>
    </row>
    <row r="312" ht="15" customHeight="1" s="28">
      <c r="A312" s="181" t="n">
        <v>1776817802</v>
      </c>
      <c r="B312" s="181" t="inlineStr">
        <is>
          <t>XAUUSD</t>
        </is>
      </c>
      <c r="C312" s="181" t="inlineStr">
        <is>
          <t>M15</t>
        </is>
      </c>
      <c r="D312" s="181" t="n">
        <v>4742.11</v>
      </c>
      <c r="E312" s="181" t="n">
        <v>4734.41286</v>
      </c>
      <c r="F312" s="181" t="n">
        <v>4741.10498</v>
      </c>
      <c r="G312" s="181" t="n">
        <v>4739.25384</v>
      </c>
      <c r="H312" s="181" t="n">
        <v>0</v>
      </c>
      <c r="I312" s="181" t="n">
        <v>310</v>
      </c>
      <c r="J312" s="181" t="n">
        <v>-9.415699999999999</v>
      </c>
      <c r="K312" s="181" t="n">
        <v>7.6971</v>
      </c>
    </row>
    <row r="313" ht="15" customHeight="1" s="28">
      <c r="A313" s="182" t="n">
        <v>1776818702</v>
      </c>
      <c r="B313" s="182" t="inlineStr">
        <is>
          <t>XAUUSD</t>
        </is>
      </c>
      <c r="C313" s="182" t="inlineStr">
        <is>
          <t>M15</t>
        </is>
      </c>
      <c r="D313" s="182" t="n">
        <v>4739.77</v>
      </c>
      <c r="E313" s="182" t="n">
        <v>4734.14526</v>
      </c>
      <c r="F313" s="182" t="n">
        <v>4742.71741</v>
      </c>
      <c r="G313" s="182" t="n">
        <v>4740.98562</v>
      </c>
      <c r="H313" s="182" t="n">
        <v>0</v>
      </c>
      <c r="I313" s="182" t="n">
        <v>311</v>
      </c>
      <c r="J313" s="182" t="n">
        <v>-11.5018</v>
      </c>
      <c r="K313" s="182" t="n">
        <v>5.6247</v>
      </c>
    </row>
    <row r="314" ht="15" customHeight="1" s="28">
      <c r="A314" s="181" t="n">
        <v>1776819602</v>
      </c>
      <c r="B314" s="181" t="inlineStr">
        <is>
          <t>XAUUSD</t>
        </is>
      </c>
      <c r="C314" s="181" t="inlineStr">
        <is>
          <t>M15</t>
        </is>
      </c>
      <c r="D314" s="181" t="n">
        <v>4738.28</v>
      </c>
      <c r="E314" s="181" t="n">
        <v>4733.87765</v>
      </c>
      <c r="F314" s="181" t="n">
        <v>4744.46617</v>
      </c>
      <c r="G314" s="181" t="n">
        <v>4742.7259</v>
      </c>
      <c r="H314" s="181" t="n">
        <v>0</v>
      </c>
      <c r="I314" s="181" t="n">
        <v>312</v>
      </c>
      <c r="J314" s="181" t="n">
        <v>-12.7379</v>
      </c>
      <c r="K314" s="181" t="n">
        <v>4.4023</v>
      </c>
    </row>
    <row r="315" ht="15" customHeight="1" s="28">
      <c r="A315" s="182" t="n">
        <v>1776820502</v>
      </c>
      <c r="B315" s="182" t="inlineStr">
        <is>
          <t>XAUUSD</t>
        </is>
      </c>
      <c r="C315" s="182" t="inlineStr">
        <is>
          <t>M15</t>
        </is>
      </c>
      <c r="D315" s="182" t="n">
        <v>4746.52</v>
      </c>
      <c r="E315" s="182" t="n">
        <v>4733.61005</v>
      </c>
      <c r="F315" s="182" t="n">
        <v>4746.4741</v>
      </c>
      <c r="G315" s="182" t="n">
        <v>4744.6</v>
      </c>
      <c r="H315" s="182" t="n">
        <v>0</v>
      </c>
      <c r="I315" s="182" t="n">
        <v>313</v>
      </c>
      <c r="J315" s="182" t="n">
        <v>-4.244</v>
      </c>
      <c r="K315" s="182" t="n">
        <v>12.91</v>
      </c>
    </row>
    <row r="316" ht="15" customHeight="1" s="28">
      <c r="A316" s="181" t="n">
        <v>1776821402</v>
      </c>
      <c r="B316" s="181" t="inlineStr">
        <is>
          <t>XAUUSD</t>
        </is>
      </c>
      <c r="C316" s="181" t="inlineStr">
        <is>
          <t>M15</t>
        </is>
      </c>
      <c r="D316" s="181" t="n">
        <v>4749.74</v>
      </c>
      <c r="E316" s="181" t="n">
        <v>4733.34244</v>
      </c>
      <c r="F316" s="181" t="n">
        <v>4748.57211</v>
      </c>
      <c r="G316" s="181" t="n">
        <v>4746.58605</v>
      </c>
      <c r="H316" s="181" t="n">
        <v>0</v>
      </c>
      <c r="I316" s="181" t="n">
        <v>314</v>
      </c>
      <c r="J316" s="181" t="n">
        <v>-0.7701</v>
      </c>
      <c r="K316" s="181" t="n">
        <v>16.3976</v>
      </c>
    </row>
    <row r="317" ht="15" customHeight="1" s="28">
      <c r="A317" s="182" t="n">
        <v>1776822302</v>
      </c>
      <c r="B317" s="182" t="inlineStr">
        <is>
          <t>XAUUSD</t>
        </is>
      </c>
      <c r="C317" s="182" t="inlineStr">
        <is>
          <t>M15</t>
        </is>
      </c>
      <c r="D317" s="182" t="n">
        <v>4752.31</v>
      </c>
      <c r="E317" s="182" t="n">
        <v>4733.07484</v>
      </c>
      <c r="F317" s="182" t="n">
        <v>4750.6825</v>
      </c>
      <c r="G317" s="182" t="n">
        <v>4748.63428</v>
      </c>
      <c r="H317" s="182" t="n">
        <v>0</v>
      </c>
      <c r="I317" s="182" t="n">
        <v>315</v>
      </c>
      <c r="J317" s="182" t="n">
        <v>2.0538</v>
      </c>
      <c r="K317" s="182" t="n">
        <v>19.2352</v>
      </c>
    </row>
    <row r="318" ht="15" customHeight="1" s="28">
      <c r="A318" s="181" t="n">
        <v>1776823202</v>
      </c>
      <c r="B318" s="181" t="inlineStr">
        <is>
          <t>XAUUSD</t>
        </is>
      </c>
      <c r="C318" s="181" t="inlineStr">
        <is>
          <t>M15</t>
        </is>
      </c>
      <c r="D318" s="181" t="n">
        <v>4755.68</v>
      </c>
      <c r="E318" s="181" t="n">
        <v>4732.80723</v>
      </c>
      <c r="F318" s="181" t="n">
        <v>4752.72902</v>
      </c>
      <c r="G318" s="181" t="n">
        <v>4750.68165</v>
      </c>
      <c r="H318" s="181" t="n">
        <v>0</v>
      </c>
      <c r="I318" s="181" t="n">
        <v>316</v>
      </c>
      <c r="J318" s="181" t="n">
        <v>5.6777</v>
      </c>
      <c r="K318" s="181" t="n">
        <v>22.8728</v>
      </c>
    </row>
    <row r="319" ht="15" customHeight="1" s="28">
      <c r="A319" s="182" t="n">
        <v>1776824102</v>
      </c>
      <c r="B319" s="182" t="inlineStr">
        <is>
          <t>XAUUSD</t>
        </is>
      </c>
      <c r="C319" s="182" t="inlineStr">
        <is>
          <t>M15</t>
        </is>
      </c>
      <c r="D319" s="182" t="n">
        <v>4755.59</v>
      </c>
      <c r="E319" s="182" t="n">
        <v>4732.53963</v>
      </c>
      <c r="F319" s="182" t="n">
        <v>4754.5365</v>
      </c>
      <c r="G319" s="182" t="n">
        <v>4752.60907</v>
      </c>
      <c r="H319" s="182" t="n">
        <v>0</v>
      </c>
      <c r="I319" s="182" t="n">
        <v>317</v>
      </c>
      <c r="J319" s="182" t="n">
        <v>5.8416</v>
      </c>
      <c r="K319" s="182" t="n">
        <v>23.0504</v>
      </c>
    </row>
    <row r="320" ht="15" customHeight="1" s="28">
      <c r="A320" s="181" t="n">
        <v>1776825002</v>
      </c>
      <c r="B320" s="181" t="inlineStr">
        <is>
          <t>XAUUSD</t>
        </is>
      </c>
      <c r="C320" s="181" t="inlineStr">
        <is>
          <t>M15</t>
        </is>
      </c>
      <c r="D320" s="181" t="n">
        <v>4751.37</v>
      </c>
      <c r="E320" s="181" t="n">
        <v>4732.27203</v>
      </c>
      <c r="F320" s="181" t="n">
        <v>4756.06197</v>
      </c>
      <c r="G320" s="181" t="n">
        <v>4754.33552</v>
      </c>
      <c r="H320" s="181" t="n">
        <v>0</v>
      </c>
      <c r="I320" s="181" t="n">
        <v>318</v>
      </c>
      <c r="J320" s="181" t="n">
        <v>1.8755</v>
      </c>
      <c r="K320" s="181" t="n">
        <v>19.098</v>
      </c>
    </row>
    <row r="321" ht="15" customHeight="1" s="28">
      <c r="A321" s="182" t="n">
        <v>1776825902</v>
      </c>
      <c r="B321" s="182" t="inlineStr">
        <is>
          <t>XAUUSD</t>
        </is>
      </c>
      <c r="C321" s="182" t="inlineStr">
        <is>
          <t>M15</t>
        </is>
      </c>
      <c r="D321" s="182" t="n">
        <v>4755.81</v>
      </c>
      <c r="E321" s="182" t="n">
        <v>4732.00442</v>
      </c>
      <c r="F321" s="182" t="n">
        <v>4757.37587</v>
      </c>
      <c r="G321" s="182" t="n">
        <v>4755.8557</v>
      </c>
      <c r="H321" s="182" t="n">
        <v>0</v>
      </c>
      <c r="I321" s="182" t="n">
        <v>319</v>
      </c>
      <c r="J321" s="182" t="n">
        <v>6.5694</v>
      </c>
      <c r="K321" s="182" t="n">
        <v>23.8056</v>
      </c>
    </row>
    <row r="322" ht="15" customHeight="1" s="28">
      <c r="A322" s="181" t="n">
        <v>1776826802</v>
      </c>
      <c r="B322" s="181" t="inlineStr">
        <is>
          <t>XAUUSD</t>
        </is>
      </c>
      <c r="C322" s="181" t="inlineStr">
        <is>
          <t>M15</t>
        </is>
      </c>
      <c r="D322" s="181" t="n">
        <v>4757.61</v>
      </c>
      <c r="E322" s="181" t="n">
        <v>4731.73682</v>
      </c>
      <c r="F322" s="181" t="n">
        <v>4758.28462</v>
      </c>
      <c r="G322" s="181" t="n">
        <v>4757.07016</v>
      </c>
      <c r="H322" s="181" t="n">
        <v>0</v>
      </c>
      <c r="I322" s="181" t="n">
        <v>320</v>
      </c>
      <c r="J322" s="181" t="n">
        <v>8.6233</v>
      </c>
      <c r="K322" s="181" t="n">
        <v>25.8732</v>
      </c>
    </row>
    <row r="323" ht="15" customHeight="1" s="28">
      <c r="A323" s="182" t="n">
        <v>1776827702</v>
      </c>
      <c r="B323" s="182" t="inlineStr">
        <is>
          <t>XAUUSD</t>
        </is>
      </c>
      <c r="C323" s="182" t="inlineStr">
        <is>
          <t>M15</t>
        </is>
      </c>
      <c r="D323" s="182" t="n">
        <v>4763.12</v>
      </c>
      <c r="E323" s="182" t="n">
        <v>4731.46921</v>
      </c>
      <c r="F323" s="182" t="n">
        <v>4758.67654</v>
      </c>
      <c r="G323" s="182" t="n">
        <v>4757.87335</v>
      </c>
      <c r="H323" s="182" t="n">
        <v>0</v>
      </c>
      <c r="I323" s="182" t="n">
        <v>321</v>
      </c>
      <c r="J323" s="182" t="n">
        <v>14.3872</v>
      </c>
      <c r="K323" s="182" t="n">
        <v>31.6508</v>
      </c>
    </row>
    <row r="324" ht="15" customHeight="1" s="28">
      <c r="A324" s="181" t="n">
        <v>1776828602</v>
      </c>
      <c r="B324" s="181" t="inlineStr">
        <is>
          <t>XAUUSD</t>
        </is>
      </c>
      <c r="C324" s="181" t="inlineStr">
        <is>
          <t>M15</t>
        </is>
      </c>
      <c r="D324" s="181" t="n">
        <v>4759.16</v>
      </c>
      <c r="E324" s="181" t="n">
        <v>4731.20161</v>
      </c>
      <c r="F324" s="181" t="n">
        <v>4758.42534</v>
      </c>
      <c r="G324" s="181" t="n">
        <v>4758.14934</v>
      </c>
      <c r="H324" s="181" t="n">
        <v>0</v>
      </c>
      <c r="I324" s="181" t="n">
        <v>322</v>
      </c>
      <c r="J324" s="181" t="n">
        <v>10.6811</v>
      </c>
      <c r="K324" s="181" t="n">
        <v>27.9584</v>
      </c>
    </row>
    <row r="325" ht="15" customHeight="1" s="28">
      <c r="A325" s="182" t="n">
        <v>1776829502</v>
      </c>
      <c r="B325" s="182" t="inlineStr">
        <is>
          <t>XAUUSD</t>
        </is>
      </c>
      <c r="C325" s="182" t="inlineStr">
        <is>
          <t>M15</t>
        </is>
      </c>
      <c r="D325" s="182" t="n">
        <v>4758.09</v>
      </c>
      <c r="E325" s="182" t="n">
        <v>4730.93401</v>
      </c>
      <c r="F325" s="182" t="n">
        <v>4757.80926</v>
      </c>
      <c r="G325" s="182" t="n">
        <v>4757.9793</v>
      </c>
      <c r="H325" s="182" t="n">
        <v>1</v>
      </c>
      <c r="I325" s="182" t="n">
        <v>323</v>
      </c>
      <c r="J325" s="182" t="n">
        <v>9.865</v>
      </c>
      <c r="K325" s="182" t="n">
        <v>27.156</v>
      </c>
    </row>
    <row r="326" ht="15" customHeight="1" s="28">
      <c r="A326" s="181" t="n">
        <v>1776830402</v>
      </c>
      <c r="B326" s="181" t="inlineStr">
        <is>
          <t>XAUUSD</t>
        </is>
      </c>
      <c r="C326" s="181" t="inlineStr">
        <is>
          <t>M15</t>
        </is>
      </c>
      <c r="D326" s="181" t="n">
        <v>4757.32</v>
      </c>
      <c r="E326" s="181" t="n">
        <v>4730.6664</v>
      </c>
      <c r="F326" s="181" t="n">
        <v>4757.11602</v>
      </c>
      <c r="G326" s="181" t="n">
        <v>4757.54766</v>
      </c>
      <c r="H326" s="181" t="n">
        <v>0</v>
      </c>
      <c r="I326" s="181" t="n">
        <v>324</v>
      </c>
      <c r="J326" s="181" t="n">
        <v>9.3489</v>
      </c>
      <c r="K326" s="181" t="n">
        <v>26.6536</v>
      </c>
    </row>
    <row r="327" ht="15" customHeight="1" s="28">
      <c r="A327" s="182" t="n">
        <v>1776831302</v>
      </c>
      <c r="B327" s="182" t="inlineStr">
        <is>
          <t>XAUUSD</t>
        </is>
      </c>
      <c r="C327" s="182" t="inlineStr">
        <is>
          <t>M15</t>
        </is>
      </c>
      <c r="D327" s="182" t="n">
        <v>4755.87</v>
      </c>
      <c r="E327" s="182" t="n">
        <v>4730.3988</v>
      </c>
      <c r="F327" s="182" t="n">
        <v>4756.76546</v>
      </c>
      <c r="G327" s="182" t="n">
        <v>4757.15656</v>
      </c>
      <c r="H327" s="182" t="n">
        <v>0</v>
      </c>
      <c r="I327" s="182" t="n">
        <v>325</v>
      </c>
      <c r="J327" s="182" t="n">
        <v>8.152799999999999</v>
      </c>
      <c r="K327" s="182" t="n">
        <v>25.4712</v>
      </c>
    </row>
    <row r="328" ht="15" customHeight="1" s="28">
      <c r="A328" s="181" t="n">
        <v>1776832202</v>
      </c>
      <c r="B328" s="181" t="inlineStr">
        <is>
          <t>XAUUSD</t>
        </is>
      </c>
      <c r="C328" s="181" t="inlineStr">
        <is>
          <t>M15</t>
        </is>
      </c>
      <c r="D328" s="181" t="n">
        <v>4756.36</v>
      </c>
      <c r="E328" s="181" t="n">
        <v>4730.13119</v>
      </c>
      <c r="F328" s="181" t="n">
        <v>4757.03848</v>
      </c>
      <c r="G328" s="181" t="n">
        <v>4757.09752</v>
      </c>
      <c r="H328" s="181" t="n">
        <v>0</v>
      </c>
      <c r="I328" s="181" t="n">
        <v>326</v>
      </c>
      <c r="J328" s="181" t="n">
        <v>8.896699999999999</v>
      </c>
      <c r="K328" s="181" t="n">
        <v>26.2288</v>
      </c>
    </row>
    <row r="329" ht="15" customHeight="1" s="28">
      <c r="A329" s="182" t="n">
        <v>1776833102</v>
      </c>
      <c r="B329" s="182" t="inlineStr">
        <is>
          <t>XAUUSD</t>
        </is>
      </c>
      <c r="C329" s="182" t="inlineStr">
        <is>
          <t>M15</t>
        </is>
      </c>
      <c r="D329" s="182" t="n">
        <v>4754.62</v>
      </c>
      <c r="E329" s="182" t="n">
        <v>4729.86359</v>
      </c>
      <c r="F329" s="182" t="n">
        <v>4758.01061</v>
      </c>
      <c r="G329" s="182" t="n">
        <v>4757.55407</v>
      </c>
      <c r="H329" s="182" t="n">
        <v>1</v>
      </c>
      <c r="I329" s="182" t="n">
        <v>327</v>
      </c>
      <c r="J329" s="182" t="n">
        <v>7.4106</v>
      </c>
      <c r="K329" s="182" t="n">
        <v>24.7564</v>
      </c>
    </row>
    <row r="330" ht="15" customHeight="1" s="28">
      <c r="A330" s="181" t="n">
        <v>1776834002</v>
      </c>
      <c r="B330" s="181" t="inlineStr">
        <is>
          <t>XAUUSD</t>
        </is>
      </c>
      <c r="C330" s="181" t="inlineStr">
        <is>
          <t>M15</t>
        </is>
      </c>
      <c r="D330" s="181" t="n">
        <v>4756.8</v>
      </c>
      <c r="E330" s="181" t="n">
        <v>4729.59599</v>
      </c>
      <c r="F330" s="181" t="n">
        <v>4759.67969</v>
      </c>
      <c r="G330" s="181" t="n">
        <v>4758.61688</v>
      </c>
      <c r="H330" s="181" t="n">
        <v>0</v>
      </c>
      <c r="I330" s="181" t="n">
        <v>328</v>
      </c>
      <c r="J330" s="181" t="n">
        <v>9.8444</v>
      </c>
      <c r="K330" s="181" t="n">
        <v>27.204</v>
      </c>
    </row>
    <row r="331" ht="15" customHeight="1" s="28">
      <c r="A331" s="182" t="n">
        <v>1776834902</v>
      </c>
      <c r="B331" s="182" t="inlineStr">
        <is>
          <t>XAUUSD</t>
        </is>
      </c>
      <c r="C331" s="182" t="inlineStr">
        <is>
          <t>M15</t>
        </is>
      </c>
      <c r="D331" s="182" t="n">
        <v>4766.19</v>
      </c>
      <c r="E331" s="182" t="n">
        <v>4729.32838</v>
      </c>
      <c r="F331" s="182" t="n">
        <v>4761.80637</v>
      </c>
      <c r="G331" s="182" t="n">
        <v>4760.21163</v>
      </c>
      <c r="H331" s="182" t="n">
        <v>0</v>
      </c>
      <c r="I331" s="182" t="n">
        <v>329</v>
      </c>
      <c r="J331" s="182" t="n">
        <v>19.4883</v>
      </c>
      <c r="K331" s="182" t="n">
        <v>36.8616</v>
      </c>
    </row>
    <row r="332" ht="15" customHeight="1" s="28">
      <c r="A332" s="181" t="n">
        <v>1776835802</v>
      </c>
      <c r="B332" s="181" t="inlineStr">
        <is>
          <t>XAUUSD</t>
        </is>
      </c>
      <c r="C332" s="181" t="inlineStr">
        <is>
          <t>M15</t>
        </is>
      </c>
      <c r="D332" s="181" t="n">
        <v>4767.48</v>
      </c>
      <c r="E332" s="181" t="n">
        <v>4729.06078</v>
      </c>
      <c r="F332" s="181" t="n">
        <v>4763.85389</v>
      </c>
      <c r="G332" s="181" t="n">
        <v>4762.03276</v>
      </c>
      <c r="H332" s="181" t="n">
        <v>0</v>
      </c>
      <c r="I332" s="181" t="n">
        <v>330</v>
      </c>
      <c r="J332" s="181" t="n">
        <v>21.0322</v>
      </c>
      <c r="K332" s="181" t="n">
        <v>38.4192</v>
      </c>
    </row>
    <row r="333" ht="15" customHeight="1" s="28">
      <c r="A333" s="182" t="n">
        <v>1776836702</v>
      </c>
      <c r="B333" s="182" t="inlineStr">
        <is>
          <t>XAUUSD</t>
        </is>
      </c>
      <c r="C333" s="182" t="inlineStr">
        <is>
          <t>M15</t>
        </is>
      </c>
      <c r="D333" s="182" t="n">
        <v>4767.64</v>
      </c>
      <c r="E333" s="182" t="n">
        <v>4728.79317</v>
      </c>
      <c r="F333" s="182" t="n">
        <v>4765.52447</v>
      </c>
      <c r="G333" s="182" t="n">
        <v>4763.77861</v>
      </c>
      <c r="H333" s="182" t="n">
        <v>0</v>
      </c>
      <c r="I333" s="182" t="n">
        <v>331</v>
      </c>
      <c r="J333" s="182" t="n">
        <v>21.4461</v>
      </c>
      <c r="K333" s="182" t="n">
        <v>38.8468</v>
      </c>
    </row>
    <row r="334" ht="15" customHeight="1" s="28">
      <c r="A334" s="181" t="n">
        <v>1776837602</v>
      </c>
      <c r="B334" s="181" t="inlineStr">
        <is>
          <t>XAUUSD</t>
        </is>
      </c>
      <c r="C334" s="181" t="inlineStr">
        <is>
          <t>M15</t>
        </is>
      </c>
      <c r="D334" s="181" t="n">
        <v>4762.84</v>
      </c>
      <c r="E334" s="181" t="n">
        <v>4728.52557</v>
      </c>
      <c r="F334" s="181" t="n">
        <v>4766.62177</v>
      </c>
      <c r="G334" s="181" t="n">
        <v>4765.20019</v>
      </c>
      <c r="H334" s="181" t="n">
        <v>0</v>
      </c>
      <c r="I334" s="181" t="n">
        <v>332</v>
      </c>
      <c r="J334" s="181" t="n">
        <v>16.9</v>
      </c>
      <c r="K334" s="181" t="n">
        <v>34.3144</v>
      </c>
    </row>
    <row r="335" ht="15" customHeight="1" s="28">
      <c r="A335" s="182" t="n">
        <v>1776838502</v>
      </c>
      <c r="B335" s="182" t="inlineStr">
        <is>
          <t>XAUUSD</t>
        </is>
      </c>
      <c r="C335" s="182" t="inlineStr">
        <is>
          <t>M15</t>
        </is>
      </c>
      <c r="D335" s="182" t="n">
        <v>4767.37</v>
      </c>
      <c r="E335" s="182" t="n">
        <v>4728.25797</v>
      </c>
      <c r="F335" s="182" t="n">
        <v>4767.18899</v>
      </c>
      <c r="G335" s="182" t="n">
        <v>4766.19459</v>
      </c>
      <c r="H335" s="182" t="n">
        <v>0</v>
      </c>
      <c r="I335" s="182" t="n">
        <v>333</v>
      </c>
      <c r="J335" s="182" t="n">
        <v>21.6839</v>
      </c>
      <c r="K335" s="182" t="n">
        <v>39.112</v>
      </c>
    </row>
    <row r="336" ht="15" customHeight="1" s="28">
      <c r="A336" s="181" t="n">
        <v>1776839402</v>
      </c>
      <c r="B336" s="181" t="inlineStr">
        <is>
          <t>XAUUSD</t>
        </is>
      </c>
      <c r="C336" s="181" t="inlineStr">
        <is>
          <t>M15</t>
        </is>
      </c>
      <c r="D336" s="181" t="n">
        <v>4763.8</v>
      </c>
      <c r="E336" s="181" t="n">
        <v>4727.99036</v>
      </c>
      <c r="F336" s="181" t="n">
        <v>4767.10523</v>
      </c>
      <c r="G336" s="181" t="n">
        <v>4766.64991</v>
      </c>
      <c r="H336" s="181" t="n">
        <v>0</v>
      </c>
      <c r="I336" s="181" t="n">
        <v>334</v>
      </c>
      <c r="J336" s="181" t="n">
        <v>18.3678</v>
      </c>
      <c r="K336" s="181" t="n">
        <v>35.8096</v>
      </c>
    </row>
    <row r="337" ht="15" customHeight="1" s="28">
      <c r="A337" s="182" t="n">
        <v>1776840302</v>
      </c>
      <c r="B337" s="182" t="inlineStr">
        <is>
          <t>XAUUSD</t>
        </is>
      </c>
      <c r="C337" s="182" t="inlineStr">
        <is>
          <t>M15</t>
        </is>
      </c>
      <c r="D337" s="182" t="n">
        <v>4767.69</v>
      </c>
      <c r="E337" s="182" t="n">
        <v>4727.72276</v>
      </c>
      <c r="F337" s="182" t="n">
        <v>4766.53112</v>
      </c>
      <c r="G337" s="182" t="n">
        <v>4766.59051</v>
      </c>
      <c r="H337" s="182" t="n">
        <v>1</v>
      </c>
      <c r="I337" s="182" t="n">
        <v>335</v>
      </c>
      <c r="J337" s="182" t="n">
        <v>22.5117</v>
      </c>
      <c r="K337" s="182" t="n">
        <v>39.9672</v>
      </c>
    </row>
    <row r="338" ht="15" customHeight="1" s="28">
      <c r="A338" s="181" t="n">
        <v>1776841202</v>
      </c>
      <c r="B338" s="181" t="inlineStr">
        <is>
          <t>XAUUSD</t>
        </is>
      </c>
      <c r="C338" s="181" t="inlineStr">
        <is>
          <t>M15</t>
        </is>
      </c>
      <c r="D338" s="181" t="n">
        <v>4765.67</v>
      </c>
      <c r="E338" s="181" t="n">
        <v>4727.45515</v>
      </c>
      <c r="F338" s="181" t="n">
        <v>4765.45658</v>
      </c>
      <c r="G338" s="181" t="n">
        <v>4766.02355</v>
      </c>
      <c r="H338" s="181" t="n">
        <v>0</v>
      </c>
      <c r="I338" s="181" t="n">
        <v>336</v>
      </c>
      <c r="J338" s="181" t="n">
        <v>20.7456</v>
      </c>
      <c r="K338" s="181" t="n">
        <v>38.2149</v>
      </c>
    </row>
    <row r="339" ht="15" customHeight="1" s="28">
      <c r="A339" s="182" t="n">
        <v>1776842102</v>
      </c>
      <c r="B339" s="182" t="inlineStr">
        <is>
          <t>XAUUSD</t>
        </is>
      </c>
      <c r="C339" s="182" t="inlineStr">
        <is>
          <t>M15</t>
        </is>
      </c>
      <c r="D339" s="182" t="n">
        <v>4766.08</v>
      </c>
      <c r="E339" s="182" t="n">
        <v>4727.18755</v>
      </c>
      <c r="F339" s="182" t="n">
        <v>4764.06552</v>
      </c>
      <c r="G339" s="182" t="n">
        <v>4765.04453</v>
      </c>
      <c r="H339" s="182" t="n">
        <v>0</v>
      </c>
      <c r="I339" s="182" t="n">
        <v>337</v>
      </c>
      <c r="J339" s="182" t="n">
        <v>21.4095</v>
      </c>
      <c r="K339" s="182" t="n">
        <v>38.8925</v>
      </c>
    </row>
    <row r="340" ht="15" customHeight="1" s="28">
      <c r="A340" s="181" t="n">
        <v>1776843002</v>
      </c>
      <c r="B340" s="181" t="inlineStr">
        <is>
          <t>XAUUSD</t>
        </is>
      </c>
      <c r="C340" s="181" t="inlineStr">
        <is>
          <t>M15</t>
        </is>
      </c>
      <c r="D340" s="181" t="n">
        <v>4763.82</v>
      </c>
      <c r="E340" s="181" t="n">
        <v>4726.91994</v>
      </c>
      <c r="F340" s="181" t="n">
        <v>4762.4421</v>
      </c>
      <c r="G340" s="181" t="n">
        <v>4763.74332</v>
      </c>
      <c r="H340" s="181" t="n">
        <v>0</v>
      </c>
      <c r="I340" s="181" t="n">
        <v>338</v>
      </c>
      <c r="J340" s="181" t="n">
        <v>19.4034</v>
      </c>
      <c r="K340" s="181" t="n">
        <v>36.9001</v>
      </c>
    </row>
    <row r="341" ht="15" customHeight="1" s="28">
      <c r="A341" s="182" t="n">
        <v>1776843902</v>
      </c>
      <c r="B341" s="182" t="inlineStr">
        <is>
          <t>XAUUSD</t>
        </is>
      </c>
      <c r="C341" s="182" t="inlineStr">
        <is>
          <t>M15</t>
        </is>
      </c>
      <c r="D341" s="182" t="n">
        <v>4760.46</v>
      </c>
      <c r="E341" s="182" t="n">
        <v>4726.65234</v>
      </c>
      <c r="F341" s="182" t="n">
        <v>4760.74375</v>
      </c>
      <c r="G341" s="182" t="n">
        <v>4762.24353</v>
      </c>
      <c r="H341" s="182" t="n">
        <v>0</v>
      </c>
      <c r="I341" s="182" t="n">
        <v>339</v>
      </c>
      <c r="J341" s="182" t="n">
        <v>16.2973</v>
      </c>
      <c r="K341" s="182" t="n">
        <v>33.8077</v>
      </c>
    </row>
    <row r="342" ht="15" customHeight="1" s="28">
      <c r="A342" s="181" t="n">
        <v>1776844802</v>
      </c>
      <c r="B342" s="181" t="inlineStr">
        <is>
          <t>XAUUSD</t>
        </is>
      </c>
      <c r="C342" s="181" t="inlineStr">
        <is>
          <t>M15</t>
        </is>
      </c>
      <c r="D342" s="181" t="n">
        <v>4758.02</v>
      </c>
      <c r="E342" s="181" t="n">
        <v>4726.38474</v>
      </c>
      <c r="F342" s="181" t="n">
        <v>4759.16796</v>
      </c>
      <c r="G342" s="181" t="n">
        <v>4760.70574</v>
      </c>
      <c r="H342" s="181" t="n">
        <v>0</v>
      </c>
      <c r="I342" s="181" t="n">
        <v>340</v>
      </c>
      <c r="J342" s="181" t="n">
        <v>14.1112</v>
      </c>
      <c r="K342" s="181" t="n">
        <v>31.6353</v>
      </c>
    </row>
    <row r="343" ht="15" customHeight="1" s="28">
      <c r="A343" s="182" t="n">
        <v>1776845702</v>
      </c>
      <c r="B343" s="182" t="inlineStr">
        <is>
          <t>XAUUSD</t>
        </is>
      </c>
      <c r="C343" s="182" t="inlineStr">
        <is>
          <t>M15</t>
        </is>
      </c>
      <c r="D343" s="182" t="n">
        <v>4754.37</v>
      </c>
      <c r="E343" s="182" t="n">
        <v>4726.11713</v>
      </c>
      <c r="F343" s="182" t="n">
        <v>4757.87044</v>
      </c>
      <c r="G343" s="182" t="n">
        <v>4759.28809</v>
      </c>
      <c r="H343" s="182" t="n">
        <v>0</v>
      </c>
      <c r="I343" s="182" t="n">
        <v>341</v>
      </c>
      <c r="J343" s="182" t="n">
        <v>10.7151</v>
      </c>
      <c r="K343" s="182" t="n">
        <v>28.2529</v>
      </c>
    </row>
    <row r="344" ht="15" customHeight="1" s="28">
      <c r="A344" s="181" t="n">
        <v>1776846602</v>
      </c>
      <c r="B344" s="181" t="inlineStr">
        <is>
          <t>XAUUSD</t>
        </is>
      </c>
      <c r="C344" s="181" t="inlineStr">
        <is>
          <t>M15</t>
        </is>
      </c>
      <c r="D344" s="181" t="n">
        <v>4756.15</v>
      </c>
      <c r="E344" s="181" t="n">
        <v>4725.84953</v>
      </c>
      <c r="F344" s="181" t="n">
        <v>4756.98444</v>
      </c>
      <c r="G344" s="181" t="n">
        <v>4758.13627</v>
      </c>
      <c r="H344" s="181" t="n">
        <v>0</v>
      </c>
      <c r="I344" s="181" t="n">
        <v>342</v>
      </c>
      <c r="J344" s="181" t="n">
        <v>12.749</v>
      </c>
      <c r="K344" s="181" t="n">
        <v>30.3005</v>
      </c>
    </row>
    <row r="345" ht="15" customHeight="1" s="28">
      <c r="A345" s="182" t="n">
        <v>1776847502</v>
      </c>
      <c r="B345" s="182" t="inlineStr">
        <is>
          <t>XAUUSD</t>
        </is>
      </c>
      <c r="C345" s="182" t="inlineStr">
        <is>
          <t>M15</t>
        </is>
      </c>
      <c r="D345" s="182" t="n">
        <v>4757.14</v>
      </c>
      <c r="E345" s="182" t="n">
        <v>4725.58192</v>
      </c>
      <c r="F345" s="182" t="n">
        <v>4756.44079</v>
      </c>
      <c r="G345" s="182" t="n">
        <v>4757.28853</v>
      </c>
      <c r="H345" s="182" t="n">
        <v>0</v>
      </c>
      <c r="I345" s="182" t="n">
        <v>343</v>
      </c>
      <c r="J345" s="182" t="n">
        <v>13.9929</v>
      </c>
      <c r="K345" s="182" t="n">
        <v>31.5581</v>
      </c>
    </row>
    <row r="346" ht="15" customHeight="1" s="28">
      <c r="A346" s="181" t="n">
        <v>1776848402</v>
      </c>
      <c r="B346" s="181" t="inlineStr">
        <is>
          <t>XAUUSD</t>
        </is>
      </c>
      <c r="C346" s="181" t="inlineStr">
        <is>
          <t>M15</t>
        </is>
      </c>
      <c r="D346" s="181" t="n">
        <v>4760.72</v>
      </c>
      <c r="E346" s="181" t="n">
        <v>4725.31432</v>
      </c>
      <c r="F346" s="181" t="n">
        <v>4756.14817</v>
      </c>
      <c r="G346" s="181" t="n">
        <v>4756.71835</v>
      </c>
      <c r="H346" s="181" t="n">
        <v>0</v>
      </c>
      <c r="I346" s="181" t="n">
        <v>344</v>
      </c>
      <c r="J346" s="181" t="n">
        <v>17.8268</v>
      </c>
      <c r="K346" s="181" t="n">
        <v>35.4057</v>
      </c>
    </row>
    <row r="347" ht="15" customHeight="1" s="28">
      <c r="A347" s="182" t="n">
        <v>1776849302</v>
      </c>
      <c r="B347" s="182" t="inlineStr">
        <is>
          <t>XAUUSD</t>
        </is>
      </c>
      <c r="C347" s="182" t="inlineStr">
        <is>
          <t>M15</t>
        </is>
      </c>
      <c r="D347" s="182" t="n">
        <v>4756.45</v>
      </c>
      <c r="E347" s="182" t="n">
        <v>4725.04672</v>
      </c>
      <c r="F347" s="182" t="n">
        <v>4755.93888</v>
      </c>
      <c r="G347" s="182" t="n">
        <v>4756.32861</v>
      </c>
      <c r="H347" s="182" t="n">
        <v>0</v>
      </c>
      <c r="I347" s="182" t="n">
        <v>345</v>
      </c>
      <c r="J347" s="182" t="n">
        <v>13.8107</v>
      </c>
      <c r="K347" s="182" t="n">
        <v>31.4033</v>
      </c>
    </row>
    <row r="348" ht="15" customHeight="1" s="28">
      <c r="A348" s="181" t="n">
        <v>1776850202</v>
      </c>
      <c r="B348" s="181" t="inlineStr">
        <is>
          <t>XAUUSD</t>
        </is>
      </c>
      <c r="C348" s="181" t="inlineStr">
        <is>
          <t>M15</t>
        </is>
      </c>
      <c r="D348" s="181" t="n">
        <v>4758.47</v>
      </c>
      <c r="E348" s="181" t="n">
        <v>4724.77911</v>
      </c>
      <c r="F348" s="181" t="n">
        <v>4755.87512</v>
      </c>
      <c r="G348" s="181" t="n">
        <v>4756.10187</v>
      </c>
      <c r="H348" s="181" t="n">
        <v>0</v>
      </c>
      <c r="I348" s="181" t="n">
        <v>346</v>
      </c>
      <c r="J348" s="181" t="n">
        <v>16.0846</v>
      </c>
      <c r="K348" s="181" t="n">
        <v>33.6909</v>
      </c>
    </row>
    <row r="349" ht="15" customHeight="1" s="28">
      <c r="A349" s="182" t="n">
        <v>1776851102</v>
      </c>
      <c r="B349" s="182" t="inlineStr">
        <is>
          <t>XAUUSD</t>
        </is>
      </c>
      <c r="C349" s="182" t="inlineStr">
        <is>
          <t>M15</t>
        </is>
      </c>
      <c r="D349" s="182" t="n">
        <v>4755.32</v>
      </c>
      <c r="E349" s="182" t="n">
        <v>4724.51151</v>
      </c>
      <c r="F349" s="182" t="n">
        <v>4755.84414</v>
      </c>
      <c r="G349" s="182" t="n">
        <v>4755.973</v>
      </c>
      <c r="H349" s="182" t="n">
        <v>0</v>
      </c>
      <c r="I349" s="182" t="n">
        <v>347</v>
      </c>
      <c r="J349" s="182" t="n">
        <v>13.1885</v>
      </c>
      <c r="K349" s="182" t="n">
        <v>30.8085</v>
      </c>
    </row>
    <row r="350" ht="15" customHeight="1" s="28">
      <c r="A350" s="181" t="n">
        <v>1776852002</v>
      </c>
      <c r="B350" s="181" t="inlineStr">
        <is>
          <t>XAUUSD</t>
        </is>
      </c>
      <c r="C350" s="181" t="inlineStr">
        <is>
          <t>M15</t>
        </is>
      </c>
      <c r="D350" s="181" t="n">
        <v>4748.72</v>
      </c>
      <c r="E350" s="181" t="n">
        <v>4724.2439</v>
      </c>
      <c r="F350" s="181" t="n">
        <v>4755.88984</v>
      </c>
      <c r="G350" s="181" t="n">
        <v>4755.93142</v>
      </c>
      <c r="H350" s="181" t="n">
        <v>0</v>
      </c>
      <c r="I350" s="181" t="n">
        <v>348</v>
      </c>
      <c r="J350" s="181" t="n">
        <v>6.8424</v>
      </c>
      <c r="K350" s="181" t="n">
        <v>24.4761</v>
      </c>
    </row>
    <row r="351" ht="15" customHeight="1" s="28">
      <c r="A351" s="182" t="n">
        <v>1776852902</v>
      </c>
      <c r="B351" s="182" t="inlineStr">
        <is>
          <t>XAUUSD</t>
        </is>
      </c>
      <c r="C351" s="182" t="inlineStr">
        <is>
          <t>M15</t>
        </is>
      </c>
      <c r="D351" s="182" t="n">
        <v>4754.63</v>
      </c>
      <c r="E351" s="182" t="n">
        <v>4723.9763</v>
      </c>
      <c r="F351" s="182" t="n">
        <v>4756.12543</v>
      </c>
      <c r="G351" s="182" t="n">
        <v>4756.02843</v>
      </c>
      <c r="H351" s="182" t="n">
        <v>1</v>
      </c>
      <c r="I351" s="182" t="n">
        <v>349</v>
      </c>
      <c r="J351" s="182" t="n">
        <v>13.0063</v>
      </c>
      <c r="K351" s="182" t="n">
        <v>30.6537</v>
      </c>
    </row>
    <row r="352" ht="15" customHeight="1" s="28">
      <c r="A352" s="181" t="n">
        <v>1776853802</v>
      </c>
      <c r="B352" s="181" t="inlineStr">
        <is>
          <t>XAUUSD</t>
        </is>
      </c>
      <c r="C352" s="181" t="inlineStr">
        <is>
          <t>M15</t>
        </is>
      </c>
      <c r="D352" s="181" t="n">
        <v>4756.53</v>
      </c>
      <c r="E352" s="181" t="n">
        <v>4723.7087</v>
      </c>
      <c r="F352" s="181" t="n">
        <v>4756.25617</v>
      </c>
      <c r="G352" s="181" t="n">
        <v>4756.1423</v>
      </c>
      <c r="H352" s="181" t="n">
        <v>0</v>
      </c>
      <c r="I352" s="181" t="n">
        <v>350</v>
      </c>
      <c r="J352" s="181" t="n">
        <v>15.1601</v>
      </c>
      <c r="K352" s="181" t="n">
        <v>32.8213</v>
      </c>
    </row>
    <row r="353" ht="15" customHeight="1" s="28">
      <c r="A353" s="182" t="n">
        <v>1776854702</v>
      </c>
      <c r="B353" s="182" t="inlineStr">
        <is>
          <t>XAUUSD</t>
        </is>
      </c>
      <c r="C353" s="182" t="inlineStr">
        <is>
          <t>M15</t>
        </is>
      </c>
      <c r="D353" s="182" t="n">
        <v>4759.21</v>
      </c>
      <c r="E353" s="182" t="n">
        <v>4723.44109</v>
      </c>
      <c r="F353" s="182" t="n">
        <v>4756.08775</v>
      </c>
      <c r="G353" s="182" t="n">
        <v>4756.11502</v>
      </c>
      <c r="H353" s="182" t="n">
        <v>1</v>
      </c>
      <c r="I353" s="182" t="n">
        <v>351</v>
      </c>
      <c r="J353" s="182" t="n">
        <v>18.094</v>
      </c>
      <c r="K353" s="182" t="n">
        <v>35.7689</v>
      </c>
    </row>
    <row r="354" ht="15" customHeight="1" s="28">
      <c r="A354" s="181" t="n">
        <v>1776855602</v>
      </c>
      <c r="B354" s="181" t="inlineStr">
        <is>
          <t>XAUUSD</t>
        </is>
      </c>
      <c r="C354" s="181" t="inlineStr">
        <is>
          <t>M15</t>
        </is>
      </c>
      <c r="D354" s="181" t="n">
        <v>4757.27</v>
      </c>
      <c r="E354" s="181" t="n">
        <v>4723.17349</v>
      </c>
      <c r="F354" s="181" t="n">
        <v>4755.44322</v>
      </c>
      <c r="G354" s="181" t="n">
        <v>4755.77912</v>
      </c>
      <c r="H354" s="181" t="n">
        <v>0</v>
      </c>
      <c r="I354" s="181" t="n">
        <v>352</v>
      </c>
      <c r="J354" s="181" t="n">
        <v>16.4079</v>
      </c>
      <c r="K354" s="181" t="n">
        <v>34.0965</v>
      </c>
    </row>
    <row r="355" ht="15" customHeight="1" s="28">
      <c r="A355" s="182" t="n">
        <v>1776856502</v>
      </c>
      <c r="B355" s="182" t="inlineStr">
        <is>
          <t>XAUUSD</t>
        </is>
      </c>
      <c r="C355" s="182" t="inlineStr">
        <is>
          <t>M15</t>
        </is>
      </c>
      <c r="D355" s="182" t="n">
        <v>4757.36</v>
      </c>
      <c r="E355" s="182" t="n">
        <v>4722.90588</v>
      </c>
      <c r="F355" s="182" t="n">
        <v>4754.34907</v>
      </c>
      <c r="G355" s="182" t="n">
        <v>4755.06409</v>
      </c>
      <c r="H355" s="182" t="n">
        <v>0</v>
      </c>
      <c r="I355" s="182" t="n">
        <v>353</v>
      </c>
      <c r="J355" s="182" t="n">
        <v>16.7518</v>
      </c>
      <c r="K355" s="182" t="n">
        <v>34.4541</v>
      </c>
    </row>
    <row r="356" ht="15" customHeight="1" s="28">
      <c r="A356" s="181" t="n">
        <v>1776857402</v>
      </c>
      <c r="B356" s="181" t="inlineStr">
        <is>
          <t>XAUUSD</t>
        </is>
      </c>
      <c r="C356" s="181" t="inlineStr">
        <is>
          <t>M15</t>
        </is>
      </c>
      <c r="D356" s="181" t="n">
        <v>4748.68</v>
      </c>
      <c r="E356" s="181" t="n">
        <v>4722.63828</v>
      </c>
      <c r="F356" s="181" t="n">
        <v>4752.8876</v>
      </c>
      <c r="G356" s="181" t="n">
        <v>4753.97585</v>
      </c>
      <c r="H356" s="181" t="n">
        <v>0</v>
      </c>
      <c r="I356" s="181" t="n">
        <v>354</v>
      </c>
      <c r="J356" s="181" t="n">
        <v>8.325699999999999</v>
      </c>
      <c r="K356" s="181" t="n">
        <v>26.0417</v>
      </c>
    </row>
    <row r="357" ht="15" customHeight="1" s="28">
      <c r="A357" s="182" t="n">
        <v>1776858302</v>
      </c>
      <c r="B357" s="182" t="inlineStr">
        <is>
          <t>XAUUSD</t>
        </is>
      </c>
      <c r="C357" s="182" t="inlineStr">
        <is>
          <t>M15</t>
        </is>
      </c>
      <c r="D357" s="182" t="n">
        <v>4750.31</v>
      </c>
      <c r="E357" s="182" t="n">
        <v>4722.37068</v>
      </c>
      <c r="F357" s="182" t="n">
        <v>4751.46673</v>
      </c>
      <c r="G357" s="182" t="n">
        <v>4752.72129</v>
      </c>
      <c r="H357" s="182" t="n">
        <v>0</v>
      </c>
      <c r="I357" s="182" t="n">
        <v>355</v>
      </c>
      <c r="J357" s="182" t="n">
        <v>10.2096</v>
      </c>
      <c r="K357" s="182" t="n">
        <v>27.9393</v>
      </c>
    </row>
    <row r="358" ht="15" customHeight="1" s="28">
      <c r="A358" s="181" t="n">
        <v>1776859202</v>
      </c>
      <c r="B358" s="181" t="inlineStr">
        <is>
          <t>XAUUSD</t>
        </is>
      </c>
      <c r="C358" s="181" t="inlineStr">
        <is>
          <t>M15</t>
        </is>
      </c>
      <c r="D358" s="181" t="n">
        <v>4752.51</v>
      </c>
      <c r="E358" s="181" t="n">
        <v>4722.10307</v>
      </c>
      <c r="F358" s="181" t="n">
        <v>4750.21421</v>
      </c>
      <c r="G358" s="181" t="n">
        <v>4751.46775</v>
      </c>
      <c r="H358" s="181" t="n">
        <v>0</v>
      </c>
      <c r="I358" s="181" t="n">
        <v>356</v>
      </c>
      <c r="J358" s="181" t="n">
        <v>12.6635</v>
      </c>
      <c r="K358" s="181" t="n">
        <v>30.4069</v>
      </c>
    </row>
    <row r="359" ht="15" customHeight="1" s="28">
      <c r="A359" s="182" t="n">
        <v>1776860102</v>
      </c>
      <c r="B359" s="182" t="inlineStr">
        <is>
          <t>XAUUSD</t>
        </is>
      </c>
      <c r="C359" s="182" t="inlineStr">
        <is>
          <t>M15</t>
        </is>
      </c>
      <c r="D359" s="182" t="n">
        <v>4753.2</v>
      </c>
      <c r="E359" s="182" t="n">
        <v>4721.83547</v>
      </c>
      <c r="F359" s="182" t="n">
        <v>4749.22443</v>
      </c>
      <c r="G359" s="182" t="n">
        <v>4750.34609</v>
      </c>
      <c r="H359" s="182" t="n">
        <v>0</v>
      </c>
      <c r="I359" s="182" t="n">
        <v>357</v>
      </c>
      <c r="J359" s="182" t="n">
        <v>13.6074</v>
      </c>
      <c r="K359" s="182" t="n">
        <v>31.3645</v>
      </c>
    </row>
    <row r="360" ht="15" customHeight="1" s="28">
      <c r="A360" s="181" t="n">
        <v>1776861002</v>
      </c>
      <c r="B360" s="181" t="inlineStr">
        <is>
          <t>XAUUSD</t>
        </is>
      </c>
      <c r="C360" s="181" t="inlineStr">
        <is>
          <t>M15</t>
        </is>
      </c>
      <c r="D360" s="181" t="n">
        <v>4746.73</v>
      </c>
      <c r="E360" s="181" t="n">
        <v>4721.56786</v>
      </c>
      <c r="F360" s="181" t="n">
        <v>4748.56373</v>
      </c>
      <c r="G360" s="181" t="n">
        <v>4749.45491</v>
      </c>
      <c r="H360" s="181" t="n">
        <v>0</v>
      </c>
      <c r="I360" s="181" t="n">
        <v>358</v>
      </c>
      <c r="J360" s="181" t="n">
        <v>7.3913</v>
      </c>
      <c r="K360" s="181" t="n">
        <v>25.1621</v>
      </c>
    </row>
    <row r="361" ht="15" customHeight="1" s="28">
      <c r="A361" s="182" t="n">
        <v>1776861902</v>
      </c>
      <c r="B361" s="182" t="inlineStr">
        <is>
          <t>XAUUSD</t>
        </is>
      </c>
      <c r="C361" s="182" t="inlineStr">
        <is>
          <t>M15</t>
        </is>
      </c>
      <c r="D361" s="182" t="n">
        <v>4744.23</v>
      </c>
      <c r="E361" s="182" t="n">
        <v>4721.30026</v>
      </c>
      <c r="F361" s="182" t="n">
        <v>4748.39413</v>
      </c>
      <c r="G361" s="182" t="n">
        <v>4748.92452</v>
      </c>
      <c r="H361" s="182" t="n">
        <v>0</v>
      </c>
      <c r="I361" s="182" t="n">
        <v>359</v>
      </c>
      <c r="J361" s="182" t="n">
        <v>5.1452</v>
      </c>
      <c r="K361" s="182" t="n">
        <v>22.9297</v>
      </c>
    </row>
    <row r="362" ht="15" customHeight="1" s="28">
      <c r="A362" s="181" t="n">
        <v>1776862802</v>
      </c>
      <c r="B362" s="181" t="inlineStr">
        <is>
          <t>XAUUSD</t>
        </is>
      </c>
      <c r="C362" s="181" t="inlineStr">
        <is>
          <t>M15</t>
        </is>
      </c>
      <c r="D362" s="181" t="n">
        <v>4742.39</v>
      </c>
      <c r="E362" s="181" t="n">
        <v>4721.03265</v>
      </c>
      <c r="F362" s="181" t="n">
        <v>4748.61334</v>
      </c>
      <c r="G362" s="181" t="n">
        <v>4748.76893</v>
      </c>
      <c r="H362" s="181" t="n">
        <v>0</v>
      </c>
      <c r="I362" s="181" t="n">
        <v>360</v>
      </c>
      <c r="J362" s="181" t="n">
        <v>3.5591</v>
      </c>
      <c r="K362" s="181" t="n">
        <v>21.3574</v>
      </c>
    </row>
    <row r="363" ht="15" customHeight="1" s="28">
      <c r="A363" s="182" t="n">
        <v>1776863702</v>
      </c>
      <c r="B363" s="182" t="inlineStr">
        <is>
          <t>XAUUSD</t>
        </is>
      </c>
      <c r="C363" s="182" t="inlineStr">
        <is>
          <t>M15</t>
        </is>
      </c>
      <c r="D363" s="182" t="n">
        <v>4750.2</v>
      </c>
      <c r="E363" s="182" t="n">
        <v>4720.76505</v>
      </c>
      <c r="F363" s="182" t="n">
        <v>4748.9847</v>
      </c>
      <c r="G363" s="182" t="n">
        <v>4748.87681</v>
      </c>
      <c r="H363" s="182" t="n">
        <v>1</v>
      </c>
      <c r="I363" s="182" t="n">
        <v>361</v>
      </c>
      <c r="J363" s="182" t="n">
        <v>11.623</v>
      </c>
      <c r="K363" s="182" t="n">
        <v>29.4349</v>
      </c>
    </row>
    <row r="364" ht="15" customHeight="1" s="28">
      <c r="A364" s="181" t="n">
        <v>1776864602</v>
      </c>
      <c r="B364" s="181" t="inlineStr">
        <is>
          <t>XAUUSD</t>
        </is>
      </c>
      <c r="C364" s="181" t="inlineStr">
        <is>
          <t>M15</t>
        </is>
      </c>
      <c r="D364" s="181" t="n">
        <v>4755.33</v>
      </c>
      <c r="E364" s="181" t="n">
        <v>4720.49745</v>
      </c>
      <c r="F364" s="181" t="n">
        <v>4748.94313</v>
      </c>
      <c r="G364" s="181" t="n">
        <v>4748.90997</v>
      </c>
      <c r="H364" s="181" t="n">
        <v>0</v>
      </c>
      <c r="I364" s="181" t="n">
        <v>362</v>
      </c>
      <c r="J364" s="181" t="n">
        <v>17.0069</v>
      </c>
      <c r="K364" s="181" t="n">
        <v>34.8326</v>
      </c>
    </row>
    <row r="365" ht="15" customHeight="1" s="28">
      <c r="A365" s="182" t="n">
        <v>1776865502</v>
      </c>
      <c r="B365" s="182" t="inlineStr">
        <is>
          <t>XAUUSD</t>
        </is>
      </c>
      <c r="C365" s="182" t="inlineStr">
        <is>
          <t>M15</t>
        </is>
      </c>
      <c r="D365" s="182" t="n">
        <v>4752.94</v>
      </c>
      <c r="E365" s="182" t="n">
        <v>4720.22984</v>
      </c>
      <c r="F365" s="182" t="n">
        <v>4748.06252</v>
      </c>
      <c r="G365" s="182" t="n">
        <v>4748.48625</v>
      </c>
      <c r="H365" s="182" t="n">
        <v>1</v>
      </c>
      <c r="I365" s="182" t="n">
        <v>363</v>
      </c>
      <c r="J365" s="182" t="n">
        <v>14.8708</v>
      </c>
      <c r="K365" s="182" t="n">
        <v>32.7102</v>
      </c>
    </row>
    <row r="366" ht="15" customHeight="1" s="28">
      <c r="A366" s="181" t="n">
        <v>1776866402</v>
      </c>
      <c r="B366" s="181" t="inlineStr">
        <is>
          <t>XAUUSD</t>
        </is>
      </c>
      <c r="C366" s="181" t="inlineStr">
        <is>
          <t>M15</t>
        </is>
      </c>
      <c r="D366" s="181" t="n">
        <v>4745.59</v>
      </c>
      <c r="E366" s="181" t="n">
        <v>4719.96224</v>
      </c>
      <c r="F366" s="181" t="n">
        <v>4746.24435</v>
      </c>
      <c r="G366" s="181" t="n">
        <v>4747.3653</v>
      </c>
      <c r="H366" s="181" t="n">
        <v>0</v>
      </c>
      <c r="I366" s="181" t="n">
        <v>364</v>
      </c>
      <c r="J366" s="181" t="n">
        <v>7.7747</v>
      </c>
      <c r="K366" s="181" t="n">
        <v>25.6278</v>
      </c>
    </row>
    <row r="367" ht="15" customHeight="1" s="28">
      <c r="A367" s="182" t="n">
        <v>1776867302</v>
      </c>
      <c r="B367" s="182" t="inlineStr">
        <is>
          <t>XAUUSD</t>
        </is>
      </c>
      <c r="C367" s="182" t="inlineStr">
        <is>
          <t>M15</t>
        </is>
      </c>
      <c r="D367" s="182" t="n">
        <v>4743.96</v>
      </c>
      <c r="E367" s="182" t="n">
        <v>4719.69463</v>
      </c>
      <c r="F367" s="182" t="n">
        <v>4743.69873</v>
      </c>
      <c r="G367" s="182" t="n">
        <v>4745.53201</v>
      </c>
      <c r="H367" s="182" t="n">
        <v>0</v>
      </c>
      <c r="I367" s="182" t="n">
        <v>365</v>
      </c>
      <c r="J367" s="182" t="n">
        <v>6.3986</v>
      </c>
      <c r="K367" s="182" t="n">
        <v>24.2654</v>
      </c>
    </row>
    <row r="368" ht="15" customHeight="1" s="28">
      <c r="A368" s="181" t="n">
        <v>1776868202</v>
      </c>
      <c r="B368" s="181" t="inlineStr">
        <is>
          <t>XAUUSD</t>
        </is>
      </c>
      <c r="C368" s="181" t="inlineStr">
        <is>
          <t>M15</t>
        </is>
      </c>
      <c r="D368" s="181" t="n">
        <v>4733.08</v>
      </c>
      <c r="E368" s="181" t="n">
        <v>4719.42703</v>
      </c>
      <c r="F368" s="181" t="n">
        <v>4740.60264</v>
      </c>
      <c r="G368" s="181" t="n">
        <v>4743.06733</v>
      </c>
      <c r="H368" s="181" t="n">
        <v>0</v>
      </c>
      <c r="I368" s="181" t="n">
        <v>366</v>
      </c>
      <c r="J368" s="181" t="n">
        <v>-4.2275</v>
      </c>
      <c r="K368" s="181" t="n">
        <v>13.653</v>
      </c>
    </row>
    <row r="369" ht="15" customHeight="1" s="28">
      <c r="A369" s="182" t="n">
        <v>1776869102</v>
      </c>
      <c r="B369" s="182" t="inlineStr">
        <is>
          <t>XAUUSD</t>
        </is>
      </c>
      <c r="C369" s="182" t="inlineStr">
        <is>
          <t>M15</t>
        </is>
      </c>
      <c r="D369" s="182" t="n">
        <v>4736.03</v>
      </c>
      <c r="E369" s="182" t="n">
        <v>4719.15943</v>
      </c>
      <c r="F369" s="182" t="n">
        <v>4737.47015</v>
      </c>
      <c r="G369" s="182" t="n">
        <v>4740.26874</v>
      </c>
      <c r="H369" s="182" t="n">
        <v>0</v>
      </c>
      <c r="I369" s="182" t="n">
        <v>367</v>
      </c>
      <c r="J369" s="182" t="n">
        <v>-1.0236</v>
      </c>
      <c r="K369" s="182" t="n">
        <v>16.8706</v>
      </c>
    </row>
    <row r="370" ht="15" customHeight="1" s="28">
      <c r="A370" s="181" t="n">
        <v>1776870002</v>
      </c>
      <c r="B370" s="181" t="inlineStr">
        <is>
          <t>XAUUSD</t>
        </is>
      </c>
      <c r="C370" s="181" t="inlineStr">
        <is>
          <t>M15</t>
        </is>
      </c>
      <c r="D370" s="181" t="n">
        <v>4737.74</v>
      </c>
      <c r="E370" s="181" t="n">
        <v>4718.89182</v>
      </c>
      <c r="F370" s="181" t="n">
        <v>4734.44925</v>
      </c>
      <c r="G370" s="181" t="n">
        <v>4737.359</v>
      </c>
      <c r="H370" s="181" t="n">
        <v>0</v>
      </c>
      <c r="I370" s="181" t="n">
        <v>368</v>
      </c>
      <c r="J370" s="181" t="n">
        <v>0.9403</v>
      </c>
      <c r="K370" s="181" t="n">
        <v>18.8482</v>
      </c>
    </row>
    <row r="371" ht="15" customHeight="1" s="28">
      <c r="A371" s="182" t="n">
        <v>1776870902</v>
      </c>
      <c r="B371" s="182" t="inlineStr">
        <is>
          <t>XAUUSD</t>
        </is>
      </c>
      <c r="C371" s="182" t="inlineStr">
        <is>
          <t>M15</t>
        </is>
      </c>
      <c r="D371" s="182" t="n">
        <v>4735.09</v>
      </c>
      <c r="E371" s="182" t="n">
        <v>4718.62422</v>
      </c>
      <c r="F371" s="182" t="n">
        <v>4731.72628</v>
      </c>
      <c r="G371" s="182" t="n">
        <v>4734.54264</v>
      </c>
      <c r="H371" s="182" t="n">
        <v>0</v>
      </c>
      <c r="I371" s="182" t="n">
        <v>369</v>
      </c>
      <c r="J371" s="182" t="n">
        <v>-1.4558</v>
      </c>
      <c r="K371" s="182" t="n">
        <v>16.4658</v>
      </c>
    </row>
    <row r="372" ht="15" customHeight="1" s="28">
      <c r="A372" s="181" t="n">
        <v>1776871802</v>
      </c>
      <c r="B372" s="181" t="inlineStr">
        <is>
          <t>XAUUSD</t>
        </is>
      </c>
      <c r="C372" s="181" t="inlineStr">
        <is>
          <t>M15</t>
        </is>
      </c>
      <c r="D372" s="181" t="n">
        <v>4727.2</v>
      </c>
      <c r="E372" s="181" t="n">
        <v>4718.35661</v>
      </c>
      <c r="F372" s="181" t="n">
        <v>4729.57026</v>
      </c>
      <c r="G372" s="181" t="n">
        <v>4732.05645</v>
      </c>
      <c r="H372" s="181" t="n">
        <v>0</v>
      </c>
      <c r="I372" s="181" t="n">
        <v>370</v>
      </c>
      <c r="J372" s="181" t="n">
        <v>-9.091900000000001</v>
      </c>
      <c r="K372" s="181" t="n">
        <v>8.843400000000001</v>
      </c>
    </row>
    <row r="373" ht="15" customHeight="1" s="28">
      <c r="A373" s="182" t="n">
        <v>1776872702</v>
      </c>
      <c r="B373" s="182" t="inlineStr">
        <is>
          <t>XAUUSD</t>
        </is>
      </c>
      <c r="C373" s="182" t="inlineStr">
        <is>
          <t>M15</t>
        </is>
      </c>
      <c r="D373" s="182" t="n">
        <v>4727.69</v>
      </c>
      <c r="E373" s="182" t="n">
        <v>4718.08901</v>
      </c>
      <c r="F373" s="182" t="n">
        <v>4728.36522</v>
      </c>
      <c r="G373" s="182" t="n">
        <v>4730.21083</v>
      </c>
      <c r="H373" s="182" t="n">
        <v>0</v>
      </c>
      <c r="I373" s="182" t="n">
        <v>371</v>
      </c>
      <c r="J373" s="182" t="n">
        <v>-8.348000000000001</v>
      </c>
      <c r="K373" s="182" t="n">
        <v>9.601000000000001</v>
      </c>
    </row>
    <row r="374" ht="15" customHeight="1" s="28">
      <c r="A374" s="181" t="n">
        <v>1776873602</v>
      </c>
      <c r="B374" s="181" t="inlineStr">
        <is>
          <t>XAUUSD</t>
        </is>
      </c>
      <c r="C374" s="181" t="inlineStr">
        <is>
          <t>M15</t>
        </is>
      </c>
      <c r="D374" s="181" t="n">
        <v>4730.22</v>
      </c>
      <c r="E374" s="181" t="n">
        <v>4717.82141</v>
      </c>
      <c r="F374" s="181" t="n">
        <v>4728.0326</v>
      </c>
      <c r="G374" s="181" t="n">
        <v>4729.12172</v>
      </c>
      <c r="H374" s="181" t="n">
        <v>0</v>
      </c>
      <c r="I374" s="181" t="n">
        <v>372</v>
      </c>
      <c r="J374" s="181" t="n">
        <v>-5.5642</v>
      </c>
      <c r="K374" s="181" t="n">
        <v>12.3986</v>
      </c>
    </row>
    <row r="375" ht="15" customHeight="1" s="28">
      <c r="A375" s="182" t="n">
        <v>1776874502</v>
      </c>
      <c r="B375" s="182" t="inlineStr">
        <is>
          <t>XAUUSD</t>
        </is>
      </c>
      <c r="C375" s="182" t="inlineStr">
        <is>
          <t>M15</t>
        </is>
      </c>
      <c r="D375" s="182" t="n">
        <v>4727.08</v>
      </c>
      <c r="E375" s="182" t="n">
        <v>4717.5538</v>
      </c>
      <c r="F375" s="182" t="n">
        <v>4728.40577</v>
      </c>
      <c r="G375" s="182" t="n">
        <v>4728.76374</v>
      </c>
      <c r="H375" s="182" t="n">
        <v>0</v>
      </c>
      <c r="I375" s="182" t="n">
        <v>373</v>
      </c>
      <c r="J375" s="182" t="n">
        <v>-8.4503</v>
      </c>
      <c r="K375" s="182" t="n">
        <v>9.526199999999999</v>
      </c>
    </row>
    <row r="376" ht="15" customHeight="1" s="28">
      <c r="A376" s="181" t="n">
        <v>1776875402</v>
      </c>
      <c r="B376" s="181" t="inlineStr">
        <is>
          <t>XAUUSD</t>
        </is>
      </c>
      <c r="C376" s="181" t="inlineStr">
        <is>
          <t>M15</t>
        </is>
      </c>
      <c r="D376" s="181" t="n">
        <v>4728.3</v>
      </c>
      <c r="E376" s="181" t="n">
        <v>4717.2862</v>
      </c>
      <c r="F376" s="181" t="n">
        <v>4729.41639</v>
      </c>
      <c r="G376" s="181" t="n">
        <v>4729.09007</v>
      </c>
      <c r="H376" s="181" t="n">
        <v>1</v>
      </c>
      <c r="I376" s="181" t="n">
        <v>374</v>
      </c>
      <c r="J376" s="181" t="n">
        <v>-6.9764</v>
      </c>
      <c r="K376" s="181" t="n">
        <v>11.0138</v>
      </c>
    </row>
    <row r="377" ht="15" customHeight="1" s="28">
      <c r="A377" s="182" t="n">
        <v>1776876302</v>
      </c>
      <c r="B377" s="182" t="inlineStr">
        <is>
          <t>XAUUSD</t>
        </is>
      </c>
      <c r="C377" s="182" t="inlineStr">
        <is>
          <t>M15</t>
        </is>
      </c>
      <c r="D377" s="182" t="n">
        <v>4728.79</v>
      </c>
      <c r="E377" s="182" t="n">
        <v>4717.01859</v>
      </c>
      <c r="F377" s="182" t="n">
        <v>4730.85564</v>
      </c>
      <c r="G377" s="182" t="n">
        <v>4729.97285</v>
      </c>
      <c r="H377" s="182" t="n">
        <v>0</v>
      </c>
      <c r="I377" s="182" t="n">
        <v>375</v>
      </c>
      <c r="J377" s="182" t="n">
        <v>-6.2325</v>
      </c>
      <c r="K377" s="182" t="n">
        <v>11.7714</v>
      </c>
    </row>
    <row r="378" ht="15" customHeight="1" s="28">
      <c r="A378" s="181" t="n">
        <v>1776877202</v>
      </c>
      <c r="B378" s="181" t="inlineStr">
        <is>
          <t>XAUUSD</t>
        </is>
      </c>
      <c r="C378" s="181" t="inlineStr">
        <is>
          <t>M15</t>
        </is>
      </c>
      <c r="D378" s="181" t="n">
        <v>4735.49</v>
      </c>
      <c r="E378" s="181" t="n">
        <v>4716.75099</v>
      </c>
      <c r="F378" s="181" t="n">
        <v>4732.52412</v>
      </c>
      <c r="G378" s="181" t="n">
        <v>4731.24849</v>
      </c>
      <c r="H378" s="181" t="n">
        <v>0</v>
      </c>
      <c r="I378" s="181" t="n">
        <v>376</v>
      </c>
      <c r="J378" s="181" t="n">
        <v>0.7214</v>
      </c>
      <c r="K378" s="181" t="n">
        <v>18.739</v>
      </c>
    </row>
    <row r="379" ht="15" customHeight="1" s="28">
      <c r="A379" s="182" t="n">
        <v>1776878102</v>
      </c>
      <c r="B379" s="182" t="inlineStr">
        <is>
          <t>XAUUSD</t>
        </is>
      </c>
      <c r="C379" s="182" t="inlineStr">
        <is>
          <t>M15</t>
        </is>
      </c>
      <c r="D379" s="182" t="n">
        <v>4735.05</v>
      </c>
      <c r="E379" s="182" t="n">
        <v>4716.48339</v>
      </c>
      <c r="F379" s="182" t="n">
        <v>4734.03574</v>
      </c>
      <c r="G379" s="182" t="n">
        <v>4732.64211</v>
      </c>
      <c r="H379" s="182" t="n">
        <v>0</v>
      </c>
      <c r="I379" s="182" t="n">
        <v>377</v>
      </c>
      <c r="J379" s="182" t="n">
        <v>0.5353</v>
      </c>
      <c r="K379" s="182" t="n">
        <v>18.5666</v>
      </c>
    </row>
    <row r="380" ht="15" customHeight="1" s="28">
      <c r="A380" s="181" t="n">
        <v>1776879002</v>
      </c>
      <c r="B380" s="181" t="inlineStr">
        <is>
          <t>XAUUSD</t>
        </is>
      </c>
      <c r="C380" s="181" t="inlineStr">
        <is>
          <t>M15</t>
        </is>
      </c>
      <c r="D380" s="181" t="n">
        <v>4736.17</v>
      </c>
      <c r="E380" s="181" t="n">
        <v>4716.21578</v>
      </c>
      <c r="F380" s="181" t="n">
        <v>4735.30192</v>
      </c>
      <c r="G380" s="181" t="n">
        <v>4733.97202</v>
      </c>
      <c r="H380" s="181" t="n">
        <v>0</v>
      </c>
      <c r="I380" s="181" t="n">
        <v>378</v>
      </c>
      <c r="J380" s="181" t="n">
        <v>1.9092</v>
      </c>
      <c r="K380" s="181" t="n">
        <v>19.9542</v>
      </c>
    </row>
    <row r="381" ht="15" customHeight="1" s="28">
      <c r="A381" s="182" t="n">
        <v>1776879902</v>
      </c>
      <c r="B381" s="182" t="inlineStr">
        <is>
          <t>XAUUSD</t>
        </is>
      </c>
      <c r="C381" s="182" t="inlineStr">
        <is>
          <t>M15</t>
        </is>
      </c>
      <c r="D381" s="182" t="n">
        <v>4737.15</v>
      </c>
      <c r="E381" s="182" t="n">
        <v>4715.94818</v>
      </c>
      <c r="F381" s="182" t="n">
        <v>4736.28767</v>
      </c>
      <c r="G381" s="182" t="n">
        <v>4735.12984</v>
      </c>
      <c r="H381" s="182" t="n">
        <v>0</v>
      </c>
      <c r="I381" s="182" t="n">
        <v>379</v>
      </c>
      <c r="J381" s="182" t="n">
        <v>3.1431</v>
      </c>
      <c r="K381" s="182" t="n">
        <v>21.2018</v>
      </c>
    </row>
    <row r="382" ht="15" customHeight="1" s="28">
      <c r="A382" s="181" t="n">
        <v>1776880802</v>
      </c>
      <c r="B382" s="181" t="inlineStr">
        <is>
          <t>XAUUSD</t>
        </is>
      </c>
      <c r="C382" s="181" t="inlineStr">
        <is>
          <t>M15</t>
        </is>
      </c>
      <c r="D382" s="181" t="n">
        <v>4735.94</v>
      </c>
      <c r="E382" s="181" t="n">
        <v>4715.68057</v>
      </c>
      <c r="F382" s="181" t="n">
        <v>4736.96908</v>
      </c>
      <c r="G382" s="181" t="n">
        <v>4736.04946</v>
      </c>
      <c r="H382" s="181" t="n">
        <v>0</v>
      </c>
      <c r="I382" s="181" t="n">
        <v>380</v>
      </c>
      <c r="J382" s="181" t="n">
        <v>2.187</v>
      </c>
      <c r="K382" s="181" t="n">
        <v>20.2594</v>
      </c>
    </row>
    <row r="383" ht="15" customHeight="1" s="28">
      <c r="A383" s="182" t="n">
        <v>1776881702</v>
      </c>
      <c r="B383" s="182" t="inlineStr">
        <is>
          <t>XAUUSD</t>
        </is>
      </c>
      <c r="C383" s="182" t="inlineStr">
        <is>
          <t>M15</t>
        </is>
      </c>
      <c r="D383" s="182" t="n">
        <v>4730.43</v>
      </c>
      <c r="E383" s="182" t="n">
        <v>4715.41297</v>
      </c>
      <c r="F383" s="182" t="n">
        <v>4737.4774</v>
      </c>
      <c r="G383" s="182" t="n">
        <v>4736.76343</v>
      </c>
      <c r="H383" s="182" t="n">
        <v>0</v>
      </c>
      <c r="I383" s="182" t="n">
        <v>381</v>
      </c>
      <c r="J383" s="182" t="n">
        <v>-3.0691</v>
      </c>
      <c r="K383" s="182" t="n">
        <v>15.017</v>
      </c>
    </row>
    <row r="384" ht="15" customHeight="1" s="28">
      <c r="A384" s="181" t="n">
        <v>1776882602</v>
      </c>
      <c r="B384" s="181" t="inlineStr">
        <is>
          <t>XAUUSD</t>
        </is>
      </c>
      <c r="C384" s="181" t="inlineStr">
        <is>
          <t>M15</t>
        </is>
      </c>
      <c r="D384" s="181" t="n">
        <v>4739.45</v>
      </c>
      <c r="E384" s="181" t="n">
        <v>4715.14536</v>
      </c>
      <c r="F384" s="181" t="n">
        <v>4738.05683</v>
      </c>
      <c r="G384" s="181" t="n">
        <v>4737.41013</v>
      </c>
      <c r="H384" s="181" t="n">
        <v>0</v>
      </c>
      <c r="I384" s="181" t="n">
        <v>382</v>
      </c>
      <c r="J384" s="181" t="n">
        <v>6.2048</v>
      </c>
      <c r="K384" s="181" t="n">
        <v>24.3046</v>
      </c>
    </row>
    <row r="385" ht="15" customHeight="1" s="28">
      <c r="A385" s="182" t="n">
        <v>1776883502</v>
      </c>
      <c r="B385" s="182" t="inlineStr">
        <is>
          <t>XAUUSD</t>
        </is>
      </c>
      <c r="C385" s="182" t="inlineStr">
        <is>
          <t>M15</t>
        </is>
      </c>
      <c r="D385" s="182" t="n">
        <v>4741.69</v>
      </c>
      <c r="E385" s="182" t="n">
        <v>4714.87776</v>
      </c>
      <c r="F385" s="182" t="n">
        <v>4738.53711</v>
      </c>
      <c r="G385" s="182" t="n">
        <v>4737.97362</v>
      </c>
      <c r="H385" s="182" t="n">
        <v>0</v>
      </c>
      <c r="I385" s="182" t="n">
        <v>383</v>
      </c>
      <c r="J385" s="182" t="n">
        <v>8.698700000000001</v>
      </c>
      <c r="K385" s="182" t="n">
        <v>26.8122</v>
      </c>
    </row>
    <row r="386" ht="15" customHeight="1" s="28">
      <c r="A386" s="181" t="n">
        <v>1776884402</v>
      </c>
      <c r="B386" s="181" t="inlineStr">
        <is>
          <t>XAUUSD</t>
        </is>
      </c>
      <c r="C386" s="181" t="inlineStr">
        <is>
          <t>M15</t>
        </is>
      </c>
      <c r="D386" s="181" t="n">
        <v>4738.64</v>
      </c>
      <c r="E386" s="181" t="n">
        <v>4714.61016</v>
      </c>
      <c r="F386" s="181" t="n">
        <v>4738.92084</v>
      </c>
      <c r="G386" s="181" t="n">
        <v>4738.44723</v>
      </c>
      <c r="H386" s="181" t="n">
        <v>0</v>
      </c>
      <c r="I386" s="181" t="n">
        <v>384</v>
      </c>
      <c r="J386" s="181" t="n">
        <v>5.9026</v>
      </c>
      <c r="K386" s="181" t="n">
        <v>24.0298</v>
      </c>
    </row>
    <row r="387" ht="15" customHeight="1" s="28">
      <c r="A387" s="182" t="n">
        <v>1776885302</v>
      </c>
      <c r="B387" s="182" t="inlineStr">
        <is>
          <t>XAUUSD</t>
        </is>
      </c>
      <c r="C387" s="182" t="inlineStr">
        <is>
          <t>M15</t>
        </is>
      </c>
      <c r="D387" s="182" t="n">
        <v>4744.32</v>
      </c>
      <c r="E387" s="182" t="n">
        <v>4714.34255</v>
      </c>
      <c r="F387" s="182" t="n">
        <v>4739.35332</v>
      </c>
      <c r="G387" s="182" t="n">
        <v>4738.90028</v>
      </c>
      <c r="H387" s="182" t="n">
        <v>0</v>
      </c>
      <c r="I387" s="182" t="n">
        <v>385</v>
      </c>
      <c r="J387" s="182" t="n">
        <v>11.8365</v>
      </c>
      <c r="K387" s="182" t="n">
        <v>29.9774</v>
      </c>
    </row>
    <row r="388" ht="15" customHeight="1" s="28">
      <c r="A388" s="181" t="n">
        <v>1776886202</v>
      </c>
      <c r="B388" s="181" t="inlineStr">
        <is>
          <t>XAUUSD</t>
        </is>
      </c>
      <c r="C388" s="181" t="inlineStr">
        <is>
          <t>M15</t>
        </is>
      </c>
      <c r="D388" s="181" t="n">
        <v>4739.38</v>
      </c>
      <c r="E388" s="181" t="n">
        <v>4714.07495</v>
      </c>
      <c r="F388" s="181" t="n">
        <v>4739.67749</v>
      </c>
      <c r="G388" s="181" t="n">
        <v>4739.28888</v>
      </c>
      <c r="H388" s="181" t="n">
        <v>0</v>
      </c>
      <c r="I388" s="181" t="n">
        <v>386</v>
      </c>
      <c r="J388" s="181" t="n">
        <v>7.1504</v>
      </c>
      <c r="K388" s="181" t="n">
        <v>25.305</v>
      </c>
    </row>
    <row r="389" ht="15" customHeight="1" s="28">
      <c r="A389" s="182" t="n">
        <v>1776887102</v>
      </c>
      <c r="B389" s="182" t="inlineStr">
        <is>
          <t>XAUUSD</t>
        </is>
      </c>
      <c r="C389" s="182" t="inlineStr">
        <is>
          <t>M15</t>
        </is>
      </c>
      <c r="D389" s="182" t="n">
        <v>4740.36</v>
      </c>
      <c r="E389" s="182" t="n">
        <v>4713.80734</v>
      </c>
      <c r="F389" s="182" t="n">
        <v>4739.95904</v>
      </c>
      <c r="G389" s="182" t="n">
        <v>4739.62396</v>
      </c>
      <c r="H389" s="182" t="n">
        <v>0</v>
      </c>
      <c r="I389" s="182" t="n">
        <v>387</v>
      </c>
      <c r="J389" s="182" t="n">
        <v>8.3843</v>
      </c>
      <c r="K389" s="182" t="n">
        <v>26.5527</v>
      </c>
    </row>
    <row r="390" ht="15" customHeight="1" s="28">
      <c r="A390" s="181" t="n">
        <v>1776888002</v>
      </c>
      <c r="B390" s="181" t="inlineStr">
        <is>
          <t>XAUUSD</t>
        </is>
      </c>
      <c r="C390" s="181" t="inlineStr">
        <is>
          <t>M15</t>
        </is>
      </c>
      <c r="D390" s="181" t="n">
        <v>4736.16</v>
      </c>
      <c r="E390" s="181" t="n">
        <v>4713.53974</v>
      </c>
      <c r="F390" s="181" t="n">
        <v>4740.03754</v>
      </c>
      <c r="G390" s="181" t="n">
        <v>4739.83075</v>
      </c>
      <c r="H390" s="181" t="n">
        <v>0</v>
      </c>
      <c r="I390" s="181" t="n">
        <v>388</v>
      </c>
      <c r="J390" s="181" t="n">
        <v>4.4382</v>
      </c>
      <c r="K390" s="181" t="n">
        <v>22.6203</v>
      </c>
    </row>
    <row r="391" ht="15" customHeight="1" s="28">
      <c r="A391" s="182" t="n">
        <v>1776888902</v>
      </c>
      <c r="B391" s="182" t="inlineStr">
        <is>
          <t>XAUUSD</t>
        </is>
      </c>
      <c r="C391" s="182" t="inlineStr">
        <is>
          <t>M15</t>
        </is>
      </c>
      <c r="D391" s="182" t="n">
        <v>4736.99</v>
      </c>
      <c r="E391" s="182" t="n">
        <v>4713.27214</v>
      </c>
      <c r="F391" s="182" t="n">
        <v>4739.85448</v>
      </c>
      <c r="G391" s="182" t="n">
        <v>4739.84262</v>
      </c>
      <c r="H391" s="182" t="n">
        <v>0</v>
      </c>
      <c r="I391" s="182" t="n">
        <v>389</v>
      </c>
      <c r="J391" s="182" t="n">
        <v>5.5221</v>
      </c>
      <c r="K391" s="182" t="n">
        <v>23.7179</v>
      </c>
    </row>
    <row r="392" ht="15" customHeight="1" s="28">
      <c r="A392" s="181" t="n">
        <v>1776889802</v>
      </c>
      <c r="B392" s="181" t="inlineStr">
        <is>
          <t>XAUUSD</t>
        </is>
      </c>
      <c r="C392" s="181" t="inlineStr">
        <is>
          <t>M15</t>
        </is>
      </c>
      <c r="D392" s="181" t="n">
        <v>4737.48</v>
      </c>
      <c r="E392" s="181" t="n">
        <v>4713.00453</v>
      </c>
      <c r="F392" s="181" t="n">
        <v>4739.16871</v>
      </c>
      <c r="G392" s="181" t="n">
        <v>4739.50566</v>
      </c>
      <c r="H392" s="181" t="n">
        <v>1</v>
      </c>
      <c r="I392" s="181" t="n">
        <v>390</v>
      </c>
      <c r="J392" s="181" t="n">
        <v>6.266</v>
      </c>
      <c r="K392" s="181" t="n">
        <v>24.4755</v>
      </c>
    </row>
    <row r="393" ht="15" customHeight="1" s="28">
      <c r="A393" s="182" t="n">
        <v>1776890702</v>
      </c>
      <c r="B393" s="182" t="inlineStr">
        <is>
          <t>XAUUSD</t>
        </is>
      </c>
      <c r="C393" s="182" t="inlineStr">
        <is>
          <t>M15</t>
        </is>
      </c>
      <c r="D393" s="182" t="n">
        <v>4740.38</v>
      </c>
      <c r="E393" s="182" t="n">
        <v>4712.73693</v>
      </c>
      <c r="F393" s="182" t="n">
        <v>4737.77412</v>
      </c>
      <c r="G393" s="182" t="n">
        <v>4738.63989</v>
      </c>
      <c r="H393" s="182" t="n">
        <v>0</v>
      </c>
      <c r="I393" s="182" t="n">
        <v>391</v>
      </c>
      <c r="J393" s="182" t="n">
        <v>9.4199</v>
      </c>
      <c r="K393" s="182" t="n">
        <v>27.6431</v>
      </c>
    </row>
    <row r="394" ht="15" customHeight="1" s="28">
      <c r="A394" s="181" t="n">
        <v>1776895202</v>
      </c>
      <c r="B394" s="181" t="inlineStr">
        <is>
          <t>XAUUSD</t>
        </is>
      </c>
      <c r="C394" s="181" t="inlineStr">
        <is>
          <t>M15</t>
        </is>
      </c>
      <c r="D394" s="181" t="n">
        <v>4736.69</v>
      </c>
      <c r="E394" s="181" t="n">
        <v>4712.46932</v>
      </c>
      <c r="F394" s="181" t="n">
        <v>4735.50404</v>
      </c>
      <c r="G394" s="181" t="n">
        <v>4737.07196</v>
      </c>
      <c r="H394" s="181" t="n">
        <v>0</v>
      </c>
      <c r="I394" s="181" t="n">
        <v>392</v>
      </c>
      <c r="J394" s="181" t="n">
        <v>5.9838</v>
      </c>
      <c r="K394" s="181" t="n">
        <v>24.2207</v>
      </c>
    </row>
    <row r="395" ht="15" customHeight="1" s="28">
      <c r="A395" s="182" t="n">
        <v>1776896102</v>
      </c>
      <c r="B395" s="182" t="inlineStr">
        <is>
          <t>XAUUSD</t>
        </is>
      </c>
      <c r="C395" s="182" t="inlineStr">
        <is>
          <t>M15</t>
        </is>
      </c>
      <c r="D395" s="182" t="n">
        <v>4732.96</v>
      </c>
      <c r="E395" s="182" t="n">
        <v>4712.20172</v>
      </c>
      <c r="F395" s="182" t="n">
        <v>4732.55742</v>
      </c>
      <c r="G395" s="182" t="n">
        <v>4734.81469</v>
      </c>
      <c r="H395" s="182" t="n">
        <v>0</v>
      </c>
      <c r="I395" s="182" t="n">
        <v>393</v>
      </c>
      <c r="J395" s="182" t="n">
        <v>2.5077</v>
      </c>
      <c r="K395" s="182" t="n">
        <v>20.7583</v>
      </c>
    </row>
    <row r="396" ht="15" customHeight="1" s="28">
      <c r="A396" s="181" t="n">
        <v>1776897002</v>
      </c>
      <c r="B396" s="181" t="inlineStr">
        <is>
          <t>XAUUSD</t>
        </is>
      </c>
      <c r="C396" s="181" t="inlineStr">
        <is>
          <t>M15</t>
        </is>
      </c>
      <c r="D396" s="181" t="n">
        <v>4729.94</v>
      </c>
      <c r="E396" s="181" t="n">
        <v>4711.93412</v>
      </c>
      <c r="F396" s="181" t="n">
        <v>4729.31539</v>
      </c>
      <c r="G396" s="181" t="n">
        <v>4732.06504</v>
      </c>
      <c r="H396" s="181" t="n">
        <v>0</v>
      </c>
      <c r="I396" s="181" t="n">
        <v>394</v>
      </c>
      <c r="J396" s="181" t="n">
        <v>-0.2584</v>
      </c>
      <c r="K396" s="181" t="n">
        <v>18.0059</v>
      </c>
    </row>
    <row r="397" ht="15" customHeight="1" s="28">
      <c r="A397" s="182" t="n">
        <v>1776897902</v>
      </c>
      <c r="B397" s="182" t="inlineStr">
        <is>
          <t>XAUUSD</t>
        </is>
      </c>
      <c r="C397" s="182" t="inlineStr">
        <is>
          <t>M15</t>
        </is>
      </c>
      <c r="D397" s="182" t="n">
        <v>4725.92</v>
      </c>
      <c r="E397" s="182" t="n">
        <v>4711.66651</v>
      </c>
      <c r="F397" s="182" t="n">
        <v>4726.32231</v>
      </c>
      <c r="G397" s="182" t="n">
        <v>4729.19368</v>
      </c>
      <c r="H397" s="182" t="n">
        <v>0</v>
      </c>
      <c r="I397" s="182" t="n">
        <v>395</v>
      </c>
      <c r="J397" s="182" t="n">
        <v>-4.0246</v>
      </c>
      <c r="K397" s="182" t="n">
        <v>14.2535</v>
      </c>
    </row>
    <row r="398" ht="15" customHeight="1" s="28">
      <c r="A398" s="181" t="n">
        <v>1776898802</v>
      </c>
      <c r="B398" s="181" t="inlineStr">
        <is>
          <t>XAUUSD</t>
        </is>
      </c>
      <c r="C398" s="181" t="inlineStr">
        <is>
          <t>M15</t>
        </is>
      </c>
      <c r="D398" s="181" t="n">
        <v>4725.95</v>
      </c>
      <c r="E398" s="181" t="n">
        <v>4711.39891</v>
      </c>
      <c r="F398" s="181" t="n">
        <v>4724.18073</v>
      </c>
      <c r="G398" s="181" t="n">
        <v>4726.68721</v>
      </c>
      <c r="H398" s="181" t="n">
        <v>0</v>
      </c>
      <c r="I398" s="181" t="n">
        <v>396</v>
      </c>
      <c r="J398" s="181" t="n">
        <v>-3.7407</v>
      </c>
      <c r="K398" s="181" t="n">
        <v>14.5511</v>
      </c>
    </row>
    <row r="399" ht="15" customHeight="1" s="28">
      <c r="A399" s="182" t="n">
        <v>1776899702</v>
      </c>
      <c r="B399" s="182" t="inlineStr">
        <is>
          <t>XAUUSD</t>
        </is>
      </c>
      <c r="C399" s="182" t="inlineStr">
        <is>
          <t>M15</t>
        </is>
      </c>
      <c r="D399" s="182" t="n">
        <v>4728.14</v>
      </c>
      <c r="E399" s="182" t="n">
        <v>4711.1313</v>
      </c>
      <c r="F399" s="182" t="n">
        <v>4723.31179</v>
      </c>
      <c r="G399" s="182" t="n">
        <v>4724.9995</v>
      </c>
      <c r="H399" s="182" t="n">
        <v>0</v>
      </c>
      <c r="I399" s="182" t="n">
        <v>397</v>
      </c>
      <c r="J399" s="182" t="n">
        <v>-1.2968</v>
      </c>
      <c r="K399" s="182" t="n">
        <v>17.0087</v>
      </c>
    </row>
    <row r="400" ht="15" customHeight="1" s="28">
      <c r="A400" s="181" t="n">
        <v>1776900602</v>
      </c>
      <c r="B400" s="181" t="inlineStr">
        <is>
          <t>XAUUSD</t>
        </is>
      </c>
      <c r="C400" s="181" t="inlineStr">
        <is>
          <t>M15</t>
        </is>
      </c>
      <c r="D400" s="181" t="n">
        <v>4724.57</v>
      </c>
      <c r="E400" s="181" t="n">
        <v>4710.8637</v>
      </c>
      <c r="F400" s="181" t="n">
        <v>4723.87045</v>
      </c>
      <c r="G400" s="181" t="n">
        <v>4724.43497</v>
      </c>
      <c r="H400" s="181" t="n">
        <v>0</v>
      </c>
      <c r="I400" s="181" t="n">
        <v>398</v>
      </c>
      <c r="J400" s="181" t="n">
        <v>-4.6129</v>
      </c>
      <c r="K400" s="181" t="n">
        <v>13.7063</v>
      </c>
    </row>
    <row r="401" ht="15" customHeight="1" s="28">
      <c r="A401" s="182" t="n">
        <v>1776901502</v>
      </c>
      <c r="B401" s="182" t="inlineStr">
        <is>
          <t>XAUUSD</t>
        </is>
      </c>
      <c r="C401" s="182" t="inlineStr">
        <is>
          <t>M15</t>
        </is>
      </c>
      <c r="D401" s="182" t="n">
        <v>4727.72</v>
      </c>
      <c r="E401" s="182" t="n">
        <v>4710.5961</v>
      </c>
      <c r="F401" s="182" t="n">
        <v>4725.89757</v>
      </c>
      <c r="G401" s="182" t="n">
        <v>4725.16627</v>
      </c>
      <c r="H401" s="182" t="n">
        <v>1</v>
      </c>
      <c r="I401" s="182" t="n">
        <v>399</v>
      </c>
      <c r="J401" s="182" t="n">
        <v>-1.209</v>
      </c>
      <c r="K401" s="182" t="n">
        <v>17.1239</v>
      </c>
    </row>
    <row r="402" ht="15" customHeight="1" s="28">
      <c r="A402" s="181" t="n">
        <v>1776902402</v>
      </c>
      <c r="B402" s="181" t="inlineStr">
        <is>
          <t>XAUUSD</t>
        </is>
      </c>
      <c r="C402" s="181" t="inlineStr">
        <is>
          <t>M15</t>
        </is>
      </c>
      <c r="D402" s="181" t="n">
        <v>4699.48</v>
      </c>
      <c r="E402" s="181" t="n">
        <v>4710.32849</v>
      </c>
      <c r="F402" s="181" t="n">
        <v>4728.96889</v>
      </c>
      <c r="G402" s="181" t="n">
        <v>4727.06758</v>
      </c>
      <c r="H402" s="181" t="n">
        <v>0</v>
      </c>
      <c r="I402" s="181" t="n">
        <v>400</v>
      </c>
      <c r="J402" s="181" t="n">
        <v>-29.1951</v>
      </c>
      <c r="K402" s="181" t="n">
        <v>-10.8485</v>
      </c>
    </row>
    <row r="403" ht="15" customHeight="1" s="28">
      <c r="A403" s="182" t="n">
        <v>1776903302</v>
      </c>
      <c r="B403" s="182" t="inlineStr">
        <is>
          <t>XAUUSD</t>
        </is>
      </c>
      <c r="C403" s="182" t="inlineStr">
        <is>
          <t>M15</t>
        </is>
      </c>
      <c r="D403" s="182" t="n">
        <v>4741.59</v>
      </c>
      <c r="E403" s="182" t="n">
        <v>4710.06089</v>
      </c>
      <c r="F403" s="182" t="n">
        <v>4733.19299</v>
      </c>
      <c r="G403" s="182" t="n">
        <v>4730.13028</v>
      </c>
      <c r="H403" s="182" t="n">
        <v>0</v>
      </c>
      <c r="I403" s="182" t="n">
        <v>401</v>
      </c>
      <c r="J403" s="182" t="n">
        <v>13.1688</v>
      </c>
      <c r="K403" s="182" t="n">
        <v>31.5291</v>
      </c>
    </row>
    <row r="404" ht="15" customHeight="1" s="28">
      <c r="A404" s="181" t="n">
        <v>1776904202</v>
      </c>
      <c r="B404" s="181" t="inlineStr">
        <is>
          <t>XAUUSD</t>
        </is>
      </c>
      <c r="C404" s="181" t="inlineStr">
        <is>
          <t>M15</t>
        </is>
      </c>
      <c r="D404" s="181" t="n">
        <v>4744.84</v>
      </c>
      <c r="E404" s="181" t="n">
        <v>4709.79328</v>
      </c>
      <c r="F404" s="181" t="n">
        <v>4736.52253</v>
      </c>
      <c r="G404" s="181" t="n">
        <v>4733.32641</v>
      </c>
      <c r="H404" s="181" t="n">
        <v>0</v>
      </c>
      <c r="I404" s="181" t="n">
        <v>402</v>
      </c>
      <c r="J404" s="181" t="n">
        <v>16.6727</v>
      </c>
      <c r="K404" s="181" t="n">
        <v>35.0467</v>
      </c>
    </row>
    <row r="405" ht="15" customHeight="1" s="28">
      <c r="A405" s="182" t="n">
        <v>1776905102</v>
      </c>
      <c r="B405" s="182" t="inlineStr">
        <is>
          <t>XAUUSD</t>
        </is>
      </c>
      <c r="C405" s="182" t="inlineStr">
        <is>
          <t>M15</t>
        </is>
      </c>
      <c r="D405" s="182" t="n">
        <v>4748.05</v>
      </c>
      <c r="E405" s="182" t="n">
        <v>4709.52568</v>
      </c>
      <c r="F405" s="182" t="n">
        <v>4738.03398</v>
      </c>
      <c r="G405" s="182" t="n">
        <v>4735.68019</v>
      </c>
      <c r="H405" s="182" t="n">
        <v>0</v>
      </c>
      <c r="I405" s="182" t="n">
        <v>403</v>
      </c>
      <c r="J405" s="182" t="n">
        <v>20.1366</v>
      </c>
      <c r="K405" s="182" t="n">
        <v>38.5243</v>
      </c>
    </row>
    <row r="406" ht="15" customHeight="1" s="28">
      <c r="A406" s="181" t="n">
        <v>1776906002</v>
      </c>
      <c r="B406" s="181" t="inlineStr">
        <is>
          <t>XAUUSD</t>
        </is>
      </c>
      <c r="C406" s="181" t="inlineStr">
        <is>
          <t>M15</t>
        </is>
      </c>
      <c r="D406" s="181" t="n">
        <v>4737</v>
      </c>
      <c r="E406" s="181" t="n">
        <v>4709.25807</v>
      </c>
      <c r="F406" s="181" t="n">
        <v>4737.12096</v>
      </c>
      <c r="G406" s="181" t="n">
        <v>4736.40058</v>
      </c>
      <c r="H406" s="181" t="n">
        <v>0</v>
      </c>
      <c r="I406" s="181" t="n">
        <v>404</v>
      </c>
      <c r="J406" s="181" t="n">
        <v>9.3405</v>
      </c>
      <c r="K406" s="181" t="n">
        <v>27.7419</v>
      </c>
    </row>
    <row r="407" ht="15" customHeight="1" s="28">
      <c r="A407" s="182" t="n">
        <v>1776906902</v>
      </c>
      <c r="B407" s="182" t="inlineStr">
        <is>
          <t>XAUUSD</t>
        </is>
      </c>
      <c r="C407" s="182" t="inlineStr">
        <is>
          <t>M15</t>
        </is>
      </c>
      <c r="D407" s="182" t="n">
        <v>4728.26</v>
      </c>
      <c r="E407" s="182" t="n">
        <v>4708.99047</v>
      </c>
      <c r="F407" s="182" t="n">
        <v>4733.97211</v>
      </c>
      <c r="G407" s="182" t="n">
        <v>4735.18634</v>
      </c>
      <c r="H407" s="182" t="n">
        <v>1</v>
      </c>
      <c r="I407" s="182" t="n">
        <v>405</v>
      </c>
      <c r="J407" s="182" t="n">
        <v>0.8544</v>
      </c>
      <c r="K407" s="182" t="n">
        <v>19.2695</v>
      </c>
    </row>
    <row r="408" ht="15" customHeight="1" s="28">
      <c r="A408" s="181" t="n">
        <v>1776907802</v>
      </c>
      <c r="B408" s="181" t="inlineStr">
        <is>
          <t>XAUUSD</t>
        </is>
      </c>
      <c r="C408" s="181" t="inlineStr">
        <is>
          <t>M15</t>
        </is>
      </c>
      <c r="D408" s="181" t="n">
        <v>4733.91</v>
      </c>
      <c r="E408" s="181" t="n">
        <v>4708.72287</v>
      </c>
      <c r="F408" s="181" t="n">
        <v>4729.06024</v>
      </c>
      <c r="G408" s="181" t="n">
        <v>4732.12329</v>
      </c>
      <c r="H408" s="181" t="n">
        <v>0</v>
      </c>
      <c r="I408" s="181" t="n">
        <v>406</v>
      </c>
      <c r="J408" s="181" t="n">
        <v>6.7583</v>
      </c>
      <c r="K408" s="181" t="n">
        <v>25.1871</v>
      </c>
    </row>
    <row r="409" ht="15" customHeight="1" s="28">
      <c r="A409" s="182" t="n">
        <v>1776908702</v>
      </c>
      <c r="B409" s="182" t="inlineStr">
        <is>
          <t>XAUUSD</t>
        </is>
      </c>
      <c r="C409" s="182" t="inlineStr">
        <is>
          <t>M15</t>
        </is>
      </c>
      <c r="D409" s="182" t="n">
        <v>4723.33</v>
      </c>
      <c r="E409" s="182" t="n">
        <v>4708.45526</v>
      </c>
      <c r="F409" s="182" t="n">
        <v>4722.74552</v>
      </c>
      <c r="G409" s="182" t="n">
        <v>4727.43441</v>
      </c>
      <c r="H409" s="182" t="n">
        <v>0</v>
      </c>
      <c r="I409" s="182" t="n">
        <v>407</v>
      </c>
      <c r="J409" s="182" t="n">
        <v>-3.5678</v>
      </c>
      <c r="K409" s="182" t="n">
        <v>14.8747</v>
      </c>
    </row>
    <row r="410" ht="15" customHeight="1" s="28">
      <c r="A410" s="181" t="n">
        <v>1776909602</v>
      </c>
      <c r="B410" s="181" t="inlineStr">
        <is>
          <t>XAUUSD</t>
        </is>
      </c>
      <c r="C410" s="181" t="inlineStr">
        <is>
          <t>M15</t>
        </is>
      </c>
      <c r="D410" s="181" t="n">
        <v>4707.19</v>
      </c>
      <c r="E410" s="181" t="n">
        <v>4708.18766</v>
      </c>
      <c r="F410" s="181" t="n">
        <v>4716.00944</v>
      </c>
      <c r="G410" s="181" t="n">
        <v>4721.72192</v>
      </c>
      <c r="H410" s="181" t="n">
        <v>0</v>
      </c>
      <c r="I410" s="181" t="n">
        <v>408</v>
      </c>
      <c r="J410" s="181" t="n">
        <v>-19.4539</v>
      </c>
      <c r="K410" s="181" t="n">
        <v>-0.9977</v>
      </c>
    </row>
    <row r="411" ht="15" customHeight="1" s="28">
      <c r="A411" s="182" t="n">
        <v>1776910502</v>
      </c>
      <c r="B411" s="182" t="inlineStr">
        <is>
          <t>XAUUSD</t>
        </is>
      </c>
      <c r="C411" s="182" t="inlineStr">
        <is>
          <t>M15</t>
        </is>
      </c>
      <c r="D411" s="182" t="n">
        <v>4714.1</v>
      </c>
      <c r="E411" s="182" t="n">
        <v>4707.92005</v>
      </c>
      <c r="F411" s="182" t="n">
        <v>4710.01029</v>
      </c>
      <c r="G411" s="182" t="n">
        <v>4715.8661</v>
      </c>
      <c r="H411" s="182" t="n">
        <v>0</v>
      </c>
      <c r="I411" s="182" t="n">
        <v>409</v>
      </c>
      <c r="J411" s="182" t="n">
        <v>-12.29</v>
      </c>
      <c r="K411" s="182" t="n">
        <v>6.18</v>
      </c>
    </row>
    <row r="412" ht="15" customHeight="1" s="28">
      <c r="A412" s="181" t="n">
        <v>1776911402</v>
      </c>
      <c r="B412" s="181" t="inlineStr">
        <is>
          <t>XAUUSD</t>
        </is>
      </c>
      <c r="C412" s="181" t="inlineStr">
        <is>
          <t>M15</t>
        </is>
      </c>
      <c r="D412" s="181" t="n">
        <v>4701.42</v>
      </c>
      <c r="E412" s="181" t="n">
        <v>4707.65245</v>
      </c>
      <c r="F412" s="181" t="n">
        <v>4705.12454</v>
      </c>
      <c r="G412" s="181" t="n">
        <v>4710.49532</v>
      </c>
      <c r="H412" s="181" t="n">
        <v>0</v>
      </c>
      <c r="I412" s="181" t="n">
        <v>410</v>
      </c>
      <c r="J412" s="181" t="n">
        <v>-24.7161</v>
      </c>
      <c r="K412" s="181" t="n">
        <v>-6.2324</v>
      </c>
    </row>
    <row r="413" ht="15" customHeight="1" s="28">
      <c r="A413" s="182" t="n">
        <v>1776912302</v>
      </c>
      <c r="B413" s="182" t="inlineStr">
        <is>
          <t>XAUUSD</t>
        </is>
      </c>
      <c r="C413" s="182" t="inlineStr">
        <is>
          <t>M15</t>
        </is>
      </c>
      <c r="D413" s="182" t="n">
        <v>4699.23</v>
      </c>
      <c r="E413" s="182" t="n">
        <v>4707.38485</v>
      </c>
      <c r="F413" s="182" t="n">
        <v>4702.01564</v>
      </c>
      <c r="G413" s="182" t="n">
        <v>4706.25548</v>
      </c>
      <c r="H413" s="182" t="n">
        <v>0</v>
      </c>
      <c r="I413" s="182" t="n">
        <v>411</v>
      </c>
      <c r="J413" s="182" t="n">
        <v>-26.6522</v>
      </c>
      <c r="K413" s="182" t="n">
        <v>-8.1549</v>
      </c>
    </row>
    <row r="414" ht="15" customHeight="1" s="28">
      <c r="A414" s="181" t="n">
        <v>1776913202</v>
      </c>
      <c r="B414" s="181" t="inlineStr">
        <is>
          <t>XAUUSD</t>
        </is>
      </c>
      <c r="C414" s="181" t="inlineStr">
        <is>
          <t>M15</t>
        </is>
      </c>
      <c r="D414" s="181" t="n">
        <v>4702.06</v>
      </c>
      <c r="E414" s="181" t="n">
        <v>4707.11724</v>
      </c>
      <c r="F414" s="181" t="n">
        <v>4700.73951</v>
      </c>
      <c r="G414" s="181" t="n">
        <v>4703.4975</v>
      </c>
      <c r="H414" s="181" t="n">
        <v>0</v>
      </c>
      <c r="I414" s="181" t="n">
        <v>412</v>
      </c>
      <c r="J414" s="181" t="n">
        <v>-23.5683</v>
      </c>
      <c r="K414" s="181" t="n">
        <v>-5.0572</v>
      </c>
    </row>
    <row r="415" ht="15" customHeight="1" s="28">
      <c r="A415" s="182" t="n">
        <v>1776914102</v>
      </c>
      <c r="B415" s="182" t="inlineStr">
        <is>
          <t>XAUUSD</t>
        </is>
      </c>
      <c r="C415" s="182" t="inlineStr">
        <is>
          <t>M15</t>
        </is>
      </c>
      <c r="D415" s="182" t="n">
        <v>4703.22</v>
      </c>
      <c r="E415" s="182" t="n">
        <v>4706.84964</v>
      </c>
      <c r="F415" s="182" t="n">
        <v>4700.88109</v>
      </c>
      <c r="G415" s="182" t="n">
        <v>4702.18929</v>
      </c>
      <c r="H415" s="182" t="n">
        <v>0</v>
      </c>
      <c r="I415" s="182" t="n">
        <v>413</v>
      </c>
      <c r="J415" s="182" t="n">
        <v>-22.1544</v>
      </c>
      <c r="K415" s="182" t="n">
        <v>-3.6296</v>
      </c>
    </row>
    <row r="416" ht="15" customHeight="1" s="28">
      <c r="A416" s="181" t="n">
        <v>1776915002</v>
      </c>
      <c r="B416" s="181" t="inlineStr">
        <is>
          <t>XAUUSD</t>
        </is>
      </c>
      <c r="C416" s="181" t="inlineStr">
        <is>
          <t>M15</t>
        </is>
      </c>
      <c r="D416" s="181" t="n">
        <v>4704.99</v>
      </c>
      <c r="E416" s="181" t="n">
        <v>4706.58203</v>
      </c>
      <c r="F416" s="181" t="n">
        <v>4701.90823</v>
      </c>
      <c r="G416" s="181" t="n">
        <v>4702.04876</v>
      </c>
      <c r="H416" s="181" t="n">
        <v>0</v>
      </c>
      <c r="I416" s="181" t="n">
        <v>414</v>
      </c>
      <c r="J416" s="181" t="n">
        <v>-20.1305</v>
      </c>
      <c r="K416" s="181" t="n">
        <v>-1.592</v>
      </c>
    </row>
    <row r="417" ht="15" customHeight="1" s="28">
      <c r="A417" s="182" t="n">
        <v>1776915902</v>
      </c>
      <c r="B417" s="182" t="inlineStr">
        <is>
          <t>XAUUSD</t>
        </is>
      </c>
      <c r="C417" s="182" t="inlineStr">
        <is>
          <t>M15</t>
        </is>
      </c>
      <c r="D417" s="182" t="n">
        <v>4704.1</v>
      </c>
      <c r="E417" s="182" t="n">
        <v>4706.31443</v>
      </c>
      <c r="F417" s="182" t="n">
        <v>4703.26299</v>
      </c>
      <c r="G417" s="182" t="n">
        <v>4702.65587</v>
      </c>
      <c r="H417" s="182" t="n">
        <v>1</v>
      </c>
      <c r="I417" s="182" t="n">
        <v>415</v>
      </c>
      <c r="J417" s="182" t="n">
        <v>-20.7666</v>
      </c>
      <c r="K417" s="182" t="n">
        <v>-2.2144</v>
      </c>
    </row>
    <row r="418" ht="15" customHeight="1" s="28">
      <c r="A418" s="181" t="n">
        <v>1776916802</v>
      </c>
      <c r="B418" s="181" t="inlineStr">
        <is>
          <t>XAUUSD</t>
        </is>
      </c>
      <c r="C418" s="181" t="inlineStr">
        <is>
          <t>M15</t>
        </is>
      </c>
      <c r="D418" s="181" t="n">
        <v>4706.25</v>
      </c>
      <c r="E418" s="181" t="n">
        <v>4706.04683</v>
      </c>
      <c r="F418" s="181" t="n">
        <v>4704.53773</v>
      </c>
      <c r="G418" s="181" t="n">
        <v>4703.5968</v>
      </c>
      <c r="H418" s="181" t="n">
        <v>0</v>
      </c>
      <c r="I418" s="181" t="n">
        <v>416</v>
      </c>
      <c r="J418" s="181" t="n">
        <v>-18.3627</v>
      </c>
      <c r="K418" s="181" t="n">
        <v>0.2032</v>
      </c>
    </row>
    <row r="419" ht="15" customHeight="1" s="28">
      <c r="A419" s="182" t="n">
        <v>1776917702</v>
      </c>
      <c r="B419" s="182" t="inlineStr">
        <is>
          <t>XAUUSD</t>
        </is>
      </c>
      <c r="C419" s="182" t="inlineStr">
        <is>
          <t>M15</t>
        </is>
      </c>
      <c r="D419" s="182" t="n">
        <v>4705.73</v>
      </c>
      <c r="E419" s="182" t="n">
        <v>4705.77922</v>
      </c>
      <c r="F419" s="182" t="n">
        <v>4705.42947</v>
      </c>
      <c r="G419" s="182" t="n">
        <v>4704.51314</v>
      </c>
      <c r="H419" s="182" t="n">
        <v>0</v>
      </c>
      <c r="I419" s="182" t="n">
        <v>417</v>
      </c>
      <c r="J419" s="182" t="n">
        <v>-18.6289</v>
      </c>
      <c r="K419" s="182" t="n">
        <v>-0.0492</v>
      </c>
    </row>
    <row r="420" ht="15" customHeight="1" s="28">
      <c r="A420" s="181" t="n">
        <v>1776918602</v>
      </c>
      <c r="B420" s="181" t="inlineStr">
        <is>
          <t>XAUUSD</t>
        </is>
      </c>
      <c r="C420" s="181" t="inlineStr">
        <is>
          <t>M15</t>
        </is>
      </c>
      <c r="D420" s="181" t="n">
        <v>4701.88</v>
      </c>
      <c r="E420" s="181" t="n">
        <v>4705.51162</v>
      </c>
      <c r="F420" s="181" t="n">
        <v>4705.88832</v>
      </c>
      <c r="G420" s="181" t="n">
        <v>4705.20073</v>
      </c>
      <c r="H420" s="181" t="n">
        <v>0</v>
      </c>
      <c r="I420" s="181" t="n">
        <v>418</v>
      </c>
      <c r="J420" s="181" t="n">
        <v>-22.225</v>
      </c>
      <c r="K420" s="181" t="n">
        <v>-3.6316</v>
      </c>
    </row>
    <row r="421" ht="15" customHeight="1" s="28">
      <c r="A421" s="182" t="n">
        <v>1776919502</v>
      </c>
      <c r="B421" s="182" t="inlineStr">
        <is>
          <t>XAUUSD</t>
        </is>
      </c>
      <c r="C421" s="182" t="inlineStr">
        <is>
          <t>M15</t>
        </is>
      </c>
      <c r="D421" s="182" t="n">
        <v>4704.35</v>
      </c>
      <c r="E421" s="182" t="n">
        <v>4705.24401</v>
      </c>
      <c r="F421" s="182" t="n">
        <v>4706.15433</v>
      </c>
      <c r="G421" s="182" t="n">
        <v>4705.67753</v>
      </c>
      <c r="H421" s="182" t="n">
        <v>0</v>
      </c>
      <c r="I421" s="182" t="n">
        <v>419</v>
      </c>
      <c r="J421" s="182" t="n">
        <v>-19.5011</v>
      </c>
      <c r="K421" s="182" t="n">
        <v>-0.894</v>
      </c>
    </row>
    <row r="422" ht="15" customHeight="1" s="28">
      <c r="A422" s="181" t="n">
        <v>1776920402</v>
      </c>
      <c r="B422" s="181" t="inlineStr">
        <is>
          <t>XAUUSD</t>
        </is>
      </c>
      <c r="C422" s="181" t="inlineStr">
        <is>
          <t>M15</t>
        </is>
      </c>
      <c r="D422" s="181" t="n">
        <v>4707.71</v>
      </c>
      <c r="E422" s="181" t="n">
        <v>4704.97641</v>
      </c>
      <c r="F422" s="181" t="n">
        <v>4706.3814</v>
      </c>
      <c r="G422" s="181" t="n">
        <v>4706.02946</v>
      </c>
      <c r="H422" s="181" t="n">
        <v>0</v>
      </c>
      <c r="I422" s="181" t="n">
        <v>420</v>
      </c>
      <c r="J422" s="181" t="n">
        <v>-15.8872</v>
      </c>
      <c r="K422" s="181" t="n">
        <v>2.7336</v>
      </c>
    </row>
    <row r="423" ht="15" customHeight="1" s="28">
      <c r="A423" s="182" t="n">
        <v>1776921302</v>
      </c>
      <c r="B423" s="182" t="inlineStr">
        <is>
          <t>XAUUSD</t>
        </is>
      </c>
      <c r="C423" s="182" t="inlineStr">
        <is>
          <t>M15</t>
        </is>
      </c>
      <c r="D423" s="182" t="n">
        <v>4705.92</v>
      </c>
      <c r="E423" s="182" t="n">
        <v>4704.70881</v>
      </c>
      <c r="F423" s="182" t="n">
        <v>4706.70367</v>
      </c>
      <c r="G423" s="182" t="n">
        <v>4706.36657</v>
      </c>
      <c r="H423" s="182" t="n">
        <v>0</v>
      </c>
      <c r="I423" s="182" t="n">
        <v>421</v>
      </c>
      <c r="J423" s="182" t="n">
        <v>-17.4233</v>
      </c>
      <c r="K423" s="182" t="n">
        <v>1.2112</v>
      </c>
    </row>
    <row r="424" ht="15" customHeight="1" s="28">
      <c r="A424" s="181" t="n">
        <v>1776922202</v>
      </c>
      <c r="B424" s="181" t="inlineStr">
        <is>
          <t>XAUUSD</t>
        </is>
      </c>
      <c r="C424" s="181" t="inlineStr">
        <is>
          <t>M15</t>
        </is>
      </c>
      <c r="D424" s="181" t="n">
        <v>4701.58</v>
      </c>
      <c r="E424" s="181" t="n">
        <v>4704.4412</v>
      </c>
      <c r="F424" s="181" t="n">
        <v>4707.34591</v>
      </c>
      <c r="G424" s="181" t="n">
        <v>4706.85624</v>
      </c>
      <c r="H424" s="181" t="n">
        <v>0</v>
      </c>
      <c r="I424" s="181" t="n">
        <v>422</v>
      </c>
      <c r="J424" s="181" t="n">
        <v>-21.5094</v>
      </c>
      <c r="K424" s="181" t="n">
        <v>-2.8612</v>
      </c>
    </row>
    <row r="425" ht="15" customHeight="1" s="28">
      <c r="A425" s="182" t="n">
        <v>1776923102</v>
      </c>
      <c r="B425" s="182" t="inlineStr">
        <is>
          <t>XAUUSD</t>
        </is>
      </c>
      <c r="C425" s="182" t="inlineStr">
        <is>
          <t>M15</t>
        </is>
      </c>
      <c r="D425" s="182" t="n">
        <v>4713.6</v>
      </c>
      <c r="E425" s="182" t="n">
        <v>4704.1736</v>
      </c>
      <c r="F425" s="182" t="n">
        <v>4708.52042</v>
      </c>
      <c r="G425" s="182" t="n">
        <v>4707.68833</v>
      </c>
      <c r="H425" s="182" t="n">
        <v>0</v>
      </c>
      <c r="I425" s="182" t="n">
        <v>423</v>
      </c>
      <c r="J425" s="182" t="n">
        <v>-9.2355</v>
      </c>
      <c r="K425" s="182" t="n">
        <v>9.426399999999999</v>
      </c>
    </row>
    <row r="426" ht="15" customHeight="1" s="28">
      <c r="A426" s="181" t="n">
        <v>1776924002</v>
      </c>
      <c r="B426" s="181" t="inlineStr">
        <is>
          <t>XAUUSD</t>
        </is>
      </c>
      <c r="C426" s="181" t="inlineStr">
        <is>
          <t>M15</t>
        </is>
      </c>
      <c r="D426" s="181" t="n">
        <v>4711.99</v>
      </c>
      <c r="E426" s="181" t="n">
        <v>4703.90599</v>
      </c>
      <c r="F426" s="181" t="n">
        <v>4709.83013</v>
      </c>
      <c r="G426" s="181" t="n">
        <v>4708.75923</v>
      </c>
      <c r="H426" s="181" t="n">
        <v>0</v>
      </c>
      <c r="I426" s="181" t="n">
        <v>424</v>
      </c>
      <c r="J426" s="181" t="n">
        <v>-10.5916</v>
      </c>
      <c r="K426" s="181" t="n">
        <v>8.084</v>
      </c>
    </row>
    <row r="427" ht="15" customHeight="1" s="28">
      <c r="A427" s="182" t="n">
        <v>1776924902</v>
      </c>
      <c r="B427" s="182" t="inlineStr">
        <is>
          <t>XAUUSD</t>
        </is>
      </c>
      <c r="C427" s="182" t="inlineStr">
        <is>
          <t>M15</t>
        </is>
      </c>
      <c r="D427" s="182" t="n">
        <v>4712.13</v>
      </c>
      <c r="E427" s="182" t="n">
        <v>4703.63839</v>
      </c>
      <c r="F427" s="182" t="n">
        <v>4711.17063</v>
      </c>
      <c r="G427" s="182" t="n">
        <v>4709.96493</v>
      </c>
      <c r="H427" s="182" t="n">
        <v>0</v>
      </c>
      <c r="I427" s="182" t="n">
        <v>425</v>
      </c>
      <c r="J427" s="182" t="n">
        <v>-10.1977</v>
      </c>
      <c r="K427" s="182" t="n">
        <v>8.4916</v>
      </c>
    </row>
    <row r="428" ht="15" customHeight="1" s="28">
      <c r="A428" s="181" t="n">
        <v>1776925802</v>
      </c>
      <c r="B428" s="181" t="inlineStr">
        <is>
          <t>XAUUSD</t>
        </is>
      </c>
      <c r="C428" s="181" t="inlineStr">
        <is>
          <t>M15</t>
        </is>
      </c>
      <c r="D428" s="181" t="n">
        <v>4714.98</v>
      </c>
      <c r="E428" s="181" t="n">
        <v>4703.37078</v>
      </c>
      <c r="F428" s="181" t="n">
        <v>4712.40766</v>
      </c>
      <c r="G428" s="181" t="n">
        <v>4711.1863</v>
      </c>
      <c r="H428" s="181" t="n">
        <v>0</v>
      </c>
      <c r="I428" s="181" t="n">
        <v>426</v>
      </c>
      <c r="J428" s="181" t="n">
        <v>-7.0938</v>
      </c>
      <c r="K428" s="181" t="n">
        <v>11.6092</v>
      </c>
    </row>
    <row r="429" ht="15" customHeight="1" s="28">
      <c r="A429" s="182" t="n">
        <v>1776926702</v>
      </c>
      <c r="B429" s="182" t="inlineStr">
        <is>
          <t>XAUUSD</t>
        </is>
      </c>
      <c r="C429" s="182" t="inlineStr">
        <is>
          <t>M15</t>
        </is>
      </c>
      <c r="D429" s="182" t="n">
        <v>4713.02</v>
      </c>
      <c r="E429" s="182" t="n">
        <v>4703.10318</v>
      </c>
      <c r="F429" s="182" t="n">
        <v>4713.33647</v>
      </c>
      <c r="G429" s="182" t="n">
        <v>4712.26138</v>
      </c>
      <c r="H429" s="182" t="n">
        <v>0</v>
      </c>
      <c r="I429" s="182" t="n">
        <v>427</v>
      </c>
      <c r="J429" s="182" t="n">
        <v>-8.799899999999999</v>
      </c>
      <c r="K429" s="182" t="n">
        <v>9.9168</v>
      </c>
    </row>
    <row r="430" ht="15" customHeight="1" s="28">
      <c r="A430" s="181" t="n">
        <v>1776927602</v>
      </c>
      <c r="B430" s="181" t="inlineStr">
        <is>
          <t>XAUUSD</t>
        </is>
      </c>
      <c r="C430" s="181" t="inlineStr">
        <is>
          <t>M15</t>
        </is>
      </c>
      <c r="D430" s="181" t="n">
        <v>4712.47</v>
      </c>
      <c r="E430" s="181" t="n">
        <v>4702.83558</v>
      </c>
      <c r="F430" s="181" t="n">
        <v>4713.92865</v>
      </c>
      <c r="G430" s="181" t="n">
        <v>4713.09502</v>
      </c>
      <c r="H430" s="181" t="n">
        <v>0</v>
      </c>
      <c r="I430" s="181" t="n">
        <v>428</v>
      </c>
      <c r="J430" s="181" t="n">
        <v>-9.096</v>
      </c>
      <c r="K430" s="181" t="n">
        <v>9.634399999999999</v>
      </c>
    </row>
    <row r="431" ht="15" customHeight="1" s="28">
      <c r="A431" s="182" t="n">
        <v>1776928502</v>
      </c>
      <c r="B431" s="182" t="inlineStr">
        <is>
          <t>XAUUSD</t>
        </is>
      </c>
      <c r="C431" s="182" t="inlineStr">
        <is>
          <t>M15</t>
        </is>
      </c>
      <c r="D431" s="182" t="n">
        <v>4706.12</v>
      </c>
      <c r="E431" s="182" t="n">
        <v>4702.56797</v>
      </c>
      <c r="F431" s="182" t="n">
        <v>4714.19761</v>
      </c>
      <c r="G431" s="182" t="n">
        <v>4713.64631</v>
      </c>
      <c r="H431" s="182" t="n">
        <v>0</v>
      </c>
      <c r="I431" s="182" t="n">
        <v>429</v>
      </c>
      <c r="J431" s="182" t="n">
        <v>-15.1921</v>
      </c>
      <c r="K431" s="182" t="n">
        <v>3.552</v>
      </c>
    </row>
    <row r="432" ht="15" customHeight="1" s="28">
      <c r="A432" s="181" t="n">
        <v>1776929402</v>
      </c>
      <c r="B432" s="181" t="inlineStr">
        <is>
          <t>XAUUSD</t>
        </is>
      </c>
      <c r="C432" s="181" t="inlineStr">
        <is>
          <t>M15</t>
        </is>
      </c>
      <c r="D432" s="181" t="n">
        <v>4713.77</v>
      </c>
      <c r="E432" s="181" t="n">
        <v>4702.30037</v>
      </c>
      <c r="F432" s="181" t="n">
        <v>4714.31114</v>
      </c>
      <c r="G432" s="181" t="n">
        <v>4713.97873</v>
      </c>
      <c r="H432" s="181" t="n">
        <v>0</v>
      </c>
      <c r="I432" s="181" t="n">
        <v>430</v>
      </c>
      <c r="J432" s="181" t="n">
        <v>-7.2882</v>
      </c>
      <c r="K432" s="181" t="n">
        <v>11.4696</v>
      </c>
    </row>
    <row r="433" ht="15" customHeight="1" s="28">
      <c r="A433" s="182" t="n">
        <v>1776930302</v>
      </c>
      <c r="B433" s="182" t="inlineStr">
        <is>
          <t>XAUUSD</t>
        </is>
      </c>
      <c r="C433" s="182" t="inlineStr">
        <is>
          <t>M15</t>
        </is>
      </c>
      <c r="D433" s="182" t="n">
        <v>4719.22</v>
      </c>
      <c r="E433" s="182" t="n">
        <v>4702.03276</v>
      </c>
      <c r="F433" s="182" t="n">
        <v>4714.075</v>
      </c>
      <c r="G433" s="182" t="n">
        <v>4714.02686</v>
      </c>
      <c r="H433" s="182" t="n">
        <v>0</v>
      </c>
      <c r="I433" s="182" t="n">
        <v>431</v>
      </c>
      <c r="J433" s="182" t="n">
        <v>-1.5843</v>
      </c>
      <c r="K433" s="182" t="n">
        <v>17.1872</v>
      </c>
    </row>
    <row r="434" ht="15" customHeight="1" s="28">
      <c r="A434" s="181" t="n">
        <v>1776931202</v>
      </c>
      <c r="B434" s="181" t="inlineStr">
        <is>
          <t>XAUUSD</t>
        </is>
      </c>
      <c r="C434" s="181" t="inlineStr">
        <is>
          <t>M15</t>
        </is>
      </c>
      <c r="D434" s="181" t="n">
        <v>4718.21</v>
      </c>
      <c r="E434" s="181" t="n">
        <v>4701.76516</v>
      </c>
      <c r="F434" s="181" t="n">
        <v>4713.17172</v>
      </c>
      <c r="G434" s="181" t="n">
        <v>4713.59929</v>
      </c>
      <c r="H434" s="181" t="n">
        <v>1</v>
      </c>
      <c r="I434" s="181" t="n">
        <v>432</v>
      </c>
      <c r="J434" s="181" t="n">
        <v>-2.3404</v>
      </c>
      <c r="K434" s="181" t="n">
        <v>16.4448</v>
      </c>
    </row>
    <row r="435" ht="15" customHeight="1" s="28">
      <c r="A435" s="182" t="n">
        <v>1776932102</v>
      </c>
      <c r="B435" s="182" t="inlineStr">
        <is>
          <t>XAUUSD</t>
        </is>
      </c>
      <c r="C435" s="182" t="inlineStr">
        <is>
          <t>M15</t>
        </is>
      </c>
      <c r="D435" s="182" t="n">
        <v>4715.43</v>
      </c>
      <c r="E435" s="182" t="n">
        <v>4701.49756</v>
      </c>
      <c r="F435" s="182" t="n">
        <v>4711.52544</v>
      </c>
      <c r="G435" s="182" t="n">
        <v>4712.56237</v>
      </c>
      <c r="H435" s="182" t="n">
        <v>0</v>
      </c>
      <c r="I435" s="182" t="n">
        <v>433</v>
      </c>
      <c r="J435" s="182" t="n">
        <v>-4.8665</v>
      </c>
      <c r="K435" s="182" t="n">
        <v>13.9324</v>
      </c>
    </row>
    <row r="436" ht="15" customHeight="1" s="28">
      <c r="A436" s="181" t="n">
        <v>1776933002</v>
      </c>
      <c r="B436" s="181" t="inlineStr">
        <is>
          <t>XAUUSD</t>
        </is>
      </c>
      <c r="C436" s="181" t="inlineStr">
        <is>
          <t>M15</t>
        </is>
      </c>
      <c r="D436" s="181" t="n">
        <v>4703.76</v>
      </c>
      <c r="E436" s="181" t="n">
        <v>4701.22995</v>
      </c>
      <c r="F436" s="181" t="n">
        <v>4709.14176</v>
      </c>
      <c r="G436" s="181" t="n">
        <v>4710.85206</v>
      </c>
      <c r="H436" s="181" t="n">
        <v>0</v>
      </c>
      <c r="I436" s="181" t="n">
        <v>434</v>
      </c>
      <c r="J436" s="181" t="n">
        <v>-16.2826</v>
      </c>
      <c r="K436" s="181" t="n">
        <v>2.5301</v>
      </c>
    </row>
    <row r="437" ht="15" customHeight="1" s="28">
      <c r="A437" s="182" t="n">
        <v>1776933902</v>
      </c>
      <c r="B437" s="182" t="inlineStr">
        <is>
          <t>XAUUSD</t>
        </is>
      </c>
      <c r="C437" s="182" t="inlineStr">
        <is>
          <t>M15</t>
        </is>
      </c>
      <c r="D437" s="182" t="n">
        <v>4703.28</v>
      </c>
      <c r="E437" s="182" t="n">
        <v>4700.96235</v>
      </c>
      <c r="F437" s="182" t="n">
        <v>4706.31914</v>
      </c>
      <c r="G437" s="182" t="n">
        <v>4708.5856</v>
      </c>
      <c r="H437" s="182" t="n">
        <v>0</v>
      </c>
      <c r="I437" s="182" t="n">
        <v>435</v>
      </c>
      <c r="J437" s="182" t="n">
        <v>-16.5087</v>
      </c>
      <c r="K437" s="182" t="n">
        <v>2.3176</v>
      </c>
    </row>
    <row r="438" ht="15" customHeight="1" s="28">
      <c r="A438" s="181" t="n">
        <v>1776934802</v>
      </c>
      <c r="B438" s="181" t="inlineStr">
        <is>
          <t>XAUUSD</t>
        </is>
      </c>
      <c r="C438" s="181" t="inlineStr">
        <is>
          <t>M15</t>
        </is>
      </c>
      <c r="D438" s="181" t="n">
        <v>4696.92</v>
      </c>
      <c r="E438" s="181" t="n">
        <v>4700.69474</v>
      </c>
      <c r="F438" s="181" t="n">
        <v>4703.07922</v>
      </c>
      <c r="G438" s="181" t="n">
        <v>4705.83241</v>
      </c>
      <c r="H438" s="181" t="n">
        <v>0</v>
      </c>
      <c r="I438" s="181" t="n">
        <v>436</v>
      </c>
      <c r="J438" s="181" t="n">
        <v>-22.6148</v>
      </c>
      <c r="K438" s="181" t="n">
        <v>-3.7747</v>
      </c>
    </row>
    <row r="439" ht="15" customHeight="1" s="28">
      <c r="A439" s="182" t="n">
        <v>1776935702</v>
      </c>
      <c r="B439" s="182" t="inlineStr">
        <is>
          <t>XAUUSD</t>
        </is>
      </c>
      <c r="C439" s="182" t="inlineStr">
        <is>
          <t>M15</t>
        </is>
      </c>
      <c r="D439" s="182" t="n">
        <v>4700.94</v>
      </c>
      <c r="E439" s="182" t="n">
        <v>4700.42714</v>
      </c>
      <c r="F439" s="182" t="n">
        <v>4699.63858</v>
      </c>
      <c r="G439" s="182" t="n">
        <v>4702.73549</v>
      </c>
      <c r="H439" s="182" t="n">
        <v>0</v>
      </c>
      <c r="I439" s="182" t="n">
        <v>437</v>
      </c>
      <c r="J439" s="182" t="n">
        <v>-18.3409</v>
      </c>
      <c r="K439" s="182" t="n">
        <v>0.5129</v>
      </c>
    </row>
    <row r="440" ht="15" customHeight="1" s="28">
      <c r="A440" s="181" t="n">
        <v>1776936602</v>
      </c>
      <c r="B440" s="181" t="inlineStr">
        <is>
          <t>XAUUSD</t>
        </is>
      </c>
      <c r="C440" s="181" t="inlineStr">
        <is>
          <t>M15</t>
        </is>
      </c>
      <c r="D440" s="181" t="n">
        <v>4700.99</v>
      </c>
      <c r="E440" s="181" t="n">
        <v>4700.15954</v>
      </c>
      <c r="F440" s="181" t="n">
        <v>4696.09443</v>
      </c>
      <c r="G440" s="181" t="n">
        <v>4699.41496</v>
      </c>
      <c r="H440" s="181" t="n">
        <v>0</v>
      </c>
      <c r="I440" s="181" t="n">
        <v>438</v>
      </c>
      <c r="J440" s="181" t="n">
        <v>-18.037</v>
      </c>
      <c r="K440" s="181" t="n">
        <v>0.8305</v>
      </c>
    </row>
    <row r="441" ht="15" customHeight="1" s="28">
      <c r="A441" s="182" t="n">
        <v>1776937502</v>
      </c>
      <c r="B441" s="182" t="inlineStr">
        <is>
          <t>XAUUSD</t>
        </is>
      </c>
      <c r="C441" s="182" t="inlineStr">
        <is>
          <t>M15</t>
        </is>
      </c>
      <c r="D441" s="182" t="n">
        <v>4697.62</v>
      </c>
      <c r="E441" s="182" t="n">
        <v>4699.89193</v>
      </c>
      <c r="F441" s="182" t="n">
        <v>4692.82893</v>
      </c>
      <c r="G441" s="182" t="n">
        <v>4696.12195</v>
      </c>
      <c r="H441" s="182" t="n">
        <v>0</v>
      </c>
      <c r="I441" s="182" t="n">
        <v>439</v>
      </c>
      <c r="J441" s="182" t="n">
        <v>-21.1532</v>
      </c>
      <c r="K441" s="182" t="n">
        <v>-2.2719</v>
      </c>
    </row>
    <row r="442" ht="15" customHeight="1" s="28">
      <c r="A442" s="181" t="n">
        <v>1776938402</v>
      </c>
      <c r="B442" s="181" t="inlineStr">
        <is>
          <t>XAUUSD</t>
        </is>
      </c>
      <c r="C442" s="181" t="inlineStr">
        <is>
          <t>M15</t>
        </is>
      </c>
      <c r="D442" s="181" t="n">
        <v>4689.14</v>
      </c>
      <c r="E442" s="181" t="n">
        <v>4699.62433</v>
      </c>
      <c r="F442" s="181" t="n">
        <v>4690.37226</v>
      </c>
      <c r="G442" s="181" t="n">
        <v>4693.2471</v>
      </c>
      <c r="H442" s="181" t="n">
        <v>0</v>
      </c>
      <c r="I442" s="181" t="n">
        <v>440</v>
      </c>
      <c r="J442" s="181" t="n">
        <v>-29.3793</v>
      </c>
      <c r="K442" s="181" t="n">
        <v>-10.4843</v>
      </c>
    </row>
    <row r="443" ht="15" customHeight="1" s="28">
      <c r="A443" s="182" t="n">
        <v>1776939302</v>
      </c>
      <c r="B443" s="182" t="inlineStr">
        <is>
          <t>XAUUSD</t>
        </is>
      </c>
      <c r="C443" s="182" t="inlineStr">
        <is>
          <t>M15</t>
        </is>
      </c>
      <c r="D443" s="182" t="n">
        <v>4686.7</v>
      </c>
      <c r="E443" s="182" t="n">
        <v>4699.35672</v>
      </c>
      <c r="F443" s="182" t="n">
        <v>4689.47204</v>
      </c>
      <c r="G443" s="182" t="n">
        <v>4691.35957</v>
      </c>
      <c r="H443" s="182" t="n">
        <v>0</v>
      </c>
      <c r="I443" s="182" t="n">
        <v>441</v>
      </c>
      <c r="J443" s="182" t="n">
        <v>-31.5654</v>
      </c>
      <c r="K443" s="182" t="n">
        <v>-12.6567</v>
      </c>
    </row>
    <row r="444" ht="15" customHeight="1" s="28">
      <c r="A444" s="181" t="n">
        <v>1776940202</v>
      </c>
      <c r="B444" s="181" t="inlineStr">
        <is>
          <t>XAUUSD</t>
        </is>
      </c>
      <c r="C444" s="181" t="inlineStr">
        <is>
          <t>M15</t>
        </is>
      </c>
      <c r="D444" s="181" t="n">
        <v>4690.77</v>
      </c>
      <c r="E444" s="181" t="n">
        <v>4699.08912</v>
      </c>
      <c r="F444" s="181" t="n">
        <v>4690.48655</v>
      </c>
      <c r="G444" s="181" t="n">
        <v>4690.92306</v>
      </c>
      <c r="H444" s="181" t="n">
        <v>0</v>
      </c>
      <c r="I444" s="181" t="n">
        <v>442</v>
      </c>
      <c r="J444" s="181" t="n">
        <v>-27.2415</v>
      </c>
      <c r="K444" s="181" t="n">
        <v>-8.319100000000001</v>
      </c>
    </row>
    <row r="445" ht="15" customHeight="1" s="28">
      <c r="A445" s="182" t="n">
        <v>1776941102</v>
      </c>
      <c r="B445" s="182" t="inlineStr">
        <is>
          <t>XAUUSD</t>
        </is>
      </c>
      <c r="C445" s="182" t="inlineStr">
        <is>
          <t>M15</t>
        </is>
      </c>
      <c r="D445" s="182" t="n">
        <v>4696.61</v>
      </c>
      <c r="E445" s="182" t="n">
        <v>4698.82152</v>
      </c>
      <c r="F445" s="182" t="n">
        <v>4693.45927</v>
      </c>
      <c r="G445" s="182" t="n">
        <v>4692.19117</v>
      </c>
      <c r="H445" s="182" t="n">
        <v>1</v>
      </c>
      <c r="I445" s="182" t="n">
        <v>443</v>
      </c>
      <c r="J445" s="182" t="n">
        <v>-21.1476</v>
      </c>
      <c r="K445" s="182" t="n">
        <v>-2.2115</v>
      </c>
    </row>
    <row r="446" ht="15" customHeight="1" s="28">
      <c r="A446" s="181" t="n">
        <v>1776942002</v>
      </c>
      <c r="B446" s="181" t="inlineStr">
        <is>
          <t>XAUUSD</t>
        </is>
      </c>
      <c r="C446" s="181" t="inlineStr">
        <is>
          <t>M15</t>
        </is>
      </c>
      <c r="D446" s="181" t="n">
        <v>4697.96</v>
      </c>
      <c r="E446" s="181" t="n">
        <v>4698.55391</v>
      </c>
      <c r="F446" s="181" t="n">
        <v>4698.19147</v>
      </c>
      <c r="G446" s="181" t="n">
        <v>4695.19132</v>
      </c>
      <c r="H446" s="181" t="n">
        <v>0</v>
      </c>
      <c r="I446" s="181" t="n">
        <v>444</v>
      </c>
      <c r="J446" s="181" t="n">
        <v>-19.5437</v>
      </c>
      <c r="K446" s="181" t="n">
        <v>-0.5939</v>
      </c>
    </row>
    <row r="447" ht="15" customHeight="1" s="28">
      <c r="A447" s="182" t="n">
        <v>1776942902</v>
      </c>
      <c r="B447" s="182" t="inlineStr">
        <is>
          <t>XAUUSD</t>
        </is>
      </c>
      <c r="C447" s="182" t="inlineStr">
        <is>
          <t>M15</t>
        </is>
      </c>
      <c r="D447" s="182" t="n">
        <v>4699.27</v>
      </c>
      <c r="E447" s="182" t="n">
        <v>4698.28631</v>
      </c>
      <c r="F447" s="182" t="n">
        <v>4704.41131</v>
      </c>
      <c r="G447" s="182" t="n">
        <v>4699.80131</v>
      </c>
      <c r="H447" s="182" t="n">
        <v>0</v>
      </c>
      <c r="I447" s="182" t="n">
        <v>445</v>
      </c>
      <c r="J447" s="182" t="n">
        <v>-17.9798</v>
      </c>
      <c r="K447" s="182" t="n">
        <v>0.9837</v>
      </c>
    </row>
    <row r="448" ht="15" customHeight="1" s="28">
      <c r="A448" s="181" t="n">
        <v>1776943802</v>
      </c>
      <c r="B448" s="181" t="inlineStr">
        <is>
          <t>XAUUSD</t>
        </is>
      </c>
      <c r="C448" s="181" t="inlineStr">
        <is>
          <t>M15</t>
        </is>
      </c>
      <c r="D448" s="181" t="n">
        <v>4705.48</v>
      </c>
      <c r="E448" s="181" t="n">
        <v>4698.0187</v>
      </c>
      <c r="F448" s="181" t="n">
        <v>4711.65604</v>
      </c>
      <c r="G448" s="181" t="n">
        <v>4705.72867</v>
      </c>
      <c r="H448" s="181" t="n">
        <v>0</v>
      </c>
      <c r="I448" s="181" t="n">
        <v>446</v>
      </c>
      <c r="J448" s="181" t="n">
        <v>-11.5159</v>
      </c>
      <c r="K448" s="181" t="n">
        <v>7.4613</v>
      </c>
    </row>
    <row r="449" ht="15" customHeight="1" s="28">
      <c r="A449" s="182" t="n">
        <v>1776944702</v>
      </c>
      <c r="B449" s="182" t="inlineStr">
        <is>
          <t>XAUUSD</t>
        </is>
      </c>
      <c r="C449" s="182" t="inlineStr">
        <is>
          <t>M15</t>
        </is>
      </c>
      <c r="D449" s="182" t="n">
        <v>4720.71</v>
      </c>
      <c r="E449" s="182" t="n">
        <v>4697.7511</v>
      </c>
      <c r="F449" s="182" t="n">
        <v>4719.14721</v>
      </c>
      <c r="G449" s="182" t="n">
        <v>4712.43794</v>
      </c>
      <c r="H449" s="182" t="n">
        <v>0</v>
      </c>
      <c r="I449" s="182" t="n">
        <v>447</v>
      </c>
      <c r="J449" s="182" t="n">
        <v>3.968</v>
      </c>
      <c r="K449" s="182" t="n">
        <v>22.9589</v>
      </c>
    </row>
    <row r="450" ht="15" customHeight="1" s="28">
      <c r="A450" s="181" t="n">
        <v>1776945602</v>
      </c>
      <c r="B450" s="181" t="inlineStr">
        <is>
          <t>XAUUSD</t>
        </is>
      </c>
      <c r="C450" s="181" t="inlineStr">
        <is>
          <t>M15</t>
        </is>
      </c>
      <c r="D450" s="181" t="n">
        <v>4729.21</v>
      </c>
      <c r="E450" s="181" t="n">
        <v>4697.48349</v>
      </c>
      <c r="F450" s="181" t="n">
        <v>4725.80123</v>
      </c>
      <c r="G450" s="181" t="n">
        <v>4719.11958</v>
      </c>
      <c r="H450" s="181" t="n">
        <v>0</v>
      </c>
      <c r="I450" s="181" t="n">
        <v>448</v>
      </c>
      <c r="J450" s="181" t="n">
        <v>12.7219</v>
      </c>
      <c r="K450" s="181" t="n">
        <v>31.7265</v>
      </c>
    </row>
    <row r="451" ht="15" customHeight="1" s="28">
      <c r="A451" s="182" t="n">
        <v>1776946502</v>
      </c>
      <c r="B451" s="182" t="inlineStr">
        <is>
          <t>XAUUSD</t>
        </is>
      </c>
      <c r="C451" s="182" t="inlineStr">
        <is>
          <t>M15</t>
        </is>
      </c>
      <c r="D451" s="182" t="n">
        <v>4733.39</v>
      </c>
      <c r="E451" s="182" t="n">
        <v>4697.21589</v>
      </c>
      <c r="F451" s="182" t="n">
        <v>4730.86558</v>
      </c>
      <c r="G451" s="182" t="n">
        <v>4724.99258</v>
      </c>
      <c r="H451" s="182" t="n">
        <v>0</v>
      </c>
      <c r="I451" s="182" t="n">
        <v>449</v>
      </c>
      <c r="J451" s="182" t="n">
        <v>17.1558</v>
      </c>
      <c r="K451" s="182" t="n">
        <v>36.1741</v>
      </c>
    </row>
    <row r="452" ht="15" customHeight="1" s="28">
      <c r="A452" s="181" t="n">
        <v>1776947402</v>
      </c>
      <c r="B452" s="181" t="inlineStr">
        <is>
          <t>XAUUSD</t>
        </is>
      </c>
      <c r="C452" s="181" t="inlineStr">
        <is>
          <t>M15</t>
        </is>
      </c>
      <c r="D452" s="181" t="n">
        <v>4739.41</v>
      </c>
      <c r="E452" s="181" t="n">
        <v>4696.94829</v>
      </c>
      <c r="F452" s="181" t="n">
        <v>4733.93202</v>
      </c>
      <c r="G452" s="181" t="n">
        <v>4729.4623</v>
      </c>
      <c r="H452" s="181" t="n">
        <v>0</v>
      </c>
      <c r="I452" s="181" t="n">
        <v>450</v>
      </c>
      <c r="J452" s="181" t="n">
        <v>23.4297</v>
      </c>
      <c r="K452" s="181" t="n">
        <v>42.4617</v>
      </c>
    </row>
    <row r="453" ht="15" customHeight="1" s="28">
      <c r="A453" s="182" t="n">
        <v>1776948302</v>
      </c>
      <c r="B453" s="182" t="inlineStr">
        <is>
          <t>XAUUSD</t>
        </is>
      </c>
      <c r="C453" s="182" t="inlineStr">
        <is>
          <t>M15</t>
        </is>
      </c>
      <c r="D453" s="182" t="n">
        <v>4740.04</v>
      </c>
      <c r="E453" s="182" t="n">
        <v>4696.68068</v>
      </c>
      <c r="F453" s="182" t="n">
        <v>4734.87766</v>
      </c>
      <c r="G453" s="182" t="n">
        <v>4732.16998</v>
      </c>
      <c r="H453" s="182" t="n">
        <v>0</v>
      </c>
      <c r="I453" s="182" t="n">
        <v>451</v>
      </c>
      <c r="J453" s="182" t="n">
        <v>24.3136</v>
      </c>
      <c r="K453" s="182" t="n">
        <v>43.3593</v>
      </c>
    </row>
    <row r="454" ht="15" customHeight="1" s="28">
      <c r="A454" s="181" t="n">
        <v>1776949202</v>
      </c>
      <c r="B454" s="181" t="inlineStr">
        <is>
          <t>XAUUSD</t>
        </is>
      </c>
      <c r="C454" s="181" t="inlineStr">
        <is>
          <t>M15</t>
        </is>
      </c>
      <c r="D454" s="181" t="n">
        <v>4725.95</v>
      </c>
      <c r="E454" s="181" t="n">
        <v>4696.41308</v>
      </c>
      <c r="F454" s="181" t="n">
        <v>4734.05049</v>
      </c>
      <c r="G454" s="181" t="n">
        <v>4733.11024</v>
      </c>
      <c r="H454" s="181" t="n">
        <v>0</v>
      </c>
      <c r="I454" s="181" t="n">
        <v>452</v>
      </c>
      <c r="J454" s="181" t="n">
        <v>10.4775</v>
      </c>
      <c r="K454" s="181" t="n">
        <v>29.5369</v>
      </c>
    </row>
    <row r="455" ht="15" customHeight="1" s="28">
      <c r="A455" s="182" t="n">
        <v>1776950102</v>
      </c>
      <c r="B455" s="182" t="inlineStr">
        <is>
          <t>XAUUSD</t>
        </is>
      </c>
      <c r="C455" s="182" t="inlineStr">
        <is>
          <t>M15</t>
        </is>
      </c>
      <c r="D455" s="182" t="n">
        <v>4727.53</v>
      </c>
      <c r="E455" s="182" t="n">
        <v>4696.14547</v>
      </c>
      <c r="F455" s="182" t="n">
        <v>4732.42029</v>
      </c>
      <c r="G455" s="182" t="n">
        <v>4732.76526</v>
      </c>
      <c r="H455" s="182" t="n">
        <v>1</v>
      </c>
      <c r="I455" s="182" t="n">
        <v>453</v>
      </c>
      <c r="J455" s="182" t="n">
        <v>12.3114</v>
      </c>
      <c r="K455" s="182" t="n">
        <v>31.3845</v>
      </c>
    </row>
    <row r="456" ht="15" customHeight="1" s="28">
      <c r="A456" s="181" t="n">
        <v>1776951002</v>
      </c>
      <c r="B456" s="181" t="inlineStr">
        <is>
          <t>XAUUSD</t>
        </is>
      </c>
      <c r="C456" s="181" t="inlineStr">
        <is>
          <t>M15</t>
        </is>
      </c>
      <c r="D456" s="181" t="n">
        <v>4734.55</v>
      </c>
      <c r="E456" s="181" t="n">
        <v>4695.87787</v>
      </c>
      <c r="F456" s="181" t="n">
        <v>4730.54749</v>
      </c>
      <c r="G456" s="181" t="n">
        <v>4731.65638</v>
      </c>
      <c r="H456" s="181" t="n">
        <v>0</v>
      </c>
      <c r="I456" s="181" t="n">
        <v>454</v>
      </c>
      <c r="J456" s="181" t="n">
        <v>19.5853</v>
      </c>
      <c r="K456" s="181" t="n">
        <v>38.6721</v>
      </c>
    </row>
    <row r="457" ht="15" customHeight="1" s="28">
      <c r="A457" s="182" t="n">
        <v>1776951902</v>
      </c>
      <c r="B457" s="182" t="inlineStr">
        <is>
          <t>XAUUSD</t>
        </is>
      </c>
      <c r="C457" s="182" t="inlineStr">
        <is>
          <t>M15</t>
        </is>
      </c>
      <c r="D457" s="182" t="n">
        <v>4724.46</v>
      </c>
      <c r="E457" s="182" t="n">
        <v>4695.61027</v>
      </c>
      <c r="F457" s="182" t="n">
        <v>4728.79684</v>
      </c>
      <c r="G457" s="182" t="n">
        <v>4730.22661</v>
      </c>
      <c r="H457" s="182" t="n">
        <v>0</v>
      </c>
      <c r="I457" s="182" t="n">
        <v>455</v>
      </c>
      <c r="J457" s="182" t="n">
        <v>9.7492</v>
      </c>
      <c r="K457" s="182" t="n">
        <v>28.8497</v>
      </c>
    </row>
    <row r="458" ht="15" customHeight="1" s="28">
      <c r="A458" s="181" t="n">
        <v>1776952802</v>
      </c>
      <c r="B458" s="181" t="inlineStr">
        <is>
          <t>XAUUSD</t>
        </is>
      </c>
      <c r="C458" s="181" t="inlineStr">
        <is>
          <t>M15</t>
        </is>
      </c>
      <c r="D458" s="181" t="n">
        <v>4724.31</v>
      </c>
      <c r="E458" s="181" t="n">
        <v>4695.34266</v>
      </c>
      <c r="F458" s="181" t="n">
        <v>4727.84824</v>
      </c>
      <c r="G458" s="181" t="n">
        <v>4729.03742</v>
      </c>
      <c r="H458" s="181" t="n">
        <v>0</v>
      </c>
      <c r="I458" s="181" t="n">
        <v>456</v>
      </c>
      <c r="J458" s="181" t="n">
        <v>9.8531</v>
      </c>
      <c r="K458" s="181" t="n">
        <v>28.9673</v>
      </c>
    </row>
    <row r="459" ht="15" customHeight="1" s="28">
      <c r="A459" s="182" t="n">
        <v>1776953702</v>
      </c>
      <c r="B459" s="182" t="inlineStr">
        <is>
          <t>XAUUSD</t>
        </is>
      </c>
      <c r="C459" s="182" t="inlineStr">
        <is>
          <t>M15</t>
        </is>
      </c>
      <c r="D459" s="182" t="n">
        <v>4731.54</v>
      </c>
      <c r="E459" s="182" t="n">
        <v>4695.07506</v>
      </c>
      <c r="F459" s="182" t="n">
        <v>4727.84825</v>
      </c>
      <c r="G459" s="182" t="n">
        <v>4728.44283</v>
      </c>
      <c r="H459" s="182" t="n">
        <v>0</v>
      </c>
      <c r="I459" s="182" t="n">
        <v>457</v>
      </c>
      <c r="J459" s="182" t="n">
        <v>17.337</v>
      </c>
      <c r="K459" s="182" t="n">
        <v>36.4649</v>
      </c>
    </row>
    <row r="460" ht="15" customHeight="1" s="28">
      <c r="A460" s="181" t="n">
        <v>1776954602</v>
      </c>
      <c r="B460" s="181" t="inlineStr">
        <is>
          <t>XAUUSD</t>
        </is>
      </c>
      <c r="C460" s="181" t="inlineStr">
        <is>
          <t>M15</t>
        </is>
      </c>
      <c r="D460" s="181" t="n">
        <v>4730.97</v>
      </c>
      <c r="E460" s="181" t="n">
        <v>4694.80745</v>
      </c>
      <c r="F460" s="181" t="n">
        <v>4728.48977</v>
      </c>
      <c r="G460" s="181" t="n">
        <v>4728.4663</v>
      </c>
      <c r="H460" s="181" t="n">
        <v>1</v>
      </c>
      <c r="I460" s="181" t="n">
        <v>458</v>
      </c>
      <c r="J460" s="181" t="n">
        <v>17.0209</v>
      </c>
      <c r="K460" s="181" t="n">
        <v>36.1626</v>
      </c>
    </row>
    <row r="461" ht="15" customHeight="1" s="28">
      <c r="A461" s="182" t="n">
        <v>1776955502</v>
      </c>
      <c r="B461" s="182" t="inlineStr">
        <is>
          <t>XAUUSD</t>
        </is>
      </c>
      <c r="C461" s="182" t="inlineStr">
        <is>
          <t>M15</t>
        </is>
      </c>
      <c r="D461" s="182" t="n">
        <v>4733.72</v>
      </c>
      <c r="E461" s="182" t="n">
        <v>4694.53985</v>
      </c>
      <c r="F461" s="182" t="n">
        <v>4729.49372</v>
      </c>
      <c r="G461" s="182" t="n">
        <v>4728.98001</v>
      </c>
      <c r="H461" s="182" t="n">
        <v>0</v>
      </c>
      <c r="I461" s="182" t="n">
        <v>459</v>
      </c>
      <c r="J461" s="182" t="n">
        <v>20.0248</v>
      </c>
      <c r="K461" s="182" t="n">
        <v>39.1802</v>
      </c>
    </row>
    <row r="462" ht="15" customHeight="1" s="28">
      <c r="A462" s="181" t="n">
        <v>1776956402</v>
      </c>
      <c r="B462" s="181" t="inlineStr">
        <is>
          <t>XAUUSD</t>
        </is>
      </c>
      <c r="C462" s="181" t="inlineStr">
        <is>
          <t>M15</t>
        </is>
      </c>
      <c r="D462" s="181" t="n">
        <v>4730.76</v>
      </c>
      <c r="E462" s="181" t="n">
        <v>4694.27225</v>
      </c>
      <c r="F462" s="181" t="n">
        <v>4730.38769</v>
      </c>
      <c r="G462" s="181" t="n">
        <v>4729.68385</v>
      </c>
      <c r="H462" s="181" t="n">
        <v>0</v>
      </c>
      <c r="I462" s="181" t="n">
        <v>460</v>
      </c>
      <c r="J462" s="181" t="n">
        <v>17.3187</v>
      </c>
      <c r="K462" s="181" t="n">
        <v>36.4878</v>
      </c>
    </row>
    <row r="463" ht="15" customHeight="1" s="28">
      <c r="A463" s="182" t="n">
        <v>1776957302</v>
      </c>
      <c r="B463" s="182" t="inlineStr">
        <is>
          <t>XAUUSD</t>
        </is>
      </c>
      <c r="C463" s="182" t="inlineStr">
        <is>
          <t>M15</t>
        </is>
      </c>
      <c r="D463" s="182" t="n">
        <v>4733.6</v>
      </c>
      <c r="E463" s="182" t="n">
        <v>4694.00464</v>
      </c>
      <c r="F463" s="182" t="n">
        <v>4730.83101</v>
      </c>
      <c r="G463" s="182" t="n">
        <v>4730.25743</v>
      </c>
      <c r="H463" s="182" t="n">
        <v>0</v>
      </c>
      <c r="I463" s="182" t="n">
        <v>461</v>
      </c>
      <c r="J463" s="182" t="n">
        <v>20.4125</v>
      </c>
      <c r="K463" s="182" t="n">
        <v>39.5954</v>
      </c>
    </row>
    <row r="464" ht="15" customHeight="1" s="28">
      <c r="A464" s="181" t="n">
        <v>1776958202</v>
      </c>
      <c r="B464" s="181" t="inlineStr">
        <is>
          <t>XAUUSD</t>
        </is>
      </c>
      <c r="C464" s="181" t="inlineStr">
        <is>
          <t>M15</t>
        </is>
      </c>
      <c r="D464" s="181" t="n">
        <v>4728.34</v>
      </c>
      <c r="E464" s="181" t="n">
        <v>4693.73704</v>
      </c>
      <c r="F464" s="181" t="n">
        <v>4730.42014</v>
      </c>
      <c r="G464" s="181" t="n">
        <v>4730.33878</v>
      </c>
      <c r="H464" s="181" t="n">
        <v>0</v>
      </c>
      <c r="I464" s="181" t="n">
        <v>462</v>
      </c>
      <c r="J464" s="181" t="n">
        <v>15.4064</v>
      </c>
      <c r="K464" s="181" t="n">
        <v>34.603</v>
      </c>
    </row>
    <row r="465" ht="15" customHeight="1" s="28">
      <c r="A465" s="182" t="n">
        <v>1776959102</v>
      </c>
      <c r="B465" s="182" t="inlineStr">
        <is>
          <t>XAUUSD</t>
        </is>
      </c>
      <c r="C465" s="182" t="inlineStr">
        <is>
          <t>M15</t>
        </is>
      </c>
      <c r="D465" s="182" t="n">
        <v>4720.42</v>
      </c>
      <c r="E465" s="182" t="n">
        <v>4693.46943</v>
      </c>
      <c r="F465" s="182" t="n">
        <v>4729.11984</v>
      </c>
      <c r="G465" s="182" t="n">
        <v>4729.72931</v>
      </c>
      <c r="H465" s="182" t="n">
        <v>1</v>
      </c>
      <c r="I465" s="182" t="n">
        <v>463</v>
      </c>
      <c r="J465" s="182" t="n">
        <v>7.7403</v>
      </c>
      <c r="K465" s="182" t="n">
        <v>26.9506</v>
      </c>
    </row>
    <row r="466" ht="15" customHeight="1" s="28">
      <c r="A466" s="181" t="n">
        <v>1776960002</v>
      </c>
      <c r="B466" s="181" t="inlineStr">
        <is>
          <t>XAUUSD</t>
        </is>
      </c>
      <c r="C466" s="181" t="inlineStr">
        <is>
          <t>M15</t>
        </is>
      </c>
      <c r="D466" s="181" t="n">
        <v>4719.39</v>
      </c>
      <c r="E466" s="181" t="n">
        <v>4693.20183</v>
      </c>
      <c r="F466" s="181" t="n">
        <v>4727.11757</v>
      </c>
      <c r="G466" s="181" t="n">
        <v>4728.42344</v>
      </c>
      <c r="H466" s="181" t="n">
        <v>0</v>
      </c>
      <c r="I466" s="181" t="n">
        <v>464</v>
      </c>
      <c r="J466" s="181" t="n">
        <v>6.9642</v>
      </c>
      <c r="K466" s="181" t="n">
        <v>26.1882</v>
      </c>
    </row>
    <row r="467" ht="15" customHeight="1" s="28">
      <c r="A467" s="182" t="n">
        <v>1776960902</v>
      </c>
      <c r="B467" s="182" t="inlineStr">
        <is>
          <t>XAUUSD</t>
        </is>
      </c>
      <c r="C467" s="182" t="inlineStr">
        <is>
          <t>M15</t>
        </is>
      </c>
      <c r="D467" s="182" t="n">
        <v>4723.22</v>
      </c>
      <c r="E467" s="182" t="n">
        <v>4692.93423</v>
      </c>
      <c r="F467" s="182" t="n">
        <v>4724.55839</v>
      </c>
      <c r="G467" s="182" t="n">
        <v>4726.49091</v>
      </c>
      <c r="H467" s="182" t="n">
        <v>0</v>
      </c>
      <c r="I467" s="182" t="n">
        <v>465</v>
      </c>
      <c r="J467" s="182" t="n">
        <v>11.0481</v>
      </c>
      <c r="K467" s="182" t="n">
        <v>30.2858</v>
      </c>
    </row>
    <row r="468" ht="15" customHeight="1" s="28">
      <c r="A468" s="181" t="n">
        <v>1776961802</v>
      </c>
      <c r="B468" s="181" t="inlineStr">
        <is>
          <t>XAUUSD</t>
        </is>
      </c>
      <c r="C468" s="181" t="inlineStr">
        <is>
          <t>M15</t>
        </is>
      </c>
      <c r="D468" s="181" t="n">
        <v>4734.05</v>
      </c>
      <c r="E468" s="181" t="n">
        <v>4692.66662</v>
      </c>
      <c r="F468" s="181" t="n">
        <v>4721.48715</v>
      </c>
      <c r="G468" s="181" t="n">
        <v>4723.98903</v>
      </c>
      <c r="H468" s="181" t="n">
        <v>0</v>
      </c>
      <c r="I468" s="181" t="n">
        <v>466</v>
      </c>
      <c r="J468" s="181" t="n">
        <v>22.132</v>
      </c>
      <c r="K468" s="181" t="n">
        <v>41.3834</v>
      </c>
    </row>
    <row r="469" ht="15" customHeight="1" s="28">
      <c r="A469" s="182" t="n">
        <v>1776962702</v>
      </c>
      <c r="B469" s="182" t="inlineStr">
        <is>
          <t>XAUUSD</t>
        </is>
      </c>
      <c r="C469" s="182" t="inlineStr">
        <is>
          <t>M15</t>
        </is>
      </c>
      <c r="D469" s="182" t="n">
        <v>4733.09</v>
      </c>
      <c r="E469" s="182" t="n">
        <v>4692.39902</v>
      </c>
      <c r="F469" s="182" t="n">
        <v>4717.83008</v>
      </c>
      <c r="G469" s="182" t="n">
        <v>4720.90956</v>
      </c>
      <c r="H469" s="182" t="n">
        <v>0</v>
      </c>
      <c r="I469" s="182" t="n">
        <v>467</v>
      </c>
      <c r="J469" s="182" t="n">
        <v>21.4259</v>
      </c>
      <c r="K469" s="182" t="n">
        <v>40.691</v>
      </c>
    </row>
    <row r="470" ht="15" customHeight="1" s="28">
      <c r="A470" s="181" t="n">
        <v>1776963602</v>
      </c>
      <c r="B470" s="181" t="inlineStr">
        <is>
          <t>XAUUSD</t>
        </is>
      </c>
      <c r="C470" s="181" t="inlineStr">
        <is>
          <t>M15</t>
        </is>
      </c>
      <c r="D470" s="181" t="n">
        <v>4716.04</v>
      </c>
      <c r="E470" s="181" t="n">
        <v>4692.13141</v>
      </c>
      <c r="F470" s="181" t="n">
        <v>4713.91308</v>
      </c>
      <c r="G470" s="181" t="n">
        <v>4717.41132</v>
      </c>
      <c r="H470" s="181" t="n">
        <v>0</v>
      </c>
      <c r="I470" s="181" t="n">
        <v>468</v>
      </c>
      <c r="J470" s="181" t="n">
        <v>4.6298</v>
      </c>
      <c r="K470" s="181" t="n">
        <v>23.9086</v>
      </c>
    </row>
    <row r="471" ht="15" customHeight="1" s="28">
      <c r="A471" s="182" t="n">
        <v>1776964502</v>
      </c>
      <c r="B471" s="182" t="inlineStr">
        <is>
          <t>XAUUSD</t>
        </is>
      </c>
      <c r="C471" s="182" t="inlineStr">
        <is>
          <t>M15</t>
        </is>
      </c>
      <c r="D471" s="182" t="n">
        <v>4706.47</v>
      </c>
      <c r="E471" s="182" t="n">
        <v>4691.86381</v>
      </c>
      <c r="F471" s="182" t="n">
        <v>4710.49937</v>
      </c>
      <c r="G471" s="182" t="n">
        <v>4713.95534</v>
      </c>
      <c r="H471" s="182" t="n">
        <v>0</v>
      </c>
      <c r="I471" s="182" t="n">
        <v>469</v>
      </c>
      <c r="J471" s="182" t="n">
        <v>-4.6863</v>
      </c>
      <c r="K471" s="182" t="n">
        <v>14.6062</v>
      </c>
    </row>
    <row r="472" ht="15" customHeight="1" s="28">
      <c r="A472" s="181" t="n">
        <v>1776965402</v>
      </c>
      <c r="B472" s="181" t="inlineStr">
        <is>
          <t>XAUUSD</t>
        </is>
      </c>
      <c r="C472" s="181" t="inlineStr">
        <is>
          <t>M15</t>
        </is>
      </c>
      <c r="D472" s="181" t="n">
        <v>4677.41</v>
      </c>
      <c r="E472" s="181" t="n">
        <v>4691.59621</v>
      </c>
      <c r="F472" s="181" t="n">
        <v>4708.00685</v>
      </c>
      <c r="G472" s="181" t="n">
        <v>4710.9811</v>
      </c>
      <c r="H472" s="181" t="n">
        <v>0</v>
      </c>
      <c r="I472" s="181" t="n">
        <v>470</v>
      </c>
      <c r="J472" s="181" t="n">
        <v>-33.4924</v>
      </c>
      <c r="K472" s="181" t="n">
        <v>-14.1862</v>
      </c>
    </row>
    <row r="473" ht="15" customHeight="1" s="28">
      <c r="A473" s="182" t="n">
        <v>1776966302</v>
      </c>
      <c r="B473" s="182" t="inlineStr">
        <is>
          <t>XAUUSD</t>
        </is>
      </c>
      <c r="C473" s="182" t="inlineStr">
        <is>
          <t>M15</t>
        </is>
      </c>
      <c r="D473" s="182" t="n">
        <v>4709.41</v>
      </c>
      <c r="E473" s="182" t="n">
        <v>4691.3286</v>
      </c>
      <c r="F473" s="182" t="n">
        <v>4707.16947</v>
      </c>
      <c r="G473" s="182" t="n">
        <v>4709.07528</v>
      </c>
      <c r="H473" s="182" t="n">
        <v>0</v>
      </c>
      <c r="I473" s="182" t="n">
        <v>471</v>
      </c>
      <c r="J473" s="182" t="n">
        <v>-1.2385</v>
      </c>
      <c r="K473" s="182" t="n">
        <v>18.0814</v>
      </c>
    </row>
    <row r="474" ht="15" customHeight="1" s="28">
      <c r="A474" s="181" t="n">
        <v>1776967202</v>
      </c>
      <c r="B474" s="181" t="inlineStr">
        <is>
          <t>XAUUSD</t>
        </is>
      </c>
      <c r="C474" s="181" t="inlineStr">
        <is>
          <t>M15</t>
        </is>
      </c>
      <c r="D474" s="181" t="n">
        <v>4713.84</v>
      </c>
      <c r="E474" s="181" t="n">
        <v>4691.061</v>
      </c>
      <c r="F474" s="181" t="n">
        <v>4706.76473</v>
      </c>
      <c r="G474" s="181" t="n">
        <v>4707.92001</v>
      </c>
      <c r="H474" s="181" t="n">
        <v>0</v>
      </c>
      <c r="I474" s="181" t="n">
        <v>472</v>
      </c>
      <c r="J474" s="181" t="n">
        <v>3.4454</v>
      </c>
      <c r="K474" s="181" t="n">
        <v>22.779</v>
      </c>
    </row>
    <row r="475" ht="15" customHeight="1" s="28">
      <c r="A475" s="182" t="n">
        <v>1776968102</v>
      </c>
      <c r="B475" s="182" t="inlineStr">
        <is>
          <t>XAUUSD</t>
        </is>
      </c>
      <c r="C475" s="182" t="inlineStr">
        <is>
          <t>M15</t>
        </is>
      </c>
      <c r="D475" s="182" t="n">
        <v>4716.58</v>
      </c>
      <c r="E475" s="182" t="n">
        <v>4690.79339</v>
      </c>
      <c r="F475" s="182" t="n">
        <v>4706.18904</v>
      </c>
      <c r="G475" s="182" t="n">
        <v>4707.05452</v>
      </c>
      <c r="H475" s="182" t="n">
        <v>0</v>
      </c>
      <c r="I475" s="182" t="n">
        <v>473</v>
      </c>
      <c r="J475" s="182" t="n">
        <v>6.4393</v>
      </c>
      <c r="K475" s="182" t="n">
        <v>25.7866</v>
      </c>
    </row>
    <row r="476" ht="15" customHeight="1" s="28">
      <c r="A476" s="181" t="n">
        <v>1776969002</v>
      </c>
      <c r="B476" s="181" t="inlineStr">
        <is>
          <t>XAUUSD</t>
        </is>
      </c>
      <c r="C476" s="181" t="inlineStr">
        <is>
          <t>M15</t>
        </is>
      </c>
      <c r="D476" s="181" t="n">
        <v>4711.31</v>
      </c>
      <c r="E476" s="181" t="n">
        <v>4690.52579</v>
      </c>
      <c r="F476" s="181" t="n">
        <v>4704.98929</v>
      </c>
      <c r="G476" s="181" t="n">
        <v>4706.02191</v>
      </c>
      <c r="H476" s="181" t="n">
        <v>0</v>
      </c>
      <c r="I476" s="181" t="n">
        <v>474</v>
      </c>
      <c r="J476" s="181" t="n">
        <v>1.4232</v>
      </c>
      <c r="K476" s="181" t="n">
        <v>20.7842</v>
      </c>
    </row>
    <row r="477" ht="15" customHeight="1" s="28">
      <c r="A477" s="182" t="n">
        <v>1776969902</v>
      </c>
      <c r="B477" s="182" t="inlineStr">
        <is>
          <t>XAUUSD</t>
        </is>
      </c>
      <c r="C477" s="182" t="inlineStr">
        <is>
          <t>M15</t>
        </is>
      </c>
      <c r="D477" s="182" t="n">
        <v>4700.9</v>
      </c>
      <c r="E477" s="182" t="n">
        <v>4690.25818</v>
      </c>
      <c r="F477" s="182" t="n">
        <v>4703.1365</v>
      </c>
      <c r="G477" s="182" t="n">
        <v>4704.5792</v>
      </c>
      <c r="H477" s="182" t="n">
        <v>0</v>
      </c>
      <c r="I477" s="182" t="n">
        <v>475</v>
      </c>
      <c r="J477" s="182" t="n">
        <v>-8.732900000000001</v>
      </c>
      <c r="K477" s="182" t="n">
        <v>10.6418</v>
      </c>
    </row>
    <row r="478" ht="15" customHeight="1" s="28">
      <c r="A478" s="181" t="n">
        <v>1776970802</v>
      </c>
      <c r="B478" s="181" t="inlineStr">
        <is>
          <t>XAUUSD</t>
        </is>
      </c>
      <c r="C478" s="181" t="inlineStr">
        <is>
          <t>M15</t>
        </is>
      </c>
      <c r="D478" s="181" t="n">
        <v>4696.41</v>
      </c>
      <c r="E478" s="181" t="n">
        <v>4689.99058</v>
      </c>
      <c r="F478" s="181" t="n">
        <v>4700.92894</v>
      </c>
      <c r="G478" s="181" t="n">
        <v>4702.75407</v>
      </c>
      <c r="H478" s="181" t="n">
        <v>0</v>
      </c>
      <c r="I478" s="181" t="n">
        <v>476</v>
      </c>
      <c r="J478" s="181" t="n">
        <v>-12.969</v>
      </c>
      <c r="K478" s="181" t="n">
        <v>6.4194</v>
      </c>
    </row>
    <row r="479" ht="15" customHeight="1" s="28">
      <c r="A479" s="182" t="n">
        <v>1776971702</v>
      </c>
      <c r="B479" s="182" t="inlineStr">
        <is>
          <t>XAUUSD</t>
        </is>
      </c>
      <c r="C479" s="182" t="inlineStr">
        <is>
          <t>M15</t>
        </is>
      </c>
      <c r="D479" s="182" t="n">
        <v>4700.16</v>
      </c>
      <c r="E479" s="182" t="n">
        <v>4689.72298</v>
      </c>
      <c r="F479" s="182" t="n">
        <v>4698.63754</v>
      </c>
      <c r="G479" s="182" t="n">
        <v>4700.6958</v>
      </c>
      <c r="H479" s="182" t="n">
        <v>0</v>
      </c>
      <c r="I479" s="182" t="n">
        <v>477</v>
      </c>
      <c r="J479" s="182" t="n">
        <v>-8.9651</v>
      </c>
      <c r="K479" s="182" t="n">
        <v>10.437</v>
      </c>
    </row>
    <row r="480" ht="15" customHeight="1" s="28">
      <c r="A480" s="181" t="n">
        <v>1776972602</v>
      </c>
      <c r="B480" s="181" t="inlineStr">
        <is>
          <t>XAUUSD</t>
        </is>
      </c>
      <c r="C480" s="181" t="inlineStr">
        <is>
          <t>M15</t>
        </is>
      </c>
      <c r="D480" s="181" t="n">
        <v>4692.49</v>
      </c>
      <c r="E480" s="181" t="n">
        <v>4689.45537</v>
      </c>
      <c r="F480" s="181" t="n">
        <v>4696.35325</v>
      </c>
      <c r="G480" s="181" t="n">
        <v>4698.52453</v>
      </c>
      <c r="H480" s="181" t="n">
        <v>0</v>
      </c>
      <c r="I480" s="181" t="n">
        <v>478</v>
      </c>
      <c r="J480" s="181" t="n">
        <v>-16.3812</v>
      </c>
      <c r="K480" s="181" t="n">
        <v>3.0346</v>
      </c>
    </row>
    <row r="481" ht="15" customHeight="1" s="28">
      <c r="A481" s="182" t="n">
        <v>1776973502</v>
      </c>
      <c r="B481" s="182" t="inlineStr">
        <is>
          <t>XAUUSD</t>
        </is>
      </c>
      <c r="C481" s="182" t="inlineStr">
        <is>
          <t>M15</t>
        </is>
      </c>
      <c r="D481" s="182" t="n">
        <v>4696.1</v>
      </c>
      <c r="E481" s="182" t="n">
        <v>4689.18777</v>
      </c>
      <c r="F481" s="182" t="n">
        <v>4694.4819</v>
      </c>
      <c r="G481" s="182" t="n">
        <v>4696.50321</v>
      </c>
      <c r="H481" s="182" t="n">
        <v>0</v>
      </c>
      <c r="I481" s="182" t="n">
        <v>479</v>
      </c>
      <c r="J481" s="182" t="n">
        <v>-12.5173</v>
      </c>
      <c r="K481" s="182" t="n">
        <v>6.9122</v>
      </c>
    </row>
    <row r="482" ht="15" customHeight="1" s="28">
      <c r="A482" s="181" t="n">
        <v>1776974402</v>
      </c>
      <c r="B482" s="181" t="inlineStr">
        <is>
          <t>XAUUSD</t>
        </is>
      </c>
      <c r="C482" s="181" t="inlineStr">
        <is>
          <t>M15</t>
        </is>
      </c>
      <c r="D482" s="181" t="n">
        <v>4690.84</v>
      </c>
      <c r="E482" s="181" t="n">
        <v>4688.92016</v>
      </c>
      <c r="F482" s="181" t="n">
        <v>4693.07108</v>
      </c>
      <c r="G482" s="181" t="n">
        <v>4694.78715</v>
      </c>
      <c r="H482" s="181" t="n">
        <v>0</v>
      </c>
      <c r="I482" s="181" t="n">
        <v>480</v>
      </c>
      <c r="J482" s="181" t="n">
        <v>-17.5234</v>
      </c>
      <c r="K482" s="181" t="n">
        <v>1.9198</v>
      </c>
    </row>
    <row r="483" ht="15" customHeight="1" s="28">
      <c r="A483" s="182" t="n">
        <v>1776975302</v>
      </c>
      <c r="B483" s="182" t="inlineStr">
        <is>
          <t>XAUUSD</t>
        </is>
      </c>
      <c r="C483" s="182" t="inlineStr">
        <is>
          <t>M15</t>
        </is>
      </c>
      <c r="D483" s="182" t="n">
        <v>4689.41</v>
      </c>
      <c r="E483" s="182" t="n">
        <v>4688.65256</v>
      </c>
      <c r="F483" s="182" t="n">
        <v>4692.26685</v>
      </c>
      <c r="G483" s="182" t="n">
        <v>4693.527</v>
      </c>
      <c r="H483" s="182" t="n">
        <v>0</v>
      </c>
      <c r="I483" s="182" t="n">
        <v>481</v>
      </c>
      <c r="J483" s="182" t="n">
        <v>-18.6995</v>
      </c>
      <c r="K483" s="182" t="n">
        <v>0.7574</v>
      </c>
    </row>
    <row r="484" ht="15" customHeight="1" s="28">
      <c r="A484" s="181" t="n">
        <v>1776976202</v>
      </c>
      <c r="B484" s="181" t="inlineStr">
        <is>
          <t>XAUUSD</t>
        </is>
      </c>
      <c r="C484" s="181" t="inlineStr">
        <is>
          <t>M15</t>
        </is>
      </c>
      <c r="D484" s="181" t="n">
        <v>4691.39</v>
      </c>
      <c r="E484" s="181" t="n">
        <v>4688.38496</v>
      </c>
      <c r="F484" s="181" t="n">
        <v>4692.0237</v>
      </c>
      <c r="G484" s="181" t="n">
        <v>4692.77535</v>
      </c>
      <c r="H484" s="181" t="n">
        <v>0</v>
      </c>
      <c r="I484" s="181" t="n">
        <v>482</v>
      </c>
      <c r="J484" s="181" t="n">
        <v>-16.4656</v>
      </c>
      <c r="K484" s="181" t="n">
        <v>3.005</v>
      </c>
    </row>
    <row r="485" ht="15" customHeight="1" s="28">
      <c r="A485" s="182" t="n">
        <v>1776977102</v>
      </c>
      <c r="B485" s="182" t="inlineStr">
        <is>
          <t>XAUUSD</t>
        </is>
      </c>
      <c r="C485" s="182" t="inlineStr">
        <is>
          <t>M15</t>
        </is>
      </c>
      <c r="D485" s="182" t="n">
        <v>4694.41</v>
      </c>
      <c r="E485" s="182" t="n">
        <v>4688.11735</v>
      </c>
      <c r="F485" s="182" t="n">
        <v>4692.16896</v>
      </c>
      <c r="G485" s="182" t="n">
        <v>4692.47215</v>
      </c>
      <c r="H485" s="182" t="n">
        <v>0</v>
      </c>
      <c r="I485" s="182" t="n">
        <v>483</v>
      </c>
      <c r="J485" s="182" t="n">
        <v>-13.1918</v>
      </c>
      <c r="K485" s="182" t="n">
        <v>6.2926</v>
      </c>
    </row>
    <row r="486" ht="15" customHeight="1" s="28">
      <c r="A486" s="181" t="n">
        <v>1776981602</v>
      </c>
      <c r="B486" s="181" t="inlineStr">
        <is>
          <t>XAUUSD</t>
        </is>
      </c>
      <c r="C486" s="181" t="inlineStr">
        <is>
          <t>M15</t>
        </is>
      </c>
      <c r="D486" s="181" t="n">
        <v>4697.43</v>
      </c>
      <c r="E486" s="181" t="n">
        <v>4687.84975</v>
      </c>
      <c r="F486" s="181" t="n">
        <v>4692.45104</v>
      </c>
      <c r="G486" s="181" t="n">
        <v>4692.4616</v>
      </c>
      <c r="H486" s="181" t="n">
        <v>0</v>
      </c>
      <c r="I486" s="181" t="n">
        <v>484</v>
      </c>
      <c r="J486" s="181" t="n">
        <v>-9.917899999999999</v>
      </c>
      <c r="K486" s="181" t="n">
        <v>9.5802</v>
      </c>
    </row>
    <row r="487" ht="15" customHeight="1" s="28">
      <c r="A487" s="182" t="n">
        <v>1776982502</v>
      </c>
      <c r="B487" s="182" t="inlineStr">
        <is>
          <t>XAUUSD</t>
        </is>
      </c>
      <c r="C487" s="182" t="inlineStr">
        <is>
          <t>M15</t>
        </is>
      </c>
      <c r="D487" s="182" t="n">
        <v>4692.9</v>
      </c>
      <c r="E487" s="182" t="n">
        <v>4687.58214</v>
      </c>
      <c r="F487" s="182" t="n">
        <v>4692.65681</v>
      </c>
      <c r="G487" s="182" t="n">
        <v>4692.5592</v>
      </c>
      <c r="H487" s="182" t="n">
        <v>1</v>
      </c>
      <c r="I487" s="182" t="n">
        <v>485</v>
      </c>
      <c r="J487" s="182" t="n">
        <v>-14.194</v>
      </c>
      <c r="K487" s="182" t="n">
        <v>5.3179</v>
      </c>
    </row>
    <row r="488" ht="15" customHeight="1" s="28">
      <c r="A488" s="181" t="n">
        <v>1776983402</v>
      </c>
      <c r="B488" s="181" t="inlineStr">
        <is>
          <t>XAUUSD</t>
        </is>
      </c>
      <c r="C488" s="181" t="inlineStr">
        <is>
          <t>M15</t>
        </is>
      </c>
      <c r="D488" s="181" t="n">
        <v>4693.76</v>
      </c>
      <c r="E488" s="181" t="n">
        <v>4687.31454</v>
      </c>
      <c r="F488" s="181" t="n">
        <v>4692.91092</v>
      </c>
      <c r="G488" s="181" t="n">
        <v>4692.73506</v>
      </c>
      <c r="H488" s="181" t="n">
        <v>0</v>
      </c>
      <c r="I488" s="181" t="n">
        <v>486</v>
      </c>
      <c r="J488" s="181" t="n">
        <v>-13.0801</v>
      </c>
      <c r="K488" s="181" t="n">
        <v>6.4455</v>
      </c>
    </row>
    <row r="489" ht="15" customHeight="1" s="28">
      <c r="A489" s="182" t="n">
        <v>1776984302</v>
      </c>
      <c r="B489" s="182" t="inlineStr">
        <is>
          <t>XAUUSD</t>
        </is>
      </c>
      <c r="C489" s="182" t="inlineStr">
        <is>
          <t>M15</t>
        </is>
      </c>
      <c r="D489" s="182" t="n">
        <v>4693.35</v>
      </c>
      <c r="E489" s="182" t="n">
        <v>4687.04694</v>
      </c>
      <c r="F489" s="182" t="n">
        <v>4693.27683</v>
      </c>
      <c r="G489" s="182" t="n">
        <v>4693.00594</v>
      </c>
      <c r="H489" s="182" t="n">
        <v>0</v>
      </c>
      <c r="I489" s="182" t="n">
        <v>487</v>
      </c>
      <c r="J489" s="182" t="n">
        <v>-13.2362</v>
      </c>
      <c r="K489" s="182" t="n">
        <v>6.3031</v>
      </c>
    </row>
    <row r="490" ht="15" customHeight="1" s="28">
      <c r="A490" s="181" t="n">
        <v>1776985202</v>
      </c>
      <c r="B490" s="181" t="inlineStr">
        <is>
          <t>XAUUSD</t>
        </is>
      </c>
      <c r="C490" s="181" t="inlineStr">
        <is>
          <t>M15</t>
        </is>
      </c>
      <c r="D490" s="181" t="n">
        <v>4689.74</v>
      </c>
      <c r="E490" s="181" t="n">
        <v>4686.77933</v>
      </c>
      <c r="F490" s="181" t="n">
        <v>4693.89013</v>
      </c>
      <c r="G490" s="181" t="n">
        <v>4693.44804</v>
      </c>
      <c r="H490" s="181" t="n">
        <v>0</v>
      </c>
      <c r="I490" s="181" t="n">
        <v>488</v>
      </c>
      <c r="J490" s="181" t="n">
        <v>-16.5923</v>
      </c>
      <c r="K490" s="181" t="n">
        <v>2.9607</v>
      </c>
    </row>
    <row r="491" ht="15" customHeight="1" s="28">
      <c r="A491" s="182" t="n">
        <v>1776986102</v>
      </c>
      <c r="B491" s="182" t="inlineStr">
        <is>
          <t>XAUUSD</t>
        </is>
      </c>
      <c r="C491" s="182" t="inlineStr">
        <is>
          <t>M15</t>
        </is>
      </c>
      <c r="D491" s="182" t="n">
        <v>4694.54</v>
      </c>
      <c r="E491" s="182" t="n">
        <v>4686.51173</v>
      </c>
      <c r="F491" s="182" t="n">
        <v>4694.95497</v>
      </c>
      <c r="G491" s="182" t="n">
        <v>4694.20151</v>
      </c>
      <c r="H491" s="182" t="n">
        <v>0</v>
      </c>
      <c r="I491" s="182" t="n">
        <v>489</v>
      </c>
      <c r="J491" s="182" t="n">
        <v>-11.5384</v>
      </c>
      <c r="K491" s="182" t="n">
        <v>8.0283</v>
      </c>
    </row>
    <row r="492" ht="15" customHeight="1" s="28">
      <c r="A492" s="181" t="n">
        <v>1776987002</v>
      </c>
      <c r="B492" s="181" t="inlineStr">
        <is>
          <t>XAUUSD</t>
        </is>
      </c>
      <c r="C492" s="181" t="inlineStr">
        <is>
          <t>M15</t>
        </is>
      </c>
      <c r="D492" s="181" t="n">
        <v>4697.37</v>
      </c>
      <c r="E492" s="181" t="n">
        <v>4686.24412</v>
      </c>
      <c r="F492" s="181" t="n">
        <v>4696.38321</v>
      </c>
      <c r="G492" s="181" t="n">
        <v>4695.29236</v>
      </c>
      <c r="H492" s="181" t="n">
        <v>0</v>
      </c>
      <c r="I492" s="181" t="n">
        <v>490</v>
      </c>
      <c r="J492" s="181" t="n">
        <v>-8.454499999999999</v>
      </c>
      <c r="K492" s="181" t="n">
        <v>11.1259</v>
      </c>
    </row>
    <row r="493" ht="15" customHeight="1" s="28">
      <c r="A493" s="182" t="n">
        <v>1776987902</v>
      </c>
      <c r="B493" s="182" t="inlineStr">
        <is>
          <t>XAUUSD</t>
        </is>
      </c>
      <c r="C493" s="182" t="inlineStr">
        <is>
          <t>M15</t>
        </is>
      </c>
      <c r="D493" s="182" t="n">
        <v>4695.41</v>
      </c>
      <c r="E493" s="182" t="n">
        <v>4685.97652</v>
      </c>
      <c r="F493" s="182" t="n">
        <v>4698.05338</v>
      </c>
      <c r="G493" s="182" t="n">
        <v>4696.67287</v>
      </c>
      <c r="H493" s="182" t="n">
        <v>0</v>
      </c>
      <c r="I493" s="182" t="n">
        <v>491</v>
      </c>
      <c r="J493" s="182" t="n">
        <v>-10.1606</v>
      </c>
      <c r="K493" s="182" t="n">
        <v>9.4335</v>
      </c>
    </row>
    <row r="494" ht="15" customHeight="1" s="28">
      <c r="A494" s="181" t="n">
        <v>1776988802</v>
      </c>
      <c r="B494" s="181" t="inlineStr">
        <is>
          <t>XAUUSD</t>
        </is>
      </c>
      <c r="C494" s="181" t="inlineStr">
        <is>
          <t>M15</t>
        </is>
      </c>
      <c r="D494" s="181" t="n">
        <v>4698.34</v>
      </c>
      <c r="E494" s="181" t="n">
        <v>4685.70892</v>
      </c>
      <c r="F494" s="181" t="n">
        <v>4699.89612</v>
      </c>
      <c r="G494" s="181" t="n">
        <v>4698.28449</v>
      </c>
      <c r="H494" s="181" t="n">
        <v>0</v>
      </c>
      <c r="I494" s="181" t="n">
        <v>492</v>
      </c>
      <c r="J494" s="181" t="n">
        <v>-6.9767</v>
      </c>
      <c r="K494" s="181" t="n">
        <v>12.6311</v>
      </c>
    </row>
    <row r="495" ht="15" customHeight="1" s="28">
      <c r="A495" s="182" t="n">
        <v>1776989702</v>
      </c>
      <c r="B495" s="182" t="inlineStr">
        <is>
          <t>XAUUSD</t>
        </is>
      </c>
      <c r="C495" s="182" t="inlineStr">
        <is>
          <t>M15</t>
        </is>
      </c>
      <c r="D495" s="182" t="n">
        <v>4705.83</v>
      </c>
      <c r="E495" s="182" t="n">
        <v>4685.44131</v>
      </c>
      <c r="F495" s="182" t="n">
        <v>4701.65006</v>
      </c>
      <c r="G495" s="182" t="n">
        <v>4699.96728</v>
      </c>
      <c r="H495" s="182" t="n">
        <v>0</v>
      </c>
      <c r="I495" s="182" t="n">
        <v>493</v>
      </c>
      <c r="J495" s="182" t="n">
        <v>0.7672</v>
      </c>
      <c r="K495" s="182" t="n">
        <v>20.3887</v>
      </c>
    </row>
    <row r="496" ht="15" customHeight="1" s="28">
      <c r="A496" s="181" t="n">
        <v>1776990602</v>
      </c>
      <c r="B496" s="181" t="inlineStr">
        <is>
          <t>XAUUSD</t>
        </is>
      </c>
      <c r="C496" s="181" t="inlineStr">
        <is>
          <t>M15</t>
        </is>
      </c>
      <c r="D496" s="181" t="n">
        <v>4701.8</v>
      </c>
      <c r="E496" s="181" t="n">
        <v>4685.17371</v>
      </c>
      <c r="F496" s="181" t="n">
        <v>4702.87104</v>
      </c>
      <c r="G496" s="181" t="n">
        <v>4701.41916</v>
      </c>
      <c r="H496" s="181" t="n">
        <v>0</v>
      </c>
      <c r="I496" s="181" t="n">
        <v>494</v>
      </c>
      <c r="J496" s="181" t="n">
        <v>-3.0089</v>
      </c>
      <c r="K496" s="181" t="n">
        <v>16.6263</v>
      </c>
    </row>
    <row r="497" ht="15" customHeight="1" s="28">
      <c r="A497" s="182" t="n">
        <v>1776991502</v>
      </c>
      <c r="B497" s="182" t="inlineStr">
        <is>
          <t>XAUUSD</t>
        </is>
      </c>
      <c r="C497" s="182" t="inlineStr">
        <is>
          <t>M15</t>
        </is>
      </c>
      <c r="D497" s="182" t="n">
        <v>4704.71</v>
      </c>
      <c r="E497" s="182" t="n">
        <v>4684.9061</v>
      </c>
      <c r="F497" s="182" t="n">
        <v>4703.43896</v>
      </c>
      <c r="G497" s="182" t="n">
        <v>4702.42906</v>
      </c>
      <c r="H497" s="182" t="n">
        <v>0</v>
      </c>
      <c r="I497" s="182" t="n">
        <v>495</v>
      </c>
      <c r="J497" s="182" t="n">
        <v>0.155</v>
      </c>
      <c r="K497" s="182" t="n">
        <v>19.8039</v>
      </c>
    </row>
    <row r="498" ht="15" customHeight="1" s="28">
      <c r="A498" s="181" t="n">
        <v>1776992402</v>
      </c>
      <c r="B498" s="181" t="inlineStr">
        <is>
          <t>XAUUSD</t>
        </is>
      </c>
      <c r="C498" s="181" t="inlineStr">
        <is>
          <t>M15</t>
        </is>
      </c>
      <c r="D498" s="181" t="n">
        <v>4709.47</v>
      </c>
      <c r="E498" s="181" t="n">
        <v>4684.6385</v>
      </c>
      <c r="F498" s="181" t="n">
        <v>4703.03902</v>
      </c>
      <c r="G498" s="181" t="n">
        <v>4702.73404</v>
      </c>
      <c r="H498" s="181" t="n">
        <v>0</v>
      </c>
      <c r="I498" s="181" t="n">
        <v>496</v>
      </c>
      <c r="J498" s="181" t="n">
        <v>5.1689</v>
      </c>
      <c r="K498" s="181" t="n">
        <v>24.8315</v>
      </c>
    </row>
    <row r="499" ht="15" customHeight="1" s="28">
      <c r="A499" s="182" t="n">
        <v>1776993302</v>
      </c>
      <c r="B499" s="182" t="inlineStr">
        <is>
          <t>XAUUSD</t>
        </is>
      </c>
      <c r="C499" s="182" t="inlineStr">
        <is>
          <t>M15</t>
        </is>
      </c>
      <c r="D499" s="182" t="n">
        <v>4698.41</v>
      </c>
      <c r="E499" s="182" t="n">
        <v>4684.37089</v>
      </c>
      <c r="F499" s="182" t="n">
        <v>4701.3644</v>
      </c>
      <c r="G499" s="182" t="n">
        <v>4702.04922</v>
      </c>
      <c r="H499" s="182" t="n">
        <v>1</v>
      </c>
      <c r="I499" s="182" t="n">
        <v>497</v>
      </c>
      <c r="J499" s="182" t="n">
        <v>-5.6372</v>
      </c>
      <c r="K499" s="182" t="n">
        <v>14.0391</v>
      </c>
    </row>
    <row r="500" ht="15" customHeight="1" s="28">
      <c r="A500" s="181" t="n">
        <v>1776994202</v>
      </c>
      <c r="B500" s="181" t="inlineStr">
        <is>
          <t>XAUUSD</t>
        </is>
      </c>
      <c r="C500" s="181" t="inlineStr">
        <is>
          <t>M15</t>
        </is>
      </c>
      <c r="D500" s="181" t="n">
        <v>4690.81</v>
      </c>
      <c r="E500" s="181" t="n">
        <v>4684.10329</v>
      </c>
      <c r="F500" s="181" t="n">
        <v>4698.6827</v>
      </c>
      <c r="G500" s="181" t="n">
        <v>4700.36596</v>
      </c>
      <c r="H500" s="181" t="n">
        <v>0</v>
      </c>
      <c r="I500" s="181" t="n">
        <v>498</v>
      </c>
      <c r="J500" s="181" t="n">
        <v>-12.9833</v>
      </c>
      <c r="K500" s="181" t="n">
        <v>6.7067</v>
      </c>
    </row>
    <row r="501" ht="15" customHeight="1" s="28">
      <c r="A501" s="182" t="n">
        <v>1776995102</v>
      </c>
      <c r="B501" s="182" t="inlineStr">
        <is>
          <t>XAUUSD</t>
        </is>
      </c>
      <c r="C501" s="182" t="inlineStr">
        <is>
          <t>M15</t>
        </is>
      </c>
      <c r="D501" s="182" t="n">
        <v>4699.09</v>
      </c>
      <c r="E501" s="182" t="n">
        <v>4683.83569</v>
      </c>
      <c r="F501" s="182" t="n">
        <v>4695.29842</v>
      </c>
      <c r="G501" s="182" t="n">
        <v>4697.83219</v>
      </c>
      <c r="H501" s="182" t="n">
        <v>0</v>
      </c>
      <c r="I501" s="182" t="n">
        <v>499</v>
      </c>
      <c r="J501" s="182" t="n">
        <v>-4.4494</v>
      </c>
      <c r="K501" s="182" t="n">
        <v>15.2543</v>
      </c>
    </row>
    <row r="502" ht="15" customHeight="1" s="28">
      <c r="A502" s="181" t="n">
        <v>1776996002</v>
      </c>
      <c r="B502" s="181" t="inlineStr">
        <is>
          <t>XAUUSD</t>
        </is>
      </c>
      <c r="C502" s="181" t="inlineStr">
        <is>
          <t>M15</t>
        </is>
      </c>
      <c r="D502" s="181" t="n">
        <v>4693.29</v>
      </c>
      <c r="E502" s="181" t="n">
        <v>4683.56808</v>
      </c>
      <c r="F502" s="181" t="n">
        <v>4691.1675</v>
      </c>
      <c r="G502" s="181" t="n">
        <v>4694.49984</v>
      </c>
      <c r="H502" s="181" t="n">
        <v>0</v>
      </c>
      <c r="I502" s="181" t="n">
        <v>500</v>
      </c>
      <c r="J502" s="181" t="n">
        <v>-9.9955</v>
      </c>
      <c r="K502" s="181" t="n">
        <v>9.7219</v>
      </c>
    </row>
    <row r="503" ht="15" customHeight="1" s="28">
      <c r="A503" s="182" t="n">
        <v>1776996902</v>
      </c>
      <c r="B503" s="182" t="inlineStr">
        <is>
          <t>XAUUSD</t>
        </is>
      </c>
      <c r="C503" s="182" t="inlineStr">
        <is>
          <t>M15</t>
        </is>
      </c>
      <c r="D503" s="182" t="n">
        <v>4684.14</v>
      </c>
      <c r="E503" s="182" t="n">
        <v>4683.30048</v>
      </c>
      <c r="F503" s="182" t="n">
        <v>4686.69271</v>
      </c>
      <c r="G503" s="182" t="n">
        <v>4690.59627</v>
      </c>
      <c r="H503" s="182" t="n">
        <v>0</v>
      </c>
      <c r="I503" s="182" t="n">
        <v>501</v>
      </c>
      <c r="J503" s="182" t="n">
        <v>-18.8916</v>
      </c>
      <c r="K503" s="182" t="n">
        <v>0.8395</v>
      </c>
    </row>
    <row r="504" ht="15" customHeight="1" s="28">
      <c r="A504" s="181" t="n">
        <v>1776997802</v>
      </c>
      <c r="B504" s="181" t="inlineStr">
        <is>
          <t>XAUUSD</t>
        </is>
      </c>
      <c r="C504" s="181" t="inlineStr">
        <is>
          <t>M15</t>
        </is>
      </c>
      <c r="D504" s="181" t="n">
        <v>4683.54</v>
      </c>
      <c r="E504" s="181" t="n">
        <v>4683.03287</v>
      </c>
      <c r="F504" s="181" t="n">
        <v>4682.2824</v>
      </c>
      <c r="G504" s="181" t="n">
        <v>4686.43934</v>
      </c>
      <c r="H504" s="181" t="n">
        <v>0</v>
      </c>
      <c r="I504" s="181" t="n">
        <v>502</v>
      </c>
      <c r="J504" s="181" t="n">
        <v>-19.2377</v>
      </c>
      <c r="K504" s="181" t="n">
        <v>0.5071</v>
      </c>
    </row>
    <row r="505" ht="15" customHeight="1" s="28">
      <c r="A505" s="182" t="n">
        <v>1776998702</v>
      </c>
      <c r="B505" s="182" t="inlineStr">
        <is>
          <t>XAUUSD</t>
        </is>
      </c>
      <c r="C505" s="182" t="inlineStr">
        <is>
          <t>M15</t>
        </is>
      </c>
      <c r="D505" s="182" t="n">
        <v>4676.83</v>
      </c>
      <c r="E505" s="182" t="n">
        <v>4682.76527</v>
      </c>
      <c r="F505" s="182" t="n">
        <v>4678.12089</v>
      </c>
      <c r="G505" s="182" t="n">
        <v>4682.28011</v>
      </c>
      <c r="H505" s="182" t="n">
        <v>0</v>
      </c>
      <c r="I505" s="182" t="n">
        <v>503</v>
      </c>
      <c r="J505" s="182" t="n">
        <v>-25.6938</v>
      </c>
      <c r="K505" s="182" t="n">
        <v>-5.9353</v>
      </c>
    </row>
    <row r="506" ht="15" customHeight="1" s="28">
      <c r="A506" s="181" t="n">
        <v>1776999602</v>
      </c>
      <c r="B506" s="181" t="inlineStr">
        <is>
          <t>XAUUSD</t>
        </is>
      </c>
      <c r="C506" s="181" t="inlineStr">
        <is>
          <t>M15</t>
        </is>
      </c>
      <c r="D506" s="181" t="n">
        <v>4670.5</v>
      </c>
      <c r="E506" s="181" t="n">
        <v>4682.49767</v>
      </c>
      <c r="F506" s="181" t="n">
        <v>4674.53755</v>
      </c>
      <c r="G506" s="181" t="n">
        <v>4678.40883</v>
      </c>
      <c r="H506" s="181" t="n">
        <v>0</v>
      </c>
      <c r="I506" s="181" t="n">
        <v>504</v>
      </c>
      <c r="J506" s="181" t="n">
        <v>-31.7699</v>
      </c>
      <c r="K506" s="181" t="n">
        <v>-11.9977</v>
      </c>
    </row>
    <row r="507" ht="15" customHeight="1" s="28">
      <c r="A507" s="182" t="n">
        <v>1777000502</v>
      </c>
      <c r="B507" s="182" t="inlineStr">
        <is>
          <t>XAUUSD</t>
        </is>
      </c>
      <c r="C507" s="182" t="inlineStr">
        <is>
          <t>M15</t>
        </is>
      </c>
      <c r="D507" s="182" t="n">
        <v>4674.62</v>
      </c>
      <c r="E507" s="182" t="n">
        <v>4682.23006</v>
      </c>
      <c r="F507" s="182" t="n">
        <v>4671.82662</v>
      </c>
      <c r="G507" s="182" t="n">
        <v>4675.11772</v>
      </c>
      <c r="H507" s="182" t="n">
        <v>0</v>
      </c>
      <c r="I507" s="182" t="n">
        <v>505</v>
      </c>
      <c r="J507" s="182" t="n">
        <v>-27.396</v>
      </c>
      <c r="K507" s="182" t="n">
        <v>-7.6101</v>
      </c>
    </row>
    <row r="508" ht="15" customHeight="1" s="28">
      <c r="A508" s="181" t="n">
        <v>1777001402</v>
      </c>
      <c r="B508" s="181" t="inlineStr">
        <is>
          <t>XAUUSD</t>
        </is>
      </c>
      <c r="C508" s="181" t="inlineStr">
        <is>
          <t>M15</t>
        </is>
      </c>
      <c r="D508" s="181" t="n">
        <v>4675.32</v>
      </c>
      <c r="E508" s="181" t="n">
        <v>4681.96246</v>
      </c>
      <c r="F508" s="181" t="n">
        <v>4669.94697</v>
      </c>
      <c r="G508" s="181" t="n">
        <v>4672.53235</v>
      </c>
      <c r="H508" s="181" t="n">
        <v>0</v>
      </c>
      <c r="I508" s="181" t="n">
        <v>506</v>
      </c>
      <c r="J508" s="181" t="n">
        <v>-26.4422</v>
      </c>
      <c r="K508" s="181" t="n">
        <v>-6.6425</v>
      </c>
    </row>
    <row r="509" ht="15" customHeight="1" s="28">
      <c r="A509" s="182" t="n">
        <v>1777002302</v>
      </c>
      <c r="B509" s="182" t="inlineStr">
        <is>
          <t>XAUUSD</t>
        </is>
      </c>
      <c r="C509" s="182" t="inlineStr">
        <is>
          <t>M15</t>
        </is>
      </c>
      <c r="D509" s="182" t="n">
        <v>4672.16</v>
      </c>
      <c r="E509" s="182" t="n">
        <v>4681.69485</v>
      </c>
      <c r="F509" s="182" t="n">
        <v>4668.87263</v>
      </c>
      <c r="G509" s="182" t="n">
        <v>4670.70249</v>
      </c>
      <c r="H509" s="182" t="n">
        <v>0</v>
      </c>
      <c r="I509" s="182" t="n">
        <v>507</v>
      </c>
      <c r="J509" s="182" t="n">
        <v>-29.3483</v>
      </c>
      <c r="K509" s="182" t="n">
        <v>-9.5349</v>
      </c>
    </row>
    <row r="510" ht="15" customHeight="1" s="28">
      <c r="A510" s="181" t="n">
        <v>1777003202</v>
      </c>
      <c r="B510" s="181" t="inlineStr">
        <is>
          <t>XAUUSD</t>
        </is>
      </c>
      <c r="C510" s="181" t="inlineStr">
        <is>
          <t>M15</t>
        </is>
      </c>
      <c r="D510" s="181" t="n">
        <v>4670.01</v>
      </c>
      <c r="E510" s="181" t="n">
        <v>4681.42725</v>
      </c>
      <c r="F510" s="181" t="n">
        <v>4668.64906</v>
      </c>
      <c r="G510" s="181" t="n">
        <v>4669.67578</v>
      </c>
      <c r="H510" s="181" t="n">
        <v>0</v>
      </c>
      <c r="I510" s="181" t="n">
        <v>508</v>
      </c>
      <c r="J510" s="181" t="n">
        <v>-31.2444</v>
      </c>
      <c r="K510" s="181" t="n">
        <v>-11.4172</v>
      </c>
    </row>
    <row r="511" ht="15" customHeight="1" s="28">
      <c r="A511" s="182" t="n">
        <v>1777004102</v>
      </c>
      <c r="B511" s="182" t="inlineStr">
        <is>
          <t>XAUUSD</t>
        </is>
      </c>
      <c r="C511" s="182" t="inlineStr">
        <is>
          <t>M15</t>
        </is>
      </c>
      <c r="D511" s="182" t="n">
        <v>4659.65</v>
      </c>
      <c r="E511" s="182" t="n">
        <v>4681.15965</v>
      </c>
      <c r="F511" s="182" t="n">
        <v>4669.31839</v>
      </c>
      <c r="G511" s="182" t="n">
        <v>4669.49708</v>
      </c>
      <c r="H511" s="182" t="n">
        <v>0</v>
      </c>
      <c r="I511" s="182" t="n">
        <v>509</v>
      </c>
      <c r="J511" s="182" t="n">
        <v>-41.3505</v>
      </c>
      <c r="K511" s="182" t="n">
        <v>-21.5096</v>
      </c>
    </row>
    <row r="512" ht="15" customHeight="1" s="28">
      <c r="A512" s="181" t="n">
        <v>1777005002</v>
      </c>
      <c r="B512" s="181" t="inlineStr">
        <is>
          <t>XAUUSD</t>
        </is>
      </c>
      <c r="C512" s="181" t="inlineStr">
        <is>
          <t>M15</t>
        </is>
      </c>
      <c r="D512" s="181" t="n">
        <v>4668.58</v>
      </c>
      <c r="E512" s="181" t="n">
        <v>4680.89204</v>
      </c>
      <c r="F512" s="181" t="n">
        <v>4671.00852</v>
      </c>
      <c r="G512" s="181" t="n">
        <v>4670.2528</v>
      </c>
      <c r="H512" s="181" t="n">
        <v>1</v>
      </c>
      <c r="I512" s="181" t="n">
        <v>510</v>
      </c>
      <c r="J512" s="181" t="n">
        <v>-32.1666</v>
      </c>
      <c r="K512" s="181" t="n">
        <v>-12.312</v>
      </c>
    </row>
    <row r="513" ht="15" customHeight="1" s="28">
      <c r="A513" s="182" t="n">
        <v>1777005902</v>
      </c>
      <c r="B513" s="182" t="inlineStr">
        <is>
          <t>XAUUSD</t>
        </is>
      </c>
      <c r="C513" s="182" t="inlineStr">
        <is>
          <t>M15</t>
        </is>
      </c>
      <c r="D513" s="182" t="n">
        <v>4674.53</v>
      </c>
      <c r="E513" s="182" t="n">
        <v>4680.62444</v>
      </c>
      <c r="F513" s="182" t="n">
        <v>4673.20377</v>
      </c>
      <c r="G513" s="182" t="n">
        <v>4671.72829</v>
      </c>
      <c r="H513" s="182" t="n">
        <v>0</v>
      </c>
      <c r="I513" s="182" t="n">
        <v>511</v>
      </c>
      <c r="J513" s="182" t="n">
        <v>-25.9627</v>
      </c>
      <c r="K513" s="182" t="n">
        <v>-6.0944</v>
      </c>
    </row>
    <row r="514" ht="15" customHeight="1" s="28">
      <c r="A514" s="181" t="n">
        <v>1777006802</v>
      </c>
      <c r="B514" s="181" t="inlineStr">
        <is>
          <t>XAUUSD</t>
        </is>
      </c>
      <c r="C514" s="181" t="inlineStr">
        <is>
          <t>M15</t>
        </is>
      </c>
      <c r="D514" s="181" t="n">
        <v>4673.44</v>
      </c>
      <c r="E514" s="181" t="n">
        <v>4680.35683</v>
      </c>
      <c r="F514" s="181" t="n">
        <v>4675.38967</v>
      </c>
      <c r="G514" s="181" t="n">
        <v>4673.55898</v>
      </c>
      <c r="H514" s="181" t="n">
        <v>0</v>
      </c>
      <c r="I514" s="181" t="n">
        <v>512</v>
      </c>
      <c r="J514" s="181" t="n">
        <v>-26.7988</v>
      </c>
      <c r="K514" s="181" t="n">
        <v>-6.9168</v>
      </c>
    </row>
    <row r="515" ht="15" customHeight="1" s="28">
      <c r="A515" s="182" t="n">
        <v>1777007702</v>
      </c>
      <c r="B515" s="182" t="inlineStr">
        <is>
          <t>XAUUSD</t>
        </is>
      </c>
      <c r="C515" s="182" t="inlineStr">
        <is>
          <t>M15</t>
        </is>
      </c>
      <c r="D515" s="182" t="n">
        <v>4676.49</v>
      </c>
      <c r="E515" s="182" t="n">
        <v>4680.08923</v>
      </c>
      <c r="F515" s="182" t="n">
        <v>4677.27477</v>
      </c>
      <c r="G515" s="182" t="n">
        <v>4675.41688</v>
      </c>
      <c r="H515" s="182" t="n">
        <v>0</v>
      </c>
      <c r="I515" s="182" t="n">
        <v>513</v>
      </c>
      <c r="J515" s="182" t="n">
        <v>-23.4949</v>
      </c>
      <c r="K515" s="182" t="n">
        <v>-3.5992</v>
      </c>
    </row>
    <row r="516" ht="15" customHeight="1" s="28">
      <c r="A516" s="181" t="n">
        <v>1777008602</v>
      </c>
      <c r="B516" s="181" t="inlineStr">
        <is>
          <t>XAUUSD</t>
        </is>
      </c>
      <c r="C516" s="181" t="inlineStr">
        <is>
          <t>M15</t>
        </is>
      </c>
      <c r="D516" s="181" t="n">
        <v>4682.65</v>
      </c>
      <c r="E516" s="181" t="n">
        <v>4679.82163</v>
      </c>
      <c r="F516" s="181" t="n">
        <v>4678.51932</v>
      </c>
      <c r="G516" s="181" t="n">
        <v>4676.9681</v>
      </c>
      <c r="H516" s="181" t="n">
        <v>0</v>
      </c>
      <c r="I516" s="181" t="n">
        <v>514</v>
      </c>
      <c r="J516" s="181" t="n">
        <v>-17.081</v>
      </c>
      <c r="K516" s="181" t="n">
        <v>2.8284</v>
      </c>
    </row>
    <row r="517" ht="15" customHeight="1" s="28">
      <c r="A517" s="182" t="n">
        <v>1777009502</v>
      </c>
      <c r="B517" s="182" t="inlineStr">
        <is>
          <t>XAUUSD</t>
        </is>
      </c>
      <c r="C517" s="182" t="inlineStr">
        <is>
          <t>M15</t>
        </is>
      </c>
      <c r="D517" s="182" t="n">
        <v>4686.43</v>
      </c>
      <c r="E517" s="182" t="n">
        <v>4679.55402</v>
      </c>
      <c r="F517" s="182" t="n">
        <v>4678.86943</v>
      </c>
      <c r="G517" s="182" t="n">
        <v>4677.91876</v>
      </c>
      <c r="H517" s="182" t="n">
        <v>0</v>
      </c>
      <c r="I517" s="182" t="n">
        <v>515</v>
      </c>
      <c r="J517" s="182" t="n">
        <v>-13.0471</v>
      </c>
      <c r="K517" s="182" t="n">
        <v>6.876</v>
      </c>
    </row>
    <row r="518" ht="15" customHeight="1" s="28">
      <c r="A518" s="181" t="n">
        <v>1777010402</v>
      </c>
      <c r="B518" s="181" t="inlineStr">
        <is>
          <t>XAUUSD</t>
        </is>
      </c>
      <c r="C518" s="181" t="inlineStr">
        <is>
          <t>M15</t>
        </is>
      </c>
      <c r="D518" s="181" t="n">
        <v>4681.83</v>
      </c>
      <c r="E518" s="181" t="n">
        <v>4679.28642</v>
      </c>
      <c r="F518" s="181" t="n">
        <v>4678.39947</v>
      </c>
      <c r="G518" s="181" t="n">
        <v>4678.15911</v>
      </c>
      <c r="H518" s="181" t="n">
        <v>0</v>
      </c>
      <c r="I518" s="181" t="n">
        <v>516</v>
      </c>
      <c r="J518" s="181" t="n">
        <v>-17.3932</v>
      </c>
      <c r="K518" s="181" t="n">
        <v>2.5436</v>
      </c>
    </row>
    <row r="519" ht="15" customHeight="1" s="28">
      <c r="A519" s="182" t="n">
        <v>1777011302</v>
      </c>
      <c r="B519" s="182" t="inlineStr">
        <is>
          <t>XAUUSD</t>
        </is>
      </c>
      <c r="C519" s="182" t="inlineStr">
        <is>
          <t>M15</t>
        </is>
      </c>
      <c r="D519" s="182" t="n">
        <v>4671.45</v>
      </c>
      <c r="E519" s="182" t="n">
        <v>4679.01881</v>
      </c>
      <c r="F519" s="182" t="n">
        <v>4677.59679</v>
      </c>
      <c r="G519" s="182" t="n">
        <v>4677.87795</v>
      </c>
      <c r="H519" s="182" t="n">
        <v>1</v>
      </c>
      <c r="I519" s="182" t="n">
        <v>517</v>
      </c>
      <c r="J519" s="182" t="n">
        <v>-27.5193</v>
      </c>
      <c r="K519" s="182" t="n">
        <v>-7.5688</v>
      </c>
    </row>
    <row r="520" ht="15" customHeight="1" s="28">
      <c r="A520" s="181" t="n">
        <v>1777012202</v>
      </c>
      <c r="B520" s="181" t="inlineStr">
        <is>
          <t>XAUUSD</t>
        </is>
      </c>
      <c r="C520" s="181" t="inlineStr">
        <is>
          <t>M15</t>
        </is>
      </c>
      <c r="D520" s="181" t="n">
        <v>4673.71</v>
      </c>
      <c r="E520" s="181" t="n">
        <v>4678.75121</v>
      </c>
      <c r="F520" s="181" t="n">
        <v>4677.23328</v>
      </c>
      <c r="G520" s="181" t="n">
        <v>4677.55562</v>
      </c>
      <c r="H520" s="181" t="n">
        <v>0</v>
      </c>
      <c r="I520" s="181" t="n">
        <v>518</v>
      </c>
      <c r="J520" s="181" t="n">
        <v>-25.0054</v>
      </c>
      <c r="K520" s="181" t="n">
        <v>-5.0412</v>
      </c>
    </row>
    <row r="521" ht="15" customHeight="1" s="28">
      <c r="A521" s="182" t="n">
        <v>1777013102</v>
      </c>
      <c r="B521" s="182" t="inlineStr">
        <is>
          <t>XAUUSD</t>
        </is>
      </c>
      <c r="C521" s="182" t="inlineStr">
        <is>
          <t>M15</t>
        </is>
      </c>
      <c r="D521" s="182" t="n">
        <v>4671.98</v>
      </c>
      <c r="E521" s="182" t="n">
        <v>4678.4836</v>
      </c>
      <c r="F521" s="182" t="n">
        <v>4677.66873</v>
      </c>
      <c r="G521" s="182" t="n">
        <v>4677.61217</v>
      </c>
      <c r="H521" s="182" t="n">
        <v>1</v>
      </c>
      <c r="I521" s="182" t="n">
        <v>519</v>
      </c>
      <c r="J521" s="182" t="n">
        <v>-26.4815</v>
      </c>
      <c r="K521" s="182" t="n">
        <v>-6.5036</v>
      </c>
    </row>
    <row r="522" ht="15" customHeight="1" s="28">
      <c r="A522" s="181" t="n">
        <v>1777014002</v>
      </c>
      <c r="B522" s="181" t="inlineStr">
        <is>
          <t>XAUUSD</t>
        </is>
      </c>
      <c r="C522" s="181" t="inlineStr">
        <is>
          <t>M15</t>
        </is>
      </c>
      <c r="D522" s="181" t="n">
        <v>4680.61</v>
      </c>
      <c r="E522" s="181" t="n">
        <v>4678.216</v>
      </c>
      <c r="F522" s="181" t="n">
        <v>4679.22718</v>
      </c>
      <c r="G522" s="181" t="n">
        <v>4678.41968</v>
      </c>
      <c r="H522" s="181" t="n">
        <v>0</v>
      </c>
      <c r="I522" s="181" t="n">
        <v>520</v>
      </c>
      <c r="J522" s="181" t="n">
        <v>-17.5976</v>
      </c>
      <c r="K522" s="181" t="n">
        <v>2.394</v>
      </c>
    </row>
    <row r="523" ht="15" customHeight="1" s="28">
      <c r="A523" s="182" t="n">
        <v>1777014902</v>
      </c>
      <c r="B523" s="182" t="inlineStr">
        <is>
          <t>XAUUSD</t>
        </is>
      </c>
      <c r="C523" s="182" t="inlineStr">
        <is>
          <t>M15</t>
        </is>
      </c>
      <c r="D523" s="182" t="n">
        <v>4684.49</v>
      </c>
      <c r="E523" s="182" t="n">
        <v>4677.9484</v>
      </c>
      <c r="F523" s="182" t="n">
        <v>4681.6808</v>
      </c>
      <c r="G523" s="182" t="n">
        <v>4680.05024</v>
      </c>
      <c r="H523" s="182" t="n">
        <v>0</v>
      </c>
      <c r="I523" s="182" t="n">
        <v>521</v>
      </c>
      <c r="J523" s="182" t="n">
        <v>-13.4637</v>
      </c>
      <c r="K523" s="182" t="n">
        <v>6.5416</v>
      </c>
    </row>
    <row r="524" ht="15" customHeight="1" s="28">
      <c r="A524" s="181" t="n">
        <v>1777015802</v>
      </c>
      <c r="B524" s="181" t="inlineStr">
        <is>
          <t>XAUUSD</t>
        </is>
      </c>
      <c r="C524" s="181" t="inlineStr">
        <is>
          <t>M15</t>
        </is>
      </c>
      <c r="D524" s="181" t="n">
        <v>4685.61</v>
      </c>
      <c r="E524" s="181" t="n">
        <v>4677.68079</v>
      </c>
      <c r="F524" s="181" t="n">
        <v>4684.70105</v>
      </c>
      <c r="G524" s="181" t="n">
        <v>4682.37564</v>
      </c>
      <c r="H524" s="181" t="n">
        <v>0</v>
      </c>
      <c r="I524" s="181" t="n">
        <v>522</v>
      </c>
      <c r="J524" s="181" t="n">
        <v>-12.0898</v>
      </c>
      <c r="K524" s="181" t="n">
        <v>7.9292</v>
      </c>
    </row>
    <row r="525" ht="15" customHeight="1" s="28">
      <c r="A525" s="182" t="n">
        <v>1777016702</v>
      </c>
      <c r="B525" s="182" t="inlineStr">
        <is>
          <t>XAUUSD</t>
        </is>
      </c>
      <c r="C525" s="182" t="inlineStr">
        <is>
          <t>M15</t>
        </is>
      </c>
      <c r="D525" s="182" t="n">
        <v>4694.57</v>
      </c>
      <c r="E525" s="182" t="n">
        <v>4677.41319</v>
      </c>
      <c r="F525" s="182" t="n">
        <v>4687.83029</v>
      </c>
      <c r="G525" s="182" t="n">
        <v>4685.10297</v>
      </c>
      <c r="H525" s="182" t="n">
        <v>0</v>
      </c>
      <c r="I525" s="182" t="n">
        <v>523</v>
      </c>
      <c r="J525" s="182" t="n">
        <v>-2.8759</v>
      </c>
      <c r="K525" s="182" t="n">
        <v>17.1568</v>
      </c>
    </row>
    <row r="526" ht="15" customHeight="1" s="28">
      <c r="A526" s="181" t="n">
        <v>1777017602</v>
      </c>
      <c r="B526" s="181" t="inlineStr">
        <is>
          <t>XAUUSD</t>
        </is>
      </c>
      <c r="C526" s="181" t="inlineStr">
        <is>
          <t>M15</t>
        </is>
      </c>
      <c r="D526" s="181" t="n">
        <v>4687.45</v>
      </c>
      <c r="E526" s="181" t="n">
        <v>4677.14558</v>
      </c>
      <c r="F526" s="181" t="n">
        <v>4690.29077</v>
      </c>
      <c r="G526" s="181" t="n">
        <v>4687.69687</v>
      </c>
      <c r="H526" s="181" t="n">
        <v>0</v>
      </c>
      <c r="I526" s="181" t="n">
        <v>524</v>
      </c>
      <c r="J526" s="181" t="n">
        <v>-9.742000000000001</v>
      </c>
      <c r="K526" s="181" t="n">
        <v>10.3044</v>
      </c>
    </row>
    <row r="527" ht="15" customHeight="1" s="28">
      <c r="A527" s="182" t="n">
        <v>1777018502</v>
      </c>
      <c r="B527" s="182" t="inlineStr">
        <is>
          <t>XAUUSD</t>
        </is>
      </c>
      <c r="C527" s="182" t="inlineStr">
        <is>
          <t>M15</t>
        </is>
      </c>
      <c r="D527" s="182" t="n">
        <v>4687.83</v>
      </c>
      <c r="E527" s="182" t="n">
        <v>4676.87798</v>
      </c>
      <c r="F527" s="182" t="n">
        <v>4691.80503</v>
      </c>
      <c r="G527" s="182" t="n">
        <v>4689.75095</v>
      </c>
      <c r="H527" s="182" t="n">
        <v>0</v>
      </c>
      <c r="I527" s="182" t="n">
        <v>525</v>
      </c>
      <c r="J527" s="182" t="n">
        <v>-9.1081</v>
      </c>
      <c r="K527" s="182" t="n">
        <v>10.952</v>
      </c>
    </row>
    <row r="528" ht="15" customHeight="1" s="28">
      <c r="A528" s="181" t="n">
        <v>1777019402</v>
      </c>
      <c r="B528" s="181" t="inlineStr">
        <is>
          <t>XAUUSD</t>
        </is>
      </c>
      <c r="C528" s="181" t="inlineStr">
        <is>
          <t>M15</t>
        </is>
      </c>
      <c r="D528" s="181" t="n">
        <v>4688.13</v>
      </c>
      <c r="E528" s="181" t="n">
        <v>4676.61038</v>
      </c>
      <c r="F528" s="181" t="n">
        <v>4692.05335</v>
      </c>
      <c r="G528" s="181" t="n">
        <v>4690.90215</v>
      </c>
      <c r="H528" s="181" t="n">
        <v>0</v>
      </c>
      <c r="I528" s="181" t="n">
        <v>526</v>
      </c>
      <c r="J528" s="181" t="n">
        <v>-8.5542</v>
      </c>
      <c r="K528" s="181" t="n">
        <v>11.5196</v>
      </c>
    </row>
    <row r="529" ht="15" customHeight="1" s="28">
      <c r="A529" s="182" t="n">
        <v>1777020302</v>
      </c>
      <c r="B529" s="182" t="inlineStr">
        <is>
          <t>XAUUSD</t>
        </is>
      </c>
      <c r="C529" s="182" t="inlineStr">
        <is>
          <t>M15</t>
        </is>
      </c>
      <c r="D529" s="182" t="n">
        <v>4690.84</v>
      </c>
      <c r="E529" s="182" t="n">
        <v>4676.34277</v>
      </c>
      <c r="F529" s="182" t="n">
        <v>4690.96206</v>
      </c>
      <c r="G529" s="182" t="n">
        <v>4690.9321</v>
      </c>
      <c r="H529" s="182" t="n">
        <v>0</v>
      </c>
      <c r="I529" s="182" t="n">
        <v>527</v>
      </c>
      <c r="J529" s="182" t="n">
        <v>-5.5903</v>
      </c>
      <c r="K529" s="182" t="n">
        <v>14.4972</v>
      </c>
    </row>
    <row r="530" ht="15" customHeight="1" s="28">
      <c r="A530" s="181" t="n">
        <v>1777021202</v>
      </c>
      <c r="B530" s="181" t="inlineStr">
        <is>
          <t>XAUUSD</t>
        </is>
      </c>
      <c r="C530" s="181" t="inlineStr">
        <is>
          <t>M15</t>
        </is>
      </c>
      <c r="D530" s="181" t="n">
        <v>4695.33</v>
      </c>
      <c r="E530" s="181" t="n">
        <v>4676.07517</v>
      </c>
      <c r="F530" s="181" t="n">
        <v>4688.69215</v>
      </c>
      <c r="G530" s="181" t="n">
        <v>4689.81213</v>
      </c>
      <c r="H530" s="181" t="n">
        <v>1</v>
      </c>
      <c r="I530" s="181" t="n">
        <v>528</v>
      </c>
      <c r="J530" s="181" t="n">
        <v>-0.8465</v>
      </c>
      <c r="K530" s="181" t="n">
        <v>19.2548</v>
      </c>
    </row>
    <row r="531" ht="15" customHeight="1" s="28">
      <c r="A531" s="182" t="n">
        <v>1777022102</v>
      </c>
      <c r="B531" s="182" t="inlineStr">
        <is>
          <t>XAUUSD</t>
        </is>
      </c>
      <c r="C531" s="182" t="inlineStr">
        <is>
          <t>M15</t>
        </is>
      </c>
      <c r="D531" s="182" t="n">
        <v>4683.3</v>
      </c>
      <c r="E531" s="182" t="n">
        <v>4675.80756</v>
      </c>
      <c r="F531" s="182" t="n">
        <v>4685.6385</v>
      </c>
      <c r="G531" s="182" t="n">
        <v>4687.72532</v>
      </c>
      <c r="H531" s="182" t="n">
        <v>0</v>
      </c>
      <c r="I531" s="182" t="n">
        <v>529</v>
      </c>
      <c r="J531" s="182" t="n">
        <v>-12.6226</v>
      </c>
      <c r="K531" s="182" t="n">
        <v>7.4924</v>
      </c>
    </row>
    <row r="532" ht="15" customHeight="1" s="28">
      <c r="A532" s="181" t="n">
        <v>1777023002</v>
      </c>
      <c r="B532" s="181" t="inlineStr">
        <is>
          <t>XAUUSD</t>
        </is>
      </c>
      <c r="C532" s="181" t="inlineStr">
        <is>
          <t>M15</t>
        </is>
      </c>
      <c r="D532" s="181" t="n">
        <v>4685.99</v>
      </c>
      <c r="E532" s="181" t="n">
        <v>4675.53996</v>
      </c>
      <c r="F532" s="181" t="n">
        <v>4682.80503</v>
      </c>
      <c r="G532" s="181" t="n">
        <v>4685.26518</v>
      </c>
      <c r="H532" s="181" t="n">
        <v>0</v>
      </c>
      <c r="I532" s="181" t="n">
        <v>530</v>
      </c>
      <c r="J532" s="181" t="n">
        <v>-9.678699999999999</v>
      </c>
      <c r="K532" s="181" t="n">
        <v>10.45</v>
      </c>
    </row>
    <row r="533" ht="15" customHeight="1" s="28">
      <c r="A533" s="182" t="n">
        <v>1777023902</v>
      </c>
      <c r="B533" s="182" t="inlineStr">
        <is>
          <t>XAUUSD</t>
        </is>
      </c>
      <c r="C533" s="182" t="inlineStr">
        <is>
          <t>M15</t>
        </is>
      </c>
      <c r="D533" s="182" t="n">
        <v>4682.04</v>
      </c>
      <c r="E533" s="182" t="n">
        <v>4675.27236</v>
      </c>
      <c r="F533" s="182" t="n">
        <v>4680.85471</v>
      </c>
      <c r="G533" s="182" t="n">
        <v>4683.05994</v>
      </c>
      <c r="H533" s="182" t="n">
        <v>0</v>
      </c>
      <c r="I533" s="182" t="n">
        <v>531</v>
      </c>
      <c r="J533" s="182" t="n">
        <v>-13.3748</v>
      </c>
      <c r="K533" s="182" t="n">
        <v>6.7676</v>
      </c>
    </row>
    <row r="534" ht="15" customHeight="1" s="28">
      <c r="A534" s="181" t="n">
        <v>1777024802</v>
      </c>
      <c r="B534" s="181" t="inlineStr">
        <is>
          <t>XAUUSD</t>
        </is>
      </c>
      <c r="C534" s="181" t="inlineStr">
        <is>
          <t>M15</t>
        </is>
      </c>
      <c r="D534" s="181" t="n">
        <v>4682.45</v>
      </c>
      <c r="E534" s="181" t="n">
        <v>4675.00475</v>
      </c>
      <c r="F534" s="181" t="n">
        <v>4680.51171</v>
      </c>
      <c r="G534" s="181" t="n">
        <v>4681.78582</v>
      </c>
      <c r="H534" s="181" t="n">
        <v>0</v>
      </c>
      <c r="I534" s="181" t="n">
        <v>532</v>
      </c>
      <c r="J534" s="181" t="n">
        <v>-12.7109</v>
      </c>
      <c r="K534" s="181" t="n">
        <v>7.4452</v>
      </c>
    </row>
    <row r="535" ht="15" customHeight="1" s="28">
      <c r="A535" s="182" t="n">
        <v>1777025702</v>
      </c>
      <c r="B535" s="182" t="inlineStr">
        <is>
          <t>XAUUSD</t>
        </is>
      </c>
      <c r="C535" s="182" t="inlineStr">
        <is>
          <t>M15</t>
        </is>
      </c>
      <c r="D535" s="182" t="n">
        <v>4682.25</v>
      </c>
      <c r="E535" s="182" t="n">
        <v>4674.73715</v>
      </c>
      <c r="F535" s="182" t="n">
        <v>4682.07412</v>
      </c>
      <c r="G535" s="182" t="n">
        <v>4681.92997</v>
      </c>
      <c r="H535" s="182" t="n">
        <v>1</v>
      </c>
      <c r="I535" s="182" t="n">
        <v>533</v>
      </c>
      <c r="J535" s="182" t="n">
        <v>-12.657</v>
      </c>
      <c r="K535" s="182" t="n">
        <v>7.5129</v>
      </c>
    </row>
    <row r="536" ht="15" customHeight="1" s="28">
      <c r="A536" s="181" t="n">
        <v>1777026602</v>
      </c>
      <c r="B536" s="181" t="inlineStr">
        <is>
          <t>XAUUSD</t>
        </is>
      </c>
      <c r="C536" s="181" t="inlineStr">
        <is>
          <t>M15</t>
        </is>
      </c>
      <c r="D536" s="181" t="n">
        <v>4679.01</v>
      </c>
      <c r="E536" s="181" t="n">
        <v>4674.46954</v>
      </c>
      <c r="F536" s="181" t="n">
        <v>4685.49979</v>
      </c>
      <c r="G536" s="181" t="n">
        <v>4683.71488</v>
      </c>
      <c r="H536" s="181" t="n">
        <v>0</v>
      </c>
      <c r="I536" s="181" t="n">
        <v>534</v>
      </c>
      <c r="J536" s="181" t="n">
        <v>-15.6431</v>
      </c>
      <c r="K536" s="181" t="n">
        <v>4.5405</v>
      </c>
    </row>
    <row r="537" ht="15" customHeight="1" s="28">
      <c r="A537" s="182" t="n">
        <v>1777027502</v>
      </c>
      <c r="B537" s="182" t="inlineStr">
        <is>
          <t>XAUUSD</t>
        </is>
      </c>
      <c r="C537" s="182" t="inlineStr">
        <is>
          <t>M15</t>
        </is>
      </c>
      <c r="D537" s="182" t="n">
        <v>4678.04</v>
      </c>
      <c r="E537" s="182" t="n">
        <v>4674.20194</v>
      </c>
      <c r="F537" s="182" t="n">
        <v>4690.45723</v>
      </c>
      <c r="G537" s="182" t="n">
        <v>4687.08605</v>
      </c>
      <c r="H537" s="182" t="n">
        <v>0</v>
      </c>
      <c r="I537" s="182" t="n">
        <v>535</v>
      </c>
      <c r="J537" s="182" t="n">
        <v>-16.3592</v>
      </c>
      <c r="K537" s="182" t="n">
        <v>3.8381</v>
      </c>
    </row>
    <row r="538" ht="15" customHeight="1" s="28">
      <c r="A538" s="181" t="n">
        <v>1777028402</v>
      </c>
      <c r="B538" s="181" t="inlineStr">
        <is>
          <t>XAUUSD</t>
        </is>
      </c>
      <c r="C538" s="181" t="inlineStr">
        <is>
          <t>M15</t>
        </is>
      </c>
      <c r="D538" s="181" t="n">
        <v>4696.78</v>
      </c>
      <c r="E538" s="181" t="n">
        <v>4673.93434</v>
      </c>
      <c r="F538" s="181" t="n">
        <v>4696.24289</v>
      </c>
      <c r="G538" s="181" t="n">
        <v>4691.66447</v>
      </c>
      <c r="H538" s="181" t="n">
        <v>0</v>
      </c>
      <c r="I538" s="181" t="n">
        <v>536</v>
      </c>
      <c r="J538" s="181" t="n">
        <v>2.6347</v>
      </c>
      <c r="K538" s="181" t="n">
        <v>22.8457</v>
      </c>
    </row>
    <row r="539" ht="15" customHeight="1" s="28">
      <c r="A539" s="182" t="n">
        <v>1777029302</v>
      </c>
      <c r="B539" s="182" t="inlineStr">
        <is>
          <t>XAUUSD</t>
        </is>
      </c>
      <c r="C539" s="182" t="inlineStr">
        <is>
          <t>M15</t>
        </is>
      </c>
      <c r="D539" s="182" t="n">
        <v>4715.3</v>
      </c>
      <c r="E539" s="182" t="n">
        <v>4673.66673</v>
      </c>
      <c r="F539" s="182" t="n">
        <v>4701.47942</v>
      </c>
      <c r="G539" s="182" t="n">
        <v>4696.57194</v>
      </c>
      <c r="H539" s="182" t="n">
        <v>0</v>
      </c>
      <c r="I539" s="182" t="n">
        <v>537</v>
      </c>
      <c r="J539" s="182" t="n">
        <v>21.4086</v>
      </c>
      <c r="K539" s="182" t="n">
        <v>41.6333</v>
      </c>
    </row>
    <row r="540" ht="15" customHeight="1" s="28">
      <c r="A540" s="181" t="n">
        <v>1777030202</v>
      </c>
      <c r="B540" s="181" t="inlineStr">
        <is>
          <t>XAUUSD</t>
        </is>
      </c>
      <c r="C540" s="181" t="inlineStr">
        <is>
          <t>M15</t>
        </is>
      </c>
      <c r="D540" s="181" t="n">
        <v>4705.4</v>
      </c>
      <c r="E540" s="181" t="n">
        <v>4673.39913</v>
      </c>
      <c r="F540" s="181" t="n">
        <v>4704.96247</v>
      </c>
      <c r="G540" s="181" t="n">
        <v>4700.76721</v>
      </c>
      <c r="H540" s="181" t="n">
        <v>0</v>
      </c>
      <c r="I540" s="181" t="n">
        <v>538</v>
      </c>
      <c r="J540" s="181" t="n">
        <v>11.7625</v>
      </c>
      <c r="K540" s="181" t="n">
        <v>32.0009</v>
      </c>
    </row>
    <row r="541" ht="15" customHeight="1" s="28">
      <c r="A541" s="182" t="n">
        <v>1777031102</v>
      </c>
      <c r="B541" s="182" t="inlineStr">
        <is>
          <t>XAUUSD</t>
        </is>
      </c>
      <c r="C541" s="182" t="inlineStr">
        <is>
          <t>M15</t>
        </is>
      </c>
      <c r="D541" s="182" t="n">
        <v>4706.76</v>
      </c>
      <c r="E541" s="182" t="n">
        <v>4673.13152</v>
      </c>
      <c r="F541" s="182" t="n">
        <v>4706.66789</v>
      </c>
      <c r="G541" s="182" t="n">
        <v>4703.71755</v>
      </c>
      <c r="H541" s="182" t="n">
        <v>0</v>
      </c>
      <c r="I541" s="182" t="n">
        <v>539</v>
      </c>
      <c r="J541" s="182" t="n">
        <v>13.3764</v>
      </c>
      <c r="K541" s="182" t="n">
        <v>33.6285</v>
      </c>
    </row>
    <row r="542" ht="15" customHeight="1" s="28">
      <c r="A542" s="181" t="n">
        <v>1777032002</v>
      </c>
      <c r="B542" s="181" t="inlineStr">
        <is>
          <t>XAUUSD</t>
        </is>
      </c>
      <c r="C542" s="181" t="inlineStr">
        <is>
          <t>M15</t>
        </is>
      </c>
      <c r="D542" s="181" t="n">
        <v>4708.7</v>
      </c>
      <c r="E542" s="181" t="n">
        <v>4672.86392</v>
      </c>
      <c r="F542" s="181" t="n">
        <v>4706.72572</v>
      </c>
      <c r="G542" s="181" t="n">
        <v>4705.22163</v>
      </c>
      <c r="H542" s="181" t="n">
        <v>0</v>
      </c>
      <c r="I542" s="181" t="n">
        <v>540</v>
      </c>
      <c r="J542" s="181" t="n">
        <v>15.5703</v>
      </c>
      <c r="K542" s="181" t="n">
        <v>35.8361</v>
      </c>
    </row>
    <row r="543" ht="15" customHeight="1" s="28">
      <c r="A543" s="182" t="n">
        <v>1777032902</v>
      </c>
      <c r="B543" s="182" t="inlineStr">
        <is>
          <t>XAUUSD</t>
        </is>
      </c>
      <c r="C543" s="182" t="inlineStr">
        <is>
          <t>M15</t>
        </is>
      </c>
      <c r="D543" s="182" t="n">
        <v>4710.63</v>
      </c>
      <c r="E543" s="182" t="n">
        <v>4672.59631</v>
      </c>
      <c r="F543" s="182" t="n">
        <v>4705.59402</v>
      </c>
      <c r="G543" s="182" t="n">
        <v>4705.40783</v>
      </c>
      <c r="H543" s="182" t="n">
        <v>0</v>
      </c>
      <c r="I543" s="182" t="n">
        <v>541</v>
      </c>
      <c r="J543" s="182" t="n">
        <v>17.7542</v>
      </c>
      <c r="K543" s="182" t="n">
        <v>38.0337</v>
      </c>
    </row>
    <row r="544" ht="15" customHeight="1" s="28">
      <c r="A544" s="181" t="n">
        <v>1777033802</v>
      </c>
      <c r="B544" s="181" t="inlineStr">
        <is>
          <t>XAUUSD</t>
        </is>
      </c>
      <c r="C544" s="181" t="inlineStr">
        <is>
          <t>M15</t>
        </is>
      </c>
      <c r="D544" s="181" t="n">
        <v>4698.83</v>
      </c>
      <c r="E544" s="181" t="n">
        <v>4672.32871</v>
      </c>
      <c r="F544" s="181" t="n">
        <v>4703.98622</v>
      </c>
      <c r="G544" s="181" t="n">
        <v>4704.69702</v>
      </c>
      <c r="H544" s="181" t="n">
        <v>1</v>
      </c>
      <c r="I544" s="181" t="n">
        <v>542</v>
      </c>
      <c r="J544" s="181" t="n">
        <v>6.2081</v>
      </c>
      <c r="K544" s="181" t="n">
        <v>26.5013</v>
      </c>
    </row>
    <row r="545" ht="15" customHeight="1" s="28">
      <c r="A545" s="182" t="n">
        <v>1777034702</v>
      </c>
      <c r="B545" s="182" t="inlineStr">
        <is>
          <t>XAUUSD</t>
        </is>
      </c>
      <c r="C545" s="182" t="inlineStr">
        <is>
          <t>M15</t>
        </is>
      </c>
      <c r="D545" s="182" t="n">
        <v>4700.67</v>
      </c>
      <c r="E545" s="182" t="n">
        <v>4672.06111</v>
      </c>
      <c r="F545" s="182" t="n">
        <v>4703.08054</v>
      </c>
      <c r="G545" s="182" t="n">
        <v>4703.88878</v>
      </c>
      <c r="H545" s="182" t="n">
        <v>0</v>
      </c>
      <c r="I545" s="182" t="n">
        <v>543</v>
      </c>
      <c r="J545" s="182" t="n">
        <v>8.302</v>
      </c>
      <c r="K545" s="182" t="n">
        <v>28.6089</v>
      </c>
    </row>
    <row r="546" ht="15" customHeight="1" s="28">
      <c r="A546" s="181" t="n">
        <v>1777035602</v>
      </c>
      <c r="B546" s="181" t="inlineStr">
        <is>
          <t>XAUUSD</t>
        </is>
      </c>
      <c r="C546" s="181" t="inlineStr">
        <is>
          <t>M15</t>
        </is>
      </c>
      <c r="D546" s="181" t="n">
        <v>4702.99</v>
      </c>
      <c r="E546" s="181" t="n">
        <v>4671.7935</v>
      </c>
      <c r="F546" s="181" t="n">
        <v>4703.48662</v>
      </c>
      <c r="G546" s="181" t="n">
        <v>4703.6877</v>
      </c>
      <c r="H546" s="181" t="n">
        <v>0</v>
      </c>
      <c r="I546" s="181" t="n">
        <v>544</v>
      </c>
      <c r="J546" s="181" t="n">
        <v>10.8759</v>
      </c>
      <c r="K546" s="181" t="n">
        <v>31.1965</v>
      </c>
    </row>
    <row r="547" ht="15" customHeight="1" s="28">
      <c r="A547" s="182" t="n">
        <v>1777036502</v>
      </c>
      <c r="B547" s="182" t="inlineStr">
        <is>
          <t>XAUUSD</t>
        </is>
      </c>
      <c r="C547" s="182" t="inlineStr">
        <is>
          <t>M15</t>
        </is>
      </c>
      <c r="D547" s="182" t="n">
        <v>4697.13</v>
      </c>
      <c r="E547" s="182" t="n">
        <v>4671.5259</v>
      </c>
      <c r="F547" s="182" t="n">
        <v>4705.476</v>
      </c>
      <c r="G547" s="182" t="n">
        <v>4704.58185</v>
      </c>
      <c r="H547" s="182" t="n">
        <v>1</v>
      </c>
      <c r="I547" s="182" t="n">
        <v>545</v>
      </c>
      <c r="J547" s="182" t="n">
        <v>5.2698</v>
      </c>
      <c r="K547" s="182" t="n">
        <v>25.6041</v>
      </c>
    </row>
    <row r="548" ht="15" customHeight="1" s="28">
      <c r="A548" s="181" t="n">
        <v>1777037402</v>
      </c>
      <c r="B548" s="181" t="inlineStr">
        <is>
          <t>XAUUSD</t>
        </is>
      </c>
      <c r="C548" s="181" t="inlineStr">
        <is>
          <t>M15</t>
        </is>
      </c>
      <c r="D548" s="181" t="n">
        <v>4708.23</v>
      </c>
      <c r="E548" s="181" t="n">
        <v>4671.25829</v>
      </c>
      <c r="F548" s="181" t="n">
        <v>4709.16285</v>
      </c>
      <c r="G548" s="181" t="n">
        <v>4706.87235</v>
      </c>
      <c r="H548" s="181" t="n">
        <v>0</v>
      </c>
      <c r="I548" s="181" t="n">
        <v>546</v>
      </c>
      <c r="J548" s="181" t="n">
        <v>16.6237</v>
      </c>
      <c r="K548" s="181" t="n">
        <v>36.9717</v>
      </c>
    </row>
    <row r="549" ht="15" customHeight="1" s="28">
      <c r="A549" s="182" t="n">
        <v>1777038302</v>
      </c>
      <c r="B549" s="182" t="inlineStr">
        <is>
          <t>XAUUSD</t>
        </is>
      </c>
      <c r="C549" s="182" t="inlineStr">
        <is>
          <t>M15</t>
        </is>
      </c>
      <c r="D549" s="182" t="n">
        <v>4711.2</v>
      </c>
      <c r="E549" s="182" t="n">
        <v>4670.99069</v>
      </c>
      <c r="F549" s="182" t="n">
        <v>4713.89201</v>
      </c>
      <c r="G549" s="182" t="n">
        <v>4710.38218</v>
      </c>
      <c r="H549" s="182" t="n">
        <v>0</v>
      </c>
      <c r="I549" s="182" t="n">
        <v>547</v>
      </c>
      <c r="J549" s="182" t="n">
        <v>19.8476</v>
      </c>
      <c r="K549" s="182" t="n">
        <v>40.2093</v>
      </c>
    </row>
    <row r="550" ht="15" customHeight="1" s="28">
      <c r="A550" s="181" t="n">
        <v>1777039202</v>
      </c>
      <c r="B550" s="181" t="inlineStr">
        <is>
          <t>XAUUSD</t>
        </is>
      </c>
      <c r="C550" s="181" t="inlineStr">
        <is>
          <t>M15</t>
        </is>
      </c>
      <c r="D550" s="181" t="n">
        <v>4731.95</v>
      </c>
      <c r="E550" s="181" t="n">
        <v>4670.72309</v>
      </c>
      <c r="F550" s="181" t="n">
        <v>4718.96621</v>
      </c>
      <c r="G550" s="181" t="n">
        <v>4714.6742</v>
      </c>
      <c r="H550" s="181" t="n">
        <v>0</v>
      </c>
      <c r="I550" s="181" t="n">
        <v>548</v>
      </c>
      <c r="J550" s="181" t="n">
        <v>40.8515</v>
      </c>
      <c r="K550" s="181" t="n">
        <v>61.2269</v>
      </c>
    </row>
    <row r="551" ht="15" customHeight="1" s="28">
      <c r="A551" s="182" t="n">
        <v>1777040102</v>
      </c>
      <c r="B551" s="182" t="inlineStr">
        <is>
          <t>XAUUSD</t>
        </is>
      </c>
      <c r="C551" s="182" t="inlineStr">
        <is>
          <t>M15</t>
        </is>
      </c>
      <c r="D551" s="182" t="n">
        <v>4725.46</v>
      </c>
      <c r="E551" s="182" t="n">
        <v>4670.45548</v>
      </c>
      <c r="F551" s="182" t="n">
        <v>4723.15627</v>
      </c>
      <c r="G551" s="182" t="n">
        <v>4718.91523</v>
      </c>
      <c r="H551" s="182" t="n">
        <v>0</v>
      </c>
      <c r="I551" s="182" t="n">
        <v>549</v>
      </c>
      <c r="J551" s="182" t="n">
        <v>34.6154</v>
      </c>
      <c r="K551" s="182" t="n">
        <v>55.0045</v>
      </c>
    </row>
    <row r="552" ht="15" customHeight="1" s="28">
      <c r="A552" s="181" t="n">
        <v>1777041002</v>
      </c>
      <c r="B552" s="181" t="inlineStr">
        <is>
          <t>XAUUSD</t>
        </is>
      </c>
      <c r="C552" s="181" t="inlineStr">
        <is>
          <t>M15</t>
        </is>
      </c>
      <c r="D552" s="181" t="n">
        <v>4730.38</v>
      </c>
      <c r="E552" s="181" t="n">
        <v>4670.18788</v>
      </c>
      <c r="F552" s="181" t="n">
        <v>4726.1589</v>
      </c>
      <c r="G552" s="181" t="n">
        <v>4722.53707</v>
      </c>
      <c r="H552" s="181" t="n">
        <v>0</v>
      </c>
      <c r="I552" s="181" t="n">
        <v>550</v>
      </c>
      <c r="J552" s="181" t="n">
        <v>39.7892</v>
      </c>
      <c r="K552" s="181" t="n">
        <v>60.1921</v>
      </c>
    </row>
    <row r="553" ht="15" customHeight="1" s="28">
      <c r="A553" s="182" t="n">
        <v>1777041902</v>
      </c>
      <c r="B553" s="182" t="inlineStr">
        <is>
          <t>XAUUSD</t>
        </is>
      </c>
      <c r="C553" s="182" t="inlineStr">
        <is>
          <t>M15</t>
        </is>
      </c>
      <c r="D553" s="182" t="n">
        <v>4726.41</v>
      </c>
      <c r="E553" s="182" t="n">
        <v>4669.92027</v>
      </c>
      <c r="F553" s="182" t="n">
        <v>4727.63112</v>
      </c>
      <c r="G553" s="182" t="n">
        <v>4725.08409</v>
      </c>
      <c r="H553" s="182" t="n">
        <v>0</v>
      </c>
      <c r="I553" s="182" t="n">
        <v>551</v>
      </c>
      <c r="J553" s="182" t="n">
        <v>36.0731</v>
      </c>
      <c r="K553" s="182" t="n">
        <v>56.4897</v>
      </c>
    </row>
    <row r="554" ht="15" customHeight="1" s="28">
      <c r="A554" s="181" t="n">
        <v>1777042802</v>
      </c>
      <c r="B554" s="181" t="inlineStr">
        <is>
          <t>XAUUSD</t>
        </is>
      </c>
      <c r="C554" s="181" t="inlineStr">
        <is>
          <t>M15</t>
        </is>
      </c>
      <c r="D554" s="181" t="n">
        <v>4721.97</v>
      </c>
      <c r="E554" s="181" t="n">
        <v>4669.65267</v>
      </c>
      <c r="F554" s="181" t="n">
        <v>4727.79328</v>
      </c>
      <c r="G554" s="181" t="n">
        <v>4726.43869</v>
      </c>
      <c r="H554" s="181" t="n">
        <v>0</v>
      </c>
      <c r="I554" s="181" t="n">
        <v>552</v>
      </c>
      <c r="J554" s="181" t="n">
        <v>31.887</v>
      </c>
      <c r="K554" s="181" t="n">
        <v>52.3173</v>
      </c>
    </row>
    <row r="555" ht="15" customHeight="1" s="28">
      <c r="A555" s="182" t="n">
        <v>1777043702</v>
      </c>
      <c r="B555" s="182" t="inlineStr">
        <is>
          <t>XAUUSD</t>
        </is>
      </c>
      <c r="C555" s="182" t="inlineStr">
        <is>
          <t>M15</t>
        </is>
      </c>
      <c r="D555" s="182" t="n">
        <v>4721.74</v>
      </c>
      <c r="E555" s="182" t="n">
        <v>4669.38507</v>
      </c>
      <c r="F555" s="182" t="n">
        <v>4727.10565</v>
      </c>
      <c r="G555" s="182" t="n">
        <v>4726.77217</v>
      </c>
      <c r="H555" s="182" t="n">
        <v>0</v>
      </c>
      <c r="I555" s="182" t="n">
        <v>553</v>
      </c>
      <c r="J555" s="182" t="n">
        <v>31.9109</v>
      </c>
      <c r="K555" s="182" t="n">
        <v>52.3549</v>
      </c>
    </row>
    <row r="556" ht="15" customHeight="1" s="28">
      <c r="A556" s="181" t="n">
        <v>1777044602</v>
      </c>
      <c r="B556" s="181" t="inlineStr">
        <is>
          <t>XAUUSD</t>
        </is>
      </c>
      <c r="C556" s="181" t="inlineStr">
        <is>
          <t>M15</t>
        </is>
      </c>
      <c r="D556" s="181" t="n">
        <v>4728.12</v>
      </c>
      <c r="E556" s="181" t="n">
        <v>4669.11746</v>
      </c>
      <c r="F556" s="181" t="n">
        <v>4725.99974</v>
      </c>
      <c r="G556" s="181" t="n">
        <v>4726.38596</v>
      </c>
      <c r="H556" s="181" t="n">
        <v>1</v>
      </c>
      <c r="I556" s="181" t="n">
        <v>554</v>
      </c>
      <c r="J556" s="181" t="n">
        <v>38.5448</v>
      </c>
      <c r="K556" s="181" t="n">
        <v>59.0025</v>
      </c>
    </row>
    <row r="557" ht="15" customHeight="1" s="28">
      <c r="A557" s="182" t="n">
        <v>1777045502</v>
      </c>
      <c r="B557" s="182" t="inlineStr">
        <is>
          <t>XAUUSD</t>
        </is>
      </c>
      <c r="C557" s="182" t="inlineStr">
        <is>
          <t>M15</t>
        </is>
      </c>
      <c r="D557" s="182" t="n">
        <v>4727.24</v>
      </c>
      <c r="E557" s="182" t="n">
        <v>4668.84986</v>
      </c>
      <c r="F557" s="182" t="n">
        <v>4724.75206</v>
      </c>
      <c r="G557" s="182" t="n">
        <v>4725.56901</v>
      </c>
      <c r="H557" s="182" t="n">
        <v>0</v>
      </c>
      <c r="I557" s="182" t="n">
        <v>555</v>
      </c>
      <c r="J557" s="182" t="n">
        <v>37.9187</v>
      </c>
      <c r="K557" s="182" t="n">
        <v>58.3901</v>
      </c>
    </row>
    <row r="558" ht="15" customHeight="1" s="28">
      <c r="A558" s="181" t="n">
        <v>1777046402</v>
      </c>
      <c r="B558" s="181" t="inlineStr">
        <is>
          <t>XAUUSD</t>
        </is>
      </c>
      <c r="C558" s="181" t="inlineStr">
        <is>
          <t>M15</t>
        </is>
      </c>
      <c r="D558" s="181" t="n">
        <v>4720.65</v>
      </c>
      <c r="E558" s="181" t="n">
        <v>4668.58225</v>
      </c>
      <c r="F558" s="181" t="n">
        <v>4723.73149</v>
      </c>
      <c r="G558" s="181" t="n">
        <v>4724.65025</v>
      </c>
      <c r="H558" s="181" t="n">
        <v>0</v>
      </c>
      <c r="I558" s="181" t="n">
        <v>556</v>
      </c>
      <c r="J558" s="181" t="n">
        <v>31.5826</v>
      </c>
      <c r="K558" s="181" t="n">
        <v>52.0677</v>
      </c>
    </row>
    <row r="559" ht="15" customHeight="1" s="28">
      <c r="A559" s="182" t="n">
        <v>1777047302</v>
      </c>
      <c r="B559" s="182" t="inlineStr">
        <is>
          <t>XAUUSD</t>
        </is>
      </c>
      <c r="C559" s="182" t="inlineStr">
        <is>
          <t>M15</t>
        </is>
      </c>
      <c r="D559" s="182" t="n">
        <v>4723.32</v>
      </c>
      <c r="E559" s="182" t="n">
        <v>4668.31465</v>
      </c>
      <c r="F559" s="182" t="n">
        <v>4723.30128</v>
      </c>
      <c r="G559" s="182" t="n">
        <v>4723.97577</v>
      </c>
      <c r="H559" s="182" t="n">
        <v>0</v>
      </c>
      <c r="I559" s="182" t="n">
        <v>557</v>
      </c>
      <c r="J559" s="182" t="n">
        <v>34.5065</v>
      </c>
      <c r="K559" s="182" t="n">
        <v>55.0053</v>
      </c>
    </row>
    <row r="560" ht="15" customHeight="1" s="28">
      <c r="A560" s="181" t="n">
        <v>1777048202</v>
      </c>
      <c r="B560" s="181" t="inlineStr">
        <is>
          <t>XAUUSD</t>
        </is>
      </c>
      <c r="C560" s="181" t="inlineStr">
        <is>
          <t>M15</t>
        </is>
      </c>
      <c r="D560" s="181" t="n">
        <v>4722.58</v>
      </c>
      <c r="E560" s="181" t="n">
        <v>4668.04705</v>
      </c>
      <c r="F560" s="181" t="n">
        <v>4723.33921</v>
      </c>
      <c r="G560" s="181" t="n">
        <v>4723.65749</v>
      </c>
      <c r="H560" s="181" t="n">
        <v>0</v>
      </c>
      <c r="I560" s="181" t="n">
        <v>558</v>
      </c>
      <c r="J560" s="181" t="n">
        <v>34.0204</v>
      </c>
      <c r="K560" s="181" t="n">
        <v>54.5329</v>
      </c>
    </row>
    <row r="561" ht="15" customHeight="1" s="28">
      <c r="A561" s="182" t="n">
        <v>1777049102</v>
      </c>
      <c r="B561" s="182" t="inlineStr">
        <is>
          <t>XAUUSD</t>
        </is>
      </c>
      <c r="C561" s="182" t="inlineStr">
        <is>
          <t>M15</t>
        </is>
      </c>
      <c r="D561" s="182" t="n">
        <v>4726.84</v>
      </c>
      <c r="E561" s="182" t="n">
        <v>4667.77944</v>
      </c>
      <c r="F561" s="182" t="n">
        <v>4723.69626</v>
      </c>
      <c r="G561" s="182" t="n">
        <v>4723.67687</v>
      </c>
      <c r="H561" s="182" t="n">
        <v>1</v>
      </c>
      <c r="I561" s="182" t="n">
        <v>559</v>
      </c>
      <c r="J561" s="182" t="n">
        <v>38.5343</v>
      </c>
      <c r="K561" s="182" t="n">
        <v>59.0606</v>
      </c>
    </row>
    <row r="562" ht="15" customHeight="1" s="28">
      <c r="A562" s="181" t="n">
        <v>1777050002</v>
      </c>
      <c r="B562" s="181" t="inlineStr">
        <is>
          <t>XAUUSD</t>
        </is>
      </c>
      <c r="C562" s="181" t="inlineStr">
        <is>
          <t>M15</t>
        </is>
      </c>
      <c r="D562" s="181" t="n">
        <v>4727.78</v>
      </c>
      <c r="E562" s="181" t="n">
        <v>4667.51184</v>
      </c>
      <c r="F562" s="181" t="n">
        <v>4724.02465</v>
      </c>
      <c r="G562" s="181" t="n">
        <v>4723.85076</v>
      </c>
      <c r="H562" s="181" t="n">
        <v>0</v>
      </c>
      <c r="I562" s="181" t="n">
        <v>560</v>
      </c>
      <c r="J562" s="181" t="n">
        <v>39.7282</v>
      </c>
      <c r="K562" s="181" t="n">
        <v>60.2682</v>
      </c>
    </row>
    <row r="563" ht="15" customHeight="1" s="28">
      <c r="A563" s="182" t="n">
        <v>1777050902</v>
      </c>
      <c r="B563" s="182" t="inlineStr">
        <is>
          <t>XAUUSD</t>
        </is>
      </c>
      <c r="C563" s="182" t="inlineStr">
        <is>
          <t>M15</t>
        </is>
      </c>
      <c r="D563" s="182" t="n">
        <v>4723.06</v>
      </c>
      <c r="E563" s="182" t="n">
        <v>4667.24423</v>
      </c>
      <c r="F563" s="182" t="n">
        <v>4724.07794</v>
      </c>
      <c r="G563" s="182" t="n">
        <v>4723.96435</v>
      </c>
      <c r="H563" s="182" t="n">
        <v>0</v>
      </c>
      <c r="I563" s="182" t="n">
        <v>561</v>
      </c>
      <c r="J563" s="182" t="n">
        <v>35.2621</v>
      </c>
      <c r="K563" s="182" t="n">
        <v>55.8158</v>
      </c>
    </row>
    <row r="564" ht="15" customHeight="1" s="28">
      <c r="A564" s="181" t="n">
        <v>1777051802</v>
      </c>
      <c r="B564" s="181" t="inlineStr">
        <is>
          <t>XAUUSD</t>
        </is>
      </c>
      <c r="C564" s="181" t="inlineStr">
        <is>
          <t>M15</t>
        </is>
      </c>
      <c r="D564" s="181" t="n">
        <v>4722.48</v>
      </c>
      <c r="E564" s="181" t="n">
        <v>4666.97663</v>
      </c>
      <c r="F564" s="181" t="n">
        <v>4723.85954</v>
      </c>
      <c r="G564" s="181" t="n">
        <v>4723.91195</v>
      </c>
      <c r="H564" s="181" t="n">
        <v>1</v>
      </c>
      <c r="I564" s="181" t="n">
        <v>562</v>
      </c>
      <c r="J564" s="181" t="n">
        <v>34.936</v>
      </c>
      <c r="K564" s="181" t="n">
        <v>55.5034</v>
      </c>
    </row>
    <row r="565" ht="15" customHeight="1" s="28">
      <c r="A565" s="182" t="n">
        <v>1777052702</v>
      </c>
      <c r="B565" s="182" t="inlineStr">
        <is>
          <t>XAUUSD</t>
        </is>
      </c>
      <c r="C565" s="182" t="inlineStr">
        <is>
          <t>M15</t>
        </is>
      </c>
      <c r="D565" s="182" t="n">
        <v>4723.38</v>
      </c>
      <c r="E565" s="182" t="n">
        <v>4666.70902</v>
      </c>
      <c r="F565" s="182" t="n">
        <v>4723.3713</v>
      </c>
      <c r="G565" s="182" t="n">
        <v>4723.64162</v>
      </c>
      <c r="H565" s="182" t="n">
        <v>0</v>
      </c>
      <c r="I565" s="182" t="n">
        <v>563</v>
      </c>
      <c r="J565" s="182" t="n">
        <v>36.0899</v>
      </c>
      <c r="K565" s="182" t="n">
        <v>56.671</v>
      </c>
    </row>
    <row r="566" ht="15" customHeight="1" s="28">
      <c r="A566" s="181" t="n">
        <v>1777053602</v>
      </c>
      <c r="B566" s="181" t="inlineStr">
        <is>
          <t>XAUUSD</t>
        </is>
      </c>
      <c r="C566" s="181" t="inlineStr">
        <is>
          <t>M15</t>
        </is>
      </c>
      <c r="D566" s="181" t="n">
        <v>4723.94</v>
      </c>
      <c r="E566" s="181" t="n">
        <v>4666.44142</v>
      </c>
      <c r="F566" s="181" t="n">
        <v>4722.649</v>
      </c>
      <c r="G566" s="181" t="n">
        <v>4723.14531</v>
      </c>
      <c r="H566" s="181" t="n">
        <v>0</v>
      </c>
      <c r="I566" s="181" t="n">
        <v>564</v>
      </c>
      <c r="J566" s="181" t="n">
        <v>36.9038</v>
      </c>
      <c r="K566" s="181" t="n">
        <v>57.4986</v>
      </c>
    </row>
    <row r="567" ht="15" customHeight="1" s="28">
      <c r="A567" s="182" t="n">
        <v>1777054502</v>
      </c>
      <c r="B567" s="182" t="inlineStr">
        <is>
          <t>XAUUSD</t>
        </is>
      </c>
      <c r="C567" s="182" t="inlineStr">
        <is>
          <t>M15</t>
        </is>
      </c>
      <c r="D567" s="182" t="n">
        <v>4717.26</v>
      </c>
      <c r="E567" s="182" t="n">
        <v>4666.17382</v>
      </c>
      <c r="F567" s="182" t="n">
        <v>4721.79404</v>
      </c>
      <c r="G567" s="182" t="n">
        <v>4722.46968</v>
      </c>
      <c r="H567" s="182" t="n">
        <v>0</v>
      </c>
      <c r="I567" s="182" t="n">
        <v>565</v>
      </c>
      <c r="J567" s="182" t="n">
        <v>30.4777</v>
      </c>
      <c r="K567" s="182" t="n">
        <v>51.0862</v>
      </c>
    </row>
    <row r="568" ht="15" customHeight="1" s="28">
      <c r="A568" s="181" t="n">
        <v>1777055402</v>
      </c>
      <c r="B568" s="181" t="inlineStr">
        <is>
          <t>XAUUSD</t>
        </is>
      </c>
      <c r="C568" s="181" t="inlineStr">
        <is>
          <t>M15</t>
        </is>
      </c>
      <c r="D568" s="181" t="n">
        <v>4718.98</v>
      </c>
      <c r="E568" s="181" t="n">
        <v>4665.90621</v>
      </c>
      <c r="F568" s="181" t="n">
        <v>4721.09485</v>
      </c>
      <c r="G568" s="181" t="n">
        <v>4721.78226</v>
      </c>
      <c r="H568" s="181" t="n">
        <v>0</v>
      </c>
      <c r="I568" s="181" t="n">
        <v>566</v>
      </c>
      <c r="J568" s="181" t="n">
        <v>32.4516</v>
      </c>
      <c r="K568" s="181" t="n">
        <v>53.0738</v>
      </c>
    </row>
    <row r="569" ht="15" customHeight="1" s="28">
      <c r="A569" s="182" t="n">
        <v>1777056302</v>
      </c>
      <c r="B569" s="182" t="inlineStr">
        <is>
          <t>XAUUSD</t>
        </is>
      </c>
      <c r="C569" s="182" t="inlineStr">
        <is>
          <t>M15</t>
        </is>
      </c>
      <c r="D569" s="182" t="n">
        <v>4722.91</v>
      </c>
      <c r="E569" s="182" t="n">
        <v>4665.63861</v>
      </c>
      <c r="F569" s="182" t="n">
        <v>4720.49046</v>
      </c>
      <c r="G569" s="182" t="n">
        <v>4721.13636</v>
      </c>
      <c r="H569" s="182" t="n">
        <v>0</v>
      </c>
      <c r="I569" s="182" t="n">
        <v>567</v>
      </c>
      <c r="J569" s="182" t="n">
        <v>36.6355</v>
      </c>
      <c r="K569" s="182" t="n">
        <v>57.2714</v>
      </c>
    </row>
    <row r="570" ht="15" customHeight="1" s="28">
      <c r="A570" s="181" t="n">
        <v>1777057202</v>
      </c>
      <c r="B570" s="181" t="inlineStr">
        <is>
          <t>XAUUSD</t>
        </is>
      </c>
      <c r="C570" s="181" t="inlineStr">
        <is>
          <t>M15</t>
        </is>
      </c>
      <c r="D570" s="181" t="n">
        <v>4722.47</v>
      </c>
      <c r="E570" s="181" t="n">
        <v>4665.371</v>
      </c>
      <c r="F570" s="181" t="n">
        <v>4719.74574</v>
      </c>
      <c r="G570" s="181" t="n">
        <v>4720.44105</v>
      </c>
      <c r="H570" s="181" t="n">
        <v>0</v>
      </c>
      <c r="I570" s="181" t="n">
        <v>568</v>
      </c>
      <c r="J570" s="181" t="n">
        <v>36.4494</v>
      </c>
      <c r="K570" s="181" t="n">
        <v>57.099</v>
      </c>
    </row>
    <row r="571" ht="15" customHeight="1" s="28">
      <c r="A571" s="182" t="n">
        <v>1777058102</v>
      </c>
      <c r="B571" s="182" t="inlineStr">
        <is>
          <t>XAUUSD</t>
        </is>
      </c>
      <c r="C571" s="182" t="inlineStr">
        <is>
          <t>M15</t>
        </is>
      </c>
      <c r="D571" s="182" t="n">
        <v>4719.08</v>
      </c>
      <c r="E571" s="182" t="n">
        <v>4665.1034</v>
      </c>
      <c r="F571" s="182" t="n">
        <v>4718.68756</v>
      </c>
      <c r="G571" s="182" t="n">
        <v>4719.56431</v>
      </c>
      <c r="H571" s="182" t="n">
        <v>0</v>
      </c>
      <c r="I571" s="182" t="n">
        <v>569</v>
      </c>
      <c r="J571" s="182" t="n">
        <v>33.3133</v>
      </c>
      <c r="K571" s="182" t="n">
        <v>53.9766</v>
      </c>
    </row>
    <row r="572" ht="15" customHeight="1" s="28">
      <c r="A572" s="181" t="n">
        <v>1777059002</v>
      </c>
      <c r="B572" s="181" t="inlineStr">
        <is>
          <t>XAUUSD</t>
        </is>
      </c>
      <c r="C572" s="181" t="inlineStr">
        <is>
          <t>M15</t>
        </is>
      </c>
      <c r="D572" s="181" t="n">
        <v>4716.82</v>
      </c>
      <c r="E572" s="181" t="n">
        <v>4664.8358</v>
      </c>
      <c r="F572" s="181" t="n">
        <v>4717.19394</v>
      </c>
      <c r="G572" s="181" t="n">
        <v>4718.37912</v>
      </c>
      <c r="H572" s="181" t="n">
        <v>0</v>
      </c>
      <c r="I572" s="181" t="n">
        <v>570</v>
      </c>
      <c r="J572" s="181" t="n">
        <v>31.3072</v>
      </c>
      <c r="K572" s="181" t="n">
        <v>51.9842</v>
      </c>
    </row>
    <row r="573" ht="15" customHeight="1" s="28">
      <c r="A573" s="182" t="n">
        <v>1777059902</v>
      </c>
      <c r="B573" s="182" t="inlineStr">
        <is>
          <t>XAUUSD</t>
        </is>
      </c>
      <c r="C573" s="182" t="inlineStr">
        <is>
          <t>M15</t>
        </is>
      </c>
      <c r="D573" s="182" t="n">
        <v>4717.02</v>
      </c>
      <c r="E573" s="182" t="n">
        <v>4664.56819</v>
      </c>
      <c r="F573" s="182" t="n">
        <v>4715.08967</v>
      </c>
      <c r="G573" s="182" t="n">
        <v>4716.7344</v>
      </c>
      <c r="H573" s="182" t="n">
        <v>0</v>
      </c>
      <c r="I573" s="182" t="n">
        <v>571</v>
      </c>
      <c r="J573" s="182" t="n">
        <v>31.7611</v>
      </c>
      <c r="K573" s="182" t="n">
        <v>52.4518</v>
      </c>
    </row>
    <row r="574" ht="15" customHeight="1" s="28">
      <c r="A574" s="181" t="n">
        <v>1777060802</v>
      </c>
      <c r="B574" s="181" t="inlineStr">
        <is>
          <t>XAUUSD</t>
        </is>
      </c>
      <c r="C574" s="181" t="inlineStr">
        <is>
          <t>M15</t>
        </is>
      </c>
      <c r="D574" s="181" t="n">
        <v>4706.56</v>
      </c>
      <c r="E574" s="181" t="n">
        <v>4664.30059</v>
      </c>
      <c r="F574" s="181" t="n">
        <v>4712.17613</v>
      </c>
      <c r="G574" s="181" t="n">
        <v>4714.45526</v>
      </c>
      <c r="H574" s="181" t="n">
        <v>0</v>
      </c>
      <c r="I574" s="181" t="n">
        <v>572</v>
      </c>
      <c r="J574" s="181" t="n">
        <v>21.5549</v>
      </c>
      <c r="K574" s="181" t="n">
        <v>42.2594</v>
      </c>
    </row>
    <row r="575" ht="15" customHeight="1" s="28">
      <c r="A575" s="182" t="n">
        <v>1777061702</v>
      </c>
      <c r="B575" s="182" t="inlineStr">
        <is>
          <t>XAUUSD</t>
        </is>
      </c>
      <c r="C575" s="182" t="inlineStr">
        <is>
          <t>M15</t>
        </is>
      </c>
      <c r="D575" s="182" t="n">
        <v>4708.18</v>
      </c>
      <c r="E575" s="182" t="n">
        <v>4664.03298</v>
      </c>
      <c r="F575" s="182" t="n">
        <v>4708.64593</v>
      </c>
      <c r="G575" s="182" t="n">
        <v>4711.5506</v>
      </c>
      <c r="H575" s="182" t="n">
        <v>0</v>
      </c>
      <c r="I575" s="182" t="n">
        <v>573</v>
      </c>
      <c r="J575" s="182" t="n">
        <v>23.4288</v>
      </c>
      <c r="K575" s="182" t="n">
        <v>44.147</v>
      </c>
    </row>
    <row r="576" ht="15" customHeight="1" s="28">
      <c r="A576" s="181" t="n">
        <v>1777062602</v>
      </c>
      <c r="B576" s="181" t="inlineStr">
        <is>
          <t>XAUUSD</t>
        </is>
      </c>
      <c r="C576" s="181" t="inlineStr">
        <is>
          <t>M15</t>
        </is>
      </c>
      <c r="D576" s="181" t="n">
        <v>4707.61</v>
      </c>
      <c r="E576" s="181" t="n">
        <v>4663.76538</v>
      </c>
      <c r="F576" s="181" t="n">
        <v>4704.42352</v>
      </c>
      <c r="G576" s="181" t="n">
        <v>4707.98706</v>
      </c>
      <c r="H576" s="181" t="n">
        <v>0</v>
      </c>
      <c r="I576" s="181" t="n">
        <v>574</v>
      </c>
      <c r="J576" s="181" t="n">
        <v>23.1127</v>
      </c>
      <c r="K576" s="181" t="n">
        <v>43.8446</v>
      </c>
    </row>
    <row r="577" ht="15" customHeight="1" s="28">
      <c r="A577" s="182" t="n">
        <v>1777063502</v>
      </c>
      <c r="B577" s="182" t="inlineStr">
        <is>
          <t>XAUUSD</t>
        </is>
      </c>
      <c r="C577" s="182" t="inlineStr">
        <is>
          <t>M15</t>
        </is>
      </c>
      <c r="D577" s="182" t="n">
        <v>4708.24</v>
      </c>
      <c r="E577" s="182" t="n">
        <v>4663.49778</v>
      </c>
      <c r="F577" s="182" t="n">
        <v>4699.60235</v>
      </c>
      <c r="G577" s="182" t="n">
        <v>4703.7947</v>
      </c>
      <c r="H577" s="182" t="n">
        <v>0</v>
      </c>
      <c r="I577" s="182" t="n">
        <v>575</v>
      </c>
      <c r="J577" s="182" t="n">
        <v>23.9966</v>
      </c>
      <c r="K577" s="182" t="n">
        <v>44.7422</v>
      </c>
    </row>
    <row r="578" ht="15" customHeight="1" s="28">
      <c r="A578" s="181" t="n">
        <v>1777240802</v>
      </c>
      <c r="B578" s="181" t="inlineStr">
        <is>
          <t>XAUUSD</t>
        </is>
      </c>
      <c r="C578" s="181" t="inlineStr">
        <is>
          <t>M15</t>
        </is>
      </c>
      <c r="D578" s="181" t="n">
        <v>4685.5</v>
      </c>
      <c r="E578" s="181" t="n">
        <v>4663.23017</v>
      </c>
      <c r="F578" s="181" t="n">
        <v>4694.36168</v>
      </c>
      <c r="G578" s="181" t="n">
        <v>4699.07819</v>
      </c>
      <c r="H578" s="181" t="n">
        <v>0</v>
      </c>
      <c r="I578" s="181" t="n">
        <v>576</v>
      </c>
      <c r="J578" s="181" t="n">
        <v>1.5105</v>
      </c>
      <c r="K578" s="181" t="n">
        <v>22.2698</v>
      </c>
    </row>
    <row r="579" ht="15" customHeight="1" s="28">
      <c r="A579" s="182" t="n">
        <v>1777241702</v>
      </c>
      <c r="B579" s="182" t="inlineStr">
        <is>
          <t>XAUUSD</t>
        </is>
      </c>
      <c r="C579" s="182" t="inlineStr">
        <is>
          <t>M15</t>
        </is>
      </c>
      <c r="D579" s="182" t="n">
        <v>4686.88</v>
      </c>
      <c r="E579" s="182" t="n">
        <v>4662.96257</v>
      </c>
      <c r="F579" s="182" t="n">
        <v>4689.56991</v>
      </c>
      <c r="G579" s="182" t="n">
        <v>4694.32405</v>
      </c>
      <c r="H579" s="182" t="n">
        <v>0</v>
      </c>
      <c r="I579" s="182" t="n">
        <v>577</v>
      </c>
      <c r="J579" s="182" t="n">
        <v>3.1444</v>
      </c>
      <c r="K579" s="182" t="n">
        <v>23.9174</v>
      </c>
    </row>
    <row r="580" ht="15" customHeight="1" s="28">
      <c r="A580" s="181" t="n">
        <v>1777242602</v>
      </c>
      <c r="B580" s="181" t="inlineStr">
        <is>
          <t>XAUUSD</t>
        </is>
      </c>
      <c r="C580" s="181" t="inlineStr">
        <is>
          <t>M15</t>
        </is>
      </c>
      <c r="D580" s="181" t="n">
        <v>4684.48</v>
      </c>
      <c r="E580" s="181" t="n">
        <v>4662.69496</v>
      </c>
      <c r="F580" s="181" t="n">
        <v>4685.41227</v>
      </c>
      <c r="G580" s="181" t="n">
        <v>4689.86816</v>
      </c>
      <c r="H580" s="181" t="n">
        <v>0</v>
      </c>
      <c r="I580" s="181" t="n">
        <v>578</v>
      </c>
      <c r="J580" s="181" t="n">
        <v>0.9983</v>
      </c>
      <c r="K580" s="181" t="n">
        <v>21.785</v>
      </c>
    </row>
    <row r="581" ht="15" customHeight="1" s="28">
      <c r="A581" s="182" t="n">
        <v>1777243502</v>
      </c>
      <c r="B581" s="182" t="inlineStr">
        <is>
          <t>XAUUSD</t>
        </is>
      </c>
      <c r="C581" s="182" t="inlineStr">
        <is>
          <t>M15</t>
        </is>
      </c>
      <c r="D581" s="182" t="n">
        <v>4684.52</v>
      </c>
      <c r="E581" s="182" t="n">
        <v>4662.42736</v>
      </c>
      <c r="F581" s="182" t="n">
        <v>4682.06813</v>
      </c>
      <c r="G581" s="182" t="n">
        <v>4685.96815</v>
      </c>
      <c r="H581" s="182" t="n">
        <v>0</v>
      </c>
      <c r="I581" s="182" t="n">
        <v>579</v>
      </c>
      <c r="J581" s="182" t="n">
        <v>1.2922</v>
      </c>
      <c r="K581" s="182" t="n">
        <v>22.0926</v>
      </c>
    </row>
    <row r="582" ht="15" customHeight="1" s="28">
      <c r="A582" s="181" t="n">
        <v>1777244402</v>
      </c>
      <c r="B582" s="181" t="inlineStr">
        <is>
          <t>XAUUSD</t>
        </is>
      </c>
      <c r="C582" s="181" t="inlineStr">
        <is>
          <t>M15</t>
        </is>
      </c>
      <c r="D582" s="181" t="n">
        <v>4683.71</v>
      </c>
      <c r="E582" s="181" t="n">
        <v>4662.15976</v>
      </c>
      <c r="F582" s="181" t="n">
        <v>4679.64993</v>
      </c>
      <c r="G582" s="181" t="n">
        <v>4682.80904</v>
      </c>
      <c r="H582" s="181" t="n">
        <v>0</v>
      </c>
      <c r="I582" s="181" t="n">
        <v>580</v>
      </c>
      <c r="J582" s="181" t="n">
        <v>0.7361</v>
      </c>
      <c r="K582" s="181" t="n">
        <v>21.5502</v>
      </c>
    </row>
    <row r="583" ht="15" customHeight="1" s="28">
      <c r="A583" s="182" t="n">
        <v>1777245302</v>
      </c>
      <c r="B583" s="182" t="inlineStr">
        <is>
          <t>XAUUSD</t>
        </is>
      </c>
      <c r="C583" s="182" t="inlineStr">
        <is>
          <t>M15</t>
        </is>
      </c>
      <c r="D583" s="182" t="n">
        <v>4677.41</v>
      </c>
      <c r="E583" s="182" t="n">
        <v>4661.89215</v>
      </c>
      <c r="F583" s="182" t="n">
        <v>4678.23661</v>
      </c>
      <c r="G583" s="182" t="n">
        <v>4680.52283</v>
      </c>
      <c r="H583" s="182" t="n">
        <v>0</v>
      </c>
      <c r="I583" s="182" t="n">
        <v>581</v>
      </c>
      <c r="J583" s="182" t="n">
        <v>-5.31</v>
      </c>
      <c r="K583" s="182" t="n">
        <v>15.5179</v>
      </c>
    </row>
    <row r="584" ht="15" customHeight="1" s="28">
      <c r="A584" s="181" t="n">
        <v>1777246202</v>
      </c>
      <c r="B584" s="181" t="inlineStr">
        <is>
          <t>XAUUSD</t>
        </is>
      </c>
      <c r="C584" s="181" t="inlineStr">
        <is>
          <t>M15</t>
        </is>
      </c>
      <c r="D584" s="181" t="n">
        <v>4676.93</v>
      </c>
      <c r="E584" s="181" t="n">
        <v>4661.62455</v>
      </c>
      <c r="F584" s="181" t="n">
        <v>4678.01111</v>
      </c>
      <c r="G584" s="181" t="n">
        <v>4679.26697</v>
      </c>
      <c r="H584" s="181" t="n">
        <v>0</v>
      </c>
      <c r="I584" s="181" t="n">
        <v>582</v>
      </c>
      <c r="J584" s="181" t="n">
        <v>-5.5361</v>
      </c>
      <c r="K584" s="181" t="n">
        <v>15.3054</v>
      </c>
    </row>
    <row r="585" ht="15" customHeight="1" s="28">
      <c r="A585" s="182" t="n">
        <v>1777247102</v>
      </c>
      <c r="B585" s="182" t="inlineStr">
        <is>
          <t>XAUUSD</t>
        </is>
      </c>
      <c r="C585" s="182" t="inlineStr">
        <is>
          <t>M15</t>
        </is>
      </c>
      <c r="D585" s="182" t="n">
        <v>4680.04</v>
      </c>
      <c r="E585" s="182" t="n">
        <v>4661.35694</v>
      </c>
      <c r="F585" s="182" t="n">
        <v>4678.92486</v>
      </c>
      <c r="G585" s="182" t="n">
        <v>4679.09592</v>
      </c>
      <c r="H585" s="182" t="n">
        <v>0</v>
      </c>
      <c r="I585" s="182" t="n">
        <v>583</v>
      </c>
      <c r="J585" s="182" t="n">
        <v>-2.1722</v>
      </c>
      <c r="K585" s="182" t="n">
        <v>18.6831</v>
      </c>
    </row>
    <row r="586" ht="15" customHeight="1" s="28">
      <c r="A586" s="181" t="n">
        <v>1777248002</v>
      </c>
      <c r="B586" s="181" t="inlineStr">
        <is>
          <t>XAUUSD</t>
        </is>
      </c>
      <c r="C586" s="181" t="inlineStr">
        <is>
          <t>M15</t>
        </is>
      </c>
      <c r="D586" s="181" t="n">
        <v>4679.86</v>
      </c>
      <c r="E586" s="181" t="n">
        <v>4661.08934</v>
      </c>
      <c r="F586" s="181" t="n">
        <v>4680.76262</v>
      </c>
      <c r="G586" s="181" t="n">
        <v>4679.92927</v>
      </c>
      <c r="H586" s="181" t="n">
        <v>1</v>
      </c>
      <c r="I586" s="181" t="n">
        <v>584</v>
      </c>
      <c r="J586" s="181" t="n">
        <v>-2.0983</v>
      </c>
      <c r="K586" s="181" t="n">
        <v>18.7707</v>
      </c>
    </row>
    <row r="587" ht="15" customHeight="1" s="28">
      <c r="A587" s="182" t="n">
        <v>1777248902</v>
      </c>
      <c r="B587" s="182" t="inlineStr">
        <is>
          <t>XAUUSD</t>
        </is>
      </c>
      <c r="C587" s="182" t="inlineStr">
        <is>
          <t>M15</t>
        </is>
      </c>
      <c r="D587" s="182" t="n">
        <v>4680.65</v>
      </c>
      <c r="E587" s="182" t="n">
        <v>4660.82173</v>
      </c>
      <c r="F587" s="182" t="n">
        <v>4683.33908</v>
      </c>
      <c r="G587" s="182" t="n">
        <v>4681.63417</v>
      </c>
      <c r="H587" s="182" t="n">
        <v>0</v>
      </c>
      <c r="I587" s="182" t="n">
        <v>585</v>
      </c>
      <c r="J587" s="182" t="n">
        <v>-1.0544</v>
      </c>
      <c r="K587" s="182" t="n">
        <v>19.8283</v>
      </c>
    </row>
    <row r="588" ht="15" customHeight="1" s="28">
      <c r="A588" s="181" t="n">
        <v>1777249802</v>
      </c>
      <c r="B588" s="181" t="inlineStr">
        <is>
          <t>XAUUSD</t>
        </is>
      </c>
      <c r="C588" s="181" t="inlineStr">
        <is>
          <t>M15</t>
        </is>
      </c>
      <c r="D588" s="181" t="n">
        <v>4680.47</v>
      </c>
      <c r="E588" s="181" t="n">
        <v>4660.55413</v>
      </c>
      <c r="F588" s="181" t="n">
        <v>4686.43622</v>
      </c>
      <c r="G588" s="181" t="n">
        <v>4684.0352</v>
      </c>
      <c r="H588" s="181" t="n">
        <v>0</v>
      </c>
      <c r="I588" s="181" t="n">
        <v>586</v>
      </c>
      <c r="J588" s="181" t="n">
        <v>-0.9805</v>
      </c>
      <c r="K588" s="181" t="n">
        <v>19.9159</v>
      </c>
    </row>
    <row r="589" ht="15" customHeight="1" s="28">
      <c r="A589" s="182" t="n">
        <v>1777250702</v>
      </c>
      <c r="B589" s="182" t="inlineStr">
        <is>
          <t>XAUUSD</t>
        </is>
      </c>
      <c r="C589" s="182" t="inlineStr">
        <is>
          <t>M15</t>
        </is>
      </c>
      <c r="D589" s="182" t="n">
        <v>4697.98</v>
      </c>
      <c r="E589" s="182" t="n">
        <v>4660.28653</v>
      </c>
      <c r="F589" s="182" t="n">
        <v>4689.87739</v>
      </c>
      <c r="G589" s="182" t="n">
        <v>4686.9563</v>
      </c>
      <c r="H589" s="182" t="n">
        <v>0</v>
      </c>
      <c r="I589" s="182" t="n">
        <v>587</v>
      </c>
      <c r="J589" s="182" t="n">
        <v>16.7834</v>
      </c>
      <c r="K589" s="182" t="n">
        <v>37.6935</v>
      </c>
    </row>
    <row r="590" ht="15" customHeight="1" s="28">
      <c r="A590" s="181" t="n">
        <v>1777251602</v>
      </c>
      <c r="B590" s="181" t="inlineStr">
        <is>
          <t>XAUUSD</t>
        </is>
      </c>
      <c r="C590" s="181" t="inlineStr">
        <is>
          <t>M15</t>
        </is>
      </c>
      <c r="D590" s="181" t="n">
        <v>4692.94</v>
      </c>
      <c r="E590" s="181" t="n">
        <v>4660.01892</v>
      </c>
      <c r="F590" s="181" t="n">
        <v>4693.03417</v>
      </c>
      <c r="G590" s="181" t="n">
        <v>4689.99523</v>
      </c>
      <c r="H590" s="181" t="n">
        <v>0</v>
      </c>
      <c r="I590" s="181" t="n">
        <v>588</v>
      </c>
      <c r="J590" s="181" t="n">
        <v>11.9973</v>
      </c>
      <c r="K590" s="181" t="n">
        <v>32.9211</v>
      </c>
    </row>
    <row r="591" ht="15" customHeight="1" s="28">
      <c r="A591" s="182" t="n">
        <v>1777252502</v>
      </c>
      <c r="B591" s="182" t="inlineStr">
        <is>
          <t>XAUUSD</t>
        </is>
      </c>
      <c r="C591" s="182" t="inlineStr">
        <is>
          <t>M15</t>
        </is>
      </c>
      <c r="D591" s="182" t="n">
        <v>4697.97</v>
      </c>
      <c r="E591" s="182" t="n">
        <v>4659.75132</v>
      </c>
      <c r="F591" s="182" t="n">
        <v>4696.01419</v>
      </c>
      <c r="G591" s="182" t="n">
        <v>4693.00471</v>
      </c>
      <c r="H591" s="182" t="n">
        <v>0</v>
      </c>
      <c r="I591" s="182" t="n">
        <v>589</v>
      </c>
      <c r="J591" s="182" t="n">
        <v>17.2812</v>
      </c>
      <c r="K591" s="182" t="n">
        <v>38.2187</v>
      </c>
    </row>
    <row r="592" ht="15" customHeight="1" s="28">
      <c r="A592" s="181" t="n">
        <v>1777253402</v>
      </c>
      <c r="B592" s="181" t="inlineStr">
        <is>
          <t>XAUUSD</t>
        </is>
      </c>
      <c r="C592" s="181" t="inlineStr">
        <is>
          <t>M15</t>
        </is>
      </c>
      <c r="D592" s="181" t="n">
        <v>4697.87</v>
      </c>
      <c r="E592" s="181" t="n">
        <v>4659.48371</v>
      </c>
      <c r="F592" s="181" t="n">
        <v>4698.77389</v>
      </c>
      <c r="G592" s="181" t="n">
        <v>4695.8893</v>
      </c>
      <c r="H592" s="181" t="n">
        <v>0</v>
      </c>
      <c r="I592" s="181" t="n">
        <v>590</v>
      </c>
      <c r="J592" s="181" t="n">
        <v>17.4351</v>
      </c>
      <c r="K592" s="181" t="n">
        <v>38.3863</v>
      </c>
    </row>
    <row r="593" ht="15" customHeight="1" s="28">
      <c r="A593" s="182" t="n">
        <v>1777254302</v>
      </c>
      <c r="B593" s="182" t="inlineStr">
        <is>
          <t>XAUUSD</t>
        </is>
      </c>
      <c r="C593" s="182" t="inlineStr">
        <is>
          <t>M15</t>
        </is>
      </c>
      <c r="D593" s="182" t="n">
        <v>4702.74</v>
      </c>
      <c r="E593" s="182" t="n">
        <v>4659.21611</v>
      </c>
      <c r="F593" s="182" t="n">
        <v>4701.50178</v>
      </c>
      <c r="G593" s="182" t="n">
        <v>4698.69554</v>
      </c>
      <c r="H593" s="182" t="n">
        <v>0</v>
      </c>
      <c r="I593" s="182" t="n">
        <v>591</v>
      </c>
      <c r="J593" s="182" t="n">
        <v>22.559</v>
      </c>
      <c r="K593" s="182" t="n">
        <v>43.5239</v>
      </c>
    </row>
    <row r="594" ht="15" customHeight="1" s="28">
      <c r="A594" s="181" t="n">
        <v>1777255202</v>
      </c>
      <c r="B594" s="181" t="inlineStr">
        <is>
          <t>XAUUSD</t>
        </is>
      </c>
      <c r="C594" s="181" t="inlineStr">
        <is>
          <t>M15</t>
        </is>
      </c>
      <c r="D594" s="181" t="n">
        <v>4699.73</v>
      </c>
      <c r="E594" s="181" t="n">
        <v>4658.94851</v>
      </c>
      <c r="F594" s="181" t="n">
        <v>4704.305</v>
      </c>
      <c r="G594" s="181" t="n">
        <v>4701.50027</v>
      </c>
      <c r="H594" s="181" t="n">
        <v>0</v>
      </c>
      <c r="I594" s="181" t="n">
        <v>592</v>
      </c>
      <c r="J594" s="181" t="n">
        <v>19.8029</v>
      </c>
      <c r="K594" s="181" t="n">
        <v>40.7815</v>
      </c>
    </row>
    <row r="595" ht="15" customHeight="1" s="28">
      <c r="A595" s="182" t="n">
        <v>1777256102</v>
      </c>
      <c r="B595" s="182" t="inlineStr">
        <is>
          <t>XAUUSD</t>
        </is>
      </c>
      <c r="C595" s="182" t="inlineStr">
        <is>
          <t>M15</t>
        </is>
      </c>
      <c r="D595" s="182" t="n">
        <v>4705.71</v>
      </c>
      <c r="E595" s="182" t="n">
        <v>4658.6809</v>
      </c>
      <c r="F595" s="182" t="n">
        <v>4707.46925</v>
      </c>
      <c r="G595" s="182" t="n">
        <v>4704.48476</v>
      </c>
      <c r="H595" s="182" t="n">
        <v>0</v>
      </c>
      <c r="I595" s="182" t="n">
        <v>593</v>
      </c>
      <c r="J595" s="182" t="n">
        <v>26.0368</v>
      </c>
      <c r="K595" s="182" t="n">
        <v>47.0291</v>
      </c>
    </row>
    <row r="596" ht="15" customHeight="1" s="28">
      <c r="A596" s="181" t="n">
        <v>1777257002</v>
      </c>
      <c r="B596" s="181" t="inlineStr">
        <is>
          <t>XAUUSD</t>
        </is>
      </c>
      <c r="C596" s="181" t="inlineStr">
        <is>
          <t>M15</t>
        </is>
      </c>
      <c r="D596" s="181" t="n">
        <v>4713.51</v>
      </c>
      <c r="E596" s="181" t="n">
        <v>4658.4133</v>
      </c>
      <c r="F596" s="181" t="n">
        <v>4710.9511</v>
      </c>
      <c r="G596" s="181" t="n">
        <v>4707.71793</v>
      </c>
      <c r="H596" s="181" t="n">
        <v>0</v>
      </c>
      <c r="I596" s="181" t="n">
        <v>594</v>
      </c>
      <c r="J596" s="181" t="n">
        <v>34.0906</v>
      </c>
      <c r="K596" s="181" t="n">
        <v>55.0967</v>
      </c>
    </row>
    <row r="597" ht="15" customHeight="1" s="28">
      <c r="A597" s="182" t="n">
        <v>1777257902</v>
      </c>
      <c r="B597" s="182" t="inlineStr">
        <is>
          <t>XAUUSD</t>
        </is>
      </c>
      <c r="C597" s="182" t="inlineStr">
        <is>
          <t>M15</t>
        </is>
      </c>
      <c r="D597" s="182" t="n">
        <v>4718.18</v>
      </c>
      <c r="E597" s="182" t="n">
        <v>4658.14569</v>
      </c>
      <c r="F597" s="182" t="n">
        <v>4714.55172</v>
      </c>
      <c r="G597" s="182" t="n">
        <v>4711.13483</v>
      </c>
      <c r="H597" s="182" t="n">
        <v>0</v>
      </c>
      <c r="I597" s="182" t="n">
        <v>595</v>
      </c>
      <c r="J597" s="182" t="n">
        <v>39.0145</v>
      </c>
      <c r="K597" s="182" t="n">
        <v>60.0343</v>
      </c>
    </row>
    <row r="598" ht="15" customHeight="1" s="28">
      <c r="A598" s="181" t="n">
        <v>1777258802</v>
      </c>
      <c r="B598" s="181" t="inlineStr">
        <is>
          <t>XAUUSD</t>
        </is>
      </c>
      <c r="C598" s="181" t="inlineStr">
        <is>
          <t>M15</t>
        </is>
      </c>
      <c r="D598" s="181" t="n">
        <v>4717.72</v>
      </c>
      <c r="E598" s="181" t="n">
        <v>4657.87809</v>
      </c>
      <c r="F598" s="181" t="n">
        <v>4718.06835</v>
      </c>
      <c r="G598" s="181" t="n">
        <v>4714.60159</v>
      </c>
      <c r="H598" s="181" t="n">
        <v>0</v>
      </c>
      <c r="I598" s="181" t="n">
        <v>596</v>
      </c>
      <c r="J598" s="181" t="n">
        <v>38.8084</v>
      </c>
      <c r="K598" s="181" t="n">
        <v>59.8419</v>
      </c>
    </row>
    <row r="599" ht="15" customHeight="1" s="28">
      <c r="A599" s="182" t="n">
        <v>1777259702</v>
      </c>
      <c r="B599" s="182" t="inlineStr">
        <is>
          <t>XAUUSD</t>
        </is>
      </c>
      <c r="C599" s="182" t="inlineStr">
        <is>
          <t>M15</t>
        </is>
      </c>
      <c r="D599" s="182" t="n">
        <v>4715.68</v>
      </c>
      <c r="E599" s="182" t="n">
        <v>4657.61049</v>
      </c>
      <c r="F599" s="182" t="n">
        <v>4721.3482</v>
      </c>
      <c r="G599" s="182" t="n">
        <v>4717.97489</v>
      </c>
      <c r="H599" s="182" t="n">
        <v>0</v>
      </c>
      <c r="I599" s="182" t="n">
        <v>597</v>
      </c>
      <c r="J599" s="182" t="n">
        <v>37.0223</v>
      </c>
      <c r="K599" s="182" t="n">
        <v>58.0695</v>
      </c>
    </row>
    <row r="600" ht="15" customHeight="1" s="28">
      <c r="A600" s="181" t="n">
        <v>1777260602</v>
      </c>
      <c r="B600" s="181" t="inlineStr">
        <is>
          <t>XAUUSD</t>
        </is>
      </c>
      <c r="C600" s="181" t="inlineStr">
        <is>
          <t>M15</t>
        </is>
      </c>
      <c r="D600" s="181" t="n">
        <v>4728.4</v>
      </c>
      <c r="E600" s="181" t="n">
        <v>4657.34288</v>
      </c>
      <c r="F600" s="181" t="n">
        <v>4724.22216</v>
      </c>
      <c r="G600" s="181" t="n">
        <v>4721.09853</v>
      </c>
      <c r="H600" s="181" t="n">
        <v>0</v>
      </c>
      <c r="I600" s="181" t="n">
        <v>598</v>
      </c>
      <c r="J600" s="181" t="n">
        <v>49.9962</v>
      </c>
      <c r="K600" s="181" t="n">
        <v>71.05710000000001</v>
      </c>
    </row>
    <row r="601" ht="15" customHeight="1" s="28">
      <c r="A601" s="182" t="n">
        <v>1777261502</v>
      </c>
      <c r="B601" s="182" t="inlineStr">
        <is>
          <t>XAUUSD</t>
        </is>
      </c>
      <c r="C601" s="182" t="inlineStr">
        <is>
          <t>M15</t>
        </is>
      </c>
      <c r="D601" s="182" t="n">
        <v>4724.1</v>
      </c>
      <c r="E601" s="182" t="n">
        <v>4657.07528</v>
      </c>
      <c r="F601" s="182" t="n">
        <v>4726.11259</v>
      </c>
      <c r="G601" s="182" t="n">
        <v>4723.60556</v>
      </c>
      <c r="H601" s="182" t="n">
        <v>0</v>
      </c>
      <c r="I601" s="182" t="n">
        <v>599</v>
      </c>
      <c r="J601" s="182" t="n">
        <v>45.9501</v>
      </c>
      <c r="K601" s="182" t="n">
        <v>67.0247</v>
      </c>
    </row>
    <row r="602" ht="15" customHeight="1" s="28">
      <c r="A602" s="181" t="n">
        <v>1777262402</v>
      </c>
      <c r="B602" s="181" t="inlineStr">
        <is>
          <t>XAUUSD</t>
        </is>
      </c>
      <c r="C602" s="181" t="inlineStr">
        <is>
          <t>M15</t>
        </is>
      </c>
      <c r="D602" s="181" t="n">
        <v>4727.47</v>
      </c>
      <c r="E602" s="181" t="n">
        <v>4656.80767</v>
      </c>
      <c r="F602" s="181" t="n">
        <v>4726.95955</v>
      </c>
      <c r="G602" s="181" t="n">
        <v>4725.28255</v>
      </c>
      <c r="H602" s="181" t="n">
        <v>0</v>
      </c>
      <c r="I602" s="181" t="n">
        <v>600</v>
      </c>
      <c r="J602" s="181" t="n">
        <v>49.574</v>
      </c>
      <c r="K602" s="181" t="n">
        <v>70.6623</v>
      </c>
    </row>
    <row r="603" ht="15" customHeight="1" s="28">
      <c r="A603" s="182" t="n">
        <v>1777263302</v>
      </c>
      <c r="B603" s="182" t="inlineStr">
        <is>
          <t>XAUUSD</t>
        </is>
      </c>
      <c r="C603" s="182" t="inlineStr">
        <is>
          <t>M15</t>
        </is>
      </c>
      <c r="D603" s="182" t="n">
        <v>4726.85</v>
      </c>
      <c r="E603" s="182" t="n">
        <v>4656.54007</v>
      </c>
      <c r="F603" s="182" t="n">
        <v>4726.60536</v>
      </c>
      <c r="G603" s="182" t="n">
        <v>4725.94396</v>
      </c>
      <c r="H603" s="182" t="n">
        <v>0</v>
      </c>
      <c r="I603" s="182" t="n">
        <v>601</v>
      </c>
      <c r="J603" s="182" t="n">
        <v>49.2079</v>
      </c>
      <c r="K603" s="182" t="n">
        <v>70.3099</v>
      </c>
    </row>
    <row r="604" ht="15" customHeight="1" s="28">
      <c r="A604" s="181" t="n">
        <v>1777264202</v>
      </c>
      <c r="B604" s="181" t="inlineStr">
        <is>
          <t>XAUUSD</t>
        </is>
      </c>
      <c r="C604" s="181" t="inlineStr">
        <is>
          <t>M15</t>
        </is>
      </c>
      <c r="D604" s="181" t="n">
        <v>4726.18</v>
      </c>
      <c r="E604" s="181" t="n">
        <v>4656.27247</v>
      </c>
      <c r="F604" s="181" t="n">
        <v>4725.12374</v>
      </c>
      <c r="G604" s="181" t="n">
        <v>4725.53385</v>
      </c>
      <c r="H604" s="181" t="n">
        <v>1</v>
      </c>
      <c r="I604" s="181" t="n">
        <v>602</v>
      </c>
      <c r="J604" s="181" t="n">
        <v>48.7918</v>
      </c>
      <c r="K604" s="181" t="n">
        <v>69.9075</v>
      </c>
    </row>
    <row r="605" ht="15" customHeight="1" s="28">
      <c r="A605" s="182" t="n">
        <v>1777265102</v>
      </c>
      <c r="B605" s="182" t="inlineStr">
        <is>
          <t>XAUUSD</t>
        </is>
      </c>
      <c r="C605" s="182" t="inlineStr">
        <is>
          <t>M15</t>
        </is>
      </c>
      <c r="D605" s="182" t="n">
        <v>4724.74</v>
      </c>
      <c r="E605" s="182" t="n">
        <v>4656.00486</v>
      </c>
      <c r="F605" s="182" t="n">
        <v>4722.74901</v>
      </c>
      <c r="G605" s="182" t="n">
        <v>4724.14143</v>
      </c>
      <c r="H605" s="182" t="n">
        <v>0</v>
      </c>
      <c r="I605" s="182" t="n">
        <v>603</v>
      </c>
      <c r="J605" s="182" t="n">
        <v>47.6057</v>
      </c>
      <c r="K605" s="182" t="n">
        <v>68.7351</v>
      </c>
    </row>
    <row r="606" ht="15" customHeight="1" s="28">
      <c r="A606" s="181" t="n">
        <v>1777266002</v>
      </c>
      <c r="B606" s="181" t="inlineStr">
        <is>
          <t>XAUUSD</t>
        </is>
      </c>
      <c r="C606" s="181" t="inlineStr">
        <is>
          <t>M15</t>
        </is>
      </c>
      <c r="D606" s="181" t="n">
        <v>4718.21</v>
      </c>
      <c r="E606" s="181" t="n">
        <v>4655.73726</v>
      </c>
      <c r="F606" s="181" t="n">
        <v>4719.84245</v>
      </c>
      <c r="G606" s="181" t="n">
        <v>4721.99194</v>
      </c>
      <c r="H606" s="181" t="n">
        <v>0</v>
      </c>
      <c r="I606" s="181" t="n">
        <v>604</v>
      </c>
      <c r="J606" s="181" t="n">
        <v>41.3296</v>
      </c>
      <c r="K606" s="181" t="n">
        <v>62.4727</v>
      </c>
    </row>
    <row r="607" ht="15" customHeight="1" s="28">
      <c r="A607" s="182" t="n">
        <v>1777266902</v>
      </c>
      <c r="B607" s="182" t="inlineStr">
        <is>
          <t>XAUUSD</t>
        </is>
      </c>
      <c r="C607" s="182" t="inlineStr">
        <is>
          <t>M15</t>
        </is>
      </c>
      <c r="D607" s="182" t="n">
        <v>4718.25</v>
      </c>
      <c r="E607" s="182" t="n">
        <v>4655.46965</v>
      </c>
      <c r="F607" s="182" t="n">
        <v>4716.97046</v>
      </c>
      <c r="G607" s="182" t="n">
        <v>4719.4812</v>
      </c>
      <c r="H607" s="182" t="n">
        <v>0</v>
      </c>
      <c r="I607" s="182" t="n">
        <v>605</v>
      </c>
      <c r="J607" s="182" t="n">
        <v>41.6235</v>
      </c>
      <c r="K607" s="182" t="n">
        <v>62.7804</v>
      </c>
    </row>
    <row r="608" ht="15" customHeight="1" s="28">
      <c r="A608" s="181" t="n">
        <v>1777267802</v>
      </c>
      <c r="B608" s="181" t="inlineStr">
        <is>
          <t>XAUUSD</t>
        </is>
      </c>
      <c r="C608" s="181" t="inlineStr">
        <is>
          <t>M15</t>
        </is>
      </c>
      <c r="D608" s="181" t="n">
        <v>4711.84</v>
      </c>
      <c r="E608" s="181" t="n">
        <v>4655.20205</v>
      </c>
      <c r="F608" s="181" t="n">
        <v>4714.47603</v>
      </c>
      <c r="G608" s="181" t="n">
        <v>4716.97861</v>
      </c>
      <c r="H608" s="181" t="n">
        <v>0</v>
      </c>
      <c r="I608" s="181" t="n">
        <v>606</v>
      </c>
      <c r="J608" s="181" t="n">
        <v>35.4674</v>
      </c>
      <c r="K608" s="181" t="n">
        <v>56.638</v>
      </c>
    </row>
    <row r="609" ht="15" customHeight="1" s="28">
      <c r="A609" s="182" t="n">
        <v>1777268702</v>
      </c>
      <c r="B609" s="182" t="inlineStr">
        <is>
          <t>XAUUSD</t>
        </is>
      </c>
      <c r="C609" s="182" t="inlineStr">
        <is>
          <t>M15</t>
        </is>
      </c>
      <c r="D609" s="182" t="n">
        <v>4710.13</v>
      </c>
      <c r="E609" s="182" t="n">
        <v>4654.93444</v>
      </c>
      <c r="F609" s="182" t="n">
        <v>4712.82716</v>
      </c>
      <c r="G609" s="182" t="n">
        <v>4714.90289</v>
      </c>
      <c r="H609" s="182" t="n">
        <v>0</v>
      </c>
      <c r="I609" s="182" t="n">
        <v>607</v>
      </c>
      <c r="J609" s="182" t="n">
        <v>34.0113</v>
      </c>
      <c r="K609" s="182" t="n">
        <v>55.1956</v>
      </c>
    </row>
    <row r="610" ht="15" customHeight="1" s="28">
      <c r="A610" s="181" t="n">
        <v>1777269602</v>
      </c>
      <c r="B610" s="181" t="inlineStr">
        <is>
          <t>XAUUSD</t>
        </is>
      </c>
      <c r="C610" s="181" t="inlineStr">
        <is>
          <t>M15</t>
        </is>
      </c>
      <c r="D610" s="181" t="n">
        <v>4714.43</v>
      </c>
      <c r="E610" s="181" t="n">
        <v>4654.66684</v>
      </c>
      <c r="F610" s="181" t="n">
        <v>4712.14793</v>
      </c>
      <c r="G610" s="181" t="n">
        <v>4713.52541</v>
      </c>
      <c r="H610" s="181" t="n">
        <v>0</v>
      </c>
      <c r="I610" s="181" t="n">
        <v>608</v>
      </c>
      <c r="J610" s="181" t="n">
        <v>38.5652</v>
      </c>
      <c r="K610" s="181" t="n">
        <v>59.7632</v>
      </c>
    </row>
    <row r="611" ht="15" customHeight="1" s="28">
      <c r="A611" s="182" t="n">
        <v>1777270502</v>
      </c>
      <c r="B611" s="182" t="inlineStr">
        <is>
          <t>XAUUSD</t>
        </is>
      </c>
      <c r="C611" s="182" t="inlineStr">
        <is>
          <t>M15</t>
        </is>
      </c>
      <c r="D611" s="182" t="n">
        <v>4714.53</v>
      </c>
      <c r="E611" s="182" t="n">
        <v>4654.39924</v>
      </c>
      <c r="F611" s="182" t="n">
        <v>4712.24302</v>
      </c>
      <c r="G611" s="182" t="n">
        <v>4712.88422</v>
      </c>
      <c r="H611" s="182" t="n">
        <v>0</v>
      </c>
      <c r="I611" s="182" t="n">
        <v>609</v>
      </c>
      <c r="J611" s="182" t="n">
        <v>38.9191</v>
      </c>
      <c r="K611" s="182" t="n">
        <v>60.1308</v>
      </c>
    </row>
    <row r="612" ht="15" customHeight="1" s="28">
      <c r="A612" s="181" t="n">
        <v>1777271402</v>
      </c>
      <c r="B612" s="181" t="inlineStr">
        <is>
          <t>XAUUSD</t>
        </is>
      </c>
      <c r="C612" s="181" t="inlineStr">
        <is>
          <t>M15</t>
        </is>
      </c>
      <c r="D612" s="181" t="n">
        <v>4710.77</v>
      </c>
      <c r="E612" s="181" t="n">
        <v>4654.13163</v>
      </c>
      <c r="F612" s="181" t="n">
        <v>4712.87561</v>
      </c>
      <c r="G612" s="181" t="n">
        <v>4712.87991</v>
      </c>
      <c r="H612" s="181" t="n">
        <v>0</v>
      </c>
      <c r="I612" s="181" t="n">
        <v>610</v>
      </c>
      <c r="J612" s="181" t="n">
        <v>35.413</v>
      </c>
      <c r="K612" s="181" t="n">
        <v>56.6384</v>
      </c>
    </row>
    <row r="613" ht="15" customHeight="1" s="28">
      <c r="A613" s="182" t="n">
        <v>1777272302</v>
      </c>
      <c r="B613" s="182" t="inlineStr">
        <is>
          <t>XAUUSD</t>
        </is>
      </c>
      <c r="C613" s="182" t="inlineStr">
        <is>
          <t>M15</t>
        </is>
      </c>
      <c r="D613" s="182" t="n">
        <v>4712.84</v>
      </c>
      <c r="E613" s="182" t="n">
        <v>4653.86403</v>
      </c>
      <c r="F613" s="182" t="n">
        <v>4713.84707</v>
      </c>
      <c r="G613" s="182" t="n">
        <v>4713.36349</v>
      </c>
      <c r="H613" s="182" t="n">
        <v>1</v>
      </c>
      <c r="I613" s="182" t="n">
        <v>611</v>
      </c>
      <c r="J613" s="182" t="n">
        <v>37.7369</v>
      </c>
      <c r="K613" s="182" t="n">
        <v>58.976</v>
      </c>
    </row>
    <row r="614" ht="15" customHeight="1" s="28">
      <c r="A614" s="181" t="n">
        <v>1777273202</v>
      </c>
      <c r="B614" s="181" t="inlineStr">
        <is>
          <t>XAUUSD</t>
        </is>
      </c>
      <c r="C614" s="181" t="inlineStr">
        <is>
          <t>M15</t>
        </is>
      </c>
      <c r="D614" s="181" t="n">
        <v>4717.2</v>
      </c>
      <c r="E614" s="181" t="n">
        <v>4653.59642</v>
      </c>
      <c r="F614" s="181" t="n">
        <v>4714.77643</v>
      </c>
      <c r="G614" s="181" t="n">
        <v>4714.06996</v>
      </c>
      <c r="H614" s="181" t="n">
        <v>0</v>
      </c>
      <c r="I614" s="181" t="n">
        <v>612</v>
      </c>
      <c r="J614" s="181" t="n">
        <v>42.3508</v>
      </c>
      <c r="K614" s="181" t="n">
        <v>63.6036</v>
      </c>
    </row>
    <row r="615" ht="15" customHeight="1" s="28">
      <c r="A615" s="182" t="n">
        <v>1777274102</v>
      </c>
      <c r="B615" s="182" t="inlineStr">
        <is>
          <t>XAUUSD</t>
        </is>
      </c>
      <c r="C615" s="182" t="inlineStr">
        <is>
          <t>M15</t>
        </is>
      </c>
      <c r="D615" s="182" t="n">
        <v>4716.12</v>
      </c>
      <c r="E615" s="182" t="n">
        <v>4653.32882</v>
      </c>
      <c r="F615" s="182" t="n">
        <v>4715.23428</v>
      </c>
      <c r="G615" s="182" t="n">
        <v>4714.65212</v>
      </c>
      <c r="H615" s="182" t="n">
        <v>0</v>
      </c>
      <c r="I615" s="182" t="n">
        <v>613</v>
      </c>
      <c r="J615" s="182" t="n">
        <v>41.5247</v>
      </c>
      <c r="K615" s="182" t="n">
        <v>62.7912</v>
      </c>
    </row>
    <row r="616" ht="15" customHeight="1" s="28">
      <c r="A616" s="181" t="n">
        <v>1777275002</v>
      </c>
      <c r="B616" s="181" t="inlineStr">
        <is>
          <t>XAUUSD</t>
        </is>
      </c>
      <c r="C616" s="181" t="inlineStr">
        <is>
          <t>M15</t>
        </is>
      </c>
      <c r="D616" s="181" t="n">
        <v>4714.85</v>
      </c>
      <c r="E616" s="181" t="n">
        <v>4653.06122</v>
      </c>
      <c r="F616" s="181" t="n">
        <v>4715.06779</v>
      </c>
      <c r="G616" s="181" t="n">
        <v>4714.85996</v>
      </c>
      <c r="H616" s="181" t="n">
        <v>0</v>
      </c>
      <c r="I616" s="181" t="n">
        <v>614</v>
      </c>
      <c r="J616" s="181" t="n">
        <v>40.5086</v>
      </c>
      <c r="K616" s="181" t="n">
        <v>61.7888</v>
      </c>
    </row>
    <row r="617" ht="15" customHeight="1" s="28">
      <c r="A617" s="182" t="n">
        <v>1777275902</v>
      </c>
      <c r="B617" s="182" t="inlineStr">
        <is>
          <t>XAUUSD</t>
        </is>
      </c>
      <c r="C617" s="182" t="inlineStr">
        <is>
          <t>M15</t>
        </is>
      </c>
      <c r="D617" s="182" t="n">
        <v>4713.36</v>
      </c>
      <c r="E617" s="182" t="n">
        <v>4652.79361</v>
      </c>
      <c r="F617" s="182" t="n">
        <v>4714.23743</v>
      </c>
      <c r="G617" s="182" t="n">
        <v>4714.54869</v>
      </c>
      <c r="H617" s="182" t="n">
        <v>1</v>
      </c>
      <c r="I617" s="182" t="n">
        <v>615</v>
      </c>
      <c r="J617" s="182" t="n">
        <v>39.2725</v>
      </c>
      <c r="K617" s="182" t="n">
        <v>60.5664</v>
      </c>
    </row>
    <row r="618" ht="15" customHeight="1" s="28">
      <c r="A618" s="181" t="n">
        <v>1777276802</v>
      </c>
      <c r="B618" s="181" t="inlineStr">
        <is>
          <t>XAUUSD</t>
        </is>
      </c>
      <c r="C618" s="181" t="inlineStr">
        <is>
          <t>M15</t>
        </is>
      </c>
      <c r="D618" s="181" t="n">
        <v>4710.86</v>
      </c>
      <c r="E618" s="181" t="n">
        <v>4652.52601</v>
      </c>
      <c r="F618" s="181" t="n">
        <v>4712.81265</v>
      </c>
      <c r="G618" s="181" t="n">
        <v>4713.68067</v>
      </c>
      <c r="H618" s="181" t="n">
        <v>0</v>
      </c>
      <c r="I618" s="181" t="n">
        <v>616</v>
      </c>
      <c r="J618" s="181" t="n">
        <v>37.0264</v>
      </c>
      <c r="K618" s="181" t="n">
        <v>58.334</v>
      </c>
    </row>
    <row r="619" ht="15" customHeight="1" s="28">
      <c r="A619" s="182" t="n">
        <v>1777277702</v>
      </c>
      <c r="B619" s="182" t="inlineStr">
        <is>
          <t>XAUUSD</t>
        </is>
      </c>
      <c r="C619" s="182" t="inlineStr">
        <is>
          <t>M15</t>
        </is>
      </c>
      <c r="D619" s="182" t="n">
        <v>4710.86</v>
      </c>
      <c r="E619" s="182" t="n">
        <v>4652.2584</v>
      </c>
      <c r="F619" s="182" t="n">
        <v>4711.00481</v>
      </c>
      <c r="G619" s="182" t="n">
        <v>4712.34274</v>
      </c>
      <c r="H619" s="182" t="n">
        <v>0</v>
      </c>
      <c r="I619" s="182" t="n">
        <v>617</v>
      </c>
      <c r="J619" s="182" t="n">
        <v>37.2802</v>
      </c>
      <c r="K619" s="182" t="n">
        <v>58.6016</v>
      </c>
    </row>
    <row r="620" ht="15" customHeight="1" s="28">
      <c r="A620" s="181" t="n">
        <v>1777278602</v>
      </c>
      <c r="B620" s="181" t="inlineStr">
        <is>
          <t>XAUUSD</t>
        </is>
      </c>
      <c r="C620" s="181" t="inlineStr">
        <is>
          <t>M15</t>
        </is>
      </c>
      <c r="D620" s="181" t="n">
        <v>4711.89</v>
      </c>
      <c r="E620" s="181" t="n">
        <v>4651.9908</v>
      </c>
      <c r="F620" s="181" t="n">
        <v>4708.98704</v>
      </c>
      <c r="G620" s="181" t="n">
        <v>4710.66489</v>
      </c>
      <c r="H620" s="181" t="n">
        <v>0</v>
      </c>
      <c r="I620" s="181" t="n">
        <v>618</v>
      </c>
      <c r="J620" s="181" t="n">
        <v>38.5641</v>
      </c>
      <c r="K620" s="181" t="n">
        <v>59.8992</v>
      </c>
    </row>
    <row r="621" ht="15" customHeight="1" s="28">
      <c r="A621" s="182" t="n">
        <v>1777279502</v>
      </c>
      <c r="B621" s="182" t="inlineStr">
        <is>
          <t>XAUUSD</t>
        </is>
      </c>
      <c r="C621" s="182" t="inlineStr">
        <is>
          <t>M15</t>
        </is>
      </c>
      <c r="D621" s="182" t="n">
        <v>4706.71</v>
      </c>
      <c r="E621" s="182" t="n">
        <v>4651.7232</v>
      </c>
      <c r="F621" s="182" t="n">
        <v>4706.94915</v>
      </c>
      <c r="G621" s="182" t="n">
        <v>4708.80702</v>
      </c>
      <c r="H621" s="182" t="n">
        <v>0</v>
      </c>
      <c r="I621" s="182" t="n">
        <v>619</v>
      </c>
      <c r="J621" s="182" t="n">
        <v>33.638</v>
      </c>
      <c r="K621" s="182" t="n">
        <v>54.9868</v>
      </c>
    </row>
    <row r="622" ht="15" customHeight="1" s="28">
      <c r="A622" s="181" t="n">
        <v>1777280402</v>
      </c>
      <c r="B622" s="181" t="inlineStr">
        <is>
          <t>XAUUSD</t>
        </is>
      </c>
      <c r="C622" s="181" t="inlineStr">
        <is>
          <t>M15</t>
        </is>
      </c>
      <c r="D622" s="181" t="n">
        <v>4705.12</v>
      </c>
      <c r="E622" s="181" t="n">
        <v>4651.45559</v>
      </c>
      <c r="F622" s="181" t="n">
        <v>4705.23719</v>
      </c>
      <c r="G622" s="181" t="n">
        <v>4707.02211</v>
      </c>
      <c r="H622" s="181" t="n">
        <v>0</v>
      </c>
      <c r="I622" s="181" t="n">
        <v>620</v>
      </c>
      <c r="J622" s="181" t="n">
        <v>32.3019</v>
      </c>
      <c r="K622" s="181" t="n">
        <v>53.6644</v>
      </c>
    </row>
    <row r="623" ht="15" customHeight="1" s="28">
      <c r="A623" s="182" t="n">
        <v>1777281302</v>
      </c>
      <c r="B623" s="182" t="inlineStr">
        <is>
          <t>XAUUSD</t>
        </is>
      </c>
      <c r="C623" s="182" t="inlineStr">
        <is>
          <t>M15</t>
        </is>
      </c>
      <c r="D623" s="182" t="n">
        <v>4702.32</v>
      </c>
      <c r="E623" s="182" t="n">
        <v>4651.18799</v>
      </c>
      <c r="F623" s="182" t="n">
        <v>4704.05975</v>
      </c>
      <c r="G623" s="182" t="n">
        <v>4705.54093</v>
      </c>
      <c r="H623" s="182" t="n">
        <v>0</v>
      </c>
      <c r="I623" s="182" t="n">
        <v>621</v>
      </c>
      <c r="J623" s="182" t="n">
        <v>29.7558</v>
      </c>
      <c r="K623" s="182" t="n">
        <v>51.132</v>
      </c>
    </row>
    <row r="624" ht="15" customHeight="1" s="28">
      <c r="A624" s="181" t="n">
        <v>1777282202</v>
      </c>
      <c r="B624" s="181" t="inlineStr">
        <is>
          <t>XAUUSD</t>
        </is>
      </c>
      <c r="C624" s="181" t="inlineStr">
        <is>
          <t>M15</t>
        </is>
      </c>
      <c r="D624" s="181" t="n">
        <v>4704.64</v>
      </c>
      <c r="E624" s="181" t="n">
        <v>4650.92038</v>
      </c>
      <c r="F624" s="181" t="n">
        <v>4703.5523</v>
      </c>
      <c r="G624" s="181" t="n">
        <v>4704.54661</v>
      </c>
      <c r="H624" s="181" t="n">
        <v>0</v>
      </c>
      <c r="I624" s="181" t="n">
        <v>622</v>
      </c>
      <c r="J624" s="181" t="n">
        <v>32.3297</v>
      </c>
      <c r="K624" s="181" t="n">
        <v>53.7196</v>
      </c>
    </row>
    <row r="625" ht="15" customHeight="1" s="28">
      <c r="A625" s="182" t="n">
        <v>1777283102</v>
      </c>
      <c r="B625" s="182" t="inlineStr">
        <is>
          <t>XAUUSD</t>
        </is>
      </c>
      <c r="C625" s="182" t="inlineStr">
        <is>
          <t>M15</t>
        </is>
      </c>
      <c r="D625" s="182" t="n">
        <v>4703.64</v>
      </c>
      <c r="E625" s="182" t="n">
        <v>4650.65278</v>
      </c>
      <c r="F625" s="182" t="n">
        <v>4703.62711</v>
      </c>
      <c r="G625" s="182" t="n">
        <v>4704.08686</v>
      </c>
      <c r="H625" s="182" t="n">
        <v>0</v>
      </c>
      <c r="I625" s="182" t="n">
        <v>623</v>
      </c>
      <c r="J625" s="182" t="n">
        <v>31.5836</v>
      </c>
      <c r="K625" s="182" t="n">
        <v>52.9872</v>
      </c>
    </row>
    <row r="626" ht="15" customHeight="1" s="28">
      <c r="A626" s="181" t="n">
        <v>1777284002</v>
      </c>
      <c r="B626" s="181" t="inlineStr">
        <is>
          <t>XAUUSD</t>
        </is>
      </c>
      <c r="C626" s="181" t="inlineStr">
        <is>
          <t>M15</t>
        </is>
      </c>
      <c r="D626" s="181" t="n">
        <v>4701.91</v>
      </c>
      <c r="E626" s="181" t="n">
        <v>4650.38518</v>
      </c>
      <c r="F626" s="181" t="n">
        <v>4704.16561</v>
      </c>
      <c r="G626" s="181" t="n">
        <v>4704.12623</v>
      </c>
      <c r="H626" s="181" t="n">
        <v>1</v>
      </c>
      <c r="I626" s="181" t="n">
        <v>624</v>
      </c>
      <c r="J626" s="181" t="n">
        <v>30.1075</v>
      </c>
      <c r="K626" s="181" t="n">
        <v>51.5248</v>
      </c>
    </row>
    <row r="627" ht="15" customHeight="1" s="28">
      <c r="A627" s="182" t="n">
        <v>1777284902</v>
      </c>
      <c r="B627" s="182" t="inlineStr">
        <is>
          <t>XAUUSD</t>
        </is>
      </c>
      <c r="C627" s="182" t="inlineStr">
        <is>
          <t>M15</t>
        </is>
      </c>
      <c r="D627" s="182" t="n">
        <v>4705.08</v>
      </c>
      <c r="E627" s="182" t="n">
        <v>4650.11757</v>
      </c>
      <c r="F627" s="182" t="n">
        <v>4705.00986</v>
      </c>
      <c r="G627" s="182" t="n">
        <v>4704.56805</v>
      </c>
      <c r="H627" s="182" t="n">
        <v>0</v>
      </c>
      <c r="I627" s="182" t="n">
        <v>625</v>
      </c>
      <c r="J627" s="182" t="n">
        <v>33.5314</v>
      </c>
      <c r="K627" s="182" t="n">
        <v>54.9624</v>
      </c>
    </row>
    <row r="628" ht="15" customHeight="1" s="28">
      <c r="A628" s="181" t="n">
        <v>1777285802</v>
      </c>
      <c r="B628" s="181" t="inlineStr">
        <is>
          <t>XAUUSD</t>
        </is>
      </c>
      <c r="C628" s="181" t="inlineStr">
        <is>
          <t>M15</t>
        </is>
      </c>
      <c r="D628" s="181" t="n">
        <v>4709.07</v>
      </c>
      <c r="E628" s="181" t="n">
        <v>4649.84997</v>
      </c>
      <c r="F628" s="181" t="n">
        <v>4705.85859</v>
      </c>
      <c r="G628" s="181" t="n">
        <v>4705.21332</v>
      </c>
      <c r="H628" s="181" t="n">
        <v>0</v>
      </c>
      <c r="I628" s="181" t="n">
        <v>626</v>
      </c>
      <c r="J628" s="181" t="n">
        <v>37.7753</v>
      </c>
      <c r="K628" s="181" t="n">
        <v>59.22</v>
      </c>
    </row>
    <row r="629" ht="15" customHeight="1" s="28">
      <c r="A629" s="182" t="n">
        <v>1777286702</v>
      </c>
      <c r="B629" s="182" t="inlineStr">
        <is>
          <t>XAUUSD</t>
        </is>
      </c>
      <c r="C629" s="182" t="inlineStr">
        <is>
          <t>M15</t>
        </is>
      </c>
      <c r="D629" s="182" t="n">
        <v>4708.79</v>
      </c>
      <c r="E629" s="182" t="n">
        <v>4649.58236</v>
      </c>
      <c r="F629" s="182" t="n">
        <v>4706.42238</v>
      </c>
      <c r="G629" s="182" t="n">
        <v>4705.81785</v>
      </c>
      <c r="H629" s="182" t="n">
        <v>0</v>
      </c>
      <c r="I629" s="182" t="n">
        <v>627</v>
      </c>
      <c r="J629" s="182" t="n">
        <v>37.7492</v>
      </c>
      <c r="K629" s="182" t="n">
        <v>59.2076</v>
      </c>
    </row>
    <row r="630" ht="15" customHeight="1" s="28">
      <c r="A630" s="181" t="n">
        <v>1777287602</v>
      </c>
      <c r="B630" s="181" t="inlineStr">
        <is>
          <t>XAUUSD</t>
        </is>
      </c>
      <c r="C630" s="181" t="inlineStr">
        <is>
          <t>M15</t>
        </is>
      </c>
      <c r="D630" s="181" t="n">
        <v>4704.04</v>
      </c>
      <c r="E630" s="181" t="n">
        <v>4649.31476</v>
      </c>
      <c r="F630" s="181" t="n">
        <v>4706.59767</v>
      </c>
      <c r="G630" s="181" t="n">
        <v>4706.20776</v>
      </c>
      <c r="H630" s="181" t="n">
        <v>0</v>
      </c>
      <c r="I630" s="181" t="n">
        <v>628</v>
      </c>
      <c r="J630" s="181" t="n">
        <v>33.2531</v>
      </c>
      <c r="K630" s="181" t="n">
        <v>54.7252</v>
      </c>
    </row>
    <row r="631" ht="15" customHeight="1" s="28">
      <c r="A631" s="182" t="n">
        <v>1777288502</v>
      </c>
      <c r="B631" s="182" t="inlineStr">
        <is>
          <t>XAUUSD</t>
        </is>
      </c>
      <c r="C631" s="182" t="inlineStr">
        <is>
          <t>M15</t>
        </is>
      </c>
      <c r="D631" s="182" t="n">
        <v>4705.21</v>
      </c>
      <c r="E631" s="182" t="n">
        <v>4649.04715</v>
      </c>
      <c r="F631" s="182" t="n">
        <v>4706.45776</v>
      </c>
      <c r="G631" s="182" t="n">
        <v>4706.33276</v>
      </c>
      <c r="H631" s="182" t="n">
        <v>0</v>
      </c>
      <c r="I631" s="182" t="n">
        <v>629</v>
      </c>
      <c r="J631" s="182" t="n">
        <v>34.677</v>
      </c>
      <c r="K631" s="182" t="n">
        <v>56.1628</v>
      </c>
    </row>
    <row r="632" ht="15" customHeight="1" s="28">
      <c r="A632" s="181" t="n">
        <v>1777289402</v>
      </c>
      <c r="B632" s="181" t="inlineStr">
        <is>
          <t>XAUUSD</t>
        </is>
      </c>
      <c r="C632" s="181" t="inlineStr">
        <is>
          <t>M15</t>
        </is>
      </c>
      <c r="D632" s="181" t="n">
        <v>4702.72</v>
      </c>
      <c r="E632" s="181" t="n">
        <v>4648.77955</v>
      </c>
      <c r="F632" s="181" t="n">
        <v>4705.99304</v>
      </c>
      <c r="G632" s="181" t="n">
        <v>4706.1629</v>
      </c>
      <c r="H632" s="181" t="n">
        <v>1</v>
      </c>
      <c r="I632" s="181" t="n">
        <v>630</v>
      </c>
      <c r="J632" s="181" t="n">
        <v>32.4409</v>
      </c>
      <c r="K632" s="181" t="n">
        <v>53.9405</v>
      </c>
    </row>
    <row r="633" ht="15" customHeight="1" s="28">
      <c r="A633" s="182" t="n">
        <v>1777290302</v>
      </c>
      <c r="B633" s="182" t="inlineStr">
        <is>
          <t>XAUUSD</t>
        </is>
      </c>
      <c r="C633" s="182" t="inlineStr">
        <is>
          <t>M15</t>
        </is>
      </c>
      <c r="D633" s="182" t="n">
        <v>4704.89</v>
      </c>
      <c r="E633" s="182" t="n">
        <v>4648.51195</v>
      </c>
      <c r="F633" s="182" t="n">
        <v>4705.3015</v>
      </c>
      <c r="G633" s="182" t="n">
        <v>4705.7322</v>
      </c>
      <c r="H633" s="182" t="n">
        <v>0</v>
      </c>
      <c r="I633" s="182" t="n">
        <v>631</v>
      </c>
      <c r="J633" s="182" t="n">
        <v>34.8648</v>
      </c>
      <c r="K633" s="182" t="n">
        <v>56.3781</v>
      </c>
    </row>
    <row r="634" ht="15" customHeight="1" s="28">
      <c r="A634" s="181" t="n">
        <v>1777291202</v>
      </c>
      <c r="B634" s="181" t="inlineStr">
        <is>
          <t>XAUUSD</t>
        </is>
      </c>
      <c r="C634" s="181" t="inlineStr">
        <is>
          <t>M15</t>
        </is>
      </c>
      <c r="D634" s="181" t="n">
        <v>4708.83</v>
      </c>
      <c r="E634" s="181" t="n">
        <v>4648.24434</v>
      </c>
      <c r="F634" s="181" t="n">
        <v>4704.36118</v>
      </c>
      <c r="G634" s="181" t="n">
        <v>4705.04669</v>
      </c>
      <c r="H634" s="181" t="n">
        <v>0</v>
      </c>
      <c r="I634" s="181" t="n">
        <v>632</v>
      </c>
      <c r="J634" s="181" t="n">
        <v>39.0587</v>
      </c>
      <c r="K634" s="181" t="n">
        <v>60.5857</v>
      </c>
    </row>
    <row r="635" ht="15" customHeight="1" s="28">
      <c r="A635" s="182" t="n">
        <v>1777292102</v>
      </c>
      <c r="B635" s="182" t="inlineStr">
        <is>
          <t>XAUUSD</t>
        </is>
      </c>
      <c r="C635" s="182" t="inlineStr">
        <is>
          <t>M15</t>
        </is>
      </c>
      <c r="D635" s="182" t="n">
        <v>4707.09</v>
      </c>
      <c r="E635" s="182" t="n">
        <v>4647.97674</v>
      </c>
      <c r="F635" s="182" t="n">
        <v>4703.11317</v>
      </c>
      <c r="G635" s="182" t="n">
        <v>4704.07993</v>
      </c>
      <c r="H635" s="182" t="n">
        <v>0</v>
      </c>
      <c r="I635" s="182" t="n">
        <v>633</v>
      </c>
      <c r="J635" s="182" t="n">
        <v>37.5726</v>
      </c>
      <c r="K635" s="182" t="n">
        <v>59.1133</v>
      </c>
    </row>
    <row r="636" ht="15" customHeight="1" s="28">
      <c r="A636" s="181" t="n">
        <v>1777293002</v>
      </c>
      <c r="B636" s="181" t="inlineStr">
        <is>
          <t>XAUUSD</t>
        </is>
      </c>
      <c r="C636" s="181" t="inlineStr">
        <is>
          <t>M15</t>
        </is>
      </c>
      <c r="D636" s="181" t="n">
        <v>4698.81</v>
      </c>
      <c r="E636" s="181" t="n">
        <v>4647.70913</v>
      </c>
      <c r="F636" s="181" t="n">
        <v>4701.65798</v>
      </c>
      <c r="G636" s="181" t="n">
        <v>4702.86895</v>
      </c>
      <c r="H636" s="181" t="n">
        <v>0</v>
      </c>
      <c r="I636" s="181" t="n">
        <v>634</v>
      </c>
      <c r="J636" s="181" t="n">
        <v>29.5465</v>
      </c>
      <c r="K636" s="181" t="n">
        <v>51.1009</v>
      </c>
    </row>
    <row r="637" ht="15" customHeight="1" s="28">
      <c r="A637" s="182" t="n">
        <v>1777293902</v>
      </c>
      <c r="B637" s="182" t="inlineStr">
        <is>
          <t>XAUUSD</t>
        </is>
      </c>
      <c r="C637" s="182" t="inlineStr">
        <is>
          <t>M15</t>
        </is>
      </c>
      <c r="D637" s="182" t="n">
        <v>4699.24</v>
      </c>
      <c r="E637" s="182" t="n">
        <v>4647.44153</v>
      </c>
      <c r="F637" s="182" t="n">
        <v>4700.26967</v>
      </c>
      <c r="G637" s="182" t="n">
        <v>4701.56931</v>
      </c>
      <c r="H637" s="182" t="n">
        <v>0</v>
      </c>
      <c r="I637" s="182" t="n">
        <v>635</v>
      </c>
      <c r="J637" s="182" t="n">
        <v>30.2304</v>
      </c>
      <c r="K637" s="182" t="n">
        <v>51.7985</v>
      </c>
    </row>
    <row r="638" ht="15" customHeight="1" s="28">
      <c r="A638" s="181" t="n">
        <v>1777294802</v>
      </c>
      <c r="B638" s="181" t="inlineStr">
        <is>
          <t>XAUUSD</t>
        </is>
      </c>
      <c r="C638" s="181" t="inlineStr">
        <is>
          <t>M15</t>
        </is>
      </c>
      <c r="D638" s="181" t="n">
        <v>4695.99</v>
      </c>
      <c r="E638" s="181" t="n">
        <v>4647.17393</v>
      </c>
      <c r="F638" s="181" t="n">
        <v>4698.91004</v>
      </c>
      <c r="G638" s="181" t="n">
        <v>4700.23968</v>
      </c>
      <c r="H638" s="181" t="n">
        <v>0</v>
      </c>
      <c r="I638" s="181" t="n">
        <v>636</v>
      </c>
      <c r="J638" s="181" t="n">
        <v>27.2343</v>
      </c>
      <c r="K638" s="181" t="n">
        <v>48.8161</v>
      </c>
    </row>
    <row r="639" ht="15" customHeight="1" s="28">
      <c r="A639" s="182" t="n">
        <v>1777295702</v>
      </c>
      <c r="B639" s="182" t="inlineStr">
        <is>
          <t>XAUUSD</t>
        </is>
      </c>
      <c r="C639" s="182" t="inlineStr">
        <is>
          <t>M15</t>
        </is>
      </c>
      <c r="D639" s="182" t="n">
        <v>4699.95</v>
      </c>
      <c r="E639" s="182" t="n">
        <v>4646.90632</v>
      </c>
      <c r="F639" s="182" t="n">
        <v>4697.58016</v>
      </c>
      <c r="G639" s="182" t="n">
        <v>4698.90992</v>
      </c>
      <c r="H639" s="182" t="n">
        <v>0</v>
      </c>
      <c r="I639" s="182" t="n">
        <v>637</v>
      </c>
      <c r="J639" s="182" t="n">
        <v>31.4482</v>
      </c>
      <c r="K639" s="182" t="n">
        <v>53.0437</v>
      </c>
    </row>
    <row r="640" ht="15" customHeight="1" s="28">
      <c r="A640" s="181" t="n">
        <v>1777296602</v>
      </c>
      <c r="B640" s="181" t="inlineStr">
        <is>
          <t>XAUUSD</t>
        </is>
      </c>
      <c r="C640" s="181" t="inlineStr">
        <is>
          <t>M15</t>
        </is>
      </c>
      <c r="D640" s="181" t="n">
        <v>4693.29</v>
      </c>
      <c r="E640" s="181" t="n">
        <v>4646.63872</v>
      </c>
      <c r="F640" s="181" t="n">
        <v>4696.02414</v>
      </c>
      <c r="G640" s="181" t="n">
        <v>4697.46703</v>
      </c>
      <c r="H640" s="181" t="n">
        <v>0</v>
      </c>
      <c r="I640" s="181" t="n">
        <v>638</v>
      </c>
      <c r="J640" s="181" t="n">
        <v>25.0421</v>
      </c>
      <c r="K640" s="181" t="n">
        <v>46.6513</v>
      </c>
    </row>
    <row r="641" ht="15" customHeight="1" s="28">
      <c r="A641" s="182" t="n">
        <v>1777297502</v>
      </c>
      <c r="B641" s="182" t="inlineStr">
        <is>
          <t>XAUUSD</t>
        </is>
      </c>
      <c r="C641" s="182" t="inlineStr">
        <is>
          <t>M15</t>
        </is>
      </c>
      <c r="D641" s="182" t="n">
        <v>4696.1</v>
      </c>
      <c r="E641" s="182" t="n">
        <v>4646.37111</v>
      </c>
      <c r="F641" s="182" t="n">
        <v>4694.24443</v>
      </c>
      <c r="G641" s="182" t="n">
        <v>4695.85573</v>
      </c>
      <c r="H641" s="182" t="n">
        <v>0</v>
      </c>
      <c r="I641" s="182" t="n">
        <v>639</v>
      </c>
      <c r="J641" s="182" t="n">
        <v>28.1059</v>
      </c>
      <c r="K641" s="182" t="n">
        <v>49.7289</v>
      </c>
    </row>
    <row r="642" ht="15" customHeight="1" s="28">
      <c r="A642" s="181" t="n">
        <v>1777298402</v>
      </c>
      <c r="B642" s="181" t="inlineStr">
        <is>
          <t>XAUUSD</t>
        </is>
      </c>
      <c r="C642" s="181" t="inlineStr">
        <is>
          <t>M15</t>
        </is>
      </c>
      <c r="D642" s="181" t="n">
        <v>4692.58</v>
      </c>
      <c r="E642" s="181" t="n">
        <v>4646.10351</v>
      </c>
      <c r="F642" s="181" t="n">
        <v>4692.03017</v>
      </c>
      <c r="G642" s="181" t="n">
        <v>4693.94295</v>
      </c>
      <c r="H642" s="181" t="n">
        <v>0</v>
      </c>
      <c r="I642" s="181" t="n">
        <v>640</v>
      </c>
      <c r="J642" s="181" t="n">
        <v>24.8398</v>
      </c>
      <c r="K642" s="181" t="n">
        <v>46.4765</v>
      </c>
    </row>
    <row r="643" ht="15" customHeight="1" s="28">
      <c r="A643" s="182" t="n">
        <v>1777299302</v>
      </c>
      <c r="B643" s="182" t="inlineStr">
        <is>
          <t>XAUUSD</t>
        </is>
      </c>
      <c r="C643" s="182" t="inlineStr">
        <is>
          <t>M15</t>
        </is>
      </c>
      <c r="D643" s="182" t="n">
        <v>4689.03</v>
      </c>
      <c r="E643" s="182" t="n">
        <v>4645.83591</v>
      </c>
      <c r="F643" s="182" t="n">
        <v>4689.41482</v>
      </c>
      <c r="G643" s="182" t="n">
        <v>4691.67888</v>
      </c>
      <c r="H643" s="182" t="n">
        <v>0</v>
      </c>
      <c r="I643" s="182" t="n">
        <v>641</v>
      </c>
      <c r="J643" s="182" t="n">
        <v>21.5437</v>
      </c>
      <c r="K643" s="182" t="n">
        <v>43.1941</v>
      </c>
    </row>
    <row r="644" ht="15" customHeight="1" s="28">
      <c r="A644" s="181" t="n">
        <v>1777300202</v>
      </c>
      <c r="B644" s="181" t="inlineStr">
        <is>
          <t>XAUUSD</t>
        </is>
      </c>
      <c r="C644" s="181" t="inlineStr">
        <is>
          <t>M15</t>
        </is>
      </c>
      <c r="D644" s="181" t="n">
        <v>4693.62</v>
      </c>
      <c r="E644" s="181" t="n">
        <v>4645.5683</v>
      </c>
      <c r="F644" s="181" t="n">
        <v>4686.49539</v>
      </c>
      <c r="G644" s="181" t="n">
        <v>4689.08714</v>
      </c>
      <c r="H644" s="181" t="n">
        <v>0</v>
      </c>
      <c r="I644" s="181" t="n">
        <v>642</v>
      </c>
      <c r="J644" s="181" t="n">
        <v>26.3876</v>
      </c>
      <c r="K644" s="181" t="n">
        <v>48.0517</v>
      </c>
    </row>
    <row r="645" ht="15" customHeight="1" s="28">
      <c r="A645" s="182" t="n">
        <v>1777301102</v>
      </c>
      <c r="B645" s="182" t="inlineStr">
        <is>
          <t>XAUUSD</t>
        </is>
      </c>
      <c r="C645" s="182" t="inlineStr">
        <is>
          <t>M15</t>
        </is>
      </c>
      <c r="D645" s="182" t="n">
        <v>4678.21</v>
      </c>
      <c r="E645" s="182" t="n">
        <v>4645.3007</v>
      </c>
      <c r="F645" s="182" t="n">
        <v>4683.22394</v>
      </c>
      <c r="G645" s="182" t="n">
        <v>4686.15554</v>
      </c>
      <c r="H645" s="182" t="n">
        <v>0</v>
      </c>
      <c r="I645" s="182" t="n">
        <v>643</v>
      </c>
      <c r="J645" s="182" t="n">
        <v>11.2315</v>
      </c>
      <c r="K645" s="182" t="n">
        <v>32.9093</v>
      </c>
    </row>
    <row r="646" ht="15" customHeight="1" s="28">
      <c r="A646" s="181" t="n">
        <v>1777302002</v>
      </c>
      <c r="B646" s="181" t="inlineStr">
        <is>
          <t>XAUUSD</t>
        </is>
      </c>
      <c r="C646" s="181" t="inlineStr">
        <is>
          <t>M15</t>
        </is>
      </c>
      <c r="D646" s="181" t="n">
        <v>4674.65</v>
      </c>
      <c r="E646" s="181" t="n">
        <v>4645.03309</v>
      </c>
      <c r="F646" s="181" t="n">
        <v>4680.18396</v>
      </c>
      <c r="G646" s="181" t="n">
        <v>4683.16975</v>
      </c>
      <c r="H646" s="181" t="n">
        <v>0</v>
      </c>
      <c r="I646" s="181" t="n">
        <v>644</v>
      </c>
      <c r="J646" s="181" t="n">
        <v>7.9254</v>
      </c>
      <c r="K646" s="181" t="n">
        <v>29.6169</v>
      </c>
    </row>
    <row r="647" ht="15" customHeight="1" s="28">
      <c r="A647" s="182" t="n">
        <v>1777302902</v>
      </c>
      <c r="B647" s="182" t="inlineStr">
        <is>
          <t>XAUUSD</t>
        </is>
      </c>
      <c r="C647" s="182" t="inlineStr">
        <is>
          <t>M15</t>
        </is>
      </c>
      <c r="D647" s="182" t="n">
        <v>4681.21</v>
      </c>
      <c r="E647" s="182" t="n">
        <v>4644.76549</v>
      </c>
      <c r="F647" s="182" t="n">
        <v>4677.64149</v>
      </c>
      <c r="G647" s="182" t="n">
        <v>4680.40562</v>
      </c>
      <c r="H647" s="182" t="n">
        <v>0</v>
      </c>
      <c r="I647" s="182" t="n">
        <v>645</v>
      </c>
      <c r="J647" s="182" t="n">
        <v>14.7393</v>
      </c>
      <c r="K647" s="182" t="n">
        <v>36.4445</v>
      </c>
    </row>
    <row r="648" ht="15" customHeight="1" s="28">
      <c r="A648" s="181" t="n">
        <v>1777303802</v>
      </c>
      <c r="B648" s="181" t="inlineStr">
        <is>
          <t>XAUUSD</t>
        </is>
      </c>
      <c r="C648" s="181" t="inlineStr">
        <is>
          <t>M15</t>
        </is>
      </c>
      <c r="D648" s="181" t="n">
        <v>4677.6</v>
      </c>
      <c r="E648" s="181" t="n">
        <v>4644.49789</v>
      </c>
      <c r="F648" s="181" t="n">
        <v>4675.56194</v>
      </c>
      <c r="G648" s="181" t="n">
        <v>4677.98378</v>
      </c>
      <c r="H648" s="181" t="n">
        <v>0</v>
      </c>
      <c r="I648" s="181" t="n">
        <v>646</v>
      </c>
      <c r="J648" s="181" t="n">
        <v>11.3832</v>
      </c>
      <c r="K648" s="181" t="n">
        <v>33.1021</v>
      </c>
    </row>
    <row r="649" ht="15" customHeight="1" s="28">
      <c r="A649" s="182" t="n">
        <v>1777304702</v>
      </c>
      <c r="B649" s="182" t="inlineStr">
        <is>
          <t>XAUUSD</t>
        </is>
      </c>
      <c r="C649" s="182" t="inlineStr">
        <is>
          <t>M15</t>
        </is>
      </c>
      <c r="D649" s="182" t="n">
        <v>4670.04</v>
      </c>
      <c r="E649" s="182" t="n">
        <v>4644.23028</v>
      </c>
      <c r="F649" s="182" t="n">
        <v>4674.14335</v>
      </c>
      <c r="G649" s="182" t="n">
        <v>4676.06356</v>
      </c>
      <c r="H649" s="182" t="n">
        <v>0</v>
      </c>
      <c r="I649" s="182" t="n">
        <v>647</v>
      </c>
      <c r="J649" s="182" t="n">
        <v>4.0771</v>
      </c>
      <c r="K649" s="182" t="n">
        <v>25.8097</v>
      </c>
    </row>
    <row r="650" ht="15" customHeight="1" s="28">
      <c r="A650" s="181" t="n">
        <v>1777305602</v>
      </c>
      <c r="B650" s="181" t="inlineStr">
        <is>
          <t>XAUUSD</t>
        </is>
      </c>
      <c r="C650" s="181" t="inlineStr">
        <is>
          <t>M15</t>
        </is>
      </c>
      <c r="D650" s="181" t="n">
        <v>4674.71</v>
      </c>
      <c r="E650" s="181" t="n">
        <v>4643.96268</v>
      </c>
      <c r="F650" s="181" t="n">
        <v>4673.64579</v>
      </c>
      <c r="G650" s="181" t="n">
        <v>4674.85468</v>
      </c>
      <c r="H650" s="181" t="n">
        <v>0</v>
      </c>
      <c r="I650" s="181" t="n">
        <v>648</v>
      </c>
      <c r="J650" s="181" t="n">
        <v>9.000999999999999</v>
      </c>
      <c r="K650" s="181" t="n">
        <v>30.7473</v>
      </c>
    </row>
    <row r="651" ht="15" customHeight="1" s="28">
      <c r="A651" s="182" t="n">
        <v>1777306502</v>
      </c>
      <c r="B651" s="182" t="inlineStr">
        <is>
          <t>XAUUSD</t>
        </is>
      </c>
      <c r="C651" s="182" t="inlineStr">
        <is>
          <t>M15</t>
        </is>
      </c>
      <c r="D651" s="182" t="n">
        <v>4676.38</v>
      </c>
      <c r="E651" s="182" t="n">
        <v>4643.69507</v>
      </c>
      <c r="F651" s="182" t="n">
        <v>4673.90416</v>
      </c>
      <c r="G651" s="182" t="n">
        <v>4674.37942</v>
      </c>
      <c r="H651" s="182" t="n">
        <v>0</v>
      </c>
      <c r="I651" s="182" t="n">
        <v>649</v>
      </c>
      <c r="J651" s="182" t="n">
        <v>10.9249</v>
      </c>
      <c r="K651" s="182" t="n">
        <v>32.6849</v>
      </c>
    </row>
    <row r="652" ht="15" customHeight="1" s="28">
      <c r="A652" s="181" t="n">
        <v>1777307402</v>
      </c>
      <c r="B652" s="181" t="inlineStr">
        <is>
          <t>XAUUSD</t>
        </is>
      </c>
      <c r="C652" s="181" t="inlineStr">
        <is>
          <t>M15</t>
        </is>
      </c>
      <c r="D652" s="181" t="n">
        <v>4674.98</v>
      </c>
      <c r="E652" s="181" t="n">
        <v>4643.42747</v>
      </c>
      <c r="F652" s="181" t="n">
        <v>4674.77658</v>
      </c>
      <c r="G652" s="181" t="n">
        <v>4674.578</v>
      </c>
      <c r="H652" s="181" t="n">
        <v>1</v>
      </c>
      <c r="I652" s="181" t="n">
        <v>650</v>
      </c>
      <c r="J652" s="181" t="n">
        <v>9.7788</v>
      </c>
      <c r="K652" s="181" t="n">
        <v>31.5525</v>
      </c>
    </row>
    <row r="653" ht="15" customHeight="1" s="28">
      <c r="A653" s="182" t="n">
        <v>1777308302</v>
      </c>
      <c r="B653" s="182" t="inlineStr">
        <is>
          <t>XAUUSD</t>
        </is>
      </c>
      <c r="C653" s="182" t="inlineStr">
        <is>
          <t>M15</t>
        </is>
      </c>
      <c r="D653" s="182" t="n">
        <v>4676.82</v>
      </c>
      <c r="E653" s="182" t="n">
        <v>4643.15986</v>
      </c>
      <c r="F653" s="182" t="n">
        <v>4676.14779</v>
      </c>
      <c r="G653" s="182" t="n">
        <v>4675.36289</v>
      </c>
      <c r="H653" s="182" t="n">
        <v>0</v>
      </c>
      <c r="I653" s="182" t="n">
        <v>651</v>
      </c>
      <c r="J653" s="182" t="n">
        <v>11.8727</v>
      </c>
      <c r="K653" s="182" t="n">
        <v>33.6601</v>
      </c>
    </row>
    <row r="654" ht="15" customHeight="1" s="28">
      <c r="A654" s="181" t="n">
        <v>1777309202</v>
      </c>
      <c r="B654" s="181" t="inlineStr">
        <is>
          <t>XAUUSD</t>
        </is>
      </c>
      <c r="C654" s="181" t="inlineStr">
        <is>
          <t>M15</t>
        </is>
      </c>
      <c r="D654" s="181" t="n">
        <v>4673.86</v>
      </c>
      <c r="E654" s="181" t="n">
        <v>4642.89226</v>
      </c>
      <c r="F654" s="181" t="n">
        <v>4677.78048</v>
      </c>
      <c r="G654" s="181" t="n">
        <v>4676.57168</v>
      </c>
      <c r="H654" s="181" t="n">
        <v>0</v>
      </c>
      <c r="I654" s="181" t="n">
        <v>652</v>
      </c>
      <c r="J654" s="181" t="n">
        <v>9.166600000000001</v>
      </c>
      <c r="K654" s="181" t="n">
        <v>30.9677</v>
      </c>
    </row>
    <row r="655" ht="15" customHeight="1" s="28">
      <c r="A655" s="182" t="n">
        <v>1777310102</v>
      </c>
      <c r="B655" s="182" t="inlineStr">
        <is>
          <t>XAUUSD</t>
        </is>
      </c>
      <c r="C655" s="182" t="inlineStr">
        <is>
          <t>M15</t>
        </is>
      </c>
      <c r="D655" s="182" t="n">
        <v>4679.82</v>
      </c>
      <c r="E655" s="182" t="n">
        <v>4642.62466</v>
      </c>
      <c r="F655" s="182" t="n">
        <v>4679.54734</v>
      </c>
      <c r="G655" s="182" t="n">
        <v>4678.05951</v>
      </c>
      <c r="H655" s="182" t="n">
        <v>0</v>
      </c>
      <c r="I655" s="182" t="n">
        <v>653</v>
      </c>
      <c r="J655" s="182" t="n">
        <v>15.3805</v>
      </c>
      <c r="K655" s="182" t="n">
        <v>37.1953</v>
      </c>
    </row>
    <row r="656" ht="15" customHeight="1" s="28">
      <c r="A656" s="181" t="n">
        <v>1777311002</v>
      </c>
      <c r="B656" s="181" t="inlineStr">
        <is>
          <t>XAUUSD</t>
        </is>
      </c>
      <c r="C656" s="181" t="inlineStr">
        <is>
          <t>M15</t>
        </is>
      </c>
      <c r="D656" s="181" t="n">
        <v>4683.29</v>
      </c>
      <c r="E656" s="181" t="n">
        <v>4642.35705</v>
      </c>
      <c r="F656" s="181" t="n">
        <v>4681.11203</v>
      </c>
      <c r="G656" s="181" t="n">
        <v>4679.58577</v>
      </c>
      <c r="H656" s="181" t="n">
        <v>0</v>
      </c>
      <c r="I656" s="181" t="n">
        <v>654</v>
      </c>
      <c r="J656" s="181" t="n">
        <v>19.1044</v>
      </c>
      <c r="K656" s="181" t="n">
        <v>40.933</v>
      </c>
    </row>
    <row r="657" ht="15" customHeight="1" s="28">
      <c r="A657" s="182" t="n">
        <v>1777311902</v>
      </c>
      <c r="B657" s="182" t="inlineStr">
        <is>
          <t>XAUUSD</t>
        </is>
      </c>
      <c r="C657" s="182" t="inlineStr">
        <is>
          <t>M15</t>
        </is>
      </c>
      <c r="D657" s="182" t="n">
        <v>4682.1</v>
      </c>
      <c r="E657" s="182" t="n">
        <v>4642.08945</v>
      </c>
      <c r="F657" s="182" t="n">
        <v>4682.21036</v>
      </c>
      <c r="G657" s="182" t="n">
        <v>4680.89806</v>
      </c>
      <c r="H657" s="182" t="n">
        <v>0</v>
      </c>
      <c r="I657" s="182" t="n">
        <v>655</v>
      </c>
      <c r="J657" s="182" t="n">
        <v>18.1683</v>
      </c>
      <c r="K657" s="182" t="n">
        <v>40.0105</v>
      </c>
    </row>
    <row r="658" ht="15" customHeight="1" s="28">
      <c r="A658" s="181" t="n">
        <v>1777312802</v>
      </c>
      <c r="B658" s="181" t="inlineStr">
        <is>
          <t>XAUUSD</t>
        </is>
      </c>
      <c r="C658" s="181" t="inlineStr">
        <is>
          <t>M15</t>
        </is>
      </c>
      <c r="D658" s="181" t="n">
        <v>4681.62</v>
      </c>
      <c r="E658" s="181" t="n">
        <v>4641.82184</v>
      </c>
      <c r="F658" s="181" t="n">
        <v>4682.79255</v>
      </c>
      <c r="G658" s="181" t="n">
        <v>4681.84531</v>
      </c>
      <c r="H658" s="181" t="n">
        <v>0</v>
      </c>
      <c r="I658" s="181" t="n">
        <v>656</v>
      </c>
      <c r="J658" s="181" t="n">
        <v>17.9422</v>
      </c>
      <c r="K658" s="181" t="n">
        <v>39.7982</v>
      </c>
    </row>
    <row r="659" ht="15" customHeight="1" s="28">
      <c r="A659" s="182" t="n">
        <v>1777313702</v>
      </c>
      <c r="B659" s="182" t="inlineStr">
        <is>
          <t>XAUUSD</t>
        </is>
      </c>
      <c r="C659" s="182" t="inlineStr">
        <is>
          <t>M15</t>
        </is>
      </c>
      <c r="D659" s="182" t="n">
        <v>4684.05</v>
      </c>
      <c r="E659" s="182" t="n">
        <v>4641.55424</v>
      </c>
      <c r="F659" s="182" t="n">
        <v>4682.87688</v>
      </c>
      <c r="G659" s="182" t="n">
        <v>4682.36109</v>
      </c>
      <c r="H659" s="182" t="n">
        <v>0</v>
      </c>
      <c r="I659" s="182" t="n">
        <v>657</v>
      </c>
      <c r="J659" s="182" t="n">
        <v>20.6261</v>
      </c>
      <c r="K659" s="182" t="n">
        <v>42.4958</v>
      </c>
    </row>
    <row r="660" ht="15" customHeight="1" s="28">
      <c r="A660" s="181" t="n">
        <v>1777314602</v>
      </c>
      <c r="B660" s="181" t="inlineStr">
        <is>
          <t>XAUUSD</t>
        </is>
      </c>
      <c r="C660" s="181" t="inlineStr">
        <is>
          <t>M15</t>
        </is>
      </c>
      <c r="D660" s="181" t="n">
        <v>4682.77</v>
      </c>
      <c r="E660" s="181" t="n">
        <v>4641.28664</v>
      </c>
      <c r="F660" s="181" t="n">
        <v>4682.4821</v>
      </c>
      <c r="G660" s="181" t="n">
        <v>4682.42159</v>
      </c>
      <c r="H660" s="181" t="n">
        <v>0</v>
      </c>
      <c r="I660" s="181" t="n">
        <v>658</v>
      </c>
      <c r="J660" s="181" t="n">
        <v>19.6</v>
      </c>
      <c r="K660" s="181" t="n">
        <v>41.4834</v>
      </c>
    </row>
    <row r="661" ht="15" customHeight="1" s="28">
      <c r="A661" s="182" t="n">
        <v>1777315502</v>
      </c>
      <c r="B661" s="182" t="inlineStr">
        <is>
          <t>XAUUSD</t>
        </is>
      </c>
      <c r="C661" s="182" t="inlineStr">
        <is>
          <t>M15</t>
        </is>
      </c>
      <c r="D661" s="182" t="n">
        <v>4680.74</v>
      </c>
      <c r="E661" s="182" t="n">
        <v>4641.01903</v>
      </c>
      <c r="F661" s="182" t="n">
        <v>4681.79257</v>
      </c>
      <c r="G661" s="182" t="n">
        <v>4682.10708</v>
      </c>
      <c r="H661" s="182" t="n">
        <v>1</v>
      </c>
      <c r="I661" s="182" t="n">
        <v>659</v>
      </c>
      <c r="J661" s="182" t="n">
        <v>17.8239</v>
      </c>
      <c r="K661" s="182" t="n">
        <v>39.721</v>
      </c>
    </row>
    <row r="662" ht="15" customHeight="1" s="28">
      <c r="A662" s="181" t="n">
        <v>1777316402</v>
      </c>
      <c r="B662" s="181" t="inlineStr">
        <is>
          <t>XAUUSD</t>
        </is>
      </c>
      <c r="C662" s="181" t="inlineStr">
        <is>
          <t>M15</t>
        </is>
      </c>
      <c r="D662" s="181" t="n">
        <v>4680.36</v>
      </c>
      <c r="E662" s="181" t="n">
        <v>4640.75143</v>
      </c>
      <c r="F662" s="181" t="n">
        <v>4681.03923</v>
      </c>
      <c r="G662" s="181" t="n">
        <v>4681.57316</v>
      </c>
      <c r="H662" s="181" t="n">
        <v>0</v>
      </c>
      <c r="I662" s="181" t="n">
        <v>660</v>
      </c>
      <c r="J662" s="181" t="n">
        <v>17.6978</v>
      </c>
      <c r="K662" s="181" t="n">
        <v>39.6086</v>
      </c>
    </row>
    <row r="663" ht="15" customHeight="1" s="28">
      <c r="A663" s="182" t="n">
        <v>1777317302</v>
      </c>
      <c r="B663" s="182" t="inlineStr">
        <is>
          <t>XAUUSD</t>
        </is>
      </c>
      <c r="C663" s="182" t="inlineStr">
        <is>
          <t>M15</t>
        </is>
      </c>
      <c r="D663" s="182" t="n">
        <v>4682.18</v>
      </c>
      <c r="E663" s="182" t="n">
        <v>4640.48382</v>
      </c>
      <c r="F663" s="182" t="n">
        <v>4680.41197</v>
      </c>
      <c r="G663" s="182" t="n">
        <v>4680.99257</v>
      </c>
      <c r="H663" s="182" t="n">
        <v>0</v>
      </c>
      <c r="I663" s="182" t="n">
        <v>661</v>
      </c>
      <c r="J663" s="182" t="n">
        <v>19.7716</v>
      </c>
      <c r="K663" s="182" t="n">
        <v>41.6962</v>
      </c>
    </row>
    <row r="664" ht="15" customHeight="1" s="28">
      <c r="A664" s="181" t="n">
        <v>1777318202</v>
      </c>
      <c r="B664" s="181" t="inlineStr">
        <is>
          <t>XAUUSD</t>
        </is>
      </c>
      <c r="C664" s="181" t="inlineStr">
        <is>
          <t>M15</t>
        </is>
      </c>
      <c r="D664" s="181" t="n">
        <v>4679.98</v>
      </c>
      <c r="E664" s="181" t="n">
        <v>4640.21622</v>
      </c>
      <c r="F664" s="181" t="n">
        <v>4679.99435</v>
      </c>
      <c r="G664" s="181" t="n">
        <v>4680.49346</v>
      </c>
      <c r="H664" s="181" t="n">
        <v>0</v>
      </c>
      <c r="I664" s="181" t="n">
        <v>662</v>
      </c>
      <c r="J664" s="181" t="n">
        <v>17.8255</v>
      </c>
      <c r="K664" s="181" t="n">
        <v>39.7638</v>
      </c>
    </row>
    <row r="665" ht="15" customHeight="1" s="28">
      <c r="A665" s="182" t="n">
        <v>1777319102</v>
      </c>
      <c r="B665" s="182" t="inlineStr">
        <is>
          <t>XAUUSD</t>
        </is>
      </c>
      <c r="C665" s="182" t="inlineStr">
        <is>
          <t>M15</t>
        </is>
      </c>
      <c r="D665" s="182" t="n">
        <v>4680.71</v>
      </c>
      <c r="E665" s="182" t="n">
        <v>4639.94862</v>
      </c>
      <c r="F665" s="182" t="n">
        <v>4679.92685</v>
      </c>
      <c r="G665" s="182" t="n">
        <v>4680.21015</v>
      </c>
      <c r="H665" s="182" t="n">
        <v>0</v>
      </c>
      <c r="I665" s="182" t="n">
        <v>663</v>
      </c>
      <c r="J665" s="182" t="n">
        <v>18.8094</v>
      </c>
      <c r="K665" s="182" t="n">
        <v>40.7614</v>
      </c>
    </row>
    <row r="666" ht="15" customHeight="1" s="28">
      <c r="A666" s="181" t="n">
        <v>1777320002</v>
      </c>
      <c r="B666" s="181" t="inlineStr">
        <is>
          <t>XAUUSD</t>
        </is>
      </c>
      <c r="C666" s="181" t="inlineStr">
        <is>
          <t>M15</t>
        </is>
      </c>
      <c r="D666" s="181" t="n">
        <v>4679.22</v>
      </c>
      <c r="E666" s="181" t="n">
        <v>4639.68101</v>
      </c>
      <c r="F666" s="181" t="n">
        <v>4680.23188</v>
      </c>
      <c r="G666" s="181" t="n">
        <v>4680.22102</v>
      </c>
      <c r="H666" s="181" t="n">
        <v>1</v>
      </c>
      <c r="I666" s="181" t="n">
        <v>664</v>
      </c>
      <c r="J666" s="181" t="n">
        <v>17.5733</v>
      </c>
      <c r="K666" s="181" t="n">
        <v>39.539</v>
      </c>
    </row>
    <row r="667" ht="15" customHeight="1" s="28">
      <c r="A667" s="182" t="n">
        <v>1777320902</v>
      </c>
      <c r="B667" s="182" t="inlineStr">
        <is>
          <t>XAUUSD</t>
        </is>
      </c>
      <c r="C667" s="182" t="inlineStr">
        <is>
          <t>M15</t>
        </is>
      </c>
      <c r="D667" s="182" t="n">
        <v>4679.83</v>
      </c>
      <c r="E667" s="182" t="n">
        <v>4639.41341</v>
      </c>
      <c r="F667" s="182" t="n">
        <v>4680.95346</v>
      </c>
      <c r="G667" s="182" t="n">
        <v>4680.58724</v>
      </c>
      <c r="H667" s="182" t="n">
        <v>0</v>
      </c>
      <c r="I667" s="182" t="n">
        <v>665</v>
      </c>
      <c r="J667" s="182" t="n">
        <v>18.4372</v>
      </c>
      <c r="K667" s="182" t="n">
        <v>40.4166</v>
      </c>
    </row>
    <row r="668" ht="15" customHeight="1" s="28">
      <c r="A668" s="181" t="n">
        <v>1777321802</v>
      </c>
      <c r="B668" s="181" t="inlineStr">
        <is>
          <t>XAUUSD</t>
        </is>
      </c>
      <c r="C668" s="181" t="inlineStr">
        <is>
          <t>M15</t>
        </is>
      </c>
      <c r="D668" s="181" t="n">
        <v>4680.18</v>
      </c>
      <c r="E668" s="181" t="n">
        <v>4639.1458</v>
      </c>
      <c r="F668" s="181" t="n">
        <v>4682.03664</v>
      </c>
      <c r="G668" s="181" t="n">
        <v>4681.31194</v>
      </c>
      <c r="H668" s="181" t="n">
        <v>0</v>
      </c>
      <c r="I668" s="181" t="n">
        <v>666</v>
      </c>
      <c r="J668" s="181" t="n">
        <v>19.0411</v>
      </c>
      <c r="K668" s="181" t="n">
        <v>41.0342</v>
      </c>
    </row>
    <row r="669" ht="15" customHeight="1" s="28">
      <c r="A669" s="182" t="n">
        <v>1777322702</v>
      </c>
      <c r="B669" s="182" t="inlineStr">
        <is>
          <t>XAUUSD</t>
        </is>
      </c>
      <c r="C669" s="182" t="inlineStr">
        <is>
          <t>M15</t>
        </is>
      </c>
      <c r="D669" s="182" t="n">
        <v>4681.84</v>
      </c>
      <c r="E669" s="182" t="n">
        <v>4638.8782</v>
      </c>
      <c r="F669" s="182" t="n">
        <v>4683.43108</v>
      </c>
      <c r="G669" s="182" t="n">
        <v>4682.37151</v>
      </c>
      <c r="H669" s="182" t="n">
        <v>0</v>
      </c>
      <c r="I669" s="182" t="n">
        <v>667</v>
      </c>
      <c r="J669" s="182" t="n">
        <v>20.955</v>
      </c>
      <c r="K669" s="182" t="n">
        <v>42.9618</v>
      </c>
    </row>
    <row r="670" ht="15" customHeight="1" s="28">
      <c r="A670" s="181" t="n">
        <v>1777327202</v>
      </c>
      <c r="B670" s="181" t="inlineStr">
        <is>
          <t>XAUUSD</t>
        </is>
      </c>
      <c r="C670" s="181" t="inlineStr">
        <is>
          <t>M15</t>
        </is>
      </c>
      <c r="D670" s="181" t="n">
        <v>4689.32</v>
      </c>
      <c r="E670" s="181" t="n">
        <v>4638.6106</v>
      </c>
      <c r="F670" s="181" t="n">
        <v>4684.99161</v>
      </c>
      <c r="G670" s="181" t="n">
        <v>4683.68156</v>
      </c>
      <c r="H670" s="181" t="n">
        <v>0</v>
      </c>
      <c r="I670" s="181" t="n">
        <v>668</v>
      </c>
      <c r="J670" s="181" t="n">
        <v>28.6889</v>
      </c>
      <c r="K670" s="181" t="n">
        <v>50.7094</v>
      </c>
    </row>
    <row r="671" ht="15" customHeight="1" s="28">
      <c r="A671" s="182" t="n">
        <v>1777328102</v>
      </c>
      <c r="B671" s="182" t="inlineStr">
        <is>
          <t>XAUUSD</t>
        </is>
      </c>
      <c r="C671" s="182" t="inlineStr">
        <is>
          <t>M15</t>
        </is>
      </c>
      <c r="D671" s="182" t="n">
        <v>4689.07</v>
      </c>
      <c r="E671" s="182" t="n">
        <v>4638.34299</v>
      </c>
      <c r="F671" s="182" t="n">
        <v>4686.51075</v>
      </c>
      <c r="G671" s="182" t="n">
        <v>4685.09615</v>
      </c>
      <c r="H671" s="182" t="n">
        <v>0</v>
      </c>
      <c r="I671" s="182" t="n">
        <v>669</v>
      </c>
      <c r="J671" s="182" t="n">
        <v>28.6928</v>
      </c>
      <c r="K671" s="182" t="n">
        <v>50.727</v>
      </c>
    </row>
    <row r="672" ht="15" customHeight="1" s="28">
      <c r="A672" s="181" t="n">
        <v>1777329002</v>
      </c>
      <c r="B672" s="181" t="inlineStr">
        <is>
          <t>XAUUSD</t>
        </is>
      </c>
      <c r="C672" s="181" t="inlineStr">
        <is>
          <t>M15</t>
        </is>
      </c>
      <c r="D672" s="181" t="n">
        <v>4687.28</v>
      </c>
      <c r="E672" s="181" t="n">
        <v>4638.07539</v>
      </c>
      <c r="F672" s="181" t="n">
        <v>4687.94156</v>
      </c>
      <c r="G672" s="181" t="n">
        <v>4686.51886</v>
      </c>
      <c r="H672" s="181" t="n">
        <v>0</v>
      </c>
      <c r="I672" s="181" t="n">
        <v>670</v>
      </c>
      <c r="J672" s="181" t="n">
        <v>27.1567</v>
      </c>
      <c r="K672" s="181" t="n">
        <v>49.2046</v>
      </c>
    </row>
    <row r="673" ht="15" customHeight="1" s="28">
      <c r="A673" s="182" t="n">
        <v>1777329902</v>
      </c>
      <c r="B673" s="182" t="inlineStr">
        <is>
          <t>XAUUSD</t>
        </is>
      </c>
      <c r="C673" s="182" t="inlineStr">
        <is>
          <t>M15</t>
        </is>
      </c>
      <c r="D673" s="182" t="n">
        <v>4687.93</v>
      </c>
      <c r="E673" s="182" t="n">
        <v>4637.80778</v>
      </c>
      <c r="F673" s="182" t="n">
        <v>4689.33161</v>
      </c>
      <c r="G673" s="182" t="n">
        <v>4687.92524</v>
      </c>
      <c r="H673" s="182" t="n">
        <v>0</v>
      </c>
      <c r="I673" s="182" t="n">
        <v>671</v>
      </c>
      <c r="J673" s="182" t="n">
        <v>28.0606</v>
      </c>
      <c r="K673" s="182" t="n">
        <v>50.1222</v>
      </c>
    </row>
    <row r="674" ht="15" customHeight="1" s="28">
      <c r="A674" s="181" t="n">
        <v>1777330802</v>
      </c>
      <c r="B674" s="181" t="inlineStr">
        <is>
          <t>XAUUSD</t>
        </is>
      </c>
      <c r="C674" s="181" t="inlineStr">
        <is>
          <t>M15</t>
        </is>
      </c>
      <c r="D674" s="181" t="n">
        <v>4689.83</v>
      </c>
      <c r="E674" s="181" t="n">
        <v>4637.54018</v>
      </c>
      <c r="F674" s="181" t="n">
        <v>4690.71192</v>
      </c>
      <c r="G674" s="181" t="n">
        <v>4689.31858</v>
      </c>
      <c r="H674" s="181" t="n">
        <v>0</v>
      </c>
      <c r="I674" s="181" t="n">
        <v>672</v>
      </c>
      <c r="J674" s="181" t="n">
        <v>30.2145</v>
      </c>
      <c r="K674" s="181" t="n">
        <v>52.2898</v>
      </c>
    </row>
    <row r="675" ht="15" customHeight="1" s="28">
      <c r="A675" s="182" t="n">
        <v>1777331702</v>
      </c>
      <c r="B675" s="182" t="inlineStr">
        <is>
          <t>XAUUSD</t>
        </is>
      </c>
      <c r="C675" s="182" t="inlineStr">
        <is>
          <t>M15</t>
        </is>
      </c>
      <c r="D675" s="182" t="n">
        <v>4690.82</v>
      </c>
      <c r="E675" s="182" t="n">
        <v>4637.27258</v>
      </c>
      <c r="F675" s="182" t="n">
        <v>4692.0336</v>
      </c>
      <c r="G675" s="182" t="n">
        <v>4690.67609</v>
      </c>
      <c r="H675" s="182" t="n">
        <v>0</v>
      </c>
      <c r="I675" s="182" t="n">
        <v>673</v>
      </c>
      <c r="J675" s="182" t="n">
        <v>31.4584</v>
      </c>
      <c r="K675" s="182" t="n">
        <v>53.5474</v>
      </c>
    </row>
    <row r="676" ht="15" customHeight="1" s="28">
      <c r="A676" s="181" t="n">
        <v>1777332602</v>
      </c>
      <c r="B676" s="181" t="inlineStr">
        <is>
          <t>XAUUSD</t>
        </is>
      </c>
      <c r="C676" s="181" t="inlineStr">
        <is>
          <t>M15</t>
        </is>
      </c>
      <c r="D676" s="181" t="n">
        <v>4694.41</v>
      </c>
      <c r="E676" s="181" t="n">
        <v>4637.00497</v>
      </c>
      <c r="F676" s="181" t="n">
        <v>4693.26095</v>
      </c>
      <c r="G676" s="181" t="n">
        <v>4691.96852</v>
      </c>
      <c r="H676" s="181" t="n">
        <v>0</v>
      </c>
      <c r="I676" s="181" t="n">
        <v>674</v>
      </c>
      <c r="J676" s="181" t="n">
        <v>35.3023</v>
      </c>
      <c r="K676" s="181" t="n">
        <v>57.405</v>
      </c>
    </row>
    <row r="677" ht="15" customHeight="1" s="28">
      <c r="A677" s="182" t="n">
        <v>1777333502</v>
      </c>
      <c r="B677" s="182" t="inlineStr">
        <is>
          <t>XAUUSD</t>
        </is>
      </c>
      <c r="C677" s="182" t="inlineStr">
        <is>
          <t>M15</t>
        </is>
      </c>
      <c r="D677" s="182" t="n">
        <v>4691.85</v>
      </c>
      <c r="E677" s="182" t="n">
        <v>4636.73737</v>
      </c>
      <c r="F677" s="182" t="n">
        <v>4694.20193</v>
      </c>
      <c r="G677" s="182" t="n">
        <v>4693.08522</v>
      </c>
      <c r="H677" s="182" t="n">
        <v>0</v>
      </c>
      <c r="I677" s="182" t="n">
        <v>675</v>
      </c>
      <c r="J677" s="182" t="n">
        <v>32.9962</v>
      </c>
      <c r="K677" s="182" t="n">
        <v>55.1126</v>
      </c>
    </row>
    <row r="678" ht="15" customHeight="1" s="28">
      <c r="A678" s="181" t="n">
        <v>1777334402</v>
      </c>
      <c r="B678" s="181" t="inlineStr">
        <is>
          <t>XAUUSD</t>
        </is>
      </c>
      <c r="C678" s="181" t="inlineStr">
        <is>
          <t>M15</t>
        </is>
      </c>
      <c r="D678" s="181" t="n">
        <v>4697.91</v>
      </c>
      <c r="E678" s="181" t="n">
        <v>4636.46976</v>
      </c>
      <c r="F678" s="181" t="n">
        <v>4694.77166</v>
      </c>
      <c r="G678" s="181" t="n">
        <v>4693.92844</v>
      </c>
      <c r="H678" s="181" t="n">
        <v>0</v>
      </c>
      <c r="I678" s="181" t="n">
        <v>676</v>
      </c>
      <c r="J678" s="181" t="n">
        <v>39.3101</v>
      </c>
      <c r="K678" s="181" t="n">
        <v>61.4402</v>
      </c>
    </row>
    <row r="679" ht="15" customHeight="1" s="28">
      <c r="A679" s="182" t="n">
        <v>1777335302</v>
      </c>
      <c r="B679" s="182" t="inlineStr">
        <is>
          <t>XAUUSD</t>
        </is>
      </c>
      <c r="C679" s="182" t="inlineStr">
        <is>
          <t>M15</t>
        </is>
      </c>
      <c r="D679" s="182" t="n">
        <v>4695.01</v>
      </c>
      <c r="E679" s="182" t="n">
        <v>4636.20216</v>
      </c>
      <c r="F679" s="182" t="n">
        <v>4694.62942</v>
      </c>
      <c r="G679" s="182" t="n">
        <v>4694.27893</v>
      </c>
      <c r="H679" s="182" t="n">
        <v>0</v>
      </c>
      <c r="I679" s="182" t="n">
        <v>677</v>
      </c>
      <c r="J679" s="182" t="n">
        <v>36.664</v>
      </c>
      <c r="K679" s="182" t="n">
        <v>58.8078</v>
      </c>
    </row>
    <row r="680" ht="15" customHeight="1" s="28">
      <c r="A680" s="181" t="n">
        <v>1777336202</v>
      </c>
      <c r="B680" s="181" t="inlineStr">
        <is>
          <t>XAUUSD</t>
        </is>
      </c>
      <c r="C680" s="181" t="inlineStr">
        <is>
          <t>M15</t>
        </is>
      </c>
      <c r="D680" s="181" t="n">
        <v>4693.71</v>
      </c>
      <c r="E680" s="181" t="n">
        <v>4635.93455</v>
      </c>
      <c r="F680" s="181" t="n">
        <v>4693.69938</v>
      </c>
      <c r="G680" s="181" t="n">
        <v>4693.98915</v>
      </c>
      <c r="H680" s="181" t="n">
        <v>1</v>
      </c>
      <c r="I680" s="181" t="n">
        <v>678</v>
      </c>
      <c r="J680" s="181" t="n">
        <v>35.6179</v>
      </c>
      <c r="K680" s="181" t="n">
        <v>57.7755</v>
      </c>
    </row>
    <row r="681" ht="15" customHeight="1" s="28">
      <c r="A681" s="182" t="n">
        <v>1777337102</v>
      </c>
      <c r="B681" s="182" t="inlineStr">
        <is>
          <t>XAUUSD</t>
        </is>
      </c>
      <c r="C681" s="182" t="inlineStr">
        <is>
          <t>M15</t>
        </is>
      </c>
      <c r="D681" s="182" t="n">
        <v>4690.53</v>
      </c>
      <c r="E681" s="182" t="n">
        <v>4635.66695</v>
      </c>
      <c r="F681" s="182" t="n">
        <v>4691.92446</v>
      </c>
      <c r="G681" s="182" t="n">
        <v>4692.95681</v>
      </c>
      <c r="H681" s="182" t="n">
        <v>0</v>
      </c>
      <c r="I681" s="182" t="n">
        <v>679</v>
      </c>
      <c r="J681" s="182" t="n">
        <v>32.6918</v>
      </c>
      <c r="K681" s="182" t="n">
        <v>54.863</v>
      </c>
    </row>
    <row r="682" ht="15" customHeight="1" s="28">
      <c r="A682" s="181" t="n">
        <v>1777338002</v>
      </c>
      <c r="B682" s="181" t="inlineStr">
        <is>
          <t>XAUUSD</t>
        </is>
      </c>
      <c r="C682" s="181" t="inlineStr">
        <is>
          <t>M15</t>
        </is>
      </c>
      <c r="D682" s="181" t="n">
        <v>4688.24</v>
      </c>
      <c r="E682" s="181" t="n">
        <v>4635.39935</v>
      </c>
      <c r="F682" s="181" t="n">
        <v>4689.35226</v>
      </c>
      <c r="G682" s="181" t="n">
        <v>4691.15453</v>
      </c>
      <c r="H682" s="181" t="n">
        <v>0</v>
      </c>
      <c r="I682" s="181" t="n">
        <v>680</v>
      </c>
      <c r="J682" s="181" t="n">
        <v>30.6557</v>
      </c>
      <c r="K682" s="181" t="n">
        <v>52.8407</v>
      </c>
    </row>
    <row r="683" ht="15" customHeight="1" s="28">
      <c r="A683" s="182" t="n">
        <v>1777338902</v>
      </c>
      <c r="B683" s="182" t="inlineStr">
        <is>
          <t>XAUUSD</t>
        </is>
      </c>
      <c r="C683" s="182" t="inlineStr">
        <is>
          <t>M15</t>
        </is>
      </c>
      <c r="D683" s="182" t="n">
        <v>4687.7</v>
      </c>
      <c r="E683" s="182" t="n">
        <v>4635.13174</v>
      </c>
      <c r="F683" s="182" t="n">
        <v>4686.1311</v>
      </c>
      <c r="G683" s="182" t="n">
        <v>4688.64282</v>
      </c>
      <c r="H683" s="182" t="n">
        <v>0</v>
      </c>
      <c r="I683" s="182" t="n">
        <v>681</v>
      </c>
      <c r="J683" s="182" t="n">
        <v>30.3696</v>
      </c>
      <c r="K683" s="182" t="n">
        <v>52.5683</v>
      </c>
    </row>
    <row r="684" ht="15" customHeight="1" s="28">
      <c r="A684" s="181" t="n">
        <v>1777339802</v>
      </c>
      <c r="B684" s="181" t="inlineStr">
        <is>
          <t>XAUUSD</t>
        </is>
      </c>
      <c r="C684" s="181" t="inlineStr">
        <is>
          <t>M15</t>
        </is>
      </c>
      <c r="D684" s="181" t="n">
        <v>4687.37</v>
      </c>
      <c r="E684" s="181" t="n">
        <v>4634.86414</v>
      </c>
      <c r="F684" s="181" t="n">
        <v>4682.47038</v>
      </c>
      <c r="G684" s="181" t="n">
        <v>4685.5566</v>
      </c>
      <c r="H684" s="181" t="n">
        <v>0</v>
      </c>
      <c r="I684" s="181" t="n">
        <v>682</v>
      </c>
      <c r="J684" s="181" t="n">
        <v>30.2935</v>
      </c>
      <c r="K684" s="181" t="n">
        <v>52.5059</v>
      </c>
    </row>
    <row r="685" ht="15" customHeight="1" s="28">
      <c r="A685" s="182" t="n">
        <v>1777340702</v>
      </c>
      <c r="B685" s="182" t="inlineStr">
        <is>
          <t>XAUUSD</t>
        </is>
      </c>
      <c r="C685" s="182" t="inlineStr">
        <is>
          <t>M15</t>
        </is>
      </c>
      <c r="D685" s="182" t="n">
        <v>4670.88</v>
      </c>
      <c r="E685" s="182" t="n">
        <v>4634.59653</v>
      </c>
      <c r="F685" s="182" t="n">
        <v>4678.6922</v>
      </c>
      <c r="G685" s="182" t="n">
        <v>4682.1244</v>
      </c>
      <c r="H685" s="182" t="n">
        <v>0</v>
      </c>
      <c r="I685" s="182" t="n">
        <v>683</v>
      </c>
      <c r="J685" s="182" t="n">
        <v>14.0573</v>
      </c>
      <c r="K685" s="182" t="n">
        <v>36.2835</v>
      </c>
    </row>
    <row r="686" ht="15" customHeight="1" s="28">
      <c r="A686" s="181" t="n">
        <v>1777341602</v>
      </c>
      <c r="B686" s="181" t="inlineStr">
        <is>
          <t>XAUUSD</t>
        </is>
      </c>
      <c r="C686" s="181" t="inlineStr">
        <is>
          <t>M15</t>
        </is>
      </c>
      <c r="D686" s="181" t="n">
        <v>4677.52</v>
      </c>
      <c r="E686" s="181" t="n">
        <v>4634.32893</v>
      </c>
      <c r="F686" s="181" t="n">
        <v>4675.57866</v>
      </c>
      <c r="G686" s="181" t="n">
        <v>4678.85153</v>
      </c>
      <c r="H686" s="181" t="n">
        <v>0</v>
      </c>
      <c r="I686" s="181" t="n">
        <v>684</v>
      </c>
      <c r="J686" s="181" t="n">
        <v>20.9512</v>
      </c>
      <c r="K686" s="181" t="n">
        <v>43.1911</v>
      </c>
    </row>
    <row r="687" ht="15" customHeight="1" s="28">
      <c r="A687" s="182" t="n">
        <v>1777342502</v>
      </c>
      <c r="B687" s="182" t="inlineStr">
        <is>
          <t>XAUUSD</t>
        </is>
      </c>
      <c r="C687" s="182" t="inlineStr">
        <is>
          <t>M15</t>
        </is>
      </c>
      <c r="D687" s="182" t="n">
        <v>4675.58</v>
      </c>
      <c r="E687" s="182" t="n">
        <v>4634.06133</v>
      </c>
      <c r="F687" s="182" t="n">
        <v>4673.20495</v>
      </c>
      <c r="G687" s="182" t="n">
        <v>4676.02824</v>
      </c>
      <c r="H687" s="182" t="n">
        <v>0</v>
      </c>
      <c r="I687" s="182" t="n">
        <v>685</v>
      </c>
      <c r="J687" s="182" t="n">
        <v>19.2651</v>
      </c>
      <c r="K687" s="182" t="n">
        <v>41.5187</v>
      </c>
    </row>
    <row r="688" ht="15" customHeight="1" s="28">
      <c r="A688" s="181" t="n">
        <v>1777343402</v>
      </c>
      <c r="B688" s="181" t="inlineStr">
        <is>
          <t>XAUUSD</t>
        </is>
      </c>
      <c r="C688" s="181" t="inlineStr">
        <is>
          <t>M15</t>
        </is>
      </c>
      <c r="D688" s="181" t="n">
        <v>4671.15</v>
      </c>
      <c r="E688" s="181" t="n">
        <v>4633.79372</v>
      </c>
      <c r="F688" s="181" t="n">
        <v>4671.76124</v>
      </c>
      <c r="G688" s="181" t="n">
        <v>4673.89474</v>
      </c>
      <c r="H688" s="181" t="n">
        <v>0</v>
      </c>
      <c r="I688" s="181" t="n">
        <v>686</v>
      </c>
      <c r="J688" s="181" t="n">
        <v>15.089</v>
      </c>
      <c r="K688" s="181" t="n">
        <v>37.3563</v>
      </c>
    </row>
    <row r="689" ht="15" customHeight="1" s="28">
      <c r="A689" s="182" t="n">
        <v>1777344302</v>
      </c>
      <c r="B689" s="182" t="inlineStr">
        <is>
          <t>XAUUSD</t>
        </is>
      </c>
      <c r="C689" s="182" t="inlineStr">
        <is>
          <t>M15</t>
        </is>
      </c>
      <c r="D689" s="182" t="n">
        <v>4669.14</v>
      </c>
      <c r="E689" s="182" t="n">
        <v>4633.52612</v>
      </c>
      <c r="F689" s="182" t="n">
        <v>4671.31995</v>
      </c>
      <c r="G689" s="182" t="n">
        <v>4672.60734</v>
      </c>
      <c r="H689" s="182" t="n">
        <v>0</v>
      </c>
      <c r="I689" s="182" t="n">
        <v>687</v>
      </c>
      <c r="J689" s="182" t="n">
        <v>13.3329</v>
      </c>
      <c r="K689" s="182" t="n">
        <v>35.6139</v>
      </c>
    </row>
    <row r="690" ht="15" customHeight="1" s="28">
      <c r="A690" s="181" t="n">
        <v>1777345202</v>
      </c>
      <c r="B690" s="181" t="inlineStr">
        <is>
          <t>XAUUSD</t>
        </is>
      </c>
      <c r="C690" s="181" t="inlineStr">
        <is>
          <t>M15</t>
        </is>
      </c>
      <c r="D690" s="181" t="n">
        <v>4672.91</v>
      </c>
      <c r="E690" s="181" t="n">
        <v>4633.25851</v>
      </c>
      <c r="F690" s="181" t="n">
        <v>4671.71831</v>
      </c>
      <c r="G690" s="181" t="n">
        <v>4672.16283</v>
      </c>
      <c r="H690" s="181" t="n">
        <v>0</v>
      </c>
      <c r="I690" s="181" t="n">
        <v>688</v>
      </c>
      <c r="J690" s="181" t="n">
        <v>17.3568</v>
      </c>
      <c r="K690" s="181" t="n">
        <v>39.6515</v>
      </c>
    </row>
    <row r="691" ht="15" customHeight="1" s="28">
      <c r="A691" s="182" t="n">
        <v>1777346102</v>
      </c>
      <c r="B691" s="182" t="inlineStr">
        <is>
          <t>XAUUSD</t>
        </is>
      </c>
      <c r="C691" s="182" t="inlineStr">
        <is>
          <t>M15</t>
        </is>
      </c>
      <c r="D691" s="182" t="n">
        <v>4674.86</v>
      </c>
      <c r="E691" s="182" t="n">
        <v>4632.99091</v>
      </c>
      <c r="F691" s="182" t="n">
        <v>4672.47432</v>
      </c>
      <c r="G691" s="182" t="n">
        <v>4672.31858</v>
      </c>
      <c r="H691" s="182" t="n">
        <v>1</v>
      </c>
      <c r="I691" s="182" t="n">
        <v>689</v>
      </c>
      <c r="J691" s="182" t="n">
        <v>19.5607</v>
      </c>
      <c r="K691" s="182" t="n">
        <v>41.8691</v>
      </c>
    </row>
    <row r="692" ht="15" customHeight="1" s="28">
      <c r="A692" s="181" t="n">
        <v>1777347002</v>
      </c>
      <c r="B692" s="181" t="inlineStr">
        <is>
          <t>XAUUSD</t>
        </is>
      </c>
      <c r="C692" s="181" t="inlineStr">
        <is>
          <t>M15</t>
        </is>
      </c>
      <c r="D692" s="181" t="n">
        <v>4672.11</v>
      </c>
      <c r="E692" s="181" t="n">
        <v>4632.72331</v>
      </c>
      <c r="F692" s="181" t="n">
        <v>4673.07859</v>
      </c>
      <c r="G692" s="181" t="n">
        <v>4672.69858</v>
      </c>
      <c r="H692" s="181" t="n">
        <v>0</v>
      </c>
      <c r="I692" s="181" t="n">
        <v>690</v>
      </c>
      <c r="J692" s="181" t="n">
        <v>17.0646</v>
      </c>
      <c r="K692" s="181" t="n">
        <v>39.3867</v>
      </c>
    </row>
    <row r="693" ht="15" customHeight="1" s="28">
      <c r="A693" s="182" t="n">
        <v>1777347902</v>
      </c>
      <c r="B693" s="182" t="inlineStr">
        <is>
          <t>XAUUSD</t>
        </is>
      </c>
      <c r="C693" s="182" t="inlineStr">
        <is>
          <t>M15</t>
        </is>
      </c>
      <c r="D693" s="182" t="n">
        <v>4671.02</v>
      </c>
      <c r="E693" s="182" t="n">
        <v>4632.4557</v>
      </c>
      <c r="F693" s="182" t="n">
        <v>4673.11029</v>
      </c>
      <c r="G693" s="182" t="n">
        <v>4672.90444</v>
      </c>
      <c r="H693" s="182" t="n">
        <v>0</v>
      </c>
      <c r="I693" s="182" t="n">
        <v>691</v>
      </c>
      <c r="J693" s="182" t="n">
        <v>16.2285</v>
      </c>
      <c r="K693" s="182" t="n">
        <v>38.5643</v>
      </c>
    </row>
    <row r="694" ht="15" customHeight="1" s="28">
      <c r="A694" s="181" t="n">
        <v>1777348802</v>
      </c>
      <c r="B694" s="181" t="inlineStr">
        <is>
          <t>XAUUSD</t>
        </is>
      </c>
      <c r="C694" s="181" t="inlineStr">
        <is>
          <t>M15</t>
        </is>
      </c>
      <c r="D694" s="181" t="n">
        <v>4669.93</v>
      </c>
      <c r="E694" s="181" t="n">
        <v>4632.1881</v>
      </c>
      <c r="F694" s="181" t="n">
        <v>4672.13298</v>
      </c>
      <c r="G694" s="181" t="n">
        <v>4672.51871</v>
      </c>
      <c r="H694" s="181" t="n">
        <v>1</v>
      </c>
      <c r="I694" s="181" t="n">
        <v>692</v>
      </c>
      <c r="J694" s="181" t="n">
        <v>15.3924</v>
      </c>
      <c r="K694" s="181" t="n">
        <v>37.7419</v>
      </c>
    </row>
    <row r="695" ht="15" customHeight="1" s="28">
      <c r="A695" s="182" t="n">
        <v>1777349702</v>
      </c>
      <c r="B695" s="182" t="inlineStr">
        <is>
          <t>XAUUSD</t>
        </is>
      </c>
      <c r="C695" s="182" t="inlineStr">
        <is>
          <t>M15</t>
        </is>
      </c>
      <c r="D695" s="182" t="n">
        <v>4667.66</v>
      </c>
      <c r="E695" s="182" t="n">
        <v>4631.92049</v>
      </c>
      <c r="F695" s="182" t="n">
        <v>4669.87359</v>
      </c>
      <c r="G695" s="182" t="n">
        <v>4671.19615</v>
      </c>
      <c r="H695" s="182" t="n">
        <v>0</v>
      </c>
      <c r="I695" s="182" t="n">
        <v>693</v>
      </c>
      <c r="J695" s="182" t="n">
        <v>13.3763</v>
      </c>
      <c r="K695" s="182" t="n">
        <v>35.7395</v>
      </c>
    </row>
    <row r="696" ht="15" customHeight="1" s="28">
      <c r="A696" s="181" t="n">
        <v>1777350602</v>
      </c>
      <c r="B696" s="181" t="inlineStr">
        <is>
          <t>XAUUSD</t>
        </is>
      </c>
      <c r="C696" s="181" t="inlineStr">
        <is>
          <t>M15</t>
        </is>
      </c>
      <c r="D696" s="181" t="n">
        <v>4669.92</v>
      </c>
      <c r="E696" s="181" t="n">
        <v>4631.65289</v>
      </c>
      <c r="F696" s="181" t="n">
        <v>4666.21133</v>
      </c>
      <c r="G696" s="181" t="n">
        <v>4668.70374</v>
      </c>
      <c r="H696" s="181" t="n">
        <v>0</v>
      </c>
      <c r="I696" s="181" t="n">
        <v>694</v>
      </c>
      <c r="J696" s="181" t="n">
        <v>15.8902</v>
      </c>
      <c r="K696" s="181" t="n">
        <v>38.2671</v>
      </c>
    </row>
    <row r="697" ht="15" customHeight="1" s="28">
      <c r="A697" s="182" t="n">
        <v>1777351502</v>
      </c>
      <c r="B697" s="182" t="inlineStr">
        <is>
          <t>XAUUSD</t>
        </is>
      </c>
      <c r="C697" s="182" t="inlineStr">
        <is>
          <t>M15</t>
        </is>
      </c>
      <c r="D697" s="182" t="n">
        <v>4667.71</v>
      </c>
      <c r="E697" s="182" t="n">
        <v>4631.38529</v>
      </c>
      <c r="F697" s="182" t="n">
        <v>4661.06839</v>
      </c>
      <c r="G697" s="182" t="n">
        <v>4664.88607</v>
      </c>
      <c r="H697" s="182" t="n">
        <v>0</v>
      </c>
      <c r="I697" s="182" t="n">
        <v>695</v>
      </c>
      <c r="J697" s="182" t="n">
        <v>13.9341</v>
      </c>
      <c r="K697" s="182" t="n">
        <v>36.3247</v>
      </c>
    </row>
    <row r="698" ht="15" customHeight="1" s="28">
      <c r="A698" s="181" t="n">
        <v>1777352402</v>
      </c>
      <c r="B698" s="181" t="inlineStr">
        <is>
          <t>XAUUSD</t>
        </is>
      </c>
      <c r="C698" s="181" t="inlineStr">
        <is>
          <t>M15</t>
        </is>
      </c>
      <c r="D698" s="181" t="n">
        <v>4652.57</v>
      </c>
      <c r="E698" s="181" t="n">
        <v>4631.11768</v>
      </c>
      <c r="F698" s="181" t="n">
        <v>4654.76785</v>
      </c>
      <c r="G698" s="181" t="n">
        <v>4659.82696</v>
      </c>
      <c r="H698" s="181" t="n">
        <v>0</v>
      </c>
      <c r="I698" s="181" t="n">
        <v>696</v>
      </c>
      <c r="J698" s="181" t="n">
        <v>-0.952</v>
      </c>
      <c r="K698" s="181" t="n">
        <v>21.4523</v>
      </c>
    </row>
    <row r="699" ht="15" customHeight="1" s="28">
      <c r="A699" s="182" t="n">
        <v>1777353302</v>
      </c>
      <c r="B699" s="182" t="inlineStr">
        <is>
          <t>XAUUSD</t>
        </is>
      </c>
      <c r="C699" s="182" t="inlineStr">
        <is>
          <t>M15</t>
        </is>
      </c>
      <c r="D699" s="182" t="n">
        <v>4658.38</v>
      </c>
      <c r="E699" s="182" t="n">
        <v>4630.85008</v>
      </c>
      <c r="F699" s="182" t="n">
        <v>4648.17051</v>
      </c>
      <c r="G699" s="182" t="n">
        <v>4653.99874</v>
      </c>
      <c r="H699" s="182" t="n">
        <v>0</v>
      </c>
      <c r="I699" s="182" t="n">
        <v>697</v>
      </c>
      <c r="J699" s="182" t="n">
        <v>5.1119</v>
      </c>
      <c r="K699" s="182" t="n">
        <v>27.5299</v>
      </c>
    </row>
    <row r="700" ht="15" customHeight="1" s="28">
      <c r="A700" s="181" t="n">
        <v>1777354202</v>
      </c>
      <c r="B700" s="181" t="inlineStr">
        <is>
          <t>XAUUSD</t>
        </is>
      </c>
      <c r="C700" s="181" t="inlineStr">
        <is>
          <t>M15</t>
        </is>
      </c>
      <c r="D700" s="181" t="n">
        <v>4624.58</v>
      </c>
      <c r="E700" s="181" t="n">
        <v>4630.58247</v>
      </c>
      <c r="F700" s="181" t="n">
        <v>4641.65171</v>
      </c>
      <c r="G700" s="181" t="n">
        <v>4647.82523</v>
      </c>
      <c r="H700" s="181" t="n">
        <v>0</v>
      </c>
      <c r="I700" s="181" t="n">
        <v>698</v>
      </c>
      <c r="J700" s="181" t="n">
        <v>-28.4342</v>
      </c>
      <c r="K700" s="181" t="n">
        <v>-6.0025</v>
      </c>
    </row>
    <row r="701" ht="15" customHeight="1" s="28">
      <c r="A701" s="182" t="n">
        <v>1777355102</v>
      </c>
      <c r="B701" s="182" t="inlineStr">
        <is>
          <t>XAUUSD</t>
        </is>
      </c>
      <c r="C701" s="182" t="inlineStr">
        <is>
          <t>M15</t>
        </is>
      </c>
      <c r="D701" s="182" t="n">
        <v>4632.23</v>
      </c>
      <c r="E701" s="182" t="n">
        <v>4630.31487</v>
      </c>
      <c r="F701" s="182" t="n">
        <v>4636.63512</v>
      </c>
      <c r="G701" s="182" t="n">
        <v>4642.23017</v>
      </c>
      <c r="H701" s="182" t="n">
        <v>0</v>
      </c>
      <c r="I701" s="182" t="n">
        <v>699</v>
      </c>
      <c r="J701" s="182" t="n">
        <v>-20.5303</v>
      </c>
      <c r="K701" s="182" t="n">
        <v>1.9151</v>
      </c>
    </row>
    <row r="702" ht="15" customHeight="1" s="28">
      <c r="A702" s="181" t="n">
        <v>1777356002</v>
      </c>
      <c r="B702" s="181" t="inlineStr">
        <is>
          <t>XAUUSD</t>
        </is>
      </c>
      <c r="C702" s="181" t="inlineStr">
        <is>
          <t>M15</t>
        </is>
      </c>
      <c r="D702" s="181" t="n">
        <v>4640.69</v>
      </c>
      <c r="E702" s="181" t="n">
        <v>4630.04726</v>
      </c>
      <c r="F702" s="181" t="n">
        <v>4633.14562</v>
      </c>
      <c r="G702" s="181" t="n">
        <v>4637.6879</v>
      </c>
      <c r="H702" s="181" t="n">
        <v>0</v>
      </c>
      <c r="I702" s="181" t="n">
        <v>700</v>
      </c>
      <c r="J702" s="181" t="n">
        <v>-11.8164</v>
      </c>
      <c r="K702" s="181" t="n">
        <v>10.6427</v>
      </c>
    </row>
    <row r="703" ht="15" customHeight="1" s="28">
      <c r="A703" s="182" t="n">
        <v>1777356902</v>
      </c>
      <c r="B703" s="182" t="inlineStr">
        <is>
          <t>XAUUSD</t>
        </is>
      </c>
      <c r="C703" s="182" t="inlineStr">
        <is>
          <t>M15</t>
        </is>
      </c>
      <c r="D703" s="182" t="n">
        <v>4631.64</v>
      </c>
      <c r="E703" s="182" t="n">
        <v>4629.77966</v>
      </c>
      <c r="F703" s="182" t="n">
        <v>4630.92321</v>
      </c>
      <c r="G703" s="182" t="n">
        <v>4634.30555</v>
      </c>
      <c r="H703" s="182" t="n">
        <v>0</v>
      </c>
      <c r="I703" s="182" t="n">
        <v>701</v>
      </c>
      <c r="J703" s="182" t="n">
        <v>-20.6125</v>
      </c>
      <c r="K703" s="182" t="n">
        <v>1.8603</v>
      </c>
    </row>
    <row r="704" ht="15" customHeight="1" s="28">
      <c r="A704" s="181" t="n">
        <v>1777357802</v>
      </c>
      <c r="B704" s="181" t="inlineStr">
        <is>
          <t>XAUUSD</t>
        </is>
      </c>
      <c r="C704" s="181" t="inlineStr">
        <is>
          <t>M15</t>
        </is>
      </c>
      <c r="D704" s="181" t="n">
        <v>4629.83</v>
      </c>
      <c r="E704" s="181" t="n">
        <v>4629.51206</v>
      </c>
      <c r="F704" s="181" t="n">
        <v>4629.9782</v>
      </c>
      <c r="G704" s="181" t="n">
        <v>4632.14188</v>
      </c>
      <c r="H704" s="181" t="n">
        <v>0</v>
      </c>
      <c r="I704" s="181" t="n">
        <v>702</v>
      </c>
      <c r="J704" s="181" t="n">
        <v>-22.1686</v>
      </c>
      <c r="K704" s="181" t="n">
        <v>0.3179</v>
      </c>
    </row>
    <row r="705" ht="15" customHeight="1" s="28">
      <c r="A705" s="182" t="n">
        <v>1777358702</v>
      </c>
      <c r="B705" s="182" t="inlineStr">
        <is>
          <t>XAUUSD</t>
        </is>
      </c>
      <c r="C705" s="182" t="inlineStr">
        <is>
          <t>M15</t>
        </is>
      </c>
      <c r="D705" s="182" t="n">
        <v>4628.99</v>
      </c>
      <c r="E705" s="182" t="n">
        <v>4629.24445</v>
      </c>
      <c r="F705" s="182" t="n">
        <v>4629.97345</v>
      </c>
      <c r="G705" s="182" t="n">
        <v>4631.05766</v>
      </c>
      <c r="H705" s="182" t="n">
        <v>0</v>
      </c>
      <c r="I705" s="182" t="n">
        <v>703</v>
      </c>
      <c r="J705" s="182" t="n">
        <v>-22.7547</v>
      </c>
      <c r="K705" s="182" t="n">
        <v>-0.2545</v>
      </c>
    </row>
    <row r="706" ht="15" customHeight="1" s="28">
      <c r="A706" s="181" t="n">
        <v>1777359602</v>
      </c>
      <c r="B706" s="181" t="inlineStr">
        <is>
          <t>XAUUSD</t>
        </is>
      </c>
      <c r="C706" s="181" t="inlineStr">
        <is>
          <t>M15</t>
        </is>
      </c>
      <c r="D706" s="181" t="n">
        <v>4634.3</v>
      </c>
      <c r="E706" s="181" t="n">
        <v>4628.97685</v>
      </c>
      <c r="F706" s="181" t="n">
        <v>4630.43022</v>
      </c>
      <c r="G706" s="181" t="n">
        <v>4630.74394</v>
      </c>
      <c r="H706" s="181" t="n">
        <v>0</v>
      </c>
      <c r="I706" s="181" t="n">
        <v>704</v>
      </c>
      <c r="J706" s="181" t="n">
        <v>-17.1908</v>
      </c>
      <c r="K706" s="181" t="n">
        <v>5.3232</v>
      </c>
    </row>
    <row r="707" ht="15" customHeight="1" s="28">
      <c r="A707" s="182" t="n">
        <v>1777360502</v>
      </c>
      <c r="B707" s="182" t="inlineStr">
        <is>
          <t>XAUUSD</t>
        </is>
      </c>
      <c r="C707" s="182" t="inlineStr">
        <is>
          <t>M15</t>
        </is>
      </c>
      <c r="D707" s="182" t="n">
        <v>4629.79</v>
      </c>
      <c r="E707" s="182" t="n">
        <v>4628.70924</v>
      </c>
      <c r="F707" s="182" t="n">
        <v>4630.73633</v>
      </c>
      <c r="G707" s="182" t="n">
        <v>4630.74014</v>
      </c>
      <c r="H707" s="182" t="n">
        <v>0</v>
      </c>
      <c r="I707" s="182" t="n">
        <v>705</v>
      </c>
      <c r="J707" s="182" t="n">
        <v>-21.447</v>
      </c>
      <c r="K707" s="182" t="n">
        <v>1.0808</v>
      </c>
    </row>
    <row r="708" ht="15" customHeight="1" s="28">
      <c r="A708" s="181" t="n">
        <v>1777361402</v>
      </c>
      <c r="B708" s="181" t="inlineStr">
        <is>
          <t>XAUUSD</t>
        </is>
      </c>
      <c r="C708" s="181" t="inlineStr">
        <is>
          <t>M15</t>
        </is>
      </c>
      <c r="D708" s="181" t="n">
        <v>4629.38</v>
      </c>
      <c r="E708" s="181" t="n">
        <v>4628.44164</v>
      </c>
      <c r="F708" s="181" t="n">
        <v>4630.64901</v>
      </c>
      <c r="G708" s="181" t="n">
        <v>4630.69457</v>
      </c>
      <c r="H708" s="181" t="n">
        <v>0</v>
      </c>
      <c r="I708" s="181" t="n">
        <v>706</v>
      </c>
      <c r="J708" s="181" t="n">
        <v>-21.6031</v>
      </c>
      <c r="K708" s="181" t="n">
        <v>0.9384</v>
      </c>
    </row>
    <row r="709" ht="15" customHeight="1" s="28">
      <c r="A709" s="182" t="n">
        <v>1777362302</v>
      </c>
      <c r="B709" s="182" t="inlineStr">
        <is>
          <t>XAUUSD</t>
        </is>
      </c>
      <c r="C709" s="182" t="inlineStr">
        <is>
          <t>M15</t>
        </is>
      </c>
      <c r="D709" s="182" t="n">
        <v>4633.24</v>
      </c>
      <c r="E709" s="182" t="n">
        <v>4628.17404</v>
      </c>
      <c r="F709" s="182" t="n">
        <v>4629.99385</v>
      </c>
      <c r="G709" s="182" t="n">
        <v>4630.34421</v>
      </c>
      <c r="H709" s="182" t="n">
        <v>0</v>
      </c>
      <c r="I709" s="182" t="n">
        <v>707</v>
      </c>
      <c r="J709" s="182" t="n">
        <v>-17.4892</v>
      </c>
      <c r="K709" s="182" t="n">
        <v>5.066</v>
      </c>
    </row>
    <row r="710" ht="15" customHeight="1" s="28">
      <c r="A710" s="181" t="n">
        <v>1777363202</v>
      </c>
      <c r="B710" s="181" t="inlineStr">
        <is>
          <t>XAUUSD</t>
        </is>
      </c>
      <c r="C710" s="181" t="inlineStr">
        <is>
          <t>M15</t>
        </is>
      </c>
      <c r="D710" s="181" t="n">
        <v>4620.29</v>
      </c>
      <c r="E710" s="181" t="n">
        <v>4627.90643</v>
      </c>
      <c r="F710" s="181" t="n">
        <v>4628.66726</v>
      </c>
      <c r="G710" s="181" t="n">
        <v>4629.50573</v>
      </c>
      <c r="H710" s="181" t="n">
        <v>0</v>
      </c>
      <c r="I710" s="181" t="n">
        <v>708</v>
      </c>
      <c r="J710" s="181" t="n">
        <v>-30.1853</v>
      </c>
      <c r="K710" s="181" t="n">
        <v>-7.6164</v>
      </c>
    </row>
    <row r="711" ht="15" customHeight="1" s="28">
      <c r="A711" s="182" t="n">
        <v>1777364102</v>
      </c>
      <c r="B711" s="182" t="inlineStr">
        <is>
          <t>XAUUSD</t>
        </is>
      </c>
      <c r="C711" s="182" t="inlineStr">
        <is>
          <t>M15</t>
        </is>
      </c>
      <c r="D711" s="182" t="n">
        <v>4626.98</v>
      </c>
      <c r="E711" s="182" t="n">
        <v>4627.63883</v>
      </c>
      <c r="F711" s="182" t="n">
        <v>4627.15639</v>
      </c>
      <c r="G711" s="182" t="n">
        <v>4628.33106</v>
      </c>
      <c r="H711" s="182" t="n">
        <v>0</v>
      </c>
      <c r="I711" s="182" t="n">
        <v>709</v>
      </c>
      <c r="J711" s="182" t="n">
        <v>-23.2414</v>
      </c>
      <c r="K711" s="182" t="n">
        <v>-0.6588000000000001</v>
      </c>
    </row>
    <row r="712" ht="15" customHeight="1" s="28">
      <c r="A712" s="181" t="n">
        <v>1777365002</v>
      </c>
      <c r="B712" s="181" t="inlineStr">
        <is>
          <t>XAUUSD</t>
        </is>
      </c>
      <c r="C712" s="181" t="inlineStr">
        <is>
          <t>M15</t>
        </is>
      </c>
      <c r="D712" s="181" t="n">
        <v>4628.21</v>
      </c>
      <c r="E712" s="181" t="n">
        <v>4627.37122</v>
      </c>
      <c r="F712" s="181" t="n">
        <v>4625.433</v>
      </c>
      <c r="G712" s="181" t="n">
        <v>4626.88203</v>
      </c>
      <c r="H712" s="181" t="n">
        <v>0</v>
      </c>
      <c r="I712" s="181" t="n">
        <v>710</v>
      </c>
      <c r="J712" s="181" t="n">
        <v>-21.7575</v>
      </c>
      <c r="K712" s="181" t="n">
        <v>0.8388</v>
      </c>
    </row>
    <row r="713" ht="15" customHeight="1" s="28">
      <c r="A713" s="182" t="n">
        <v>1777365902</v>
      </c>
      <c r="B713" s="182" t="inlineStr">
        <is>
          <t>XAUUSD</t>
        </is>
      </c>
      <c r="C713" s="182" t="inlineStr">
        <is>
          <t>M15</t>
        </is>
      </c>
      <c r="D713" s="182" t="n">
        <v>4629.62</v>
      </c>
      <c r="E713" s="182" t="n">
        <v>4627.10362</v>
      </c>
      <c r="F713" s="182" t="n">
        <v>4623.59568</v>
      </c>
      <c r="G713" s="182" t="n">
        <v>4625.23885</v>
      </c>
      <c r="H713" s="182" t="n">
        <v>0</v>
      </c>
      <c r="I713" s="182" t="n">
        <v>711</v>
      </c>
      <c r="J713" s="182" t="n">
        <v>-20.0936</v>
      </c>
      <c r="K713" s="182" t="n">
        <v>2.5164</v>
      </c>
    </row>
    <row r="714" ht="15" customHeight="1" s="28">
      <c r="A714" s="181" t="n">
        <v>1777366802</v>
      </c>
      <c r="B714" s="181" t="inlineStr">
        <is>
          <t>XAUUSD</t>
        </is>
      </c>
      <c r="C714" s="181" t="inlineStr">
        <is>
          <t>M15</t>
        </is>
      </c>
      <c r="D714" s="181" t="n">
        <v>4625.52</v>
      </c>
      <c r="E714" s="181" t="n">
        <v>4626.83602</v>
      </c>
      <c r="F714" s="181" t="n">
        <v>4621.65842</v>
      </c>
      <c r="G714" s="181" t="n">
        <v>4623.44864</v>
      </c>
      <c r="H714" s="181" t="n">
        <v>0</v>
      </c>
      <c r="I714" s="181" t="n">
        <v>712</v>
      </c>
      <c r="J714" s="181" t="n">
        <v>-23.9397</v>
      </c>
      <c r="K714" s="181" t="n">
        <v>-1.316</v>
      </c>
    </row>
    <row r="715" ht="15" customHeight="1" s="28">
      <c r="A715" s="182" t="n">
        <v>1777367702</v>
      </c>
      <c r="B715" s="182" t="inlineStr">
        <is>
          <t>XAUUSD</t>
        </is>
      </c>
      <c r="C715" s="182" t="inlineStr">
        <is>
          <t>M15</t>
        </is>
      </c>
      <c r="D715" s="182" t="n">
        <v>4618.31</v>
      </c>
      <c r="E715" s="182" t="n">
        <v>4626.56841</v>
      </c>
      <c r="F715" s="182" t="n">
        <v>4619.67307</v>
      </c>
      <c r="G715" s="182" t="n">
        <v>4621.56085</v>
      </c>
      <c r="H715" s="182" t="n">
        <v>0</v>
      </c>
      <c r="I715" s="182" t="n">
        <v>713</v>
      </c>
      <c r="J715" s="182" t="n">
        <v>-30.8958</v>
      </c>
      <c r="K715" s="182" t="n">
        <v>-8.2584</v>
      </c>
    </row>
    <row r="716" ht="15" customHeight="1" s="28">
      <c r="A716" s="181" t="n">
        <v>1777368602</v>
      </c>
      <c r="B716" s="181" t="inlineStr">
        <is>
          <t>XAUUSD</t>
        </is>
      </c>
      <c r="C716" s="181" t="inlineStr">
        <is>
          <t>M15</t>
        </is>
      </c>
      <c r="D716" s="181" t="n">
        <v>4613.05</v>
      </c>
      <c r="E716" s="181" t="n">
        <v>4626.30081</v>
      </c>
      <c r="F716" s="181" t="n">
        <v>4617.67804</v>
      </c>
      <c r="G716" s="181" t="n">
        <v>4619.61945</v>
      </c>
      <c r="H716" s="181" t="n">
        <v>0</v>
      </c>
      <c r="I716" s="181" t="n">
        <v>714</v>
      </c>
      <c r="J716" s="181" t="n">
        <v>-35.9019</v>
      </c>
      <c r="K716" s="181" t="n">
        <v>-13.2508</v>
      </c>
    </row>
    <row r="717" ht="15" customHeight="1" s="28">
      <c r="A717" s="182" t="n">
        <v>1777369502</v>
      </c>
      <c r="B717" s="182" t="inlineStr">
        <is>
          <t>XAUUSD</t>
        </is>
      </c>
      <c r="C717" s="182" t="inlineStr">
        <is>
          <t>M15</t>
        </is>
      </c>
      <c r="D717" s="182" t="n">
        <v>4604.84</v>
      </c>
      <c r="E717" s="182" t="n">
        <v>4626.0332</v>
      </c>
      <c r="F717" s="182" t="n">
        <v>4615.51936</v>
      </c>
      <c r="G717" s="182" t="n">
        <v>4617.56941</v>
      </c>
      <c r="H717" s="182" t="n">
        <v>0</v>
      </c>
      <c r="I717" s="182" t="n">
        <v>715</v>
      </c>
      <c r="J717" s="182" t="n">
        <v>-43.858</v>
      </c>
      <c r="K717" s="182" t="n">
        <v>-21.1932</v>
      </c>
    </row>
    <row r="718" ht="15" customHeight="1" s="28">
      <c r="A718" s="181" t="n">
        <v>1777370402</v>
      </c>
      <c r="B718" s="181" t="inlineStr">
        <is>
          <t>XAUUSD</t>
        </is>
      </c>
      <c r="C718" s="181" t="inlineStr">
        <is>
          <t>M15</t>
        </is>
      </c>
      <c r="D718" s="181" t="n">
        <v>4612.7</v>
      </c>
      <c r="E718" s="181" t="n">
        <v>4625.7656</v>
      </c>
      <c r="F718" s="181" t="n">
        <v>4613.06375</v>
      </c>
      <c r="G718" s="181" t="n">
        <v>4615.31658</v>
      </c>
      <c r="H718" s="181" t="n">
        <v>0</v>
      </c>
      <c r="I718" s="181" t="n">
        <v>716</v>
      </c>
      <c r="J718" s="181" t="n">
        <v>-35.7441</v>
      </c>
      <c r="K718" s="181" t="n">
        <v>-13.0656</v>
      </c>
    </row>
    <row r="719" ht="15" customHeight="1" s="28">
      <c r="A719" s="182" t="n">
        <v>1777371302</v>
      </c>
      <c r="B719" s="182" t="inlineStr">
        <is>
          <t>XAUUSD</t>
        </is>
      </c>
      <c r="C719" s="182" t="inlineStr">
        <is>
          <t>M15</t>
        </is>
      </c>
      <c r="D719" s="182" t="n">
        <v>4611.77</v>
      </c>
      <c r="E719" s="182" t="n">
        <v>4625.498</v>
      </c>
      <c r="F719" s="182" t="n">
        <v>4609.76164</v>
      </c>
      <c r="G719" s="182" t="n">
        <v>4612.53911</v>
      </c>
      <c r="H719" s="182" t="n">
        <v>0</v>
      </c>
      <c r="I719" s="182" t="n">
        <v>717</v>
      </c>
      <c r="J719" s="182" t="n">
        <v>-36.4202</v>
      </c>
      <c r="K719" s="182" t="n">
        <v>-13.728</v>
      </c>
    </row>
    <row r="720" ht="15" customHeight="1" s="28">
      <c r="A720" s="181" t="n">
        <v>1777372202</v>
      </c>
      <c r="B720" s="181" t="inlineStr">
        <is>
          <t>XAUUSD</t>
        </is>
      </c>
      <c r="C720" s="181" t="inlineStr">
        <is>
          <t>M15</t>
        </is>
      </c>
      <c r="D720" s="181" t="n">
        <v>4613.29</v>
      </c>
      <c r="E720" s="181" t="n">
        <v>4625.23039</v>
      </c>
      <c r="F720" s="181" t="n">
        <v>4605.46521</v>
      </c>
      <c r="G720" s="181" t="n">
        <v>4609.00216</v>
      </c>
      <c r="H720" s="181" t="n">
        <v>0</v>
      </c>
      <c r="I720" s="181" t="n">
        <v>718</v>
      </c>
      <c r="J720" s="181" t="n">
        <v>-34.6463</v>
      </c>
      <c r="K720" s="181" t="n">
        <v>-11.9404</v>
      </c>
    </row>
    <row r="721" ht="15" customHeight="1" s="28">
      <c r="A721" s="182" t="n">
        <v>1777373102</v>
      </c>
      <c r="B721" s="182" t="inlineStr">
        <is>
          <t>XAUUSD</t>
        </is>
      </c>
      <c r="C721" s="182" t="inlineStr">
        <is>
          <t>M15</t>
        </is>
      </c>
      <c r="D721" s="182" t="n">
        <v>4603.3</v>
      </c>
      <c r="E721" s="182" t="n">
        <v>4624.96279</v>
      </c>
      <c r="F721" s="182" t="n">
        <v>4600.17692</v>
      </c>
      <c r="G721" s="182" t="n">
        <v>4604.58954</v>
      </c>
      <c r="H721" s="182" t="n">
        <v>0</v>
      </c>
      <c r="I721" s="182" t="n">
        <v>719</v>
      </c>
      <c r="J721" s="182" t="n">
        <v>-44.3824</v>
      </c>
      <c r="K721" s="182" t="n">
        <v>-21.6628</v>
      </c>
    </row>
    <row r="722" ht="15" customHeight="1" s="28">
      <c r="A722" s="181" t="n">
        <v>1777374002</v>
      </c>
      <c r="B722" s="181" t="inlineStr">
        <is>
          <t>XAUUSD</t>
        </is>
      </c>
      <c r="C722" s="181" t="inlineStr">
        <is>
          <t>M15</t>
        </is>
      </c>
      <c r="D722" s="181" t="n">
        <v>4598.69</v>
      </c>
      <c r="E722" s="181" t="n">
        <v>4624.69518</v>
      </c>
      <c r="F722" s="181" t="n">
        <v>4594.46629</v>
      </c>
      <c r="G722" s="181" t="n">
        <v>4599.52791</v>
      </c>
      <c r="H722" s="181" t="n">
        <v>0</v>
      </c>
      <c r="I722" s="181" t="n">
        <v>720</v>
      </c>
      <c r="J722" s="181" t="n">
        <v>-48.7385</v>
      </c>
      <c r="K722" s="181" t="n">
        <v>-26.0052</v>
      </c>
    </row>
    <row r="723" ht="15" customHeight="1" s="28">
      <c r="A723" s="182" t="n">
        <v>1777374902</v>
      </c>
      <c r="B723" s="182" t="inlineStr">
        <is>
          <t>XAUUSD</t>
        </is>
      </c>
      <c r="C723" s="182" t="inlineStr">
        <is>
          <t>M15</t>
        </is>
      </c>
      <c r="D723" s="182" t="n">
        <v>4599.45</v>
      </c>
      <c r="E723" s="182" t="n">
        <v>4624.42758</v>
      </c>
      <c r="F723" s="182" t="n">
        <v>4588.93887</v>
      </c>
      <c r="G723" s="182" t="n">
        <v>4594.23339</v>
      </c>
      <c r="H723" s="182" t="n">
        <v>0</v>
      </c>
      <c r="I723" s="182" t="n">
        <v>721</v>
      </c>
      <c r="J723" s="182" t="n">
        <v>-47.7246</v>
      </c>
      <c r="K723" s="182" t="n">
        <v>-24.9776</v>
      </c>
    </row>
    <row r="724" ht="15" customHeight="1" s="28">
      <c r="A724" s="181" t="n">
        <v>1777375802</v>
      </c>
      <c r="B724" s="181" t="inlineStr">
        <is>
          <t>XAUUSD</t>
        </is>
      </c>
      <c r="C724" s="181" t="inlineStr">
        <is>
          <t>M15</t>
        </is>
      </c>
      <c r="D724" s="181" t="n">
        <v>4572.22</v>
      </c>
      <c r="E724" s="181" t="n">
        <v>4624.15997</v>
      </c>
      <c r="F724" s="181" t="n">
        <v>4584.08947</v>
      </c>
      <c r="G724" s="181" t="n">
        <v>4589.16143</v>
      </c>
      <c r="H724" s="181" t="n">
        <v>0</v>
      </c>
      <c r="I724" s="181" t="n">
        <v>722</v>
      </c>
      <c r="J724" s="181" t="n">
        <v>-74.7007</v>
      </c>
      <c r="K724" s="181" t="n">
        <v>-51.94</v>
      </c>
    </row>
    <row r="725" ht="15" customHeight="1" s="28">
      <c r="A725" s="182" t="n">
        <v>1777376702</v>
      </c>
      <c r="B725" s="182" t="inlineStr">
        <is>
          <t>XAUUSD</t>
        </is>
      </c>
      <c r="C725" s="182" t="inlineStr">
        <is>
          <t>M15</t>
        </is>
      </c>
      <c r="D725" s="182" t="n">
        <v>4562.88</v>
      </c>
      <c r="E725" s="182" t="n">
        <v>4623.89237</v>
      </c>
      <c r="F725" s="182" t="n">
        <v>4581.04163</v>
      </c>
      <c r="G725" s="182" t="n">
        <v>4585.10153</v>
      </c>
      <c r="H725" s="182" t="n">
        <v>0</v>
      </c>
      <c r="I725" s="182" t="n">
        <v>723</v>
      </c>
      <c r="J725" s="182" t="n">
        <v>-83.7868</v>
      </c>
      <c r="K725" s="182" t="n">
        <v>-61.0124</v>
      </c>
    </row>
    <row r="726" ht="15" customHeight="1" s="28">
      <c r="A726" s="181" t="n">
        <v>1777377602</v>
      </c>
      <c r="B726" s="181" t="inlineStr">
        <is>
          <t>XAUUSD</t>
        </is>
      </c>
      <c r="C726" s="181" t="inlineStr">
        <is>
          <t>M15</t>
        </is>
      </c>
      <c r="D726" s="181" t="n">
        <v>4581.73</v>
      </c>
      <c r="E726" s="181" t="n">
        <v>4623.62477</v>
      </c>
      <c r="F726" s="181" t="n">
        <v>4580.10103</v>
      </c>
      <c r="G726" s="181" t="n">
        <v>4582.60128</v>
      </c>
      <c r="H726" s="181" t="n">
        <v>0</v>
      </c>
      <c r="I726" s="181" t="n">
        <v>724</v>
      </c>
      <c r="J726" s="181" t="n">
        <v>-64.6829</v>
      </c>
      <c r="K726" s="181" t="n">
        <v>-41.8948</v>
      </c>
    </row>
    <row r="727" ht="15" customHeight="1" s="28">
      <c r="A727" s="182" t="n">
        <v>1777378502</v>
      </c>
      <c r="B727" s="182" t="inlineStr">
        <is>
          <t>XAUUSD</t>
        </is>
      </c>
      <c r="C727" s="182" t="inlineStr">
        <is>
          <t>M15</t>
        </is>
      </c>
      <c r="D727" s="182" t="n">
        <v>4580.32</v>
      </c>
      <c r="E727" s="182" t="n">
        <v>4623.35716</v>
      </c>
      <c r="F727" s="182" t="n">
        <v>4580.39852</v>
      </c>
      <c r="G727" s="182" t="n">
        <v>4581.4999</v>
      </c>
      <c r="H727" s="182" t="n">
        <v>0</v>
      </c>
      <c r="I727" s="182" t="n">
        <v>725</v>
      </c>
      <c r="J727" s="182" t="n">
        <v>-65.839</v>
      </c>
      <c r="K727" s="182" t="n">
        <v>-43.0372</v>
      </c>
    </row>
    <row r="728" ht="15" customHeight="1" s="28">
      <c r="A728" s="181" t="n">
        <v>1777379402</v>
      </c>
      <c r="B728" s="181" t="inlineStr">
        <is>
          <t>XAUUSD</t>
        </is>
      </c>
      <c r="C728" s="181" t="inlineStr">
        <is>
          <t>M15</t>
        </is>
      </c>
      <c r="D728" s="181" t="n">
        <v>4586.96</v>
      </c>
      <c r="E728" s="181" t="n">
        <v>4623.08956</v>
      </c>
      <c r="F728" s="181" t="n">
        <v>4581.38091</v>
      </c>
      <c r="G728" s="181" t="n">
        <v>4581.44041</v>
      </c>
      <c r="H728" s="181" t="n">
        <v>0</v>
      </c>
      <c r="I728" s="181" t="n">
        <v>726</v>
      </c>
      <c r="J728" s="181" t="n">
        <v>-58.9451</v>
      </c>
      <c r="K728" s="181" t="n">
        <v>-36.1296</v>
      </c>
    </row>
    <row r="729" ht="15" customHeight="1" s="28">
      <c r="A729" s="182" t="n">
        <v>1777380302</v>
      </c>
      <c r="B729" s="182" t="inlineStr">
        <is>
          <t>XAUUSD</t>
        </is>
      </c>
      <c r="C729" s="182" t="inlineStr">
        <is>
          <t>M15</t>
        </is>
      </c>
      <c r="D729" s="182" t="n">
        <v>4593.98</v>
      </c>
      <c r="E729" s="182" t="n">
        <v>4622.82195</v>
      </c>
      <c r="F729" s="182" t="n">
        <v>4582.21723</v>
      </c>
      <c r="G729" s="182" t="n">
        <v>4581.82882</v>
      </c>
      <c r="H729" s="182" t="n">
        <v>1</v>
      </c>
      <c r="I729" s="182" t="n">
        <v>727</v>
      </c>
      <c r="J729" s="182" t="n">
        <v>-51.6712</v>
      </c>
      <c r="K729" s="182" t="n">
        <v>-28.842</v>
      </c>
    </row>
    <row r="730" ht="15" customHeight="1" s="28">
      <c r="A730" s="181" t="n">
        <v>1777381202</v>
      </c>
      <c r="B730" s="181" t="inlineStr">
        <is>
          <t>XAUUSD</t>
        </is>
      </c>
      <c r="C730" s="181" t="inlineStr">
        <is>
          <t>M15</t>
        </is>
      </c>
      <c r="D730" s="181" t="n">
        <v>4576.38</v>
      </c>
      <c r="E730" s="181" t="n">
        <v>4622.55435</v>
      </c>
      <c r="F730" s="181" t="n">
        <v>4582.15195</v>
      </c>
      <c r="G730" s="181" t="n">
        <v>4581.99039</v>
      </c>
      <c r="H730" s="181" t="n">
        <v>0</v>
      </c>
      <c r="I730" s="181" t="n">
        <v>728</v>
      </c>
      <c r="J730" s="181" t="n">
        <v>-69.01739999999999</v>
      </c>
      <c r="K730" s="181" t="n">
        <v>-46.1744</v>
      </c>
    </row>
    <row r="731" ht="15" customHeight="1" s="28">
      <c r="A731" s="182" t="n">
        <v>1777382102</v>
      </c>
      <c r="B731" s="182" t="inlineStr">
        <is>
          <t>XAUUSD</t>
        </is>
      </c>
      <c r="C731" s="182" t="inlineStr">
        <is>
          <t>M15</t>
        </is>
      </c>
      <c r="D731" s="182" t="n">
        <v>4581.88</v>
      </c>
      <c r="E731" s="182" t="n">
        <v>4622.28675</v>
      </c>
      <c r="F731" s="182" t="n">
        <v>4581.40125</v>
      </c>
      <c r="G731" s="182" t="n">
        <v>4581.69582</v>
      </c>
      <c r="H731" s="182" t="n">
        <v>1</v>
      </c>
      <c r="I731" s="182" t="n">
        <v>729</v>
      </c>
      <c r="J731" s="182" t="n">
        <v>-63.2635</v>
      </c>
      <c r="K731" s="182" t="n">
        <v>-40.4068</v>
      </c>
    </row>
    <row r="732" ht="15" customHeight="1" s="28">
      <c r="A732" s="181" t="n">
        <v>1777383002</v>
      </c>
      <c r="B732" s="181" t="inlineStr">
        <is>
          <t>XAUUSD</t>
        </is>
      </c>
      <c r="C732" s="181" t="inlineStr">
        <is>
          <t>M15</t>
        </is>
      </c>
      <c r="D732" s="181" t="n">
        <v>4581.73</v>
      </c>
      <c r="E732" s="181" t="n">
        <v>4622.01914</v>
      </c>
      <c r="F732" s="181" t="n">
        <v>4579.72713</v>
      </c>
      <c r="G732" s="181" t="n">
        <v>4580.71147</v>
      </c>
      <c r="H732" s="181" t="n">
        <v>0</v>
      </c>
      <c r="I732" s="181" t="n">
        <v>730</v>
      </c>
      <c r="J732" s="181" t="n">
        <v>-63.1596</v>
      </c>
      <c r="K732" s="181" t="n">
        <v>-40.2891</v>
      </c>
    </row>
    <row r="733" ht="15" customHeight="1" s="28">
      <c r="A733" s="182" t="n">
        <v>1777383902</v>
      </c>
      <c r="B733" s="182" t="inlineStr">
        <is>
          <t>XAUUSD</t>
        </is>
      </c>
      <c r="C733" s="182" t="inlineStr">
        <is>
          <t>M15</t>
        </is>
      </c>
      <c r="D733" s="182" t="n">
        <v>4580.32</v>
      </c>
      <c r="E733" s="182" t="n">
        <v>4621.75154</v>
      </c>
      <c r="F733" s="182" t="n">
        <v>4577.2993</v>
      </c>
      <c r="G733" s="182" t="n">
        <v>4579.00539</v>
      </c>
      <c r="H733" s="182" t="n">
        <v>0</v>
      </c>
      <c r="I733" s="182" t="n">
        <v>731</v>
      </c>
      <c r="J733" s="182" t="n">
        <v>-64.31570000000001</v>
      </c>
      <c r="K733" s="182" t="n">
        <v>-41.4315</v>
      </c>
    </row>
    <row r="734" ht="15" customHeight="1" s="28">
      <c r="A734" s="181" t="n">
        <v>1777384802</v>
      </c>
      <c r="B734" s="181" t="inlineStr">
        <is>
          <t>XAUUSD</t>
        </is>
      </c>
      <c r="C734" s="181" t="inlineStr">
        <is>
          <t>M15</t>
        </is>
      </c>
      <c r="D734" s="181" t="n">
        <v>4568.29</v>
      </c>
      <c r="E734" s="181" t="n">
        <v>4621.48393</v>
      </c>
      <c r="F734" s="181" t="n">
        <v>4574.57242</v>
      </c>
      <c r="G734" s="181" t="n">
        <v>4576.7889</v>
      </c>
      <c r="H734" s="181" t="n">
        <v>0</v>
      </c>
      <c r="I734" s="181" t="n">
        <v>732</v>
      </c>
      <c r="J734" s="181" t="n">
        <v>-76.09180000000001</v>
      </c>
      <c r="K734" s="181" t="n">
        <v>-53.1939</v>
      </c>
    </row>
    <row r="735" ht="15" customHeight="1" s="28">
      <c r="A735" s="182" t="n">
        <v>1777385702</v>
      </c>
      <c r="B735" s="182" t="inlineStr">
        <is>
          <t>XAUUSD</t>
        </is>
      </c>
      <c r="C735" s="182" t="inlineStr">
        <is>
          <t>M15</t>
        </is>
      </c>
      <c r="D735" s="182" t="n">
        <v>4571.47</v>
      </c>
      <c r="E735" s="182" t="n">
        <v>4621.21633</v>
      </c>
      <c r="F735" s="182" t="n">
        <v>4572.38139</v>
      </c>
      <c r="G735" s="182" t="n">
        <v>4574.58514</v>
      </c>
      <c r="H735" s="182" t="n">
        <v>0</v>
      </c>
      <c r="I735" s="182" t="n">
        <v>733</v>
      </c>
      <c r="J735" s="182" t="n">
        <v>-72.6579</v>
      </c>
      <c r="K735" s="182" t="n">
        <v>-49.7463</v>
      </c>
    </row>
    <row r="736" ht="15" customHeight="1" s="28">
      <c r="A736" s="181" t="n">
        <v>1777386602</v>
      </c>
      <c r="B736" s="181" t="inlineStr">
        <is>
          <t>XAUUSD</t>
        </is>
      </c>
      <c r="C736" s="181" t="inlineStr">
        <is>
          <t>M15</t>
        </is>
      </c>
      <c r="D736" s="181" t="n">
        <v>4564.18</v>
      </c>
      <c r="E736" s="181" t="n">
        <v>4620.94873</v>
      </c>
      <c r="F736" s="181" t="n">
        <v>4571.0868</v>
      </c>
      <c r="G736" s="181" t="n">
        <v>4572.83597</v>
      </c>
      <c r="H736" s="181" t="n">
        <v>0</v>
      </c>
      <c r="I736" s="181" t="n">
        <v>734</v>
      </c>
      <c r="J736" s="181" t="n">
        <v>-79.694</v>
      </c>
      <c r="K736" s="181" t="n">
        <v>-56.7687</v>
      </c>
    </row>
    <row r="737" ht="15" customHeight="1" s="28">
      <c r="A737" s="182" t="n">
        <v>1777387502</v>
      </c>
      <c r="B737" s="182" t="inlineStr">
        <is>
          <t>XAUUSD</t>
        </is>
      </c>
      <c r="C737" s="182" t="inlineStr">
        <is>
          <t>M15</t>
        </is>
      </c>
      <c r="D737" s="182" t="n">
        <v>4574.6</v>
      </c>
      <c r="E737" s="182" t="n">
        <v>4620.68112</v>
      </c>
      <c r="F737" s="182" t="n">
        <v>4571.16203</v>
      </c>
      <c r="G737" s="182" t="n">
        <v>4571.999</v>
      </c>
      <c r="H737" s="182" t="n">
        <v>0</v>
      </c>
      <c r="I737" s="182" t="n">
        <v>735</v>
      </c>
      <c r="J737" s="182" t="n">
        <v>-69.0201</v>
      </c>
      <c r="K737" s="182" t="n">
        <v>-46.0811</v>
      </c>
    </row>
    <row r="738" ht="15" customHeight="1" s="28">
      <c r="A738" s="181" t="n">
        <v>1777388402</v>
      </c>
      <c r="B738" s="181" t="inlineStr">
        <is>
          <t>XAUUSD</t>
        </is>
      </c>
      <c r="C738" s="181" t="inlineStr">
        <is>
          <t>M15</t>
        </is>
      </c>
      <c r="D738" s="181" t="n">
        <v>4572.73</v>
      </c>
      <c r="E738" s="181" t="n">
        <v>4620.41352</v>
      </c>
      <c r="F738" s="181" t="n">
        <v>4572.38749</v>
      </c>
      <c r="G738" s="181" t="n">
        <v>4572.19325</v>
      </c>
      <c r="H738" s="181" t="n">
        <v>1</v>
      </c>
      <c r="I738" s="181" t="n">
        <v>736</v>
      </c>
      <c r="J738" s="181" t="n">
        <v>-70.6362</v>
      </c>
      <c r="K738" s="181" t="n">
        <v>-47.6835</v>
      </c>
    </row>
    <row r="739" ht="15" customHeight="1" s="28">
      <c r="A739" s="182" t="n">
        <v>1777389302</v>
      </c>
      <c r="B739" s="182" t="inlineStr">
        <is>
          <t>XAUUSD</t>
        </is>
      </c>
      <c r="C739" s="182" t="inlineStr">
        <is>
          <t>M15</t>
        </is>
      </c>
      <c r="D739" s="182" t="n">
        <v>4577.09</v>
      </c>
      <c r="E739" s="182" t="n">
        <v>4620.14591</v>
      </c>
      <c r="F739" s="182" t="n">
        <v>4574.68829</v>
      </c>
      <c r="G739" s="182" t="n">
        <v>4573.44077</v>
      </c>
      <c r="H739" s="182" t="n">
        <v>0</v>
      </c>
      <c r="I739" s="182" t="n">
        <v>737</v>
      </c>
      <c r="J739" s="182" t="n">
        <v>-66.0223</v>
      </c>
      <c r="K739" s="182" t="n">
        <v>-43.0559</v>
      </c>
    </row>
    <row r="740" ht="15" customHeight="1" s="28">
      <c r="A740" s="181" t="n">
        <v>1777390202</v>
      </c>
      <c r="B740" s="181" t="inlineStr">
        <is>
          <t>XAUUSD</t>
        </is>
      </c>
      <c r="C740" s="181" t="inlineStr">
        <is>
          <t>M15</t>
        </is>
      </c>
      <c r="D740" s="181" t="n">
        <v>4577.82</v>
      </c>
      <c r="E740" s="181" t="n">
        <v>4619.87831</v>
      </c>
      <c r="F740" s="181" t="n">
        <v>4577.66755</v>
      </c>
      <c r="G740" s="181" t="n">
        <v>4575.55416</v>
      </c>
      <c r="H740" s="181" t="n">
        <v>0</v>
      </c>
      <c r="I740" s="181" t="n">
        <v>738</v>
      </c>
      <c r="J740" s="181" t="n">
        <v>-65.0384</v>
      </c>
      <c r="K740" s="181" t="n">
        <v>-42.0583</v>
      </c>
    </row>
    <row r="741" ht="15" customHeight="1" s="28">
      <c r="A741" s="182" t="n">
        <v>1777391102</v>
      </c>
      <c r="B741" s="182" t="inlineStr">
        <is>
          <t>XAUUSD</t>
        </is>
      </c>
      <c r="C741" s="182" t="inlineStr">
        <is>
          <t>M15</t>
        </is>
      </c>
      <c r="D741" s="182" t="n">
        <v>4586.48</v>
      </c>
      <c r="E741" s="182" t="n">
        <v>4619.61071</v>
      </c>
      <c r="F741" s="182" t="n">
        <v>4580.99315</v>
      </c>
      <c r="G741" s="182" t="n">
        <v>4578.27365</v>
      </c>
      <c r="H741" s="182" t="n">
        <v>0</v>
      </c>
      <c r="I741" s="182" t="n">
        <v>739</v>
      </c>
      <c r="J741" s="182" t="n">
        <v>-56.1245</v>
      </c>
      <c r="K741" s="182" t="n">
        <v>-33.1307</v>
      </c>
    </row>
    <row r="742" ht="15" customHeight="1" s="28">
      <c r="A742" s="181" t="n">
        <v>1777392002</v>
      </c>
      <c r="B742" s="181" t="inlineStr">
        <is>
          <t>XAUUSD</t>
        </is>
      </c>
      <c r="C742" s="181" t="inlineStr">
        <is>
          <t>M15</t>
        </is>
      </c>
      <c r="D742" s="181" t="n">
        <v>4585.4</v>
      </c>
      <c r="E742" s="181" t="n">
        <v>4619.3431</v>
      </c>
      <c r="F742" s="181" t="n">
        <v>4584.14834</v>
      </c>
      <c r="G742" s="181" t="n">
        <v>4581.211</v>
      </c>
      <c r="H742" s="181" t="n">
        <v>0</v>
      </c>
      <c r="I742" s="181" t="n">
        <v>740</v>
      </c>
      <c r="J742" s="181" t="n">
        <v>-56.9506</v>
      </c>
      <c r="K742" s="181" t="n">
        <v>-33.9431</v>
      </c>
    </row>
    <row r="743" ht="15" customHeight="1" s="28">
      <c r="A743" s="182" t="n">
        <v>1777392902</v>
      </c>
      <c r="B743" s="182" t="inlineStr">
        <is>
          <t>XAUUSD</t>
        </is>
      </c>
      <c r="C743" s="182" t="inlineStr">
        <is>
          <t>M15</t>
        </is>
      </c>
      <c r="D743" s="182" t="n">
        <v>4582.74</v>
      </c>
      <c r="E743" s="182" t="n">
        <v>4619.0755</v>
      </c>
      <c r="F743" s="182" t="n">
        <v>4586.97025</v>
      </c>
      <c r="G743" s="182" t="n">
        <v>4584.09063</v>
      </c>
      <c r="H743" s="182" t="n">
        <v>0</v>
      </c>
      <c r="I743" s="182" t="n">
        <v>741</v>
      </c>
      <c r="J743" s="182" t="n">
        <v>-59.3567</v>
      </c>
      <c r="K743" s="182" t="n">
        <v>-36.3355</v>
      </c>
    </row>
    <row r="744" ht="15" customHeight="1" s="28">
      <c r="A744" s="181" t="n">
        <v>1777393802</v>
      </c>
      <c r="B744" s="181" t="inlineStr">
        <is>
          <t>XAUUSD</t>
        </is>
      </c>
      <c r="C744" s="181" t="inlineStr">
        <is>
          <t>M15</t>
        </is>
      </c>
      <c r="D744" s="181" t="n">
        <v>4585.06</v>
      </c>
      <c r="E744" s="181" t="n">
        <v>4618.80789</v>
      </c>
      <c r="F744" s="181" t="n">
        <v>4589.46634</v>
      </c>
      <c r="G744" s="181" t="n">
        <v>4586.77848</v>
      </c>
      <c r="H744" s="181" t="n">
        <v>0</v>
      </c>
      <c r="I744" s="181" t="n">
        <v>742</v>
      </c>
      <c r="J744" s="181" t="n">
        <v>-56.7828</v>
      </c>
      <c r="K744" s="181" t="n">
        <v>-33.7479</v>
      </c>
    </row>
    <row r="745" ht="15" customHeight="1" s="28">
      <c r="A745" s="182" t="n">
        <v>1777394702</v>
      </c>
      <c r="B745" s="182" t="inlineStr">
        <is>
          <t>XAUUSD</t>
        </is>
      </c>
      <c r="C745" s="182" t="inlineStr">
        <is>
          <t>M15</t>
        </is>
      </c>
      <c r="D745" s="182" t="n">
        <v>4592.2</v>
      </c>
      <c r="E745" s="182" t="n">
        <v>4618.54029</v>
      </c>
      <c r="F745" s="182" t="n">
        <v>4591.61794</v>
      </c>
      <c r="G745" s="182" t="n">
        <v>4589.19821</v>
      </c>
      <c r="H745" s="182" t="n">
        <v>0</v>
      </c>
      <c r="I745" s="182" t="n">
        <v>743</v>
      </c>
      <c r="J745" s="182" t="n">
        <v>-49.3889</v>
      </c>
      <c r="K745" s="182" t="n">
        <v>-26.3403</v>
      </c>
    </row>
    <row r="746" ht="15" customHeight="1" s="28">
      <c r="A746" s="181" t="n">
        <v>1777395602</v>
      </c>
      <c r="B746" s="181" t="inlineStr">
        <is>
          <t>XAUUSD</t>
        </is>
      </c>
      <c r="C746" s="181" t="inlineStr">
        <is>
          <t>M15</t>
        </is>
      </c>
      <c r="D746" s="181" t="n">
        <v>4593.67</v>
      </c>
      <c r="E746" s="181" t="n">
        <v>4618.27268</v>
      </c>
      <c r="F746" s="181" t="n">
        <v>4593.29707</v>
      </c>
      <c r="G746" s="181" t="n">
        <v>4591.24764</v>
      </c>
      <c r="H746" s="181" t="n">
        <v>0</v>
      </c>
      <c r="I746" s="181" t="n">
        <v>744</v>
      </c>
      <c r="J746" s="181" t="n">
        <v>-47.665</v>
      </c>
      <c r="K746" s="181" t="n">
        <v>-24.6027</v>
      </c>
    </row>
    <row r="747" ht="15" customHeight="1" s="28">
      <c r="A747" s="182" t="n">
        <v>1777396502</v>
      </c>
      <c r="B747" s="182" t="inlineStr">
        <is>
          <t>XAUUSD</t>
        </is>
      </c>
      <c r="C747" s="182" t="inlineStr">
        <is>
          <t>M15</t>
        </is>
      </c>
      <c r="D747" s="182" t="n">
        <v>4593.49</v>
      </c>
      <c r="E747" s="182" t="n">
        <v>4618.00508</v>
      </c>
      <c r="F747" s="182" t="n">
        <v>4594.54284</v>
      </c>
      <c r="G747" s="182" t="n">
        <v>4592.89524</v>
      </c>
      <c r="H747" s="182" t="n">
        <v>0</v>
      </c>
      <c r="I747" s="182" t="n">
        <v>745</v>
      </c>
      <c r="J747" s="182" t="n">
        <v>-47.5911</v>
      </c>
      <c r="K747" s="182" t="n">
        <v>-24.5151</v>
      </c>
    </row>
    <row r="748" ht="15" customHeight="1" s="28">
      <c r="A748" s="181" t="n">
        <v>1777397402</v>
      </c>
      <c r="B748" s="181" t="inlineStr">
        <is>
          <t>XAUUSD</t>
        </is>
      </c>
      <c r="C748" s="181" t="inlineStr">
        <is>
          <t>M15</t>
        </is>
      </c>
      <c r="D748" s="181" t="n">
        <v>4599.02</v>
      </c>
      <c r="E748" s="181" t="n">
        <v>4617.73748</v>
      </c>
      <c r="F748" s="181" t="n">
        <v>4595.48411</v>
      </c>
      <c r="G748" s="181" t="n">
        <v>4594.18967</v>
      </c>
      <c r="H748" s="181" t="n">
        <v>0</v>
      </c>
      <c r="I748" s="181" t="n">
        <v>746</v>
      </c>
      <c r="J748" s="181" t="n">
        <v>-41.8072</v>
      </c>
      <c r="K748" s="181" t="n">
        <v>-18.7175</v>
      </c>
    </row>
    <row r="749" ht="15" customHeight="1" s="28">
      <c r="A749" s="182" t="n">
        <v>1777398302</v>
      </c>
      <c r="B749" s="182" t="inlineStr">
        <is>
          <t>XAUUSD</t>
        </is>
      </c>
      <c r="C749" s="182" t="inlineStr">
        <is>
          <t>M15</t>
        </is>
      </c>
      <c r="D749" s="182" t="n">
        <v>4594.77</v>
      </c>
      <c r="E749" s="182" t="n">
        <v>4617.46987</v>
      </c>
      <c r="F749" s="182" t="n">
        <v>4596.02702</v>
      </c>
      <c r="G749" s="182" t="n">
        <v>4595.10834</v>
      </c>
      <c r="H749" s="182" t="n">
        <v>0</v>
      </c>
      <c r="I749" s="182" t="n">
        <v>747</v>
      </c>
      <c r="J749" s="182" t="n">
        <v>-45.8033</v>
      </c>
      <c r="K749" s="182" t="n">
        <v>-22.6999</v>
      </c>
    </row>
    <row r="750" ht="15" customHeight="1" s="28">
      <c r="A750" s="181" t="n">
        <v>1777399202</v>
      </c>
      <c r="B750" s="181" t="inlineStr">
        <is>
          <t>XAUUSD</t>
        </is>
      </c>
      <c r="C750" s="181" t="inlineStr">
        <is>
          <t>M15</t>
        </is>
      </c>
      <c r="D750" s="181" t="n">
        <v>4596.1</v>
      </c>
      <c r="E750" s="181" t="n">
        <v>4617.20227</v>
      </c>
      <c r="F750" s="181" t="n">
        <v>4596.38353</v>
      </c>
      <c r="G750" s="181" t="n">
        <v>4595.74593</v>
      </c>
      <c r="H750" s="181" t="n">
        <v>0</v>
      </c>
      <c r="I750" s="181" t="n">
        <v>748</v>
      </c>
      <c r="J750" s="181" t="n">
        <v>-44.2194</v>
      </c>
      <c r="K750" s="181" t="n">
        <v>-21.1023</v>
      </c>
    </row>
    <row r="751" ht="15" customHeight="1" s="28">
      <c r="A751" s="182" t="n">
        <v>1777400102</v>
      </c>
      <c r="B751" s="182" t="inlineStr">
        <is>
          <t>XAUUSD</t>
        </is>
      </c>
      <c r="C751" s="182" t="inlineStr">
        <is>
          <t>M15</t>
        </is>
      </c>
      <c r="D751" s="182" t="n">
        <v>4598.91</v>
      </c>
      <c r="E751" s="182" t="n">
        <v>4616.93466</v>
      </c>
      <c r="F751" s="182" t="n">
        <v>4596.589</v>
      </c>
      <c r="G751" s="182" t="n">
        <v>4596.16747</v>
      </c>
      <c r="H751" s="182" t="n">
        <v>0</v>
      </c>
      <c r="I751" s="182" t="n">
        <v>749</v>
      </c>
      <c r="J751" s="182" t="n">
        <v>-41.1555</v>
      </c>
      <c r="K751" s="182" t="n">
        <v>-18.0247</v>
      </c>
    </row>
    <row r="752" ht="15" customHeight="1" s="28">
      <c r="A752" s="181" t="n">
        <v>1777401002</v>
      </c>
      <c r="B752" s="181" t="inlineStr">
        <is>
          <t>XAUUSD</t>
        </is>
      </c>
      <c r="C752" s="181" t="inlineStr">
        <is>
          <t>M15</t>
        </is>
      </c>
      <c r="D752" s="181" t="n">
        <v>4597.74</v>
      </c>
      <c r="E752" s="181" t="n">
        <v>4616.66706</v>
      </c>
      <c r="F752" s="181" t="n">
        <v>4596.63687</v>
      </c>
      <c r="G752" s="181" t="n">
        <v>4596.40217</v>
      </c>
      <c r="H752" s="181" t="n">
        <v>0</v>
      </c>
      <c r="I752" s="181" t="n">
        <v>750</v>
      </c>
      <c r="J752" s="181" t="n">
        <v>-42.0717</v>
      </c>
      <c r="K752" s="181" t="n">
        <v>-18.9271</v>
      </c>
    </row>
    <row r="753" ht="15" customHeight="1" s="28">
      <c r="A753" s="182" t="n">
        <v>1777401902</v>
      </c>
      <c r="B753" s="182" t="inlineStr">
        <is>
          <t>XAUUSD</t>
        </is>
      </c>
      <c r="C753" s="182" t="inlineStr">
        <is>
          <t>M15</t>
        </is>
      </c>
      <c r="D753" s="182" t="n">
        <v>4594.2</v>
      </c>
      <c r="E753" s="182" t="n">
        <v>4616.39946</v>
      </c>
      <c r="F753" s="182" t="n">
        <v>4596.59455</v>
      </c>
      <c r="G753" s="182" t="n">
        <v>4596.49836</v>
      </c>
      <c r="H753" s="182" t="n">
        <v>0</v>
      </c>
      <c r="I753" s="182" t="n">
        <v>751</v>
      </c>
      <c r="J753" s="182" t="n">
        <v>-45.3578</v>
      </c>
      <c r="K753" s="182" t="n">
        <v>-22.1995</v>
      </c>
    </row>
    <row r="754" ht="15" customHeight="1" s="28">
      <c r="A754" s="181" t="n">
        <v>1777402802</v>
      </c>
      <c r="B754" s="181" t="inlineStr">
        <is>
          <t>XAUUSD</t>
        </is>
      </c>
      <c r="C754" s="181" t="inlineStr">
        <is>
          <t>M15</t>
        </is>
      </c>
      <c r="D754" s="181" t="n">
        <v>4595.75</v>
      </c>
      <c r="E754" s="181" t="n">
        <v>4616.13185</v>
      </c>
      <c r="F754" s="181" t="n">
        <v>4596.59074</v>
      </c>
      <c r="G754" s="181" t="n">
        <v>4596.54455</v>
      </c>
      <c r="H754" s="181" t="n">
        <v>0</v>
      </c>
      <c r="I754" s="181" t="n">
        <v>752</v>
      </c>
      <c r="J754" s="181" t="n">
        <v>-43.5539</v>
      </c>
      <c r="K754" s="181" t="n">
        <v>-20.3818</v>
      </c>
    </row>
    <row r="755" ht="15" customHeight="1" s="28">
      <c r="A755" s="182" t="n">
        <v>1777403702</v>
      </c>
      <c r="B755" s="182" t="inlineStr">
        <is>
          <t>XAUUSD</t>
        </is>
      </c>
      <c r="C755" s="182" t="inlineStr">
        <is>
          <t>M15</t>
        </is>
      </c>
      <c r="D755" s="182" t="n">
        <v>4596.22</v>
      </c>
      <c r="E755" s="182" t="n">
        <v>4615.86425</v>
      </c>
      <c r="F755" s="182" t="n">
        <v>4596.63806</v>
      </c>
      <c r="G755" s="182" t="n">
        <v>4596.5913</v>
      </c>
      <c r="H755" s="182" t="n">
        <v>0</v>
      </c>
      <c r="I755" s="182" t="n">
        <v>753</v>
      </c>
      <c r="J755" s="182" t="n">
        <v>-42.83</v>
      </c>
      <c r="K755" s="182" t="n">
        <v>-19.6442</v>
      </c>
    </row>
    <row r="756" ht="15" customHeight="1" s="28">
      <c r="A756" s="181" t="n">
        <v>1777404602</v>
      </c>
      <c r="B756" s="181" t="inlineStr">
        <is>
          <t>XAUUSD</t>
        </is>
      </c>
      <c r="C756" s="181" t="inlineStr">
        <is>
          <t>M15</t>
        </is>
      </c>
      <c r="D756" s="181" t="n">
        <v>4598.52</v>
      </c>
      <c r="E756" s="181" t="n">
        <v>4615.59664</v>
      </c>
      <c r="F756" s="181" t="n">
        <v>4596.69717</v>
      </c>
      <c r="G756" s="181" t="n">
        <v>4596.64424</v>
      </c>
      <c r="H756" s="181" t="n">
        <v>0</v>
      </c>
      <c r="I756" s="181" t="n">
        <v>754</v>
      </c>
      <c r="J756" s="181" t="n">
        <v>-40.2761</v>
      </c>
      <c r="K756" s="181" t="n">
        <v>-17.0766</v>
      </c>
    </row>
    <row r="757" ht="15" customHeight="1" s="28">
      <c r="A757" s="182" t="n">
        <v>1777405502</v>
      </c>
      <c r="B757" s="182" t="inlineStr">
        <is>
          <t>XAUUSD</t>
        </is>
      </c>
      <c r="C757" s="182" t="inlineStr">
        <is>
          <t>M15</t>
        </is>
      </c>
      <c r="D757" s="182" t="n">
        <v>4595.7</v>
      </c>
      <c r="E757" s="182" t="n">
        <v>4615.32904</v>
      </c>
      <c r="F757" s="182" t="n">
        <v>4596.59339</v>
      </c>
      <c r="G757" s="182" t="n">
        <v>4596.61881</v>
      </c>
      <c r="H757" s="182" t="n">
        <v>1</v>
      </c>
      <c r="I757" s="182" t="n">
        <v>755</v>
      </c>
      <c r="J757" s="182" t="n">
        <v>-42.8422</v>
      </c>
      <c r="K757" s="182" t="n">
        <v>-19.629</v>
      </c>
    </row>
    <row r="758" ht="15" customHeight="1" s="28">
      <c r="A758" s="181" t="n">
        <v>1777406402</v>
      </c>
      <c r="B758" s="181" t="inlineStr">
        <is>
          <t>XAUUSD</t>
        </is>
      </c>
      <c r="C758" s="181" t="inlineStr">
        <is>
          <t>M15</t>
        </is>
      </c>
      <c r="D758" s="181" t="n">
        <v>4597.28</v>
      </c>
      <c r="E758" s="181" t="n">
        <v>4615.06144</v>
      </c>
      <c r="F758" s="181" t="n">
        <v>4596.33821</v>
      </c>
      <c r="G758" s="181" t="n">
        <v>4596.47851</v>
      </c>
      <c r="H758" s="181" t="n">
        <v>0</v>
      </c>
      <c r="I758" s="181" t="n">
        <v>756</v>
      </c>
      <c r="J758" s="181" t="n">
        <v>-41.0083</v>
      </c>
      <c r="K758" s="181" t="n">
        <v>-17.7814</v>
      </c>
    </row>
    <row r="759" ht="15" customHeight="1" s="28">
      <c r="A759" s="182" t="n">
        <v>1777407302</v>
      </c>
      <c r="B759" s="182" t="inlineStr">
        <is>
          <t>XAUUSD</t>
        </is>
      </c>
      <c r="C759" s="182" t="inlineStr">
        <is>
          <t>M15</t>
        </is>
      </c>
      <c r="D759" s="182" t="n">
        <v>4592.85</v>
      </c>
      <c r="E759" s="182" t="n">
        <v>4614.79383</v>
      </c>
      <c r="F759" s="182" t="n">
        <v>4595.84616</v>
      </c>
      <c r="G759" s="182" t="n">
        <v>4596.16233</v>
      </c>
      <c r="H759" s="182" t="n">
        <v>0</v>
      </c>
      <c r="I759" s="182" t="n">
        <v>757</v>
      </c>
      <c r="J759" s="182" t="n">
        <v>-45.1844</v>
      </c>
      <c r="K759" s="182" t="n">
        <v>-21.9438</v>
      </c>
    </row>
    <row r="760" ht="15" customHeight="1" s="28">
      <c r="A760" s="181" t="n">
        <v>1777408202</v>
      </c>
      <c r="B760" s="181" t="inlineStr">
        <is>
          <t>XAUUSD</t>
        </is>
      </c>
      <c r="C760" s="181" t="inlineStr">
        <is>
          <t>M15</t>
        </is>
      </c>
      <c r="D760" s="181" t="n">
        <v>4593.44</v>
      </c>
      <c r="E760" s="181" t="n">
        <v>4614.52623</v>
      </c>
      <c r="F760" s="181" t="n">
        <v>4595.24318</v>
      </c>
      <c r="G760" s="181" t="n">
        <v>4595.70276</v>
      </c>
      <c r="H760" s="181" t="n">
        <v>0</v>
      </c>
      <c r="I760" s="181" t="n">
        <v>758</v>
      </c>
      <c r="J760" s="181" t="n">
        <v>-44.3405</v>
      </c>
      <c r="K760" s="181" t="n">
        <v>-21.0862</v>
      </c>
    </row>
    <row r="761" ht="15" customHeight="1" s="28">
      <c r="A761" s="182" t="n">
        <v>1777409102</v>
      </c>
      <c r="B761" s="182" t="inlineStr">
        <is>
          <t>XAUUSD</t>
        </is>
      </c>
      <c r="C761" s="182" t="inlineStr">
        <is>
          <t>M15</t>
        </is>
      </c>
      <c r="D761" s="182" t="n">
        <v>4597.18</v>
      </c>
      <c r="E761" s="182" t="n">
        <v>4614.25862</v>
      </c>
      <c r="F761" s="182" t="n">
        <v>4594.62132</v>
      </c>
      <c r="G761" s="182" t="n">
        <v>4595.16204</v>
      </c>
      <c r="H761" s="182" t="n">
        <v>0</v>
      </c>
      <c r="I761" s="182" t="n">
        <v>759</v>
      </c>
      <c r="J761" s="182" t="n">
        <v>-40.3466</v>
      </c>
      <c r="K761" s="182" t="n">
        <v>-17.0786</v>
      </c>
    </row>
    <row r="762" ht="15" customHeight="1" s="28">
      <c r="A762" s="181" t="n">
        <v>1777413602</v>
      </c>
      <c r="B762" s="181" t="inlineStr">
        <is>
          <t>XAUUSD</t>
        </is>
      </c>
      <c r="C762" s="181" t="inlineStr">
        <is>
          <t>M15</t>
        </is>
      </c>
      <c r="D762" s="181" t="n">
        <v>4596.42</v>
      </c>
      <c r="E762" s="181" t="n">
        <v>4613.99102</v>
      </c>
      <c r="F762" s="181" t="n">
        <v>4593.97795</v>
      </c>
      <c r="G762" s="181" t="n">
        <v>4594.57</v>
      </c>
      <c r="H762" s="181" t="n">
        <v>0</v>
      </c>
      <c r="I762" s="181" t="n">
        <v>760</v>
      </c>
      <c r="J762" s="181" t="n">
        <v>-40.8527</v>
      </c>
      <c r="K762" s="181" t="n">
        <v>-17.571</v>
      </c>
    </row>
    <row r="763" ht="15" customHeight="1" s="28">
      <c r="A763" s="182" t="n">
        <v>1777414502</v>
      </c>
      <c r="B763" s="182" t="inlineStr">
        <is>
          <t>XAUUSD</t>
        </is>
      </c>
      <c r="C763" s="182" t="inlineStr">
        <is>
          <t>M15</t>
        </is>
      </c>
      <c r="D763" s="182" t="n">
        <v>4595.82</v>
      </c>
      <c r="E763" s="182" t="n">
        <v>4613.72342</v>
      </c>
      <c r="F763" s="182" t="n">
        <v>4593.46927</v>
      </c>
      <c r="G763" s="182" t="n">
        <v>4594.01963</v>
      </c>
      <c r="H763" s="182" t="n">
        <v>0</v>
      </c>
      <c r="I763" s="182" t="n">
        <v>761</v>
      </c>
      <c r="J763" s="182" t="n">
        <v>-41.1988</v>
      </c>
      <c r="K763" s="182" t="n">
        <v>-17.9034</v>
      </c>
    </row>
    <row r="764" ht="15" customHeight="1" s="28">
      <c r="A764" s="181" t="n">
        <v>1777415402</v>
      </c>
      <c r="B764" s="181" t="inlineStr">
        <is>
          <t>XAUUSD</t>
        </is>
      </c>
      <c r="C764" s="181" t="inlineStr">
        <is>
          <t>M15</t>
        </is>
      </c>
      <c r="D764" s="181" t="n">
        <v>4593.71</v>
      </c>
      <c r="E764" s="181" t="n">
        <v>4613.45581</v>
      </c>
      <c r="F764" s="181" t="n">
        <v>4593.25757</v>
      </c>
      <c r="G764" s="181" t="n">
        <v>4593.6386</v>
      </c>
      <c r="H764" s="181" t="n">
        <v>0</v>
      </c>
      <c r="I764" s="181" t="n">
        <v>762</v>
      </c>
      <c r="J764" s="181" t="n">
        <v>-43.0549</v>
      </c>
      <c r="K764" s="181" t="n">
        <v>-19.7458</v>
      </c>
    </row>
    <row r="765" ht="15" customHeight="1" s="28">
      <c r="A765" s="182" t="n">
        <v>1777416302</v>
      </c>
      <c r="B765" s="182" t="inlineStr">
        <is>
          <t>XAUUSD</t>
        </is>
      </c>
      <c r="C765" s="182" t="inlineStr">
        <is>
          <t>M15</t>
        </is>
      </c>
      <c r="D765" s="182" t="n">
        <v>4594.16</v>
      </c>
      <c r="E765" s="182" t="n">
        <v>4613.18821</v>
      </c>
      <c r="F765" s="182" t="n">
        <v>4593.50157</v>
      </c>
      <c r="G765" s="182" t="n">
        <v>4593.57009</v>
      </c>
      <c r="H765" s="182" t="n">
        <v>0</v>
      </c>
      <c r="I765" s="182" t="n">
        <v>763</v>
      </c>
      <c r="J765" s="182" t="n">
        <v>-42.351</v>
      </c>
      <c r="K765" s="182" t="n">
        <v>-19.0282</v>
      </c>
    </row>
    <row r="766" ht="15" customHeight="1" s="28">
      <c r="A766" s="181" t="n">
        <v>1777417202</v>
      </c>
      <c r="B766" s="181" t="inlineStr">
        <is>
          <t>XAUUSD</t>
        </is>
      </c>
      <c r="C766" s="181" t="inlineStr">
        <is>
          <t>M15</t>
        </is>
      </c>
      <c r="D766" s="181" t="n">
        <v>4590.84</v>
      </c>
      <c r="E766" s="181" t="n">
        <v>4612.9206</v>
      </c>
      <c r="F766" s="181" t="n">
        <v>4594.17653</v>
      </c>
      <c r="G766" s="181" t="n">
        <v>4593.87331</v>
      </c>
      <c r="H766" s="181" t="n">
        <v>1</v>
      </c>
      <c r="I766" s="181" t="n">
        <v>764</v>
      </c>
      <c r="J766" s="181" t="n">
        <v>-45.4171</v>
      </c>
      <c r="K766" s="181" t="n">
        <v>-22.0806</v>
      </c>
    </row>
    <row r="767" ht="15" customHeight="1" s="28">
      <c r="A767" s="182" t="n">
        <v>1777418102</v>
      </c>
      <c r="B767" s="182" t="inlineStr">
        <is>
          <t>XAUUSD</t>
        </is>
      </c>
      <c r="C767" s="182" t="inlineStr">
        <is>
          <t>M15</t>
        </is>
      </c>
      <c r="D767" s="182" t="n">
        <v>4592.2</v>
      </c>
      <c r="E767" s="182" t="n">
        <v>4612.653</v>
      </c>
      <c r="F767" s="182" t="n">
        <v>4595.25788</v>
      </c>
      <c r="G767" s="182" t="n">
        <v>4594.56559</v>
      </c>
      <c r="H767" s="182" t="n">
        <v>0</v>
      </c>
      <c r="I767" s="182" t="n">
        <v>765</v>
      </c>
      <c r="J767" s="182" t="n">
        <v>-43.8032</v>
      </c>
      <c r="K767" s="182" t="n">
        <v>-20.453</v>
      </c>
    </row>
    <row r="768" ht="15" customHeight="1" s="28">
      <c r="A768" s="181" t="n">
        <v>1777419002</v>
      </c>
      <c r="B768" s="181" t="inlineStr">
        <is>
          <t>XAUUSD</t>
        </is>
      </c>
      <c r="C768" s="181" t="inlineStr">
        <is>
          <t>M15</t>
        </is>
      </c>
      <c r="D768" s="181" t="n">
        <v>4589.91</v>
      </c>
      <c r="E768" s="181" t="n">
        <v>4612.38539</v>
      </c>
      <c r="F768" s="181" t="n">
        <v>4596.45968</v>
      </c>
      <c r="G768" s="181" t="n">
        <v>4595.51264</v>
      </c>
      <c r="H768" s="181" t="n">
        <v>0</v>
      </c>
      <c r="I768" s="181" t="n">
        <v>766</v>
      </c>
      <c r="J768" s="181" t="n">
        <v>-45.8393</v>
      </c>
      <c r="K768" s="181" t="n">
        <v>-22.4754</v>
      </c>
    </row>
    <row r="769" ht="15" customHeight="1" s="28">
      <c r="A769" s="182" t="n">
        <v>1777419902</v>
      </c>
      <c r="B769" s="182" t="inlineStr">
        <is>
          <t>XAUUSD</t>
        </is>
      </c>
      <c r="C769" s="182" t="inlineStr">
        <is>
          <t>M15</t>
        </is>
      </c>
      <c r="D769" s="182" t="n">
        <v>4595.51</v>
      </c>
      <c r="E769" s="182" t="n">
        <v>4612.11779</v>
      </c>
      <c r="F769" s="182" t="n">
        <v>4597.5665</v>
      </c>
      <c r="G769" s="182" t="n">
        <v>4596.53957</v>
      </c>
      <c r="H769" s="182" t="n">
        <v>0</v>
      </c>
      <c r="I769" s="182" t="n">
        <v>767</v>
      </c>
      <c r="J769" s="182" t="n">
        <v>-39.9854</v>
      </c>
      <c r="K769" s="182" t="n">
        <v>-16.6078</v>
      </c>
    </row>
    <row r="770" ht="15" customHeight="1" s="28">
      <c r="A770" s="181" t="n">
        <v>1777420802</v>
      </c>
      <c r="B770" s="181" t="inlineStr">
        <is>
          <t>XAUUSD</t>
        </is>
      </c>
      <c r="C770" s="181" t="inlineStr">
        <is>
          <t>M15</t>
        </is>
      </c>
      <c r="D770" s="181" t="n">
        <v>4607.37</v>
      </c>
      <c r="E770" s="181" t="n">
        <v>4611.85019</v>
      </c>
      <c r="F770" s="181" t="n">
        <v>4598.14045</v>
      </c>
      <c r="G770" s="181" t="n">
        <v>4597.34001</v>
      </c>
      <c r="H770" s="181" t="n">
        <v>0</v>
      </c>
      <c r="I770" s="181" t="n">
        <v>768</v>
      </c>
      <c r="J770" s="181" t="n">
        <v>-27.8715</v>
      </c>
      <c r="K770" s="181" t="n">
        <v>-4.4802</v>
      </c>
    </row>
    <row r="771" ht="15" customHeight="1" s="28">
      <c r="A771" s="182" t="n">
        <v>1777421702</v>
      </c>
      <c r="B771" s="182" t="inlineStr">
        <is>
          <t>XAUUSD</t>
        </is>
      </c>
      <c r="C771" s="182" t="inlineStr">
        <is>
          <t>M15</t>
        </is>
      </c>
      <c r="D771" s="182" t="n">
        <v>4600.13</v>
      </c>
      <c r="E771" s="182" t="n">
        <v>4611.58258</v>
      </c>
      <c r="F771" s="182" t="n">
        <v>4597.69103</v>
      </c>
      <c r="G771" s="182" t="n">
        <v>4597.51552</v>
      </c>
      <c r="H771" s="182" t="n">
        <v>0</v>
      </c>
      <c r="I771" s="182" t="n">
        <v>769</v>
      </c>
      <c r="J771" s="182" t="n">
        <v>-34.8576</v>
      </c>
      <c r="K771" s="182" t="n">
        <v>-11.4526</v>
      </c>
    </row>
    <row r="772" ht="15" customHeight="1" s="28">
      <c r="A772" s="181" t="n">
        <v>1777422602</v>
      </c>
      <c r="B772" s="181" t="inlineStr">
        <is>
          <t>XAUUSD</t>
        </is>
      </c>
      <c r="C772" s="181" t="inlineStr">
        <is>
          <t>M15</t>
        </is>
      </c>
      <c r="D772" s="181" t="n">
        <v>4603.88</v>
      </c>
      <c r="E772" s="181" t="n">
        <v>4611.31498</v>
      </c>
      <c r="F772" s="181" t="n">
        <v>4596.43241</v>
      </c>
      <c r="G772" s="181" t="n">
        <v>4596.97397</v>
      </c>
      <c r="H772" s="181" t="n">
        <v>1</v>
      </c>
      <c r="I772" s="181" t="n">
        <v>770</v>
      </c>
      <c r="J772" s="181" t="n">
        <v>-30.8537</v>
      </c>
      <c r="K772" s="181" t="n">
        <v>-7.435</v>
      </c>
    </row>
    <row r="773" ht="15" customHeight="1" s="28">
      <c r="A773" s="182" t="n">
        <v>1777423502</v>
      </c>
      <c r="B773" s="182" t="inlineStr">
        <is>
          <t>XAUUSD</t>
        </is>
      </c>
      <c r="C773" s="182" t="inlineStr">
        <is>
          <t>M15</t>
        </is>
      </c>
      <c r="D773" s="182" t="n">
        <v>4600.27</v>
      </c>
      <c r="E773" s="182" t="n">
        <v>4611.04737</v>
      </c>
      <c r="F773" s="182" t="n">
        <v>4594.49663</v>
      </c>
      <c r="G773" s="182" t="n">
        <v>4595.7353</v>
      </c>
      <c r="H773" s="182" t="n">
        <v>0</v>
      </c>
      <c r="I773" s="182" t="n">
        <v>771</v>
      </c>
      <c r="J773" s="182" t="n">
        <v>-34.2098</v>
      </c>
      <c r="K773" s="182" t="n">
        <v>-10.7774</v>
      </c>
    </row>
    <row r="774" ht="15" customHeight="1" s="28">
      <c r="A774" s="181" t="n">
        <v>1777424402</v>
      </c>
      <c r="B774" s="181" t="inlineStr">
        <is>
          <t>XAUUSD</t>
        </is>
      </c>
      <c r="C774" s="181" t="inlineStr">
        <is>
          <t>M15</t>
        </is>
      </c>
      <c r="D774" s="181" t="n">
        <v>4582.65</v>
      </c>
      <c r="E774" s="181" t="n">
        <v>4610.77977</v>
      </c>
      <c r="F774" s="181" t="n">
        <v>4592.36752</v>
      </c>
      <c r="G774" s="181" t="n">
        <v>4594.05141</v>
      </c>
      <c r="H774" s="181" t="n">
        <v>0</v>
      </c>
      <c r="I774" s="181" t="n">
        <v>772</v>
      </c>
      <c r="J774" s="181" t="n">
        <v>-51.576</v>
      </c>
      <c r="K774" s="181" t="n">
        <v>-28.1298</v>
      </c>
    </row>
    <row r="775" ht="15" customHeight="1" s="28">
      <c r="A775" s="182" t="n">
        <v>1777425302</v>
      </c>
      <c r="B775" s="182" t="inlineStr">
        <is>
          <t>XAUUSD</t>
        </is>
      </c>
      <c r="C775" s="182" t="inlineStr">
        <is>
          <t>M15</t>
        </is>
      </c>
      <c r="D775" s="182" t="n">
        <v>4580.48</v>
      </c>
      <c r="E775" s="182" t="n">
        <v>4610.51217</v>
      </c>
      <c r="F775" s="182" t="n">
        <v>4590.93542</v>
      </c>
      <c r="G775" s="182" t="n">
        <v>4592.49341</v>
      </c>
      <c r="H775" s="182" t="n">
        <v>0</v>
      </c>
      <c r="I775" s="182" t="n">
        <v>773</v>
      </c>
      <c r="J775" s="182" t="n">
        <v>-53.4921</v>
      </c>
      <c r="K775" s="182" t="n">
        <v>-30.0322</v>
      </c>
    </row>
    <row r="776" ht="15" customHeight="1" s="28">
      <c r="A776" s="181" t="n">
        <v>1777426202</v>
      </c>
      <c r="B776" s="181" t="inlineStr">
        <is>
          <t>XAUUSD</t>
        </is>
      </c>
      <c r="C776" s="181" t="inlineStr">
        <is>
          <t>M15</t>
        </is>
      </c>
      <c r="D776" s="181" t="n">
        <v>4590.56</v>
      </c>
      <c r="E776" s="181" t="n">
        <v>4610.24456</v>
      </c>
      <c r="F776" s="181" t="n">
        <v>4590.52418</v>
      </c>
      <c r="G776" s="181" t="n">
        <v>4591.5088</v>
      </c>
      <c r="H776" s="181" t="n">
        <v>0</v>
      </c>
      <c r="I776" s="181" t="n">
        <v>774</v>
      </c>
      <c r="J776" s="181" t="n">
        <v>-43.1582</v>
      </c>
      <c r="K776" s="181" t="n">
        <v>-19.6846</v>
      </c>
    </row>
    <row r="777" ht="15" customHeight="1" s="28">
      <c r="A777" s="182" t="n">
        <v>1777427102</v>
      </c>
      <c r="B777" s="182" t="inlineStr">
        <is>
          <t>XAUUSD</t>
        </is>
      </c>
      <c r="C777" s="182" t="inlineStr">
        <is>
          <t>M15</t>
        </is>
      </c>
      <c r="D777" s="182" t="n">
        <v>4584.98</v>
      </c>
      <c r="E777" s="182" t="n">
        <v>4609.97696</v>
      </c>
      <c r="F777" s="182" t="n">
        <v>4590.93588</v>
      </c>
      <c r="G777" s="182" t="n">
        <v>4591.22234</v>
      </c>
      <c r="H777" s="182" t="n">
        <v>0</v>
      </c>
      <c r="I777" s="182" t="n">
        <v>775</v>
      </c>
      <c r="J777" s="182" t="n">
        <v>-48.4843</v>
      </c>
      <c r="K777" s="182" t="n">
        <v>-24.997</v>
      </c>
    </row>
    <row r="778" ht="15" customHeight="1" s="28">
      <c r="A778" s="181" t="n">
        <v>1777428002</v>
      </c>
      <c r="B778" s="181" t="inlineStr">
        <is>
          <t>XAUUSD</t>
        </is>
      </c>
      <c r="C778" s="181" t="inlineStr">
        <is>
          <t>M15</t>
        </is>
      </c>
      <c r="D778" s="181" t="n">
        <v>4600.87</v>
      </c>
      <c r="E778" s="181" t="n">
        <v>4609.70935</v>
      </c>
      <c r="F778" s="181" t="n">
        <v>4592.23227</v>
      </c>
      <c r="G778" s="181" t="n">
        <v>4591.7273</v>
      </c>
      <c r="H778" s="181" t="n">
        <v>1</v>
      </c>
      <c r="I778" s="181" t="n">
        <v>776</v>
      </c>
      <c r="J778" s="181" t="n">
        <v>-32.3404</v>
      </c>
      <c r="K778" s="181" t="n">
        <v>-8.839399999999999</v>
      </c>
    </row>
    <row r="779" ht="15" customHeight="1" s="28">
      <c r="A779" s="182" t="n">
        <v>1777428902</v>
      </c>
      <c r="B779" s="182" t="inlineStr">
        <is>
          <t>XAUUSD</t>
        </is>
      </c>
      <c r="C779" s="182" t="inlineStr">
        <is>
          <t>M15</t>
        </is>
      </c>
      <c r="D779" s="182" t="n">
        <v>4598.93</v>
      </c>
      <c r="E779" s="182" t="n">
        <v>4609.44175</v>
      </c>
      <c r="F779" s="182" t="n">
        <v>4593.74089</v>
      </c>
      <c r="G779" s="182" t="n">
        <v>4592.7341</v>
      </c>
      <c r="H779" s="182" t="n">
        <v>0</v>
      </c>
      <c r="I779" s="182" t="n">
        <v>777</v>
      </c>
      <c r="J779" s="182" t="n">
        <v>-34.0265</v>
      </c>
      <c r="K779" s="182" t="n">
        <v>-10.5117</v>
      </c>
    </row>
    <row r="780" ht="15" customHeight="1" s="28">
      <c r="A780" s="181" t="n">
        <v>1777429802</v>
      </c>
      <c r="B780" s="181" t="inlineStr">
        <is>
          <t>XAUUSD</t>
        </is>
      </c>
      <c r="C780" s="181" t="inlineStr">
        <is>
          <t>M15</t>
        </is>
      </c>
      <c r="D780" s="181" t="n">
        <v>4596.92</v>
      </c>
      <c r="E780" s="181" t="n">
        <v>4609.17415</v>
      </c>
      <c r="F780" s="181" t="n">
        <v>4595.26049</v>
      </c>
      <c r="G780" s="181" t="n">
        <v>4593.99729</v>
      </c>
      <c r="H780" s="181" t="n">
        <v>0</v>
      </c>
      <c r="I780" s="181" t="n">
        <v>778</v>
      </c>
      <c r="J780" s="181" t="n">
        <v>-35.7826</v>
      </c>
      <c r="K780" s="181" t="n">
        <v>-12.2541</v>
      </c>
    </row>
    <row r="781" ht="15" customHeight="1" s="28">
      <c r="A781" s="182" t="n">
        <v>1777430702</v>
      </c>
      <c r="B781" s="182" t="inlineStr">
        <is>
          <t>XAUUSD</t>
        </is>
      </c>
      <c r="C781" s="182" t="inlineStr">
        <is>
          <t>M15</t>
        </is>
      </c>
      <c r="D781" s="182" t="n">
        <v>4593.75</v>
      </c>
      <c r="E781" s="182" t="n">
        <v>4608.90654</v>
      </c>
      <c r="F781" s="182" t="n">
        <v>4596.61909</v>
      </c>
      <c r="G781" s="182" t="n">
        <v>4595.30819</v>
      </c>
      <c r="H781" s="182" t="n">
        <v>0</v>
      </c>
      <c r="I781" s="182" t="n">
        <v>779</v>
      </c>
      <c r="J781" s="182" t="n">
        <v>-38.6987</v>
      </c>
      <c r="K781" s="182" t="n">
        <v>-15.1565</v>
      </c>
    </row>
    <row r="782" ht="15" customHeight="1" s="28">
      <c r="A782" s="181" t="n">
        <v>1777431602</v>
      </c>
      <c r="B782" s="181" t="inlineStr">
        <is>
          <t>XAUUSD</t>
        </is>
      </c>
      <c r="C782" s="181" t="inlineStr">
        <is>
          <t>M15</t>
        </is>
      </c>
      <c r="D782" s="181" t="n">
        <v>4601.89</v>
      </c>
      <c r="E782" s="181" t="n">
        <v>4608.63894</v>
      </c>
      <c r="F782" s="181" t="n">
        <v>4597.78291</v>
      </c>
      <c r="G782" s="181" t="n">
        <v>4596.54555</v>
      </c>
      <c r="H782" s="181" t="n">
        <v>0</v>
      </c>
      <c r="I782" s="181" t="n">
        <v>780</v>
      </c>
      <c r="J782" s="181" t="n">
        <v>-30.3048</v>
      </c>
      <c r="K782" s="181" t="n">
        <v>-6.7489</v>
      </c>
    </row>
    <row r="783" ht="15" customHeight="1" s="28">
      <c r="A783" s="182" t="n">
        <v>1777432502</v>
      </c>
      <c r="B783" s="182" t="inlineStr">
        <is>
          <t>XAUUSD</t>
        </is>
      </c>
      <c r="C783" s="182" t="inlineStr">
        <is>
          <t>M15</t>
        </is>
      </c>
      <c r="D783" s="182" t="n">
        <v>4598.67</v>
      </c>
      <c r="E783" s="182" t="n">
        <v>4608.37133</v>
      </c>
      <c r="F783" s="182" t="n">
        <v>4598.54124</v>
      </c>
      <c r="G783" s="182" t="n">
        <v>4597.5434</v>
      </c>
      <c r="H783" s="182" t="n">
        <v>0</v>
      </c>
      <c r="I783" s="182" t="n">
        <v>781</v>
      </c>
      <c r="J783" s="182" t="n">
        <v>-33.2709</v>
      </c>
      <c r="K783" s="182" t="n">
        <v>-9.7013</v>
      </c>
    </row>
    <row r="784" ht="15" customHeight="1" s="28">
      <c r="A784" s="181" t="n">
        <v>1777433402</v>
      </c>
      <c r="B784" s="181" t="inlineStr">
        <is>
          <t>XAUUSD</t>
        </is>
      </c>
      <c r="C784" s="181" t="inlineStr">
        <is>
          <t>M15</t>
        </is>
      </c>
      <c r="D784" s="181" t="n">
        <v>4593.91</v>
      </c>
      <c r="E784" s="181" t="n">
        <v>4608.10373</v>
      </c>
      <c r="F784" s="181" t="n">
        <v>4599.08196</v>
      </c>
      <c r="G784" s="181" t="n">
        <v>4598.31268</v>
      </c>
      <c r="H784" s="181" t="n">
        <v>0</v>
      </c>
      <c r="I784" s="181" t="n">
        <v>782</v>
      </c>
      <c r="J784" s="181" t="n">
        <v>-37.777</v>
      </c>
      <c r="K784" s="181" t="n">
        <v>-14.1937</v>
      </c>
    </row>
    <row r="785" ht="15" customHeight="1" s="28">
      <c r="A785" s="182" t="n">
        <v>1777434302</v>
      </c>
      <c r="B785" s="182" t="inlineStr">
        <is>
          <t>XAUUSD</t>
        </is>
      </c>
      <c r="C785" s="182" t="inlineStr">
        <is>
          <t>M15</t>
        </is>
      </c>
      <c r="D785" s="182" t="n">
        <v>4595.48</v>
      </c>
      <c r="E785" s="182" t="n">
        <v>4607.83613</v>
      </c>
      <c r="F785" s="182" t="n">
        <v>4599.67116</v>
      </c>
      <c r="G785" s="182" t="n">
        <v>4598.99192</v>
      </c>
      <c r="H785" s="182" t="n">
        <v>0</v>
      </c>
      <c r="I785" s="182" t="n">
        <v>783</v>
      </c>
      <c r="J785" s="182" t="n">
        <v>-35.9531</v>
      </c>
      <c r="K785" s="182" t="n">
        <v>-12.3561</v>
      </c>
    </row>
    <row r="786" ht="15" customHeight="1" s="28">
      <c r="A786" s="181" t="n">
        <v>1777435202</v>
      </c>
      <c r="B786" s="181" t="inlineStr">
        <is>
          <t>XAUUSD</t>
        </is>
      </c>
      <c r="C786" s="181" t="inlineStr">
        <is>
          <t>M15</t>
        </is>
      </c>
      <c r="D786" s="181" t="n">
        <v>4600.68</v>
      </c>
      <c r="E786" s="181" t="n">
        <v>4607.56852</v>
      </c>
      <c r="F786" s="181" t="n">
        <v>4600.35332</v>
      </c>
      <c r="G786" s="181" t="n">
        <v>4599.67262</v>
      </c>
      <c r="H786" s="181" t="n">
        <v>0</v>
      </c>
      <c r="I786" s="181" t="n">
        <v>784</v>
      </c>
      <c r="J786" s="181" t="n">
        <v>-30.4992</v>
      </c>
      <c r="K786" s="181" t="n">
        <v>-6.8885</v>
      </c>
    </row>
    <row r="787" ht="15" customHeight="1" s="28">
      <c r="A787" s="182" t="n">
        <v>1777436102</v>
      </c>
      <c r="B787" s="182" t="inlineStr">
        <is>
          <t>XAUUSD</t>
        </is>
      </c>
      <c r="C787" s="182" t="inlineStr">
        <is>
          <t>M15</t>
        </is>
      </c>
      <c r="D787" s="182" t="n">
        <v>4601.86</v>
      </c>
      <c r="E787" s="182" t="n">
        <v>4607.30092</v>
      </c>
      <c r="F787" s="182" t="n">
        <v>4600.96576</v>
      </c>
      <c r="G787" s="182" t="n">
        <v>4600.31919</v>
      </c>
      <c r="H787" s="182" t="n">
        <v>0</v>
      </c>
      <c r="I787" s="182" t="n">
        <v>785</v>
      </c>
      <c r="J787" s="182" t="n">
        <v>-29.0653</v>
      </c>
      <c r="K787" s="182" t="n">
        <v>-5.4409</v>
      </c>
    </row>
    <row r="788" ht="15" customHeight="1" s="28">
      <c r="A788" s="181" t="n">
        <v>1777437002</v>
      </c>
      <c r="B788" s="181" t="inlineStr">
        <is>
          <t>XAUUSD</t>
        </is>
      </c>
      <c r="C788" s="181" t="inlineStr">
        <is>
          <t>M15</t>
        </is>
      </c>
      <c r="D788" s="181" t="n">
        <v>4602.15</v>
      </c>
      <c r="E788" s="181" t="n">
        <v>4607.03331</v>
      </c>
      <c r="F788" s="181" t="n">
        <v>4601.38659</v>
      </c>
      <c r="G788" s="181" t="n">
        <v>4600.85289</v>
      </c>
      <c r="H788" s="181" t="n">
        <v>0</v>
      </c>
      <c r="I788" s="181" t="n">
        <v>786</v>
      </c>
      <c r="J788" s="181" t="n">
        <v>-28.5214</v>
      </c>
      <c r="K788" s="181" t="n">
        <v>-4.8833</v>
      </c>
    </row>
    <row r="789" ht="15" customHeight="1" s="28">
      <c r="A789" s="182" t="n">
        <v>1777437902</v>
      </c>
      <c r="B789" s="182" t="inlineStr">
        <is>
          <t>XAUUSD</t>
        </is>
      </c>
      <c r="C789" s="182" t="inlineStr">
        <is>
          <t>M15</t>
        </is>
      </c>
      <c r="D789" s="182" t="n">
        <v>4604.85</v>
      </c>
      <c r="E789" s="182" t="n">
        <v>4606.76571</v>
      </c>
      <c r="F789" s="182" t="n">
        <v>4601.43118</v>
      </c>
      <c r="G789" s="182" t="n">
        <v>4601.14204</v>
      </c>
      <c r="H789" s="182" t="n">
        <v>0</v>
      </c>
      <c r="I789" s="182" t="n">
        <v>787</v>
      </c>
      <c r="J789" s="182" t="n">
        <v>-25.5675</v>
      </c>
      <c r="K789" s="182" t="n">
        <v>-1.9157</v>
      </c>
    </row>
    <row r="790" ht="15" customHeight="1" s="28">
      <c r="A790" s="181" t="n">
        <v>1777438802</v>
      </c>
      <c r="B790" s="181" t="inlineStr">
        <is>
          <t>XAUUSD</t>
        </is>
      </c>
      <c r="C790" s="181" t="inlineStr">
        <is>
          <t>M15</t>
        </is>
      </c>
      <c r="D790" s="181" t="n">
        <v>4601.15</v>
      </c>
      <c r="E790" s="181" t="n">
        <v>4606.4981</v>
      </c>
      <c r="F790" s="181" t="n">
        <v>4600.84516</v>
      </c>
      <c r="G790" s="181" t="n">
        <v>4600.9936</v>
      </c>
      <c r="H790" s="181" t="n">
        <v>1</v>
      </c>
      <c r="I790" s="181" t="n">
        <v>788</v>
      </c>
      <c r="J790" s="181" t="n">
        <v>-29.0136</v>
      </c>
      <c r="K790" s="181" t="n">
        <v>-5.3481</v>
      </c>
    </row>
    <row r="791" ht="15" customHeight="1" s="28">
      <c r="A791" s="182" t="n">
        <v>1777439702</v>
      </c>
      <c r="B791" s="182" t="inlineStr">
        <is>
          <t>XAUUSD</t>
        </is>
      </c>
      <c r="C791" s="182" t="inlineStr">
        <is>
          <t>M15</t>
        </is>
      </c>
      <c r="D791" s="182" t="n">
        <v>4600.72</v>
      </c>
      <c r="E791" s="182" t="n">
        <v>4606.2305</v>
      </c>
      <c r="F791" s="182" t="n">
        <v>4599.55498</v>
      </c>
      <c r="G791" s="182" t="n">
        <v>4600.27429</v>
      </c>
      <c r="H791" s="182" t="n">
        <v>0</v>
      </c>
      <c r="I791" s="182" t="n">
        <v>789</v>
      </c>
      <c r="J791" s="182" t="n">
        <v>-29.1897</v>
      </c>
      <c r="K791" s="182" t="n">
        <v>-5.5105</v>
      </c>
    </row>
    <row r="792" ht="15" customHeight="1" s="28">
      <c r="A792" s="181" t="n">
        <v>1777440602</v>
      </c>
      <c r="B792" s="181" t="inlineStr">
        <is>
          <t>XAUUSD</t>
        </is>
      </c>
      <c r="C792" s="181" t="inlineStr">
        <is>
          <t>M15</t>
        </is>
      </c>
      <c r="D792" s="181" t="n">
        <v>4599.05</v>
      </c>
      <c r="E792" s="181" t="n">
        <v>4605.9629</v>
      </c>
      <c r="F792" s="181" t="n">
        <v>4597.46432</v>
      </c>
      <c r="G792" s="181" t="n">
        <v>4598.86931</v>
      </c>
      <c r="H792" s="181" t="n">
        <v>0</v>
      </c>
      <c r="I792" s="181" t="n">
        <v>790</v>
      </c>
      <c r="J792" s="181" t="n">
        <v>-30.6058</v>
      </c>
      <c r="K792" s="181" t="n">
        <v>-6.9129</v>
      </c>
    </row>
    <row r="793" ht="15" customHeight="1" s="28">
      <c r="A793" s="182" t="n">
        <v>1777441502</v>
      </c>
      <c r="B793" s="182" t="inlineStr">
        <is>
          <t>XAUUSD</t>
        </is>
      </c>
      <c r="C793" s="182" t="inlineStr">
        <is>
          <t>M15</t>
        </is>
      </c>
      <c r="D793" s="182" t="n">
        <v>4590.9</v>
      </c>
      <c r="E793" s="182" t="n">
        <v>4605.69529</v>
      </c>
      <c r="F793" s="182" t="n">
        <v>4594.57734</v>
      </c>
      <c r="G793" s="182" t="n">
        <v>4596.72332</v>
      </c>
      <c r="H793" s="182" t="n">
        <v>0</v>
      </c>
      <c r="I793" s="182" t="n">
        <v>791</v>
      </c>
      <c r="J793" s="182" t="n">
        <v>-38.5019</v>
      </c>
      <c r="K793" s="182" t="n">
        <v>-14.7953</v>
      </c>
    </row>
    <row r="794" ht="15" customHeight="1" s="28">
      <c r="A794" s="181" t="n">
        <v>1777442402</v>
      </c>
      <c r="B794" s="181" t="inlineStr">
        <is>
          <t>XAUUSD</t>
        </is>
      </c>
      <c r="C794" s="181" t="inlineStr">
        <is>
          <t>M15</t>
        </is>
      </c>
      <c r="D794" s="181" t="n">
        <v>4588.73</v>
      </c>
      <c r="E794" s="181" t="n">
        <v>4605.42769</v>
      </c>
      <c r="F794" s="181" t="n">
        <v>4591.20114</v>
      </c>
      <c r="G794" s="181" t="n">
        <v>4593.96223</v>
      </c>
      <c r="H794" s="181" t="n">
        <v>0</v>
      </c>
      <c r="I794" s="181" t="n">
        <v>792</v>
      </c>
      <c r="J794" s="181" t="n">
        <v>-40.418</v>
      </c>
      <c r="K794" s="181" t="n">
        <v>-16.6977</v>
      </c>
    </row>
    <row r="795" ht="15" customHeight="1" s="28">
      <c r="A795" s="182" t="n">
        <v>1777443302</v>
      </c>
      <c r="B795" s="182" t="inlineStr">
        <is>
          <t>XAUUSD</t>
        </is>
      </c>
      <c r="C795" s="182" t="inlineStr">
        <is>
          <t>M15</t>
        </is>
      </c>
      <c r="D795" s="182" t="n">
        <v>4585.04</v>
      </c>
      <c r="E795" s="182" t="n">
        <v>4605.16008</v>
      </c>
      <c r="F795" s="182" t="n">
        <v>4587.55405</v>
      </c>
      <c r="G795" s="182" t="n">
        <v>4590.75814</v>
      </c>
      <c r="H795" s="182" t="n">
        <v>0</v>
      </c>
      <c r="I795" s="182" t="n">
        <v>793</v>
      </c>
      <c r="J795" s="182" t="n">
        <v>-43.8541</v>
      </c>
      <c r="K795" s="182" t="n">
        <v>-20.1201</v>
      </c>
    </row>
    <row r="796" ht="15" customHeight="1" s="28">
      <c r="A796" s="181" t="n">
        <v>1777444202</v>
      </c>
      <c r="B796" s="181" t="inlineStr">
        <is>
          <t>XAUUSD</t>
        </is>
      </c>
      <c r="C796" s="181" t="inlineStr">
        <is>
          <t>M15</t>
        </is>
      </c>
      <c r="D796" s="181" t="n">
        <v>4585.03</v>
      </c>
      <c r="E796" s="181" t="n">
        <v>4604.89248</v>
      </c>
      <c r="F796" s="181" t="n">
        <v>4583.86023</v>
      </c>
      <c r="G796" s="181" t="n">
        <v>4587.30918</v>
      </c>
      <c r="H796" s="181" t="n">
        <v>0</v>
      </c>
      <c r="I796" s="181" t="n">
        <v>794</v>
      </c>
      <c r="J796" s="181" t="n">
        <v>-43.6103</v>
      </c>
      <c r="K796" s="181" t="n">
        <v>-19.8625</v>
      </c>
    </row>
    <row r="797" ht="15" customHeight="1" s="28">
      <c r="A797" s="182" t="n">
        <v>1777445102</v>
      </c>
      <c r="B797" s="182" t="inlineStr">
        <is>
          <t>XAUUSD</t>
        </is>
      </c>
      <c r="C797" s="182" t="inlineStr">
        <is>
          <t>M15</t>
        </is>
      </c>
      <c r="D797" s="182" t="n">
        <v>4584.52</v>
      </c>
      <c r="E797" s="182" t="n">
        <v>4604.62488</v>
      </c>
      <c r="F797" s="182" t="n">
        <v>4580.25654</v>
      </c>
      <c r="G797" s="182" t="n">
        <v>4583.78286</v>
      </c>
      <c r="H797" s="182" t="n">
        <v>0</v>
      </c>
      <c r="I797" s="182" t="n">
        <v>795</v>
      </c>
      <c r="J797" s="182" t="n">
        <v>-43.8664</v>
      </c>
      <c r="K797" s="182" t="n">
        <v>-20.1049</v>
      </c>
    </row>
    <row r="798" ht="15" customHeight="1" s="28">
      <c r="A798" s="181" t="n">
        <v>1777446002</v>
      </c>
      <c r="B798" s="181" t="inlineStr">
        <is>
          <t>XAUUSD</t>
        </is>
      </c>
      <c r="C798" s="181" t="inlineStr">
        <is>
          <t>M15</t>
        </is>
      </c>
      <c r="D798" s="181" t="n">
        <v>4578.72</v>
      </c>
      <c r="E798" s="181" t="n">
        <v>4604.35727</v>
      </c>
      <c r="F798" s="181" t="n">
        <v>4576.87731</v>
      </c>
      <c r="G798" s="181" t="n">
        <v>4580.33009</v>
      </c>
      <c r="H798" s="181" t="n">
        <v>0</v>
      </c>
      <c r="I798" s="181" t="n">
        <v>796</v>
      </c>
      <c r="J798" s="181" t="n">
        <v>-49.4125</v>
      </c>
      <c r="K798" s="181" t="n">
        <v>-25.6373</v>
      </c>
    </row>
    <row r="799" ht="15" customHeight="1" s="28">
      <c r="A799" s="182" t="n">
        <v>1777446902</v>
      </c>
      <c r="B799" s="182" t="inlineStr">
        <is>
          <t>XAUUSD</t>
        </is>
      </c>
      <c r="C799" s="182" t="inlineStr">
        <is>
          <t>M15</t>
        </is>
      </c>
      <c r="D799" s="182" t="n">
        <v>4575.11</v>
      </c>
      <c r="E799" s="182" t="n">
        <v>4604.08967</v>
      </c>
      <c r="F799" s="182" t="n">
        <v>4573.98749</v>
      </c>
      <c r="G799" s="182" t="n">
        <v>4577.15879</v>
      </c>
      <c r="H799" s="182" t="n">
        <v>0</v>
      </c>
      <c r="I799" s="182" t="n">
        <v>797</v>
      </c>
      <c r="J799" s="182" t="n">
        <v>-52.7686</v>
      </c>
      <c r="K799" s="182" t="n">
        <v>-28.9797</v>
      </c>
    </row>
    <row r="800" ht="15" customHeight="1" s="28">
      <c r="A800" s="181" t="n">
        <v>1777447802</v>
      </c>
      <c r="B800" s="181" t="inlineStr">
        <is>
          <t>XAUUSD</t>
        </is>
      </c>
      <c r="C800" s="181" t="inlineStr">
        <is>
          <t>M15</t>
        </is>
      </c>
      <c r="D800" s="181" t="n">
        <v>4570.56</v>
      </c>
      <c r="E800" s="181" t="n">
        <v>4603.82206</v>
      </c>
      <c r="F800" s="181" t="n">
        <v>4571.72337</v>
      </c>
      <c r="G800" s="181" t="n">
        <v>4574.44108</v>
      </c>
      <c r="H800" s="181" t="n">
        <v>0</v>
      </c>
      <c r="I800" s="181" t="n">
        <v>798</v>
      </c>
      <c r="J800" s="181" t="n">
        <v>-57.0647</v>
      </c>
      <c r="K800" s="181" t="n">
        <v>-33.2621</v>
      </c>
    </row>
    <row r="801" ht="15" customHeight="1" s="28">
      <c r="A801" s="182" t="n">
        <v>1777448702</v>
      </c>
      <c r="B801" s="182" t="inlineStr">
        <is>
          <t>XAUUSD</t>
        </is>
      </c>
      <c r="C801" s="182" t="inlineStr">
        <is>
          <t>M15</t>
        </is>
      </c>
      <c r="D801" s="182" t="n">
        <v>4567.92</v>
      </c>
      <c r="E801" s="182" t="n">
        <v>4603.55446</v>
      </c>
      <c r="F801" s="182" t="n">
        <v>4570.13884</v>
      </c>
      <c r="G801" s="182" t="n">
        <v>4572.28996</v>
      </c>
      <c r="H801" s="182" t="n">
        <v>0</v>
      </c>
      <c r="I801" s="182" t="n">
        <v>799</v>
      </c>
      <c r="J801" s="182" t="n">
        <v>-59.4508</v>
      </c>
      <c r="K801" s="182" t="n">
        <v>-35.6345</v>
      </c>
    </row>
    <row r="802" ht="15" customHeight="1" s="28">
      <c r="A802" s="181" t="n">
        <v>1777449602</v>
      </c>
      <c r="B802" s="181" t="inlineStr">
        <is>
          <t>XAUUSD</t>
        </is>
      </c>
      <c r="C802" s="181" t="inlineStr">
        <is>
          <t>M15</t>
        </is>
      </c>
      <c r="D802" s="181" t="n">
        <v>4565.44</v>
      </c>
      <c r="E802" s="181" t="n">
        <v>4603.28686</v>
      </c>
      <c r="F802" s="181" t="n">
        <v>4569.16033</v>
      </c>
      <c r="G802" s="181" t="n">
        <v>4570.72515</v>
      </c>
      <c r="H802" s="181" t="n">
        <v>0</v>
      </c>
      <c r="I802" s="181" t="n">
        <v>800</v>
      </c>
      <c r="J802" s="181" t="n">
        <v>-61.6769</v>
      </c>
      <c r="K802" s="181" t="n">
        <v>-37.8469</v>
      </c>
    </row>
    <row r="803" ht="15" customHeight="1" s="28">
      <c r="A803" s="182" t="n">
        <v>1777450502</v>
      </c>
      <c r="B803" s="182" t="inlineStr">
        <is>
          <t>XAUUSD</t>
        </is>
      </c>
      <c r="C803" s="182" t="inlineStr">
        <is>
          <t>M15</t>
        </is>
      </c>
      <c r="D803" s="182" t="n">
        <v>4566.65</v>
      </c>
      <c r="E803" s="182" t="n">
        <v>4603.01925</v>
      </c>
      <c r="F803" s="182" t="n">
        <v>4568.61557</v>
      </c>
      <c r="G803" s="182" t="n">
        <v>4569.67036</v>
      </c>
      <c r="H803" s="182" t="n">
        <v>0</v>
      </c>
      <c r="I803" s="182" t="n">
        <v>801</v>
      </c>
      <c r="J803" s="182" t="n">
        <v>-60.213</v>
      </c>
      <c r="K803" s="182" t="n">
        <v>-36.3693</v>
      </c>
    </row>
    <row r="804" ht="15" customHeight="1" s="28">
      <c r="A804" s="181" t="n">
        <v>1777451402</v>
      </c>
      <c r="B804" s="181" t="inlineStr">
        <is>
          <t>XAUUSD</t>
        </is>
      </c>
      <c r="C804" s="181" t="inlineStr">
        <is>
          <t>M15</t>
        </is>
      </c>
      <c r="D804" s="181" t="n">
        <v>4568.37</v>
      </c>
      <c r="E804" s="181" t="n">
        <v>4602.75165</v>
      </c>
      <c r="F804" s="181" t="n">
        <v>4568.24917</v>
      </c>
      <c r="G804" s="181" t="n">
        <v>4568.95976</v>
      </c>
      <c r="H804" s="181" t="n">
        <v>0</v>
      </c>
      <c r="I804" s="181" t="n">
        <v>802</v>
      </c>
      <c r="J804" s="181" t="n">
        <v>-58.2391</v>
      </c>
      <c r="K804" s="181" t="n">
        <v>-34.3817</v>
      </c>
    </row>
    <row r="805" ht="15" customHeight="1" s="28">
      <c r="A805" s="182" t="n">
        <v>1777452302</v>
      </c>
      <c r="B805" s="182" t="inlineStr">
        <is>
          <t>XAUUSD</t>
        </is>
      </c>
      <c r="C805" s="182" t="inlineStr">
        <is>
          <t>M15</t>
        </is>
      </c>
      <c r="D805" s="182" t="n">
        <v>4573.2</v>
      </c>
      <c r="E805" s="182" t="n">
        <v>4602.48404</v>
      </c>
      <c r="F805" s="182" t="n">
        <v>4567.82815</v>
      </c>
      <c r="G805" s="182" t="n">
        <v>4568.39395</v>
      </c>
      <c r="H805" s="182" t="n">
        <v>0</v>
      </c>
      <c r="I805" s="182" t="n">
        <v>803</v>
      </c>
      <c r="J805" s="182" t="n">
        <v>-53.1552</v>
      </c>
      <c r="K805" s="182" t="n">
        <v>-29.284</v>
      </c>
    </row>
    <row r="806" ht="15" customHeight="1" s="28">
      <c r="A806" s="181" t="n">
        <v>1777453202</v>
      </c>
      <c r="B806" s="181" t="inlineStr">
        <is>
          <t>XAUUSD</t>
        </is>
      </c>
      <c r="C806" s="181" t="inlineStr">
        <is>
          <t>M15</t>
        </is>
      </c>
      <c r="D806" s="181" t="n">
        <v>4574.2</v>
      </c>
      <c r="E806" s="181" t="n">
        <v>4602.21644</v>
      </c>
      <c r="F806" s="181" t="n">
        <v>4567.12603</v>
      </c>
      <c r="G806" s="181" t="n">
        <v>4567.75999</v>
      </c>
      <c r="H806" s="181" t="n">
        <v>0</v>
      </c>
      <c r="I806" s="181" t="n">
        <v>804</v>
      </c>
      <c r="J806" s="181" t="n">
        <v>-51.9013</v>
      </c>
      <c r="K806" s="181" t="n">
        <v>-28.0164</v>
      </c>
    </row>
    <row r="807" ht="15" customHeight="1" s="28">
      <c r="A807" s="182" t="n">
        <v>1777454102</v>
      </c>
      <c r="B807" s="182" t="inlineStr">
        <is>
          <t>XAUUSD</t>
        </is>
      </c>
      <c r="C807" s="182" t="inlineStr">
        <is>
          <t>M15</t>
        </is>
      </c>
      <c r="D807" s="182" t="n">
        <v>4565.69</v>
      </c>
      <c r="E807" s="182" t="n">
        <v>4601.94884</v>
      </c>
      <c r="F807" s="182" t="n">
        <v>4566.14866</v>
      </c>
      <c r="G807" s="182" t="n">
        <v>4566.95433</v>
      </c>
      <c r="H807" s="182" t="n">
        <v>0</v>
      </c>
      <c r="I807" s="182" t="n">
        <v>805</v>
      </c>
      <c r="J807" s="182" t="n">
        <v>-60.1574</v>
      </c>
      <c r="K807" s="182" t="n">
        <v>-36.2588</v>
      </c>
    </row>
    <row r="808" ht="15" customHeight="1" s="28">
      <c r="A808" s="181" t="n">
        <v>1777455002</v>
      </c>
      <c r="B808" s="181" t="inlineStr">
        <is>
          <t>XAUUSD</t>
        </is>
      </c>
      <c r="C808" s="181" t="inlineStr">
        <is>
          <t>M15</t>
        </is>
      </c>
      <c r="D808" s="181" t="n">
        <v>4558.86</v>
      </c>
      <c r="E808" s="181" t="n">
        <v>4601.68123</v>
      </c>
      <c r="F808" s="181" t="n">
        <v>4565.28688</v>
      </c>
      <c r="G808" s="181" t="n">
        <v>4566.1206</v>
      </c>
      <c r="H808" s="181" t="n">
        <v>0</v>
      </c>
      <c r="I808" s="181" t="n">
        <v>806</v>
      </c>
      <c r="J808" s="181" t="n">
        <v>-66.73350000000001</v>
      </c>
      <c r="K808" s="181" t="n">
        <v>-42.8212</v>
      </c>
    </row>
    <row r="809" ht="15" customHeight="1" s="28">
      <c r="A809" s="182" t="n">
        <v>1777455902</v>
      </c>
      <c r="B809" s="182" t="inlineStr">
        <is>
          <t>XAUUSD</t>
        </is>
      </c>
      <c r="C809" s="182" t="inlineStr">
        <is>
          <t>M15</t>
        </is>
      </c>
      <c r="D809" s="182" t="n">
        <v>4555.94</v>
      </c>
      <c r="E809" s="182" t="n">
        <v>4601.41363</v>
      </c>
      <c r="F809" s="182" t="n">
        <v>4564.86135</v>
      </c>
      <c r="G809" s="182" t="n">
        <v>4565.49098</v>
      </c>
      <c r="H809" s="182" t="n">
        <v>0</v>
      </c>
      <c r="I809" s="182" t="n">
        <v>807</v>
      </c>
      <c r="J809" s="182" t="n">
        <v>-69.39960000000001</v>
      </c>
      <c r="K809" s="182" t="n">
        <v>-45.4736</v>
      </c>
    </row>
    <row r="810" ht="15" customHeight="1" s="28">
      <c r="A810" s="181" t="n">
        <v>1777456802</v>
      </c>
      <c r="B810" s="181" t="inlineStr">
        <is>
          <t>XAUUSD</t>
        </is>
      </c>
      <c r="C810" s="181" t="inlineStr">
        <is>
          <t>M15</t>
        </is>
      </c>
      <c r="D810" s="181" t="n">
        <v>4568.04</v>
      </c>
      <c r="E810" s="181" t="n">
        <v>4601.14602</v>
      </c>
      <c r="F810" s="181" t="n">
        <v>4565.07204</v>
      </c>
      <c r="G810" s="181" t="n">
        <v>4565.28151</v>
      </c>
      <c r="H810" s="181" t="n">
        <v>0</v>
      </c>
      <c r="I810" s="181" t="n">
        <v>808</v>
      </c>
      <c r="J810" s="181" t="n">
        <v>-57.0457</v>
      </c>
      <c r="K810" s="181" t="n">
        <v>-33.106</v>
      </c>
    </row>
    <row r="811" ht="15" customHeight="1" s="28">
      <c r="A811" s="182" t="n">
        <v>1777457702</v>
      </c>
      <c r="B811" s="182" t="inlineStr">
        <is>
          <t>XAUUSD</t>
        </is>
      </c>
      <c r="C811" s="182" t="inlineStr">
        <is>
          <t>M15</t>
        </is>
      </c>
      <c r="D811" s="182" t="n">
        <v>4571.78</v>
      </c>
      <c r="E811" s="182" t="n">
        <v>4600.87842</v>
      </c>
      <c r="F811" s="182" t="n">
        <v>4565.60789</v>
      </c>
      <c r="G811" s="182" t="n">
        <v>4565.4447</v>
      </c>
      <c r="H811" s="182" t="n">
        <v>1</v>
      </c>
      <c r="I811" s="182" t="n">
        <v>809</v>
      </c>
      <c r="J811" s="182" t="n">
        <v>-53.0518</v>
      </c>
      <c r="K811" s="182" t="n">
        <v>-29.0984</v>
      </c>
    </row>
    <row r="812" ht="15" customHeight="1" s="28">
      <c r="A812" s="181" t="n">
        <v>1777458602</v>
      </c>
      <c r="B812" s="181" t="inlineStr">
        <is>
          <t>XAUUSD</t>
        </is>
      </c>
      <c r="C812" s="181" t="inlineStr">
        <is>
          <t>M15</t>
        </is>
      </c>
      <c r="D812" s="181" t="n">
        <v>4566.36</v>
      </c>
      <c r="E812" s="181" t="n">
        <v>4600.61081</v>
      </c>
      <c r="F812" s="181" t="n">
        <v>4566.29792</v>
      </c>
      <c r="G812" s="181" t="n">
        <v>4565.87131</v>
      </c>
      <c r="H812" s="181" t="n">
        <v>0</v>
      </c>
      <c r="I812" s="181" t="n">
        <v>810</v>
      </c>
      <c r="J812" s="181" t="n">
        <v>-58.2179</v>
      </c>
      <c r="K812" s="181" t="n">
        <v>-34.2508</v>
      </c>
    </row>
    <row r="813" ht="15" customHeight="1" s="28">
      <c r="A813" s="182" t="n">
        <v>1777459502</v>
      </c>
      <c r="B813" s="182" t="inlineStr">
        <is>
          <t>XAUUSD</t>
        </is>
      </c>
      <c r="C813" s="182" t="inlineStr">
        <is>
          <t>M15</t>
        </is>
      </c>
      <c r="D813" s="182" t="n">
        <v>4569.98</v>
      </c>
      <c r="E813" s="182" t="n">
        <v>4600.34321</v>
      </c>
      <c r="F813" s="182" t="n">
        <v>4567.16354</v>
      </c>
      <c r="G813" s="182" t="n">
        <v>4566.51742</v>
      </c>
      <c r="H813" s="182" t="n">
        <v>0</v>
      </c>
      <c r="I813" s="182" t="n">
        <v>811</v>
      </c>
      <c r="J813" s="182" t="n">
        <v>-54.344</v>
      </c>
      <c r="K813" s="182" t="n">
        <v>-30.3632</v>
      </c>
    </row>
    <row r="814" ht="15" customHeight="1" s="28">
      <c r="A814" s="181" t="n">
        <v>1777460402</v>
      </c>
      <c r="B814" s="181" t="inlineStr">
        <is>
          <t>XAUUSD</t>
        </is>
      </c>
      <c r="C814" s="181" t="inlineStr">
        <is>
          <t>M15</t>
        </is>
      </c>
      <c r="D814" s="181" t="n">
        <v>4568.02</v>
      </c>
      <c r="E814" s="181" t="n">
        <v>4600.07561</v>
      </c>
      <c r="F814" s="181" t="n">
        <v>4567.85456</v>
      </c>
      <c r="G814" s="181" t="n">
        <v>4567.18599</v>
      </c>
      <c r="H814" s="181" t="n">
        <v>0</v>
      </c>
      <c r="I814" s="181" t="n">
        <v>812</v>
      </c>
      <c r="J814" s="181" t="n">
        <v>-56.0501</v>
      </c>
      <c r="K814" s="181" t="n">
        <v>-32.0556</v>
      </c>
    </row>
    <row r="815" ht="15" customHeight="1" s="28">
      <c r="A815" s="182" t="n">
        <v>1777461302</v>
      </c>
      <c r="B815" s="182" t="inlineStr">
        <is>
          <t>XAUUSD</t>
        </is>
      </c>
      <c r="C815" s="182" t="inlineStr">
        <is>
          <t>M15</t>
        </is>
      </c>
      <c r="D815" s="182" t="n">
        <v>4564.76</v>
      </c>
      <c r="E815" s="182" t="n">
        <v>4599.808</v>
      </c>
      <c r="F815" s="182" t="n">
        <v>4568.1324</v>
      </c>
      <c r="G815" s="182" t="n">
        <v>4567.65919</v>
      </c>
      <c r="H815" s="182" t="n">
        <v>0</v>
      </c>
      <c r="I815" s="182" t="n">
        <v>813</v>
      </c>
      <c r="J815" s="182" t="n">
        <v>-59.0562</v>
      </c>
      <c r="K815" s="182" t="n">
        <v>-35.048</v>
      </c>
    </row>
    <row r="816" ht="15" customHeight="1" s="28">
      <c r="A816" s="181" t="n">
        <v>1777462202</v>
      </c>
      <c r="B816" s="181" t="inlineStr">
        <is>
          <t>XAUUSD</t>
        </is>
      </c>
      <c r="C816" s="181" t="inlineStr">
        <is>
          <t>M15</t>
        </is>
      </c>
      <c r="D816" s="181" t="n">
        <v>4567.03</v>
      </c>
      <c r="E816" s="181" t="n">
        <v>4599.5404</v>
      </c>
      <c r="F816" s="181" t="n">
        <v>4567.69281</v>
      </c>
      <c r="G816" s="181" t="n">
        <v>4567.676</v>
      </c>
      <c r="H816" s="181" t="n">
        <v>0</v>
      </c>
      <c r="I816" s="181" t="n">
        <v>814</v>
      </c>
      <c r="J816" s="181" t="n">
        <v>-56.5323</v>
      </c>
      <c r="K816" s="181" t="n">
        <v>-32.5104</v>
      </c>
    </row>
    <row r="817" ht="15" customHeight="1" s="28">
      <c r="A817" s="182" t="n">
        <v>1777463102</v>
      </c>
      <c r="B817" s="182" t="inlineStr">
        <is>
          <t>XAUUSD</t>
        </is>
      </c>
      <c r="C817" s="182" t="inlineStr">
        <is>
          <t>M15</t>
        </is>
      </c>
      <c r="D817" s="182" t="n">
        <v>4561.87</v>
      </c>
      <c r="E817" s="182" t="n">
        <v>4599.27279</v>
      </c>
      <c r="F817" s="182" t="n">
        <v>4566.10145</v>
      </c>
      <c r="G817" s="182" t="n">
        <v>4566.88873</v>
      </c>
      <c r="H817" s="182" t="n">
        <v>1</v>
      </c>
      <c r="I817" s="182" t="n">
        <v>815</v>
      </c>
      <c r="J817" s="182" t="n">
        <v>-61.4384</v>
      </c>
      <c r="K817" s="182" t="n">
        <v>-37.4028</v>
      </c>
    </row>
    <row r="818" ht="15" customHeight="1" s="28">
      <c r="A818" s="181" t="n">
        <v>1777464002</v>
      </c>
      <c r="B818" s="181" t="inlineStr">
        <is>
          <t>XAUUSD</t>
        </is>
      </c>
      <c r="C818" s="181" t="inlineStr">
        <is>
          <t>M15</t>
        </is>
      </c>
      <c r="D818" s="181" t="n">
        <v>4564.41</v>
      </c>
      <c r="E818" s="181" t="n">
        <v>4599.00519</v>
      </c>
      <c r="F818" s="181" t="n">
        <v>4563.24936</v>
      </c>
      <c r="G818" s="181" t="n">
        <v>4565.06904</v>
      </c>
      <c r="H818" s="181" t="n">
        <v>0</v>
      </c>
      <c r="I818" s="181" t="n">
        <v>816</v>
      </c>
      <c r="J818" s="181" t="n">
        <v>-58.6446</v>
      </c>
      <c r="K818" s="181" t="n">
        <v>-34.5952</v>
      </c>
    </row>
    <row r="819" ht="15" customHeight="1" s="28">
      <c r="A819" s="182" t="n">
        <v>1777464902</v>
      </c>
      <c r="B819" s="182" t="inlineStr">
        <is>
          <t>XAUUSD</t>
        </is>
      </c>
      <c r="C819" s="182" t="inlineStr">
        <is>
          <t>M15</t>
        </is>
      </c>
      <c r="D819" s="182" t="n">
        <v>4559.4</v>
      </c>
      <c r="E819" s="182" t="n">
        <v>4598.73759</v>
      </c>
      <c r="F819" s="182" t="n">
        <v>4558.9607</v>
      </c>
      <c r="G819" s="182" t="n">
        <v>4562.01487</v>
      </c>
      <c r="H819" s="182" t="n">
        <v>0</v>
      </c>
      <c r="I819" s="182" t="n">
        <v>817</v>
      </c>
      <c r="J819" s="182" t="n">
        <v>-63.4007</v>
      </c>
      <c r="K819" s="182" t="n">
        <v>-39.3376</v>
      </c>
    </row>
    <row r="820" ht="15" customHeight="1" s="28">
      <c r="A820" s="181" t="n">
        <v>1777465802</v>
      </c>
      <c r="B820" s="181" t="inlineStr">
        <is>
          <t>XAUUSD</t>
        </is>
      </c>
      <c r="C820" s="181" t="inlineStr">
        <is>
          <t>M15</t>
        </is>
      </c>
      <c r="D820" s="181" t="n">
        <v>4557.62</v>
      </c>
      <c r="E820" s="181" t="n">
        <v>4598.46998</v>
      </c>
      <c r="F820" s="181" t="n">
        <v>4553.43356</v>
      </c>
      <c r="G820" s="181" t="n">
        <v>4557.72422</v>
      </c>
      <c r="H820" s="181" t="n">
        <v>0</v>
      </c>
      <c r="I820" s="181" t="n">
        <v>818</v>
      </c>
      <c r="J820" s="181" t="n">
        <v>-64.9268</v>
      </c>
      <c r="K820" s="181" t="n">
        <v>-40.85</v>
      </c>
    </row>
    <row r="821" ht="15" customHeight="1" s="28">
      <c r="A821" s="182" t="n">
        <v>1777466702</v>
      </c>
      <c r="B821" s="182" t="inlineStr">
        <is>
          <t>XAUUSD</t>
        </is>
      </c>
      <c r="C821" s="182" t="inlineStr">
        <is>
          <t>M15</t>
        </is>
      </c>
      <c r="D821" s="182" t="n">
        <v>4544.9</v>
      </c>
      <c r="E821" s="182" t="n">
        <v>4598.20238</v>
      </c>
      <c r="F821" s="182" t="n">
        <v>4547.01485</v>
      </c>
      <c r="G821" s="182" t="n">
        <v>4552.36953</v>
      </c>
      <c r="H821" s="182" t="n">
        <v>0</v>
      </c>
      <c r="I821" s="182" t="n">
        <v>819</v>
      </c>
      <c r="J821" s="182" t="n">
        <v>-77.3929</v>
      </c>
      <c r="K821" s="182" t="n">
        <v>-53.3024</v>
      </c>
    </row>
    <row r="822" ht="15" customHeight="1" s="28">
      <c r="A822" s="181" t="n">
        <v>1777467602</v>
      </c>
      <c r="B822" s="181" t="inlineStr">
        <is>
          <t>XAUUSD</t>
        </is>
      </c>
      <c r="C822" s="181" t="inlineStr">
        <is>
          <t>M15</t>
        </is>
      </c>
      <c r="D822" s="181" t="n">
        <v>4549.8</v>
      </c>
      <c r="E822" s="181" t="n">
        <v>4597.93477</v>
      </c>
      <c r="F822" s="181" t="n">
        <v>4540.52002</v>
      </c>
      <c r="G822" s="181" t="n">
        <v>4546.44477</v>
      </c>
      <c r="H822" s="181" t="n">
        <v>0</v>
      </c>
      <c r="I822" s="181" t="n">
        <v>820</v>
      </c>
      <c r="J822" s="181" t="n">
        <v>-72.239</v>
      </c>
      <c r="K822" s="181" t="n">
        <v>-48.1348</v>
      </c>
    </row>
    <row r="823" ht="15" customHeight="1" s="28">
      <c r="A823" s="182" t="n">
        <v>1777468502</v>
      </c>
      <c r="B823" s="182" t="inlineStr">
        <is>
          <t>XAUUSD</t>
        </is>
      </c>
      <c r="C823" s="182" t="inlineStr">
        <is>
          <t>M15</t>
        </is>
      </c>
      <c r="D823" s="182" t="n">
        <v>4537.82</v>
      </c>
      <c r="E823" s="182" t="n">
        <v>4597.66717</v>
      </c>
      <c r="F823" s="182" t="n">
        <v>4534.37601</v>
      </c>
      <c r="G823" s="182" t="n">
        <v>4540.41039</v>
      </c>
      <c r="H823" s="182" t="n">
        <v>0</v>
      </c>
      <c r="I823" s="182" t="n">
        <v>821</v>
      </c>
      <c r="J823" s="182" t="n">
        <v>-83.96510000000001</v>
      </c>
      <c r="K823" s="182" t="n">
        <v>-59.8472</v>
      </c>
    </row>
    <row r="824" ht="15" customHeight="1" s="28">
      <c r="A824" s="181" t="n">
        <v>1777469402</v>
      </c>
      <c r="B824" s="181" t="inlineStr">
        <is>
          <t>XAUUSD</t>
        </is>
      </c>
      <c r="C824" s="181" t="inlineStr">
        <is>
          <t>M15</t>
        </is>
      </c>
      <c r="D824" s="181" t="n">
        <v>4514.81</v>
      </c>
      <c r="E824" s="181" t="n">
        <v>4597.39957</v>
      </c>
      <c r="F824" s="181" t="n">
        <v>4529.49932</v>
      </c>
      <c r="G824" s="181" t="n">
        <v>4534.95486</v>
      </c>
      <c r="H824" s="181" t="n">
        <v>0</v>
      </c>
      <c r="I824" s="181" t="n">
        <v>822</v>
      </c>
      <c r="J824" s="181" t="n">
        <v>-106.7212</v>
      </c>
      <c r="K824" s="181" t="n">
        <v>-82.5896</v>
      </c>
    </row>
    <row r="825" ht="15" customHeight="1" s="28">
      <c r="A825" s="182" t="n">
        <v>1777470302</v>
      </c>
      <c r="B825" s="182" t="inlineStr">
        <is>
          <t>XAUUSD</t>
        </is>
      </c>
      <c r="C825" s="182" t="inlineStr">
        <is>
          <t>M15</t>
        </is>
      </c>
      <c r="D825" s="182" t="n">
        <v>4521.71</v>
      </c>
      <c r="E825" s="182" t="n">
        <v>4597.13196</v>
      </c>
      <c r="F825" s="182" t="n">
        <v>4526.96404</v>
      </c>
      <c r="G825" s="182" t="n">
        <v>4530.95945</v>
      </c>
      <c r="H825" s="182" t="n">
        <v>0</v>
      </c>
      <c r="I825" s="182" t="n">
        <v>823</v>
      </c>
      <c r="J825" s="182" t="n">
        <v>-99.5673</v>
      </c>
      <c r="K825" s="182" t="n">
        <v>-75.422</v>
      </c>
    </row>
    <row r="826" ht="15" customHeight="1" s="28">
      <c r="A826" s="181" t="n">
        <v>1777471202</v>
      </c>
      <c r="B826" s="181" t="inlineStr">
        <is>
          <t>XAUUSD</t>
        </is>
      </c>
      <c r="C826" s="181" t="inlineStr">
        <is>
          <t>M15</t>
        </is>
      </c>
      <c r="D826" s="181" t="n">
        <v>4526.15</v>
      </c>
      <c r="E826" s="181" t="n">
        <v>4596.86436</v>
      </c>
      <c r="F826" s="181" t="n">
        <v>4526.75464</v>
      </c>
      <c r="G826" s="181" t="n">
        <v>4528.85705</v>
      </c>
      <c r="H826" s="181" t="n">
        <v>0</v>
      </c>
      <c r="I826" s="181" t="n">
        <v>824</v>
      </c>
      <c r="J826" s="181" t="n">
        <v>-94.8734</v>
      </c>
      <c r="K826" s="181" t="n">
        <v>-70.7144</v>
      </c>
    </row>
    <row r="827" ht="15" customHeight="1" s="28">
      <c r="A827" s="182" t="n">
        <v>1777472102</v>
      </c>
      <c r="B827" s="182" t="inlineStr">
        <is>
          <t>XAUUSD</t>
        </is>
      </c>
      <c r="C827" s="182" t="inlineStr">
        <is>
          <t>M15</t>
        </is>
      </c>
      <c r="D827" s="182" t="n">
        <v>4533.2</v>
      </c>
      <c r="E827" s="182" t="n">
        <v>4596.59675</v>
      </c>
      <c r="F827" s="182" t="n">
        <v>4528.6334</v>
      </c>
      <c r="G827" s="182" t="n">
        <v>4528.74522</v>
      </c>
      <c r="H827" s="182" t="n">
        <v>0</v>
      </c>
      <c r="I827" s="182" t="n">
        <v>825</v>
      </c>
      <c r="J827" s="182" t="n">
        <v>-87.56950000000001</v>
      </c>
      <c r="K827" s="182" t="n">
        <v>-63.3967</v>
      </c>
    </row>
    <row r="828" ht="15" customHeight="1" s="28">
      <c r="A828" s="181" t="n">
        <v>1777473002</v>
      </c>
      <c r="B828" s="181" t="inlineStr">
        <is>
          <t>XAUUSD</t>
        </is>
      </c>
      <c r="C828" s="181" t="inlineStr">
        <is>
          <t>M15</t>
        </is>
      </c>
      <c r="D828" s="181" t="n">
        <v>4538.69</v>
      </c>
      <c r="E828" s="181" t="n">
        <v>4596.32915</v>
      </c>
      <c r="F828" s="181" t="n">
        <v>4532.06776</v>
      </c>
      <c r="G828" s="181" t="n">
        <v>4530.40649</v>
      </c>
      <c r="H828" s="181" t="n">
        <v>1</v>
      </c>
      <c r="I828" s="181" t="n">
        <v>826</v>
      </c>
      <c r="J828" s="181" t="n">
        <v>-81.82559999999999</v>
      </c>
      <c r="K828" s="181" t="n">
        <v>-57.6391</v>
      </c>
    </row>
    <row r="829" ht="15" customHeight="1" s="28">
      <c r="A829" s="182" t="n">
        <v>1777473902</v>
      </c>
      <c r="B829" s="182" t="inlineStr">
        <is>
          <t>XAUUSD</t>
        </is>
      </c>
      <c r="C829" s="182" t="inlineStr">
        <is>
          <t>M15</t>
        </is>
      </c>
      <c r="D829" s="182" t="n">
        <v>4539.25</v>
      </c>
      <c r="E829" s="182" t="n">
        <v>4596.06155</v>
      </c>
      <c r="F829" s="182" t="n">
        <v>4536.46429</v>
      </c>
      <c r="G829" s="182" t="n">
        <v>4533.43539</v>
      </c>
      <c r="H829" s="182" t="n">
        <v>0</v>
      </c>
      <c r="I829" s="182" t="n">
        <v>827</v>
      </c>
      <c r="J829" s="182" t="n">
        <v>-81.0117</v>
      </c>
      <c r="K829" s="182" t="n">
        <v>-56.8116</v>
      </c>
    </row>
    <row r="830" ht="15" customHeight="1" s="28">
      <c r="A830" s="181" t="n">
        <v>1777474802</v>
      </c>
      <c r="B830" s="181" t="inlineStr">
        <is>
          <t>XAUUSD</t>
        </is>
      </c>
      <c r="C830" s="181" t="inlineStr">
        <is>
          <t>M15</t>
        </is>
      </c>
      <c r="D830" s="181" t="n">
        <v>4538.08</v>
      </c>
      <c r="E830" s="181" t="n">
        <v>4595.79394</v>
      </c>
      <c r="F830" s="181" t="n">
        <v>4541.33113</v>
      </c>
      <c r="G830" s="181" t="n">
        <v>4537.38326</v>
      </c>
      <c r="H830" s="181" t="n">
        <v>0</v>
      </c>
      <c r="I830" s="181" t="n">
        <v>828</v>
      </c>
      <c r="J830" s="181" t="n">
        <v>-81.9278</v>
      </c>
      <c r="K830" s="181" t="n">
        <v>-57.7139</v>
      </c>
    </row>
    <row r="831" ht="15" customHeight="1" s="28">
      <c r="A831" s="182" t="n">
        <v>1777475702</v>
      </c>
      <c r="B831" s="182" t="inlineStr">
        <is>
          <t>XAUUSD</t>
        </is>
      </c>
      <c r="C831" s="182" t="inlineStr">
        <is>
          <t>M15</t>
        </is>
      </c>
      <c r="D831" s="182" t="n">
        <v>4543.61</v>
      </c>
      <c r="E831" s="182" t="n">
        <v>4595.52634</v>
      </c>
      <c r="F831" s="182" t="n">
        <v>4546.2278</v>
      </c>
      <c r="G831" s="182" t="n">
        <v>4541.80553</v>
      </c>
      <c r="H831" s="182" t="n">
        <v>0</v>
      </c>
      <c r="I831" s="182" t="n">
        <v>829</v>
      </c>
      <c r="J831" s="182" t="n">
        <v>-76.1439</v>
      </c>
      <c r="K831" s="182" t="n">
        <v>-51.9163</v>
      </c>
    </row>
    <row r="832" ht="15" customHeight="1" s="28">
      <c r="A832" s="181" t="n">
        <v>1777476602</v>
      </c>
      <c r="B832" s="181" t="inlineStr">
        <is>
          <t>XAUUSD</t>
        </is>
      </c>
      <c r="C832" s="181" t="inlineStr">
        <is>
          <t>M15</t>
        </is>
      </c>
      <c r="D832" s="181" t="n">
        <v>4553.17</v>
      </c>
      <c r="E832" s="181" t="n">
        <v>4595.25873</v>
      </c>
      <c r="F832" s="181" t="n">
        <v>4550.55587</v>
      </c>
      <c r="G832" s="181" t="n">
        <v>4546.1807</v>
      </c>
      <c r="H832" s="181" t="n">
        <v>0</v>
      </c>
      <c r="I832" s="181" t="n">
        <v>830</v>
      </c>
      <c r="J832" s="181" t="n">
        <v>-66.33</v>
      </c>
      <c r="K832" s="181" t="n">
        <v>-42.0887</v>
      </c>
    </row>
    <row r="833" ht="15" customHeight="1" s="28">
      <c r="A833" s="182" t="n">
        <v>1777477502</v>
      </c>
      <c r="B833" s="182" t="inlineStr">
        <is>
          <t>XAUUSD</t>
        </is>
      </c>
      <c r="C833" s="182" t="inlineStr">
        <is>
          <t>M15</t>
        </is>
      </c>
      <c r="D833" s="182" t="n">
        <v>4547.48</v>
      </c>
      <c r="E833" s="182" t="n">
        <v>4594.99113</v>
      </c>
      <c r="F833" s="182" t="n">
        <v>4553.70883</v>
      </c>
      <c r="G833" s="182" t="n">
        <v>4549.94477</v>
      </c>
      <c r="H833" s="182" t="n">
        <v>0</v>
      </c>
      <c r="I833" s="182" t="n">
        <v>831</v>
      </c>
      <c r="J833" s="182" t="n">
        <v>-71.76609999999999</v>
      </c>
      <c r="K833" s="182" t="n">
        <v>-47.5111</v>
      </c>
    </row>
    <row r="834" ht="15" customHeight="1" s="28">
      <c r="A834" s="181" t="n">
        <v>1777478402</v>
      </c>
      <c r="B834" s="181" t="inlineStr">
        <is>
          <t>XAUUSD</t>
        </is>
      </c>
      <c r="C834" s="181" t="inlineStr">
        <is>
          <t>M15</t>
        </is>
      </c>
      <c r="D834" s="181" t="n">
        <v>4559.1</v>
      </c>
      <c r="E834" s="181" t="n">
        <v>4594.72352</v>
      </c>
      <c r="F834" s="181" t="n">
        <v>4555.59548</v>
      </c>
      <c r="G834" s="181" t="n">
        <v>4552.77012</v>
      </c>
      <c r="H834" s="181" t="n">
        <v>0</v>
      </c>
      <c r="I834" s="181" t="n">
        <v>832</v>
      </c>
      <c r="J834" s="181" t="n">
        <v>-59.8922</v>
      </c>
      <c r="K834" s="181" t="n">
        <v>-35.6235</v>
      </c>
    </row>
    <row r="835" ht="15" customHeight="1" s="28">
      <c r="A835" s="182" t="n">
        <v>1777479302</v>
      </c>
      <c r="B835" s="182" t="inlineStr">
        <is>
          <t>XAUUSD</t>
        </is>
      </c>
      <c r="C835" s="182" t="inlineStr">
        <is>
          <t>M15</t>
        </is>
      </c>
      <c r="D835" s="182" t="n">
        <v>4560.23</v>
      </c>
      <c r="E835" s="182" t="n">
        <v>4594.45592</v>
      </c>
      <c r="F835" s="182" t="n">
        <v>4555.7869</v>
      </c>
      <c r="G835" s="182" t="n">
        <v>4554.27851</v>
      </c>
      <c r="H835" s="182" t="n">
        <v>0</v>
      </c>
      <c r="I835" s="182" t="n">
        <v>833</v>
      </c>
      <c r="J835" s="182" t="n">
        <v>-58.5083</v>
      </c>
      <c r="K835" s="182" t="n">
        <v>-34.2259</v>
      </c>
    </row>
    <row r="836" ht="15" customHeight="1" s="28">
      <c r="A836" s="181" t="n">
        <v>1777480202</v>
      </c>
      <c r="B836" s="181" t="inlineStr">
        <is>
          <t>XAUUSD</t>
        </is>
      </c>
      <c r="C836" s="181" t="inlineStr">
        <is>
          <t>M15</t>
        </is>
      </c>
      <c r="D836" s="181" t="n">
        <v>4550.51</v>
      </c>
      <c r="E836" s="181" t="n">
        <v>4594.18832</v>
      </c>
      <c r="F836" s="181" t="n">
        <v>4554.30816</v>
      </c>
      <c r="G836" s="181" t="n">
        <v>4554.29334</v>
      </c>
      <c r="H836" s="181" t="n">
        <v>0</v>
      </c>
      <c r="I836" s="181" t="n">
        <v>834</v>
      </c>
      <c r="J836" s="181" t="n">
        <v>-67.9744</v>
      </c>
      <c r="K836" s="181" t="n">
        <v>-43.6783</v>
      </c>
    </row>
    <row r="837" ht="15" customHeight="1" s="28">
      <c r="A837" s="182" t="n">
        <v>1777481102</v>
      </c>
      <c r="B837" s="182" t="inlineStr">
        <is>
          <t>XAUUSD</t>
        </is>
      </c>
      <c r="C837" s="182" t="inlineStr">
        <is>
          <t>M15</t>
        </is>
      </c>
      <c r="D837" s="182" t="n">
        <v>4545.36</v>
      </c>
      <c r="E837" s="182" t="n">
        <v>4593.92071</v>
      </c>
      <c r="F837" s="182" t="n">
        <v>4551.6611</v>
      </c>
      <c r="G837" s="182" t="n">
        <v>4552.97722</v>
      </c>
      <c r="H837" s="182" t="n">
        <v>1</v>
      </c>
      <c r="I837" s="182" t="n">
        <v>835</v>
      </c>
      <c r="J837" s="182" t="n">
        <v>-72.87050000000001</v>
      </c>
      <c r="K837" s="182" t="n">
        <v>-48.5607</v>
      </c>
    </row>
    <row r="838" ht="15" customHeight="1" s="28">
      <c r="A838" s="181" t="n">
        <v>1777482002</v>
      </c>
      <c r="B838" s="181" t="inlineStr">
        <is>
          <t>XAUUSD</t>
        </is>
      </c>
      <c r="C838" s="181" t="inlineStr">
        <is>
          <t>M15</t>
        </is>
      </c>
      <c r="D838" s="181" t="n">
        <v>4550.68</v>
      </c>
      <c r="E838" s="181" t="n">
        <v>4593.65311</v>
      </c>
      <c r="F838" s="181" t="n">
        <v>4548.32138</v>
      </c>
      <c r="G838" s="181" t="n">
        <v>4550.6493</v>
      </c>
      <c r="H838" s="181" t="n">
        <v>0</v>
      </c>
      <c r="I838" s="181" t="n">
        <v>836</v>
      </c>
      <c r="J838" s="181" t="n">
        <v>-67.2966</v>
      </c>
      <c r="K838" s="181" t="n">
        <v>-42.9731</v>
      </c>
    </row>
    <row r="839" ht="15" customHeight="1" s="28">
      <c r="A839" s="182" t="n">
        <v>1777482902</v>
      </c>
      <c r="B839" s="182" t="inlineStr">
        <is>
          <t>XAUUSD</t>
        </is>
      </c>
      <c r="C839" s="182" t="inlineStr">
        <is>
          <t>M15</t>
        </is>
      </c>
      <c r="D839" s="182" t="n">
        <v>4547.23</v>
      </c>
      <c r="E839" s="182" t="n">
        <v>4593.3855</v>
      </c>
      <c r="F839" s="182" t="n">
        <v>4544.54776</v>
      </c>
      <c r="G839" s="182" t="n">
        <v>4547.59853</v>
      </c>
      <c r="H839" s="182" t="n">
        <v>0</v>
      </c>
      <c r="I839" s="182" t="n">
        <v>837</v>
      </c>
      <c r="J839" s="182" t="n">
        <v>-70.4927</v>
      </c>
      <c r="K839" s="182" t="n">
        <v>-46.1555</v>
      </c>
    </row>
    <row r="840" ht="15" customHeight="1" s="28">
      <c r="A840" s="181" t="n">
        <v>1777483802</v>
      </c>
      <c r="B840" s="181" t="inlineStr">
        <is>
          <t>XAUUSD</t>
        </is>
      </c>
      <c r="C840" s="181" t="inlineStr">
        <is>
          <t>M15</t>
        </is>
      </c>
      <c r="D840" s="181" t="n">
        <v>4544.75</v>
      </c>
      <c r="E840" s="181" t="n">
        <v>4593.1179</v>
      </c>
      <c r="F840" s="181" t="n">
        <v>4540.83178</v>
      </c>
      <c r="G840" s="181" t="n">
        <v>4544.21516</v>
      </c>
      <c r="H840" s="181" t="n">
        <v>0</v>
      </c>
      <c r="I840" s="181" t="n">
        <v>838</v>
      </c>
      <c r="J840" s="181" t="n">
        <v>-72.7188</v>
      </c>
      <c r="K840" s="181" t="n">
        <v>-48.3679</v>
      </c>
    </row>
    <row r="841" ht="15" customHeight="1" s="28">
      <c r="A841" s="182" t="n">
        <v>1777484702</v>
      </c>
      <c r="B841" s="182" t="inlineStr">
        <is>
          <t>XAUUSD</t>
        </is>
      </c>
      <c r="C841" s="182" t="inlineStr">
        <is>
          <t>M15</t>
        </is>
      </c>
      <c r="D841" s="182" t="n">
        <v>4547.33</v>
      </c>
      <c r="E841" s="182" t="n">
        <v>4592.8503</v>
      </c>
      <c r="F841" s="182" t="n">
        <v>4537.58408</v>
      </c>
      <c r="G841" s="182" t="n">
        <v>4540.89962</v>
      </c>
      <c r="H841" s="182" t="n">
        <v>0</v>
      </c>
      <c r="I841" s="182" t="n">
        <v>839</v>
      </c>
      <c r="J841" s="182" t="n">
        <v>-69.88500000000001</v>
      </c>
      <c r="K841" s="182" t="n">
        <v>-45.5203</v>
      </c>
    </row>
    <row r="842" ht="15" customHeight="1" s="28">
      <c r="A842" s="181" t="n">
        <v>1777485602</v>
      </c>
      <c r="B842" s="181" t="inlineStr">
        <is>
          <t>XAUUSD</t>
        </is>
      </c>
      <c r="C842" s="181" t="inlineStr">
        <is>
          <t>M15</t>
        </is>
      </c>
      <c r="D842" s="181" t="n">
        <v>4525.75</v>
      </c>
      <c r="E842" s="181" t="n">
        <v>4592.58269</v>
      </c>
      <c r="F842" s="181" t="n">
        <v>4535.04299</v>
      </c>
      <c r="G842" s="181" t="n">
        <v>4537.97131</v>
      </c>
      <c r="H842" s="181" t="n">
        <v>0</v>
      </c>
      <c r="I842" s="181" t="n">
        <v>840</v>
      </c>
      <c r="J842" s="181" t="n">
        <v>-91.2111</v>
      </c>
      <c r="K842" s="181" t="n">
        <v>-66.8327</v>
      </c>
    </row>
    <row r="843" ht="15" customHeight="1" s="28">
      <c r="A843" s="182" t="n">
        <v>1777486502</v>
      </c>
      <c r="B843" s="182" t="inlineStr">
        <is>
          <t>XAUUSD</t>
        </is>
      </c>
      <c r="C843" s="182" t="inlineStr">
        <is>
          <t>M15</t>
        </is>
      </c>
      <c r="D843" s="182" t="n">
        <v>4532.95</v>
      </c>
      <c r="E843" s="182" t="n">
        <v>4592.31509</v>
      </c>
      <c r="F843" s="182" t="n">
        <v>4534.01298</v>
      </c>
      <c r="G843" s="182" t="n">
        <v>4535.99214</v>
      </c>
      <c r="H843" s="182" t="n">
        <v>0</v>
      </c>
      <c r="I843" s="182" t="n">
        <v>841</v>
      </c>
      <c r="J843" s="182" t="n">
        <v>-83.7572</v>
      </c>
      <c r="K843" s="182" t="n">
        <v>-59.3651</v>
      </c>
    </row>
    <row r="844" ht="15" customHeight="1" s="28">
      <c r="A844" s="181" t="n">
        <v>1777487402</v>
      </c>
      <c r="B844" s="181" t="inlineStr">
        <is>
          <t>XAUUSD</t>
        </is>
      </c>
      <c r="C844" s="181" t="inlineStr">
        <is>
          <t>M15</t>
        </is>
      </c>
      <c r="D844" s="181" t="n">
        <v>4520.81</v>
      </c>
      <c r="E844" s="181" t="n">
        <v>4592.04748</v>
      </c>
      <c r="F844" s="181" t="n">
        <v>4534.27835</v>
      </c>
      <c r="G844" s="181" t="n">
        <v>4535.13525</v>
      </c>
      <c r="H844" s="181" t="n">
        <v>0</v>
      </c>
      <c r="I844" s="181" t="n">
        <v>842</v>
      </c>
      <c r="J844" s="181" t="n">
        <v>-95.6433</v>
      </c>
      <c r="K844" s="181" t="n">
        <v>-71.2375</v>
      </c>
    </row>
    <row r="845" ht="15" customHeight="1" s="28">
      <c r="A845" s="182" t="n">
        <v>1777488302</v>
      </c>
      <c r="B845" s="182" t="inlineStr">
        <is>
          <t>XAUUSD</t>
        </is>
      </c>
      <c r="C845" s="182" t="inlineStr">
        <is>
          <t>M15</t>
        </is>
      </c>
      <c r="D845" s="182" t="n">
        <v>4538.19</v>
      </c>
      <c r="E845" s="182" t="n">
        <v>4591.77988</v>
      </c>
      <c r="F845" s="182" t="n">
        <v>4535.96113</v>
      </c>
      <c r="G845" s="182" t="n">
        <v>4535.54819</v>
      </c>
      <c r="H845" s="182" t="n">
        <v>1</v>
      </c>
      <c r="I845" s="182" t="n">
        <v>843</v>
      </c>
      <c r="J845" s="182" t="n">
        <v>-78.0094</v>
      </c>
      <c r="K845" s="182" t="n">
        <v>-53.5899</v>
      </c>
    </row>
    <row r="846" ht="15" customHeight="1" s="28">
      <c r="A846" s="181" t="n">
        <v>1777489202</v>
      </c>
      <c r="B846" s="181" t="inlineStr">
        <is>
          <t>XAUUSD</t>
        </is>
      </c>
      <c r="C846" s="181" t="inlineStr">
        <is>
          <t>M15</t>
        </is>
      </c>
      <c r="D846" s="181" t="n">
        <v>4547.72</v>
      </c>
      <c r="E846" s="181" t="n">
        <v>4591.51228</v>
      </c>
      <c r="F846" s="181" t="n">
        <v>4538.22619</v>
      </c>
      <c r="G846" s="181" t="n">
        <v>4536.88719</v>
      </c>
      <c r="H846" s="181" t="n">
        <v>0</v>
      </c>
      <c r="I846" s="181" t="n">
        <v>844</v>
      </c>
      <c r="J846" s="181" t="n">
        <v>-68.2255</v>
      </c>
      <c r="K846" s="181" t="n">
        <v>-43.7923</v>
      </c>
    </row>
    <row r="847" ht="15" customHeight="1" s="28">
      <c r="A847" s="182" t="n">
        <v>1777490102</v>
      </c>
      <c r="B847" s="182" t="inlineStr">
        <is>
          <t>XAUUSD</t>
        </is>
      </c>
      <c r="C847" s="182" t="inlineStr">
        <is>
          <t>M15</t>
        </is>
      </c>
      <c r="D847" s="182" t="n">
        <v>4542.84</v>
      </c>
      <c r="E847" s="182" t="n">
        <v>4591.24467</v>
      </c>
      <c r="F847" s="182" t="n">
        <v>4540.41526</v>
      </c>
      <c r="G847" s="182" t="n">
        <v>4538.65123</v>
      </c>
      <c r="H847" s="182" t="n">
        <v>0</v>
      </c>
      <c r="I847" s="182" t="n">
        <v>845</v>
      </c>
      <c r="J847" s="182" t="n">
        <v>-72.8516</v>
      </c>
      <c r="K847" s="182" t="n">
        <v>-48.4047</v>
      </c>
    </row>
    <row r="848" ht="15" customHeight="1" s="28">
      <c r="A848" s="181" t="n">
        <v>1777491002</v>
      </c>
      <c r="B848" s="181" t="inlineStr">
        <is>
          <t>XAUUSD</t>
        </is>
      </c>
      <c r="C848" s="181" t="inlineStr">
        <is>
          <t>M15</t>
        </is>
      </c>
      <c r="D848" s="181" t="n">
        <v>4539.61</v>
      </c>
      <c r="E848" s="181" t="n">
        <v>4590.97707</v>
      </c>
      <c r="F848" s="181" t="n">
        <v>4542.37717</v>
      </c>
      <c r="G848" s="181" t="n">
        <v>4540.5142</v>
      </c>
      <c r="H848" s="181" t="n">
        <v>0</v>
      </c>
      <c r="I848" s="181" t="n">
        <v>846</v>
      </c>
      <c r="J848" s="181" t="n">
        <v>-75.82769999999999</v>
      </c>
      <c r="K848" s="181" t="n">
        <v>-51.3671</v>
      </c>
    </row>
    <row r="849" ht="15" customHeight="1" s="28">
      <c r="A849" s="182" t="n">
        <v>1777491902</v>
      </c>
      <c r="B849" s="182" t="inlineStr">
        <is>
          <t>XAUUSD</t>
        </is>
      </c>
      <c r="C849" s="182" t="inlineStr">
        <is>
          <t>M15</t>
        </is>
      </c>
      <c r="D849" s="182" t="n">
        <v>4547.05</v>
      </c>
      <c r="E849" s="182" t="n">
        <v>4590.70946</v>
      </c>
      <c r="F849" s="182" t="n">
        <v>4544.01563</v>
      </c>
      <c r="G849" s="182" t="n">
        <v>4542.26491</v>
      </c>
      <c r="H849" s="182" t="n">
        <v>0</v>
      </c>
      <c r="I849" s="182" t="n">
        <v>847</v>
      </c>
      <c r="J849" s="182" t="n">
        <v>-68.13379999999999</v>
      </c>
      <c r="K849" s="182" t="n">
        <v>-43.6595</v>
      </c>
    </row>
    <row r="850" ht="15" customHeight="1" s="28">
      <c r="A850" s="181" t="n">
        <v>1777492802</v>
      </c>
      <c r="B850" s="181" t="inlineStr">
        <is>
          <t>XAUUSD</t>
        </is>
      </c>
      <c r="C850" s="181" t="inlineStr">
        <is>
          <t>M15</t>
        </is>
      </c>
      <c r="D850" s="181" t="n">
        <v>4546.25</v>
      </c>
      <c r="E850" s="181" t="n">
        <v>4590.44186</v>
      </c>
      <c r="F850" s="181" t="n">
        <v>4545.08305</v>
      </c>
      <c r="G850" s="181" t="n">
        <v>4543.67398</v>
      </c>
      <c r="H850" s="181" t="n">
        <v>0</v>
      </c>
      <c r="I850" s="181" t="n">
        <v>848</v>
      </c>
      <c r="J850" s="181" t="n">
        <v>-68.6799</v>
      </c>
      <c r="K850" s="181" t="n">
        <v>-44.1919</v>
      </c>
    </row>
    <row r="851" ht="15" customHeight="1" s="28">
      <c r="A851" s="182" t="n">
        <v>1777493702</v>
      </c>
      <c r="B851" s="182" t="inlineStr">
        <is>
          <t>XAUUSD</t>
        </is>
      </c>
      <c r="C851" s="182" t="inlineStr">
        <is>
          <t>M15</t>
        </is>
      </c>
      <c r="D851" s="182" t="n">
        <v>4543.25</v>
      </c>
      <c r="E851" s="182" t="n">
        <v>4590.17426</v>
      </c>
      <c r="F851" s="182" t="n">
        <v>4545.66618</v>
      </c>
      <c r="G851" s="182" t="n">
        <v>4544.67008</v>
      </c>
      <c r="H851" s="182" t="n">
        <v>0</v>
      </c>
      <c r="I851" s="182" t="n">
        <v>849</v>
      </c>
      <c r="J851" s="182" t="n">
        <v>-71.426</v>
      </c>
      <c r="K851" s="182" t="n">
        <v>-46.9243</v>
      </c>
    </row>
    <row r="852" ht="15" customHeight="1" s="28">
      <c r="A852" s="181" t="n">
        <v>1777494602</v>
      </c>
      <c r="B852" s="181" t="inlineStr">
        <is>
          <t>XAUUSD</t>
        </is>
      </c>
      <c r="C852" s="181" t="inlineStr">
        <is>
          <t>M15</t>
        </is>
      </c>
      <c r="D852" s="181" t="n">
        <v>4543.79</v>
      </c>
      <c r="E852" s="181" t="n">
        <v>4589.90665</v>
      </c>
      <c r="F852" s="181" t="n">
        <v>4546.02341</v>
      </c>
      <c r="G852" s="181" t="n">
        <v>4545.34675</v>
      </c>
      <c r="H852" s="181" t="n">
        <v>0</v>
      </c>
      <c r="I852" s="181" t="n">
        <v>850</v>
      </c>
      <c r="J852" s="181" t="n">
        <v>-70.63209999999999</v>
      </c>
      <c r="K852" s="181" t="n">
        <v>-46.1166</v>
      </c>
    </row>
    <row r="853" ht="15" customHeight="1" s="28">
      <c r="A853" s="182" t="n">
        <v>1777495502</v>
      </c>
      <c r="B853" s="182" t="inlineStr">
        <is>
          <t>XAUUSD</t>
        </is>
      </c>
      <c r="C853" s="182" t="inlineStr">
        <is>
          <t>M15</t>
        </is>
      </c>
      <c r="D853" s="182" t="n">
        <v>4543.57</v>
      </c>
      <c r="E853" s="182" t="n">
        <v>4589.63905</v>
      </c>
      <c r="F853" s="182" t="n">
        <v>4546.30255</v>
      </c>
      <c r="G853" s="182" t="n">
        <v>4545.82465</v>
      </c>
      <c r="H853" s="182" t="n">
        <v>0</v>
      </c>
      <c r="I853" s="182" t="n">
        <v>851</v>
      </c>
      <c r="J853" s="182" t="n">
        <v>-70.59820000000001</v>
      </c>
      <c r="K853" s="182" t="n">
        <v>-46.0691</v>
      </c>
    </row>
    <row r="854" ht="15" customHeight="1" s="28">
      <c r="A854" s="181" t="n">
        <v>1777500002</v>
      </c>
      <c r="B854" s="181" t="inlineStr">
        <is>
          <t>XAUUSD</t>
        </is>
      </c>
      <c r="C854" s="181" t="inlineStr">
        <is>
          <t>M15</t>
        </is>
      </c>
      <c r="D854" s="181" t="n">
        <v>4546.4</v>
      </c>
      <c r="E854" s="181" t="n">
        <v>4589.37144</v>
      </c>
      <c r="F854" s="181" t="n">
        <v>4546.72227</v>
      </c>
      <c r="G854" s="181" t="n">
        <v>4546.27346</v>
      </c>
      <c r="H854" s="181" t="n">
        <v>0</v>
      </c>
      <c r="I854" s="181" t="n">
        <v>852</v>
      </c>
      <c r="J854" s="181" t="n">
        <v>-67.51430000000001</v>
      </c>
      <c r="K854" s="181" t="n">
        <v>-42.9714</v>
      </c>
    </row>
    <row r="855" ht="15" customHeight="1" s="28">
      <c r="A855" s="182" t="n">
        <v>1777500902</v>
      </c>
      <c r="B855" s="182" t="inlineStr">
        <is>
          <t>XAUUSD</t>
        </is>
      </c>
      <c r="C855" s="182" t="inlineStr">
        <is>
          <t>M15</t>
        </is>
      </c>
      <c r="D855" s="182" t="n">
        <v>4549.14</v>
      </c>
      <c r="E855" s="182" t="n">
        <v>4589.10384</v>
      </c>
      <c r="F855" s="182" t="n">
        <v>4547.40233</v>
      </c>
      <c r="G855" s="182" t="n">
        <v>4546.83789</v>
      </c>
      <c r="H855" s="182" t="n">
        <v>0</v>
      </c>
      <c r="I855" s="182" t="n">
        <v>853</v>
      </c>
      <c r="J855" s="182" t="n">
        <v>-64.5204</v>
      </c>
      <c r="K855" s="182" t="n">
        <v>-39.9638</v>
      </c>
    </row>
    <row r="856" ht="15" customHeight="1" s="28">
      <c r="A856" s="181" t="n">
        <v>1777501802</v>
      </c>
      <c r="B856" s="181" t="inlineStr">
        <is>
          <t>XAUUSD</t>
        </is>
      </c>
      <c r="C856" s="181" t="inlineStr">
        <is>
          <t>M15</t>
        </is>
      </c>
      <c r="D856" s="181" t="n">
        <v>4548.51</v>
      </c>
      <c r="E856" s="181" t="n">
        <v>4588.83623</v>
      </c>
      <c r="F856" s="181" t="n">
        <v>4548.38375</v>
      </c>
      <c r="G856" s="181" t="n">
        <v>4547.61082</v>
      </c>
      <c r="H856" s="181" t="n">
        <v>0</v>
      </c>
      <c r="I856" s="181" t="n">
        <v>854</v>
      </c>
      <c r="J856" s="181" t="n">
        <v>-64.8965</v>
      </c>
      <c r="K856" s="181" t="n">
        <v>-40.3262</v>
      </c>
    </row>
    <row r="857" ht="15" customHeight="1" s="28">
      <c r="A857" s="182" t="n">
        <v>1777502702</v>
      </c>
      <c r="B857" s="182" t="inlineStr">
        <is>
          <t>XAUUSD</t>
        </is>
      </c>
      <c r="C857" s="182" t="inlineStr">
        <is>
          <t>M15</t>
        </is>
      </c>
      <c r="D857" s="182" t="n">
        <v>4552.08</v>
      </c>
      <c r="E857" s="182" t="n">
        <v>4588.56863</v>
      </c>
      <c r="F857" s="182" t="n">
        <v>4549.74619</v>
      </c>
      <c r="G857" s="182" t="n">
        <v>4548.67851</v>
      </c>
      <c r="H857" s="182" t="n">
        <v>0</v>
      </c>
      <c r="I857" s="182" t="n">
        <v>855</v>
      </c>
      <c r="J857" s="182" t="n">
        <v>-61.0726</v>
      </c>
      <c r="K857" s="182" t="n">
        <v>-36.4886</v>
      </c>
    </row>
    <row r="858" ht="15" customHeight="1" s="28">
      <c r="A858" s="181" t="n">
        <v>1777503602</v>
      </c>
      <c r="B858" s="181" t="inlineStr">
        <is>
          <t>XAUUSD</t>
        </is>
      </c>
      <c r="C858" s="181" t="inlineStr">
        <is>
          <t>M15</t>
        </is>
      </c>
      <c r="D858" s="181" t="n">
        <v>4553.33</v>
      </c>
      <c r="E858" s="181" t="n">
        <v>4588.30103</v>
      </c>
      <c r="F858" s="181" t="n">
        <v>4551.41538</v>
      </c>
      <c r="G858" s="181" t="n">
        <v>4550.04694</v>
      </c>
      <c r="H858" s="181" t="n">
        <v>0</v>
      </c>
      <c r="I858" s="181" t="n">
        <v>856</v>
      </c>
      <c r="J858" s="181" t="n">
        <v>-59.5687</v>
      </c>
      <c r="K858" s="181" t="n">
        <v>-34.971</v>
      </c>
    </row>
    <row r="859" ht="15" customHeight="1" s="28">
      <c r="A859" s="182" t="n">
        <v>1777504502</v>
      </c>
      <c r="B859" s="182" t="inlineStr">
        <is>
          <t>XAUUSD</t>
        </is>
      </c>
      <c r="C859" s="182" t="inlineStr">
        <is>
          <t>M15</t>
        </is>
      </c>
      <c r="D859" s="182" t="n">
        <v>4551.63</v>
      </c>
      <c r="E859" s="182" t="n">
        <v>4588.03342</v>
      </c>
      <c r="F859" s="182" t="n">
        <v>4553.37157</v>
      </c>
      <c r="G859" s="182" t="n">
        <v>4551.70926</v>
      </c>
      <c r="H859" s="182" t="n">
        <v>0</v>
      </c>
      <c r="I859" s="182" t="n">
        <v>857</v>
      </c>
      <c r="J859" s="182" t="n">
        <v>-61.0148</v>
      </c>
      <c r="K859" s="182" t="n">
        <v>-36.4034</v>
      </c>
    </row>
    <row r="860" ht="15" customHeight="1" s="28">
      <c r="A860" s="181" t="n">
        <v>1777505402</v>
      </c>
      <c r="B860" s="181" t="inlineStr">
        <is>
          <t>XAUUSD</t>
        </is>
      </c>
      <c r="C860" s="181" t="inlineStr">
        <is>
          <t>M15</t>
        </is>
      </c>
      <c r="D860" s="181" t="n">
        <v>4554.44</v>
      </c>
      <c r="E860" s="181" t="n">
        <v>4587.76582</v>
      </c>
      <c r="F860" s="181" t="n">
        <v>4555.67977</v>
      </c>
      <c r="G860" s="181" t="n">
        <v>4553.69451</v>
      </c>
      <c r="H860" s="181" t="n">
        <v>0</v>
      </c>
      <c r="I860" s="181" t="n">
        <v>858</v>
      </c>
      <c r="J860" s="181" t="n">
        <v>-57.9509</v>
      </c>
      <c r="K860" s="181" t="n">
        <v>-33.3258</v>
      </c>
    </row>
    <row r="861" ht="15" customHeight="1" s="28">
      <c r="A861" s="182" t="n">
        <v>1777506302</v>
      </c>
      <c r="B861" s="182" t="inlineStr">
        <is>
          <t>XAUUSD</t>
        </is>
      </c>
      <c r="C861" s="182" t="inlineStr">
        <is>
          <t>M15</t>
        </is>
      </c>
      <c r="D861" s="182" t="n">
        <v>4561.66</v>
      </c>
      <c r="E861" s="182" t="n">
        <v>4587.49821</v>
      </c>
      <c r="F861" s="182" t="n">
        <v>4558.31079</v>
      </c>
      <c r="G861" s="182" t="n">
        <v>4556.00265</v>
      </c>
      <c r="H861" s="182" t="n">
        <v>0</v>
      </c>
      <c r="I861" s="182" t="n">
        <v>859</v>
      </c>
      <c r="J861" s="182" t="n">
        <v>-50.477</v>
      </c>
      <c r="K861" s="182" t="n">
        <v>-25.8382</v>
      </c>
    </row>
    <row r="862" ht="15" customHeight="1" s="28">
      <c r="A862" s="181" t="n">
        <v>1777507202</v>
      </c>
      <c r="B862" s="181" t="inlineStr">
        <is>
          <t>XAUUSD</t>
        </is>
      </c>
      <c r="C862" s="181" t="inlineStr">
        <is>
          <t>M15</t>
        </is>
      </c>
      <c r="D862" s="181" t="n">
        <v>4557.93</v>
      </c>
      <c r="E862" s="181" t="n">
        <v>4587.23061</v>
      </c>
      <c r="F862" s="181" t="n">
        <v>4561.09762</v>
      </c>
      <c r="G862" s="181" t="n">
        <v>4558.55014</v>
      </c>
      <c r="H862" s="181" t="n">
        <v>0</v>
      </c>
      <c r="I862" s="181" t="n">
        <v>860</v>
      </c>
      <c r="J862" s="181" t="n">
        <v>-53.9531</v>
      </c>
      <c r="K862" s="181" t="n">
        <v>-29.3006</v>
      </c>
    </row>
    <row r="863" ht="15" customHeight="1" s="28">
      <c r="A863" s="182" t="n">
        <v>1777508102</v>
      </c>
      <c r="B863" s="182" t="inlineStr">
        <is>
          <t>XAUUSD</t>
        </is>
      </c>
      <c r="C863" s="182" t="inlineStr">
        <is>
          <t>M15</t>
        </is>
      </c>
      <c r="D863" s="182" t="n">
        <v>4563.57</v>
      </c>
      <c r="E863" s="182" t="n">
        <v>4586.96301</v>
      </c>
      <c r="F863" s="182" t="n">
        <v>4564.13434</v>
      </c>
      <c r="G863" s="182" t="n">
        <v>4561.34224</v>
      </c>
      <c r="H863" s="182" t="n">
        <v>0</v>
      </c>
      <c r="I863" s="182" t="n">
        <v>861</v>
      </c>
      <c r="J863" s="182" t="n">
        <v>-48.0593</v>
      </c>
      <c r="K863" s="182" t="n">
        <v>-23.393</v>
      </c>
    </row>
    <row r="864" ht="15" customHeight="1" s="28">
      <c r="A864" s="181" t="n">
        <v>1777509002</v>
      </c>
      <c r="B864" s="181" t="inlineStr">
        <is>
          <t>XAUUSD</t>
        </is>
      </c>
      <c r="C864" s="181" t="inlineStr">
        <is>
          <t>M15</t>
        </is>
      </c>
      <c r="D864" s="181" t="n">
        <v>4567.11</v>
      </c>
      <c r="E864" s="181" t="n">
        <v>4586.6954</v>
      </c>
      <c r="F864" s="181" t="n">
        <v>4567.24095</v>
      </c>
      <c r="G864" s="181" t="n">
        <v>4564.29159</v>
      </c>
      <c r="H864" s="181" t="n">
        <v>0</v>
      </c>
      <c r="I864" s="181" t="n">
        <v>862</v>
      </c>
      <c r="J864" s="181" t="n">
        <v>-44.2654</v>
      </c>
      <c r="K864" s="181" t="n">
        <v>-19.5854</v>
      </c>
    </row>
    <row r="865" ht="15" customHeight="1" s="28">
      <c r="A865" s="182" t="n">
        <v>1777509902</v>
      </c>
      <c r="B865" s="182" t="inlineStr">
        <is>
          <t>XAUUSD</t>
        </is>
      </c>
      <c r="C865" s="182" t="inlineStr">
        <is>
          <t>M15</t>
        </is>
      </c>
      <c r="D865" s="182" t="n">
        <v>4569.83</v>
      </c>
      <c r="E865" s="182" t="n">
        <v>4586.4278</v>
      </c>
      <c r="F865" s="182" t="n">
        <v>4570.18189</v>
      </c>
      <c r="G865" s="182" t="n">
        <v>4567.23674</v>
      </c>
      <c r="H865" s="182" t="n">
        <v>0</v>
      </c>
      <c r="I865" s="182" t="n">
        <v>863</v>
      </c>
      <c r="J865" s="182" t="n">
        <v>-41.2915</v>
      </c>
      <c r="K865" s="182" t="n">
        <v>-16.5978</v>
      </c>
    </row>
    <row r="866" ht="15" customHeight="1" s="28">
      <c r="A866" s="181" t="n">
        <v>1777510802</v>
      </c>
      <c r="B866" s="181" t="inlineStr">
        <is>
          <t>XAUUSD</t>
        </is>
      </c>
      <c r="C866" s="181" t="inlineStr">
        <is>
          <t>M15</t>
        </is>
      </c>
      <c r="D866" s="181" t="n">
        <v>4568.52</v>
      </c>
      <c r="E866" s="181" t="n">
        <v>4586.16019</v>
      </c>
      <c r="F866" s="181" t="n">
        <v>4572.76695</v>
      </c>
      <c r="G866" s="181" t="n">
        <v>4570.00184</v>
      </c>
      <c r="H866" s="181" t="n">
        <v>0</v>
      </c>
      <c r="I866" s="181" t="n">
        <v>864</v>
      </c>
      <c r="J866" s="181" t="n">
        <v>-42.3476</v>
      </c>
      <c r="K866" s="181" t="n">
        <v>-17.6402</v>
      </c>
    </row>
    <row r="867" ht="15" customHeight="1" s="28">
      <c r="A867" s="182" t="n">
        <v>1777511702</v>
      </c>
      <c r="B867" s="182" t="inlineStr">
        <is>
          <t>XAUUSD</t>
        </is>
      </c>
      <c r="C867" s="182" t="inlineStr">
        <is>
          <t>M15</t>
        </is>
      </c>
      <c r="D867" s="182" t="n">
        <v>4579.79</v>
      </c>
      <c r="E867" s="182" t="n">
        <v>4585.89259</v>
      </c>
      <c r="F867" s="182" t="n">
        <v>4574.9109</v>
      </c>
      <c r="G867" s="182" t="n">
        <v>4572.45637</v>
      </c>
      <c r="H867" s="182" t="n">
        <v>0</v>
      </c>
      <c r="I867" s="182" t="n">
        <v>865</v>
      </c>
      <c r="J867" s="182" t="n">
        <v>-30.8237</v>
      </c>
      <c r="K867" s="182" t="n">
        <v>-6.1026</v>
      </c>
    </row>
    <row r="868" ht="15" customHeight="1" s="28">
      <c r="A868" s="181" t="n">
        <v>1777512602</v>
      </c>
      <c r="B868" s="181" t="inlineStr">
        <is>
          <t>XAUUSD</t>
        </is>
      </c>
      <c r="C868" s="181" t="inlineStr">
        <is>
          <t>M15</t>
        </is>
      </c>
      <c r="D868" s="181" t="n">
        <v>4576.31</v>
      </c>
      <c r="E868" s="181" t="n">
        <v>4585.62499</v>
      </c>
      <c r="F868" s="181" t="n">
        <v>4576.15334</v>
      </c>
      <c r="G868" s="181" t="n">
        <v>4574.30486</v>
      </c>
      <c r="H868" s="181" t="n">
        <v>0</v>
      </c>
      <c r="I868" s="181" t="n">
        <v>866</v>
      </c>
      <c r="J868" s="181" t="n">
        <v>-34.0498</v>
      </c>
      <c r="K868" s="181" t="n">
        <v>-9.315</v>
      </c>
    </row>
    <row r="869" ht="15" customHeight="1" s="28">
      <c r="A869" s="182" t="n">
        <v>1777513502</v>
      </c>
      <c r="B869" s="182" t="inlineStr">
        <is>
          <t>XAUUSD</t>
        </is>
      </c>
      <c r="C869" s="182" t="inlineStr">
        <is>
          <t>M15</t>
        </is>
      </c>
      <c r="D869" s="182" t="n">
        <v>4579.13</v>
      </c>
      <c r="E869" s="182" t="n">
        <v>4585.35738</v>
      </c>
      <c r="F869" s="182" t="n">
        <v>4576.44131</v>
      </c>
      <c r="G869" s="182" t="n">
        <v>4575.37308</v>
      </c>
      <c r="H869" s="182" t="n">
        <v>0</v>
      </c>
      <c r="I869" s="182" t="n">
        <v>867</v>
      </c>
      <c r="J869" s="182" t="n">
        <v>-30.9759</v>
      </c>
      <c r="K869" s="182" t="n">
        <v>-6.2274</v>
      </c>
    </row>
    <row r="870" ht="15" customHeight="1" s="28">
      <c r="A870" s="181" t="n">
        <v>1777514402</v>
      </c>
      <c r="B870" s="181" t="inlineStr">
        <is>
          <t>XAUUSD</t>
        </is>
      </c>
      <c r="C870" s="181" t="inlineStr">
        <is>
          <t>M15</t>
        </is>
      </c>
      <c r="D870" s="181" t="n">
        <v>4579.74</v>
      </c>
      <c r="E870" s="181" t="n">
        <v>4585.08978</v>
      </c>
      <c r="F870" s="181" t="n">
        <v>4575.62065</v>
      </c>
      <c r="G870" s="181" t="n">
        <v>4575.49687</v>
      </c>
      <c r="H870" s="181" t="n">
        <v>0</v>
      </c>
      <c r="I870" s="181" t="n">
        <v>868</v>
      </c>
      <c r="J870" s="181" t="n">
        <v>-30.112</v>
      </c>
      <c r="K870" s="181" t="n">
        <v>-5.3498</v>
      </c>
    </row>
    <row r="871" ht="15" customHeight="1" s="28">
      <c r="A871" s="182" t="n">
        <v>1777515302</v>
      </c>
      <c r="B871" s="182" t="inlineStr">
        <is>
          <t>XAUUSD</t>
        </is>
      </c>
      <c r="C871" s="182" t="inlineStr">
        <is>
          <t>M15</t>
        </is>
      </c>
      <c r="D871" s="182" t="n">
        <v>4573.13</v>
      </c>
      <c r="E871" s="182" t="n">
        <v>4584.82217</v>
      </c>
      <c r="F871" s="182" t="n">
        <v>4573.70372</v>
      </c>
      <c r="G871" s="182" t="n">
        <v>4574.60029</v>
      </c>
      <c r="H871" s="182" t="n">
        <v>1</v>
      </c>
      <c r="I871" s="182" t="n">
        <v>869</v>
      </c>
      <c r="J871" s="182" t="n">
        <v>-36.4681</v>
      </c>
      <c r="K871" s="182" t="n">
        <v>-11.6922</v>
      </c>
    </row>
    <row r="872" ht="15" customHeight="1" s="28">
      <c r="A872" s="181" t="n">
        <v>1777516202</v>
      </c>
      <c r="B872" s="181" t="inlineStr">
        <is>
          <t>XAUUSD</t>
        </is>
      </c>
      <c r="C872" s="181" t="inlineStr">
        <is>
          <t>M15</t>
        </is>
      </c>
      <c r="D872" s="181" t="n">
        <v>4562.53</v>
      </c>
      <c r="E872" s="181" t="n">
        <v>4584.55457</v>
      </c>
      <c r="F872" s="181" t="n">
        <v>4570.96608</v>
      </c>
      <c r="G872" s="181" t="n">
        <v>4572.78319</v>
      </c>
      <c r="H872" s="181" t="n">
        <v>0</v>
      </c>
      <c r="I872" s="181" t="n">
        <v>870</v>
      </c>
      <c r="J872" s="181" t="n">
        <v>-46.8142</v>
      </c>
      <c r="K872" s="181" t="n">
        <v>-22.0246</v>
      </c>
    </row>
    <row r="873" ht="15" customHeight="1" s="28">
      <c r="A873" s="182" t="n">
        <v>1777517102</v>
      </c>
      <c r="B873" s="182" t="inlineStr">
        <is>
          <t>XAUUSD</t>
        </is>
      </c>
      <c r="C873" s="182" t="inlineStr">
        <is>
          <t>M15</t>
        </is>
      </c>
      <c r="D873" s="182" t="n">
        <v>4565.02</v>
      </c>
      <c r="E873" s="182" t="n">
        <v>4584.28697</v>
      </c>
      <c r="F873" s="182" t="n">
        <v>4567.88808</v>
      </c>
      <c r="G873" s="182" t="n">
        <v>4570.33563</v>
      </c>
      <c r="H873" s="182" t="n">
        <v>0</v>
      </c>
      <c r="I873" s="182" t="n">
        <v>871</v>
      </c>
      <c r="J873" s="182" t="n">
        <v>-44.0703</v>
      </c>
      <c r="K873" s="182" t="n">
        <v>-19.267</v>
      </c>
    </row>
    <row r="874" ht="15" customHeight="1" s="28">
      <c r="A874" s="181" t="n">
        <v>1777518002</v>
      </c>
      <c r="B874" s="181" t="inlineStr">
        <is>
          <t>XAUUSD</t>
        </is>
      </c>
      <c r="C874" s="181" t="inlineStr">
        <is>
          <t>M15</t>
        </is>
      </c>
      <c r="D874" s="181" t="n">
        <v>4564.98</v>
      </c>
      <c r="E874" s="181" t="n">
        <v>4584.01936</v>
      </c>
      <c r="F874" s="181" t="n">
        <v>4564.51586</v>
      </c>
      <c r="G874" s="181" t="n">
        <v>4567.42575</v>
      </c>
      <c r="H874" s="181" t="n">
        <v>0</v>
      </c>
      <c r="I874" s="181" t="n">
        <v>872</v>
      </c>
      <c r="J874" s="181" t="n">
        <v>-43.8564</v>
      </c>
      <c r="K874" s="181" t="n">
        <v>-19.0394</v>
      </c>
    </row>
    <row r="875" ht="15" customHeight="1" s="28">
      <c r="A875" s="182" t="n">
        <v>1777518902</v>
      </c>
      <c r="B875" s="182" t="inlineStr">
        <is>
          <t>XAUUSD</t>
        </is>
      </c>
      <c r="C875" s="182" t="inlineStr">
        <is>
          <t>M15</t>
        </is>
      </c>
      <c r="D875" s="182" t="n">
        <v>4563.32</v>
      </c>
      <c r="E875" s="182" t="n">
        <v>4583.75176</v>
      </c>
      <c r="F875" s="182" t="n">
        <v>4561.02691</v>
      </c>
      <c r="G875" s="182" t="n">
        <v>4564.22633</v>
      </c>
      <c r="H875" s="182" t="n">
        <v>0</v>
      </c>
      <c r="I875" s="182" t="n">
        <v>873</v>
      </c>
      <c r="J875" s="182" t="n">
        <v>-45.2625</v>
      </c>
      <c r="K875" s="182" t="n">
        <v>-20.4318</v>
      </c>
    </row>
    <row r="876" ht="15" customHeight="1" s="28">
      <c r="A876" s="181" t="n">
        <v>1777519802</v>
      </c>
      <c r="B876" s="181" t="inlineStr">
        <is>
          <t>XAUUSD</t>
        </is>
      </c>
      <c r="C876" s="181" t="inlineStr">
        <is>
          <t>M15</t>
        </is>
      </c>
      <c r="D876" s="181" t="n">
        <v>4561.66</v>
      </c>
      <c r="E876" s="181" t="n">
        <v>4583.48415</v>
      </c>
      <c r="F876" s="181" t="n">
        <v>4557.5727</v>
      </c>
      <c r="G876" s="181" t="n">
        <v>4560.89951</v>
      </c>
      <c r="H876" s="181" t="n">
        <v>0</v>
      </c>
      <c r="I876" s="181" t="n">
        <v>874</v>
      </c>
      <c r="J876" s="181" t="n">
        <v>-46.6686</v>
      </c>
      <c r="K876" s="181" t="n">
        <v>-21.8242</v>
      </c>
    </row>
    <row r="877" ht="15" customHeight="1" s="28">
      <c r="A877" s="182" t="n">
        <v>1777520702</v>
      </c>
      <c r="B877" s="182" t="inlineStr">
        <is>
          <t>XAUUSD</t>
        </is>
      </c>
      <c r="C877" s="182" t="inlineStr">
        <is>
          <t>M15</t>
        </is>
      </c>
      <c r="D877" s="182" t="n">
        <v>4556.09</v>
      </c>
      <c r="E877" s="182" t="n">
        <v>4583.21655</v>
      </c>
      <c r="F877" s="182" t="n">
        <v>4554.33844</v>
      </c>
      <c r="G877" s="182" t="n">
        <v>4557.61898</v>
      </c>
      <c r="H877" s="182" t="n">
        <v>0</v>
      </c>
      <c r="I877" s="182" t="n">
        <v>875</v>
      </c>
      <c r="J877" s="182" t="n">
        <v>-51.9847</v>
      </c>
      <c r="K877" s="182" t="n">
        <v>-27.1265</v>
      </c>
    </row>
    <row r="878" ht="15" customHeight="1" s="28">
      <c r="A878" s="181" t="n">
        <v>1777521602</v>
      </c>
      <c r="B878" s="181" t="inlineStr">
        <is>
          <t>XAUUSD</t>
        </is>
      </c>
      <c r="C878" s="181" t="inlineStr">
        <is>
          <t>M15</t>
        </is>
      </c>
      <c r="D878" s="181" t="n">
        <v>4555.41</v>
      </c>
      <c r="E878" s="181" t="n">
        <v>4582.94895</v>
      </c>
      <c r="F878" s="181" t="n">
        <v>4551.65328</v>
      </c>
      <c r="G878" s="181" t="n">
        <v>4554.63613</v>
      </c>
      <c r="H878" s="181" t="n">
        <v>0</v>
      </c>
      <c r="I878" s="181" t="n">
        <v>876</v>
      </c>
      <c r="J878" s="181" t="n">
        <v>-52.4108</v>
      </c>
      <c r="K878" s="181" t="n">
        <v>-27.539</v>
      </c>
    </row>
    <row r="879" ht="15" customHeight="1" s="28">
      <c r="A879" s="182" t="n">
        <v>1777522502</v>
      </c>
      <c r="B879" s="182" t="inlineStr">
        <is>
          <t>XAUUSD</t>
        </is>
      </c>
      <c r="C879" s="182" t="inlineStr">
        <is>
          <t>M15</t>
        </is>
      </c>
      <c r="D879" s="182" t="n">
        <v>4547.28</v>
      </c>
      <c r="E879" s="182" t="n">
        <v>4582.68134</v>
      </c>
      <c r="F879" s="182" t="n">
        <v>4549.72842</v>
      </c>
      <c r="G879" s="182" t="n">
        <v>4552.18228</v>
      </c>
      <c r="H879" s="182" t="n">
        <v>0</v>
      </c>
      <c r="I879" s="182" t="n">
        <v>877</v>
      </c>
      <c r="J879" s="182" t="n">
        <v>-60.2869</v>
      </c>
      <c r="K879" s="182" t="n">
        <v>-35.4013</v>
      </c>
    </row>
    <row r="880" ht="15" customHeight="1" s="28">
      <c r="A880" s="181" t="n">
        <v>1777523402</v>
      </c>
      <c r="B880" s="181" t="inlineStr">
        <is>
          <t>XAUUSD</t>
        </is>
      </c>
      <c r="C880" s="181" t="inlineStr">
        <is>
          <t>M15</t>
        </is>
      </c>
      <c r="D880" s="181" t="n">
        <v>4544.74</v>
      </c>
      <c r="E880" s="181" t="n">
        <v>4582.41374</v>
      </c>
      <c r="F880" s="181" t="n">
        <v>4548.92114</v>
      </c>
      <c r="G880" s="181" t="n">
        <v>4550.55171</v>
      </c>
      <c r="H880" s="181" t="n">
        <v>0</v>
      </c>
      <c r="I880" s="181" t="n">
        <v>878</v>
      </c>
      <c r="J880" s="181" t="n">
        <v>-62.573</v>
      </c>
      <c r="K880" s="181" t="n">
        <v>-37.6737</v>
      </c>
    </row>
    <row r="881" ht="15" customHeight="1" s="28">
      <c r="A881" s="182" t="n">
        <v>1777524302</v>
      </c>
      <c r="B881" s="182" t="inlineStr">
        <is>
          <t>XAUUSD</t>
        </is>
      </c>
      <c r="C881" s="182" t="inlineStr">
        <is>
          <t>M15</t>
        </is>
      </c>
      <c r="D881" s="182" t="n">
        <v>4541.91</v>
      </c>
      <c r="E881" s="182" t="n">
        <v>4582.14613</v>
      </c>
      <c r="F881" s="182" t="n">
        <v>4549.3872</v>
      </c>
      <c r="G881" s="182" t="n">
        <v>4549.96945</v>
      </c>
      <c r="H881" s="182" t="n">
        <v>0</v>
      </c>
      <c r="I881" s="182" t="n">
        <v>879</v>
      </c>
      <c r="J881" s="182" t="n">
        <v>-65.1491</v>
      </c>
      <c r="K881" s="182" t="n">
        <v>-40.2361</v>
      </c>
    </row>
    <row r="882" ht="15" customHeight="1" s="28">
      <c r="A882" s="181" t="n">
        <v>1777525202</v>
      </c>
      <c r="B882" s="181" t="inlineStr">
        <is>
          <t>XAUUSD</t>
        </is>
      </c>
      <c r="C882" s="181" t="inlineStr">
        <is>
          <t>M15</t>
        </is>
      </c>
      <c r="D882" s="181" t="n">
        <v>4553.22</v>
      </c>
      <c r="E882" s="181" t="n">
        <v>4581.87853</v>
      </c>
      <c r="F882" s="181" t="n">
        <v>4551.23411</v>
      </c>
      <c r="G882" s="181" t="n">
        <v>4550.60178</v>
      </c>
      <c r="H882" s="181" t="n">
        <v>1</v>
      </c>
      <c r="I882" s="181" t="n">
        <v>880</v>
      </c>
      <c r="J882" s="181" t="n">
        <v>-53.5852</v>
      </c>
      <c r="K882" s="181" t="n">
        <v>-28.6585</v>
      </c>
    </row>
    <row r="883" ht="15" customHeight="1" s="28">
      <c r="A883" s="182" t="n">
        <v>1777526102</v>
      </c>
      <c r="B883" s="182" t="inlineStr">
        <is>
          <t>XAUUSD</t>
        </is>
      </c>
      <c r="C883" s="182" t="inlineStr">
        <is>
          <t>M15</t>
        </is>
      </c>
      <c r="D883" s="182" t="n">
        <v>4555.73</v>
      </c>
      <c r="E883" s="182" t="n">
        <v>4581.61092</v>
      </c>
      <c r="F883" s="182" t="n">
        <v>4554.10302</v>
      </c>
      <c r="G883" s="182" t="n">
        <v>4552.3524</v>
      </c>
      <c r="H883" s="182" t="n">
        <v>0</v>
      </c>
      <c r="I883" s="182" t="n">
        <v>881</v>
      </c>
      <c r="J883" s="182" t="n">
        <v>-50.8213</v>
      </c>
      <c r="K883" s="182" t="n">
        <v>-25.8809</v>
      </c>
    </row>
    <row r="884" ht="15" customHeight="1" s="28">
      <c r="A884" s="181" t="n">
        <v>1777527002</v>
      </c>
      <c r="B884" s="181" t="inlineStr">
        <is>
          <t>XAUUSD</t>
        </is>
      </c>
      <c r="C884" s="181" t="inlineStr">
        <is>
          <t>M15</t>
        </is>
      </c>
      <c r="D884" s="181" t="n">
        <v>4564.04</v>
      </c>
      <c r="E884" s="181" t="n">
        <v>4581.34332</v>
      </c>
      <c r="F884" s="181" t="n">
        <v>4557.82199</v>
      </c>
      <c r="G884" s="181" t="n">
        <v>4555.0872</v>
      </c>
      <c r="H884" s="181" t="n">
        <v>0</v>
      </c>
      <c r="I884" s="181" t="n">
        <v>882</v>
      </c>
      <c r="J884" s="181" t="n">
        <v>-42.2574</v>
      </c>
      <c r="K884" s="181" t="n">
        <v>-17.3033</v>
      </c>
    </row>
    <row r="885" ht="15" customHeight="1" s="28">
      <c r="A885" s="182" t="n">
        <v>1777527902</v>
      </c>
      <c r="B885" s="182" t="inlineStr">
        <is>
          <t>XAUUSD</t>
        </is>
      </c>
      <c r="C885" s="182" t="inlineStr">
        <is>
          <t>M15</t>
        </is>
      </c>
      <c r="D885" s="182" t="n">
        <v>4562.71</v>
      </c>
      <c r="E885" s="182" t="n">
        <v>4581.07572</v>
      </c>
      <c r="F885" s="182" t="n">
        <v>4562.10639</v>
      </c>
      <c r="G885" s="182" t="n">
        <v>4558.59679</v>
      </c>
      <c r="H885" s="182" t="n">
        <v>0</v>
      </c>
      <c r="I885" s="182" t="n">
        <v>883</v>
      </c>
      <c r="J885" s="182" t="n">
        <v>-43.3336</v>
      </c>
      <c r="K885" s="182" t="n">
        <v>-18.3657</v>
      </c>
    </row>
    <row r="886" ht="15" customHeight="1" s="28">
      <c r="A886" s="181" t="n">
        <v>1777528802</v>
      </c>
      <c r="B886" s="181" t="inlineStr">
        <is>
          <t>XAUUSD</t>
        </is>
      </c>
      <c r="C886" s="181" t="inlineStr">
        <is>
          <t>M15</t>
        </is>
      </c>
      <c r="D886" s="181" t="n">
        <v>4566.21</v>
      </c>
      <c r="E886" s="181" t="n">
        <v>4580.80811</v>
      </c>
      <c r="F886" s="181" t="n">
        <v>4566.99173</v>
      </c>
      <c r="G886" s="181" t="n">
        <v>4562.79426</v>
      </c>
      <c r="H886" s="181" t="n">
        <v>0</v>
      </c>
      <c r="I886" s="181" t="n">
        <v>884</v>
      </c>
      <c r="J886" s="181" t="n">
        <v>-39.5797</v>
      </c>
      <c r="K886" s="181" t="n">
        <v>-14.5981</v>
      </c>
    </row>
    <row r="887" ht="15" customHeight="1" s="28">
      <c r="A887" s="182" t="n">
        <v>1777529702</v>
      </c>
      <c r="B887" s="182" t="inlineStr">
        <is>
          <t>XAUUSD</t>
        </is>
      </c>
      <c r="C887" s="182" t="inlineStr">
        <is>
          <t>M15</t>
        </is>
      </c>
      <c r="D887" s="182" t="n">
        <v>4569.57</v>
      </c>
      <c r="E887" s="182" t="n">
        <v>4580.54051</v>
      </c>
      <c r="F887" s="182" t="n">
        <v>4572.40065</v>
      </c>
      <c r="G887" s="182" t="n">
        <v>4567.59745</v>
      </c>
      <c r="H887" s="182" t="n">
        <v>0</v>
      </c>
      <c r="I887" s="182" t="n">
        <v>885</v>
      </c>
      <c r="J887" s="182" t="n">
        <v>-35.9658</v>
      </c>
      <c r="K887" s="182" t="n">
        <v>-10.9705</v>
      </c>
    </row>
    <row r="888" ht="15" customHeight="1" s="28">
      <c r="A888" s="181" t="n">
        <v>1777530602</v>
      </c>
      <c r="B888" s="181" t="inlineStr">
        <is>
          <t>XAUUSD</t>
        </is>
      </c>
      <c r="C888" s="181" t="inlineStr">
        <is>
          <t>M15</t>
        </is>
      </c>
      <c r="D888" s="181" t="n">
        <v>4575.23</v>
      </c>
      <c r="E888" s="181" t="n">
        <v>4580.2729</v>
      </c>
      <c r="F888" s="181" t="n">
        <v>4578.23145</v>
      </c>
      <c r="G888" s="181" t="n">
        <v>4572.91445</v>
      </c>
      <c r="H888" s="181" t="n">
        <v>0</v>
      </c>
      <c r="I888" s="181" t="n">
        <v>886</v>
      </c>
      <c r="J888" s="181" t="n">
        <v>-30.0519</v>
      </c>
      <c r="K888" s="181" t="n">
        <v>-5.0429</v>
      </c>
    </row>
    <row r="889" ht="15" customHeight="1" s="28">
      <c r="A889" s="182" t="n">
        <v>1777531502</v>
      </c>
      <c r="B889" s="182" t="inlineStr">
        <is>
          <t>XAUUSD</t>
        </is>
      </c>
      <c r="C889" s="182" t="inlineStr">
        <is>
          <t>M15</t>
        </is>
      </c>
      <c r="D889" s="182" t="n">
        <v>4589.44</v>
      </c>
      <c r="E889" s="182" t="n">
        <v>4580.0053</v>
      </c>
      <c r="F889" s="182" t="n">
        <v>4584.24007</v>
      </c>
      <c r="G889" s="182" t="n">
        <v>4578.57726</v>
      </c>
      <c r="H889" s="182" t="n">
        <v>0</v>
      </c>
      <c r="I889" s="182" t="n">
        <v>887</v>
      </c>
      <c r="J889" s="182" t="n">
        <v>-15.588</v>
      </c>
      <c r="K889" s="182" t="n">
        <v>9.434699999999999</v>
      </c>
    </row>
    <row r="890" ht="15" customHeight="1" s="28">
      <c r="A890" s="181" t="n">
        <v>1777532402</v>
      </c>
      <c r="B890" s="181" t="inlineStr">
        <is>
          <t>XAUUSD</t>
        </is>
      </c>
      <c r="C890" s="181" t="inlineStr">
        <is>
          <t>M15</t>
        </is>
      </c>
      <c r="D890" s="181" t="n">
        <v>4591.59</v>
      </c>
      <c r="E890" s="181" t="n">
        <v>4579.7377</v>
      </c>
      <c r="F890" s="181" t="n">
        <v>4589.9598</v>
      </c>
      <c r="G890" s="181" t="n">
        <v>4584.26853</v>
      </c>
      <c r="H890" s="181" t="n">
        <v>0</v>
      </c>
      <c r="I890" s="181" t="n">
        <v>888</v>
      </c>
      <c r="J890" s="181" t="n">
        <v>-13.1841</v>
      </c>
      <c r="K890" s="181" t="n">
        <v>11.8523</v>
      </c>
    </row>
    <row r="891" ht="15" customHeight="1" s="28">
      <c r="A891" s="182" t="n">
        <v>1777533302</v>
      </c>
      <c r="B891" s="182" t="inlineStr">
        <is>
          <t>XAUUSD</t>
        </is>
      </c>
      <c r="C891" s="182" t="inlineStr">
        <is>
          <t>M15</t>
        </is>
      </c>
      <c r="D891" s="182" t="n">
        <v>4591.59</v>
      </c>
      <c r="E891" s="182" t="n">
        <v>4579.47009</v>
      </c>
      <c r="F891" s="182" t="n">
        <v>4595.30501</v>
      </c>
      <c r="G891" s="182" t="n">
        <v>4589.78677</v>
      </c>
      <c r="H891" s="182" t="n">
        <v>0</v>
      </c>
      <c r="I891" s="182" t="n">
        <v>889</v>
      </c>
      <c r="J891" s="182" t="n">
        <v>-12.9302</v>
      </c>
      <c r="K891" s="182" t="n">
        <v>12.1199</v>
      </c>
    </row>
    <row r="892" ht="15" customHeight="1" s="28">
      <c r="A892" s="181" t="n">
        <v>1777534202</v>
      </c>
      <c r="B892" s="181" t="inlineStr">
        <is>
          <t>XAUUSD</t>
        </is>
      </c>
      <c r="C892" s="181" t="inlineStr">
        <is>
          <t>M15</t>
        </is>
      </c>
      <c r="D892" s="181" t="n">
        <v>4596.69</v>
      </c>
      <c r="E892" s="181" t="n">
        <v>4579.20249</v>
      </c>
      <c r="F892" s="181" t="n">
        <v>4600.28116</v>
      </c>
      <c r="G892" s="181" t="n">
        <v>4595.03396</v>
      </c>
      <c r="H892" s="181" t="n">
        <v>0</v>
      </c>
      <c r="I892" s="181" t="n">
        <v>890</v>
      </c>
      <c r="J892" s="181" t="n">
        <v>-7.5763</v>
      </c>
      <c r="K892" s="181" t="n">
        <v>17.4875</v>
      </c>
    </row>
    <row r="893" ht="15" customHeight="1" s="28">
      <c r="A893" s="182" t="n">
        <v>1777535102</v>
      </c>
      <c r="B893" s="182" t="inlineStr">
        <is>
          <t>XAUUSD</t>
        </is>
      </c>
      <c r="C893" s="182" t="inlineStr">
        <is>
          <t>M15</t>
        </is>
      </c>
      <c r="D893" s="182" t="n">
        <v>4598.44</v>
      </c>
      <c r="E893" s="182" t="n">
        <v>4578.93488</v>
      </c>
      <c r="F893" s="182" t="n">
        <v>4604.81754</v>
      </c>
      <c r="G893" s="182" t="n">
        <v>4599.92575</v>
      </c>
      <c r="H893" s="182" t="n">
        <v>0</v>
      </c>
      <c r="I893" s="182" t="n">
        <v>891</v>
      </c>
      <c r="J893" s="182" t="n">
        <v>-5.5724</v>
      </c>
      <c r="K893" s="182" t="n">
        <v>19.5051</v>
      </c>
    </row>
    <row r="894" ht="15" customHeight="1" s="28">
      <c r="A894" s="181" t="n">
        <v>1777536002</v>
      </c>
      <c r="B894" s="181" t="inlineStr">
        <is>
          <t>XAUUSD</t>
        </is>
      </c>
      <c r="C894" s="181" t="inlineStr">
        <is>
          <t>M15</t>
        </is>
      </c>
      <c r="D894" s="181" t="n">
        <v>4618.7</v>
      </c>
      <c r="E894" s="181" t="n">
        <v>4578.66728</v>
      </c>
      <c r="F894" s="181" t="n">
        <v>4608.94986</v>
      </c>
      <c r="G894" s="181" t="n">
        <v>4604.43781</v>
      </c>
      <c r="H894" s="181" t="n">
        <v>0</v>
      </c>
      <c r="I894" s="181" t="n">
        <v>892</v>
      </c>
      <c r="J894" s="181" t="n">
        <v>14.9415</v>
      </c>
      <c r="K894" s="181" t="n">
        <v>40.0327</v>
      </c>
    </row>
    <row r="895" ht="15" customHeight="1" s="28">
      <c r="A895" s="182" t="n">
        <v>1777536902</v>
      </c>
      <c r="B895" s="182" t="inlineStr">
        <is>
          <t>XAUUSD</t>
        </is>
      </c>
      <c r="C895" s="182" t="inlineStr">
        <is>
          <t>M15</t>
        </is>
      </c>
      <c r="D895" s="182" t="n">
        <v>4617.35</v>
      </c>
      <c r="E895" s="182" t="n">
        <v>4578.39968</v>
      </c>
      <c r="F895" s="182" t="n">
        <v>4612.27662</v>
      </c>
      <c r="G895" s="182" t="n">
        <v>4608.35721</v>
      </c>
      <c r="H895" s="182" t="n">
        <v>0</v>
      </c>
      <c r="I895" s="182" t="n">
        <v>893</v>
      </c>
      <c r="J895" s="182" t="n">
        <v>13.8454</v>
      </c>
      <c r="K895" s="182" t="n">
        <v>38.9503</v>
      </c>
    </row>
    <row r="896" ht="15" customHeight="1" s="28">
      <c r="A896" s="181" t="n">
        <v>1777537802</v>
      </c>
      <c r="B896" s="181" t="inlineStr">
        <is>
          <t>XAUUSD</t>
        </is>
      </c>
      <c r="C896" s="181" t="inlineStr">
        <is>
          <t>M15</t>
        </is>
      </c>
      <c r="D896" s="181" t="n">
        <v>4614.82</v>
      </c>
      <c r="E896" s="181" t="n">
        <v>4578.13207</v>
      </c>
      <c r="F896" s="181" t="n">
        <v>4615.05883</v>
      </c>
      <c r="G896" s="181" t="n">
        <v>4611.70802</v>
      </c>
      <c r="H896" s="181" t="n">
        <v>0</v>
      </c>
      <c r="I896" s="181" t="n">
        <v>894</v>
      </c>
      <c r="J896" s="181" t="n">
        <v>11.5693</v>
      </c>
      <c r="K896" s="181" t="n">
        <v>36.6879</v>
      </c>
    </row>
    <row r="897" ht="15" customHeight="1" s="28">
      <c r="A897" s="182" t="n">
        <v>1777538702</v>
      </c>
      <c r="B897" s="182" t="inlineStr">
        <is>
          <t>XAUUSD</t>
        </is>
      </c>
      <c r="C897" s="182" t="inlineStr">
        <is>
          <t>M15</t>
        </is>
      </c>
      <c r="D897" s="182" t="n">
        <v>4616</v>
      </c>
      <c r="E897" s="182" t="n">
        <v>4577.86447</v>
      </c>
      <c r="F897" s="182" t="n">
        <v>4617.65134</v>
      </c>
      <c r="G897" s="182" t="n">
        <v>4614.67968</v>
      </c>
      <c r="H897" s="182" t="n">
        <v>0</v>
      </c>
      <c r="I897" s="182" t="n">
        <v>895</v>
      </c>
      <c r="J897" s="182" t="n">
        <v>13.0032</v>
      </c>
      <c r="K897" s="182" t="n">
        <v>38.1355</v>
      </c>
    </row>
    <row r="898" ht="15" customHeight="1" s="28">
      <c r="A898" s="181" t="n">
        <v>1777539602</v>
      </c>
      <c r="B898" s="181" t="inlineStr">
        <is>
          <t>XAUUSD</t>
        </is>
      </c>
      <c r="C898" s="181" t="inlineStr">
        <is>
          <t>M15</t>
        </is>
      </c>
      <c r="D898" s="181" t="n">
        <v>4618.96</v>
      </c>
      <c r="E898" s="181" t="n">
        <v>4577.59686</v>
      </c>
      <c r="F898" s="181" t="n">
        <v>4620.25437</v>
      </c>
      <c r="G898" s="181" t="n">
        <v>4617.46703</v>
      </c>
      <c r="H898" s="181" t="n">
        <v>0</v>
      </c>
      <c r="I898" s="181" t="n">
        <v>896</v>
      </c>
      <c r="J898" s="181" t="n">
        <v>16.2171</v>
      </c>
      <c r="K898" s="181" t="n">
        <v>41.3631</v>
      </c>
    </row>
    <row r="899" ht="15" customHeight="1" s="28">
      <c r="A899" s="182" t="n">
        <v>1777540502</v>
      </c>
      <c r="B899" s="182" t="inlineStr">
        <is>
          <t>XAUUSD</t>
        </is>
      </c>
      <c r="C899" s="182" t="inlineStr">
        <is>
          <t>M15</t>
        </is>
      </c>
      <c r="D899" s="182" t="n">
        <v>4625.41</v>
      </c>
      <c r="E899" s="182" t="n">
        <v>4577.32926</v>
      </c>
      <c r="F899" s="182" t="n">
        <v>4622.95448</v>
      </c>
      <c r="G899" s="182" t="n">
        <v>4620.21075</v>
      </c>
      <c r="H899" s="182" t="n">
        <v>0</v>
      </c>
      <c r="I899" s="182" t="n">
        <v>897</v>
      </c>
      <c r="J899" s="182" t="n">
        <v>22.921</v>
      </c>
      <c r="K899" s="182" t="n">
        <v>48.0807</v>
      </c>
    </row>
    <row r="900" ht="15" customHeight="1" s="28">
      <c r="A900" s="181" t="n">
        <v>1777541402</v>
      </c>
      <c r="B900" s="181" t="inlineStr">
        <is>
          <t>XAUUSD</t>
        </is>
      </c>
      <c r="C900" s="181" t="inlineStr">
        <is>
          <t>M15</t>
        </is>
      </c>
      <c r="D900" s="181" t="n">
        <v>4619.35</v>
      </c>
      <c r="E900" s="181" t="n">
        <v>4577.06166</v>
      </c>
      <c r="F900" s="181" t="n">
        <v>4625.64644</v>
      </c>
      <c r="G900" s="181" t="n">
        <v>4622.9286</v>
      </c>
      <c r="H900" s="181" t="n">
        <v>0</v>
      </c>
      <c r="I900" s="181" t="n">
        <v>898</v>
      </c>
      <c r="J900" s="181" t="n">
        <v>17.1149</v>
      </c>
      <c r="K900" s="181" t="n">
        <v>42.2883</v>
      </c>
    </row>
    <row r="901" ht="15" customHeight="1" s="28">
      <c r="A901" s="182" t="n">
        <v>1777542302</v>
      </c>
      <c r="B901" s="182" t="inlineStr">
        <is>
          <t>XAUUSD</t>
        </is>
      </c>
      <c r="C901" s="182" t="inlineStr">
        <is>
          <t>M15</t>
        </is>
      </c>
      <c r="D901" s="182" t="n">
        <v>4624.91</v>
      </c>
      <c r="E901" s="182" t="n">
        <v>4576.79405</v>
      </c>
      <c r="F901" s="182" t="n">
        <v>4628.46791</v>
      </c>
      <c r="G901" s="182" t="n">
        <v>4625.69825</v>
      </c>
      <c r="H901" s="182" t="n">
        <v>0</v>
      </c>
      <c r="I901" s="182" t="n">
        <v>899</v>
      </c>
      <c r="J901" s="182" t="n">
        <v>22.9288</v>
      </c>
      <c r="K901" s="182" t="n">
        <v>48.1159</v>
      </c>
    </row>
    <row r="902" ht="15" customHeight="1" s="28">
      <c r="A902" s="181" t="n">
        <v>1777543202</v>
      </c>
      <c r="B902" s="181" t="inlineStr">
        <is>
          <t>XAUUSD</t>
        </is>
      </c>
      <c r="C902" s="181" t="inlineStr">
        <is>
          <t>M15</t>
        </is>
      </c>
      <c r="D902" s="181" t="n">
        <v>4626.92</v>
      </c>
      <c r="E902" s="181" t="n">
        <v>4576.52645</v>
      </c>
      <c r="F902" s="181" t="n">
        <v>4631.18716</v>
      </c>
      <c r="G902" s="181" t="n">
        <v>4628.44271</v>
      </c>
      <c r="H902" s="181" t="n">
        <v>0</v>
      </c>
      <c r="I902" s="181" t="n">
        <v>900</v>
      </c>
      <c r="J902" s="181" t="n">
        <v>25.1927</v>
      </c>
      <c r="K902" s="181" t="n">
        <v>50.3935</v>
      </c>
    </row>
    <row r="903" ht="15" customHeight="1" s="28">
      <c r="A903" s="182" t="n">
        <v>1777544102</v>
      </c>
      <c r="B903" s="182" t="inlineStr">
        <is>
          <t>XAUUSD</t>
        </is>
      </c>
      <c r="C903" s="182" t="inlineStr">
        <is>
          <t>M15</t>
        </is>
      </c>
      <c r="D903" s="182" t="n">
        <v>4643.78</v>
      </c>
      <c r="E903" s="182" t="n">
        <v>4576.25884</v>
      </c>
      <c r="F903" s="182" t="n">
        <v>4633.63017</v>
      </c>
      <c r="G903" s="182" t="n">
        <v>4631.03644</v>
      </c>
      <c r="H903" s="182" t="n">
        <v>0</v>
      </c>
      <c r="I903" s="182" t="n">
        <v>901</v>
      </c>
      <c r="J903" s="182" t="n">
        <v>42.3066</v>
      </c>
      <c r="K903" s="182" t="n">
        <v>67.52119999999999</v>
      </c>
    </row>
    <row r="904" ht="15" customHeight="1" s="28">
      <c r="A904" s="181" t="n">
        <v>1777545002</v>
      </c>
      <c r="B904" s="181" t="inlineStr">
        <is>
          <t>XAUUSD</t>
        </is>
      </c>
      <c r="C904" s="181" t="inlineStr">
        <is>
          <t>M15</t>
        </is>
      </c>
      <c r="D904" s="181" t="n">
        <v>4636.62</v>
      </c>
      <c r="E904" s="181" t="n">
        <v>4575.99124</v>
      </c>
      <c r="F904" s="181" t="n">
        <v>4635.21014</v>
      </c>
      <c r="G904" s="181" t="n">
        <v>4633.12329</v>
      </c>
      <c r="H904" s="181" t="n">
        <v>0</v>
      </c>
      <c r="I904" s="181" t="n">
        <v>902</v>
      </c>
      <c r="J904" s="181" t="n">
        <v>35.4005</v>
      </c>
      <c r="K904" s="181" t="n">
        <v>60.6288</v>
      </c>
    </row>
    <row r="905" ht="15" customHeight="1" s="28">
      <c r="A905" s="182" t="n">
        <v>1777545902</v>
      </c>
      <c r="B905" s="182" t="inlineStr">
        <is>
          <t>XAUUSD</t>
        </is>
      </c>
      <c r="C905" s="182" t="inlineStr">
        <is>
          <t>M15</t>
        </is>
      </c>
      <c r="D905" s="182" t="n">
        <v>4639.68</v>
      </c>
      <c r="E905" s="182" t="n">
        <v>4575.72363</v>
      </c>
      <c r="F905" s="182" t="n">
        <v>4636.08044</v>
      </c>
      <c r="G905" s="182" t="n">
        <v>4634.60186</v>
      </c>
      <c r="H905" s="182" t="n">
        <v>0</v>
      </c>
      <c r="I905" s="182" t="n">
        <v>903</v>
      </c>
      <c r="J905" s="182" t="n">
        <v>38.7144</v>
      </c>
      <c r="K905" s="182" t="n">
        <v>63.9564</v>
      </c>
    </row>
    <row r="906" ht="15" customHeight="1" s="28">
      <c r="A906" s="181" t="n">
        <v>1777546802</v>
      </c>
      <c r="B906" s="181" t="inlineStr">
        <is>
          <t>XAUUSD</t>
        </is>
      </c>
      <c r="C906" s="181" t="inlineStr">
        <is>
          <t>M15</t>
        </is>
      </c>
      <c r="D906" s="181" t="n">
        <v>4635.99</v>
      </c>
      <c r="E906" s="181" t="n">
        <v>4575.45603</v>
      </c>
      <c r="F906" s="181" t="n">
        <v>4636.22769</v>
      </c>
      <c r="G906" s="181" t="n">
        <v>4635.41478</v>
      </c>
      <c r="H906" s="181" t="n">
        <v>0</v>
      </c>
      <c r="I906" s="181" t="n">
        <v>904</v>
      </c>
      <c r="J906" s="181" t="n">
        <v>35.2783</v>
      </c>
      <c r="K906" s="181" t="n">
        <v>60.534</v>
      </c>
    </row>
    <row r="907" ht="15" customHeight="1" s="28">
      <c r="A907" s="182" t="n">
        <v>1777547702</v>
      </c>
      <c r="B907" s="182" t="inlineStr">
        <is>
          <t>XAUUSD</t>
        </is>
      </c>
      <c r="C907" s="182" t="inlineStr">
        <is>
          <t>M15</t>
        </is>
      </c>
      <c r="D907" s="182" t="n">
        <v>4637.7</v>
      </c>
      <c r="E907" s="182" t="n">
        <v>4575.18843</v>
      </c>
      <c r="F907" s="182" t="n">
        <v>4635.89963</v>
      </c>
      <c r="G907" s="182" t="n">
        <v>4635.6572</v>
      </c>
      <c r="H907" s="182" t="n">
        <v>0</v>
      </c>
      <c r="I907" s="182" t="n">
        <v>905</v>
      </c>
      <c r="J907" s="182" t="n">
        <v>37.2421</v>
      </c>
      <c r="K907" s="182" t="n">
        <v>62.5116</v>
      </c>
    </row>
    <row r="908" ht="15" customHeight="1" s="28">
      <c r="A908" s="181" t="n">
        <v>1777548602</v>
      </c>
      <c r="B908" s="181" t="inlineStr">
        <is>
          <t>XAUUSD</t>
        </is>
      </c>
      <c r="C908" s="181" t="inlineStr">
        <is>
          <t>M15</t>
        </is>
      </c>
      <c r="D908" s="181" t="n">
        <v>4629.82</v>
      </c>
      <c r="E908" s="181" t="n">
        <v>4574.92082</v>
      </c>
      <c r="F908" s="181" t="n">
        <v>4635.23039</v>
      </c>
      <c r="G908" s="181" t="n">
        <v>4635.4438</v>
      </c>
      <c r="H908" s="181" t="n">
        <v>1</v>
      </c>
      <c r="I908" s="181" t="n">
        <v>906</v>
      </c>
      <c r="J908" s="181" t="n">
        <v>29.616</v>
      </c>
      <c r="K908" s="181" t="n">
        <v>54.8992</v>
      </c>
    </row>
    <row r="909" ht="15" customHeight="1" s="28">
      <c r="A909" s="182" t="n">
        <v>1777549502</v>
      </c>
      <c r="B909" s="182" t="inlineStr">
        <is>
          <t>XAUUSD</t>
        </is>
      </c>
      <c r="C909" s="182" t="inlineStr">
        <is>
          <t>M15</t>
        </is>
      </c>
      <c r="D909" s="182" t="n">
        <v>4630.21</v>
      </c>
      <c r="E909" s="182" t="n">
        <v>4574.65322</v>
      </c>
      <c r="F909" s="182" t="n">
        <v>4634.58541</v>
      </c>
      <c r="G909" s="182" t="n">
        <v>4635.01461</v>
      </c>
      <c r="H909" s="182" t="n">
        <v>0</v>
      </c>
      <c r="I909" s="182" t="n">
        <v>907</v>
      </c>
      <c r="J909" s="182" t="n">
        <v>30.2599</v>
      </c>
      <c r="K909" s="182" t="n">
        <v>55.5568</v>
      </c>
    </row>
    <row r="910" ht="15" customHeight="1" s="28">
      <c r="A910" s="181" t="n">
        <v>1777550402</v>
      </c>
      <c r="B910" s="181" t="inlineStr">
        <is>
          <t>XAUUSD</t>
        </is>
      </c>
      <c r="C910" s="181" t="inlineStr">
        <is>
          <t>M15</t>
        </is>
      </c>
      <c r="D910" s="181" t="n">
        <v>4635.81</v>
      </c>
      <c r="E910" s="181" t="n">
        <v>4574.38561</v>
      </c>
      <c r="F910" s="181" t="n">
        <v>4634.04899</v>
      </c>
      <c r="G910" s="181" t="n">
        <v>4634.5318</v>
      </c>
      <c r="H910" s="181" t="n">
        <v>0</v>
      </c>
      <c r="I910" s="181" t="n">
        <v>908</v>
      </c>
      <c r="J910" s="181" t="n">
        <v>36.1138</v>
      </c>
      <c r="K910" s="181" t="n">
        <v>61.4244</v>
      </c>
    </row>
    <row r="911" ht="15" customHeight="1" s="28">
      <c r="A911" s="182" t="n">
        <v>1777551302</v>
      </c>
      <c r="B911" s="182" t="inlineStr">
        <is>
          <t>XAUUSD</t>
        </is>
      </c>
      <c r="C911" s="182" t="inlineStr">
        <is>
          <t>M15</t>
        </is>
      </c>
      <c r="D911" s="182" t="n">
        <v>4630.51</v>
      </c>
      <c r="E911" s="182" t="n">
        <v>4574.11801</v>
      </c>
      <c r="F911" s="182" t="n">
        <v>4633.43639</v>
      </c>
      <c r="G911" s="182" t="n">
        <v>4633.98409</v>
      </c>
      <c r="H911" s="182" t="n">
        <v>0</v>
      </c>
      <c r="I911" s="182" t="n">
        <v>909</v>
      </c>
      <c r="J911" s="182" t="n">
        <v>31.0677</v>
      </c>
      <c r="K911" s="182" t="n">
        <v>56.392</v>
      </c>
    </row>
    <row r="912" ht="15" customHeight="1" s="28">
      <c r="A912" s="181" t="n">
        <v>1777552202</v>
      </c>
      <c r="B912" s="181" t="inlineStr">
        <is>
          <t>XAUUSD</t>
        </is>
      </c>
      <c r="C912" s="181" t="inlineStr">
        <is>
          <t>M15</t>
        </is>
      </c>
      <c r="D912" s="181" t="n">
        <v>4625.92</v>
      </c>
      <c r="E912" s="181" t="n">
        <v>4573.85041</v>
      </c>
      <c r="F912" s="181" t="n">
        <v>4632.80607</v>
      </c>
      <c r="G912" s="181" t="n">
        <v>4633.39508</v>
      </c>
      <c r="H912" s="181" t="n">
        <v>0</v>
      </c>
      <c r="I912" s="181" t="n">
        <v>910</v>
      </c>
      <c r="J912" s="181" t="n">
        <v>26.7316</v>
      </c>
      <c r="K912" s="181" t="n">
        <v>52.0696</v>
      </c>
    </row>
    <row r="913" ht="15" customHeight="1" s="28">
      <c r="A913" s="182" t="n">
        <v>1777553102</v>
      </c>
      <c r="B913" s="182" t="inlineStr">
        <is>
          <t>XAUUSD</t>
        </is>
      </c>
      <c r="C913" s="182" t="inlineStr">
        <is>
          <t>M15</t>
        </is>
      </c>
      <c r="D913" s="182" t="n">
        <v>4639.57</v>
      </c>
      <c r="E913" s="182" t="n">
        <v>4573.5828</v>
      </c>
      <c r="F913" s="182" t="n">
        <v>4632.1084</v>
      </c>
      <c r="G913" s="182" t="n">
        <v>4632.75174</v>
      </c>
      <c r="H913" s="182" t="n">
        <v>0</v>
      </c>
      <c r="I913" s="182" t="n">
        <v>911</v>
      </c>
      <c r="J913" s="182" t="n">
        <v>40.6355</v>
      </c>
      <c r="K913" s="182" t="n">
        <v>65.9872</v>
      </c>
    </row>
    <row r="914" ht="15" customHeight="1" s="28">
      <c r="A914" s="181" t="n">
        <v>1777554002</v>
      </c>
      <c r="B914" s="181" t="inlineStr">
        <is>
          <t>XAUUSD</t>
        </is>
      </c>
      <c r="C914" s="181" t="inlineStr">
        <is>
          <t>M15</t>
        </is>
      </c>
      <c r="D914" s="181" t="n">
        <v>4641.5</v>
      </c>
      <c r="E914" s="181" t="n">
        <v>4573.3152</v>
      </c>
      <c r="F914" s="181" t="n">
        <v>4630.81082</v>
      </c>
      <c r="G914" s="181" t="n">
        <v>4631.78128</v>
      </c>
      <c r="H914" s="181" t="n">
        <v>0</v>
      </c>
      <c r="I914" s="181" t="n">
        <v>912</v>
      </c>
      <c r="J914" s="181" t="n">
        <v>42.8194</v>
      </c>
      <c r="K914" s="181" t="n">
        <v>68.1848</v>
      </c>
    </row>
    <row r="915" ht="15" customHeight="1" s="28">
      <c r="A915" s="182" t="n">
        <v>1777554902</v>
      </c>
      <c r="B915" s="182" t="inlineStr">
        <is>
          <t>XAUUSD</t>
        </is>
      </c>
      <c r="C915" s="182" t="inlineStr">
        <is>
          <t>M15</t>
        </is>
      </c>
      <c r="D915" s="182" t="n">
        <v>4633.5</v>
      </c>
      <c r="E915" s="182" t="n">
        <v>4573.04759</v>
      </c>
      <c r="F915" s="182" t="n">
        <v>4628.8019</v>
      </c>
      <c r="G915" s="182" t="n">
        <v>4630.29159</v>
      </c>
      <c r="H915" s="182" t="n">
        <v>0</v>
      </c>
      <c r="I915" s="182" t="n">
        <v>913</v>
      </c>
      <c r="J915" s="182" t="n">
        <v>35.0733</v>
      </c>
      <c r="K915" s="182" t="n">
        <v>60.4524</v>
      </c>
    </row>
    <row r="916" ht="15" customHeight="1" s="28">
      <c r="A916" s="181" t="n">
        <v>1777555802</v>
      </c>
      <c r="B916" s="181" t="inlineStr">
        <is>
          <t>XAUUSD</t>
        </is>
      </c>
      <c r="C916" s="181" t="inlineStr">
        <is>
          <t>M15</t>
        </is>
      </c>
      <c r="D916" s="181" t="n">
        <v>4625.44</v>
      </c>
      <c r="E916" s="181" t="n">
        <v>4572.77999</v>
      </c>
      <c r="F916" s="181" t="n">
        <v>4626.40722</v>
      </c>
      <c r="G916" s="181" t="n">
        <v>4628.3494</v>
      </c>
      <c r="H916" s="181" t="n">
        <v>0</v>
      </c>
      <c r="I916" s="181" t="n">
        <v>914</v>
      </c>
      <c r="J916" s="181" t="n">
        <v>27.2672</v>
      </c>
      <c r="K916" s="181" t="n">
        <v>52.66</v>
      </c>
    </row>
    <row r="917" ht="15" customHeight="1" s="28">
      <c r="A917" s="182" t="n">
        <v>1777556702</v>
      </c>
      <c r="B917" s="182" t="inlineStr">
        <is>
          <t>XAUUSD</t>
        </is>
      </c>
      <c r="C917" s="182" t="inlineStr">
        <is>
          <t>M15</t>
        </is>
      </c>
      <c r="D917" s="182" t="n">
        <v>4610.99</v>
      </c>
      <c r="E917" s="182" t="n">
        <v>4572.51239</v>
      </c>
      <c r="F917" s="182" t="n">
        <v>4624.03612</v>
      </c>
      <c r="G917" s="182" t="n">
        <v>4626.19276</v>
      </c>
      <c r="H917" s="182" t="n">
        <v>0</v>
      </c>
      <c r="I917" s="182" t="n">
        <v>915</v>
      </c>
      <c r="J917" s="182" t="n">
        <v>13.0711</v>
      </c>
      <c r="K917" s="182" t="n">
        <v>38.4776</v>
      </c>
    </row>
    <row r="918" ht="15" customHeight="1" s="28">
      <c r="A918" s="181" t="n">
        <v>1777557602</v>
      </c>
      <c r="B918" s="181" t="inlineStr">
        <is>
          <t>XAUUSD</t>
        </is>
      </c>
      <c r="C918" s="181" t="inlineStr">
        <is>
          <t>M15</t>
        </is>
      </c>
      <c r="D918" s="181" t="n">
        <v>4620.39</v>
      </c>
      <c r="E918" s="181" t="n">
        <v>4572.24478</v>
      </c>
      <c r="F918" s="181" t="n">
        <v>4622.27171</v>
      </c>
      <c r="G918" s="181" t="n">
        <v>4624.23224</v>
      </c>
      <c r="H918" s="181" t="n">
        <v>0</v>
      </c>
      <c r="I918" s="181" t="n">
        <v>916</v>
      </c>
      <c r="J918" s="181" t="n">
        <v>22.725</v>
      </c>
      <c r="K918" s="181" t="n">
        <v>48.1452</v>
      </c>
    </row>
    <row r="919" ht="15" customHeight="1" s="28">
      <c r="A919" s="182" t="n">
        <v>1777558502</v>
      </c>
      <c r="B919" s="182" t="inlineStr">
        <is>
          <t>XAUUSD</t>
        </is>
      </c>
      <c r="C919" s="182" t="inlineStr">
        <is>
          <t>M15</t>
        </is>
      </c>
      <c r="D919" s="182" t="n">
        <v>4622.81</v>
      </c>
      <c r="E919" s="182" t="n">
        <v>4571.97718</v>
      </c>
      <c r="F919" s="182" t="n">
        <v>4620.92027</v>
      </c>
      <c r="G919" s="182" t="n">
        <v>4622.57625</v>
      </c>
      <c r="H919" s="182" t="n">
        <v>0</v>
      </c>
      <c r="I919" s="182" t="n">
        <v>917</v>
      </c>
      <c r="J919" s="182" t="n">
        <v>25.3989</v>
      </c>
      <c r="K919" s="182" t="n">
        <v>50.8328</v>
      </c>
    </row>
    <row r="920" ht="15" customHeight="1" s="28">
      <c r="A920" s="181" t="n">
        <v>1777559402</v>
      </c>
      <c r="B920" s="181" t="inlineStr">
        <is>
          <t>XAUUSD</t>
        </is>
      </c>
      <c r="C920" s="181" t="inlineStr">
        <is>
          <t>M15</t>
        </is>
      </c>
      <c r="D920" s="181" t="n">
        <v>4617.7</v>
      </c>
      <c r="E920" s="181" t="n">
        <v>4571.70957</v>
      </c>
      <c r="F920" s="181" t="n">
        <v>4619.83949</v>
      </c>
      <c r="G920" s="181" t="n">
        <v>4621.20787</v>
      </c>
      <c r="H920" s="181" t="n">
        <v>0</v>
      </c>
      <c r="I920" s="181" t="n">
        <v>918</v>
      </c>
      <c r="J920" s="181" t="n">
        <v>20.5428</v>
      </c>
      <c r="K920" s="181" t="n">
        <v>45.9904</v>
      </c>
    </row>
    <row r="921" ht="15" customHeight="1" s="28">
      <c r="A921" s="182" t="n">
        <v>1777560302</v>
      </c>
      <c r="B921" s="182" t="inlineStr">
        <is>
          <t>XAUUSD</t>
        </is>
      </c>
      <c r="C921" s="182" t="inlineStr">
        <is>
          <t>M15</t>
        </is>
      </c>
      <c r="D921" s="182" t="n">
        <v>4619.59</v>
      </c>
      <c r="E921" s="182" t="n">
        <v>4571.44197</v>
      </c>
      <c r="F921" s="182" t="n">
        <v>4619.02569</v>
      </c>
      <c r="G921" s="182" t="n">
        <v>4620.11678</v>
      </c>
      <c r="H921" s="182" t="n">
        <v>0</v>
      </c>
      <c r="I921" s="182" t="n">
        <v>919</v>
      </c>
      <c r="J921" s="182" t="n">
        <v>22.6867</v>
      </c>
      <c r="K921" s="182" t="n">
        <v>48.148</v>
      </c>
    </row>
    <row r="922" ht="15" customHeight="1" s="28">
      <c r="A922" s="181" t="n">
        <v>1777561202</v>
      </c>
      <c r="B922" s="181" t="inlineStr">
        <is>
          <t>XAUUSD</t>
        </is>
      </c>
      <c r="C922" s="181" t="inlineStr">
        <is>
          <t>M15</t>
        </is>
      </c>
      <c r="D922" s="181" t="n">
        <v>4620.13</v>
      </c>
      <c r="E922" s="181" t="n">
        <v>4571.17437</v>
      </c>
      <c r="F922" s="181" t="n">
        <v>4618.23207</v>
      </c>
      <c r="G922" s="181" t="n">
        <v>4619.17443</v>
      </c>
      <c r="H922" s="181" t="n">
        <v>0</v>
      </c>
      <c r="I922" s="181" t="n">
        <v>920</v>
      </c>
      <c r="J922" s="181" t="n">
        <v>23.4806</v>
      </c>
      <c r="K922" s="181" t="n">
        <v>48.9556</v>
      </c>
    </row>
    <row r="923" ht="15" customHeight="1" s="28">
      <c r="A923" s="182" t="n">
        <v>1777562102</v>
      </c>
      <c r="B923" s="182" t="inlineStr">
        <is>
          <t>XAUUSD</t>
        </is>
      </c>
      <c r="C923" s="182" t="inlineStr">
        <is>
          <t>M15</t>
        </is>
      </c>
      <c r="D923" s="182" t="n">
        <v>4623.09</v>
      </c>
      <c r="E923" s="182" t="n">
        <v>4570.90676</v>
      </c>
      <c r="F923" s="182" t="n">
        <v>4617.24817</v>
      </c>
      <c r="G923" s="182" t="n">
        <v>4618.2113</v>
      </c>
      <c r="H923" s="182" t="n">
        <v>0</v>
      </c>
      <c r="I923" s="182" t="n">
        <v>921</v>
      </c>
      <c r="J923" s="182" t="n">
        <v>26.6945</v>
      </c>
      <c r="K923" s="182" t="n">
        <v>52.1832</v>
      </c>
    </row>
    <row r="924" ht="15" customHeight="1" s="28">
      <c r="A924" s="181" t="n">
        <v>1777563002</v>
      </c>
      <c r="B924" s="181" t="inlineStr">
        <is>
          <t>XAUUSD</t>
        </is>
      </c>
      <c r="C924" s="181" t="inlineStr">
        <is>
          <t>M15</t>
        </is>
      </c>
      <c r="D924" s="181" t="n">
        <v>4615.65</v>
      </c>
      <c r="E924" s="181" t="n">
        <v>4570.63916</v>
      </c>
      <c r="F924" s="181" t="n">
        <v>4615.89207</v>
      </c>
      <c r="G924" s="181" t="n">
        <v>4617.05168</v>
      </c>
      <c r="H924" s="181" t="n">
        <v>0</v>
      </c>
      <c r="I924" s="181" t="n">
        <v>922</v>
      </c>
      <c r="J924" s="181" t="n">
        <v>19.5084</v>
      </c>
      <c r="K924" s="181" t="n">
        <v>45.0108</v>
      </c>
    </row>
    <row r="925" ht="15" customHeight="1" s="28">
      <c r="A925" s="182" t="n">
        <v>1777563902</v>
      </c>
      <c r="B925" s="182" t="inlineStr">
        <is>
          <t>XAUUSD</t>
        </is>
      </c>
      <c r="C925" s="182" t="inlineStr">
        <is>
          <t>M15</t>
        </is>
      </c>
      <c r="D925" s="182" t="n">
        <v>4615.35</v>
      </c>
      <c r="E925" s="182" t="n">
        <v>4570.37155</v>
      </c>
      <c r="F925" s="182" t="n">
        <v>4614.35706</v>
      </c>
      <c r="G925" s="182" t="n">
        <v>4615.70437</v>
      </c>
      <c r="H925" s="182" t="n">
        <v>0</v>
      </c>
      <c r="I925" s="182" t="n">
        <v>923</v>
      </c>
      <c r="J925" s="182" t="n">
        <v>19.4623</v>
      </c>
      <c r="K925" s="182" t="n">
        <v>44.9785</v>
      </c>
    </row>
    <row r="926" ht="15" customHeight="1" s="28">
      <c r="A926" s="181" t="n">
        <v>1777564802</v>
      </c>
      <c r="B926" s="181" t="inlineStr">
        <is>
          <t>XAUUSD</t>
        </is>
      </c>
      <c r="C926" s="181" t="inlineStr">
        <is>
          <t>M15</t>
        </is>
      </c>
      <c r="D926" s="181" t="n">
        <v>4611.63</v>
      </c>
      <c r="E926" s="181" t="n">
        <v>4570.10395</v>
      </c>
      <c r="F926" s="181" t="n">
        <v>4612.79631</v>
      </c>
      <c r="G926" s="181" t="n">
        <v>4614.25034</v>
      </c>
      <c r="H926" s="181" t="n">
        <v>0</v>
      </c>
      <c r="I926" s="181" t="n">
        <v>924</v>
      </c>
      <c r="J926" s="181" t="n">
        <v>15.9962</v>
      </c>
      <c r="K926" s="181" t="n">
        <v>41.5261</v>
      </c>
    </row>
    <row r="927" ht="15" customHeight="1" s="28">
      <c r="A927" s="182" t="n">
        <v>1777565702</v>
      </c>
      <c r="B927" s="182" t="inlineStr">
        <is>
          <t>XAUUSD</t>
        </is>
      </c>
      <c r="C927" s="182" t="inlineStr">
        <is>
          <t>M15</t>
        </is>
      </c>
      <c r="D927" s="182" t="n">
        <v>4608.08</v>
      </c>
      <c r="E927" s="182" t="n">
        <v>4569.83634</v>
      </c>
      <c r="F927" s="182" t="n">
        <v>4611.55884</v>
      </c>
      <c r="G927" s="182" t="n">
        <v>4612.90459</v>
      </c>
      <c r="H927" s="182" t="n">
        <v>0</v>
      </c>
      <c r="I927" s="182" t="n">
        <v>925</v>
      </c>
      <c r="J927" s="182" t="n">
        <v>12.7001</v>
      </c>
      <c r="K927" s="182" t="n">
        <v>38.2437</v>
      </c>
    </row>
    <row r="928" ht="15" customHeight="1" s="28">
      <c r="A928" s="181" t="n">
        <v>1777566602</v>
      </c>
      <c r="B928" s="181" t="inlineStr">
        <is>
          <t>XAUUSD</t>
        </is>
      </c>
      <c r="C928" s="181" t="inlineStr">
        <is>
          <t>M15</t>
        </is>
      </c>
      <c r="D928" s="181" t="n">
        <v>4609.12</v>
      </c>
      <c r="E928" s="181" t="n">
        <v>4569.56874</v>
      </c>
      <c r="F928" s="181" t="n">
        <v>4610.99644</v>
      </c>
      <c r="G928" s="181" t="n">
        <v>4611.95051</v>
      </c>
      <c r="H928" s="181" t="n">
        <v>0</v>
      </c>
      <c r="I928" s="181" t="n">
        <v>926</v>
      </c>
      <c r="J928" s="181" t="n">
        <v>13.994</v>
      </c>
      <c r="K928" s="181" t="n">
        <v>39.5513</v>
      </c>
    </row>
    <row r="929" ht="15" customHeight="1" s="28">
      <c r="A929" s="182" t="n">
        <v>1777567502</v>
      </c>
      <c r="B929" s="182" t="inlineStr">
        <is>
          <t>XAUUSD</t>
        </is>
      </c>
      <c r="C929" s="182" t="inlineStr">
        <is>
          <t>M15</t>
        </is>
      </c>
      <c r="D929" s="182" t="n">
        <v>4607.62</v>
      </c>
      <c r="E929" s="182" t="n">
        <v>4569.30114</v>
      </c>
      <c r="F929" s="182" t="n">
        <v>4611.26795</v>
      </c>
      <c r="G929" s="182" t="n">
        <v>4611.60923</v>
      </c>
      <c r="H929" s="182" t="n">
        <v>0</v>
      </c>
      <c r="I929" s="182" t="n">
        <v>927</v>
      </c>
      <c r="J929" s="182" t="n">
        <v>12.7478</v>
      </c>
      <c r="K929" s="182" t="n">
        <v>38.3189</v>
      </c>
    </row>
    <row r="930" ht="15" customHeight="1" s="28">
      <c r="A930" s="181" t="n">
        <v>1777568402</v>
      </c>
      <c r="B930" s="181" t="inlineStr">
        <is>
          <t>XAUUSD</t>
        </is>
      </c>
      <c r="C930" s="181" t="inlineStr">
        <is>
          <t>M15</t>
        </is>
      </c>
      <c r="D930" s="181" t="n">
        <v>4615.95</v>
      </c>
      <c r="E930" s="181" t="n">
        <v>4569.03353</v>
      </c>
      <c r="F930" s="181" t="n">
        <v>4612.47026</v>
      </c>
      <c r="G930" s="181" t="n">
        <v>4612.03975</v>
      </c>
      <c r="H930" s="181" t="n">
        <v>1</v>
      </c>
      <c r="I930" s="181" t="n">
        <v>928</v>
      </c>
      <c r="J930" s="181" t="n">
        <v>21.3317</v>
      </c>
      <c r="K930" s="181" t="n">
        <v>46.9165</v>
      </c>
    </row>
    <row r="931" ht="15" customHeight="1" s="28">
      <c r="A931" s="182" t="n">
        <v>1777569302</v>
      </c>
      <c r="B931" s="182" t="inlineStr">
        <is>
          <t>XAUUSD</t>
        </is>
      </c>
      <c r="C931" s="182" t="inlineStr">
        <is>
          <t>M15</t>
        </is>
      </c>
      <c r="D931" s="182" t="n">
        <v>4618</v>
      </c>
      <c r="E931" s="182" t="n">
        <v>4568.76593</v>
      </c>
      <c r="F931" s="182" t="n">
        <v>4614.29549</v>
      </c>
      <c r="G931" s="182" t="n">
        <v>4613.16762</v>
      </c>
      <c r="H931" s="182" t="n">
        <v>0</v>
      </c>
      <c r="I931" s="182" t="n">
        <v>929</v>
      </c>
      <c r="J931" s="182" t="n">
        <v>23.6356</v>
      </c>
      <c r="K931" s="182" t="n">
        <v>49.2341</v>
      </c>
    </row>
    <row r="932" ht="15" customHeight="1" s="28">
      <c r="A932" s="181" t="n">
        <v>1777570202</v>
      </c>
      <c r="B932" s="181" t="inlineStr">
        <is>
          <t>XAUUSD</t>
        </is>
      </c>
      <c r="C932" s="181" t="inlineStr">
        <is>
          <t>M15</t>
        </is>
      </c>
      <c r="D932" s="181" t="n">
        <v>4617.86</v>
      </c>
      <c r="E932" s="181" t="n">
        <v>4568.49832</v>
      </c>
      <c r="F932" s="181" t="n">
        <v>4616.46912</v>
      </c>
      <c r="G932" s="181" t="n">
        <v>4614.81837</v>
      </c>
      <c r="H932" s="181" t="n">
        <v>0</v>
      </c>
      <c r="I932" s="181" t="n">
        <v>930</v>
      </c>
      <c r="J932" s="181" t="n">
        <v>23.7495</v>
      </c>
      <c r="K932" s="181" t="n">
        <v>49.3617</v>
      </c>
    </row>
    <row r="933" ht="15" customHeight="1" s="28">
      <c r="A933" s="182" t="n">
        <v>1777571102</v>
      </c>
      <c r="B933" s="182" t="inlineStr">
        <is>
          <t>XAUUSD</t>
        </is>
      </c>
      <c r="C933" s="182" t="inlineStr">
        <is>
          <t>M15</t>
        </is>
      </c>
      <c r="D933" s="182" t="n">
        <v>4616.86</v>
      </c>
      <c r="E933" s="182" t="n">
        <v>4568.23072</v>
      </c>
      <c r="F933" s="182" t="n">
        <v>4618.69063</v>
      </c>
      <c r="G933" s="182" t="n">
        <v>4616.7545</v>
      </c>
      <c r="H933" s="182" t="n">
        <v>0</v>
      </c>
      <c r="I933" s="182" t="n">
        <v>931</v>
      </c>
      <c r="J933" s="182" t="n">
        <v>23.0034</v>
      </c>
      <c r="K933" s="182" t="n">
        <v>48.6293</v>
      </c>
    </row>
    <row r="934" ht="15" customHeight="1" s="28">
      <c r="A934" s="181" t="n">
        <v>1777572002</v>
      </c>
      <c r="B934" s="181" t="inlineStr">
        <is>
          <t>XAUUSD</t>
        </is>
      </c>
      <c r="C934" s="181" t="inlineStr">
        <is>
          <t>M15</t>
        </is>
      </c>
      <c r="D934" s="181" t="n">
        <v>4620.57</v>
      </c>
      <c r="E934" s="181" t="n">
        <v>4567.96312</v>
      </c>
      <c r="F934" s="181" t="n">
        <v>4620.65316</v>
      </c>
      <c r="G934" s="181" t="n">
        <v>4618.70383</v>
      </c>
      <c r="H934" s="181" t="n">
        <v>0</v>
      </c>
      <c r="I934" s="181" t="n">
        <v>932</v>
      </c>
      <c r="J934" s="181" t="n">
        <v>26.9673</v>
      </c>
      <c r="K934" s="181" t="n">
        <v>52.6069</v>
      </c>
    </row>
    <row r="935" ht="15" customHeight="1" s="28">
      <c r="A935" s="182" t="n">
        <v>1777572902</v>
      </c>
      <c r="B935" s="182" t="inlineStr">
        <is>
          <t>XAUUSD</t>
        </is>
      </c>
      <c r="C935" s="182" t="inlineStr">
        <is>
          <t>M15</t>
        </is>
      </c>
      <c r="D935" s="182" t="n">
        <v>4620.79</v>
      </c>
      <c r="E935" s="182" t="n">
        <v>4567.69551</v>
      </c>
      <c r="F935" s="182" t="n">
        <v>4622.00271</v>
      </c>
      <c r="G935" s="182" t="n">
        <v>4620.35327</v>
      </c>
      <c r="H935" s="182" t="n">
        <v>0</v>
      </c>
      <c r="I935" s="182" t="n">
        <v>933</v>
      </c>
      <c r="J935" s="182" t="n">
        <v>27.4412</v>
      </c>
      <c r="K935" s="182" t="n">
        <v>53.0945</v>
      </c>
    </row>
    <row r="936" ht="15" customHeight="1" s="28">
      <c r="A936" s="181" t="n">
        <v>1777573802</v>
      </c>
      <c r="B936" s="181" t="inlineStr">
        <is>
          <t>XAUUSD</t>
        </is>
      </c>
      <c r="C936" s="181" t="inlineStr">
        <is>
          <t>M15</t>
        </is>
      </c>
      <c r="D936" s="181" t="n">
        <v>4620.7</v>
      </c>
      <c r="E936" s="181" t="n">
        <v>4567.42791</v>
      </c>
      <c r="F936" s="181" t="n">
        <v>4622.56406</v>
      </c>
      <c r="G936" s="181" t="n">
        <v>4621.45866</v>
      </c>
      <c r="H936" s="181" t="n">
        <v>0</v>
      </c>
      <c r="I936" s="181" t="n">
        <v>934</v>
      </c>
      <c r="J936" s="181" t="n">
        <v>27.6051</v>
      </c>
      <c r="K936" s="181" t="n">
        <v>53.2721</v>
      </c>
    </row>
    <row r="937" ht="15" customHeight="1" s="28">
      <c r="A937" s="182" t="n">
        <v>1777574702</v>
      </c>
      <c r="B937" s="182" t="inlineStr">
        <is>
          <t>XAUUSD</t>
        </is>
      </c>
      <c r="C937" s="182" t="inlineStr">
        <is>
          <t>M15</t>
        </is>
      </c>
      <c r="D937" s="182" t="n">
        <v>4622.48</v>
      </c>
      <c r="E937" s="182" t="n">
        <v>4567.1603</v>
      </c>
      <c r="F937" s="182" t="n">
        <v>4622.31167</v>
      </c>
      <c r="G937" s="182" t="n">
        <v>4621.88517</v>
      </c>
      <c r="H937" s="182" t="n">
        <v>0</v>
      </c>
      <c r="I937" s="182" t="n">
        <v>935</v>
      </c>
      <c r="J937" s="182" t="n">
        <v>29.639</v>
      </c>
      <c r="K937" s="182" t="n">
        <v>55.3197</v>
      </c>
    </row>
    <row r="938" ht="15" customHeight="1" s="28">
      <c r="A938" s="181" t="n">
        <v>1777575602</v>
      </c>
      <c r="B938" s="181" t="inlineStr">
        <is>
          <t>XAUUSD</t>
        </is>
      </c>
      <c r="C938" s="181" t="inlineStr">
        <is>
          <t>M15</t>
        </is>
      </c>
      <c r="D938" s="181" t="n">
        <v>4624.33</v>
      </c>
      <c r="E938" s="181" t="n">
        <v>4566.8927</v>
      </c>
      <c r="F938" s="181" t="n">
        <v>4621.3179</v>
      </c>
      <c r="G938" s="181" t="n">
        <v>4621.60153</v>
      </c>
      <c r="H938" s="181" t="n">
        <v>1</v>
      </c>
      <c r="I938" s="181" t="n">
        <v>936</v>
      </c>
      <c r="J938" s="181" t="n">
        <v>31.7429</v>
      </c>
      <c r="K938" s="181" t="n">
        <v>57.4373</v>
      </c>
    </row>
    <row r="939" ht="15" customHeight="1" s="28">
      <c r="A939" s="182" t="n">
        <v>1777576502</v>
      </c>
      <c r="B939" s="182" t="inlineStr">
        <is>
          <t>XAUUSD</t>
        </is>
      </c>
      <c r="C939" s="182" t="inlineStr">
        <is>
          <t>M15</t>
        </is>
      </c>
      <c r="D939" s="182" t="n">
        <v>4617.77</v>
      </c>
      <c r="E939" s="182" t="n">
        <v>4566.6251</v>
      </c>
      <c r="F939" s="182" t="n">
        <v>4619.84251</v>
      </c>
      <c r="G939" s="182" t="n">
        <v>4620.72202</v>
      </c>
      <c r="H939" s="182" t="n">
        <v>0</v>
      </c>
      <c r="I939" s="182" t="n">
        <v>937</v>
      </c>
      <c r="J939" s="182" t="n">
        <v>25.4368</v>
      </c>
      <c r="K939" s="182" t="n">
        <v>51.1449</v>
      </c>
    </row>
    <row r="940" ht="15" customHeight="1" s="28">
      <c r="A940" s="181" t="n">
        <v>1777577402</v>
      </c>
      <c r="B940" s="181" t="inlineStr">
        <is>
          <t>XAUUSD</t>
        </is>
      </c>
      <c r="C940" s="181" t="inlineStr">
        <is>
          <t>M15</t>
        </is>
      </c>
      <c r="D940" s="181" t="n">
        <v>4622.49</v>
      </c>
      <c r="E940" s="181" t="n">
        <v>4566.35749</v>
      </c>
      <c r="F940" s="181" t="n">
        <v>4618.46841</v>
      </c>
      <c r="G940" s="181" t="n">
        <v>4619.59522</v>
      </c>
      <c r="H940" s="181" t="n">
        <v>0</v>
      </c>
      <c r="I940" s="181" t="n">
        <v>938</v>
      </c>
      <c r="J940" s="181" t="n">
        <v>30.4107</v>
      </c>
      <c r="K940" s="181" t="n">
        <v>56.1325</v>
      </c>
    </row>
    <row r="941" ht="15" customHeight="1" s="28">
      <c r="A941" s="182" t="n">
        <v>1777578302</v>
      </c>
      <c r="B941" s="182" t="inlineStr">
        <is>
          <t>XAUUSD</t>
        </is>
      </c>
      <c r="C941" s="182" t="inlineStr">
        <is>
          <t>M15</t>
        </is>
      </c>
      <c r="D941" s="182" t="n">
        <v>4617.07</v>
      </c>
      <c r="E941" s="182" t="n">
        <v>4566.08989</v>
      </c>
      <c r="F941" s="182" t="n">
        <v>4617.48319</v>
      </c>
      <c r="G941" s="182" t="n">
        <v>4618.5392</v>
      </c>
      <c r="H941" s="182" t="n">
        <v>0</v>
      </c>
      <c r="I941" s="182" t="n">
        <v>939</v>
      </c>
      <c r="J941" s="182" t="n">
        <v>25.2446</v>
      </c>
      <c r="K941" s="182" t="n">
        <v>50.9801</v>
      </c>
    </row>
    <row r="942" ht="15" customHeight="1" s="28">
      <c r="A942" s="181" t="n">
        <v>1777579202</v>
      </c>
      <c r="B942" s="181" t="inlineStr">
        <is>
          <t>XAUUSD</t>
        </is>
      </c>
      <c r="C942" s="181" t="inlineStr">
        <is>
          <t>M15</t>
        </is>
      </c>
      <c r="D942" s="181" t="n">
        <v>4616.16</v>
      </c>
      <c r="E942" s="181" t="n">
        <v>4565.82228</v>
      </c>
      <c r="F942" s="181" t="n">
        <v>4617.39455</v>
      </c>
      <c r="G942" s="181" t="n">
        <v>4617.96688</v>
      </c>
      <c r="H942" s="181" t="n">
        <v>0</v>
      </c>
      <c r="I942" s="181" t="n">
        <v>940</v>
      </c>
      <c r="J942" s="181" t="n">
        <v>24.5885</v>
      </c>
      <c r="K942" s="181" t="n">
        <v>50.3377</v>
      </c>
    </row>
    <row r="943" ht="15" customHeight="1" s="28">
      <c r="A943" s="182" t="n">
        <v>1777580102</v>
      </c>
      <c r="B943" s="182" t="inlineStr">
        <is>
          <t>XAUUSD</t>
        </is>
      </c>
      <c r="C943" s="182" t="inlineStr">
        <is>
          <t>M15</t>
        </is>
      </c>
      <c r="D943" s="182" t="n">
        <v>4616.72</v>
      </c>
      <c r="E943" s="182" t="n">
        <v>4565.55468</v>
      </c>
      <c r="F943" s="182" t="n">
        <v>4618.42066</v>
      </c>
      <c r="G943" s="182" t="n">
        <v>4618.19377</v>
      </c>
      <c r="H943" s="182" t="n">
        <v>1</v>
      </c>
      <c r="I943" s="182" t="n">
        <v>941</v>
      </c>
      <c r="J943" s="182" t="n">
        <v>25.4024</v>
      </c>
      <c r="K943" s="182" t="n">
        <v>51.1653</v>
      </c>
    </row>
    <row r="944" ht="15" customHeight="1" s="28">
      <c r="A944" s="181" t="n">
        <v>1777581002</v>
      </c>
      <c r="B944" s="181" t="inlineStr">
        <is>
          <t>XAUUSD</t>
        </is>
      </c>
      <c r="C944" s="181" t="inlineStr">
        <is>
          <t>M15</t>
        </is>
      </c>
      <c r="D944" s="181" t="n">
        <v>4617.33</v>
      </c>
      <c r="E944" s="181" t="n">
        <v>4565.28708</v>
      </c>
      <c r="F944" s="181" t="n">
        <v>4620.48777</v>
      </c>
      <c r="G944" s="181" t="n">
        <v>4619.34077</v>
      </c>
      <c r="H944" s="181" t="n">
        <v>0</v>
      </c>
      <c r="I944" s="181" t="n">
        <v>942</v>
      </c>
      <c r="J944" s="181" t="n">
        <v>26.2663</v>
      </c>
      <c r="K944" s="181" t="n">
        <v>52.0429</v>
      </c>
    </row>
    <row r="945" ht="15" customHeight="1" s="28">
      <c r="A945" s="182" t="n">
        <v>1777581902</v>
      </c>
      <c r="B945" s="182" t="inlineStr">
        <is>
          <t>XAUUSD</t>
        </is>
      </c>
      <c r="C945" s="182" t="inlineStr">
        <is>
          <t>M15</t>
        </is>
      </c>
      <c r="D945" s="182" t="n">
        <v>4621.81</v>
      </c>
      <c r="E945" s="182" t="n">
        <v>4565.01947</v>
      </c>
      <c r="F945" s="182" t="n">
        <v>4623.32065</v>
      </c>
      <c r="G945" s="182" t="n">
        <v>4621.33071</v>
      </c>
      <c r="H945" s="182" t="n">
        <v>0</v>
      </c>
      <c r="I945" s="182" t="n">
        <v>943</v>
      </c>
      <c r="J945" s="182" t="n">
        <v>31.0002</v>
      </c>
      <c r="K945" s="182" t="n">
        <v>56.7905</v>
      </c>
    </row>
    <row r="946" ht="15" customHeight="1" s="28">
      <c r="A946" s="181" t="n">
        <v>1777586402</v>
      </c>
      <c r="B946" s="181" t="inlineStr">
        <is>
          <t>XAUUSD</t>
        </is>
      </c>
      <c r="C946" s="181" t="inlineStr">
        <is>
          <t>M15</t>
        </is>
      </c>
      <c r="D946" s="181" t="n">
        <v>4631.38</v>
      </c>
      <c r="E946" s="181" t="n">
        <v>4564.75187</v>
      </c>
      <c r="F946" s="181" t="n">
        <v>4626.42762</v>
      </c>
      <c r="G946" s="181" t="n">
        <v>4623.87917</v>
      </c>
      <c r="H946" s="181" t="n">
        <v>0</v>
      </c>
      <c r="I946" s="181" t="n">
        <v>944</v>
      </c>
      <c r="J946" s="181" t="n">
        <v>40.8241</v>
      </c>
      <c r="K946" s="181" t="n">
        <v>66.6281</v>
      </c>
    </row>
    <row r="947" ht="15" customHeight="1" s="28">
      <c r="A947" s="182" t="n">
        <v>1777587302</v>
      </c>
      <c r="B947" s="182" t="inlineStr">
        <is>
          <t>XAUUSD</t>
        </is>
      </c>
      <c r="C947" s="182" t="inlineStr">
        <is>
          <t>M15</t>
        </is>
      </c>
      <c r="D947" s="182" t="n">
        <v>4631.38</v>
      </c>
      <c r="E947" s="182" t="n">
        <v>4564.48426</v>
      </c>
      <c r="F947" s="182" t="n">
        <v>4629.1488</v>
      </c>
      <c r="G947" s="182" t="n">
        <v>4626.51398</v>
      </c>
      <c r="H947" s="182" t="n">
        <v>0</v>
      </c>
      <c r="I947" s="182" t="n">
        <v>945</v>
      </c>
      <c r="J947" s="182" t="n">
        <v>41.078</v>
      </c>
      <c r="K947" s="182" t="n">
        <v>66.89570000000001</v>
      </c>
    </row>
    <row r="948" ht="15" customHeight="1" s="28">
      <c r="A948" s="181" t="n">
        <v>1777588202</v>
      </c>
      <c r="B948" s="181" t="inlineStr">
        <is>
          <t>XAUUSD</t>
        </is>
      </c>
      <c r="C948" s="181" t="inlineStr">
        <is>
          <t>M15</t>
        </is>
      </c>
      <c r="D948" s="181" t="n">
        <v>4631.75</v>
      </c>
      <c r="E948" s="181" t="n">
        <v>4564.21666</v>
      </c>
      <c r="F948" s="181" t="n">
        <v>4631.15873</v>
      </c>
      <c r="G948" s="181" t="n">
        <v>4628.83636</v>
      </c>
      <c r="H948" s="181" t="n">
        <v>0</v>
      </c>
      <c r="I948" s="181" t="n">
        <v>946</v>
      </c>
      <c r="J948" s="181" t="n">
        <v>41.7019</v>
      </c>
      <c r="K948" s="181" t="n">
        <v>67.5333</v>
      </c>
    </row>
    <row r="949" ht="15" customHeight="1" s="28">
      <c r="A949" s="182" t="n">
        <v>1777589102</v>
      </c>
      <c r="B949" s="182" t="inlineStr">
        <is>
          <t>XAUUSD</t>
        </is>
      </c>
      <c r="C949" s="182" t="inlineStr">
        <is>
          <t>M15</t>
        </is>
      </c>
      <c r="D949" s="182" t="n">
        <v>4630.51</v>
      </c>
      <c r="E949" s="182" t="n">
        <v>4563.94905</v>
      </c>
      <c r="F949" s="182" t="n">
        <v>4632.1927</v>
      </c>
      <c r="G949" s="182" t="n">
        <v>4630.51453</v>
      </c>
      <c r="H949" s="182" t="n">
        <v>0</v>
      </c>
      <c r="I949" s="182" t="n">
        <v>947</v>
      </c>
      <c r="J949" s="182" t="n">
        <v>40.7158</v>
      </c>
      <c r="K949" s="182" t="n">
        <v>66.56100000000001</v>
      </c>
    </row>
    <row r="950" ht="15" customHeight="1" s="28">
      <c r="A950" s="181" t="n">
        <v>1777590002</v>
      </c>
      <c r="B950" s="181" t="inlineStr">
        <is>
          <t>XAUUSD</t>
        </is>
      </c>
      <c r="C950" s="181" t="inlineStr">
        <is>
          <t>M15</t>
        </is>
      </c>
      <c r="D950" s="181" t="n">
        <v>4630.26</v>
      </c>
      <c r="E950" s="181" t="n">
        <v>4563.68145</v>
      </c>
      <c r="F950" s="181" t="n">
        <v>4632.18551</v>
      </c>
      <c r="G950" s="181" t="n">
        <v>4631.35002</v>
      </c>
      <c r="H950" s="181" t="n">
        <v>0</v>
      </c>
      <c r="I950" s="181" t="n">
        <v>948</v>
      </c>
      <c r="J950" s="181" t="n">
        <v>40.7197</v>
      </c>
      <c r="K950" s="181" t="n">
        <v>66.57859999999999</v>
      </c>
    </row>
    <row r="951" ht="15" customHeight="1" s="28">
      <c r="A951" s="182" t="n">
        <v>1777590902</v>
      </c>
      <c r="B951" s="182" t="inlineStr">
        <is>
          <t>XAUUSD</t>
        </is>
      </c>
      <c r="C951" s="182" t="inlineStr">
        <is>
          <t>M15</t>
        </is>
      </c>
      <c r="D951" s="182" t="n">
        <v>4630.75</v>
      </c>
      <c r="E951" s="182" t="n">
        <v>4563.41385</v>
      </c>
      <c r="F951" s="182" t="n">
        <v>4631.18623</v>
      </c>
      <c r="G951" s="182" t="n">
        <v>4631.26813</v>
      </c>
      <c r="H951" s="182" t="n">
        <v>1</v>
      </c>
      <c r="I951" s="182" t="n">
        <v>949</v>
      </c>
      <c r="J951" s="182" t="n">
        <v>41.4636</v>
      </c>
      <c r="K951" s="182" t="n">
        <v>67.33620000000001</v>
      </c>
    </row>
    <row r="952" ht="15" customHeight="1" s="28">
      <c r="A952" s="181" t="n">
        <v>1777591802</v>
      </c>
      <c r="B952" s="181" t="inlineStr">
        <is>
          <t>XAUUSD</t>
        </is>
      </c>
      <c r="C952" s="181" t="inlineStr">
        <is>
          <t>M15</t>
        </is>
      </c>
      <c r="D952" s="181" t="n">
        <v>4631.31</v>
      </c>
      <c r="E952" s="181" t="n">
        <v>4563.14624</v>
      </c>
      <c r="F952" s="181" t="n">
        <v>4629.33694</v>
      </c>
      <c r="G952" s="181" t="n">
        <v>4630.30253</v>
      </c>
      <c r="H952" s="181" t="n">
        <v>0</v>
      </c>
      <c r="I952" s="181" t="n">
        <v>950</v>
      </c>
      <c r="J952" s="181" t="n">
        <v>42.2774</v>
      </c>
      <c r="K952" s="181" t="n">
        <v>68.16379999999999</v>
      </c>
    </row>
    <row r="953" ht="15" customHeight="1" s="28">
      <c r="A953" s="182" t="n">
        <v>1777592702</v>
      </c>
      <c r="B953" s="182" t="inlineStr">
        <is>
          <t>XAUUSD</t>
        </is>
      </c>
      <c r="C953" s="182" t="inlineStr">
        <is>
          <t>M15</t>
        </is>
      </c>
      <c r="D953" s="182" t="n">
        <v>4626.71</v>
      </c>
      <c r="E953" s="182" t="n">
        <v>4562.87864</v>
      </c>
      <c r="F953" s="182" t="n">
        <v>4626.8861</v>
      </c>
      <c r="G953" s="182" t="n">
        <v>4628.59431</v>
      </c>
      <c r="H953" s="182" t="n">
        <v>0</v>
      </c>
      <c r="I953" s="182" t="n">
        <v>951</v>
      </c>
      <c r="J953" s="182" t="n">
        <v>37.9313</v>
      </c>
      <c r="K953" s="182" t="n">
        <v>63.8314</v>
      </c>
    </row>
    <row r="954" ht="15" customHeight="1" s="28">
      <c r="A954" s="181" t="n">
        <v>1777593602</v>
      </c>
      <c r="B954" s="181" t="inlineStr">
        <is>
          <t>XAUUSD</t>
        </is>
      </c>
      <c r="C954" s="181" t="inlineStr">
        <is>
          <t>M15</t>
        </is>
      </c>
      <c r="D954" s="181" t="n">
        <v>4622.55</v>
      </c>
      <c r="E954" s="181" t="n">
        <v>4562.61103</v>
      </c>
      <c r="F954" s="181" t="n">
        <v>4624.29223</v>
      </c>
      <c r="G954" s="181" t="n">
        <v>4626.44327</v>
      </c>
      <c r="H954" s="181" t="n">
        <v>0</v>
      </c>
      <c r="I954" s="181" t="n">
        <v>952</v>
      </c>
      <c r="J954" s="181" t="n">
        <v>34.0252</v>
      </c>
      <c r="K954" s="181" t="n">
        <v>59.939</v>
      </c>
    </row>
    <row r="955" ht="15" customHeight="1" s="28">
      <c r="A955" s="182" t="n">
        <v>1777594502</v>
      </c>
      <c r="B955" s="182" t="inlineStr">
        <is>
          <t>XAUUSD</t>
        </is>
      </c>
      <c r="C955" s="182" t="inlineStr">
        <is>
          <t>M15</t>
        </is>
      </c>
      <c r="D955" s="182" t="n">
        <v>4623.65</v>
      </c>
      <c r="E955" s="182" t="n">
        <v>4562.34343</v>
      </c>
      <c r="F955" s="182" t="n">
        <v>4622.01892</v>
      </c>
      <c r="G955" s="182" t="n">
        <v>4624.2311</v>
      </c>
      <c r="H955" s="182" t="n">
        <v>0</v>
      </c>
      <c r="I955" s="182" t="n">
        <v>953</v>
      </c>
      <c r="J955" s="182" t="n">
        <v>35.3791</v>
      </c>
      <c r="K955" s="182" t="n">
        <v>61.3066</v>
      </c>
    </row>
    <row r="956" ht="15" customHeight="1" s="28">
      <c r="A956" s="181" t="n">
        <v>1777595402</v>
      </c>
      <c r="B956" s="181" t="inlineStr">
        <is>
          <t>XAUUSD</t>
        </is>
      </c>
      <c r="C956" s="181" t="inlineStr">
        <is>
          <t>M15</t>
        </is>
      </c>
      <c r="D956" s="181" t="n">
        <v>4620.9</v>
      </c>
      <c r="E956" s="181" t="n">
        <v>4562.07583</v>
      </c>
      <c r="F956" s="181" t="n">
        <v>4620.30067</v>
      </c>
      <c r="G956" s="181" t="n">
        <v>4622.26588</v>
      </c>
      <c r="H956" s="181" t="n">
        <v>0</v>
      </c>
      <c r="I956" s="181" t="n">
        <v>954</v>
      </c>
      <c r="J956" s="181" t="n">
        <v>32.883</v>
      </c>
      <c r="K956" s="181" t="n">
        <v>58.8242</v>
      </c>
    </row>
    <row r="957" ht="15" customHeight="1" s="28">
      <c r="A957" s="182" t="n">
        <v>1777596302</v>
      </c>
      <c r="B957" s="182" t="inlineStr">
        <is>
          <t>XAUUSD</t>
        </is>
      </c>
      <c r="C957" s="182" t="inlineStr">
        <is>
          <t>M15</t>
        </is>
      </c>
      <c r="D957" s="182" t="n">
        <v>4620.02</v>
      </c>
      <c r="E957" s="182" t="n">
        <v>4561.80822</v>
      </c>
      <c r="F957" s="182" t="n">
        <v>4619.3652</v>
      </c>
      <c r="G957" s="182" t="n">
        <v>4620.81554</v>
      </c>
      <c r="H957" s="182" t="n">
        <v>0</v>
      </c>
      <c r="I957" s="182" t="n">
        <v>955</v>
      </c>
      <c r="J957" s="182" t="n">
        <v>32.2569</v>
      </c>
      <c r="K957" s="182" t="n">
        <v>58.2118</v>
      </c>
    </row>
    <row r="958" ht="15" customHeight="1" s="28">
      <c r="A958" s="181" t="n">
        <v>1777597202</v>
      </c>
      <c r="B958" s="181" t="inlineStr">
        <is>
          <t>XAUUSD</t>
        </is>
      </c>
      <c r="C958" s="181" t="inlineStr">
        <is>
          <t>M15</t>
        </is>
      </c>
      <c r="D958" s="181" t="n">
        <v>4618.7</v>
      </c>
      <c r="E958" s="181" t="n">
        <v>4561.54062</v>
      </c>
      <c r="F958" s="181" t="n">
        <v>4619.26545</v>
      </c>
      <c r="G958" s="181" t="n">
        <v>4620.04049</v>
      </c>
      <c r="H958" s="181" t="n">
        <v>0</v>
      </c>
      <c r="I958" s="181" t="n">
        <v>956</v>
      </c>
      <c r="J958" s="181" t="n">
        <v>31.1908</v>
      </c>
      <c r="K958" s="181" t="n">
        <v>57.1594</v>
      </c>
    </row>
    <row r="959" ht="15" customHeight="1" s="28">
      <c r="A959" s="182" t="n">
        <v>1777598102</v>
      </c>
      <c r="B959" s="182" t="inlineStr">
        <is>
          <t>XAUUSD</t>
        </is>
      </c>
      <c r="C959" s="182" t="inlineStr">
        <is>
          <t>M15</t>
        </is>
      </c>
      <c r="D959" s="182" t="n">
        <v>4616.68</v>
      </c>
      <c r="E959" s="182" t="n">
        <v>4561.27301</v>
      </c>
      <c r="F959" s="182" t="n">
        <v>4619.91773</v>
      </c>
      <c r="G959" s="182" t="n">
        <v>4619.97911</v>
      </c>
      <c r="H959" s="182" t="n">
        <v>0</v>
      </c>
      <c r="I959" s="182" t="n">
        <v>957</v>
      </c>
      <c r="J959" s="182" t="n">
        <v>29.4247</v>
      </c>
      <c r="K959" s="182" t="n">
        <v>55.407</v>
      </c>
    </row>
    <row r="960" ht="15" customHeight="1" s="28">
      <c r="A960" s="181" t="n">
        <v>1777599002</v>
      </c>
      <c r="B960" s="181" t="inlineStr">
        <is>
          <t>XAUUSD</t>
        </is>
      </c>
      <c r="C960" s="181" t="inlineStr">
        <is>
          <t>M15</t>
        </is>
      </c>
      <c r="D960" s="181" t="n">
        <v>4620.2</v>
      </c>
      <c r="E960" s="181" t="n">
        <v>4561.00541</v>
      </c>
      <c r="F960" s="181" t="n">
        <v>4621.17664</v>
      </c>
      <c r="G960" s="181" t="n">
        <v>4620.57787</v>
      </c>
      <c r="H960" s="181" t="n">
        <v>1</v>
      </c>
      <c r="I960" s="181" t="n">
        <v>958</v>
      </c>
      <c r="J960" s="181" t="n">
        <v>33.1986</v>
      </c>
      <c r="K960" s="181" t="n">
        <v>59.1946</v>
      </c>
    </row>
    <row r="961" ht="15" customHeight="1" s="28">
      <c r="A961" s="182" t="n">
        <v>1777599902</v>
      </c>
      <c r="B961" s="182" t="inlineStr">
        <is>
          <t>XAUUSD</t>
        </is>
      </c>
      <c r="C961" s="182" t="inlineStr">
        <is>
          <t>M15</t>
        </is>
      </c>
      <c r="D961" s="182" t="n">
        <v>4621.05</v>
      </c>
      <c r="E961" s="182" t="n">
        <v>4560.73781</v>
      </c>
      <c r="F961" s="182" t="n">
        <v>4622.67109</v>
      </c>
      <c r="G961" s="182" t="n">
        <v>4621.62448</v>
      </c>
      <c r="H961" s="182" t="n">
        <v>0</v>
      </c>
      <c r="I961" s="182" t="n">
        <v>959</v>
      </c>
      <c r="J961" s="182" t="n">
        <v>34.3025</v>
      </c>
      <c r="K961" s="182" t="n">
        <v>60.3122</v>
      </c>
    </row>
    <row r="962" ht="15" customHeight="1" s="28">
      <c r="A962" s="181" t="n">
        <v>1777600802</v>
      </c>
      <c r="B962" s="181" t="inlineStr">
        <is>
          <t>XAUUSD</t>
        </is>
      </c>
      <c r="C962" s="181" t="inlineStr">
        <is>
          <t>M15</t>
        </is>
      </c>
      <c r="D962" s="181" t="n">
        <v>4630.89</v>
      </c>
      <c r="E962" s="181" t="n">
        <v>4560.4702</v>
      </c>
      <c r="F962" s="181" t="n">
        <v>4624.1071</v>
      </c>
      <c r="G962" s="181" t="n">
        <v>4622.86579</v>
      </c>
      <c r="H962" s="181" t="n">
        <v>0</v>
      </c>
      <c r="I962" s="181" t="n">
        <v>960</v>
      </c>
      <c r="J962" s="181" t="n">
        <v>44.3964</v>
      </c>
      <c r="K962" s="181" t="n">
        <v>70.4198</v>
      </c>
    </row>
    <row r="963" ht="15" customHeight="1" s="28">
      <c r="A963" s="182" t="n">
        <v>1777601702</v>
      </c>
      <c r="B963" s="182" t="inlineStr">
        <is>
          <t>XAUUSD</t>
        </is>
      </c>
      <c r="C963" s="182" t="inlineStr">
        <is>
          <t>M15</t>
        </is>
      </c>
      <c r="D963" s="182" t="n">
        <v>4629.39</v>
      </c>
      <c r="E963" s="182" t="n">
        <v>4560.2026</v>
      </c>
      <c r="F963" s="182" t="n">
        <v>4625.02416</v>
      </c>
      <c r="G963" s="182" t="n">
        <v>4623.94497</v>
      </c>
      <c r="H963" s="182" t="n">
        <v>0</v>
      </c>
      <c r="I963" s="182" t="n">
        <v>961</v>
      </c>
      <c r="J963" s="182" t="n">
        <v>43.1503</v>
      </c>
      <c r="K963" s="182" t="n">
        <v>69.1874</v>
      </c>
    </row>
    <row r="964" ht="15" customHeight="1" s="28">
      <c r="A964" s="181" t="n">
        <v>1777602602</v>
      </c>
      <c r="B964" s="181" t="inlineStr">
        <is>
          <t>XAUUSD</t>
        </is>
      </c>
      <c r="C964" s="181" t="inlineStr">
        <is>
          <t>M15</t>
        </is>
      </c>
      <c r="D964" s="181" t="n">
        <v>4624.38</v>
      </c>
      <c r="E964" s="181" t="n">
        <v>4559.93499</v>
      </c>
      <c r="F964" s="181" t="n">
        <v>4625.40267</v>
      </c>
      <c r="G964" s="181" t="n">
        <v>4624.67382</v>
      </c>
      <c r="H964" s="181" t="n">
        <v>0</v>
      </c>
      <c r="I964" s="181" t="n">
        <v>962</v>
      </c>
      <c r="J964" s="181" t="n">
        <v>38.3942</v>
      </c>
      <c r="K964" s="181" t="n">
        <v>64.44499999999999</v>
      </c>
    </row>
    <row r="965" ht="15" customHeight="1" s="28">
      <c r="A965" s="182" t="n">
        <v>1777603502</v>
      </c>
      <c r="B965" s="182" t="inlineStr">
        <is>
          <t>XAUUSD</t>
        </is>
      </c>
      <c r="C965" s="182" t="inlineStr">
        <is>
          <t>M15</t>
        </is>
      </c>
      <c r="D965" s="182" t="n">
        <v>4619.15</v>
      </c>
      <c r="E965" s="182" t="n">
        <v>4559.66739</v>
      </c>
      <c r="F965" s="182" t="n">
        <v>4625.38626</v>
      </c>
      <c r="G965" s="182" t="n">
        <v>4625.03004</v>
      </c>
      <c r="H965" s="182" t="n">
        <v>0</v>
      </c>
      <c r="I965" s="182" t="n">
        <v>963</v>
      </c>
      <c r="J965" s="182" t="n">
        <v>33.4181</v>
      </c>
      <c r="K965" s="182" t="n">
        <v>59.4826</v>
      </c>
    </row>
    <row r="966" ht="15" customHeight="1" s="28">
      <c r="A966" s="181" t="n">
        <v>1777604402</v>
      </c>
      <c r="B966" s="181" t="inlineStr">
        <is>
          <t>XAUUSD</t>
        </is>
      </c>
      <c r="C966" s="181" t="inlineStr">
        <is>
          <t>M15</t>
        </is>
      </c>
      <c r="D966" s="181" t="n">
        <v>4620.85</v>
      </c>
      <c r="E966" s="181" t="n">
        <v>4559.39979</v>
      </c>
      <c r="F966" s="181" t="n">
        <v>4625.15934</v>
      </c>
      <c r="G966" s="181" t="n">
        <v>4625.09469</v>
      </c>
      <c r="H966" s="181" t="n">
        <v>0</v>
      </c>
      <c r="I966" s="181" t="n">
        <v>964</v>
      </c>
      <c r="J966" s="181" t="n">
        <v>35.372</v>
      </c>
      <c r="K966" s="181" t="n">
        <v>61.4502</v>
      </c>
    </row>
    <row r="967" ht="15" customHeight="1" s="28">
      <c r="A967" s="182" t="n">
        <v>1777605302</v>
      </c>
      <c r="B967" s="182" t="inlineStr">
        <is>
          <t>XAUUSD</t>
        </is>
      </c>
      <c r="C967" s="182" t="inlineStr">
        <is>
          <t>M15</t>
        </is>
      </c>
      <c r="D967" s="182" t="n">
        <v>4626.13</v>
      </c>
      <c r="E967" s="182" t="n">
        <v>4559.13218</v>
      </c>
      <c r="F967" s="182" t="n">
        <v>4624.70187</v>
      </c>
      <c r="G967" s="182" t="n">
        <v>4624.89828</v>
      </c>
      <c r="H967" s="182" t="n">
        <v>1</v>
      </c>
      <c r="I967" s="182" t="n">
        <v>965</v>
      </c>
      <c r="J967" s="182" t="n">
        <v>40.9059</v>
      </c>
      <c r="K967" s="182" t="n">
        <v>66.9978</v>
      </c>
    </row>
    <row r="968" ht="15" customHeight="1" s="28">
      <c r="A968" s="181" t="n">
        <v>1777606202</v>
      </c>
      <c r="B968" s="181" t="inlineStr">
        <is>
          <t>XAUUSD</t>
        </is>
      </c>
      <c r="C968" s="181" t="inlineStr">
        <is>
          <t>M15</t>
        </is>
      </c>
      <c r="D968" s="181" t="n">
        <v>4626.21</v>
      </c>
      <c r="E968" s="181" t="n">
        <v>4558.86458</v>
      </c>
      <c r="F968" s="181" t="n">
        <v>4623.85411</v>
      </c>
      <c r="G968" s="181" t="n">
        <v>4624.37619</v>
      </c>
      <c r="H968" s="181" t="n">
        <v>0</v>
      </c>
      <c r="I968" s="181" t="n">
        <v>966</v>
      </c>
      <c r="J968" s="181" t="n">
        <v>41.2398</v>
      </c>
      <c r="K968" s="181" t="n">
        <v>67.3454</v>
      </c>
    </row>
    <row r="969" ht="15" customHeight="1" s="28">
      <c r="A969" s="182" t="n">
        <v>1777607102</v>
      </c>
      <c r="B969" s="182" t="inlineStr">
        <is>
          <t>XAUUSD</t>
        </is>
      </c>
      <c r="C969" s="182" t="inlineStr">
        <is>
          <t>M15</t>
        </is>
      </c>
      <c r="D969" s="182" t="n">
        <v>4626.67</v>
      </c>
      <c r="E969" s="182" t="n">
        <v>4558.59697</v>
      </c>
      <c r="F969" s="182" t="n">
        <v>4622.57556</v>
      </c>
      <c r="G969" s="182" t="n">
        <v>4623.47588</v>
      </c>
      <c r="H969" s="182" t="n">
        <v>0</v>
      </c>
      <c r="I969" s="182" t="n">
        <v>967</v>
      </c>
      <c r="J969" s="182" t="n">
        <v>41.9537</v>
      </c>
      <c r="K969" s="182" t="n">
        <v>68.07299999999999</v>
      </c>
    </row>
    <row r="970" ht="15" customHeight="1" s="28">
      <c r="A970" s="181" t="n">
        <v>1777608002</v>
      </c>
      <c r="B970" s="181" t="inlineStr">
        <is>
          <t>XAUUSD</t>
        </is>
      </c>
      <c r="C970" s="181" t="inlineStr">
        <is>
          <t>M15</t>
        </is>
      </c>
      <c r="D970" s="181" t="n">
        <v>4621.93</v>
      </c>
      <c r="E970" s="181" t="n">
        <v>4558.32937</v>
      </c>
      <c r="F970" s="181" t="n">
        <v>4620.83276</v>
      </c>
      <c r="G970" s="181" t="n">
        <v>4622.15432</v>
      </c>
      <c r="H970" s="181" t="n">
        <v>0</v>
      </c>
      <c r="I970" s="181" t="n">
        <v>968</v>
      </c>
      <c r="J970" s="181" t="n">
        <v>37.4676</v>
      </c>
      <c r="K970" s="181" t="n">
        <v>63.6006</v>
      </c>
    </row>
    <row r="971" ht="15" customHeight="1" s="28">
      <c r="A971" s="182" t="n">
        <v>1777608902</v>
      </c>
      <c r="B971" s="182" t="inlineStr">
        <is>
          <t>XAUUSD</t>
        </is>
      </c>
      <c r="C971" s="182" t="inlineStr">
        <is>
          <t>M15</t>
        </is>
      </c>
      <c r="D971" s="182" t="n">
        <v>4617.53</v>
      </c>
      <c r="E971" s="182" t="n">
        <v>4558.06176</v>
      </c>
      <c r="F971" s="182" t="n">
        <v>4618.75149</v>
      </c>
      <c r="G971" s="182" t="n">
        <v>4620.4529</v>
      </c>
      <c r="H971" s="182" t="n">
        <v>0</v>
      </c>
      <c r="I971" s="182" t="n">
        <v>969</v>
      </c>
      <c r="J971" s="182" t="n">
        <v>33.3215</v>
      </c>
      <c r="K971" s="182" t="n">
        <v>59.4682</v>
      </c>
    </row>
    <row r="972" ht="15" customHeight="1" s="28">
      <c r="A972" s="181" t="n">
        <v>1777609802</v>
      </c>
      <c r="B972" s="181" t="inlineStr">
        <is>
          <t>XAUUSD</t>
        </is>
      </c>
      <c r="C972" s="181" t="inlineStr">
        <is>
          <t>M15</t>
        </is>
      </c>
      <c r="D972" s="181" t="n">
        <v>4613.51</v>
      </c>
      <c r="E972" s="181" t="n">
        <v>4557.79416</v>
      </c>
      <c r="F972" s="181" t="n">
        <v>4616.49328</v>
      </c>
      <c r="G972" s="181" t="n">
        <v>4618.47309</v>
      </c>
      <c r="H972" s="181" t="n">
        <v>0</v>
      </c>
      <c r="I972" s="181" t="n">
        <v>970</v>
      </c>
      <c r="J972" s="181" t="n">
        <v>29.5554</v>
      </c>
      <c r="K972" s="181" t="n">
        <v>55.7158</v>
      </c>
    </row>
    <row r="973" ht="15" customHeight="1" s="28">
      <c r="A973" s="182" t="n">
        <v>1777610702</v>
      </c>
      <c r="B973" s="182" t="inlineStr">
        <is>
          <t>XAUUSD</t>
        </is>
      </c>
      <c r="C973" s="182" t="inlineStr">
        <is>
          <t>M15</t>
        </is>
      </c>
      <c r="D973" s="182" t="n">
        <v>4609.18</v>
      </c>
      <c r="E973" s="182" t="n">
        <v>4557.52656</v>
      </c>
      <c r="F973" s="182" t="n">
        <v>4614.20071</v>
      </c>
      <c r="G973" s="182" t="n">
        <v>4616.3369</v>
      </c>
      <c r="H973" s="182" t="n">
        <v>0</v>
      </c>
      <c r="I973" s="182" t="n">
        <v>971</v>
      </c>
      <c r="J973" s="182" t="n">
        <v>25.4793</v>
      </c>
      <c r="K973" s="182" t="n">
        <v>51.6534</v>
      </c>
    </row>
    <row r="974" ht="15" customHeight="1" s="28">
      <c r="A974" s="181" t="n">
        <v>1777611602</v>
      </c>
      <c r="B974" s="181" t="inlineStr">
        <is>
          <t>XAUUSD</t>
        </is>
      </c>
      <c r="C974" s="181" t="inlineStr">
        <is>
          <t>M15</t>
        </is>
      </c>
      <c r="D974" s="181" t="n">
        <v>4614.29</v>
      </c>
      <c r="E974" s="181" t="n">
        <v>4557.25895</v>
      </c>
      <c r="F974" s="181" t="n">
        <v>4611.98192</v>
      </c>
      <c r="G974" s="181" t="n">
        <v>4614.15941</v>
      </c>
      <c r="H974" s="181" t="n">
        <v>0</v>
      </c>
      <c r="I974" s="181" t="n">
        <v>972</v>
      </c>
      <c r="J974" s="181" t="n">
        <v>30.8431</v>
      </c>
      <c r="K974" s="181" t="n">
        <v>57.031</v>
      </c>
    </row>
    <row r="975" ht="15" customHeight="1" s="28">
      <c r="A975" s="182" t="n">
        <v>1777612502</v>
      </c>
      <c r="B975" s="182" t="inlineStr">
        <is>
          <t>XAUUSD</t>
        </is>
      </c>
      <c r="C975" s="182" t="inlineStr">
        <is>
          <t>M15</t>
        </is>
      </c>
      <c r="D975" s="182" t="n">
        <v>4614.64</v>
      </c>
      <c r="E975" s="182" t="n">
        <v>4556.99135</v>
      </c>
      <c r="F975" s="182" t="n">
        <v>4609.70218</v>
      </c>
      <c r="G975" s="182" t="n">
        <v>4611.9308</v>
      </c>
      <c r="H975" s="182" t="n">
        <v>0</v>
      </c>
      <c r="I975" s="182" t="n">
        <v>973</v>
      </c>
      <c r="J975" s="182" t="n">
        <v>31.447</v>
      </c>
      <c r="K975" s="182" t="n">
        <v>57.6487</v>
      </c>
    </row>
    <row r="976" ht="15" customHeight="1" s="28">
      <c r="A976" s="181" t="n">
        <v>1777613402</v>
      </c>
      <c r="B976" s="181" t="inlineStr">
        <is>
          <t>XAUUSD</t>
        </is>
      </c>
      <c r="C976" s="181" t="inlineStr">
        <is>
          <t>M15</t>
        </is>
      </c>
      <c r="D976" s="181" t="n">
        <v>4610</v>
      </c>
      <c r="E976" s="181" t="n">
        <v>4556.72374</v>
      </c>
      <c r="F976" s="181" t="n">
        <v>4607.30397</v>
      </c>
      <c r="G976" s="181" t="n">
        <v>4609.61738</v>
      </c>
      <c r="H976" s="181" t="n">
        <v>0</v>
      </c>
      <c r="I976" s="181" t="n">
        <v>974</v>
      </c>
      <c r="J976" s="181" t="n">
        <v>27.0609</v>
      </c>
      <c r="K976" s="181" t="n">
        <v>53.2763</v>
      </c>
    </row>
    <row r="977" ht="15" customHeight="1" s="28">
      <c r="A977" s="182" t="n">
        <v>1777614302</v>
      </c>
      <c r="B977" s="182" t="inlineStr">
        <is>
          <t>XAUUSD</t>
        </is>
      </c>
      <c r="C977" s="182" t="inlineStr">
        <is>
          <t>M15</t>
        </is>
      </c>
      <c r="D977" s="182" t="n">
        <v>4605.03</v>
      </c>
      <c r="E977" s="182" t="n">
        <v>4556.45614</v>
      </c>
      <c r="F977" s="182" t="n">
        <v>4604.83316</v>
      </c>
      <c r="G977" s="182" t="n">
        <v>4607.22527</v>
      </c>
      <c r="H977" s="182" t="n">
        <v>0</v>
      </c>
      <c r="I977" s="182" t="n">
        <v>975</v>
      </c>
      <c r="J977" s="182" t="n">
        <v>22.3448</v>
      </c>
      <c r="K977" s="182" t="n">
        <v>48.5739</v>
      </c>
    </row>
    <row r="978" ht="15" customHeight="1" s="28">
      <c r="A978" s="181" t="n">
        <v>1777615202</v>
      </c>
      <c r="B978" s="181" t="inlineStr">
        <is>
          <t>XAUUSD</t>
        </is>
      </c>
      <c r="C978" s="181" t="inlineStr">
        <is>
          <t>M15</t>
        </is>
      </c>
      <c r="D978" s="181" t="n">
        <v>4601.49</v>
      </c>
      <c r="E978" s="181" t="n">
        <v>4556.18854</v>
      </c>
      <c r="F978" s="181" t="n">
        <v>4602.33592</v>
      </c>
      <c r="G978" s="181" t="n">
        <v>4604.7806</v>
      </c>
      <c r="H978" s="181" t="n">
        <v>0</v>
      </c>
      <c r="I978" s="181" t="n">
        <v>976</v>
      </c>
      <c r="J978" s="181" t="n">
        <v>19.0587</v>
      </c>
      <c r="K978" s="181" t="n">
        <v>45.3015</v>
      </c>
    </row>
    <row r="979" ht="15" customHeight="1" s="28">
      <c r="A979" s="182" t="n">
        <v>1777616102</v>
      </c>
      <c r="B979" s="182" t="inlineStr">
        <is>
          <t>XAUUSD</t>
        </is>
      </c>
      <c r="C979" s="182" t="inlineStr">
        <is>
          <t>M15</t>
        </is>
      </c>
      <c r="D979" s="182" t="n">
        <v>4593.44</v>
      </c>
      <c r="E979" s="182" t="n">
        <v>4555.92093</v>
      </c>
      <c r="F979" s="182" t="n">
        <v>4599.75347</v>
      </c>
      <c r="G979" s="182" t="n">
        <v>4602.26703</v>
      </c>
      <c r="H979" s="182" t="n">
        <v>0</v>
      </c>
      <c r="I979" s="182" t="n">
        <v>977</v>
      </c>
      <c r="J979" s="182" t="n">
        <v>11.2626</v>
      </c>
      <c r="K979" s="182" t="n">
        <v>37.5191</v>
      </c>
    </row>
    <row r="980" ht="15" customHeight="1" s="28">
      <c r="A980" s="181" t="n">
        <v>1777617002</v>
      </c>
      <c r="B980" s="181" t="inlineStr">
        <is>
          <t>XAUUSD</t>
        </is>
      </c>
      <c r="C980" s="181" t="inlineStr">
        <is>
          <t>M15</t>
        </is>
      </c>
      <c r="D980" s="181" t="n">
        <v>4593.36</v>
      </c>
      <c r="E980" s="181" t="n">
        <v>4555.65333</v>
      </c>
      <c r="F980" s="181" t="n">
        <v>4597.13603</v>
      </c>
      <c r="G980" s="181" t="n">
        <v>4599.70153</v>
      </c>
      <c r="H980" s="181" t="n">
        <v>0</v>
      </c>
      <c r="I980" s="181" t="n">
        <v>978</v>
      </c>
      <c r="J980" s="181" t="n">
        <v>11.4365</v>
      </c>
      <c r="K980" s="181" t="n">
        <v>37.7067</v>
      </c>
    </row>
    <row r="981" ht="15" customHeight="1" s="28">
      <c r="A981" s="182" t="n">
        <v>1777617902</v>
      </c>
      <c r="B981" s="182" t="inlineStr">
        <is>
          <t>XAUUSD</t>
        </is>
      </c>
      <c r="C981" s="182" t="inlineStr">
        <is>
          <t>M15</t>
        </is>
      </c>
      <c r="D981" s="182" t="n">
        <v>4594.77</v>
      </c>
      <c r="E981" s="182" t="n">
        <v>4555.38572</v>
      </c>
      <c r="F981" s="182" t="n">
        <v>4594.29338</v>
      </c>
      <c r="G981" s="182" t="n">
        <v>4596.99745</v>
      </c>
      <c r="H981" s="182" t="n">
        <v>0</v>
      </c>
      <c r="I981" s="182" t="n">
        <v>979</v>
      </c>
      <c r="J981" s="182" t="n">
        <v>13.1004</v>
      </c>
      <c r="K981" s="182" t="n">
        <v>39.3843</v>
      </c>
    </row>
    <row r="982" ht="15" customHeight="1" s="28">
      <c r="A982" s="181" t="n">
        <v>1777618802</v>
      </c>
      <c r="B982" s="181" t="inlineStr">
        <is>
          <t>XAUUSD</t>
        </is>
      </c>
      <c r="C982" s="181" t="inlineStr">
        <is>
          <t>M15</t>
        </is>
      </c>
      <c r="D982" s="181" t="n">
        <v>4595.97</v>
      </c>
      <c r="E982" s="181" t="n">
        <v>4555.11812</v>
      </c>
      <c r="F982" s="181" t="n">
        <v>4591.09649</v>
      </c>
      <c r="G982" s="181" t="n">
        <v>4594.04697</v>
      </c>
      <c r="H982" s="181" t="n">
        <v>0</v>
      </c>
      <c r="I982" s="181" t="n">
        <v>980</v>
      </c>
      <c r="J982" s="181" t="n">
        <v>14.5543</v>
      </c>
      <c r="K982" s="181" t="n">
        <v>40.8519</v>
      </c>
    </row>
    <row r="983" ht="15" customHeight="1" s="28">
      <c r="A983" s="182" t="n">
        <v>1777619702</v>
      </c>
      <c r="B983" s="182" t="inlineStr">
        <is>
          <t>XAUUSD</t>
        </is>
      </c>
      <c r="C983" s="182" t="inlineStr">
        <is>
          <t>M15</t>
        </is>
      </c>
      <c r="D983" s="182" t="n">
        <v>4592.32</v>
      </c>
      <c r="E983" s="182" t="n">
        <v>4554.85052</v>
      </c>
      <c r="F983" s="182" t="n">
        <v>4587.48142</v>
      </c>
      <c r="G983" s="182" t="n">
        <v>4590.7642</v>
      </c>
      <c r="H983" s="182" t="n">
        <v>0</v>
      </c>
      <c r="I983" s="182" t="n">
        <v>981</v>
      </c>
      <c r="J983" s="182" t="n">
        <v>11.1582</v>
      </c>
      <c r="K983" s="182" t="n">
        <v>37.4695</v>
      </c>
    </row>
    <row r="984" ht="15" customHeight="1" s="28">
      <c r="A984" s="181" t="n">
        <v>1777620602</v>
      </c>
      <c r="B984" s="181" t="inlineStr">
        <is>
          <t>XAUUSD</t>
        </is>
      </c>
      <c r="C984" s="181" t="inlineStr">
        <is>
          <t>M15</t>
        </is>
      </c>
      <c r="D984" s="181" t="n">
        <v>4585.41</v>
      </c>
      <c r="E984" s="181" t="n">
        <v>4554.58291</v>
      </c>
      <c r="F984" s="181" t="n">
        <v>4583.57847</v>
      </c>
      <c r="G984" s="181" t="n">
        <v>4587.17133</v>
      </c>
      <c r="H984" s="181" t="n">
        <v>0</v>
      </c>
      <c r="I984" s="181" t="n">
        <v>982</v>
      </c>
      <c r="J984" s="181" t="n">
        <v>4.5021</v>
      </c>
      <c r="K984" s="181" t="n">
        <v>30.8271</v>
      </c>
    </row>
    <row r="985" ht="15" customHeight="1" s="28">
      <c r="A985" s="182" t="n">
        <v>1777621502</v>
      </c>
      <c r="B985" s="182" t="inlineStr">
        <is>
          <t>XAUUSD</t>
        </is>
      </c>
      <c r="C985" s="182" t="inlineStr">
        <is>
          <t>M15</t>
        </is>
      </c>
      <c r="D985" s="182" t="n">
        <v>4578.16</v>
      </c>
      <c r="E985" s="182" t="n">
        <v>4554.31531</v>
      </c>
      <c r="F985" s="182" t="n">
        <v>4579.65779</v>
      </c>
      <c r="G985" s="182" t="n">
        <v>4583.41456</v>
      </c>
      <c r="H985" s="182" t="n">
        <v>0</v>
      </c>
      <c r="I985" s="182" t="n">
        <v>983</v>
      </c>
      <c r="J985" s="182" t="n">
        <v>-2.494</v>
      </c>
      <c r="K985" s="182" t="n">
        <v>23.8447</v>
      </c>
    </row>
    <row r="986" ht="15" customHeight="1" s="28">
      <c r="A986" s="181" t="n">
        <v>1777622402</v>
      </c>
      <c r="B986" s="181" t="inlineStr">
        <is>
          <t>XAUUSD</t>
        </is>
      </c>
      <c r="C986" s="181" t="inlineStr">
        <is>
          <t>M15</t>
        </is>
      </c>
      <c r="D986" s="181" t="n">
        <v>4574.06</v>
      </c>
      <c r="E986" s="181" t="n">
        <v>4554.0477</v>
      </c>
      <c r="F986" s="181" t="n">
        <v>4576.01848</v>
      </c>
      <c r="G986" s="181" t="n">
        <v>4579.71652</v>
      </c>
      <c r="H986" s="181" t="n">
        <v>0</v>
      </c>
      <c r="I986" s="181" t="n">
        <v>984</v>
      </c>
      <c r="J986" s="181" t="n">
        <v>-6.3401</v>
      </c>
      <c r="K986" s="181" t="n">
        <v>20.0123</v>
      </c>
    </row>
    <row r="987" ht="15" customHeight="1" s="28">
      <c r="A987" s="182" t="n">
        <v>1777623302</v>
      </c>
      <c r="B987" s="182" t="inlineStr">
        <is>
          <t>XAUUSD</t>
        </is>
      </c>
      <c r="C987" s="182" t="inlineStr">
        <is>
          <t>M15</t>
        </is>
      </c>
      <c r="D987" s="182" t="n">
        <v>4567.37</v>
      </c>
      <c r="E987" s="182" t="n">
        <v>4553.7801</v>
      </c>
      <c r="F987" s="182" t="n">
        <v>4572.85269</v>
      </c>
      <c r="G987" s="182" t="n">
        <v>4576.2846</v>
      </c>
      <c r="H987" s="182" t="n">
        <v>0</v>
      </c>
      <c r="I987" s="182" t="n">
        <v>985</v>
      </c>
      <c r="J987" s="182" t="n">
        <v>-12.7762</v>
      </c>
      <c r="K987" s="182" t="n">
        <v>13.5899</v>
      </c>
    </row>
    <row r="988" ht="15" customHeight="1" s="28">
      <c r="A988" s="181" t="n">
        <v>1777624202</v>
      </c>
      <c r="B988" s="181" t="inlineStr">
        <is>
          <t>XAUUSD</t>
        </is>
      </c>
      <c r="C988" s="181" t="inlineStr">
        <is>
          <t>M15</t>
        </is>
      </c>
      <c r="D988" s="181" t="n">
        <v>4571.29</v>
      </c>
      <c r="E988" s="181" t="n">
        <v>4553.5125</v>
      </c>
      <c r="F988" s="181" t="n">
        <v>4570.38966</v>
      </c>
      <c r="G988" s="181" t="n">
        <v>4573.33713</v>
      </c>
      <c r="H988" s="181" t="n">
        <v>0</v>
      </c>
      <c r="I988" s="181" t="n">
        <v>986</v>
      </c>
      <c r="J988" s="181" t="n">
        <v>-8.6023</v>
      </c>
      <c r="K988" s="181" t="n">
        <v>17.7775</v>
      </c>
    </row>
    <row r="989" ht="15" customHeight="1" s="28">
      <c r="A989" s="182" t="n">
        <v>1777625102</v>
      </c>
      <c r="B989" s="182" t="inlineStr">
        <is>
          <t>XAUUSD</t>
        </is>
      </c>
      <c r="C989" s="182" t="inlineStr">
        <is>
          <t>M15</t>
        </is>
      </c>
      <c r="D989" s="182" t="n">
        <v>4568.51</v>
      </c>
      <c r="E989" s="182" t="n">
        <v>4553.24489</v>
      </c>
      <c r="F989" s="182" t="n">
        <v>4568.51331</v>
      </c>
      <c r="G989" s="182" t="n">
        <v>4570.92522</v>
      </c>
      <c r="H989" s="182" t="n">
        <v>0</v>
      </c>
      <c r="I989" s="182" t="n">
        <v>987</v>
      </c>
      <c r="J989" s="182" t="n">
        <v>-11.1284</v>
      </c>
      <c r="K989" s="182" t="n">
        <v>15.2651</v>
      </c>
    </row>
    <row r="990" ht="15" customHeight="1" s="28">
      <c r="A990" s="181" t="n">
        <v>1777626002</v>
      </c>
      <c r="B990" s="181" t="inlineStr">
        <is>
          <t>XAUUSD</t>
        </is>
      </c>
      <c r="C990" s="181" t="inlineStr">
        <is>
          <t>M15</t>
        </is>
      </c>
      <c r="D990" s="181" t="n">
        <v>4565.87</v>
      </c>
      <c r="E990" s="181" t="n">
        <v>4552.97729</v>
      </c>
      <c r="F990" s="181" t="n">
        <v>4567.25655</v>
      </c>
      <c r="G990" s="181" t="n">
        <v>4569.09088</v>
      </c>
      <c r="H990" s="181" t="n">
        <v>0</v>
      </c>
      <c r="I990" s="181" t="n">
        <v>988</v>
      </c>
      <c r="J990" s="181" t="n">
        <v>-13.5145</v>
      </c>
      <c r="K990" s="181" t="n">
        <v>12.8927</v>
      </c>
    </row>
    <row r="991" ht="15" customHeight="1" s="28">
      <c r="A991" s="182" t="n">
        <v>1777626902</v>
      </c>
      <c r="B991" s="182" t="inlineStr">
        <is>
          <t>XAUUSD</t>
        </is>
      </c>
      <c r="C991" s="182" t="inlineStr">
        <is>
          <t>M15</t>
        </is>
      </c>
      <c r="D991" s="182" t="n">
        <v>4569.29</v>
      </c>
      <c r="E991" s="182" t="n">
        <v>4552.70968</v>
      </c>
      <c r="F991" s="182" t="n">
        <v>4566.60201</v>
      </c>
      <c r="G991" s="182" t="n">
        <v>4567.84645</v>
      </c>
      <c r="H991" s="182" t="n">
        <v>0</v>
      </c>
      <c r="I991" s="182" t="n">
        <v>989</v>
      </c>
      <c r="J991" s="182" t="n">
        <v>-9.8406</v>
      </c>
      <c r="K991" s="182" t="n">
        <v>16.5803</v>
      </c>
    </row>
    <row r="992" ht="15" customHeight="1" s="28">
      <c r="A992" s="181" t="n">
        <v>1777627802</v>
      </c>
      <c r="B992" s="181" t="inlineStr">
        <is>
          <t>XAUUSD</t>
        </is>
      </c>
      <c r="C992" s="181" t="inlineStr">
        <is>
          <t>M15</t>
        </is>
      </c>
      <c r="D992" s="181" t="n">
        <v>4570.62</v>
      </c>
      <c r="E992" s="181" t="n">
        <v>4552.44208</v>
      </c>
      <c r="F992" s="181" t="n">
        <v>4566.36135</v>
      </c>
      <c r="G992" s="181" t="n">
        <v>4567.1039</v>
      </c>
      <c r="H992" s="181" t="n">
        <v>0</v>
      </c>
      <c r="I992" s="181" t="n">
        <v>990</v>
      </c>
      <c r="J992" s="181" t="n">
        <v>-8.2567</v>
      </c>
      <c r="K992" s="181" t="n">
        <v>18.1779</v>
      </c>
    </row>
    <row r="993" ht="15" customHeight="1" s="28">
      <c r="A993" s="182" t="n">
        <v>1777628702</v>
      </c>
      <c r="B993" s="182" t="inlineStr">
        <is>
          <t>XAUUSD</t>
        </is>
      </c>
      <c r="C993" s="182" t="inlineStr">
        <is>
          <t>M15</t>
        </is>
      </c>
      <c r="D993" s="182" t="n">
        <v>4563.12</v>
      </c>
      <c r="E993" s="182" t="n">
        <v>4552.17447</v>
      </c>
      <c r="F993" s="182" t="n">
        <v>4566.40961</v>
      </c>
      <c r="G993" s="182" t="n">
        <v>4566.75676</v>
      </c>
      <c r="H993" s="182" t="n">
        <v>0</v>
      </c>
      <c r="I993" s="182" t="n">
        <v>991</v>
      </c>
      <c r="J993" s="182" t="n">
        <v>-15.5028</v>
      </c>
      <c r="K993" s="182" t="n">
        <v>10.9455</v>
      </c>
    </row>
    <row r="994" ht="15" customHeight="1" s="28">
      <c r="A994" s="181" t="n">
        <v>1777629602</v>
      </c>
      <c r="B994" s="181" t="inlineStr">
        <is>
          <t>XAUUSD</t>
        </is>
      </c>
      <c r="C994" s="181" t="inlineStr">
        <is>
          <t>M15</t>
        </is>
      </c>
      <c r="D994" s="181" t="n">
        <v>4566.78</v>
      </c>
      <c r="E994" s="181" t="n">
        <v>4551.90687</v>
      </c>
      <c r="F994" s="181" t="n">
        <v>4566.93363</v>
      </c>
      <c r="G994" s="181" t="n">
        <v>4566.84519</v>
      </c>
      <c r="H994" s="181" t="n">
        <v>1</v>
      </c>
      <c r="I994" s="181" t="n">
        <v>992</v>
      </c>
      <c r="J994" s="181" t="n">
        <v>-11.5889</v>
      </c>
      <c r="K994" s="181" t="n">
        <v>14.8731</v>
      </c>
    </row>
    <row r="995" ht="15" customHeight="1" s="28">
      <c r="A995" s="182" t="n">
        <v>1777630502</v>
      </c>
      <c r="B995" s="182" t="inlineStr">
        <is>
          <t>XAUUSD</t>
        </is>
      </c>
      <c r="C995" s="182" t="inlineStr">
        <is>
          <t>M15</t>
        </is>
      </c>
      <c r="D995" s="182" t="n">
        <v>4572.18</v>
      </c>
      <c r="E995" s="182" t="n">
        <v>4551.63927</v>
      </c>
      <c r="F995" s="182" t="n">
        <v>4567.82184</v>
      </c>
      <c r="G995" s="182" t="n">
        <v>4567.33352</v>
      </c>
      <c r="H995" s="182" t="n">
        <v>0</v>
      </c>
      <c r="I995" s="182" t="n">
        <v>993</v>
      </c>
      <c r="J995" s="182" t="n">
        <v>-5.935</v>
      </c>
      <c r="K995" s="182" t="n">
        <v>20.5407</v>
      </c>
    </row>
    <row r="996" ht="15" customHeight="1" s="28">
      <c r="A996" s="181" t="n">
        <v>1777631402</v>
      </c>
      <c r="B996" s="181" t="inlineStr">
        <is>
          <t>XAUUSD</t>
        </is>
      </c>
      <c r="C996" s="181" t="inlineStr">
        <is>
          <t>M15</t>
        </is>
      </c>
      <c r="D996" s="181" t="n">
        <v>4570.49</v>
      </c>
      <c r="E996" s="181" t="n">
        <v>4551.37166</v>
      </c>
      <c r="F996" s="181" t="n">
        <v>4568.91827</v>
      </c>
      <c r="G996" s="181" t="n">
        <v>4568.12589</v>
      </c>
      <c r="H996" s="181" t="n">
        <v>0</v>
      </c>
      <c r="I996" s="181" t="n">
        <v>994</v>
      </c>
      <c r="J996" s="181" t="n">
        <v>-7.3712</v>
      </c>
      <c r="K996" s="181" t="n">
        <v>19.1183</v>
      </c>
    </row>
    <row r="997" ht="15" customHeight="1" s="28">
      <c r="A997" s="182" t="n">
        <v>1777632302</v>
      </c>
      <c r="B997" s="182" t="inlineStr">
        <is>
          <t>XAUUSD</t>
        </is>
      </c>
      <c r="C997" s="182" t="inlineStr">
        <is>
          <t>M15</t>
        </is>
      </c>
      <c r="D997" s="182" t="n">
        <v>4566.67</v>
      </c>
      <c r="E997" s="182" t="n">
        <v>4551.10406</v>
      </c>
      <c r="F997" s="182" t="n">
        <v>4570.29255</v>
      </c>
      <c r="G997" s="182" t="n">
        <v>4569.20922</v>
      </c>
      <c r="H997" s="182" t="n">
        <v>0</v>
      </c>
      <c r="I997" s="182" t="n">
        <v>995</v>
      </c>
      <c r="J997" s="182" t="n">
        <v>-10.9373</v>
      </c>
      <c r="K997" s="182" t="n">
        <v>15.5659</v>
      </c>
    </row>
    <row r="998" ht="15" customHeight="1" s="28">
      <c r="A998" s="181" t="n">
        <v>1777633202</v>
      </c>
      <c r="B998" s="181" t="inlineStr">
        <is>
          <t>XAUUSD</t>
        </is>
      </c>
      <c r="C998" s="181" t="inlineStr">
        <is>
          <t>M15</t>
        </is>
      </c>
      <c r="D998" s="181" t="n">
        <v>4565.94</v>
      </c>
      <c r="E998" s="181" t="n">
        <v>4550.83645</v>
      </c>
      <c r="F998" s="181" t="n">
        <v>4572.03909</v>
      </c>
      <c r="G998" s="181" t="n">
        <v>4570.62416</v>
      </c>
      <c r="H998" s="181" t="n">
        <v>0</v>
      </c>
      <c r="I998" s="181" t="n">
        <v>996</v>
      </c>
      <c r="J998" s="181" t="n">
        <v>-11.4134</v>
      </c>
      <c r="K998" s="181" t="n">
        <v>15.1035</v>
      </c>
    </row>
    <row r="999" ht="15" customHeight="1" s="28">
      <c r="A999" s="182" t="n">
        <v>1777634102</v>
      </c>
      <c r="B999" s="182" t="inlineStr">
        <is>
          <t>XAUUSD</t>
        </is>
      </c>
      <c r="C999" s="182" t="inlineStr">
        <is>
          <t>M15</t>
        </is>
      </c>
      <c r="D999" s="182" t="n">
        <v>4572.03</v>
      </c>
      <c r="E999" s="182" t="n">
        <v>4550.56885</v>
      </c>
      <c r="F999" s="182" t="n">
        <v>4574.19344</v>
      </c>
      <c r="G999" s="182" t="n">
        <v>4572.4088</v>
      </c>
      <c r="H999" s="182" t="n">
        <v>0</v>
      </c>
      <c r="I999" s="182" t="n">
        <v>997</v>
      </c>
      <c r="J999" s="182" t="n">
        <v>-5.0695</v>
      </c>
      <c r="K999" s="182" t="n">
        <v>21.4612</v>
      </c>
    </row>
    <row r="1000" ht="15" customHeight="1" s="28">
      <c r="A1000" s="181" t="n">
        <v>1777635002</v>
      </c>
      <c r="B1000" s="181" t="inlineStr">
        <is>
          <t>XAUUSD</t>
        </is>
      </c>
      <c r="C1000" s="181" t="inlineStr">
        <is>
          <t>M15</t>
        </is>
      </c>
      <c r="D1000" s="181" t="n">
        <v>4575.75</v>
      </c>
      <c r="E1000" s="181" t="n">
        <v>4550.30125</v>
      </c>
      <c r="F1000" s="181" t="n">
        <v>4576.61592</v>
      </c>
      <c r="G1000" s="181" t="n">
        <v>4574.51236</v>
      </c>
      <c r="H1000" s="181" t="n">
        <v>0</v>
      </c>
      <c r="I1000" s="181" t="n">
        <v>998</v>
      </c>
      <c r="J1000" s="181" t="n">
        <v>-1.0956</v>
      </c>
      <c r="K1000" s="181" t="n">
        <v>25.4487</v>
      </c>
    </row>
    <row r="1001" ht="15" customHeight="1" s="28">
      <c r="A1001" s="182" t="n">
        <v>1777635902</v>
      </c>
      <c r="B1001" s="182" t="inlineStr">
        <is>
          <t>XAUUSD</t>
        </is>
      </c>
      <c r="C1001" s="182" t="inlineStr">
        <is>
          <t>M15</t>
        </is>
      </c>
      <c r="D1001" s="182" t="n">
        <v>4578.84</v>
      </c>
      <c r="E1001" s="182" t="n">
        <v>4550.03364</v>
      </c>
      <c r="F1001" s="182" t="n">
        <v>4579.29706</v>
      </c>
      <c r="G1001" s="182" t="n">
        <v>4576.90471</v>
      </c>
      <c r="H1001" s="182" t="n">
        <v>0</v>
      </c>
      <c r="I1001" s="182" t="n">
        <v>999</v>
      </c>
      <c r="J1001" s="182" t="n">
        <v>2.2483</v>
      </c>
      <c r="K1001" s="182" t="n">
        <v>28.8064</v>
      </c>
    </row>
    <row r="1002" ht="15" customHeight="1" s="28">
      <c r="A1002" s="181" t="n">
        <v>1777636802</v>
      </c>
      <c r="B1002" s="181" t="inlineStr">
        <is>
          <t>XAUUSD</t>
        </is>
      </c>
      <c r="C1002" s="181" t="inlineStr">
        <is>
          <t>M15</t>
        </is>
      </c>
      <c r="D1002" s="181" t="n">
        <v>4584.86</v>
      </c>
      <c r="E1002" s="181" t="n">
        <v>4549.76604</v>
      </c>
      <c r="F1002" s="181" t="n">
        <v>4582.33157</v>
      </c>
      <c r="G1002" s="181" t="n">
        <v>4579.61814</v>
      </c>
      <c r="H1002" s="181" t="n">
        <v>0</v>
      </c>
      <c r="I1002" s="181" t="n">
        <v>1000</v>
      </c>
      <c r="J1002" s="181" t="n">
        <v>8.5222</v>
      </c>
      <c r="K1002" s="181" t="n">
        <v>35.094</v>
      </c>
    </row>
    <row r="1003" ht="15" customHeight="1" s="28">
      <c r="A1003" s="182" t="n">
        <v>1777637702</v>
      </c>
      <c r="B1003" s="182" t="inlineStr">
        <is>
          <t>XAUUSD</t>
        </is>
      </c>
      <c r="C1003" s="182" t="inlineStr">
        <is>
          <t>M15</t>
        </is>
      </c>
      <c r="D1003" s="182" t="n">
        <v>4602.95</v>
      </c>
      <c r="E1003" s="182" t="n">
        <v>4549.49843</v>
      </c>
      <c r="F1003" s="182" t="n">
        <v>4585.81697</v>
      </c>
      <c r="G1003" s="182" t="n">
        <v>4582.71755</v>
      </c>
      <c r="H1003" s="182" t="n">
        <v>0</v>
      </c>
      <c r="I1003" s="182" t="n">
        <v>1001</v>
      </c>
      <c r="J1003" s="182" t="n">
        <v>26.8661</v>
      </c>
      <c r="K1003" s="182" t="n">
        <v>53.4516</v>
      </c>
    </row>
    <row r="1004" ht="15" customHeight="1" s="28">
      <c r="A1004" s="181" t="n">
        <v>1777638602</v>
      </c>
      <c r="B1004" s="181" t="inlineStr">
        <is>
          <t>XAUUSD</t>
        </is>
      </c>
      <c r="C1004" s="181" t="inlineStr">
        <is>
          <t>M15</t>
        </is>
      </c>
      <c r="D1004" s="181" t="n">
        <v>4591.95</v>
      </c>
      <c r="E1004" s="181" t="n">
        <v>4549.23083</v>
      </c>
      <c r="F1004" s="181" t="n">
        <v>4589.55893</v>
      </c>
      <c r="G1004" s="181" t="n">
        <v>4586.13824</v>
      </c>
      <c r="H1004" s="181" t="n">
        <v>0</v>
      </c>
      <c r="I1004" s="181" t="n">
        <v>1002</v>
      </c>
      <c r="J1004" s="181" t="n">
        <v>16.12</v>
      </c>
      <c r="K1004" s="181" t="n">
        <v>42.7192</v>
      </c>
    </row>
    <row r="1005" ht="15" customHeight="1" s="28">
      <c r="A1005" s="182" t="n">
        <v>1777639502</v>
      </c>
      <c r="B1005" s="182" t="inlineStr">
        <is>
          <t>XAUUSD</t>
        </is>
      </c>
      <c r="C1005" s="182" t="inlineStr">
        <is>
          <t>M15</t>
        </is>
      </c>
      <c r="D1005" s="182" t="n">
        <v>4591.18</v>
      </c>
      <c r="E1005" s="182" t="n">
        <v>4548.96323</v>
      </c>
      <c r="F1005" s="182" t="n">
        <v>4594.16412</v>
      </c>
      <c r="G1005" s="182" t="n">
        <v>4590.15118</v>
      </c>
      <c r="H1005" s="182" t="n">
        <v>0</v>
      </c>
      <c r="I1005" s="182" t="n">
        <v>1003</v>
      </c>
      <c r="J1005" s="182" t="n">
        <v>15.6039</v>
      </c>
      <c r="K1005" s="182" t="n">
        <v>42.2168</v>
      </c>
    </row>
    <row r="1006" ht="15" customHeight="1" s="28">
      <c r="A1006" s="181" t="n">
        <v>1777640402</v>
      </c>
      <c r="B1006" s="181" t="inlineStr">
        <is>
          <t>XAUUSD</t>
        </is>
      </c>
      <c r="C1006" s="181" t="inlineStr">
        <is>
          <t>M15</t>
        </is>
      </c>
      <c r="D1006" s="181" t="n">
        <v>4591.32</v>
      </c>
      <c r="E1006" s="181" t="n">
        <v>4548.69562</v>
      </c>
      <c r="F1006" s="181" t="n">
        <v>4599.89016</v>
      </c>
      <c r="G1006" s="181" t="n">
        <v>4595.02067</v>
      </c>
      <c r="H1006" s="181" t="n">
        <v>0</v>
      </c>
      <c r="I1006" s="181" t="n">
        <v>1004</v>
      </c>
      <c r="J1006" s="181" t="n">
        <v>15.9978</v>
      </c>
      <c r="K1006" s="181" t="n">
        <v>42.6244</v>
      </c>
    </row>
    <row r="1007" ht="15" customHeight="1" s="28">
      <c r="A1007" s="182" t="n">
        <v>1777641302</v>
      </c>
      <c r="B1007" s="182" t="inlineStr">
        <is>
          <t>XAUUSD</t>
        </is>
      </c>
      <c r="C1007" s="182" t="inlineStr">
        <is>
          <t>M15</t>
        </is>
      </c>
      <c r="D1007" s="182" t="n">
        <v>4589.2</v>
      </c>
      <c r="E1007" s="182" t="n">
        <v>4548.42802</v>
      </c>
      <c r="F1007" s="182" t="n">
        <v>4606.79485</v>
      </c>
      <c r="G1007" s="182" t="n">
        <v>4600.90776</v>
      </c>
      <c r="H1007" s="182" t="n">
        <v>0</v>
      </c>
      <c r="I1007" s="182" t="n">
        <v>1005</v>
      </c>
      <c r="J1007" s="182" t="n">
        <v>14.1317</v>
      </c>
      <c r="K1007" s="182" t="n">
        <v>40.772</v>
      </c>
    </row>
    <row r="1008" ht="15" customHeight="1" s="28">
      <c r="A1008" s="181" t="n">
        <v>1777642202</v>
      </c>
      <c r="B1008" s="181" t="inlineStr">
        <is>
          <t>XAUUSD</t>
        </is>
      </c>
      <c r="C1008" s="181" t="inlineStr">
        <is>
          <t>M15</t>
        </is>
      </c>
      <c r="D1008" s="181" t="n">
        <v>4608.07</v>
      </c>
      <c r="E1008" s="181" t="n">
        <v>4548.16041</v>
      </c>
      <c r="F1008" s="181" t="n">
        <v>4614.75087</v>
      </c>
      <c r="G1008" s="181" t="n">
        <v>4607.82932</v>
      </c>
      <c r="H1008" s="181" t="n">
        <v>0</v>
      </c>
      <c r="I1008" s="181" t="n">
        <v>1006</v>
      </c>
      <c r="J1008" s="181" t="n">
        <v>33.2556</v>
      </c>
      <c r="K1008" s="181" t="n">
        <v>59.9096</v>
      </c>
    </row>
    <row r="1009" ht="15" customHeight="1" s="28">
      <c r="A1009" s="182" t="n">
        <v>1777643102</v>
      </c>
      <c r="B1009" s="182" t="inlineStr">
        <is>
          <t>XAUUSD</t>
        </is>
      </c>
      <c r="C1009" s="182" t="inlineStr">
        <is>
          <t>M15</t>
        </is>
      </c>
      <c r="D1009" s="182" t="n">
        <v>4625.7</v>
      </c>
      <c r="E1009" s="182" t="n">
        <v>4547.89281</v>
      </c>
      <c r="F1009" s="182" t="n">
        <v>4622.81406</v>
      </c>
      <c r="G1009" s="182" t="n">
        <v>4615.32169</v>
      </c>
      <c r="H1009" s="182" t="n">
        <v>0</v>
      </c>
      <c r="I1009" s="182" t="n">
        <v>1007</v>
      </c>
      <c r="J1009" s="182" t="n">
        <v>51.1395</v>
      </c>
      <c r="K1009" s="182" t="n">
        <v>77.80719999999999</v>
      </c>
    </row>
    <row r="1010" ht="15" customHeight="1" s="28">
      <c r="A1010" s="181" t="n">
        <v>1777644002</v>
      </c>
      <c r="B1010" s="181" t="inlineStr">
        <is>
          <t>XAUUSD</t>
        </is>
      </c>
      <c r="C1010" s="181" t="inlineStr">
        <is>
          <t>M15</t>
        </is>
      </c>
      <c r="D1010" s="181" t="n">
        <v>4656.06</v>
      </c>
      <c r="E1010" s="181" t="n">
        <v>4547.62521</v>
      </c>
      <c r="F1010" s="181" t="n">
        <v>4630.01888</v>
      </c>
      <c r="G1010" s="181" t="n">
        <v>4622.67028</v>
      </c>
      <c r="H1010" s="181" t="n">
        <v>0</v>
      </c>
      <c r="I1010" s="181" t="n">
        <v>1008</v>
      </c>
      <c r="J1010" s="181" t="n">
        <v>81.7534</v>
      </c>
      <c r="K1010" s="181" t="n">
        <v>108.4348</v>
      </c>
    </row>
    <row r="1011" ht="15" customHeight="1" s="28">
      <c r="A1011" s="182" t="n">
        <v>1777644902</v>
      </c>
      <c r="B1011" s="182" t="inlineStr">
        <is>
          <t>XAUUSD</t>
        </is>
      </c>
      <c r="C1011" s="182" t="inlineStr">
        <is>
          <t>M15</t>
        </is>
      </c>
      <c r="D1011" s="182" t="n">
        <v>4644.67</v>
      </c>
      <c r="E1011" s="182" t="n">
        <v>4547.3576</v>
      </c>
      <c r="F1011" s="182" t="n">
        <v>4635.15975</v>
      </c>
      <c r="G1011" s="182" t="n">
        <v>4628.91501</v>
      </c>
      <c r="H1011" s="182" t="n">
        <v>0</v>
      </c>
      <c r="I1011" s="182" t="n">
        <v>1009</v>
      </c>
      <c r="J1011" s="182" t="n">
        <v>70.6173</v>
      </c>
      <c r="K1011" s="182" t="n">
        <v>97.3124</v>
      </c>
    </row>
    <row r="1012" ht="15" customHeight="1" s="28">
      <c r="A1012" s="181" t="n">
        <v>1777645802</v>
      </c>
      <c r="B1012" s="181" t="inlineStr">
        <is>
          <t>XAUUSD</t>
        </is>
      </c>
      <c r="C1012" s="181" t="inlineStr">
        <is>
          <t>M15</t>
        </is>
      </c>
      <c r="D1012" s="181" t="n">
        <v>4633.23</v>
      </c>
      <c r="E1012" s="181" t="n">
        <v>4547.09</v>
      </c>
      <c r="F1012" s="181" t="n">
        <v>4638.49104</v>
      </c>
      <c r="G1012" s="181" t="n">
        <v>4633.70303</v>
      </c>
      <c r="H1012" s="181" t="n">
        <v>0</v>
      </c>
      <c r="I1012" s="181" t="n">
        <v>1010</v>
      </c>
      <c r="J1012" s="181" t="n">
        <v>59.4312</v>
      </c>
      <c r="K1012" s="181" t="n">
        <v>86.14</v>
      </c>
    </row>
    <row r="1013" ht="15" customHeight="1" s="28">
      <c r="A1013" s="182" t="n">
        <v>1777646702</v>
      </c>
      <c r="B1013" s="182" t="inlineStr">
        <is>
          <t>XAUUSD</t>
        </is>
      </c>
      <c r="C1013" s="182" t="inlineStr">
        <is>
          <t>M15</t>
        </is>
      </c>
      <c r="D1013" s="182" t="n">
        <v>4632.21</v>
      </c>
      <c r="E1013" s="182" t="n">
        <v>4546.82239</v>
      </c>
      <c r="F1013" s="182" t="n">
        <v>4640.51928</v>
      </c>
      <c r="G1013" s="182" t="n">
        <v>4637.11115</v>
      </c>
      <c r="H1013" s="182" t="n">
        <v>0</v>
      </c>
      <c r="I1013" s="182" t="n">
        <v>1011</v>
      </c>
      <c r="J1013" s="182" t="n">
        <v>58.6651</v>
      </c>
      <c r="K1013" s="182" t="n">
        <v>85.38760000000001</v>
      </c>
    </row>
    <row r="1014" ht="15" customHeight="1" s="28">
      <c r="A1014" s="181" t="n">
        <v>1777647602</v>
      </c>
      <c r="B1014" s="181" t="inlineStr">
        <is>
          <t>XAUUSD</t>
        </is>
      </c>
      <c r="C1014" s="181" t="inlineStr">
        <is>
          <t>M15</t>
        </is>
      </c>
      <c r="D1014" s="181" t="n">
        <v>4636.58</v>
      </c>
      <c r="E1014" s="181" t="n">
        <v>4546.55479</v>
      </c>
      <c r="F1014" s="181" t="n">
        <v>4641.58542</v>
      </c>
      <c r="G1014" s="181" t="n">
        <v>4639.34829</v>
      </c>
      <c r="H1014" s="181" t="n">
        <v>0</v>
      </c>
      <c r="I1014" s="181" t="n">
        <v>1012</v>
      </c>
      <c r="J1014" s="181" t="n">
        <v>63.289</v>
      </c>
      <c r="K1014" s="181" t="n">
        <v>90.0252</v>
      </c>
    </row>
    <row r="1015" ht="15" customHeight="1" s="28">
      <c r="A1015" s="182" t="n">
        <v>1777648502</v>
      </c>
      <c r="B1015" s="182" t="inlineStr">
        <is>
          <t>XAUUSD</t>
        </is>
      </c>
      <c r="C1015" s="182" t="inlineStr">
        <is>
          <t>M15</t>
        </is>
      </c>
      <c r="D1015" s="182" t="n">
        <v>4636.46</v>
      </c>
      <c r="E1015" s="182" t="n">
        <v>4546.28718</v>
      </c>
      <c r="F1015" s="182" t="n">
        <v>4641.91621</v>
      </c>
      <c r="G1015" s="182" t="n">
        <v>4640.63225</v>
      </c>
      <c r="H1015" s="182" t="n">
        <v>0</v>
      </c>
      <c r="I1015" s="182" t="n">
        <v>1013</v>
      </c>
      <c r="J1015" s="182" t="n">
        <v>63.4229</v>
      </c>
      <c r="K1015" s="182" t="n">
        <v>90.1728</v>
      </c>
    </row>
    <row r="1016" ht="15" customHeight="1" s="28">
      <c r="A1016" s="181" t="n">
        <v>1777649402</v>
      </c>
      <c r="B1016" s="181" t="inlineStr">
        <is>
          <t>XAUUSD</t>
        </is>
      </c>
      <c r="C1016" s="181" t="inlineStr">
        <is>
          <t>M15</t>
        </is>
      </c>
      <c r="D1016" s="181" t="n">
        <v>4643.6</v>
      </c>
      <c r="E1016" s="181" t="n">
        <v>4546.01958</v>
      </c>
      <c r="F1016" s="181" t="n">
        <v>4641.80579</v>
      </c>
      <c r="G1016" s="181" t="n">
        <v>4641.21902</v>
      </c>
      <c r="H1016" s="181" t="n">
        <v>0</v>
      </c>
      <c r="I1016" s="181" t="n">
        <v>1014</v>
      </c>
      <c r="J1016" s="181" t="n">
        <v>70.8168</v>
      </c>
      <c r="K1016" s="181" t="n">
        <v>97.5804</v>
      </c>
    </row>
    <row r="1017" ht="15" customHeight="1" s="28">
      <c r="A1017" s="182" t="n">
        <v>1777650302</v>
      </c>
      <c r="B1017" s="182" t="inlineStr">
        <is>
          <t>XAUUSD</t>
        </is>
      </c>
      <c r="C1017" s="182" t="inlineStr">
        <is>
          <t>M15</t>
        </is>
      </c>
      <c r="D1017" s="182" t="n">
        <v>4643.3</v>
      </c>
      <c r="E1017" s="182" t="n">
        <v>4545.75198</v>
      </c>
      <c r="F1017" s="182" t="n">
        <v>4641.25997</v>
      </c>
      <c r="G1017" s="182" t="n">
        <v>4641.23949</v>
      </c>
      <c r="H1017" s="182" t="n">
        <v>0</v>
      </c>
      <c r="I1017" s="182" t="n">
        <v>1015</v>
      </c>
      <c r="J1017" s="182" t="n">
        <v>70.77070000000001</v>
      </c>
      <c r="K1017" s="182" t="n">
        <v>97.548</v>
      </c>
    </row>
    <row r="1018" ht="15" customHeight="1" s="28">
      <c r="A1018" s="181" t="n">
        <v>1777651202</v>
      </c>
      <c r="B1018" s="181" t="inlineStr">
        <is>
          <t>XAUUSD</t>
        </is>
      </c>
      <c r="C1018" s="181" t="inlineStr">
        <is>
          <t>M15</t>
        </is>
      </c>
      <c r="D1018" s="181" t="n">
        <v>4642.75</v>
      </c>
      <c r="E1018" s="181" t="n">
        <v>4545.48437</v>
      </c>
      <c r="F1018" s="181" t="n">
        <v>4640.41346</v>
      </c>
      <c r="G1018" s="181" t="n">
        <v>4640.82648</v>
      </c>
      <c r="H1018" s="181" t="n">
        <v>1</v>
      </c>
      <c r="I1018" s="181" t="n">
        <v>1016</v>
      </c>
      <c r="J1018" s="181" t="n">
        <v>70.47450000000001</v>
      </c>
      <c r="K1018" s="181" t="n">
        <v>97.26560000000001</v>
      </c>
    </row>
    <row r="1019" ht="15" customHeight="1" s="28">
      <c r="A1019" s="182" t="n">
        <v>1777652102</v>
      </c>
      <c r="B1019" s="182" t="inlineStr">
        <is>
          <t>XAUUSD</t>
        </is>
      </c>
      <c r="C1019" s="182" t="inlineStr">
        <is>
          <t>M15</t>
        </is>
      </c>
      <c r="D1019" s="182" t="n">
        <v>4637.96</v>
      </c>
      <c r="E1019" s="182" t="n">
        <v>4545.21677</v>
      </c>
      <c r="F1019" s="182" t="n">
        <v>4639.30238</v>
      </c>
      <c r="G1019" s="182" t="n">
        <v>4640.06443</v>
      </c>
      <c r="H1019" s="182" t="n">
        <v>0</v>
      </c>
      <c r="I1019" s="182" t="n">
        <v>1017</v>
      </c>
      <c r="J1019" s="182" t="n">
        <v>65.9384</v>
      </c>
      <c r="K1019" s="182" t="n">
        <v>92.7432</v>
      </c>
    </row>
    <row r="1020" ht="15" customHeight="1" s="28">
      <c r="A1020" s="181" t="n">
        <v>1777653002</v>
      </c>
      <c r="B1020" s="181" t="inlineStr">
        <is>
          <t>XAUUSD</t>
        </is>
      </c>
      <c r="C1020" s="181" t="inlineStr">
        <is>
          <t>M15</t>
        </is>
      </c>
      <c r="D1020" s="181" t="n">
        <v>4638.86</v>
      </c>
      <c r="E1020" s="181" t="n">
        <v>4544.94916</v>
      </c>
      <c r="F1020" s="181" t="n">
        <v>4638.02024</v>
      </c>
      <c r="G1020" s="181" t="n">
        <v>4639.04233</v>
      </c>
      <c r="H1020" s="181" t="n">
        <v>0</v>
      </c>
      <c r="I1020" s="181" t="n">
        <v>1018</v>
      </c>
      <c r="J1020" s="181" t="n">
        <v>67.09229999999999</v>
      </c>
      <c r="K1020" s="181" t="n">
        <v>93.91079999999999</v>
      </c>
    </row>
    <row r="1021" ht="15" customHeight="1" s="28">
      <c r="A1021" s="182" t="n">
        <v>1777653902</v>
      </c>
      <c r="B1021" s="182" t="inlineStr">
        <is>
          <t>XAUUSD</t>
        </is>
      </c>
      <c r="C1021" s="182" t="inlineStr">
        <is>
          <t>M15</t>
        </is>
      </c>
      <c r="D1021" s="182" t="n">
        <v>4638.72</v>
      </c>
      <c r="E1021" s="182" t="n">
        <v>4544.68156</v>
      </c>
      <c r="F1021" s="182" t="n">
        <v>4636.50939</v>
      </c>
      <c r="G1021" s="182" t="n">
        <v>4637.77586</v>
      </c>
      <c r="H1021" s="182" t="n">
        <v>0</v>
      </c>
      <c r="I1021" s="182" t="n">
        <v>1019</v>
      </c>
      <c r="J1021" s="182" t="n">
        <v>67.2062</v>
      </c>
      <c r="K1021" s="182" t="n">
        <v>94.0384</v>
      </c>
    </row>
    <row r="1022" ht="15" customHeight="1" s="28">
      <c r="A1022" s="181" t="n">
        <v>1777654802</v>
      </c>
      <c r="B1022" s="181" t="inlineStr">
        <is>
          <t>XAUUSD</t>
        </is>
      </c>
      <c r="C1022" s="181" t="inlineStr">
        <is>
          <t>M15</t>
        </is>
      </c>
      <c r="D1022" s="181" t="n">
        <v>4639.73</v>
      </c>
      <c r="E1022" s="181" t="n">
        <v>4544.41396</v>
      </c>
      <c r="F1022" s="181" t="n">
        <v>4634.714</v>
      </c>
      <c r="G1022" s="181" t="n">
        <v>4636.24493</v>
      </c>
      <c r="H1022" s="181" t="n">
        <v>0</v>
      </c>
      <c r="I1022" s="181" t="n">
        <v>1020</v>
      </c>
      <c r="J1022" s="181" t="n">
        <v>68.4701</v>
      </c>
      <c r="K1022" s="181" t="n">
        <v>95.316</v>
      </c>
    </row>
    <row r="1023" ht="15" customHeight="1" s="28">
      <c r="A1023" s="182" t="n">
        <v>1777655702</v>
      </c>
      <c r="B1023" s="182" t="inlineStr">
        <is>
          <t>XAUUSD</t>
        </is>
      </c>
      <c r="C1023" s="182" t="inlineStr">
        <is>
          <t>M15</t>
        </is>
      </c>
      <c r="D1023" s="182" t="n">
        <v>4631.67</v>
      </c>
      <c r="E1023" s="182" t="n">
        <v>4544.14635</v>
      </c>
      <c r="F1023" s="182" t="n">
        <v>4632.56488</v>
      </c>
      <c r="G1023" s="182" t="n">
        <v>4634.40491</v>
      </c>
      <c r="H1023" s="182" t="n">
        <v>0</v>
      </c>
      <c r="I1023" s="182" t="n">
        <v>1021</v>
      </c>
      <c r="J1023" s="182" t="n">
        <v>60.664</v>
      </c>
      <c r="K1023" s="182" t="n">
        <v>87.52370000000001</v>
      </c>
    </row>
    <row r="1024" ht="15" customHeight="1" s="28">
      <c r="A1024" s="181" t="n">
        <v>1777656602</v>
      </c>
      <c r="B1024" s="181" t="inlineStr">
        <is>
          <t>XAUUSD</t>
        </is>
      </c>
      <c r="C1024" s="181" t="inlineStr">
        <is>
          <t>M15</t>
        </is>
      </c>
      <c r="D1024" s="181" t="n">
        <v>4628</v>
      </c>
      <c r="E1024" s="181" t="n">
        <v>4543.87875</v>
      </c>
      <c r="F1024" s="181" t="n">
        <v>4630.30637</v>
      </c>
      <c r="G1024" s="181" t="n">
        <v>4632.35564</v>
      </c>
      <c r="H1024" s="181" t="n">
        <v>0</v>
      </c>
      <c r="I1024" s="181" t="n">
        <v>1022</v>
      </c>
      <c r="J1024" s="181" t="n">
        <v>57.2479</v>
      </c>
      <c r="K1024" s="181" t="n">
        <v>84.12130000000001</v>
      </c>
    </row>
    <row r="1025" ht="15" customHeight="1" s="28">
      <c r="A1025" s="182" t="n">
        <v>1777657502</v>
      </c>
      <c r="B1025" s="182" t="inlineStr">
        <is>
          <t>XAUUSD</t>
        </is>
      </c>
      <c r="C1025" s="182" t="inlineStr">
        <is>
          <t>M15</t>
        </is>
      </c>
      <c r="D1025" s="182" t="n">
        <v>4629.43</v>
      </c>
      <c r="E1025" s="182" t="n">
        <v>4543.61114</v>
      </c>
      <c r="F1025" s="182" t="n">
        <v>4628.09334</v>
      </c>
      <c r="G1025" s="182" t="n">
        <v>4630.22449</v>
      </c>
      <c r="H1025" s="182" t="n">
        <v>0</v>
      </c>
      <c r="I1025" s="182" t="n">
        <v>1023</v>
      </c>
      <c r="J1025" s="182" t="n">
        <v>58.9318</v>
      </c>
      <c r="K1025" s="182" t="n">
        <v>85.8189</v>
      </c>
    </row>
    <row r="1026" ht="15" customHeight="1" s="28">
      <c r="A1026" s="181" t="n">
        <v>1777658402</v>
      </c>
      <c r="B1026" s="181" t="inlineStr">
        <is>
          <t>XAUUSD</t>
        </is>
      </c>
      <c r="C1026" s="181" t="inlineStr">
        <is>
          <t>M15</t>
        </is>
      </c>
      <c r="D1026" s="181" t="n">
        <v>4615.72</v>
      </c>
      <c r="E1026" s="181" t="n">
        <v>4543.34354</v>
      </c>
      <c r="F1026" s="181" t="n">
        <v>4625.93992</v>
      </c>
      <c r="G1026" s="181" t="n">
        <v>4628.08221</v>
      </c>
      <c r="H1026" s="181" t="n">
        <v>0</v>
      </c>
      <c r="I1026" s="181" t="n">
        <v>1024</v>
      </c>
      <c r="J1026" s="181" t="n">
        <v>45.4757</v>
      </c>
      <c r="K1026" s="181" t="n">
        <v>72.37649999999999</v>
      </c>
    </row>
    <row r="1027" ht="15" customHeight="1" s="28">
      <c r="A1027" s="182" t="n">
        <v>1777659302</v>
      </c>
      <c r="B1027" s="182" t="inlineStr">
        <is>
          <t>XAUUSD</t>
        </is>
      </c>
      <c r="C1027" s="182" t="inlineStr">
        <is>
          <t>M15</t>
        </is>
      </c>
      <c r="D1027" s="182" t="n">
        <v>4623.48</v>
      </c>
      <c r="E1027" s="182" t="n">
        <v>4543.07594</v>
      </c>
      <c r="F1027" s="182" t="n">
        <v>4624.1975</v>
      </c>
      <c r="G1027" s="182" t="n">
        <v>4626.13985</v>
      </c>
      <c r="H1027" s="182" t="n">
        <v>0</v>
      </c>
      <c r="I1027" s="182" t="n">
        <v>1025</v>
      </c>
      <c r="J1027" s="182" t="n">
        <v>53.4896</v>
      </c>
      <c r="K1027" s="182" t="n">
        <v>80.4041</v>
      </c>
    </row>
    <row r="1028" ht="15" customHeight="1" s="28">
      <c r="A1028" s="181" t="n">
        <v>1777660202</v>
      </c>
      <c r="B1028" s="181" t="inlineStr">
        <is>
          <t>XAUUSD</t>
        </is>
      </c>
      <c r="C1028" s="181" t="inlineStr">
        <is>
          <t>M15</t>
        </is>
      </c>
      <c r="D1028" s="181" t="n">
        <v>4622.32</v>
      </c>
      <c r="E1028" s="181" t="n">
        <v>4542.80833</v>
      </c>
      <c r="F1028" s="181" t="n">
        <v>4622.58442</v>
      </c>
      <c r="G1028" s="181" t="n">
        <v>4624.36214</v>
      </c>
      <c r="H1028" s="181" t="n">
        <v>0</v>
      </c>
      <c r="I1028" s="181" t="n">
        <v>1026</v>
      </c>
      <c r="J1028" s="181" t="n">
        <v>52.5835</v>
      </c>
      <c r="K1028" s="181" t="n">
        <v>79.5117</v>
      </c>
    </row>
    <row r="1029" ht="15" customHeight="1" s="28">
      <c r="A1029" s="182" t="n">
        <v>1777661102</v>
      </c>
      <c r="B1029" s="182" t="inlineStr">
        <is>
          <t>XAUUSD</t>
        </is>
      </c>
      <c r="C1029" s="182" t="inlineStr">
        <is>
          <t>M15</t>
        </is>
      </c>
      <c r="D1029" s="182" t="n">
        <v>4624.35</v>
      </c>
      <c r="E1029" s="182" t="n">
        <v>4542.54073</v>
      </c>
      <c r="F1029" s="182" t="n">
        <v>4621.02677</v>
      </c>
      <c r="G1029" s="182" t="n">
        <v>4622.69445</v>
      </c>
      <c r="H1029" s="182" t="n">
        <v>0</v>
      </c>
      <c r="I1029" s="182" t="n">
        <v>1027</v>
      </c>
      <c r="J1029" s="182" t="n">
        <v>54.8674</v>
      </c>
      <c r="K1029" s="182" t="n">
        <v>81.80929999999999</v>
      </c>
    </row>
    <row r="1030" ht="15" customHeight="1" s="28">
      <c r="A1030" s="181" t="n">
        <v>1777662002</v>
      </c>
      <c r="B1030" s="181" t="inlineStr">
        <is>
          <t>XAUUSD</t>
        </is>
      </c>
      <c r="C1030" s="181" t="inlineStr">
        <is>
          <t>M15</t>
        </is>
      </c>
      <c r="D1030" s="181" t="n">
        <v>4626.3</v>
      </c>
      <c r="E1030" s="181" t="n">
        <v>4542.27312</v>
      </c>
      <c r="F1030" s="181" t="n">
        <v>4619.38731</v>
      </c>
      <c r="G1030" s="181" t="n">
        <v>4621.04088</v>
      </c>
      <c r="H1030" s="181" t="n">
        <v>0</v>
      </c>
      <c r="I1030" s="181" t="n">
        <v>1028</v>
      </c>
      <c r="J1030" s="181" t="n">
        <v>57.0713</v>
      </c>
      <c r="K1030" s="181" t="n">
        <v>84.0269</v>
      </c>
    </row>
    <row r="1031" ht="15" customHeight="1" s="28">
      <c r="A1031" s="182" t="n">
        <v>1777662902</v>
      </c>
      <c r="B1031" s="182" t="inlineStr">
        <is>
          <t>XAUUSD</t>
        </is>
      </c>
      <c r="C1031" s="182" t="inlineStr">
        <is>
          <t>M15</t>
        </is>
      </c>
      <c r="D1031" s="182" t="n">
        <v>4624.4</v>
      </c>
      <c r="E1031" s="182" t="n">
        <v>4542.00552</v>
      </c>
      <c r="F1031" s="182" t="n">
        <v>4617.61764</v>
      </c>
      <c r="G1031" s="182" t="n">
        <v>4619.32926</v>
      </c>
      <c r="H1031" s="182" t="n">
        <v>0</v>
      </c>
      <c r="I1031" s="182" t="n">
        <v>1029</v>
      </c>
      <c r="J1031" s="182" t="n">
        <v>55.4252</v>
      </c>
      <c r="K1031" s="182" t="n">
        <v>82.39449999999999</v>
      </c>
    </row>
    <row r="1032" ht="15" customHeight="1" s="28">
      <c r="A1032" s="181" t="n">
        <v>1777663802</v>
      </c>
      <c r="B1032" s="181" t="inlineStr">
        <is>
          <t>XAUUSD</t>
        </is>
      </c>
      <c r="C1032" s="181" t="inlineStr">
        <is>
          <t>M15</t>
        </is>
      </c>
      <c r="D1032" s="181" t="n">
        <v>4611.78</v>
      </c>
      <c r="E1032" s="181" t="n">
        <v>4541.73792</v>
      </c>
      <c r="F1032" s="181" t="n">
        <v>4615.85239</v>
      </c>
      <c r="G1032" s="181" t="n">
        <v>4617.59082</v>
      </c>
      <c r="H1032" s="181" t="n">
        <v>0</v>
      </c>
      <c r="I1032" s="181" t="n">
        <v>1030</v>
      </c>
      <c r="J1032" s="181" t="n">
        <v>43.0591</v>
      </c>
      <c r="K1032" s="181" t="n">
        <v>70.0421</v>
      </c>
    </row>
    <row r="1033" ht="15" customHeight="1" s="28">
      <c r="A1033" s="182" t="n">
        <v>1777664702</v>
      </c>
      <c r="B1033" s="182" t="inlineStr">
        <is>
          <t>XAUUSD</t>
        </is>
      </c>
      <c r="C1033" s="182" t="inlineStr">
        <is>
          <t>M15</t>
        </is>
      </c>
      <c r="D1033" s="182" t="n">
        <v>4610.06</v>
      </c>
      <c r="E1033" s="182" t="n">
        <v>4541.47031</v>
      </c>
      <c r="F1033" s="182" t="n">
        <v>4614.60638</v>
      </c>
      <c r="G1033" s="182" t="n">
        <v>4616.0986</v>
      </c>
      <c r="H1033" s="182" t="n">
        <v>0</v>
      </c>
      <c r="I1033" s="182" t="n">
        <v>1031</v>
      </c>
      <c r="J1033" s="182" t="n">
        <v>41.593</v>
      </c>
      <c r="K1033" s="182" t="n">
        <v>68.58969999999999</v>
      </c>
    </row>
    <row r="1034" ht="15" customHeight="1" s="28">
      <c r="A1034" s="181" t="n">
        <v>1777665602</v>
      </c>
      <c r="B1034" s="181" t="inlineStr">
        <is>
          <t>XAUUSD</t>
        </is>
      </c>
      <c r="C1034" s="181" t="inlineStr">
        <is>
          <t>M15</t>
        </is>
      </c>
      <c r="D1034" s="181" t="n">
        <v>4611.41</v>
      </c>
      <c r="E1034" s="181" t="n">
        <v>4541.20271</v>
      </c>
      <c r="F1034" s="181" t="n">
        <v>4614.05923</v>
      </c>
      <c r="G1034" s="181" t="n">
        <v>4615.07892</v>
      </c>
      <c r="H1034" s="181" t="n">
        <v>0</v>
      </c>
      <c r="I1034" s="181" t="n">
        <v>1032</v>
      </c>
      <c r="J1034" s="181" t="n">
        <v>43.1969</v>
      </c>
      <c r="K1034" s="181" t="n">
        <v>70.2073</v>
      </c>
    </row>
    <row r="1035" ht="15" customHeight="1" s="28">
      <c r="A1035" s="182" t="n">
        <v>1777666502</v>
      </c>
      <c r="B1035" s="182" t="inlineStr">
        <is>
          <t>XAUUSD</t>
        </is>
      </c>
      <c r="C1035" s="182" t="inlineStr">
        <is>
          <t>M15</t>
        </is>
      </c>
      <c r="D1035" s="182" t="n">
        <v>4613.3</v>
      </c>
      <c r="E1035" s="182" t="n">
        <v>4540.9351</v>
      </c>
      <c r="F1035" s="182" t="n">
        <v>4614.27441</v>
      </c>
      <c r="G1035" s="182" t="n">
        <v>4614.67666</v>
      </c>
      <c r="H1035" s="182" t="n">
        <v>0</v>
      </c>
      <c r="I1035" s="182" t="n">
        <v>1033</v>
      </c>
      <c r="J1035" s="182" t="n">
        <v>45.3408</v>
      </c>
      <c r="K1035" s="182" t="n">
        <v>72.36490000000001</v>
      </c>
    </row>
    <row r="1036" ht="15" customHeight="1" s="28">
      <c r="A1036" s="181" t="n">
        <v>1777667402</v>
      </c>
      <c r="B1036" s="181" t="inlineStr">
        <is>
          <t>XAUUSD</t>
        </is>
      </c>
      <c r="C1036" s="181" t="inlineStr">
        <is>
          <t>M15</t>
        </is>
      </c>
      <c r="D1036" s="181" t="n">
        <v>4613.77</v>
      </c>
      <c r="E1036" s="181" t="n">
        <v>4540.6675</v>
      </c>
      <c r="F1036" s="181" t="n">
        <v>4615.19343</v>
      </c>
      <c r="G1036" s="181" t="n">
        <v>4614.93505</v>
      </c>
      <c r="H1036" s="181" t="n">
        <v>1</v>
      </c>
      <c r="I1036" s="181" t="n">
        <v>1034</v>
      </c>
      <c r="J1036" s="181" t="n">
        <v>46.0647</v>
      </c>
      <c r="K1036" s="181" t="n">
        <v>73.10250000000001</v>
      </c>
    </row>
    <row r="1037" ht="15" customHeight="1" s="28">
      <c r="A1037" s="182" t="n">
        <v>1777668302</v>
      </c>
      <c r="B1037" s="182" t="inlineStr">
        <is>
          <t>XAUUSD</t>
        </is>
      </c>
      <c r="C1037" s="182" t="inlineStr">
        <is>
          <t>M15</t>
        </is>
      </c>
      <c r="D1037" s="182" t="n">
        <v>4613.98</v>
      </c>
      <c r="E1037" s="182" t="n">
        <v>4540.39989</v>
      </c>
      <c r="F1037" s="182" t="n">
        <v>4616.67455</v>
      </c>
      <c r="G1037" s="182" t="n">
        <v>4615.8048</v>
      </c>
      <c r="H1037" s="182" t="n">
        <v>0</v>
      </c>
      <c r="I1037" s="182" t="n">
        <v>1035</v>
      </c>
      <c r="J1037" s="182" t="n">
        <v>46.5286</v>
      </c>
      <c r="K1037" s="182" t="n">
        <v>73.5801</v>
      </c>
    </row>
    <row r="1038" ht="15" customHeight="1" s="28">
      <c r="A1038" s="181" t="n">
        <v>1777845602</v>
      </c>
      <c r="B1038" s="181" t="inlineStr">
        <is>
          <t>XAUUSD</t>
        </is>
      </c>
      <c r="C1038" s="181" t="inlineStr">
        <is>
          <t>M15</t>
        </is>
      </c>
      <c r="D1038" s="181" t="n">
        <v>4623.11</v>
      </c>
      <c r="E1038" s="181" t="n">
        <v>4540.13229</v>
      </c>
      <c r="F1038" s="181" t="n">
        <v>4618.47149</v>
      </c>
      <c r="G1038" s="181" t="n">
        <v>4617.13815</v>
      </c>
      <c r="H1038" s="181" t="n">
        <v>0</v>
      </c>
      <c r="I1038" s="181" t="n">
        <v>1036</v>
      </c>
      <c r="J1038" s="181" t="n">
        <v>55.9125</v>
      </c>
      <c r="K1038" s="181" t="n">
        <v>82.9777</v>
      </c>
    </row>
    <row r="1039" ht="15" customHeight="1" s="28">
      <c r="A1039" s="182" t="n">
        <v>1777846502</v>
      </c>
      <c r="B1039" s="182" t="inlineStr">
        <is>
          <t>XAUUSD</t>
        </is>
      </c>
      <c r="C1039" s="182" t="inlineStr">
        <is>
          <t>M15</t>
        </is>
      </c>
      <c r="D1039" s="182" t="n">
        <v>4620.91</v>
      </c>
      <c r="E1039" s="182" t="n">
        <v>4539.86469</v>
      </c>
      <c r="F1039" s="182" t="n">
        <v>4619.95768</v>
      </c>
      <c r="G1039" s="182" t="n">
        <v>4618.54791</v>
      </c>
      <c r="H1039" s="182" t="n">
        <v>0</v>
      </c>
      <c r="I1039" s="182" t="n">
        <v>1037</v>
      </c>
      <c r="J1039" s="182" t="n">
        <v>53.9664</v>
      </c>
      <c r="K1039" s="182" t="n">
        <v>81.0453</v>
      </c>
    </row>
    <row r="1040" ht="15" customHeight="1" s="28">
      <c r="A1040" s="181" t="n">
        <v>1777847402</v>
      </c>
      <c r="B1040" s="181" t="inlineStr">
        <is>
          <t>XAUUSD</t>
        </is>
      </c>
      <c r="C1040" s="181" t="inlineStr">
        <is>
          <t>M15</t>
        </is>
      </c>
      <c r="D1040" s="181" t="n">
        <v>4628.2</v>
      </c>
      <c r="E1040" s="181" t="n">
        <v>4539.59708</v>
      </c>
      <c r="F1040" s="181" t="n">
        <v>4620.82973</v>
      </c>
      <c r="G1040" s="181" t="n">
        <v>4619.68882</v>
      </c>
      <c r="H1040" s="181" t="n">
        <v>0</v>
      </c>
      <c r="I1040" s="181" t="n">
        <v>1038</v>
      </c>
      <c r="J1040" s="181" t="n">
        <v>61.5102</v>
      </c>
      <c r="K1040" s="181" t="n">
        <v>88.60290000000001</v>
      </c>
    </row>
    <row r="1041" ht="15" customHeight="1" s="28">
      <c r="A1041" s="182" t="n">
        <v>1777848302</v>
      </c>
      <c r="B1041" s="182" t="inlineStr">
        <is>
          <t>XAUUSD</t>
        </is>
      </c>
      <c r="C1041" s="182" t="inlineStr">
        <is>
          <t>M15</t>
        </is>
      </c>
      <c r="D1041" s="182" t="n">
        <v>4618.95</v>
      </c>
      <c r="E1041" s="182" t="n">
        <v>4539.32948</v>
      </c>
      <c r="F1041" s="182" t="n">
        <v>4620.61267</v>
      </c>
      <c r="G1041" s="182" t="n">
        <v>4620.15074</v>
      </c>
      <c r="H1041" s="182" t="n">
        <v>0</v>
      </c>
      <c r="I1041" s="182" t="n">
        <v>1039</v>
      </c>
      <c r="J1041" s="182" t="n">
        <v>52.5141</v>
      </c>
      <c r="K1041" s="182" t="n">
        <v>79.62050000000001</v>
      </c>
    </row>
    <row r="1042" ht="15" customHeight="1" s="28">
      <c r="A1042" s="181" t="n">
        <v>1777849202</v>
      </c>
      <c r="B1042" s="181" t="inlineStr">
        <is>
          <t>XAUUSD</t>
        </is>
      </c>
      <c r="C1042" s="181" t="inlineStr">
        <is>
          <t>M15</t>
        </is>
      </c>
      <c r="D1042" s="181" t="n">
        <v>4615.08</v>
      </c>
      <c r="E1042" s="181" t="n">
        <v>4539.06187</v>
      </c>
      <c r="F1042" s="181" t="n">
        <v>4619.52983</v>
      </c>
      <c r="G1042" s="181" t="n">
        <v>4619.84029</v>
      </c>
      <c r="H1042" s="181" t="n">
        <v>1</v>
      </c>
      <c r="I1042" s="181" t="n">
        <v>1040</v>
      </c>
      <c r="J1042" s="181" t="n">
        <v>48.898</v>
      </c>
      <c r="K1042" s="181" t="n">
        <v>76.0181</v>
      </c>
    </row>
    <row r="1043" ht="15" customHeight="1" s="28">
      <c r="A1043" s="182" t="n">
        <v>1777850102</v>
      </c>
      <c r="B1043" s="182" t="inlineStr">
        <is>
          <t>XAUUSD</t>
        </is>
      </c>
      <c r="C1043" s="182" t="inlineStr">
        <is>
          <t>M15</t>
        </is>
      </c>
      <c r="D1043" s="182" t="n">
        <v>4617.09</v>
      </c>
      <c r="E1043" s="182" t="n">
        <v>4538.79427</v>
      </c>
      <c r="F1043" s="182" t="n">
        <v>4617.81383</v>
      </c>
      <c r="G1043" s="182" t="n">
        <v>4618.82706</v>
      </c>
      <c r="H1043" s="182" t="n">
        <v>0</v>
      </c>
      <c r="I1043" s="182" t="n">
        <v>1041</v>
      </c>
      <c r="J1043" s="182" t="n">
        <v>51.1619</v>
      </c>
      <c r="K1043" s="182" t="n">
        <v>78.2957</v>
      </c>
    </row>
    <row r="1044" ht="15" customHeight="1" s="28">
      <c r="A1044" s="181" t="n">
        <v>1777851002</v>
      </c>
      <c r="B1044" s="181" t="inlineStr">
        <is>
          <t>XAUUSD</t>
        </is>
      </c>
      <c r="C1044" s="181" t="inlineStr">
        <is>
          <t>M15</t>
        </is>
      </c>
      <c r="D1044" s="181" t="n">
        <v>4613.63</v>
      </c>
      <c r="E1044" s="181" t="n">
        <v>4538.52667</v>
      </c>
      <c r="F1044" s="181" t="n">
        <v>4615.57777</v>
      </c>
      <c r="G1044" s="181" t="n">
        <v>4617.20241</v>
      </c>
      <c r="H1044" s="181" t="n">
        <v>0</v>
      </c>
      <c r="I1044" s="181" t="n">
        <v>1042</v>
      </c>
      <c r="J1044" s="181" t="n">
        <v>47.9558</v>
      </c>
      <c r="K1044" s="181" t="n">
        <v>75.1033</v>
      </c>
    </row>
    <row r="1045" ht="15" customHeight="1" s="28">
      <c r="A1045" s="182" t="n">
        <v>1777851902</v>
      </c>
      <c r="B1045" s="182" t="inlineStr">
        <is>
          <t>XAUUSD</t>
        </is>
      </c>
      <c r="C1045" s="182" t="inlineStr">
        <is>
          <t>M15</t>
        </is>
      </c>
      <c r="D1045" s="182" t="n">
        <v>4613.86</v>
      </c>
      <c r="E1045" s="182" t="n">
        <v>4538.25906</v>
      </c>
      <c r="F1045" s="182" t="n">
        <v>4613.10995</v>
      </c>
      <c r="G1045" s="182" t="n">
        <v>4615.15618</v>
      </c>
      <c r="H1045" s="182" t="n">
        <v>0</v>
      </c>
      <c r="I1045" s="182" t="n">
        <v>1043</v>
      </c>
      <c r="J1045" s="182" t="n">
        <v>48.4397</v>
      </c>
      <c r="K1045" s="182" t="n">
        <v>75.6009</v>
      </c>
    </row>
    <row r="1046" ht="15" customHeight="1" s="28">
      <c r="A1046" s="181" t="n">
        <v>1777852802</v>
      </c>
      <c r="B1046" s="181" t="inlineStr">
        <is>
          <t>XAUUSD</t>
        </is>
      </c>
      <c r="C1046" s="181" t="inlineStr">
        <is>
          <t>M15</t>
        </is>
      </c>
      <c r="D1046" s="181" t="n">
        <v>4612.3</v>
      </c>
      <c r="E1046" s="181" t="n">
        <v>4537.99146</v>
      </c>
      <c r="F1046" s="181" t="n">
        <v>4610.61196</v>
      </c>
      <c r="G1046" s="181" t="n">
        <v>4612.88407</v>
      </c>
      <c r="H1046" s="181" t="n">
        <v>0</v>
      </c>
      <c r="I1046" s="181" t="n">
        <v>1044</v>
      </c>
      <c r="J1046" s="181" t="n">
        <v>47.1336</v>
      </c>
      <c r="K1046" s="181" t="n">
        <v>74.3085</v>
      </c>
    </row>
    <row r="1047" ht="15" customHeight="1" s="28">
      <c r="A1047" s="182" t="n">
        <v>1777853702</v>
      </c>
      <c r="B1047" s="182" t="inlineStr">
        <is>
          <t>XAUUSD</t>
        </is>
      </c>
      <c r="C1047" s="182" t="inlineStr">
        <is>
          <t>M15</t>
        </is>
      </c>
      <c r="D1047" s="182" t="n">
        <v>4606.13</v>
      </c>
      <c r="E1047" s="182" t="n">
        <v>4537.72385</v>
      </c>
      <c r="F1047" s="182" t="n">
        <v>4608.26458</v>
      </c>
      <c r="G1047" s="182" t="n">
        <v>4610.57432</v>
      </c>
      <c r="H1047" s="182" t="n">
        <v>0</v>
      </c>
      <c r="I1047" s="182" t="n">
        <v>1045</v>
      </c>
      <c r="J1047" s="182" t="n">
        <v>41.2175</v>
      </c>
      <c r="K1047" s="182" t="n">
        <v>68.4061</v>
      </c>
    </row>
    <row r="1048" ht="15" customHeight="1" s="28">
      <c r="A1048" s="181" t="n">
        <v>1777854602</v>
      </c>
      <c r="B1048" s="181" t="inlineStr">
        <is>
          <t>XAUUSD</t>
        </is>
      </c>
      <c r="C1048" s="181" t="inlineStr">
        <is>
          <t>M15</t>
        </is>
      </c>
      <c r="D1048" s="181" t="n">
        <v>4605.86</v>
      </c>
      <c r="E1048" s="181" t="n">
        <v>4537.45625</v>
      </c>
      <c r="F1048" s="181" t="n">
        <v>4606.33898</v>
      </c>
      <c r="G1048" s="181" t="n">
        <v>4608.45665</v>
      </c>
      <c r="H1048" s="181" t="n">
        <v>0</v>
      </c>
      <c r="I1048" s="181" t="n">
        <v>1046</v>
      </c>
      <c r="J1048" s="181" t="n">
        <v>41.2014</v>
      </c>
      <c r="K1048" s="181" t="n">
        <v>68.4037</v>
      </c>
    </row>
    <row r="1049" ht="15" customHeight="1" s="28">
      <c r="A1049" s="182" t="n">
        <v>1777855502</v>
      </c>
      <c r="B1049" s="182" t="inlineStr">
        <is>
          <t>XAUUSD</t>
        </is>
      </c>
      <c r="C1049" s="182" t="inlineStr">
        <is>
          <t>M15</t>
        </is>
      </c>
      <c r="D1049" s="182" t="n">
        <v>4613.01</v>
      </c>
      <c r="E1049" s="182" t="n">
        <v>4537.18865</v>
      </c>
      <c r="F1049" s="182" t="n">
        <v>4604.85083</v>
      </c>
      <c r="G1049" s="182" t="n">
        <v>4606.65374</v>
      </c>
      <c r="H1049" s="182" t="n">
        <v>0</v>
      </c>
      <c r="I1049" s="182" t="n">
        <v>1047</v>
      </c>
      <c r="J1049" s="182" t="n">
        <v>48.6053</v>
      </c>
      <c r="K1049" s="182" t="n">
        <v>75.8214</v>
      </c>
    </row>
    <row r="1050" ht="15" customHeight="1" s="28">
      <c r="A1050" s="181" t="n">
        <v>1777856402</v>
      </c>
      <c r="B1050" s="181" t="inlineStr">
        <is>
          <t>XAUUSD</t>
        </is>
      </c>
      <c r="C1050" s="181" t="inlineStr">
        <is>
          <t>M15</t>
        </is>
      </c>
      <c r="D1050" s="181" t="n">
        <v>4600.58</v>
      </c>
      <c r="E1050" s="181" t="n">
        <v>4536.92104</v>
      </c>
      <c r="F1050" s="181" t="n">
        <v>4603.58268</v>
      </c>
      <c r="G1050" s="181" t="n">
        <v>4605.11821</v>
      </c>
      <c r="H1050" s="181" t="n">
        <v>0</v>
      </c>
      <c r="I1050" s="181" t="n">
        <v>1048</v>
      </c>
      <c r="J1050" s="181" t="n">
        <v>36.4292</v>
      </c>
      <c r="K1050" s="181" t="n">
        <v>63.659</v>
      </c>
    </row>
    <row r="1051" ht="15" customHeight="1" s="28">
      <c r="A1051" s="182" t="n">
        <v>1777857302</v>
      </c>
      <c r="B1051" s="182" t="inlineStr">
        <is>
          <t>XAUUSD</t>
        </is>
      </c>
      <c r="C1051" s="182" t="inlineStr">
        <is>
          <t>M15</t>
        </is>
      </c>
      <c r="D1051" s="182" t="n">
        <v>4594.65</v>
      </c>
      <c r="E1051" s="182" t="n">
        <v>4536.65344</v>
      </c>
      <c r="F1051" s="182" t="n">
        <v>4602.82428</v>
      </c>
      <c r="G1051" s="182" t="n">
        <v>4603.97125</v>
      </c>
      <c r="H1051" s="182" t="n">
        <v>0</v>
      </c>
      <c r="I1051" s="182" t="n">
        <v>1049</v>
      </c>
      <c r="J1051" s="182" t="n">
        <v>30.7531</v>
      </c>
      <c r="K1051" s="182" t="n">
        <v>57.9966</v>
      </c>
    </row>
    <row r="1052" ht="15" customHeight="1" s="28">
      <c r="A1052" s="181" t="n">
        <v>1777858202</v>
      </c>
      <c r="B1052" s="181" t="inlineStr">
        <is>
          <t>XAUUSD</t>
        </is>
      </c>
      <c r="C1052" s="181" t="inlineStr">
        <is>
          <t>M15</t>
        </is>
      </c>
      <c r="D1052" s="181" t="n">
        <v>4601.59</v>
      </c>
      <c r="E1052" s="181" t="n">
        <v>4536.38583</v>
      </c>
      <c r="F1052" s="181" t="n">
        <v>4602.68068</v>
      </c>
      <c r="G1052" s="181" t="n">
        <v>4603.32596</v>
      </c>
      <c r="H1052" s="181" t="n">
        <v>0</v>
      </c>
      <c r="I1052" s="181" t="n">
        <v>1050</v>
      </c>
      <c r="J1052" s="181" t="n">
        <v>37.947</v>
      </c>
      <c r="K1052" s="181" t="n">
        <v>65.2042</v>
      </c>
    </row>
    <row r="1053" ht="15" customHeight="1" s="28">
      <c r="A1053" s="182" t="n">
        <v>1777859102</v>
      </c>
      <c r="B1053" s="182" t="inlineStr">
        <is>
          <t>XAUUSD</t>
        </is>
      </c>
      <c r="C1053" s="182" t="inlineStr">
        <is>
          <t>M15</t>
        </is>
      </c>
      <c r="D1053" s="182" t="n">
        <v>4613.14</v>
      </c>
      <c r="E1053" s="182" t="n">
        <v>4536.11823</v>
      </c>
      <c r="F1053" s="182" t="n">
        <v>4602.87373</v>
      </c>
      <c r="G1053" s="182" t="n">
        <v>4603.09985</v>
      </c>
      <c r="H1053" s="182" t="n">
        <v>0</v>
      </c>
      <c r="I1053" s="182" t="n">
        <v>1051</v>
      </c>
      <c r="J1053" s="182" t="n">
        <v>49.7509</v>
      </c>
      <c r="K1053" s="182" t="n">
        <v>77.0218</v>
      </c>
    </row>
    <row r="1054" ht="15" customHeight="1" s="28">
      <c r="A1054" s="181" t="n">
        <v>1777860002</v>
      </c>
      <c r="B1054" s="181" t="inlineStr">
        <is>
          <t>XAUUSD</t>
        </is>
      </c>
      <c r="C1054" s="181" t="inlineStr">
        <is>
          <t>M15</t>
        </is>
      </c>
      <c r="D1054" s="181" t="n">
        <v>4608.34</v>
      </c>
      <c r="E1054" s="181" t="n">
        <v>4535.85063</v>
      </c>
      <c r="F1054" s="181" t="n">
        <v>4603.07433</v>
      </c>
      <c r="G1054" s="181" t="n">
        <v>4603.08709</v>
      </c>
      <c r="H1054" s="181" t="n">
        <v>0</v>
      </c>
      <c r="I1054" s="181" t="n">
        <v>1052</v>
      </c>
      <c r="J1054" s="181" t="n">
        <v>45.2048</v>
      </c>
      <c r="K1054" s="181" t="n">
        <v>72.4894</v>
      </c>
    </row>
    <row r="1055" ht="15" customHeight="1" s="28">
      <c r="A1055" s="182" t="n">
        <v>1777860902</v>
      </c>
      <c r="B1055" s="182" t="inlineStr">
        <is>
          <t>XAUUSD</t>
        </is>
      </c>
      <c r="C1055" s="182" t="inlineStr">
        <is>
          <t>M15</t>
        </is>
      </c>
      <c r="D1055" s="182" t="n">
        <v>4593.09</v>
      </c>
      <c r="E1055" s="182" t="n">
        <v>4535.58302</v>
      </c>
      <c r="F1055" s="182" t="n">
        <v>4603.46313</v>
      </c>
      <c r="G1055" s="182" t="n">
        <v>4603.27511</v>
      </c>
      <c r="H1055" s="182" t="n">
        <v>1</v>
      </c>
      <c r="I1055" s="182" t="n">
        <v>1053</v>
      </c>
      <c r="J1055" s="182" t="n">
        <v>30.2087</v>
      </c>
      <c r="K1055" s="182" t="n">
        <v>57.507</v>
      </c>
    </row>
    <row r="1056" ht="15" customHeight="1" s="28">
      <c r="A1056" s="181" t="n">
        <v>1777861802</v>
      </c>
      <c r="B1056" s="181" t="inlineStr">
        <is>
          <t>XAUUSD</t>
        </is>
      </c>
      <c r="C1056" s="181" t="inlineStr">
        <is>
          <t>M15</t>
        </is>
      </c>
      <c r="D1056" s="181" t="n">
        <v>4603.32</v>
      </c>
      <c r="E1056" s="181" t="n">
        <v>4535.31542</v>
      </c>
      <c r="F1056" s="181" t="n">
        <v>4604.51814</v>
      </c>
      <c r="G1056" s="181" t="n">
        <v>4603.89663</v>
      </c>
      <c r="H1056" s="181" t="n">
        <v>0</v>
      </c>
      <c r="I1056" s="181" t="n">
        <v>1054</v>
      </c>
      <c r="J1056" s="181" t="n">
        <v>40.6926</v>
      </c>
      <c r="K1056" s="181" t="n">
        <v>68.0046</v>
      </c>
    </row>
    <row r="1057" ht="15" customHeight="1" s="28">
      <c r="A1057" s="182" t="n">
        <v>1777862702</v>
      </c>
      <c r="B1057" s="182" t="inlineStr">
        <is>
          <t>XAUUSD</t>
        </is>
      </c>
      <c r="C1057" s="182" t="inlineStr">
        <is>
          <t>M15</t>
        </is>
      </c>
      <c r="D1057" s="182" t="n">
        <v>4605.77</v>
      </c>
      <c r="E1057" s="182" t="n">
        <v>4535.04781</v>
      </c>
      <c r="F1057" s="182" t="n">
        <v>4605.99584</v>
      </c>
      <c r="G1057" s="182" t="n">
        <v>4604.94624</v>
      </c>
      <c r="H1057" s="182" t="n">
        <v>0</v>
      </c>
      <c r="I1057" s="182" t="n">
        <v>1055</v>
      </c>
      <c r="J1057" s="182" t="n">
        <v>43.3965</v>
      </c>
      <c r="K1057" s="182" t="n">
        <v>70.7222</v>
      </c>
    </row>
    <row r="1058" ht="15" customHeight="1" s="28">
      <c r="A1058" s="181" t="n">
        <v>1777863602</v>
      </c>
      <c r="B1058" s="181" t="inlineStr">
        <is>
          <t>XAUUSD</t>
        </is>
      </c>
      <c r="C1058" s="181" t="inlineStr">
        <is>
          <t>M15</t>
        </is>
      </c>
      <c r="D1058" s="181" t="n">
        <v>4610.07</v>
      </c>
      <c r="E1058" s="181" t="n">
        <v>4534.78021</v>
      </c>
      <c r="F1058" s="181" t="n">
        <v>4607.64179</v>
      </c>
      <c r="G1058" s="181" t="n">
        <v>4606.29401</v>
      </c>
      <c r="H1058" s="181" t="n">
        <v>0</v>
      </c>
      <c r="I1058" s="181" t="n">
        <v>1056</v>
      </c>
      <c r="J1058" s="181" t="n">
        <v>47.9504</v>
      </c>
      <c r="K1058" s="181" t="n">
        <v>75.2898</v>
      </c>
    </row>
    <row r="1059" ht="15" customHeight="1" s="28">
      <c r="A1059" s="182" t="n">
        <v>1777864502</v>
      </c>
      <c r="B1059" s="182" t="inlineStr">
        <is>
          <t>XAUUSD</t>
        </is>
      </c>
      <c r="C1059" s="182" t="inlineStr">
        <is>
          <t>M15</t>
        </is>
      </c>
      <c r="D1059" s="182" t="n">
        <v>4610.27</v>
      </c>
      <c r="E1059" s="182" t="n">
        <v>4534.5126</v>
      </c>
      <c r="F1059" s="182" t="n">
        <v>4609.07942</v>
      </c>
      <c r="G1059" s="182" t="n">
        <v>4607.68672</v>
      </c>
      <c r="H1059" s="182" t="n">
        <v>0</v>
      </c>
      <c r="I1059" s="182" t="n">
        <v>1057</v>
      </c>
      <c r="J1059" s="182" t="n">
        <v>48.4043</v>
      </c>
      <c r="K1059" s="182" t="n">
        <v>75.7574</v>
      </c>
    </row>
    <row r="1060" ht="15" customHeight="1" s="28">
      <c r="A1060" s="181" t="n">
        <v>1777865402</v>
      </c>
      <c r="B1060" s="181" t="inlineStr">
        <is>
          <t>XAUUSD</t>
        </is>
      </c>
      <c r="C1060" s="181" t="inlineStr">
        <is>
          <t>M15</t>
        </is>
      </c>
      <c r="D1060" s="181" t="n">
        <v>4605.07</v>
      </c>
      <c r="E1060" s="181" t="n">
        <v>4534.245</v>
      </c>
      <c r="F1060" s="181" t="n">
        <v>4610.0652</v>
      </c>
      <c r="G1060" s="181" t="n">
        <v>4608.87596</v>
      </c>
      <c r="H1060" s="181" t="n">
        <v>0</v>
      </c>
      <c r="I1060" s="181" t="n">
        <v>1058</v>
      </c>
      <c r="J1060" s="181" t="n">
        <v>43.4582</v>
      </c>
      <c r="K1060" s="181" t="n">
        <v>70.825</v>
      </c>
    </row>
    <row r="1061" ht="15" customHeight="1" s="28">
      <c r="A1061" s="182" t="n">
        <v>1777866302</v>
      </c>
      <c r="B1061" s="182" t="inlineStr">
        <is>
          <t>XAUUSD</t>
        </is>
      </c>
      <c r="C1061" s="182" t="inlineStr">
        <is>
          <t>M15</t>
        </is>
      </c>
      <c r="D1061" s="182" t="n">
        <v>4615.09</v>
      </c>
      <c r="E1061" s="182" t="n">
        <v>4533.9774</v>
      </c>
      <c r="F1061" s="182" t="n">
        <v>4610.55983</v>
      </c>
      <c r="G1061" s="182" t="n">
        <v>4609.71789</v>
      </c>
      <c r="H1061" s="182" t="n">
        <v>0</v>
      </c>
      <c r="I1061" s="182" t="n">
        <v>1059</v>
      </c>
      <c r="J1061" s="182" t="n">
        <v>53.7321</v>
      </c>
      <c r="K1061" s="182" t="n">
        <v>81.1126</v>
      </c>
    </row>
    <row r="1062" ht="15" customHeight="1" s="28">
      <c r="A1062" s="181" t="n">
        <v>1777867202</v>
      </c>
      <c r="B1062" s="181" t="inlineStr">
        <is>
          <t>XAUUSD</t>
        </is>
      </c>
      <c r="C1062" s="181" t="inlineStr">
        <is>
          <t>M15</t>
        </is>
      </c>
      <c r="D1062" s="181" t="n">
        <v>4611.19</v>
      </c>
      <c r="E1062" s="181" t="n">
        <v>4533.70979</v>
      </c>
      <c r="F1062" s="181" t="n">
        <v>4610.21073</v>
      </c>
      <c r="G1062" s="181" t="n">
        <v>4609.96431</v>
      </c>
      <c r="H1062" s="181" t="n">
        <v>0</v>
      </c>
      <c r="I1062" s="181" t="n">
        <v>1060</v>
      </c>
      <c r="J1062" s="181" t="n">
        <v>50.086</v>
      </c>
      <c r="K1062" s="181" t="n">
        <v>77.4802</v>
      </c>
    </row>
    <row r="1063" ht="15" customHeight="1" s="28">
      <c r="A1063" s="182" t="n">
        <v>1777868102</v>
      </c>
      <c r="B1063" s="182" t="inlineStr">
        <is>
          <t>XAUUSD</t>
        </is>
      </c>
      <c r="C1063" s="182" t="inlineStr">
        <is>
          <t>M15</t>
        </is>
      </c>
      <c r="D1063" s="182" t="n">
        <v>4608.12</v>
      </c>
      <c r="E1063" s="182" t="n">
        <v>4533.44219</v>
      </c>
      <c r="F1063" s="182" t="n">
        <v>4609.17869</v>
      </c>
      <c r="G1063" s="182" t="n">
        <v>4609.5715</v>
      </c>
      <c r="H1063" s="182" t="n">
        <v>1</v>
      </c>
      <c r="I1063" s="182" t="n">
        <v>1061</v>
      </c>
      <c r="J1063" s="182" t="n">
        <v>47.2698</v>
      </c>
      <c r="K1063" s="182" t="n">
        <v>74.6778</v>
      </c>
    </row>
    <row r="1064" ht="15" customHeight="1" s="28">
      <c r="A1064" s="181" t="n">
        <v>1777869002</v>
      </c>
      <c r="B1064" s="181" t="inlineStr">
        <is>
          <t>XAUUSD</t>
        </is>
      </c>
      <c r="C1064" s="181" t="inlineStr">
        <is>
          <t>M15</t>
        </is>
      </c>
      <c r="D1064" s="181" t="n">
        <v>4609.32</v>
      </c>
      <c r="E1064" s="181" t="n">
        <v>4533.17458</v>
      </c>
      <c r="F1064" s="181" t="n">
        <v>4607.63961</v>
      </c>
      <c r="G1064" s="181" t="n">
        <v>4608.60555</v>
      </c>
      <c r="H1064" s="181" t="n">
        <v>0</v>
      </c>
      <c r="I1064" s="181" t="n">
        <v>1062</v>
      </c>
      <c r="J1064" s="181" t="n">
        <v>48.7237</v>
      </c>
      <c r="K1064" s="181" t="n">
        <v>76.1454</v>
      </c>
    </row>
    <row r="1065" ht="15" customHeight="1" s="28">
      <c r="A1065" s="182" t="n">
        <v>1777869902</v>
      </c>
      <c r="B1065" s="182" t="inlineStr">
        <is>
          <t>XAUUSD</t>
        </is>
      </c>
      <c r="C1065" s="182" t="inlineStr">
        <is>
          <t>M15</t>
        </is>
      </c>
      <c r="D1065" s="182" t="n">
        <v>4606</v>
      </c>
      <c r="E1065" s="182" t="n">
        <v>4532.90698</v>
      </c>
      <c r="F1065" s="182" t="n">
        <v>4605.68574</v>
      </c>
      <c r="G1065" s="182" t="n">
        <v>4607.14565</v>
      </c>
      <c r="H1065" s="182" t="n">
        <v>0</v>
      </c>
      <c r="I1065" s="182" t="n">
        <v>1063</v>
      </c>
      <c r="J1065" s="182" t="n">
        <v>45.6576</v>
      </c>
      <c r="K1065" s="182" t="n">
        <v>73.093</v>
      </c>
    </row>
    <row r="1066" ht="15" customHeight="1" s="28">
      <c r="A1066" s="181" t="n">
        <v>1777870802</v>
      </c>
      <c r="B1066" s="181" t="inlineStr">
        <is>
          <t>XAUUSD</t>
        </is>
      </c>
      <c r="C1066" s="181" t="inlineStr">
        <is>
          <t>M15</t>
        </is>
      </c>
      <c r="D1066" s="181" t="n">
        <v>4603.74</v>
      </c>
      <c r="E1066" s="181" t="n">
        <v>4532.63938</v>
      </c>
      <c r="F1066" s="181" t="n">
        <v>4603.53031</v>
      </c>
      <c r="G1066" s="181" t="n">
        <v>4605.33798</v>
      </c>
      <c r="H1066" s="181" t="n">
        <v>0</v>
      </c>
      <c r="I1066" s="181" t="n">
        <v>1064</v>
      </c>
      <c r="J1066" s="181" t="n">
        <v>43.6515</v>
      </c>
      <c r="K1066" s="181" t="n">
        <v>71.1006</v>
      </c>
    </row>
    <row r="1067" ht="15" customHeight="1" s="28">
      <c r="A1067" s="182" t="n">
        <v>1777871702</v>
      </c>
      <c r="B1067" s="182" t="inlineStr">
        <is>
          <t>XAUUSD</t>
        </is>
      </c>
      <c r="C1067" s="182" t="inlineStr">
        <is>
          <t>M15</t>
        </is>
      </c>
      <c r="D1067" s="182" t="n">
        <v>4596.32</v>
      </c>
      <c r="E1067" s="182" t="n">
        <v>4532.37177</v>
      </c>
      <c r="F1067" s="182" t="n">
        <v>4601.33061</v>
      </c>
      <c r="G1067" s="182" t="n">
        <v>4603.33429</v>
      </c>
      <c r="H1067" s="182" t="n">
        <v>0</v>
      </c>
      <c r="I1067" s="182" t="n">
        <v>1065</v>
      </c>
      <c r="J1067" s="182" t="n">
        <v>36.4854</v>
      </c>
      <c r="K1067" s="182" t="n">
        <v>63.9482</v>
      </c>
    </row>
    <row r="1068" ht="15" customHeight="1" s="28">
      <c r="A1068" s="181" t="n">
        <v>1777872602</v>
      </c>
      <c r="B1068" s="181" t="inlineStr">
        <is>
          <t>XAUUSD</t>
        </is>
      </c>
      <c r="C1068" s="181" t="inlineStr">
        <is>
          <t>M15</t>
        </is>
      </c>
      <c r="D1068" s="181" t="n">
        <v>4598.85</v>
      </c>
      <c r="E1068" s="181" t="n">
        <v>4532.10417</v>
      </c>
      <c r="F1068" s="181" t="n">
        <v>4599.31382</v>
      </c>
      <c r="G1068" s="181" t="n">
        <v>4601.32406</v>
      </c>
      <c r="H1068" s="181" t="n">
        <v>0</v>
      </c>
      <c r="I1068" s="181" t="n">
        <v>1066</v>
      </c>
      <c r="J1068" s="181" t="n">
        <v>39.2693</v>
      </c>
      <c r="K1068" s="181" t="n">
        <v>66.7458</v>
      </c>
    </row>
    <row r="1069" ht="15" customHeight="1" s="28">
      <c r="A1069" s="182" t="n">
        <v>1777873502</v>
      </c>
      <c r="B1069" s="182" t="inlineStr">
        <is>
          <t>XAUUSD</t>
        </is>
      </c>
      <c r="C1069" s="182" t="inlineStr">
        <is>
          <t>M15</t>
        </is>
      </c>
      <c r="D1069" s="182" t="n">
        <v>4599.12</v>
      </c>
      <c r="E1069" s="182" t="n">
        <v>4531.83656</v>
      </c>
      <c r="F1069" s="182" t="n">
        <v>4597.33706</v>
      </c>
      <c r="G1069" s="182" t="n">
        <v>4599.33056</v>
      </c>
      <c r="H1069" s="182" t="n">
        <v>0</v>
      </c>
      <c r="I1069" s="182" t="n">
        <v>1067</v>
      </c>
      <c r="J1069" s="182" t="n">
        <v>39.7932</v>
      </c>
      <c r="K1069" s="182" t="n">
        <v>67.2834</v>
      </c>
    </row>
    <row r="1070" ht="15" customHeight="1" s="28">
      <c r="A1070" s="181" t="n">
        <v>1777874402</v>
      </c>
      <c r="B1070" s="181" t="inlineStr">
        <is>
          <t>XAUUSD</t>
        </is>
      </c>
      <c r="C1070" s="181" t="inlineStr">
        <is>
          <t>M15</t>
        </is>
      </c>
      <c r="D1070" s="181" t="n">
        <v>4597.44</v>
      </c>
      <c r="E1070" s="181" t="n">
        <v>4531.56896</v>
      </c>
      <c r="F1070" s="181" t="n">
        <v>4595.29208</v>
      </c>
      <c r="G1070" s="181" t="n">
        <v>4597.31132</v>
      </c>
      <c r="H1070" s="181" t="n">
        <v>0</v>
      </c>
      <c r="I1070" s="181" t="n">
        <v>1068</v>
      </c>
      <c r="J1070" s="181" t="n">
        <v>38.3671</v>
      </c>
      <c r="K1070" s="181" t="n">
        <v>65.871</v>
      </c>
    </row>
    <row r="1071" ht="15" customHeight="1" s="28">
      <c r="A1071" s="182" t="n">
        <v>1777875302</v>
      </c>
      <c r="B1071" s="182" t="inlineStr">
        <is>
          <t>XAUUSD</t>
        </is>
      </c>
      <c r="C1071" s="182" t="inlineStr">
        <is>
          <t>M15</t>
        </is>
      </c>
      <c r="D1071" s="182" t="n">
        <v>4594.08</v>
      </c>
      <c r="E1071" s="182" t="n">
        <v>4531.30136</v>
      </c>
      <c r="F1071" s="182" t="n">
        <v>4593.10538</v>
      </c>
      <c r="G1071" s="182" t="n">
        <v>4595.20835</v>
      </c>
      <c r="H1071" s="182" t="n">
        <v>0</v>
      </c>
      <c r="I1071" s="182" t="n">
        <v>1069</v>
      </c>
      <c r="J1071" s="182" t="n">
        <v>35.261</v>
      </c>
      <c r="K1071" s="182" t="n">
        <v>62.7786</v>
      </c>
    </row>
    <row r="1072" ht="15" customHeight="1" s="28">
      <c r="A1072" s="181" t="n">
        <v>1777876202</v>
      </c>
      <c r="B1072" s="181" t="inlineStr">
        <is>
          <t>XAUUSD</t>
        </is>
      </c>
      <c r="C1072" s="181" t="inlineStr">
        <is>
          <t>M15</t>
        </is>
      </c>
      <c r="D1072" s="181" t="n">
        <v>4585.46</v>
      </c>
      <c r="E1072" s="181" t="n">
        <v>4531.03375</v>
      </c>
      <c r="F1072" s="181" t="n">
        <v>4590.84735</v>
      </c>
      <c r="G1072" s="181" t="n">
        <v>4593.02785</v>
      </c>
      <c r="H1072" s="181" t="n">
        <v>0</v>
      </c>
      <c r="I1072" s="181" t="n">
        <v>1070</v>
      </c>
      <c r="J1072" s="181" t="n">
        <v>26.8949</v>
      </c>
      <c r="K1072" s="181" t="n">
        <v>54.4263</v>
      </c>
    </row>
    <row r="1073" ht="15" customHeight="1" s="28">
      <c r="A1073" s="182" t="n">
        <v>1777877102</v>
      </c>
      <c r="B1073" s="182" t="inlineStr">
        <is>
          <t>XAUUSD</t>
        </is>
      </c>
      <c r="C1073" s="182" t="inlineStr">
        <is>
          <t>M15</t>
        </is>
      </c>
      <c r="D1073" s="182" t="n">
        <v>4588.54</v>
      </c>
      <c r="E1073" s="182" t="n">
        <v>4530.76615</v>
      </c>
      <c r="F1073" s="182" t="n">
        <v>4588.78298</v>
      </c>
      <c r="G1073" s="182" t="n">
        <v>4590.90542</v>
      </c>
      <c r="H1073" s="182" t="n">
        <v>0</v>
      </c>
      <c r="I1073" s="182" t="n">
        <v>1071</v>
      </c>
      <c r="J1073" s="182" t="n">
        <v>30.2288</v>
      </c>
      <c r="K1073" s="182" t="n">
        <v>57.7738</v>
      </c>
    </row>
    <row r="1074" ht="15" customHeight="1" s="28">
      <c r="A1074" s="181" t="n">
        <v>1777878002</v>
      </c>
      <c r="B1074" s="181" t="inlineStr">
        <is>
          <t>XAUUSD</t>
        </is>
      </c>
      <c r="C1074" s="181" t="inlineStr">
        <is>
          <t>M15</t>
        </is>
      </c>
      <c r="D1074" s="181" t="n">
        <v>4592.16</v>
      </c>
      <c r="E1074" s="181" t="n">
        <v>4530.49854</v>
      </c>
      <c r="F1074" s="181" t="n">
        <v>4586.85043</v>
      </c>
      <c r="G1074" s="181" t="n">
        <v>4588.87792</v>
      </c>
      <c r="H1074" s="181" t="n">
        <v>0</v>
      </c>
      <c r="I1074" s="181" t="n">
        <v>1072</v>
      </c>
      <c r="J1074" s="181" t="n">
        <v>34.1027</v>
      </c>
      <c r="K1074" s="181" t="n">
        <v>61.6615</v>
      </c>
    </row>
    <row r="1075" ht="15" customHeight="1" s="28">
      <c r="A1075" s="182" t="n">
        <v>1777878902</v>
      </c>
      <c r="B1075" s="182" t="inlineStr">
        <is>
          <t>XAUUSD</t>
        </is>
      </c>
      <c r="C1075" s="182" t="inlineStr">
        <is>
          <t>M15</t>
        </is>
      </c>
      <c r="D1075" s="182" t="n">
        <v>4585.82</v>
      </c>
      <c r="E1075" s="182" t="n">
        <v>4530.23094</v>
      </c>
      <c r="F1075" s="182" t="n">
        <v>4585.02155</v>
      </c>
      <c r="G1075" s="182" t="n">
        <v>4586.94974</v>
      </c>
      <c r="H1075" s="182" t="n">
        <v>0</v>
      </c>
      <c r="I1075" s="182" t="n">
        <v>1073</v>
      </c>
      <c r="J1075" s="182" t="n">
        <v>28.0166</v>
      </c>
      <c r="K1075" s="182" t="n">
        <v>55.5891</v>
      </c>
    </row>
    <row r="1076" ht="15" customHeight="1" s="28">
      <c r="A1076" s="181" t="n">
        <v>1777879802</v>
      </c>
      <c r="B1076" s="181" t="inlineStr">
        <is>
          <t>XAUUSD</t>
        </is>
      </c>
      <c r="C1076" s="181" t="inlineStr">
        <is>
          <t>M15</t>
        </is>
      </c>
      <c r="D1076" s="181" t="n">
        <v>4587.99</v>
      </c>
      <c r="E1076" s="181" t="n">
        <v>4529.96334</v>
      </c>
      <c r="F1076" s="181" t="n">
        <v>4583.56213</v>
      </c>
      <c r="G1076" s="181" t="n">
        <v>4585.25593</v>
      </c>
      <c r="H1076" s="181" t="n">
        <v>0</v>
      </c>
      <c r="I1076" s="181" t="n">
        <v>1074</v>
      </c>
      <c r="J1076" s="181" t="n">
        <v>30.4405</v>
      </c>
      <c r="K1076" s="181" t="n">
        <v>58.0267</v>
      </c>
    </row>
    <row r="1077" ht="15" customHeight="1" s="28">
      <c r="A1077" s="182" t="n">
        <v>1777880702</v>
      </c>
      <c r="B1077" s="182" t="inlineStr">
        <is>
          <t>XAUUSD</t>
        </is>
      </c>
      <c r="C1077" s="182" t="inlineStr">
        <is>
          <t>M15</t>
        </is>
      </c>
      <c r="D1077" s="182" t="n">
        <v>4579.06</v>
      </c>
      <c r="E1077" s="182" t="n">
        <v>4529.69573</v>
      </c>
      <c r="F1077" s="182" t="n">
        <v>4582.44301</v>
      </c>
      <c r="G1077" s="182" t="n">
        <v>4583.84947</v>
      </c>
      <c r="H1077" s="182" t="n">
        <v>0</v>
      </c>
      <c r="I1077" s="182" t="n">
        <v>1075</v>
      </c>
      <c r="J1077" s="182" t="n">
        <v>21.7644</v>
      </c>
      <c r="K1077" s="182" t="n">
        <v>49.3643</v>
      </c>
    </row>
    <row r="1078" ht="15" customHeight="1" s="28">
      <c r="A1078" s="181" t="n">
        <v>1777881602</v>
      </c>
      <c r="B1078" s="181" t="inlineStr">
        <is>
          <t>XAUUSD</t>
        </is>
      </c>
      <c r="C1078" s="181" t="inlineStr">
        <is>
          <t>M15</t>
        </is>
      </c>
      <c r="D1078" s="181" t="n">
        <v>4580.25</v>
      </c>
      <c r="E1078" s="181" t="n">
        <v>4529.42813</v>
      </c>
      <c r="F1078" s="181" t="n">
        <v>4581.82346</v>
      </c>
      <c r="G1078" s="181" t="n">
        <v>4582.83646</v>
      </c>
      <c r="H1078" s="181" t="n">
        <v>0</v>
      </c>
      <c r="I1078" s="181" t="n">
        <v>1076</v>
      </c>
      <c r="J1078" s="181" t="n">
        <v>23.2083</v>
      </c>
      <c r="K1078" s="181" t="n">
        <v>50.8219</v>
      </c>
    </row>
    <row r="1079" ht="15" customHeight="1" s="28">
      <c r="A1079" s="182" t="n">
        <v>1777882502</v>
      </c>
      <c r="B1079" s="182" t="inlineStr">
        <is>
          <t>XAUUSD</t>
        </is>
      </c>
      <c r="C1079" s="182" t="inlineStr">
        <is>
          <t>M15</t>
        </is>
      </c>
      <c r="D1079" s="182" t="n">
        <v>4575.07</v>
      </c>
      <c r="E1079" s="182" t="n">
        <v>4529.16052</v>
      </c>
      <c r="F1079" s="182" t="n">
        <v>4581.41462</v>
      </c>
      <c r="G1079" s="182" t="n">
        <v>4582.12554</v>
      </c>
      <c r="H1079" s="182" t="n">
        <v>0</v>
      </c>
      <c r="I1079" s="182" t="n">
        <v>1077</v>
      </c>
      <c r="J1079" s="182" t="n">
        <v>18.2822</v>
      </c>
      <c r="K1079" s="182" t="n">
        <v>45.9095</v>
      </c>
    </row>
    <row r="1080" ht="15" customHeight="1" s="28">
      <c r="A1080" s="181" t="n">
        <v>1777883402</v>
      </c>
      <c r="B1080" s="181" t="inlineStr">
        <is>
          <t>XAUUSD</t>
        </is>
      </c>
      <c r="C1080" s="181" t="inlineStr">
        <is>
          <t>M15</t>
        </is>
      </c>
      <c r="D1080" s="181" t="n">
        <v>4578.09</v>
      </c>
      <c r="E1080" s="181" t="n">
        <v>4528.89292</v>
      </c>
      <c r="F1080" s="181" t="n">
        <v>4580.98161</v>
      </c>
      <c r="G1080" s="181" t="n">
        <v>4581.55357</v>
      </c>
      <c r="H1080" s="181" t="n">
        <v>0</v>
      </c>
      <c r="I1080" s="181" t="n">
        <v>1078</v>
      </c>
      <c r="J1080" s="181" t="n">
        <v>21.5561</v>
      </c>
      <c r="K1080" s="181" t="n">
        <v>49.1971</v>
      </c>
    </row>
    <row r="1081" ht="15" customHeight="1" s="28">
      <c r="A1081" s="182" t="n">
        <v>1777884302</v>
      </c>
      <c r="B1081" s="182" t="inlineStr">
        <is>
          <t>XAUUSD</t>
        </is>
      </c>
      <c r="C1081" s="182" t="inlineStr">
        <is>
          <t>M15</t>
        </is>
      </c>
      <c r="D1081" s="182" t="n">
        <v>4577.11</v>
      </c>
      <c r="E1081" s="182" t="n">
        <v>4528.62531</v>
      </c>
      <c r="F1081" s="182" t="n">
        <v>4580.04908</v>
      </c>
      <c r="G1081" s="182" t="n">
        <v>4580.80133</v>
      </c>
      <c r="H1081" s="182" t="n">
        <v>0</v>
      </c>
      <c r="I1081" s="182" t="n">
        <v>1079</v>
      </c>
      <c r="J1081" s="182" t="n">
        <v>20.83</v>
      </c>
      <c r="K1081" s="182" t="n">
        <v>48.4847</v>
      </c>
    </row>
    <row r="1082" ht="15" customHeight="1" s="28">
      <c r="A1082" s="181" t="n">
        <v>1777885202</v>
      </c>
      <c r="B1082" s="181" t="inlineStr">
        <is>
          <t>XAUUSD</t>
        </is>
      </c>
      <c r="C1082" s="181" t="inlineStr">
        <is>
          <t>M15</t>
        </is>
      </c>
      <c r="D1082" s="181" t="n">
        <v>4584.21</v>
      </c>
      <c r="E1082" s="181" t="n">
        <v>4528.35771</v>
      </c>
      <c r="F1082" s="181" t="n">
        <v>4578.27299</v>
      </c>
      <c r="G1082" s="181" t="n">
        <v>4579.53716</v>
      </c>
      <c r="H1082" s="181" t="n">
        <v>0</v>
      </c>
      <c r="I1082" s="181" t="n">
        <v>1080</v>
      </c>
      <c r="J1082" s="181" t="n">
        <v>28.1839</v>
      </c>
      <c r="K1082" s="181" t="n">
        <v>55.8523</v>
      </c>
    </row>
    <row r="1083" ht="15" customHeight="1" s="28">
      <c r="A1083" s="182" t="n">
        <v>1777886102</v>
      </c>
      <c r="B1083" s="182" t="inlineStr">
        <is>
          <t>XAUUSD</t>
        </is>
      </c>
      <c r="C1083" s="182" t="inlineStr">
        <is>
          <t>M15</t>
        </is>
      </c>
      <c r="D1083" s="182" t="n">
        <v>4581.15</v>
      </c>
      <c r="E1083" s="182" t="n">
        <v>4528.09011</v>
      </c>
      <c r="F1083" s="182" t="n">
        <v>4575.25669</v>
      </c>
      <c r="G1083" s="182" t="n">
        <v>4577.39692</v>
      </c>
      <c r="H1083" s="182" t="n">
        <v>0</v>
      </c>
      <c r="I1083" s="182" t="n">
        <v>1081</v>
      </c>
      <c r="J1083" s="182" t="n">
        <v>25.3778</v>
      </c>
      <c r="K1083" s="182" t="n">
        <v>53.0599</v>
      </c>
    </row>
    <row r="1084" ht="15" customHeight="1" s="28">
      <c r="A1084" s="181" t="n">
        <v>1777887002</v>
      </c>
      <c r="B1084" s="181" t="inlineStr">
        <is>
          <t>XAUUSD</t>
        </is>
      </c>
      <c r="C1084" s="181" t="inlineStr">
        <is>
          <t>M15</t>
        </is>
      </c>
      <c r="D1084" s="181" t="n">
        <v>4581.26</v>
      </c>
      <c r="E1084" s="181" t="n">
        <v>4527.8225</v>
      </c>
      <c r="F1084" s="181" t="n">
        <v>4571.14583</v>
      </c>
      <c r="G1084" s="181" t="n">
        <v>4574.27138</v>
      </c>
      <c r="H1084" s="181" t="n">
        <v>0</v>
      </c>
      <c r="I1084" s="181" t="n">
        <v>1082</v>
      </c>
      <c r="J1084" s="181" t="n">
        <v>25.7417</v>
      </c>
      <c r="K1084" s="181" t="n">
        <v>53.4375</v>
      </c>
    </row>
    <row r="1085" ht="15" customHeight="1" s="28">
      <c r="A1085" s="182" t="n">
        <v>1777887902</v>
      </c>
      <c r="B1085" s="182" t="inlineStr">
        <is>
          <t>XAUUSD</t>
        </is>
      </c>
      <c r="C1085" s="182" t="inlineStr">
        <is>
          <t>M15</t>
        </is>
      </c>
      <c r="D1085" s="182" t="n">
        <v>4575.47</v>
      </c>
      <c r="E1085" s="182" t="n">
        <v>4527.5549</v>
      </c>
      <c r="F1085" s="182" t="n">
        <v>4566.29874</v>
      </c>
      <c r="G1085" s="182" t="n">
        <v>4570.28506</v>
      </c>
      <c r="H1085" s="182" t="n">
        <v>0</v>
      </c>
      <c r="I1085" s="182" t="n">
        <v>1083</v>
      </c>
      <c r="J1085" s="182" t="n">
        <v>20.2055</v>
      </c>
      <c r="K1085" s="182" t="n">
        <v>47.9151</v>
      </c>
    </row>
    <row r="1086" ht="15" customHeight="1" s="28">
      <c r="A1086" s="181" t="n">
        <v>1777888802</v>
      </c>
      <c r="B1086" s="181" t="inlineStr">
        <is>
          <t>XAUUSD</t>
        </is>
      </c>
      <c r="C1086" s="181" t="inlineStr">
        <is>
          <t>M15</t>
        </is>
      </c>
      <c r="D1086" s="181" t="n">
        <v>4541.79</v>
      </c>
      <c r="E1086" s="181" t="n">
        <v>4527.28729</v>
      </c>
      <c r="F1086" s="181" t="n">
        <v>4561.49005</v>
      </c>
      <c r="G1086" s="181" t="n">
        <v>4565.88755</v>
      </c>
      <c r="H1086" s="181" t="n">
        <v>0</v>
      </c>
      <c r="I1086" s="181" t="n">
        <v>1084</v>
      </c>
      <c r="J1086" s="181" t="n">
        <v>-13.2206</v>
      </c>
      <c r="K1086" s="181" t="n">
        <v>14.5027</v>
      </c>
    </row>
    <row r="1087" ht="15" customHeight="1" s="28">
      <c r="A1087" s="182" t="n">
        <v>1777889702</v>
      </c>
      <c r="B1087" s="182" t="inlineStr">
        <is>
          <t>XAUUSD</t>
        </is>
      </c>
      <c r="C1087" s="182" t="inlineStr">
        <is>
          <t>M15</t>
        </is>
      </c>
      <c r="D1087" s="182" t="n">
        <v>4545</v>
      </c>
      <c r="E1087" s="182" t="n">
        <v>4527.01969</v>
      </c>
      <c r="F1087" s="182" t="n">
        <v>4558.22146</v>
      </c>
      <c r="G1087" s="182" t="n">
        <v>4562.05451</v>
      </c>
      <c r="H1087" s="182" t="n">
        <v>0</v>
      </c>
      <c r="I1087" s="182" t="n">
        <v>1085</v>
      </c>
      <c r="J1087" s="182" t="n">
        <v>-9.7567</v>
      </c>
      <c r="K1087" s="182" t="n">
        <v>17.9803</v>
      </c>
    </row>
    <row r="1088" ht="15" customHeight="1" s="28">
      <c r="A1088" s="181" t="n">
        <v>1777890602</v>
      </c>
      <c r="B1088" s="181" t="inlineStr">
        <is>
          <t>XAUUSD</t>
        </is>
      </c>
      <c r="C1088" s="181" t="inlineStr">
        <is>
          <t>M15</t>
        </is>
      </c>
      <c r="D1088" s="181" t="n">
        <v>4558.64</v>
      </c>
      <c r="E1088" s="181" t="n">
        <v>4526.75209</v>
      </c>
      <c r="F1088" s="181" t="n">
        <v>4556.75146</v>
      </c>
      <c r="G1088" s="181" t="n">
        <v>4559.40298</v>
      </c>
      <c r="H1088" s="181" t="n">
        <v>0</v>
      </c>
      <c r="I1088" s="181" t="n">
        <v>1086</v>
      </c>
      <c r="J1088" s="181" t="n">
        <v>4.1372</v>
      </c>
      <c r="K1088" s="181" t="n">
        <v>31.8879</v>
      </c>
    </row>
    <row r="1089" ht="15" customHeight="1" s="28">
      <c r="A1089" s="182" t="n">
        <v>1777891502</v>
      </c>
      <c r="B1089" s="182" t="inlineStr">
        <is>
          <t>XAUUSD</t>
        </is>
      </c>
      <c r="C1089" s="182" t="inlineStr">
        <is>
          <t>M15</t>
        </is>
      </c>
      <c r="D1089" s="182" t="n">
        <v>4562.67</v>
      </c>
      <c r="E1089" s="182" t="n">
        <v>4526.48448</v>
      </c>
      <c r="F1089" s="182" t="n">
        <v>4556.70054</v>
      </c>
      <c r="G1089" s="182" t="n">
        <v>4558.05176</v>
      </c>
      <c r="H1089" s="182" t="n">
        <v>0</v>
      </c>
      <c r="I1089" s="182" t="n">
        <v>1087</v>
      </c>
      <c r="J1089" s="182" t="n">
        <v>8.421099999999999</v>
      </c>
      <c r="K1089" s="182" t="n">
        <v>36.1855</v>
      </c>
    </row>
    <row r="1090" ht="15" customHeight="1" s="28">
      <c r="A1090" s="181" t="n">
        <v>1777892402</v>
      </c>
      <c r="B1090" s="181" t="inlineStr">
        <is>
          <t>XAUUSD</t>
        </is>
      </c>
      <c r="C1090" s="181" t="inlineStr">
        <is>
          <t>M15</t>
        </is>
      </c>
      <c r="D1090" s="181" t="n">
        <v>4565.34</v>
      </c>
      <c r="E1090" s="181" t="n">
        <v>4526.21688</v>
      </c>
      <c r="F1090" s="181" t="n">
        <v>4557.69867</v>
      </c>
      <c r="G1090" s="181" t="n">
        <v>4557.87521</v>
      </c>
      <c r="H1090" s="181" t="n">
        <v>0</v>
      </c>
      <c r="I1090" s="181" t="n">
        <v>1088</v>
      </c>
      <c r="J1090" s="181" t="n">
        <v>11.345</v>
      </c>
      <c r="K1090" s="181" t="n">
        <v>39.1231</v>
      </c>
    </row>
    <row r="1091" ht="15" customHeight="1" s="28">
      <c r="A1091" s="182" t="n">
        <v>1777893302</v>
      </c>
      <c r="B1091" s="182" t="inlineStr">
        <is>
          <t>XAUUSD</t>
        </is>
      </c>
      <c r="C1091" s="182" t="inlineStr">
        <is>
          <t>M15</t>
        </is>
      </c>
      <c r="D1091" s="182" t="n">
        <v>4562.26</v>
      </c>
      <c r="E1091" s="182" t="n">
        <v>4525.94927</v>
      </c>
      <c r="F1091" s="182" t="n">
        <v>4559.26237</v>
      </c>
      <c r="G1091" s="182" t="n">
        <v>4558.56879</v>
      </c>
      <c r="H1091" s="182" t="n">
        <v>1</v>
      </c>
      <c r="I1091" s="182" t="n">
        <v>1089</v>
      </c>
      <c r="J1091" s="182" t="n">
        <v>8.5189</v>
      </c>
      <c r="K1091" s="182" t="n">
        <v>36.3107</v>
      </c>
    </row>
    <row r="1092" ht="15" customHeight="1" s="28">
      <c r="A1092" s="181" t="n">
        <v>1777894202</v>
      </c>
      <c r="B1092" s="181" t="inlineStr">
        <is>
          <t>XAUUSD</t>
        </is>
      </c>
      <c r="C1092" s="181" t="inlineStr">
        <is>
          <t>M15</t>
        </is>
      </c>
      <c r="D1092" s="181" t="n">
        <v>4553.65</v>
      </c>
      <c r="E1092" s="181" t="n">
        <v>4525.68167</v>
      </c>
      <c r="F1092" s="181" t="n">
        <v>4561.01172</v>
      </c>
      <c r="G1092" s="181" t="n">
        <v>4559.79026</v>
      </c>
      <c r="H1092" s="181" t="n">
        <v>0</v>
      </c>
      <c r="I1092" s="181" t="n">
        <v>1090</v>
      </c>
      <c r="J1092" s="181" t="n">
        <v>0.1628</v>
      </c>
      <c r="K1092" s="181" t="n">
        <v>27.9683</v>
      </c>
    </row>
    <row r="1093" ht="15" customHeight="1" s="28">
      <c r="A1093" s="182" t="n">
        <v>1777895102</v>
      </c>
      <c r="B1093" s="182" t="inlineStr">
        <is>
          <t>XAUUSD</t>
        </is>
      </c>
      <c r="C1093" s="182" t="inlineStr">
        <is>
          <t>M15</t>
        </is>
      </c>
      <c r="D1093" s="182" t="n">
        <v>4559.94</v>
      </c>
      <c r="E1093" s="182" t="n">
        <v>4525.41407</v>
      </c>
      <c r="F1093" s="182" t="n">
        <v>4562.81704</v>
      </c>
      <c r="G1093" s="182" t="n">
        <v>4561.30365</v>
      </c>
      <c r="H1093" s="182" t="n">
        <v>0</v>
      </c>
      <c r="I1093" s="182" t="n">
        <v>1091</v>
      </c>
      <c r="J1093" s="182" t="n">
        <v>6.7067</v>
      </c>
      <c r="K1093" s="182" t="n">
        <v>34.5259</v>
      </c>
    </row>
    <row r="1094" ht="15" customHeight="1" s="28">
      <c r="A1094" s="181" t="n">
        <v>1777896002</v>
      </c>
      <c r="B1094" s="181" t="inlineStr">
        <is>
          <t>XAUUSD</t>
        </is>
      </c>
      <c r="C1094" s="181" t="inlineStr">
        <is>
          <t>M15</t>
        </is>
      </c>
      <c r="D1094" s="181" t="n">
        <v>4563.67</v>
      </c>
      <c r="E1094" s="181" t="n">
        <v>4525.14646</v>
      </c>
      <c r="F1094" s="181" t="n">
        <v>4564.27067</v>
      </c>
      <c r="G1094" s="181" t="n">
        <v>4562.78716</v>
      </c>
      <c r="H1094" s="181" t="n">
        <v>0</v>
      </c>
      <c r="I1094" s="181" t="n">
        <v>1092</v>
      </c>
      <c r="J1094" s="181" t="n">
        <v>10.6906</v>
      </c>
      <c r="K1094" s="181" t="n">
        <v>38.5235</v>
      </c>
    </row>
    <row r="1095" ht="15" customHeight="1" s="28">
      <c r="A1095" s="182" t="n">
        <v>1777896902</v>
      </c>
      <c r="B1095" s="182" t="inlineStr">
        <is>
          <t>XAUUSD</t>
        </is>
      </c>
      <c r="C1095" s="182" t="inlineStr">
        <is>
          <t>M15</t>
        </is>
      </c>
      <c r="D1095" s="182" t="n">
        <v>4568.68</v>
      </c>
      <c r="E1095" s="182" t="n">
        <v>4524.87886</v>
      </c>
      <c r="F1095" s="182" t="n">
        <v>4565.21562</v>
      </c>
      <c r="G1095" s="182" t="n">
        <v>4564.00139</v>
      </c>
      <c r="H1095" s="182" t="n">
        <v>0</v>
      </c>
      <c r="I1095" s="182" t="n">
        <v>1093</v>
      </c>
      <c r="J1095" s="182" t="n">
        <v>15.9545</v>
      </c>
      <c r="K1095" s="182" t="n">
        <v>43.8011</v>
      </c>
    </row>
    <row r="1096" ht="15" customHeight="1" s="28">
      <c r="A1096" s="181" t="n">
        <v>1777897802</v>
      </c>
      <c r="B1096" s="181" t="inlineStr">
        <is>
          <t>XAUUSD</t>
        </is>
      </c>
      <c r="C1096" s="181" t="inlineStr">
        <is>
          <t>M15</t>
        </is>
      </c>
      <c r="D1096" s="181" t="n">
        <v>4570.1</v>
      </c>
      <c r="E1096" s="181" t="n">
        <v>4524.61125</v>
      </c>
      <c r="F1096" s="181" t="n">
        <v>4565.65915</v>
      </c>
      <c r="G1096" s="181" t="n">
        <v>4564.83027</v>
      </c>
      <c r="H1096" s="181" t="n">
        <v>0</v>
      </c>
      <c r="I1096" s="181" t="n">
        <v>1094</v>
      </c>
      <c r="J1096" s="181" t="n">
        <v>17.6284</v>
      </c>
      <c r="K1096" s="181" t="n">
        <v>45.4888</v>
      </c>
    </row>
    <row r="1097" ht="15" customHeight="1" s="28">
      <c r="A1097" s="182" t="n">
        <v>1777898702</v>
      </c>
      <c r="B1097" s="182" t="inlineStr">
        <is>
          <t>XAUUSD</t>
        </is>
      </c>
      <c r="C1097" s="182" t="inlineStr">
        <is>
          <t>M15</t>
        </is>
      </c>
      <c r="D1097" s="182" t="n">
        <v>4568.79</v>
      </c>
      <c r="E1097" s="182" t="n">
        <v>4524.34365</v>
      </c>
      <c r="F1097" s="182" t="n">
        <v>4565.82801</v>
      </c>
      <c r="G1097" s="182" t="n">
        <v>4565.32914</v>
      </c>
      <c r="H1097" s="182" t="n">
        <v>0</v>
      </c>
      <c r="I1097" s="182" t="n">
        <v>1095</v>
      </c>
      <c r="J1097" s="182" t="n">
        <v>16.5723</v>
      </c>
      <c r="K1097" s="182" t="n">
        <v>44.4464</v>
      </c>
    </row>
    <row r="1098" ht="15" customHeight="1" s="28">
      <c r="A1098" s="181" t="n">
        <v>1777899602</v>
      </c>
      <c r="B1098" s="181" t="inlineStr">
        <is>
          <t>XAUUSD</t>
        </is>
      </c>
      <c r="C1098" s="181" t="inlineStr">
        <is>
          <t>M15</t>
        </is>
      </c>
      <c r="D1098" s="181" t="n">
        <v>4565.98</v>
      </c>
      <c r="E1098" s="181" t="n">
        <v>4524.07605</v>
      </c>
      <c r="F1098" s="181" t="n">
        <v>4566.04079</v>
      </c>
      <c r="G1098" s="181" t="n">
        <v>4565.68496</v>
      </c>
      <c r="H1098" s="181" t="n">
        <v>0</v>
      </c>
      <c r="I1098" s="181" t="n">
        <v>1096</v>
      </c>
      <c r="J1098" s="181" t="n">
        <v>14.0162</v>
      </c>
      <c r="K1098" s="181" t="n">
        <v>41.9039</v>
      </c>
    </row>
    <row r="1099" ht="15" customHeight="1" s="28">
      <c r="A1099" s="182" t="n">
        <v>1777900502</v>
      </c>
      <c r="B1099" s="182" t="inlineStr">
        <is>
          <t>XAUUSD</t>
        </is>
      </c>
      <c r="C1099" s="182" t="inlineStr">
        <is>
          <t>M15</t>
        </is>
      </c>
      <c r="D1099" s="182" t="n">
        <v>4561.09</v>
      </c>
      <c r="E1099" s="182" t="n">
        <v>4523.80844</v>
      </c>
      <c r="F1099" s="182" t="n">
        <v>4566.51181</v>
      </c>
      <c r="G1099" s="182" t="n">
        <v>4566.09838</v>
      </c>
      <c r="H1099" s="182" t="n">
        <v>0</v>
      </c>
      <c r="I1099" s="182" t="n">
        <v>1097</v>
      </c>
      <c r="J1099" s="182" t="n">
        <v>9.380100000000001</v>
      </c>
      <c r="K1099" s="182" t="n">
        <v>37.2816</v>
      </c>
    </row>
    <row r="1100" ht="15" customHeight="1" s="28">
      <c r="A1100" s="181" t="n">
        <v>1777901402</v>
      </c>
      <c r="B1100" s="181" t="inlineStr">
        <is>
          <t>XAUUSD</t>
        </is>
      </c>
      <c r="C1100" s="181" t="inlineStr">
        <is>
          <t>M15</t>
        </is>
      </c>
      <c r="D1100" s="181" t="n">
        <v>4565.51</v>
      </c>
      <c r="E1100" s="181" t="n">
        <v>4523.54084</v>
      </c>
      <c r="F1100" s="181" t="n">
        <v>4567.28242</v>
      </c>
      <c r="G1100" s="181" t="n">
        <v>4566.6904</v>
      </c>
      <c r="H1100" s="181" t="n">
        <v>0</v>
      </c>
      <c r="I1100" s="181" t="n">
        <v>1098</v>
      </c>
      <c r="J1100" s="181" t="n">
        <v>14.054</v>
      </c>
      <c r="K1100" s="181" t="n">
        <v>41.9692</v>
      </c>
    </row>
    <row r="1101" ht="15" customHeight="1" s="28">
      <c r="A1101" s="182" t="n">
        <v>1777902302</v>
      </c>
      <c r="B1101" s="182" t="inlineStr">
        <is>
          <t>XAUUSD</t>
        </is>
      </c>
      <c r="C1101" s="182" t="inlineStr">
        <is>
          <t>M15</t>
        </is>
      </c>
      <c r="D1101" s="182" t="n">
        <v>4563.85</v>
      </c>
      <c r="E1101" s="182" t="n">
        <v>4523.27323</v>
      </c>
      <c r="F1101" s="182" t="n">
        <v>4567.88901</v>
      </c>
      <c r="G1101" s="182" t="n">
        <v>4567.2897</v>
      </c>
      <c r="H1101" s="182" t="n">
        <v>0</v>
      </c>
      <c r="I1101" s="182" t="n">
        <v>1099</v>
      </c>
      <c r="J1101" s="182" t="n">
        <v>12.6479</v>
      </c>
      <c r="K1101" s="182" t="n">
        <v>40.5768</v>
      </c>
    </row>
    <row r="1102" ht="15" customHeight="1" s="28">
      <c r="A1102" s="181" t="n">
        <v>1777903202</v>
      </c>
      <c r="B1102" s="181" t="inlineStr">
        <is>
          <t>XAUUSD</t>
        </is>
      </c>
      <c r="C1102" s="181" t="inlineStr">
        <is>
          <t>M15</t>
        </is>
      </c>
      <c r="D1102" s="181" t="n">
        <v>4560.18</v>
      </c>
      <c r="E1102" s="181" t="n">
        <v>4523.00563</v>
      </c>
      <c r="F1102" s="181" t="n">
        <v>4567.82539</v>
      </c>
      <c r="G1102" s="181" t="n">
        <v>4567.55755</v>
      </c>
      <c r="H1102" s="181" t="n">
        <v>0</v>
      </c>
      <c r="I1102" s="181" t="n">
        <v>1100</v>
      </c>
      <c r="J1102" s="181" t="n">
        <v>9.2318</v>
      </c>
      <c r="K1102" s="181" t="n">
        <v>37.1744</v>
      </c>
    </row>
    <row r="1103" ht="15" customHeight="1" s="28">
      <c r="A1103" s="182" t="n">
        <v>1777904102</v>
      </c>
      <c r="B1103" s="182" t="inlineStr">
        <is>
          <t>XAUUSD</t>
        </is>
      </c>
      <c r="C1103" s="182" t="inlineStr">
        <is>
          <t>M15</t>
        </is>
      </c>
      <c r="D1103" s="182" t="n">
        <v>4571.2</v>
      </c>
      <c r="E1103" s="182" t="n">
        <v>4522.73803</v>
      </c>
      <c r="F1103" s="182" t="n">
        <v>4566.55373</v>
      </c>
      <c r="G1103" s="182" t="n">
        <v>4567.05564</v>
      </c>
      <c r="H1103" s="182" t="n">
        <v>1</v>
      </c>
      <c r="I1103" s="182" t="n">
        <v>1101</v>
      </c>
      <c r="J1103" s="182" t="n">
        <v>20.5057</v>
      </c>
      <c r="K1103" s="182" t="n">
        <v>48.462</v>
      </c>
    </row>
    <row r="1104" ht="15" customHeight="1" s="28">
      <c r="A1104" s="181" t="n">
        <v>1777905002</v>
      </c>
      <c r="B1104" s="181" t="inlineStr">
        <is>
          <t>XAUUSD</t>
        </is>
      </c>
      <c r="C1104" s="181" t="inlineStr">
        <is>
          <t>M15</t>
        </is>
      </c>
      <c r="D1104" s="181" t="n">
        <v>4574.38</v>
      </c>
      <c r="E1104" s="181" t="n">
        <v>4522.47042</v>
      </c>
      <c r="F1104" s="181" t="n">
        <v>4563.19435</v>
      </c>
      <c r="G1104" s="181" t="n">
        <v>4565.12499</v>
      </c>
      <c r="H1104" s="181" t="n">
        <v>0</v>
      </c>
      <c r="I1104" s="181" t="n">
        <v>1102</v>
      </c>
      <c r="J1104" s="181" t="n">
        <v>23.9396</v>
      </c>
      <c r="K1104" s="181" t="n">
        <v>51.9096</v>
      </c>
    </row>
    <row r="1105" ht="15" customHeight="1" s="28">
      <c r="A1105" s="182" t="n">
        <v>1777905902</v>
      </c>
      <c r="B1105" s="182" t="inlineStr">
        <is>
          <t>XAUUSD</t>
        </is>
      </c>
      <c r="C1105" s="182" t="inlineStr">
        <is>
          <t>M15</t>
        </is>
      </c>
      <c r="D1105" s="182" t="n">
        <v>4561.26</v>
      </c>
      <c r="E1105" s="182" t="n">
        <v>4522.20282</v>
      </c>
      <c r="F1105" s="182" t="n">
        <v>4557.36864</v>
      </c>
      <c r="G1105" s="182" t="n">
        <v>4561.24682</v>
      </c>
      <c r="H1105" s="182" t="n">
        <v>0</v>
      </c>
      <c r="I1105" s="182" t="n">
        <v>1103</v>
      </c>
      <c r="J1105" s="182" t="n">
        <v>11.0735</v>
      </c>
      <c r="K1105" s="182" t="n">
        <v>39.0572</v>
      </c>
    </row>
    <row r="1106" ht="15" customHeight="1" s="28">
      <c r="A1106" s="181" t="n">
        <v>1777906802</v>
      </c>
      <c r="B1106" s="181" t="inlineStr">
        <is>
          <t>XAUUSD</t>
        </is>
      </c>
      <c r="C1106" s="181" t="inlineStr">
        <is>
          <t>M15</t>
        </is>
      </c>
      <c r="D1106" s="181" t="n">
        <v>4548.46</v>
      </c>
      <c r="E1106" s="181" t="n">
        <v>4521.93521</v>
      </c>
      <c r="F1106" s="181" t="n">
        <v>4549.59106</v>
      </c>
      <c r="G1106" s="181" t="n">
        <v>4555.41894</v>
      </c>
      <c r="H1106" s="181" t="n">
        <v>0</v>
      </c>
      <c r="I1106" s="181" t="n">
        <v>1104</v>
      </c>
      <c r="J1106" s="181" t="n">
        <v>-1.4726</v>
      </c>
      <c r="K1106" s="181" t="n">
        <v>26.5248</v>
      </c>
    </row>
    <row r="1107" ht="15" customHeight="1" s="28">
      <c r="A1107" s="182" t="n">
        <v>1777907702</v>
      </c>
      <c r="B1107" s="182" t="inlineStr">
        <is>
          <t>XAUUSD</t>
        </is>
      </c>
      <c r="C1107" s="182" t="inlineStr">
        <is>
          <t>M15</t>
        </is>
      </c>
      <c r="D1107" s="182" t="n">
        <v>4537.95</v>
      </c>
      <c r="E1107" s="182" t="n">
        <v>4521.66761</v>
      </c>
      <c r="F1107" s="182" t="n">
        <v>4540.74889</v>
      </c>
      <c r="G1107" s="182" t="n">
        <v>4548.08392</v>
      </c>
      <c r="H1107" s="182" t="n">
        <v>0</v>
      </c>
      <c r="I1107" s="182" t="n">
        <v>1105</v>
      </c>
      <c r="J1107" s="182" t="n">
        <v>-11.7288</v>
      </c>
      <c r="K1107" s="182" t="n">
        <v>16.2824</v>
      </c>
    </row>
    <row r="1108" ht="15" customHeight="1" s="28">
      <c r="A1108" s="181" t="n">
        <v>1777908602</v>
      </c>
      <c r="B1108" s="181" t="inlineStr">
        <is>
          <t>XAUUSD</t>
        </is>
      </c>
      <c r="C1108" s="181" t="inlineStr">
        <is>
          <t>M15</t>
        </is>
      </c>
      <c r="D1108" s="181" t="n">
        <v>4535.1</v>
      </c>
      <c r="E1108" s="181" t="n">
        <v>4521.4</v>
      </c>
      <c r="F1108" s="181" t="n">
        <v>4531.91789</v>
      </c>
      <c r="G1108" s="181" t="n">
        <v>4540.0009</v>
      </c>
      <c r="H1108" s="181" t="n">
        <v>0</v>
      </c>
      <c r="I1108" s="181" t="n">
        <v>1106</v>
      </c>
      <c r="J1108" s="181" t="n">
        <v>-14.3249</v>
      </c>
      <c r="K1108" s="181" t="n">
        <v>13.7</v>
      </c>
    </row>
    <row r="1109" ht="15" customHeight="1" s="28">
      <c r="A1109" s="182" t="n">
        <v>1777909502</v>
      </c>
      <c r="B1109" s="182" t="inlineStr">
        <is>
          <t>XAUUSD</t>
        </is>
      </c>
      <c r="C1109" s="182" t="inlineStr">
        <is>
          <t>M15</t>
        </is>
      </c>
      <c r="D1109" s="182" t="n">
        <v>4521.33</v>
      </c>
      <c r="E1109" s="182" t="n">
        <v>4521.1324</v>
      </c>
      <c r="F1109" s="182" t="n">
        <v>4523.98413</v>
      </c>
      <c r="G1109" s="182" t="n">
        <v>4531.99252</v>
      </c>
      <c r="H1109" s="182" t="n">
        <v>0</v>
      </c>
      <c r="I1109" s="182" t="n">
        <v>1107</v>
      </c>
      <c r="J1109" s="182" t="n">
        <v>-27.841</v>
      </c>
      <c r="K1109" s="182" t="n">
        <v>0.1976</v>
      </c>
    </row>
    <row r="1110" ht="15" customHeight="1" s="28">
      <c r="A1110" s="181" t="n">
        <v>1777910402</v>
      </c>
      <c r="B1110" s="181" t="inlineStr">
        <is>
          <t>XAUUSD</t>
        </is>
      </c>
      <c r="C1110" s="181" t="inlineStr">
        <is>
          <t>M15</t>
        </is>
      </c>
      <c r="D1110" s="181" t="n">
        <v>4509.88</v>
      </c>
      <c r="E1110" s="181" t="n">
        <v>4520.8648</v>
      </c>
      <c r="F1110" s="181" t="n">
        <v>4518.02761</v>
      </c>
      <c r="G1110" s="181" t="n">
        <v>4525.01006</v>
      </c>
      <c r="H1110" s="181" t="n">
        <v>0</v>
      </c>
      <c r="I1110" s="181" t="n">
        <v>1108</v>
      </c>
      <c r="J1110" s="181" t="n">
        <v>-39.0371</v>
      </c>
      <c r="K1110" s="181" t="n">
        <v>-10.9848</v>
      </c>
    </row>
    <row r="1111" ht="15" customHeight="1" s="28">
      <c r="A1111" s="182" t="n">
        <v>1777911302</v>
      </c>
      <c r="B1111" s="182" t="inlineStr">
        <is>
          <t>XAUUSD</t>
        </is>
      </c>
      <c r="C1111" s="182" t="inlineStr">
        <is>
          <t>M15</t>
        </is>
      </c>
      <c r="D1111" s="182" t="n">
        <v>4515.03</v>
      </c>
      <c r="E1111" s="182" t="n">
        <v>4520.59719</v>
      </c>
      <c r="F1111" s="182" t="n">
        <v>4514.68386</v>
      </c>
      <c r="G1111" s="182" t="n">
        <v>4519.84696</v>
      </c>
      <c r="H1111" s="182" t="n">
        <v>0</v>
      </c>
      <c r="I1111" s="182" t="n">
        <v>1109</v>
      </c>
      <c r="J1111" s="182" t="n">
        <v>-33.6332</v>
      </c>
      <c r="K1111" s="182" t="n">
        <v>-5.5672</v>
      </c>
    </row>
    <row r="1112" ht="15" customHeight="1" s="28">
      <c r="A1112" s="181" t="n">
        <v>1777912202</v>
      </c>
      <c r="B1112" s="181" t="inlineStr">
        <is>
          <t>XAUUSD</t>
        </is>
      </c>
      <c r="C1112" s="181" t="inlineStr">
        <is>
          <t>M15</t>
        </is>
      </c>
      <c r="D1112" s="181" t="n">
        <v>4512.59</v>
      </c>
      <c r="E1112" s="181" t="n">
        <v>4520.32959</v>
      </c>
      <c r="F1112" s="181" t="n">
        <v>4513.70295</v>
      </c>
      <c r="G1112" s="181" t="n">
        <v>4516.77496</v>
      </c>
      <c r="H1112" s="181" t="n">
        <v>0</v>
      </c>
      <c r="I1112" s="181" t="n">
        <v>1110</v>
      </c>
      <c r="J1112" s="181" t="n">
        <v>-35.8193</v>
      </c>
      <c r="K1112" s="181" t="n">
        <v>-7.7396</v>
      </c>
    </row>
    <row r="1113" ht="15" customHeight="1" s="28">
      <c r="A1113" s="182" t="n">
        <v>1777913102</v>
      </c>
      <c r="B1113" s="182" t="inlineStr">
        <is>
          <t>XAUUSD</t>
        </is>
      </c>
      <c r="C1113" s="182" t="inlineStr">
        <is>
          <t>M15</t>
        </is>
      </c>
      <c r="D1113" s="182" t="n">
        <v>4510.69</v>
      </c>
      <c r="E1113" s="182" t="n">
        <v>4520.06198</v>
      </c>
      <c r="F1113" s="182" t="n">
        <v>4514.63593</v>
      </c>
      <c r="G1113" s="182" t="n">
        <v>4515.70544</v>
      </c>
      <c r="H1113" s="182" t="n">
        <v>0</v>
      </c>
      <c r="I1113" s="182" t="n">
        <v>1111</v>
      </c>
      <c r="J1113" s="182" t="n">
        <v>-37.4654</v>
      </c>
      <c r="K1113" s="182" t="n">
        <v>-9.372</v>
      </c>
    </row>
    <row r="1114" ht="15" customHeight="1" s="28">
      <c r="A1114" s="181" t="n">
        <v>1777914002</v>
      </c>
      <c r="B1114" s="181" t="inlineStr">
        <is>
          <t>XAUUSD</t>
        </is>
      </c>
      <c r="C1114" s="181" t="inlineStr">
        <is>
          <t>M15</t>
        </is>
      </c>
      <c r="D1114" s="181" t="n">
        <v>4522.39</v>
      </c>
      <c r="E1114" s="181" t="n">
        <v>4519.79438</v>
      </c>
      <c r="F1114" s="181" t="n">
        <v>4516.79679</v>
      </c>
      <c r="G1114" s="181" t="n">
        <v>4516.25111</v>
      </c>
      <c r="H1114" s="181" t="n">
        <v>1</v>
      </c>
      <c r="I1114" s="181" t="n">
        <v>1112</v>
      </c>
      <c r="J1114" s="181" t="n">
        <v>-25.5115</v>
      </c>
      <c r="K1114" s="181" t="n">
        <v>2.5956</v>
      </c>
    </row>
    <row r="1115" ht="15" customHeight="1" s="28">
      <c r="A1115" s="182" t="n">
        <v>1777914902</v>
      </c>
      <c r="B1115" s="182" t="inlineStr">
        <is>
          <t>XAUUSD</t>
        </is>
      </c>
      <c r="C1115" s="182" t="inlineStr">
        <is>
          <t>M15</t>
        </is>
      </c>
      <c r="D1115" s="182" t="n">
        <v>4524.38</v>
      </c>
      <c r="E1115" s="182" t="n">
        <v>4519.52678</v>
      </c>
      <c r="F1115" s="182" t="n">
        <v>4519.04827</v>
      </c>
      <c r="G1115" s="182" t="n">
        <v>4517.64969</v>
      </c>
      <c r="H1115" s="182" t="n">
        <v>0</v>
      </c>
      <c r="I1115" s="182" t="n">
        <v>1113</v>
      </c>
      <c r="J1115" s="182" t="n">
        <v>-23.2676</v>
      </c>
      <c r="K1115" s="182" t="n">
        <v>4.8532</v>
      </c>
    </row>
    <row r="1116" ht="15" customHeight="1" s="28">
      <c r="A1116" s="181" t="n">
        <v>1777915802</v>
      </c>
      <c r="B1116" s="181" t="inlineStr">
        <is>
          <t>XAUUSD</t>
        </is>
      </c>
      <c r="C1116" s="181" t="inlineStr">
        <is>
          <t>M15</t>
        </is>
      </c>
      <c r="D1116" s="181" t="n">
        <v>4526.1</v>
      </c>
      <c r="E1116" s="181" t="n">
        <v>4519.25917</v>
      </c>
      <c r="F1116" s="181" t="n">
        <v>4520.6637</v>
      </c>
      <c r="G1116" s="181" t="n">
        <v>4519.1567</v>
      </c>
      <c r="H1116" s="181" t="n">
        <v>0</v>
      </c>
      <c r="I1116" s="181" t="n">
        <v>1114</v>
      </c>
      <c r="J1116" s="181" t="n">
        <v>-21.2937</v>
      </c>
      <c r="K1116" s="181" t="n">
        <v>6.8408</v>
      </c>
    </row>
    <row r="1117" ht="15" customHeight="1" s="28">
      <c r="A1117" s="182" t="n">
        <v>1777916702</v>
      </c>
      <c r="B1117" s="182" t="inlineStr">
        <is>
          <t>XAUUSD</t>
        </is>
      </c>
      <c r="C1117" s="182" t="inlineStr">
        <is>
          <t>M15</t>
        </is>
      </c>
      <c r="D1117" s="182" t="n">
        <v>4522.35</v>
      </c>
      <c r="E1117" s="182" t="n">
        <v>4518.99157</v>
      </c>
      <c r="F1117" s="182" t="n">
        <v>4521.27447</v>
      </c>
      <c r="G1117" s="182" t="n">
        <v>4520.21558</v>
      </c>
      <c r="H1117" s="182" t="n">
        <v>0</v>
      </c>
      <c r="I1117" s="182" t="n">
        <v>1115</v>
      </c>
      <c r="J1117" s="182" t="n">
        <v>-24.7898</v>
      </c>
      <c r="K1117" s="182" t="n">
        <v>3.3584</v>
      </c>
    </row>
    <row r="1118" ht="15" customHeight="1" s="28">
      <c r="A1118" s="181" t="n">
        <v>1777917602</v>
      </c>
      <c r="B1118" s="181" t="inlineStr">
        <is>
          <t>XAUUSD</t>
        </is>
      </c>
      <c r="C1118" s="181" t="inlineStr">
        <is>
          <t>M15</t>
        </is>
      </c>
      <c r="D1118" s="181" t="n">
        <v>4520.01</v>
      </c>
      <c r="E1118" s="181" t="n">
        <v>4518.72396</v>
      </c>
      <c r="F1118" s="181" t="n">
        <v>4520.90726</v>
      </c>
      <c r="G1118" s="181" t="n">
        <v>4520.56142</v>
      </c>
      <c r="H1118" s="181" t="n">
        <v>0</v>
      </c>
      <c r="I1118" s="181" t="n">
        <v>1116</v>
      </c>
      <c r="J1118" s="181" t="n">
        <v>-26.8759</v>
      </c>
      <c r="K1118" s="181" t="n">
        <v>1.286</v>
      </c>
    </row>
    <row r="1119" ht="15" customHeight="1" s="28">
      <c r="A1119" s="182" t="n">
        <v>1777918502</v>
      </c>
      <c r="B1119" s="182" t="inlineStr">
        <is>
          <t>XAUUSD</t>
        </is>
      </c>
      <c r="C1119" s="182" t="inlineStr">
        <is>
          <t>M15</t>
        </is>
      </c>
      <c r="D1119" s="182" t="n">
        <v>4511.95</v>
      </c>
      <c r="E1119" s="182" t="n">
        <v>4518.45636</v>
      </c>
      <c r="F1119" s="182" t="n">
        <v>4519.79381</v>
      </c>
      <c r="G1119" s="182" t="n">
        <v>4520.17761</v>
      </c>
      <c r="H1119" s="182" t="n">
        <v>1</v>
      </c>
      <c r="I1119" s="182" t="n">
        <v>1117</v>
      </c>
      <c r="J1119" s="182" t="n">
        <v>-34.682</v>
      </c>
      <c r="K1119" s="182" t="n">
        <v>-6.5064</v>
      </c>
    </row>
    <row r="1120" ht="15" customHeight="1" s="28">
      <c r="A1120" s="181" t="n">
        <v>1777919402</v>
      </c>
      <c r="B1120" s="181" t="inlineStr">
        <is>
          <t>XAUUSD</t>
        </is>
      </c>
      <c r="C1120" s="181" t="inlineStr">
        <is>
          <t>M15</t>
        </is>
      </c>
      <c r="D1120" s="181" t="n">
        <v>4511.86</v>
      </c>
      <c r="E1120" s="181" t="n">
        <v>4518.18876</v>
      </c>
      <c r="F1120" s="181" t="n">
        <v>4518.50828</v>
      </c>
      <c r="G1120" s="181" t="n">
        <v>4519.34294</v>
      </c>
      <c r="H1120" s="181" t="n">
        <v>0</v>
      </c>
      <c r="I1120" s="181" t="n">
        <v>1118</v>
      </c>
      <c r="J1120" s="181" t="n">
        <v>-34.5181</v>
      </c>
      <c r="K1120" s="181" t="n">
        <v>-6.3288</v>
      </c>
    </row>
    <row r="1121" ht="15" customHeight="1" s="28">
      <c r="A1121" s="182" t="n">
        <v>1777920302</v>
      </c>
      <c r="B1121" s="182" t="inlineStr">
        <is>
          <t>XAUUSD</t>
        </is>
      </c>
      <c r="C1121" s="182" t="inlineStr">
        <is>
          <t>M15</t>
        </is>
      </c>
      <c r="D1121" s="182" t="n">
        <v>4516.4</v>
      </c>
      <c r="E1121" s="182" t="n">
        <v>4517.92115</v>
      </c>
      <c r="F1121" s="182" t="n">
        <v>4517.41568</v>
      </c>
      <c r="G1121" s="182" t="n">
        <v>4518.37931</v>
      </c>
      <c r="H1121" s="182" t="n">
        <v>0</v>
      </c>
      <c r="I1121" s="182" t="n">
        <v>1119</v>
      </c>
      <c r="J1121" s="182" t="n">
        <v>-29.7242</v>
      </c>
      <c r="K1121" s="182" t="n">
        <v>-1.5212</v>
      </c>
    </row>
    <row r="1122" ht="15" customHeight="1" s="28">
      <c r="A1122" s="181" t="n">
        <v>1777921202</v>
      </c>
      <c r="B1122" s="181" t="inlineStr">
        <is>
          <t>XAUUSD</t>
        </is>
      </c>
      <c r="C1122" s="181" t="inlineStr">
        <is>
          <t>M15</t>
        </is>
      </c>
      <c r="D1122" s="181" t="n">
        <v>4519.05</v>
      </c>
      <c r="E1122" s="181" t="n">
        <v>4517.65355</v>
      </c>
      <c r="F1122" s="181" t="n">
        <v>4516.69738</v>
      </c>
      <c r="G1122" s="181" t="n">
        <v>4517.53835</v>
      </c>
      <c r="H1122" s="181" t="n">
        <v>0</v>
      </c>
      <c r="I1122" s="181" t="n">
        <v>1120</v>
      </c>
      <c r="J1122" s="181" t="n">
        <v>-26.8203</v>
      </c>
      <c r="K1122" s="181" t="n">
        <v>1.3965</v>
      </c>
    </row>
    <row r="1123" ht="15" customHeight="1" s="28">
      <c r="A1123" s="182" t="n">
        <v>1777922102</v>
      </c>
      <c r="B1123" s="182" t="inlineStr">
        <is>
          <t>XAUUSD</t>
        </is>
      </c>
      <c r="C1123" s="182" t="inlineStr">
        <is>
          <t>M15</t>
        </is>
      </c>
      <c r="D1123" s="182" t="n">
        <v>4522.42</v>
      </c>
      <c r="E1123" s="182" t="n">
        <v>4517.38594</v>
      </c>
      <c r="F1123" s="182" t="n">
        <v>4516.46243</v>
      </c>
      <c r="G1123" s="182" t="n">
        <v>4517.00039</v>
      </c>
      <c r="H1123" s="182" t="n">
        <v>0</v>
      </c>
      <c r="I1123" s="182" t="n">
        <v>1121</v>
      </c>
      <c r="J1123" s="182" t="n">
        <v>-23.1964</v>
      </c>
      <c r="K1123" s="182" t="n">
        <v>5.0341</v>
      </c>
    </row>
    <row r="1124" ht="15" customHeight="1" s="28">
      <c r="A1124" s="181" t="n">
        <v>1777923002</v>
      </c>
      <c r="B1124" s="181" t="inlineStr">
        <is>
          <t>XAUUSD</t>
        </is>
      </c>
      <c r="C1124" s="181" t="inlineStr">
        <is>
          <t>M15</t>
        </is>
      </c>
      <c r="D1124" s="181" t="n">
        <v>4521.16</v>
      </c>
      <c r="E1124" s="181" t="n">
        <v>4517.11834</v>
      </c>
      <c r="F1124" s="181" t="n">
        <v>4516.63686</v>
      </c>
      <c r="G1124" s="181" t="n">
        <v>4516.81862</v>
      </c>
      <c r="H1124" s="181" t="n">
        <v>0</v>
      </c>
      <c r="I1124" s="181" t="n">
        <v>1122</v>
      </c>
      <c r="J1124" s="181" t="n">
        <v>-24.2025</v>
      </c>
      <c r="K1124" s="181" t="n">
        <v>4.0417</v>
      </c>
    </row>
    <row r="1125" ht="15" customHeight="1" s="28">
      <c r="A1125" s="182" t="n">
        <v>1777923902</v>
      </c>
      <c r="B1125" s="182" t="inlineStr">
        <is>
          <t>XAUUSD</t>
        </is>
      </c>
      <c r="C1125" s="182" t="inlineStr">
        <is>
          <t>M15</t>
        </is>
      </c>
      <c r="D1125" s="182" t="n">
        <v>4517.46</v>
      </c>
      <c r="E1125" s="182" t="n">
        <v>4516.85074</v>
      </c>
      <c r="F1125" s="182" t="n">
        <v>4517.16653</v>
      </c>
      <c r="G1125" s="182" t="n">
        <v>4516.99258</v>
      </c>
      <c r="H1125" s="182" t="n">
        <v>1</v>
      </c>
      <c r="I1125" s="182" t="n">
        <v>1123</v>
      </c>
      <c r="J1125" s="182" t="n">
        <v>-27.6486</v>
      </c>
      <c r="K1125" s="182" t="n">
        <v>0.6093</v>
      </c>
    </row>
    <row r="1126" ht="15" customHeight="1" s="28">
      <c r="A1126" s="181" t="n">
        <v>1777924802</v>
      </c>
      <c r="B1126" s="181" t="inlineStr">
        <is>
          <t>XAUUSD</t>
        </is>
      </c>
      <c r="C1126" s="181" t="inlineStr">
        <is>
          <t>M15</t>
        </is>
      </c>
      <c r="D1126" s="181" t="n">
        <v>4514.74</v>
      </c>
      <c r="E1126" s="181" t="n">
        <v>4516.58313</v>
      </c>
      <c r="F1126" s="181" t="n">
        <v>4517.98711</v>
      </c>
      <c r="G1126" s="181" t="n">
        <v>4517.48985</v>
      </c>
      <c r="H1126" s="181" t="n">
        <v>0</v>
      </c>
      <c r="I1126" s="181" t="n">
        <v>1124</v>
      </c>
      <c r="J1126" s="181" t="n">
        <v>-30.1147</v>
      </c>
      <c r="K1126" s="181" t="n">
        <v>-1.8431</v>
      </c>
    </row>
    <row r="1127" ht="15" customHeight="1" s="28">
      <c r="A1127" s="182" t="n">
        <v>1777925702</v>
      </c>
      <c r="B1127" s="182" t="inlineStr">
        <is>
          <t>XAUUSD</t>
        </is>
      </c>
      <c r="C1127" s="182" t="inlineStr">
        <is>
          <t>M15</t>
        </is>
      </c>
      <c r="D1127" s="182" t="n">
        <v>4515.21</v>
      </c>
      <c r="E1127" s="182" t="n">
        <v>4516.31553</v>
      </c>
      <c r="F1127" s="182" t="n">
        <v>4518.96045</v>
      </c>
      <c r="G1127" s="182" t="n">
        <v>4518.22515</v>
      </c>
      <c r="H1127" s="182" t="n">
        <v>0</v>
      </c>
      <c r="I1127" s="182" t="n">
        <v>1125</v>
      </c>
      <c r="J1127" s="182" t="n">
        <v>-29.3908</v>
      </c>
      <c r="K1127" s="182" t="n">
        <v>-1.1055</v>
      </c>
    </row>
    <row r="1128" ht="15" customHeight="1" s="28">
      <c r="A1128" s="181" t="n">
        <v>1777926602</v>
      </c>
      <c r="B1128" s="181" t="inlineStr">
        <is>
          <t>XAUUSD</t>
        </is>
      </c>
      <c r="C1128" s="181" t="inlineStr">
        <is>
          <t>M15</t>
        </is>
      </c>
      <c r="D1128" s="181" t="n">
        <v>4518.75</v>
      </c>
      <c r="E1128" s="181" t="n">
        <v>4516.04792</v>
      </c>
      <c r="F1128" s="181" t="n">
        <v>4519.86715</v>
      </c>
      <c r="G1128" s="181" t="n">
        <v>4519.04615</v>
      </c>
      <c r="H1128" s="181" t="n">
        <v>0</v>
      </c>
      <c r="I1128" s="181" t="n">
        <v>1126</v>
      </c>
      <c r="J1128" s="181" t="n">
        <v>-25.5969</v>
      </c>
      <c r="K1128" s="181" t="n">
        <v>2.7021</v>
      </c>
    </row>
    <row r="1129" ht="15" customHeight="1" s="28">
      <c r="A1129" s="182" t="n">
        <v>1777927502</v>
      </c>
      <c r="B1129" s="182" t="inlineStr">
        <is>
          <t>XAUUSD</t>
        </is>
      </c>
      <c r="C1129" s="182" t="inlineStr">
        <is>
          <t>M15</t>
        </is>
      </c>
      <c r="D1129" s="182" t="n">
        <v>4523.84</v>
      </c>
      <c r="E1129" s="182" t="n">
        <v>4515.78032</v>
      </c>
      <c r="F1129" s="182" t="n">
        <v>4520.45224</v>
      </c>
      <c r="G1129" s="182" t="n">
        <v>4519.74919</v>
      </c>
      <c r="H1129" s="182" t="n">
        <v>0</v>
      </c>
      <c r="I1129" s="182" t="n">
        <v>1127</v>
      </c>
      <c r="J1129" s="182" t="n">
        <v>-20.2531</v>
      </c>
      <c r="K1129" s="182" t="n">
        <v>8.059699999999999</v>
      </c>
    </row>
    <row r="1130" ht="15" customHeight="1" s="28">
      <c r="A1130" s="181" t="n">
        <v>1777932002</v>
      </c>
      <c r="B1130" s="181" t="inlineStr">
        <is>
          <t>XAUUSD</t>
        </is>
      </c>
      <c r="C1130" s="181" t="inlineStr">
        <is>
          <t>M15</t>
        </is>
      </c>
      <c r="D1130" s="181" t="n">
        <v>4521.1</v>
      </c>
      <c r="E1130" s="181" t="n">
        <v>4515.51271</v>
      </c>
      <c r="F1130" s="181" t="n">
        <v>4520.53403</v>
      </c>
      <c r="G1130" s="181" t="n">
        <v>4520.14161</v>
      </c>
      <c r="H1130" s="181" t="n">
        <v>0</v>
      </c>
      <c r="I1130" s="181" t="n">
        <v>1128</v>
      </c>
      <c r="J1130" s="181" t="n">
        <v>-22.7392</v>
      </c>
      <c r="K1130" s="181" t="n">
        <v>5.5873</v>
      </c>
    </row>
    <row r="1131" ht="15" customHeight="1" s="28">
      <c r="A1131" s="182" t="n">
        <v>1777932902</v>
      </c>
      <c r="B1131" s="182" t="inlineStr">
        <is>
          <t>XAUUSD</t>
        </is>
      </c>
      <c r="C1131" s="182" t="inlineStr">
        <is>
          <t>M15</t>
        </is>
      </c>
      <c r="D1131" s="182" t="n">
        <v>4519.66</v>
      </c>
      <c r="E1131" s="182" t="n">
        <v>4515.24511</v>
      </c>
      <c r="F1131" s="182" t="n">
        <v>4520.23738</v>
      </c>
      <c r="G1131" s="182" t="n">
        <v>4520.1895</v>
      </c>
      <c r="H1131" s="182" t="n">
        <v>0</v>
      </c>
      <c r="I1131" s="182" t="n">
        <v>1129</v>
      </c>
      <c r="J1131" s="182" t="n">
        <v>-23.9253</v>
      </c>
      <c r="K1131" s="182" t="n">
        <v>4.4149</v>
      </c>
    </row>
    <row r="1132" ht="15" customHeight="1" s="28">
      <c r="A1132" s="181" t="n">
        <v>1777933802</v>
      </c>
      <c r="B1132" s="181" t="inlineStr">
        <is>
          <t>XAUUSD</t>
        </is>
      </c>
      <c r="C1132" s="181" t="inlineStr">
        <is>
          <t>M15</t>
        </is>
      </c>
      <c r="D1132" s="181" t="n">
        <v>4519.02</v>
      </c>
      <c r="E1132" s="181" t="n">
        <v>4514.97751</v>
      </c>
      <c r="F1132" s="181" t="n">
        <v>4519.7573</v>
      </c>
      <c r="G1132" s="181" t="n">
        <v>4519.9734</v>
      </c>
      <c r="H1132" s="181" t="n">
        <v>1</v>
      </c>
      <c r="I1132" s="181" t="n">
        <v>1130</v>
      </c>
      <c r="J1132" s="181" t="n">
        <v>-24.3114</v>
      </c>
      <c r="K1132" s="181" t="n">
        <v>4.0425</v>
      </c>
    </row>
    <row r="1133" ht="15" customHeight="1" s="28">
      <c r="A1133" s="182" t="n">
        <v>1777934702</v>
      </c>
      <c r="B1133" s="182" t="inlineStr">
        <is>
          <t>XAUUSD</t>
        </is>
      </c>
      <c r="C1133" s="182" t="inlineStr">
        <is>
          <t>M15</t>
        </is>
      </c>
      <c r="D1133" s="182" t="n">
        <v>4517.52</v>
      </c>
      <c r="E1133" s="182" t="n">
        <v>4514.7099</v>
      </c>
      <c r="F1133" s="182" t="n">
        <v>4519.30251</v>
      </c>
      <c r="G1133" s="182" t="n">
        <v>4519.63796</v>
      </c>
      <c r="H1133" s="182" t="n">
        <v>0</v>
      </c>
      <c r="I1133" s="182" t="n">
        <v>1131</v>
      </c>
      <c r="J1133" s="182" t="n">
        <v>-25.5575</v>
      </c>
      <c r="K1133" s="182" t="n">
        <v>2.8101</v>
      </c>
    </row>
    <row r="1134" ht="15" customHeight="1" s="28">
      <c r="A1134" s="181" t="n">
        <v>1777935602</v>
      </c>
      <c r="B1134" s="181" t="inlineStr">
        <is>
          <t>XAUUSD</t>
        </is>
      </c>
      <c r="C1134" s="181" t="inlineStr">
        <is>
          <t>M15</t>
        </is>
      </c>
      <c r="D1134" s="181" t="n">
        <v>4520.44</v>
      </c>
      <c r="E1134" s="181" t="n">
        <v>4514.4423</v>
      </c>
      <c r="F1134" s="181" t="n">
        <v>4519.06874</v>
      </c>
      <c r="G1134" s="181" t="n">
        <v>4519.35335</v>
      </c>
      <c r="H1134" s="181" t="n">
        <v>0</v>
      </c>
      <c r="I1134" s="181" t="n">
        <v>1132</v>
      </c>
      <c r="J1134" s="181" t="n">
        <v>-22.3836</v>
      </c>
      <c r="K1134" s="181" t="n">
        <v>5.9977</v>
      </c>
    </row>
    <row r="1135" ht="15" customHeight="1" s="28">
      <c r="A1135" s="182" t="n">
        <v>1777936502</v>
      </c>
      <c r="B1135" s="182" t="inlineStr">
        <is>
          <t>XAUUSD</t>
        </is>
      </c>
      <c r="C1135" s="182" t="inlineStr">
        <is>
          <t>M15</t>
        </is>
      </c>
      <c r="D1135" s="182" t="n">
        <v>4521.13</v>
      </c>
      <c r="E1135" s="182" t="n">
        <v>4514.17469</v>
      </c>
      <c r="F1135" s="182" t="n">
        <v>4519.0811</v>
      </c>
      <c r="G1135" s="182" t="n">
        <v>4519.21723</v>
      </c>
      <c r="H1135" s="182" t="n">
        <v>0</v>
      </c>
      <c r="I1135" s="182" t="n">
        <v>1133</v>
      </c>
      <c r="J1135" s="182" t="n">
        <v>-21.4397</v>
      </c>
      <c r="K1135" s="182" t="n">
        <v>6.9553</v>
      </c>
    </row>
    <row r="1136" ht="15" customHeight="1" s="28">
      <c r="A1136" s="181" t="n">
        <v>1777937402</v>
      </c>
      <c r="B1136" s="181" t="inlineStr">
        <is>
          <t>XAUUSD</t>
        </is>
      </c>
      <c r="C1136" s="181" t="inlineStr">
        <is>
          <t>M15</t>
        </is>
      </c>
      <c r="D1136" s="181" t="n">
        <v>4518.52</v>
      </c>
      <c r="E1136" s="181" t="n">
        <v>4513.90709</v>
      </c>
      <c r="F1136" s="181" t="n">
        <v>4519.44966</v>
      </c>
      <c r="G1136" s="181" t="n">
        <v>4519.33344</v>
      </c>
      <c r="H1136" s="181" t="n">
        <v>1</v>
      </c>
      <c r="I1136" s="181" t="n">
        <v>1134</v>
      </c>
      <c r="J1136" s="181" t="n">
        <v>-23.7958</v>
      </c>
      <c r="K1136" s="181" t="n">
        <v>4.6129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6" customWidth="1" style="28" min="7" max="7"/>
    <col width="6" customWidth="1" style="28" min="8" max="8"/>
  </cols>
  <sheetData>
    <row r="1" ht="26" customHeight="1" s="28">
      <c r="A1" s="170" t="inlineStr">
        <is>
          <t>SHAPIRO-WILK NORMALITY TEST  |  MODEL A2  |  n = 107 Crossing Events</t>
        </is>
      </c>
    </row>
    <row r="2" ht="20" customHeight="1" s="28">
      <c r="A2" s="183" t="inlineStr">
        <is>
          <t>Null hypothesis H₀: residuals are normally distributed  |  Residual: eᵢ = ssaᵢ − (intercept + slope × bar_idx)  |  Dataset: V3894</t>
        </is>
      </c>
    </row>
    <row r="4" ht="18" customHeight="1" s="28">
      <c r="A4" s="172" t="inlineStr">
        <is>
          <t>Context &amp; Parameters</t>
        </is>
      </c>
    </row>
    <row r="5" ht="16" customHeight="1" s="28">
      <c r="A5" s="184" t="inlineStr">
        <is>
          <t>DATASET:</t>
        </is>
      </c>
      <c r="B5" s="185" t="inlineStr">
        <is>
          <t>DavinTrade_V3894_Data_XAUUSD_M15.txt</t>
        </is>
      </c>
    </row>
    <row r="6" ht="16" customHeight="1" s="28">
      <c r="A6" s="184" t="inlineStr">
        <is>
          <t>MODEL:</t>
        </is>
      </c>
      <c r="B6" s="185" t="inlineStr">
        <is>
          <t>MODEL A2 — SSA values at SSA crossing events</t>
        </is>
      </c>
    </row>
    <row r="7" ht="16" customHeight="1" s="28">
      <c r="A7" s="184" t="inlineStr">
        <is>
          <t>RESIDUAL:</t>
        </is>
      </c>
      <c r="B7" s="185" t="inlineStr">
        <is>
          <t>eᵢ = ssaᵢ − (4834.5505 + -0.260122 × bar_idxᵢ)</t>
        </is>
      </c>
    </row>
    <row r="8" ht="16" customHeight="1" s="28">
      <c r="A8" s="184" t="inlineStr">
        <is>
          <t>OLS R²:</t>
        </is>
      </c>
      <c r="B8" s="185" t="inlineStr">
        <is>
          <t>0.856823  (ssa vs bar_idx, crossings only)</t>
        </is>
      </c>
    </row>
    <row r="9" ht="16" customHeight="1" s="28">
      <c r="A9" s="184" t="inlineStr">
        <is>
          <t>n:</t>
        </is>
      </c>
      <c r="B9" s="185" t="inlineStr">
        <is>
          <t>107 crossing events</t>
        </is>
      </c>
    </row>
    <row r="10" ht="16" customHeight="1" s="28">
      <c r="A10" s="184" t="inlineStr">
        <is>
          <t>TEST:</t>
        </is>
      </c>
      <c r="B10" s="185" t="inlineStr">
        <is>
          <t>Shapiro-Wilk (recommended for n &lt; 2,000)</t>
        </is>
      </c>
    </row>
    <row r="11" ht="16" customHeight="1" s="28">
      <c r="A11" s="184" t="inlineStr">
        <is>
          <t>α:</t>
        </is>
      </c>
      <c r="B11" s="185" t="inlineStr">
        <is>
          <t>0.05</t>
        </is>
      </c>
    </row>
    <row r="13" ht="18" customHeight="1" s="28">
      <c r="A13" s="172" t="inlineStr">
        <is>
          <t>STEP 1 — Residuals: eᵢ = ssaᵢ − (4834.5505 + -0.260122×bar_idxᵢ)  (crossing bars only)</t>
        </is>
      </c>
    </row>
    <row r="14" ht="28" customHeight="1" s="28">
      <c r="A14" s="62" t="inlineStr">
        <is>
          <t>i</t>
        </is>
      </c>
      <c r="B14" s="62" t="inlineStr">
        <is>
          <t>Bar Index</t>
        </is>
      </c>
      <c r="C14" s="62" t="inlineStr">
        <is>
          <t>SSA</t>
        </is>
      </c>
      <c r="D14" s="62" t="inlineStr">
        <is>
          <t>OLS Fitted</t>
        </is>
      </c>
      <c r="E14" s="62" t="inlineStr">
        <is>
          <t>Residual eᵢ</t>
        </is>
      </c>
      <c r="F14" s="62" t="inlineStr">
        <is>
          <t>eᵢ²</t>
        </is>
      </c>
      <c r="G14" s="62" t="inlineStr"/>
      <c r="H14" s="62" t="inlineStr"/>
    </row>
    <row r="15" ht="15" customHeight="1" s="28">
      <c r="A15" s="181" t="n">
        <v>1</v>
      </c>
      <c r="B15" s="181" t="n">
        <v>0</v>
      </c>
      <c r="C15" s="181" t="n">
        <v>4798.9749</v>
      </c>
      <c r="D15" s="181" t="n">
        <v>4834.5505</v>
      </c>
      <c r="E15" s="181" t="n">
        <v>-35.5756</v>
      </c>
      <c r="F15" s="181" t="n">
        <v>1265.6231</v>
      </c>
      <c r="G15" s="181" t="inlineStr"/>
      <c r="H15" s="181" t="inlineStr"/>
    </row>
    <row r="16" ht="15" customHeight="1" s="28">
      <c r="A16" s="182" t="n">
        <v>2</v>
      </c>
      <c r="B16" s="182" t="n">
        <v>4</v>
      </c>
      <c r="C16" s="182" t="n">
        <v>4801.7586</v>
      </c>
      <c r="D16" s="182" t="n">
        <v>4833.51</v>
      </c>
      <c r="E16" s="182" t="n">
        <v>-31.7514</v>
      </c>
      <c r="F16" s="182" t="n">
        <v>1008.1545</v>
      </c>
      <c r="G16" s="182" t="inlineStr"/>
      <c r="H16" s="182" t="inlineStr"/>
    </row>
    <row r="17" ht="15" customHeight="1" s="28">
      <c r="A17" s="181" t="n">
        <v>3</v>
      </c>
      <c r="B17" s="181" t="n">
        <v>13</v>
      </c>
      <c r="C17" s="181" t="n">
        <v>4788.1799</v>
      </c>
      <c r="D17" s="181" t="n">
        <v>4831.1689</v>
      </c>
      <c r="E17" s="181" t="n">
        <v>-42.9891</v>
      </c>
      <c r="F17" s="181" t="n">
        <v>1848.0585</v>
      </c>
      <c r="G17" s="181" t="inlineStr"/>
      <c r="H17" s="181" t="inlineStr"/>
    </row>
    <row r="18" ht="15" customHeight="1" s="28">
      <c r="A18" s="182" t="n">
        <v>4</v>
      </c>
      <c r="B18" s="182" t="n">
        <v>20</v>
      </c>
      <c r="C18" s="182" t="n">
        <v>4791.7372</v>
      </c>
      <c r="D18" s="182" t="n">
        <v>4829.3481</v>
      </c>
      <c r="E18" s="182" t="n">
        <v>-37.6109</v>
      </c>
      <c r="F18" s="182" t="n">
        <v>1414.5796</v>
      </c>
      <c r="G18" s="182" t="inlineStr"/>
      <c r="H18" s="182" t="inlineStr"/>
    </row>
    <row r="19" ht="15" customHeight="1" s="28">
      <c r="A19" s="181" t="n">
        <v>5</v>
      </c>
      <c r="B19" s="181" t="n">
        <v>24</v>
      </c>
      <c r="C19" s="181" t="n">
        <v>4791.9693</v>
      </c>
      <c r="D19" s="181" t="n">
        <v>4828.3076</v>
      </c>
      <c r="E19" s="181" t="n">
        <v>-36.3383</v>
      </c>
      <c r="F19" s="181" t="n">
        <v>1320.4698</v>
      </c>
      <c r="G19" s="181" t="inlineStr"/>
      <c r="H19" s="181" t="inlineStr"/>
    </row>
    <row r="20" ht="15" customHeight="1" s="28">
      <c r="A20" s="182" t="n">
        <v>6</v>
      </c>
      <c r="B20" s="182" t="n">
        <v>31</v>
      </c>
      <c r="C20" s="182" t="n">
        <v>4794.635</v>
      </c>
      <c r="D20" s="182" t="n">
        <v>4826.4867</v>
      </c>
      <c r="E20" s="182" t="n">
        <v>-31.8517</v>
      </c>
      <c r="F20" s="182" t="n">
        <v>1014.5324</v>
      </c>
      <c r="G20" s="182" t="inlineStr"/>
      <c r="H20" s="182" t="inlineStr"/>
    </row>
    <row r="21" ht="15" customHeight="1" s="28">
      <c r="A21" s="181" t="n">
        <v>7</v>
      </c>
      <c r="B21" s="181" t="n">
        <v>39</v>
      </c>
      <c r="C21" s="181" t="n">
        <v>4784.2445</v>
      </c>
      <c r="D21" s="181" t="n">
        <v>4824.4057</v>
      </c>
      <c r="E21" s="181" t="n">
        <v>-40.1612</v>
      </c>
      <c r="F21" s="181" t="n">
        <v>1612.9236</v>
      </c>
      <c r="G21" s="181" t="inlineStr"/>
      <c r="H21" s="181" t="inlineStr"/>
    </row>
    <row r="22" ht="15" customHeight="1" s="28">
      <c r="A22" s="182" t="n">
        <v>8</v>
      </c>
      <c r="B22" s="182" t="n">
        <v>53</v>
      </c>
      <c r="C22" s="182" t="n">
        <v>4799.4912</v>
      </c>
      <c r="D22" s="182" t="n">
        <v>4820.764</v>
      </c>
      <c r="E22" s="182" t="n">
        <v>-21.2729</v>
      </c>
      <c r="F22" s="182" t="n">
        <v>452.5355</v>
      </c>
      <c r="G22" s="182" t="inlineStr"/>
      <c r="H22" s="182" t="inlineStr"/>
    </row>
    <row r="23" ht="15" customHeight="1" s="28">
      <c r="A23" s="181" t="n">
        <v>9</v>
      </c>
      <c r="B23" s="181" t="n">
        <v>62</v>
      </c>
      <c r="C23" s="181" t="n">
        <v>4785.2155</v>
      </c>
      <c r="D23" s="181" t="n">
        <v>4818.4229</v>
      </c>
      <c r="E23" s="181" t="n">
        <v>-33.2074</v>
      </c>
      <c r="F23" s="181" t="n">
        <v>1102.7317</v>
      </c>
      <c r="G23" s="181" t="inlineStr"/>
      <c r="H23" s="181" t="inlineStr"/>
    </row>
    <row r="24" ht="15" customHeight="1" s="28">
      <c r="A24" s="182" t="n">
        <v>10</v>
      </c>
      <c r="B24" s="182" t="n">
        <v>71</v>
      </c>
      <c r="C24" s="182" t="n">
        <v>4792.9258</v>
      </c>
      <c r="D24" s="182" t="n">
        <v>4816.0818</v>
      </c>
      <c r="E24" s="182" t="n">
        <v>-23.156</v>
      </c>
      <c r="F24" s="182" t="n">
        <v>536.202</v>
      </c>
      <c r="G24" s="182" t="inlineStr"/>
      <c r="H24" s="182" t="inlineStr"/>
    </row>
    <row r="25" ht="15" customHeight="1" s="28">
      <c r="A25" s="181" t="n">
        <v>11</v>
      </c>
      <c r="B25" s="181" t="n">
        <v>77</v>
      </c>
      <c r="C25" s="181" t="n">
        <v>4789.136</v>
      </c>
      <c r="D25" s="181" t="n">
        <v>4814.5211</v>
      </c>
      <c r="E25" s="181" t="n">
        <v>-25.3851</v>
      </c>
      <c r="F25" s="181" t="n">
        <v>644.405</v>
      </c>
      <c r="G25" s="181" t="inlineStr"/>
      <c r="H25" s="181" t="inlineStr"/>
    </row>
    <row r="26" ht="15" customHeight="1" s="28">
      <c r="A26" s="182" t="n">
        <v>12</v>
      </c>
      <c r="B26" s="182" t="n">
        <v>90</v>
      </c>
      <c r="C26" s="182" t="n">
        <v>4872.1414</v>
      </c>
      <c r="D26" s="182" t="n">
        <v>4811.1395</v>
      </c>
      <c r="E26" s="182" t="n">
        <v>61.0019</v>
      </c>
      <c r="F26" s="182" t="n">
        <v>3721.2332</v>
      </c>
      <c r="G26" s="182" t="inlineStr"/>
      <c r="H26" s="182" t="inlineStr"/>
    </row>
    <row r="27" ht="15" customHeight="1" s="28">
      <c r="A27" s="181" t="n">
        <v>13</v>
      </c>
      <c r="B27" s="181" t="n">
        <v>96</v>
      </c>
      <c r="C27" s="181" t="n">
        <v>4866.7911</v>
      </c>
      <c r="D27" s="181" t="n">
        <v>4809.5788</v>
      </c>
      <c r="E27" s="181" t="n">
        <v>57.2123</v>
      </c>
      <c r="F27" s="181" t="n">
        <v>3273.2465</v>
      </c>
      <c r="G27" s="181" t="inlineStr"/>
      <c r="H27" s="181" t="inlineStr"/>
    </row>
    <row r="28" ht="15" customHeight="1" s="28">
      <c r="A28" s="182" t="n">
        <v>14</v>
      </c>
      <c r="B28" s="182" t="n">
        <v>98</v>
      </c>
      <c r="C28" s="182" t="n">
        <v>4866.6882</v>
      </c>
      <c r="D28" s="182" t="n">
        <v>4809.0586</v>
      </c>
      <c r="E28" s="182" t="n">
        <v>57.6297</v>
      </c>
      <c r="F28" s="182" t="n">
        <v>3321.1786</v>
      </c>
      <c r="G28" s="182" t="inlineStr"/>
      <c r="H28" s="182" t="inlineStr"/>
    </row>
    <row r="29" ht="15" customHeight="1" s="28">
      <c r="A29" s="181" t="n">
        <v>15</v>
      </c>
      <c r="B29" s="181" t="n">
        <v>106</v>
      </c>
      <c r="C29" s="181" t="n">
        <v>4859.3727</v>
      </c>
      <c r="D29" s="181" t="n">
        <v>4806.9776</v>
      </c>
      <c r="E29" s="181" t="n">
        <v>52.3951</v>
      </c>
      <c r="F29" s="181" t="n">
        <v>2745.251</v>
      </c>
      <c r="G29" s="181" t="inlineStr"/>
      <c r="H29" s="181" t="inlineStr"/>
    </row>
    <row r="30" ht="15" customHeight="1" s="28">
      <c r="A30" s="182" t="n">
        <v>16</v>
      </c>
      <c r="B30" s="182" t="n">
        <v>109</v>
      </c>
      <c r="C30" s="182" t="n">
        <v>4859.671</v>
      </c>
      <c r="D30" s="182" t="n">
        <v>4806.1972</v>
      </c>
      <c r="E30" s="182" t="n">
        <v>53.4738</v>
      </c>
      <c r="F30" s="182" t="n">
        <v>2859.4504</v>
      </c>
      <c r="G30" s="182" t="inlineStr"/>
      <c r="H30" s="182" t="inlineStr"/>
    </row>
    <row r="31" ht="15" customHeight="1" s="28">
      <c r="A31" s="181" t="n">
        <v>17</v>
      </c>
      <c r="B31" s="181" t="n">
        <v>125</v>
      </c>
      <c r="C31" s="181" t="n">
        <v>4763.9122</v>
      </c>
      <c r="D31" s="181" t="n">
        <v>4802.0353</v>
      </c>
      <c r="E31" s="181" t="n">
        <v>-38.1231</v>
      </c>
      <c r="F31" s="181" t="n">
        <v>1453.3684</v>
      </c>
      <c r="G31" s="181" t="inlineStr"/>
      <c r="H31" s="181" t="inlineStr"/>
    </row>
    <row r="32" ht="15" customHeight="1" s="28">
      <c r="A32" s="182" t="n">
        <v>18</v>
      </c>
      <c r="B32" s="182" t="n">
        <v>134</v>
      </c>
      <c r="C32" s="182" t="n">
        <v>4800.2768</v>
      </c>
      <c r="D32" s="182" t="n">
        <v>4799.6942</v>
      </c>
      <c r="E32" s="182" t="n">
        <v>0.5826</v>
      </c>
      <c r="F32" s="182" t="n">
        <v>0.3394</v>
      </c>
      <c r="G32" s="182" t="inlineStr"/>
      <c r="H32" s="182" t="inlineStr"/>
    </row>
    <row r="33" ht="15" customHeight="1" s="28">
      <c r="A33" s="181" t="n">
        <v>19</v>
      </c>
      <c r="B33" s="181" t="n">
        <v>148</v>
      </c>
      <c r="C33" s="181" t="n">
        <v>4788.4819</v>
      </c>
      <c r="D33" s="181" t="n">
        <v>4796.0525</v>
      </c>
      <c r="E33" s="181" t="n">
        <v>-7.5706</v>
      </c>
      <c r="F33" s="181" t="n">
        <v>57.3136</v>
      </c>
      <c r="G33" s="181" t="inlineStr"/>
      <c r="H33" s="181" t="inlineStr"/>
    </row>
    <row r="34" ht="15" customHeight="1" s="28">
      <c r="A34" s="182" t="n">
        <v>20</v>
      </c>
      <c r="B34" s="182" t="n">
        <v>155</v>
      </c>
      <c r="C34" s="182" t="n">
        <v>4794.2746</v>
      </c>
      <c r="D34" s="182" t="n">
        <v>4794.2316</v>
      </c>
      <c r="E34" s="182" t="n">
        <v>0.043</v>
      </c>
      <c r="F34" s="182" t="n">
        <v>0.0018</v>
      </c>
      <c r="G34" s="182" t="inlineStr"/>
      <c r="H34" s="182" t="inlineStr"/>
    </row>
    <row r="35" ht="15" customHeight="1" s="28">
      <c r="A35" s="181" t="n">
        <v>21</v>
      </c>
      <c r="B35" s="181" t="n">
        <v>160</v>
      </c>
      <c r="C35" s="181" t="n">
        <v>4793.1611</v>
      </c>
      <c r="D35" s="181" t="n">
        <v>4792.931</v>
      </c>
      <c r="E35" s="181" t="n">
        <v>0.2301</v>
      </c>
      <c r="F35" s="181" t="n">
        <v>0.053</v>
      </c>
      <c r="G35" s="181" t="inlineStr"/>
      <c r="H35" s="181" t="inlineStr"/>
    </row>
    <row r="36" ht="15" customHeight="1" s="28">
      <c r="A36" s="182" t="n">
        <v>22</v>
      </c>
      <c r="B36" s="182" t="n">
        <v>180</v>
      </c>
      <c r="C36" s="182" t="n">
        <v>4818.5417</v>
      </c>
      <c r="D36" s="182" t="n">
        <v>4787.7286</v>
      </c>
      <c r="E36" s="182" t="n">
        <v>30.8132</v>
      </c>
      <c r="F36" s="182" t="n">
        <v>949.4514</v>
      </c>
      <c r="G36" s="182" t="inlineStr"/>
      <c r="H36" s="182" t="inlineStr"/>
    </row>
    <row r="37" ht="15" customHeight="1" s="28">
      <c r="A37" s="181" t="n">
        <v>23</v>
      </c>
      <c r="B37" s="181" t="n">
        <v>190</v>
      </c>
      <c r="C37" s="181" t="n">
        <v>4802.2072</v>
      </c>
      <c r="D37" s="181" t="n">
        <v>4785.1273</v>
      </c>
      <c r="E37" s="181" t="n">
        <v>17.0799</v>
      </c>
      <c r="F37" s="181" t="n">
        <v>291.723</v>
      </c>
      <c r="G37" s="181" t="inlineStr"/>
      <c r="H37" s="181" t="inlineStr"/>
    </row>
    <row r="38" ht="15" customHeight="1" s="28">
      <c r="A38" s="182" t="n">
        <v>24</v>
      </c>
      <c r="B38" s="182" t="n">
        <v>201</v>
      </c>
      <c r="C38" s="182" t="n">
        <v>4814.364</v>
      </c>
      <c r="D38" s="182" t="n">
        <v>4782.266</v>
      </c>
      <c r="E38" s="182" t="n">
        <v>32.098</v>
      </c>
      <c r="F38" s="182" t="n">
        <v>1030.2823</v>
      </c>
      <c r="G38" s="182" t="inlineStr"/>
      <c r="H38" s="182" t="inlineStr"/>
    </row>
    <row r="39" ht="15" customHeight="1" s="28">
      <c r="A39" s="181" t="n">
        <v>25</v>
      </c>
      <c r="B39" s="181" t="n">
        <v>203</v>
      </c>
      <c r="C39" s="181" t="n">
        <v>4814.6371</v>
      </c>
      <c r="D39" s="181" t="n">
        <v>4781.7457</v>
      </c>
      <c r="E39" s="181" t="n">
        <v>32.8913</v>
      </c>
      <c r="F39" s="181" t="n">
        <v>1081.8393</v>
      </c>
      <c r="G39" s="181" t="inlineStr"/>
      <c r="H39" s="181" t="inlineStr"/>
    </row>
    <row r="40" ht="15" customHeight="1" s="28">
      <c r="A40" s="182" t="n">
        <v>26</v>
      </c>
      <c r="B40" s="182" t="n">
        <v>213</v>
      </c>
      <c r="C40" s="182" t="n">
        <v>4827.0749</v>
      </c>
      <c r="D40" s="182" t="n">
        <v>4779.1445</v>
      </c>
      <c r="E40" s="182" t="n">
        <v>47.9304</v>
      </c>
      <c r="F40" s="182" t="n">
        <v>2297.3218</v>
      </c>
      <c r="G40" s="182" t="inlineStr"/>
      <c r="H40" s="182" t="inlineStr"/>
    </row>
    <row r="41" ht="15" customHeight="1" s="28">
      <c r="A41" s="181" t="n">
        <v>27</v>
      </c>
      <c r="B41" s="181" t="n">
        <v>245</v>
      </c>
      <c r="C41" s="181" t="n">
        <v>4782.0763</v>
      </c>
      <c r="D41" s="181" t="n">
        <v>4770.8206</v>
      </c>
      <c r="E41" s="181" t="n">
        <v>11.2557</v>
      </c>
      <c r="F41" s="181" t="n">
        <v>126.6905</v>
      </c>
      <c r="G41" s="181" t="inlineStr"/>
      <c r="H41" s="181" t="inlineStr"/>
    </row>
    <row r="42" ht="15" customHeight="1" s="28">
      <c r="A42" s="182" t="n">
        <v>28</v>
      </c>
      <c r="B42" s="182" t="n">
        <v>252</v>
      </c>
      <c r="C42" s="182" t="n">
        <v>4785.1929</v>
      </c>
      <c r="D42" s="182" t="n">
        <v>4768.9998</v>
      </c>
      <c r="E42" s="182" t="n">
        <v>16.1931</v>
      </c>
      <c r="F42" s="182" t="n">
        <v>262.2163</v>
      </c>
      <c r="G42" s="182" t="inlineStr"/>
      <c r="H42" s="182" t="inlineStr"/>
    </row>
    <row r="43" ht="15" customHeight="1" s="28">
      <c r="A43" s="181" t="n">
        <v>29</v>
      </c>
      <c r="B43" s="181" t="n">
        <v>257</v>
      </c>
      <c r="C43" s="181" t="n">
        <v>4784.8373</v>
      </c>
      <c r="D43" s="181" t="n">
        <v>4767.6992</v>
      </c>
      <c r="E43" s="181" t="n">
        <v>17.1382</v>
      </c>
      <c r="F43" s="181" t="n">
        <v>293.7166</v>
      </c>
      <c r="G43" s="181" t="inlineStr"/>
      <c r="H43" s="181" t="inlineStr"/>
    </row>
    <row r="44" ht="15" customHeight="1" s="28">
      <c r="A44" s="182" t="n">
        <v>30</v>
      </c>
      <c r="B44" s="182" t="n">
        <v>263</v>
      </c>
      <c r="C44" s="182" t="n">
        <v>4787.2112</v>
      </c>
      <c r="D44" s="182" t="n">
        <v>4766.1384</v>
      </c>
      <c r="E44" s="182" t="n">
        <v>21.0728</v>
      </c>
      <c r="F44" s="182" t="n">
        <v>444.0635</v>
      </c>
      <c r="G44" s="182" t="inlineStr"/>
      <c r="H44" s="182" t="inlineStr"/>
    </row>
    <row r="45" ht="15" customHeight="1" s="28">
      <c r="A45" s="181" t="n">
        <v>31</v>
      </c>
      <c r="B45" s="181" t="n">
        <v>296</v>
      </c>
      <c r="C45" s="181" t="n">
        <v>4697.7102</v>
      </c>
      <c r="D45" s="181" t="n">
        <v>4757.5544</v>
      </c>
      <c r="E45" s="181" t="n">
        <v>-59.8442</v>
      </c>
      <c r="F45" s="181" t="n">
        <v>3581.3247</v>
      </c>
      <c r="G45" s="181" t="inlineStr"/>
      <c r="H45" s="181" t="inlineStr"/>
    </row>
    <row r="46" ht="15" customHeight="1" s="28">
      <c r="A46" s="182" t="n">
        <v>32</v>
      </c>
      <c r="B46" s="182" t="n">
        <v>323</v>
      </c>
      <c r="C46" s="182" t="n">
        <v>4757.8093</v>
      </c>
      <c r="D46" s="182" t="n">
        <v>4750.5311</v>
      </c>
      <c r="E46" s="182" t="n">
        <v>7.2782</v>
      </c>
      <c r="F46" s="182" t="n">
        <v>52.9715</v>
      </c>
      <c r="G46" s="182" t="inlineStr"/>
      <c r="H46" s="182" t="inlineStr"/>
    </row>
    <row r="47" ht="15" customHeight="1" s="28">
      <c r="A47" s="181" t="n">
        <v>33</v>
      </c>
      <c r="B47" s="181" t="n">
        <v>327</v>
      </c>
      <c r="C47" s="181" t="n">
        <v>4758.0106</v>
      </c>
      <c r="D47" s="181" t="n">
        <v>4749.4906</v>
      </c>
      <c r="E47" s="181" t="n">
        <v>8.52</v>
      </c>
      <c r="F47" s="181" t="n">
        <v>72.5903</v>
      </c>
      <c r="G47" s="181" t="inlineStr"/>
      <c r="H47" s="181" t="inlineStr"/>
    </row>
    <row r="48" ht="15" customHeight="1" s="28">
      <c r="A48" s="182" t="n">
        <v>34</v>
      </c>
      <c r="B48" s="182" t="n">
        <v>335</v>
      </c>
      <c r="C48" s="182" t="n">
        <v>4766.5311</v>
      </c>
      <c r="D48" s="182" t="n">
        <v>4747.4096</v>
      </c>
      <c r="E48" s="182" t="n">
        <v>19.1215</v>
      </c>
      <c r="F48" s="182" t="n">
        <v>365.6309</v>
      </c>
      <c r="G48" s="182" t="inlineStr"/>
      <c r="H48" s="182" t="inlineStr"/>
    </row>
    <row r="49" ht="15" customHeight="1" s="28">
      <c r="A49" s="181" t="n">
        <v>35</v>
      </c>
      <c r="B49" s="181" t="n">
        <v>349</v>
      </c>
      <c r="C49" s="181" t="n">
        <v>4756.1254</v>
      </c>
      <c r="D49" s="181" t="n">
        <v>4743.7679</v>
      </c>
      <c r="E49" s="181" t="n">
        <v>12.3575</v>
      </c>
      <c r="F49" s="181" t="n">
        <v>152.7077</v>
      </c>
      <c r="G49" s="181" t="inlineStr"/>
      <c r="H49" s="181" t="inlineStr"/>
    </row>
    <row r="50" ht="15" customHeight="1" s="28">
      <c r="A50" s="182" t="n">
        <v>36</v>
      </c>
      <c r="B50" s="182" t="n">
        <v>351</v>
      </c>
      <c r="C50" s="182" t="n">
        <v>4756.0877</v>
      </c>
      <c r="D50" s="182" t="n">
        <v>4743.2477</v>
      </c>
      <c r="E50" s="182" t="n">
        <v>12.8401</v>
      </c>
      <c r="F50" s="182" t="n">
        <v>164.8671</v>
      </c>
      <c r="G50" s="182" t="inlineStr"/>
      <c r="H50" s="182" t="inlineStr"/>
    </row>
    <row r="51" ht="15" customHeight="1" s="28">
      <c r="A51" s="181" t="n">
        <v>37</v>
      </c>
      <c r="B51" s="181" t="n">
        <v>361</v>
      </c>
      <c r="C51" s="181" t="n">
        <v>4748.9847</v>
      </c>
      <c r="D51" s="181" t="n">
        <v>4740.6465</v>
      </c>
      <c r="E51" s="181" t="n">
        <v>8.338200000000001</v>
      </c>
      <c r="F51" s="181" t="n">
        <v>69.5261</v>
      </c>
      <c r="G51" s="181" t="inlineStr"/>
      <c r="H51" s="181" t="inlineStr"/>
    </row>
    <row r="52" ht="15" customHeight="1" s="28">
      <c r="A52" s="182" t="n">
        <v>38</v>
      </c>
      <c r="B52" s="182" t="n">
        <v>363</v>
      </c>
      <c r="C52" s="182" t="n">
        <v>4748.0625</v>
      </c>
      <c r="D52" s="182" t="n">
        <v>4740.1262</v>
      </c>
      <c r="E52" s="182" t="n">
        <v>7.9363</v>
      </c>
      <c r="F52" s="182" t="n">
        <v>62.9847</v>
      </c>
      <c r="G52" s="182" t="inlineStr"/>
      <c r="H52" s="182" t="inlineStr"/>
    </row>
    <row r="53" ht="15" customHeight="1" s="28">
      <c r="A53" s="181" t="n">
        <v>39</v>
      </c>
      <c r="B53" s="181" t="n">
        <v>374</v>
      </c>
      <c r="C53" s="181" t="n">
        <v>4729.4164</v>
      </c>
      <c r="D53" s="181" t="n">
        <v>4737.2649</v>
      </c>
      <c r="E53" s="181" t="n">
        <v>-7.8485</v>
      </c>
      <c r="F53" s="181" t="n">
        <v>61.5989</v>
      </c>
      <c r="G53" s="181" t="inlineStr"/>
      <c r="H53" s="181" t="inlineStr"/>
    </row>
    <row r="54" ht="15" customHeight="1" s="28">
      <c r="A54" s="182" t="n">
        <v>40</v>
      </c>
      <c r="B54" s="182" t="n">
        <v>390</v>
      </c>
      <c r="C54" s="182" t="n">
        <v>4739.1687</v>
      </c>
      <c r="D54" s="182" t="n">
        <v>4733.1029</v>
      </c>
      <c r="E54" s="182" t="n">
        <v>6.0658</v>
      </c>
      <c r="F54" s="182" t="n">
        <v>36.7936</v>
      </c>
      <c r="G54" s="182" t="inlineStr"/>
      <c r="H54" s="182" t="inlineStr"/>
    </row>
    <row r="55" ht="15" customHeight="1" s="28">
      <c r="A55" s="181" t="n">
        <v>41</v>
      </c>
      <c r="B55" s="181" t="n">
        <v>399</v>
      </c>
      <c r="C55" s="181" t="n">
        <v>4725.8976</v>
      </c>
      <c r="D55" s="181" t="n">
        <v>4730.7618</v>
      </c>
      <c r="E55" s="181" t="n">
        <v>-4.8643</v>
      </c>
      <c r="F55" s="181" t="n">
        <v>23.6611</v>
      </c>
      <c r="G55" s="181" t="inlineStr"/>
      <c r="H55" s="181" t="inlineStr"/>
    </row>
    <row r="56" ht="15" customHeight="1" s="28">
      <c r="A56" s="182" t="n">
        <v>42</v>
      </c>
      <c r="B56" s="182" t="n">
        <v>405</v>
      </c>
      <c r="C56" s="182" t="n">
        <v>4733.9721</v>
      </c>
      <c r="D56" s="182" t="n">
        <v>4729.2011</v>
      </c>
      <c r="E56" s="182" t="n">
        <v>4.771</v>
      </c>
      <c r="F56" s="182" t="n">
        <v>22.7625</v>
      </c>
      <c r="G56" s="182" t="inlineStr"/>
      <c r="H56" s="182" t="inlineStr"/>
    </row>
    <row r="57" ht="15" customHeight="1" s="28">
      <c r="A57" s="181" t="n">
        <v>43</v>
      </c>
      <c r="B57" s="181" t="n">
        <v>415</v>
      </c>
      <c r="C57" s="181" t="n">
        <v>4703.263</v>
      </c>
      <c r="D57" s="181" t="n">
        <v>4726.5999</v>
      </c>
      <c r="E57" s="181" t="n">
        <v>-23.3369</v>
      </c>
      <c r="F57" s="181" t="n">
        <v>544.6106</v>
      </c>
      <c r="G57" s="181" t="inlineStr"/>
      <c r="H57" s="181" t="inlineStr"/>
    </row>
    <row r="58" ht="15" customHeight="1" s="28">
      <c r="A58" s="182" t="n">
        <v>44</v>
      </c>
      <c r="B58" s="182" t="n">
        <v>432</v>
      </c>
      <c r="C58" s="182" t="n">
        <v>4713.1717</v>
      </c>
      <c r="D58" s="182" t="n">
        <v>4722.1778</v>
      </c>
      <c r="E58" s="182" t="n">
        <v>-9.0061</v>
      </c>
      <c r="F58" s="182" t="n">
        <v>81.1097</v>
      </c>
      <c r="G58" s="182" t="inlineStr"/>
      <c r="H58" s="182" t="inlineStr"/>
    </row>
    <row r="59" ht="15" customHeight="1" s="28">
      <c r="A59" s="181" t="n">
        <v>45</v>
      </c>
      <c r="B59" s="181" t="n">
        <v>443</v>
      </c>
      <c r="C59" s="181" t="n">
        <v>4693.4593</v>
      </c>
      <c r="D59" s="181" t="n">
        <v>4719.3165</v>
      </c>
      <c r="E59" s="181" t="n">
        <v>-25.8572</v>
      </c>
      <c r="F59" s="181" t="n">
        <v>668.5947</v>
      </c>
      <c r="G59" s="181" t="inlineStr"/>
      <c r="H59" s="181" t="inlineStr"/>
    </row>
    <row r="60" ht="15" customHeight="1" s="28">
      <c r="A60" s="182" t="n">
        <v>46</v>
      </c>
      <c r="B60" s="182" t="n">
        <v>453</v>
      </c>
      <c r="C60" s="182" t="n">
        <v>4732.4203</v>
      </c>
      <c r="D60" s="182" t="n">
        <v>4716.7152</v>
      </c>
      <c r="E60" s="182" t="n">
        <v>15.705</v>
      </c>
      <c r="F60" s="182" t="n">
        <v>246.6483</v>
      </c>
      <c r="G60" s="182" t="inlineStr"/>
      <c r="H60" s="182" t="inlineStr"/>
    </row>
    <row r="61" ht="15" customHeight="1" s="28">
      <c r="A61" s="181" t="n">
        <v>47</v>
      </c>
      <c r="B61" s="181" t="n">
        <v>458</v>
      </c>
      <c r="C61" s="181" t="n">
        <v>4728.4898</v>
      </c>
      <c r="D61" s="181" t="n">
        <v>4715.4146</v>
      </c>
      <c r="E61" s="181" t="n">
        <v>13.0751</v>
      </c>
      <c r="F61" s="181" t="n">
        <v>170.9591</v>
      </c>
      <c r="G61" s="181" t="inlineStr"/>
      <c r="H61" s="181" t="inlineStr"/>
    </row>
    <row r="62" ht="15" customHeight="1" s="28">
      <c r="A62" s="182" t="n">
        <v>48</v>
      </c>
      <c r="B62" s="182" t="n">
        <v>463</v>
      </c>
      <c r="C62" s="182" t="n">
        <v>4729.1198</v>
      </c>
      <c r="D62" s="182" t="n">
        <v>4714.114</v>
      </c>
      <c r="E62" s="182" t="n">
        <v>15.0058</v>
      </c>
      <c r="F62" s="182" t="n">
        <v>225.1744</v>
      </c>
      <c r="G62" s="182" t="inlineStr"/>
      <c r="H62" s="182" t="inlineStr"/>
    </row>
    <row r="63" ht="15" customHeight="1" s="28">
      <c r="A63" s="181" t="n">
        <v>49</v>
      </c>
      <c r="B63" s="181" t="n">
        <v>485</v>
      </c>
      <c r="C63" s="181" t="n">
        <v>4692.6568</v>
      </c>
      <c r="D63" s="181" t="n">
        <v>4708.3913</v>
      </c>
      <c r="E63" s="181" t="n">
        <v>-15.7345</v>
      </c>
      <c r="F63" s="181" t="n">
        <v>247.5756</v>
      </c>
      <c r="G63" s="181" t="inlineStr"/>
      <c r="H63" s="181" t="inlineStr"/>
    </row>
    <row r="64" ht="15" customHeight="1" s="28">
      <c r="A64" s="182" t="n">
        <v>50</v>
      </c>
      <c r="B64" s="182" t="n">
        <v>497</v>
      </c>
      <c r="C64" s="182" t="n">
        <v>4701.3644</v>
      </c>
      <c r="D64" s="182" t="n">
        <v>4705.2699</v>
      </c>
      <c r="E64" s="182" t="n">
        <v>-3.9055</v>
      </c>
      <c r="F64" s="182" t="n">
        <v>15.2528</v>
      </c>
      <c r="G64" s="182" t="inlineStr"/>
      <c r="H64" s="182" t="inlineStr"/>
    </row>
    <row r="65" ht="15" customHeight="1" s="28">
      <c r="A65" s="181" t="n">
        <v>51</v>
      </c>
      <c r="B65" s="181" t="n">
        <v>510</v>
      </c>
      <c r="C65" s="181" t="n">
        <v>4671.0085</v>
      </c>
      <c r="D65" s="181" t="n">
        <v>4701.8883</v>
      </c>
      <c r="E65" s="181" t="n">
        <v>-30.8798</v>
      </c>
      <c r="F65" s="181" t="n">
        <v>953.5605</v>
      </c>
      <c r="G65" s="181" t="inlineStr"/>
      <c r="H65" s="181" t="inlineStr"/>
    </row>
    <row r="66" ht="15" customHeight="1" s="28">
      <c r="A66" s="182" t="n">
        <v>52</v>
      </c>
      <c r="B66" s="182" t="n">
        <v>517</v>
      </c>
      <c r="C66" s="182" t="n">
        <v>4677.5968</v>
      </c>
      <c r="D66" s="182" t="n">
        <v>4700.0674</v>
      </c>
      <c r="E66" s="182" t="n">
        <v>-22.4707</v>
      </c>
      <c r="F66" s="182" t="n">
        <v>504.9302</v>
      </c>
      <c r="G66" s="182" t="inlineStr"/>
      <c r="H66" s="182" t="inlineStr"/>
    </row>
    <row r="67" ht="15" customHeight="1" s="28">
      <c r="A67" s="181" t="n">
        <v>53</v>
      </c>
      <c r="B67" s="181" t="n">
        <v>519</v>
      </c>
      <c r="C67" s="181" t="n">
        <v>4677.6687</v>
      </c>
      <c r="D67" s="181" t="n">
        <v>4699.5472</v>
      </c>
      <c r="E67" s="181" t="n">
        <v>-21.8785</v>
      </c>
      <c r="F67" s="181" t="n">
        <v>478.6674</v>
      </c>
      <c r="G67" s="181" t="inlineStr"/>
      <c r="H67" s="181" t="inlineStr"/>
    </row>
    <row r="68" ht="15" customHeight="1" s="28">
      <c r="A68" s="182" t="n">
        <v>54</v>
      </c>
      <c r="B68" s="182" t="n">
        <v>528</v>
      </c>
      <c r="C68" s="182" t="n">
        <v>4688.6921</v>
      </c>
      <c r="D68" s="182" t="n">
        <v>4697.2061</v>
      </c>
      <c r="E68" s="182" t="n">
        <v>-8.513999999999999</v>
      </c>
      <c r="F68" s="182" t="n">
        <v>72.4873</v>
      </c>
      <c r="G68" s="182" t="inlineStr"/>
      <c r="H68" s="182" t="inlineStr"/>
    </row>
    <row r="69" ht="15" customHeight="1" s="28">
      <c r="A69" s="181" t="n">
        <v>55</v>
      </c>
      <c r="B69" s="181" t="n">
        <v>533</v>
      </c>
      <c r="C69" s="181" t="n">
        <v>4682.0741</v>
      </c>
      <c r="D69" s="181" t="n">
        <v>4695.9055</v>
      </c>
      <c r="E69" s="181" t="n">
        <v>-13.8314</v>
      </c>
      <c r="F69" s="181" t="n">
        <v>191.3068</v>
      </c>
      <c r="G69" s="181" t="inlineStr"/>
      <c r="H69" s="181" t="inlineStr"/>
    </row>
    <row r="70" ht="15" customHeight="1" s="28">
      <c r="A70" s="182" t="n">
        <v>56</v>
      </c>
      <c r="B70" s="182" t="n">
        <v>542</v>
      </c>
      <c r="C70" s="182" t="n">
        <v>4703.9862</v>
      </c>
      <c r="D70" s="182" t="n">
        <v>4693.5644</v>
      </c>
      <c r="E70" s="182" t="n">
        <v>10.4218</v>
      </c>
      <c r="F70" s="182" t="n">
        <v>108.6145</v>
      </c>
      <c r="G70" s="182" t="inlineStr"/>
      <c r="H70" s="182" t="inlineStr"/>
    </row>
    <row r="71" ht="15" customHeight="1" s="28">
      <c r="A71" s="181" t="n">
        <v>57</v>
      </c>
      <c r="B71" s="181" t="n">
        <v>545</v>
      </c>
      <c r="C71" s="181" t="n">
        <v>4705.476</v>
      </c>
      <c r="D71" s="181" t="n">
        <v>4692.784</v>
      </c>
      <c r="E71" s="181" t="n">
        <v>12.692</v>
      </c>
      <c r="F71" s="181" t="n">
        <v>161.0862</v>
      </c>
      <c r="G71" s="181" t="inlineStr"/>
      <c r="H71" s="181" t="inlineStr"/>
    </row>
    <row r="72" ht="15" customHeight="1" s="28">
      <c r="A72" s="182" t="n">
        <v>58</v>
      </c>
      <c r="B72" s="182" t="n">
        <v>554</v>
      </c>
      <c r="C72" s="182" t="n">
        <v>4725.9997</v>
      </c>
      <c r="D72" s="182" t="n">
        <v>4690.4429</v>
      </c>
      <c r="E72" s="182" t="n">
        <v>35.5568</v>
      </c>
      <c r="F72" s="182" t="n">
        <v>1264.2868</v>
      </c>
      <c r="G72" s="182" t="inlineStr"/>
      <c r="H72" s="182" t="inlineStr"/>
    </row>
    <row r="73" ht="15" customHeight="1" s="28">
      <c r="A73" s="181" t="n">
        <v>59</v>
      </c>
      <c r="B73" s="181" t="n">
        <v>559</v>
      </c>
      <c r="C73" s="181" t="n">
        <v>4723.6963</v>
      </c>
      <c r="D73" s="181" t="n">
        <v>4689.1423</v>
      </c>
      <c r="E73" s="181" t="n">
        <v>34.5539</v>
      </c>
      <c r="F73" s="181" t="n">
        <v>1193.9749</v>
      </c>
      <c r="G73" s="181" t="inlineStr"/>
      <c r="H73" s="181" t="inlineStr"/>
    </row>
    <row r="74" ht="15" customHeight="1" s="28">
      <c r="A74" s="182" t="n">
        <v>60</v>
      </c>
      <c r="B74" s="182" t="n">
        <v>562</v>
      </c>
      <c r="C74" s="182" t="n">
        <v>4723.8595</v>
      </c>
      <c r="D74" s="182" t="n">
        <v>4688.362</v>
      </c>
      <c r="E74" s="182" t="n">
        <v>35.4976</v>
      </c>
      <c r="F74" s="182" t="n">
        <v>1260.0787</v>
      </c>
      <c r="G74" s="182" t="inlineStr"/>
      <c r="H74" s="182" t="inlineStr"/>
    </row>
    <row r="75" ht="15" customHeight="1" s="28">
      <c r="A75" s="181" t="n">
        <v>61</v>
      </c>
      <c r="B75" s="181" t="n">
        <v>584</v>
      </c>
      <c r="C75" s="181" t="n">
        <v>4680.7626</v>
      </c>
      <c r="D75" s="181" t="n">
        <v>4682.6393</v>
      </c>
      <c r="E75" s="181" t="n">
        <v>-1.8766</v>
      </c>
      <c r="F75" s="181" t="n">
        <v>3.5218</v>
      </c>
      <c r="G75" s="181" t="inlineStr"/>
      <c r="H75" s="181" t="inlineStr"/>
    </row>
    <row r="76" ht="15" customHeight="1" s="28">
      <c r="A76" s="182" t="n">
        <v>62</v>
      </c>
      <c r="B76" s="182" t="n">
        <v>602</v>
      </c>
      <c r="C76" s="182" t="n">
        <v>4725.1237</v>
      </c>
      <c r="D76" s="182" t="n">
        <v>4677.9571</v>
      </c>
      <c r="E76" s="182" t="n">
        <v>47.1667</v>
      </c>
      <c r="F76" s="182" t="n">
        <v>2224.6945</v>
      </c>
      <c r="G76" s="182" t="inlineStr"/>
      <c r="H76" s="182" t="inlineStr"/>
    </row>
    <row r="77" ht="15" customHeight="1" s="28">
      <c r="A77" s="181" t="n">
        <v>63</v>
      </c>
      <c r="B77" s="181" t="n">
        <v>611</v>
      </c>
      <c r="C77" s="181" t="n">
        <v>4713.8471</v>
      </c>
      <c r="D77" s="181" t="n">
        <v>4675.616</v>
      </c>
      <c r="E77" s="181" t="n">
        <v>38.2311</v>
      </c>
      <c r="F77" s="181" t="n">
        <v>1461.6166</v>
      </c>
      <c r="G77" s="181" t="inlineStr"/>
      <c r="H77" s="181" t="inlineStr"/>
    </row>
    <row r="78" ht="15" customHeight="1" s="28">
      <c r="A78" s="182" t="n">
        <v>64</v>
      </c>
      <c r="B78" s="182" t="n">
        <v>615</v>
      </c>
      <c r="C78" s="182" t="n">
        <v>4714.2374</v>
      </c>
      <c r="D78" s="182" t="n">
        <v>4674.5755</v>
      </c>
      <c r="E78" s="182" t="n">
        <v>39.6619</v>
      </c>
      <c r="F78" s="182" t="n">
        <v>1573.0697</v>
      </c>
      <c r="G78" s="182" t="inlineStr"/>
      <c r="H78" s="182" t="inlineStr"/>
    </row>
    <row r="79" ht="15" customHeight="1" s="28">
      <c r="A79" s="181" t="n">
        <v>65</v>
      </c>
      <c r="B79" s="181" t="n">
        <v>624</v>
      </c>
      <c r="C79" s="181" t="n">
        <v>4704.1656</v>
      </c>
      <c r="D79" s="181" t="n">
        <v>4672.2344</v>
      </c>
      <c r="E79" s="181" t="n">
        <v>31.9312</v>
      </c>
      <c r="F79" s="181" t="n">
        <v>1019.6028</v>
      </c>
      <c r="G79" s="181" t="inlineStr"/>
      <c r="H79" s="181" t="inlineStr"/>
    </row>
    <row r="80" ht="15" customHeight="1" s="28">
      <c r="A80" s="182" t="n">
        <v>66</v>
      </c>
      <c r="B80" s="182" t="n">
        <v>630</v>
      </c>
      <c r="C80" s="182" t="n">
        <v>4705.993</v>
      </c>
      <c r="D80" s="182" t="n">
        <v>4670.6737</v>
      </c>
      <c r="E80" s="182" t="n">
        <v>35.3194</v>
      </c>
      <c r="F80" s="182" t="n">
        <v>1247.4588</v>
      </c>
      <c r="G80" s="182" t="inlineStr"/>
      <c r="H80" s="182" t="inlineStr"/>
    </row>
    <row r="81" ht="15" customHeight="1" s="28">
      <c r="A81" s="181" t="n">
        <v>67</v>
      </c>
      <c r="B81" s="181" t="n">
        <v>650</v>
      </c>
      <c r="C81" s="181" t="n">
        <v>4674.7766</v>
      </c>
      <c r="D81" s="181" t="n">
        <v>4665.4712</v>
      </c>
      <c r="E81" s="181" t="n">
        <v>9.305400000000001</v>
      </c>
      <c r="F81" s="181" t="n">
        <v>86.5898</v>
      </c>
      <c r="G81" s="181" t="inlineStr"/>
      <c r="H81" s="181" t="inlineStr"/>
    </row>
    <row r="82" ht="15" customHeight="1" s="28">
      <c r="A82" s="182" t="n">
        <v>68</v>
      </c>
      <c r="B82" s="182" t="n">
        <v>659</v>
      </c>
      <c r="C82" s="182" t="n">
        <v>4681.7926</v>
      </c>
      <c r="D82" s="182" t="n">
        <v>4663.1301</v>
      </c>
      <c r="E82" s="182" t="n">
        <v>18.6624</v>
      </c>
      <c r="F82" s="182" t="n">
        <v>348.287</v>
      </c>
      <c r="G82" s="182" t="inlineStr"/>
      <c r="H82" s="182" t="inlineStr"/>
    </row>
    <row r="83" ht="15" customHeight="1" s="28">
      <c r="A83" s="181" t="n">
        <v>69</v>
      </c>
      <c r="B83" s="181" t="n">
        <v>664</v>
      </c>
      <c r="C83" s="181" t="n">
        <v>4680.2319</v>
      </c>
      <c r="D83" s="181" t="n">
        <v>4661.8295</v>
      </c>
      <c r="E83" s="181" t="n">
        <v>18.4024</v>
      </c>
      <c r="F83" s="181" t="n">
        <v>338.6472</v>
      </c>
      <c r="G83" s="181" t="inlineStr"/>
      <c r="H83" s="181" t="inlineStr"/>
    </row>
    <row r="84" ht="15" customHeight="1" s="28">
      <c r="A84" s="182" t="n">
        <v>70</v>
      </c>
      <c r="B84" s="182" t="n">
        <v>678</v>
      </c>
      <c r="C84" s="182" t="n">
        <v>4693.6994</v>
      </c>
      <c r="D84" s="182" t="n">
        <v>4658.1878</v>
      </c>
      <c r="E84" s="182" t="n">
        <v>35.5116</v>
      </c>
      <c r="F84" s="182" t="n">
        <v>1261.0721</v>
      </c>
      <c r="G84" s="182" t="inlineStr"/>
      <c r="H84" s="182" t="inlineStr"/>
    </row>
    <row r="85" ht="15" customHeight="1" s="28">
      <c r="A85" s="181" t="n">
        <v>71</v>
      </c>
      <c r="B85" s="181" t="n">
        <v>689</v>
      </c>
      <c r="C85" s="181" t="n">
        <v>4672.4743</v>
      </c>
      <c r="D85" s="181" t="n">
        <v>4655.3265</v>
      </c>
      <c r="E85" s="181" t="n">
        <v>17.1479</v>
      </c>
      <c r="F85" s="181" t="n">
        <v>294.0491</v>
      </c>
      <c r="G85" s="181" t="inlineStr"/>
      <c r="H85" s="181" t="inlineStr"/>
    </row>
    <row r="86" ht="15" customHeight="1" s="28">
      <c r="A86" s="182" t="n">
        <v>72</v>
      </c>
      <c r="B86" s="182" t="n">
        <v>692</v>
      </c>
      <c r="C86" s="182" t="n">
        <v>4672.133</v>
      </c>
      <c r="D86" s="182" t="n">
        <v>4654.5461</v>
      </c>
      <c r="E86" s="182" t="n">
        <v>17.5869</v>
      </c>
      <c r="F86" s="182" t="n">
        <v>309.2985</v>
      </c>
      <c r="G86" s="182" t="inlineStr"/>
      <c r="H86" s="182" t="inlineStr"/>
    </row>
    <row r="87" ht="15" customHeight="1" s="28">
      <c r="A87" s="181" t="n">
        <v>73</v>
      </c>
      <c r="B87" s="181" t="n">
        <v>727</v>
      </c>
      <c r="C87" s="181" t="n">
        <v>4582.2172</v>
      </c>
      <c r="D87" s="181" t="n">
        <v>4645.4418</v>
      </c>
      <c r="E87" s="181" t="n">
        <v>-63.2246</v>
      </c>
      <c r="F87" s="181" t="n">
        <v>3997.3495</v>
      </c>
      <c r="G87" s="181" t="inlineStr"/>
      <c r="H87" s="181" t="inlineStr"/>
    </row>
    <row r="88" ht="15" customHeight="1" s="28">
      <c r="A88" s="182" t="n">
        <v>74</v>
      </c>
      <c r="B88" s="182" t="n">
        <v>729</v>
      </c>
      <c r="C88" s="182" t="n">
        <v>4581.4012</v>
      </c>
      <c r="D88" s="182" t="n">
        <v>4644.9216</v>
      </c>
      <c r="E88" s="182" t="n">
        <v>-63.5203</v>
      </c>
      <c r="F88" s="182" t="n">
        <v>4034.8325</v>
      </c>
      <c r="G88" s="182" t="inlineStr"/>
      <c r="H88" s="182" t="inlineStr"/>
    </row>
    <row r="89" ht="15" customHeight="1" s="28">
      <c r="A89" s="181" t="n">
        <v>75</v>
      </c>
      <c r="B89" s="181" t="n">
        <v>736</v>
      </c>
      <c r="C89" s="181" t="n">
        <v>4572.3875</v>
      </c>
      <c r="D89" s="181" t="n">
        <v>4643.1007</v>
      </c>
      <c r="E89" s="181" t="n">
        <v>-70.7132</v>
      </c>
      <c r="F89" s="181" t="n">
        <v>5000.362</v>
      </c>
      <c r="G89" s="181" t="inlineStr"/>
      <c r="H89" s="181" t="inlineStr"/>
    </row>
    <row r="90" ht="15" customHeight="1" s="28">
      <c r="A90" s="182" t="n">
        <v>76</v>
      </c>
      <c r="B90" s="182" t="n">
        <v>755</v>
      </c>
      <c r="C90" s="182" t="n">
        <v>4596.5934</v>
      </c>
      <c r="D90" s="182" t="n">
        <v>4638.1584</v>
      </c>
      <c r="E90" s="182" t="n">
        <v>-41.565</v>
      </c>
      <c r="F90" s="182" t="n">
        <v>1727.6509</v>
      </c>
      <c r="G90" s="182" t="inlineStr"/>
      <c r="H90" s="182" t="inlineStr"/>
    </row>
    <row r="91" ht="15" customHeight="1" s="28">
      <c r="A91" s="181" t="n">
        <v>77</v>
      </c>
      <c r="B91" s="181" t="n">
        <v>764</v>
      </c>
      <c r="C91" s="181" t="n">
        <v>4594.1765</v>
      </c>
      <c r="D91" s="181" t="n">
        <v>4635.8173</v>
      </c>
      <c r="E91" s="181" t="n">
        <v>-41.6408</v>
      </c>
      <c r="F91" s="181" t="n">
        <v>1733.9547</v>
      </c>
      <c r="G91" s="181" t="inlineStr"/>
      <c r="H91" s="181" t="inlineStr"/>
    </row>
    <row r="92" ht="15" customHeight="1" s="28">
      <c r="A92" s="182" t="n">
        <v>78</v>
      </c>
      <c r="B92" s="182" t="n">
        <v>770</v>
      </c>
      <c r="C92" s="182" t="n">
        <v>4596.4324</v>
      </c>
      <c r="D92" s="182" t="n">
        <v>4634.2566</v>
      </c>
      <c r="E92" s="182" t="n">
        <v>-37.8242</v>
      </c>
      <c r="F92" s="182" t="n">
        <v>1430.6678</v>
      </c>
      <c r="G92" s="182" t="inlineStr"/>
      <c r="H92" s="182" t="inlineStr"/>
    </row>
    <row r="93" ht="15" customHeight="1" s="28">
      <c r="A93" s="181" t="n">
        <v>79</v>
      </c>
      <c r="B93" s="181" t="n">
        <v>776</v>
      </c>
      <c r="C93" s="181" t="n">
        <v>4592.2323</v>
      </c>
      <c r="D93" s="181" t="n">
        <v>4632.6958</v>
      </c>
      <c r="E93" s="181" t="n">
        <v>-40.4636</v>
      </c>
      <c r="F93" s="181" t="n">
        <v>1637.3012</v>
      </c>
      <c r="G93" s="181" t="inlineStr"/>
      <c r="H93" s="181" t="inlineStr"/>
    </row>
    <row r="94" ht="15" customHeight="1" s="28">
      <c r="A94" s="182" t="n">
        <v>80</v>
      </c>
      <c r="B94" s="182" t="n">
        <v>788</v>
      </c>
      <c r="C94" s="182" t="n">
        <v>4600.8452</v>
      </c>
      <c r="D94" s="182" t="n">
        <v>4629.5744</v>
      </c>
      <c r="E94" s="182" t="n">
        <v>-28.7292</v>
      </c>
      <c r="F94" s="182" t="n">
        <v>825.3683</v>
      </c>
      <c r="G94" s="182" t="inlineStr"/>
      <c r="H94" s="182" t="inlineStr"/>
    </row>
    <row r="95" ht="15" customHeight="1" s="28">
      <c r="A95" s="181" t="n">
        <v>81</v>
      </c>
      <c r="B95" s="181" t="n">
        <v>809</v>
      </c>
      <c r="C95" s="181" t="n">
        <v>4565.6079</v>
      </c>
      <c r="D95" s="181" t="n">
        <v>4624.1118</v>
      </c>
      <c r="E95" s="181" t="n">
        <v>-58.5039</v>
      </c>
      <c r="F95" s="181" t="n">
        <v>3422.7102</v>
      </c>
      <c r="G95" s="181" t="inlineStr"/>
      <c r="H95" s="181" t="inlineStr"/>
    </row>
    <row r="96" ht="15" customHeight="1" s="28">
      <c r="A96" s="182" t="n">
        <v>82</v>
      </c>
      <c r="B96" s="182" t="n">
        <v>815</v>
      </c>
      <c r="C96" s="182" t="n">
        <v>4566.1015</v>
      </c>
      <c r="D96" s="182" t="n">
        <v>4622.5511</v>
      </c>
      <c r="E96" s="182" t="n">
        <v>-56.4496</v>
      </c>
      <c r="F96" s="182" t="n">
        <v>3186.562</v>
      </c>
      <c r="G96" s="182" t="inlineStr"/>
      <c r="H96" s="182" t="inlineStr"/>
    </row>
    <row r="97" ht="15" customHeight="1" s="28">
      <c r="A97" s="181" t="n">
        <v>83</v>
      </c>
      <c r="B97" s="181" t="n">
        <v>826</v>
      </c>
      <c r="C97" s="181" t="n">
        <v>4532.0678</v>
      </c>
      <c r="D97" s="181" t="n">
        <v>4619.6897</v>
      </c>
      <c r="E97" s="181" t="n">
        <v>-87.622</v>
      </c>
      <c r="F97" s="181" t="n">
        <v>7677.613</v>
      </c>
      <c r="G97" s="181" t="inlineStr"/>
      <c r="H97" s="181" t="inlineStr"/>
    </row>
    <row r="98" ht="15" customHeight="1" s="28">
      <c r="A98" s="182" t="n">
        <v>84</v>
      </c>
      <c r="B98" s="182" t="n">
        <v>835</v>
      </c>
      <c r="C98" s="182" t="n">
        <v>4551.6611</v>
      </c>
      <c r="D98" s="182" t="n">
        <v>4617.3487</v>
      </c>
      <c r="E98" s="182" t="n">
        <v>-65.6876</v>
      </c>
      <c r="F98" s="182" t="n">
        <v>4314.8544</v>
      </c>
      <c r="G98" s="182" t="inlineStr"/>
      <c r="H98" s="182" t="inlineStr"/>
    </row>
    <row r="99" ht="15" customHeight="1" s="28">
      <c r="A99" s="181" t="n">
        <v>85</v>
      </c>
      <c r="B99" s="181" t="n">
        <v>843</v>
      </c>
      <c r="C99" s="181" t="n">
        <v>4535.9611</v>
      </c>
      <c r="D99" s="181" t="n">
        <v>4615.2677</v>
      </c>
      <c r="E99" s="181" t="n">
        <v>-79.3065</v>
      </c>
      <c r="F99" s="181" t="n">
        <v>6289.5281</v>
      </c>
      <c r="G99" s="181" t="inlineStr"/>
      <c r="H99" s="181" t="inlineStr"/>
    </row>
    <row r="100" ht="15" customHeight="1" s="28">
      <c r="A100" s="182" t="n">
        <v>86</v>
      </c>
      <c r="B100" s="182" t="n">
        <v>869</v>
      </c>
      <c r="C100" s="182" t="n">
        <v>4573.7037</v>
      </c>
      <c r="D100" s="182" t="n">
        <v>4608.5045</v>
      </c>
      <c r="E100" s="182" t="n">
        <v>-34.8008</v>
      </c>
      <c r="F100" s="182" t="n">
        <v>1211.0946</v>
      </c>
      <c r="G100" s="182" t="inlineStr"/>
      <c r="H100" s="182" t="inlineStr"/>
    </row>
    <row r="101" ht="15" customHeight="1" s="28">
      <c r="A101" s="181" t="n">
        <v>87</v>
      </c>
      <c r="B101" s="181" t="n">
        <v>880</v>
      </c>
      <c r="C101" s="181" t="n">
        <v>4551.2341</v>
      </c>
      <c r="D101" s="181" t="n">
        <v>4605.6432</v>
      </c>
      <c r="E101" s="181" t="n">
        <v>-54.4091</v>
      </c>
      <c r="F101" s="181" t="n">
        <v>2960.3449</v>
      </c>
      <c r="G101" s="181" t="inlineStr"/>
      <c r="H101" s="181" t="inlineStr"/>
    </row>
    <row r="102" ht="15" customHeight="1" s="28">
      <c r="A102" s="182" t="n">
        <v>88</v>
      </c>
      <c r="B102" s="182" t="n">
        <v>906</v>
      </c>
      <c r="C102" s="182" t="n">
        <v>4635.2304</v>
      </c>
      <c r="D102" s="182" t="n">
        <v>4598.88</v>
      </c>
      <c r="E102" s="182" t="n">
        <v>36.3504</v>
      </c>
      <c r="F102" s="182" t="n">
        <v>1321.3515</v>
      </c>
      <c r="G102" s="182" t="inlineStr"/>
      <c r="H102" s="182" t="inlineStr"/>
    </row>
    <row r="103" ht="15" customHeight="1" s="28">
      <c r="A103" s="181" t="n">
        <v>89</v>
      </c>
      <c r="B103" s="181" t="n">
        <v>928</v>
      </c>
      <c r="C103" s="181" t="n">
        <v>4612.4703</v>
      </c>
      <c r="D103" s="181" t="n">
        <v>4593.1573</v>
      </c>
      <c r="E103" s="181" t="n">
        <v>19.313</v>
      </c>
      <c r="F103" s="181" t="n">
        <v>372.9902</v>
      </c>
      <c r="G103" s="181" t="inlineStr"/>
      <c r="H103" s="181" t="inlineStr"/>
    </row>
    <row r="104" ht="15" customHeight="1" s="28">
      <c r="A104" s="182" t="n">
        <v>90</v>
      </c>
      <c r="B104" s="182" t="n">
        <v>936</v>
      </c>
      <c r="C104" s="182" t="n">
        <v>4621.3179</v>
      </c>
      <c r="D104" s="182" t="n">
        <v>4591.0763</v>
      </c>
      <c r="E104" s="182" t="n">
        <v>30.2416</v>
      </c>
      <c r="F104" s="182" t="n">
        <v>914.5525</v>
      </c>
      <c r="G104" s="182" t="inlineStr"/>
      <c r="H104" s="182" t="inlineStr"/>
    </row>
    <row r="105" ht="15" customHeight="1" s="28">
      <c r="A105" s="181" t="n">
        <v>91</v>
      </c>
      <c r="B105" s="181" t="n">
        <v>941</v>
      </c>
      <c r="C105" s="181" t="n">
        <v>4618.4207</v>
      </c>
      <c r="D105" s="181" t="n">
        <v>4589.7757</v>
      </c>
      <c r="E105" s="181" t="n">
        <v>28.6449</v>
      </c>
      <c r="F105" s="181" t="n">
        <v>820.5325</v>
      </c>
      <c r="G105" s="181" t="inlineStr"/>
      <c r="H105" s="181" t="inlineStr"/>
    </row>
    <row r="106" ht="15" customHeight="1" s="28">
      <c r="A106" s="182" t="n">
        <v>92</v>
      </c>
      <c r="B106" s="182" t="n">
        <v>949</v>
      </c>
      <c r="C106" s="182" t="n">
        <v>4631.1862</v>
      </c>
      <c r="D106" s="182" t="n">
        <v>4587.6947</v>
      </c>
      <c r="E106" s="182" t="n">
        <v>43.4915</v>
      </c>
      <c r="F106" s="182" t="n">
        <v>1891.5093</v>
      </c>
      <c r="G106" s="182" t="inlineStr"/>
      <c r="H106" s="182" t="inlineStr"/>
    </row>
    <row r="107" ht="15" customHeight="1" s="28">
      <c r="A107" s="181" t="n">
        <v>93</v>
      </c>
      <c r="B107" s="181" t="n">
        <v>958</v>
      </c>
      <c r="C107" s="181" t="n">
        <v>4621.1766</v>
      </c>
      <c r="D107" s="181" t="n">
        <v>4585.3536</v>
      </c>
      <c r="E107" s="181" t="n">
        <v>35.823</v>
      </c>
      <c r="F107" s="181" t="n">
        <v>1283.2868</v>
      </c>
      <c r="G107" s="181" t="inlineStr"/>
      <c r="H107" s="181" t="inlineStr"/>
    </row>
    <row r="108" ht="15" customHeight="1" s="28">
      <c r="A108" s="182" t="n">
        <v>94</v>
      </c>
      <c r="B108" s="182" t="n">
        <v>965</v>
      </c>
      <c r="C108" s="182" t="n">
        <v>4624.7019</v>
      </c>
      <c r="D108" s="182" t="n">
        <v>4583.5328</v>
      </c>
      <c r="E108" s="182" t="n">
        <v>41.1691</v>
      </c>
      <c r="F108" s="182" t="n">
        <v>1694.8929</v>
      </c>
      <c r="G108" s="182" t="inlineStr"/>
      <c r="H108" s="182" t="inlineStr"/>
    </row>
    <row r="109" ht="15" customHeight="1" s="28">
      <c r="A109" s="181" t="n">
        <v>95</v>
      </c>
      <c r="B109" s="181" t="n">
        <v>992</v>
      </c>
      <c r="C109" s="181" t="n">
        <v>4566.9336</v>
      </c>
      <c r="D109" s="181" t="n">
        <v>4576.5095</v>
      </c>
      <c r="E109" s="181" t="n">
        <v>-9.575900000000001</v>
      </c>
      <c r="F109" s="181" t="n">
        <v>91.6973</v>
      </c>
      <c r="G109" s="181" t="inlineStr"/>
      <c r="H109" s="181" t="inlineStr"/>
    </row>
    <row r="110" ht="15" customHeight="1" s="28">
      <c r="A110" s="182" t="n">
        <v>96</v>
      </c>
      <c r="B110" s="182" t="n">
        <v>1016</v>
      </c>
      <c r="C110" s="182" t="n">
        <v>4640.4135</v>
      </c>
      <c r="D110" s="182" t="n">
        <v>4570.2666</v>
      </c>
      <c r="E110" s="182" t="n">
        <v>70.1469</v>
      </c>
      <c r="F110" s="182" t="n">
        <v>4920.5859</v>
      </c>
      <c r="G110" s="182" t="inlineStr"/>
      <c r="H110" s="182" t="inlineStr"/>
    </row>
    <row r="111" ht="15" customHeight="1" s="28">
      <c r="A111" s="181" t="n">
        <v>97</v>
      </c>
      <c r="B111" s="181" t="n">
        <v>1034</v>
      </c>
      <c r="C111" s="181" t="n">
        <v>4615.1934</v>
      </c>
      <c r="D111" s="181" t="n">
        <v>4565.5844</v>
      </c>
      <c r="E111" s="181" t="n">
        <v>49.6091</v>
      </c>
      <c r="F111" s="181" t="n">
        <v>2461.0582</v>
      </c>
      <c r="G111" s="181" t="inlineStr"/>
      <c r="H111" s="181" t="inlineStr"/>
    </row>
    <row r="112" ht="15" customHeight="1" s="28">
      <c r="A112" s="182" t="n">
        <v>98</v>
      </c>
      <c r="B112" s="182" t="n">
        <v>1040</v>
      </c>
      <c r="C112" s="182" t="n">
        <v>4619.5298</v>
      </c>
      <c r="D112" s="182" t="n">
        <v>4564.0236</v>
      </c>
      <c r="E112" s="182" t="n">
        <v>55.5062</v>
      </c>
      <c r="F112" s="182" t="n">
        <v>3080.9366</v>
      </c>
      <c r="G112" s="182" t="inlineStr"/>
      <c r="H112" s="182" t="inlineStr"/>
    </row>
    <row r="113" ht="15" customHeight="1" s="28">
      <c r="A113" s="181" t="n">
        <v>99</v>
      </c>
      <c r="B113" s="181" t="n">
        <v>1053</v>
      </c>
      <c r="C113" s="181" t="n">
        <v>4603.4631</v>
      </c>
      <c r="D113" s="181" t="n">
        <v>4560.6421</v>
      </c>
      <c r="E113" s="181" t="n">
        <v>42.8211</v>
      </c>
      <c r="F113" s="181" t="n">
        <v>1833.6441</v>
      </c>
      <c r="G113" s="181" t="inlineStr"/>
      <c r="H113" s="181" t="inlineStr"/>
    </row>
    <row r="114" ht="15" customHeight="1" s="28">
      <c r="A114" s="182" t="n">
        <v>100</v>
      </c>
      <c r="B114" s="182" t="n">
        <v>1061</v>
      </c>
      <c r="C114" s="182" t="n">
        <v>4609.1787</v>
      </c>
      <c r="D114" s="182" t="n">
        <v>4558.5611</v>
      </c>
      <c r="E114" s="182" t="n">
        <v>50.6176</v>
      </c>
      <c r="F114" s="182" t="n">
        <v>2562.1421</v>
      </c>
      <c r="G114" s="182" t="inlineStr"/>
      <c r="H114" s="182" t="inlineStr"/>
    </row>
    <row r="115" ht="15" customHeight="1" s="28">
      <c r="A115" s="181" t="n">
        <v>101</v>
      </c>
      <c r="B115" s="181" t="n">
        <v>1089</v>
      </c>
      <c r="C115" s="181" t="n">
        <v>4559.2624</v>
      </c>
      <c r="D115" s="181" t="n">
        <v>4551.2777</v>
      </c>
      <c r="E115" s="181" t="n">
        <v>7.9847</v>
      </c>
      <c r="F115" s="181" t="n">
        <v>63.7555</v>
      </c>
      <c r="G115" s="181" t="inlineStr"/>
      <c r="H115" s="181" t="inlineStr"/>
    </row>
    <row r="116" ht="15" customHeight="1" s="28">
      <c r="A116" s="182" t="n">
        <v>102</v>
      </c>
      <c r="B116" s="182" t="n">
        <v>1101</v>
      </c>
      <c r="C116" s="182" t="n">
        <v>4566.5537</v>
      </c>
      <c r="D116" s="182" t="n">
        <v>4548.1562</v>
      </c>
      <c r="E116" s="182" t="n">
        <v>18.3975</v>
      </c>
      <c r="F116" s="182" t="n">
        <v>338.469</v>
      </c>
      <c r="G116" s="182" t="inlineStr"/>
      <c r="H116" s="182" t="inlineStr"/>
    </row>
    <row r="117" ht="15" customHeight="1" s="28">
      <c r="A117" s="181" t="n">
        <v>103</v>
      </c>
      <c r="B117" s="181" t="n">
        <v>1112</v>
      </c>
      <c r="C117" s="181" t="n">
        <v>4516.7968</v>
      </c>
      <c r="D117" s="181" t="n">
        <v>4545.2949</v>
      </c>
      <c r="E117" s="181" t="n">
        <v>-28.4981</v>
      </c>
      <c r="F117" s="181" t="n">
        <v>812.1401</v>
      </c>
      <c r="G117" s="181" t="inlineStr"/>
      <c r="H117" s="181" t="inlineStr"/>
    </row>
    <row r="118" ht="15" customHeight="1" s="28">
      <c r="A118" s="182" t="n">
        <v>104</v>
      </c>
      <c r="B118" s="182" t="n">
        <v>1117</v>
      </c>
      <c r="C118" s="182" t="n">
        <v>4519.7938</v>
      </c>
      <c r="D118" s="182" t="n">
        <v>4543.9943</v>
      </c>
      <c r="E118" s="182" t="n">
        <v>-24.2004</v>
      </c>
      <c r="F118" s="182" t="n">
        <v>585.6614</v>
      </c>
      <c r="G118" s="182" t="inlineStr"/>
      <c r="H118" s="182" t="inlineStr"/>
    </row>
    <row r="119" ht="15" customHeight="1" s="28">
      <c r="A119" s="181" t="n">
        <v>105</v>
      </c>
      <c r="B119" s="181" t="n">
        <v>1123</v>
      </c>
      <c r="C119" s="181" t="n">
        <v>4517.1665</v>
      </c>
      <c r="D119" s="181" t="n">
        <v>4542.4335</v>
      </c>
      <c r="E119" s="181" t="n">
        <v>-25.267</v>
      </c>
      <c r="F119" s="181" t="n">
        <v>638.4208</v>
      </c>
      <c r="G119" s="181" t="inlineStr"/>
      <c r="H119" s="181" t="inlineStr"/>
    </row>
    <row r="120" ht="15" customHeight="1" s="28">
      <c r="A120" s="182" t="n">
        <v>106</v>
      </c>
      <c r="B120" s="182" t="n">
        <v>1130</v>
      </c>
      <c r="C120" s="182" t="n">
        <v>4519.7573</v>
      </c>
      <c r="D120" s="182" t="n">
        <v>4540.6127</v>
      </c>
      <c r="E120" s="182" t="n">
        <v>-20.8554</v>
      </c>
      <c r="F120" s="182" t="n">
        <v>434.9463</v>
      </c>
      <c r="G120" s="182" t="inlineStr"/>
      <c r="H120" s="182" t="inlineStr"/>
    </row>
    <row r="121" ht="15" customHeight="1" s="28">
      <c r="A121" s="181" t="n">
        <v>107</v>
      </c>
      <c r="B121" s="181" t="n">
        <v>1134</v>
      </c>
      <c r="C121" s="181" t="n">
        <v>4519.4497</v>
      </c>
      <c r="D121" s="181" t="n">
        <v>4539.5722</v>
      </c>
      <c r="E121" s="181" t="n">
        <v>-20.1225</v>
      </c>
      <c r="F121" s="181" t="n">
        <v>404.9157</v>
      </c>
      <c r="G121" s="181" t="inlineStr"/>
      <c r="H121" s="181" t="inlineStr"/>
    </row>
    <row r="123" ht="18" customHeight="1" s="28">
      <c r="A123" s="172" t="inlineStr">
        <is>
          <t>STEP 2 — Shapiro-Wilk Test Result</t>
        </is>
      </c>
    </row>
    <row r="124" ht="16" customHeight="1" s="28">
      <c r="A124" s="186" t="inlineStr">
        <is>
          <t>n (sample size)</t>
        </is>
      </c>
      <c r="E124" s="187" t="inlineStr">
        <is>
          <t>107</t>
        </is>
      </c>
    </row>
    <row r="125" ht="16" customHeight="1" s="28">
      <c r="A125" s="186" t="inlineStr">
        <is>
          <t>SW statistic W</t>
        </is>
      </c>
      <c r="E125" s="187" t="inlineStr">
        <is>
          <t>0.977608</t>
        </is>
      </c>
    </row>
    <row r="126" ht="16" customHeight="1" s="28">
      <c r="A126" s="186" t="inlineStr">
        <is>
          <t>p-value</t>
        </is>
      </c>
      <c r="E126" s="187" t="inlineStr">
        <is>
          <t>6.754850e-02</t>
        </is>
      </c>
    </row>
    <row r="127" ht="16" customHeight="1" s="28">
      <c r="A127" s="186" t="inlineStr">
        <is>
          <t>Critical W (approx, n=107, α=0.05)</t>
        </is>
      </c>
      <c r="E127" s="187" t="inlineStr">
        <is>
          <t>≈ 0.950</t>
        </is>
      </c>
    </row>
    <row r="128" ht="16" customHeight="1" s="28">
      <c r="A128" s="186" t="inlineStr">
        <is>
          <t>Decision threshold α</t>
        </is>
      </c>
      <c r="E128" s="187" t="inlineStr">
        <is>
          <t>0.05</t>
        </is>
      </c>
    </row>
    <row r="129" ht="22" customHeight="1" s="28">
      <c r="A129" s="188" t="inlineStr">
        <is>
          <t>DECISION:  p = 6.7548e-02 &gt; α (0.05)  ⟹  FAIL to REJECT H₀  →  OLS residuals are NORMALLY distributed  [W = 0.977608]</t>
        </is>
      </c>
    </row>
  </sheetData>
  <mergeCells count="23">
    <mergeCell ref="A126:D126"/>
    <mergeCell ref="B9:H9"/>
    <mergeCell ref="E124:H124"/>
    <mergeCell ref="B6:H6"/>
    <mergeCell ref="A125:D125"/>
    <mergeCell ref="A1:H1"/>
    <mergeCell ref="E125:H125"/>
    <mergeCell ref="A123:H123"/>
    <mergeCell ref="B5:H5"/>
    <mergeCell ref="A127:D127"/>
    <mergeCell ref="B7:H7"/>
    <mergeCell ref="E127:H127"/>
    <mergeCell ref="E126:H126"/>
    <mergeCell ref="A2:H2"/>
    <mergeCell ref="A124:D124"/>
    <mergeCell ref="A129:H129"/>
    <mergeCell ref="A128:D128"/>
    <mergeCell ref="B11:H11"/>
    <mergeCell ref="E128:H128"/>
    <mergeCell ref="A4:H4"/>
    <mergeCell ref="B8:H8"/>
    <mergeCell ref="A13:H13"/>
    <mergeCell ref="B10:H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14" customWidth="1" style="28" min="7" max="7"/>
    <col width="14" customWidth="1" style="28" min="8" max="8"/>
    <col width="6" customWidth="1" style="28" min="9" max="9"/>
  </cols>
  <sheetData>
    <row r="1" ht="26" customHeight="1" s="28">
      <c r="A1" s="170" t="inlineStr">
        <is>
          <t>JARQUE-BERA NORMALITY TEST  |  MODEL B2  |  n = 1135</t>
        </is>
      </c>
    </row>
    <row r="2" ht="20" customHeight="1" s="28">
      <c r="A2" s="183" t="inlineStr">
        <is>
          <t>Null hypothesis H₀: residuals are normally distributed  |  Residual: eᵢ = closeᵢ − (intercept + slope × bar_idx)  |  Dataset: V3894</t>
        </is>
      </c>
    </row>
    <row r="4" ht="18" customHeight="1" s="28">
      <c r="A4" s="172" t="inlineStr">
        <is>
          <t>Context &amp; Parameters</t>
        </is>
      </c>
    </row>
    <row r="5" ht="16" customHeight="1" s="28">
      <c r="A5" s="184" t="inlineStr">
        <is>
          <t>DATASET:</t>
        </is>
      </c>
      <c r="B5" s="185" t="inlineStr">
        <is>
          <t>DavinTrade_V3894_Data_XAUUSD_M15.txt</t>
        </is>
      </c>
    </row>
    <row r="6" ht="16" customHeight="1" s="28">
      <c r="A6" s="184" t="inlineStr">
        <is>
          <t>MODEL:</t>
        </is>
      </c>
      <c r="B6" s="185" t="inlineStr">
        <is>
          <t>MODEL B2 — All 1,135 bars, close price</t>
        </is>
      </c>
    </row>
    <row r="7" ht="16" customHeight="1" s="28">
      <c r="A7" s="184" t="inlineStr">
        <is>
          <t>RESIDUAL:</t>
        </is>
      </c>
      <c r="B7" s="185" t="inlineStr">
        <is>
          <t>eᵢ = closeᵢ − (4830.2333 + -0.253895 × bar_idxᵢ)</t>
        </is>
      </c>
    </row>
    <row r="8" ht="16" customHeight="1" s="28">
      <c r="A8" s="184" t="inlineStr">
        <is>
          <t>OLS R²:</t>
        </is>
      </c>
      <c r="B8" s="185" t="inlineStr">
        <is>
          <t>0.850646  (close vs bar_idx, all bars)</t>
        </is>
      </c>
    </row>
    <row r="9" ht="16" customHeight="1" s="28">
      <c r="A9" s="184" t="inlineStr">
        <is>
          <t>n:</t>
        </is>
      </c>
      <c r="B9" s="185" t="inlineStr">
        <is>
          <t>1135 bars</t>
        </is>
      </c>
    </row>
    <row r="10" ht="16" customHeight="1" s="28">
      <c r="A10" s="184" t="inlineStr">
        <is>
          <t>TEST:</t>
        </is>
      </c>
      <c r="B10" s="185" t="inlineStr">
        <is>
          <t>Jarque-Bera (recommended for n ≥ 200)</t>
        </is>
      </c>
    </row>
    <row r="11" ht="16" customHeight="1" s="28">
      <c r="A11" s="184" t="inlineStr">
        <is>
          <t>α:</t>
        </is>
      </c>
      <c r="B11" s="185" t="inlineStr">
        <is>
          <t>0.05</t>
        </is>
      </c>
    </row>
    <row r="13" ht="18" customHeight="1" s="28">
      <c r="A13" s="172" t="inlineStr">
        <is>
          <t>STEP 1 — Residuals &amp; Moment Columns (eᵢ = closeᵢ − OLS, all 1135 bars)</t>
        </is>
      </c>
    </row>
    <row r="14" ht="28" customHeight="1" s="28">
      <c r="A14" s="62" t="inlineStr">
        <is>
          <t>i</t>
        </is>
      </c>
      <c r="B14" s="62" t="inlineStr">
        <is>
          <t>Bar Index</t>
        </is>
      </c>
      <c r="C14" s="62" t="inlineStr">
        <is>
          <t>Close</t>
        </is>
      </c>
      <c r="D14" s="62" t="inlineStr">
        <is>
          <t>OLS Fitted</t>
        </is>
      </c>
      <c r="E14" s="62" t="inlineStr">
        <is>
          <t>eᵢ</t>
        </is>
      </c>
      <c r="F14" s="62" t="inlineStr">
        <is>
          <t>eᵢ²</t>
        </is>
      </c>
      <c r="G14" s="62" t="inlineStr">
        <is>
          <t>(eᵢ/σ)³</t>
        </is>
      </c>
      <c r="H14" s="62" t="inlineStr">
        <is>
          <t>(eᵢ/σ)⁴</t>
        </is>
      </c>
      <c r="I14" s="62" t="inlineStr"/>
    </row>
    <row r="15" ht="15" customHeight="1" s="28">
      <c r="A15" s="181" t="n">
        <v>1</v>
      </c>
      <c r="B15" s="181" t="n">
        <v>0</v>
      </c>
      <c r="C15" s="181" t="n">
        <v>4806.71</v>
      </c>
      <c r="D15" s="181" t="n">
        <v>4830.2333</v>
      </c>
      <c r="E15" s="181" t="n">
        <v>-23.5233</v>
      </c>
      <c r="F15" s="181" t="n">
        <v>553.3444</v>
      </c>
      <c r="G15" s="181" t="n">
        <v>-0.306928</v>
      </c>
      <c r="H15" s="181" t="n">
        <v>0.207037</v>
      </c>
      <c r="I15" s="181" t="inlineStr"/>
    </row>
    <row r="16" ht="15" customHeight="1" s="28">
      <c r="A16" s="182" t="n">
        <v>2</v>
      </c>
      <c r="B16" s="182" t="n">
        <v>1</v>
      </c>
      <c r="C16" s="182" t="n">
        <v>4802.1</v>
      </c>
      <c r="D16" s="182" t="n">
        <v>4829.9794</v>
      </c>
      <c r="E16" s="182" t="n">
        <v>-27.8794</v>
      </c>
      <c r="F16" s="182" t="n">
        <v>777.2598</v>
      </c>
      <c r="G16" s="182" t="n">
        <v>-0.5109669999999999</v>
      </c>
      <c r="H16" s="182" t="n">
        <v>0.408498</v>
      </c>
      <c r="I16" s="182" t="inlineStr"/>
    </row>
    <row r="17" ht="15" customHeight="1" s="28">
      <c r="A17" s="181" t="n">
        <v>3</v>
      </c>
      <c r="B17" s="181" t="n">
        <v>2</v>
      </c>
      <c r="C17" s="181" t="n">
        <v>4802.98</v>
      </c>
      <c r="D17" s="181" t="n">
        <v>4829.7255</v>
      </c>
      <c r="E17" s="181" t="n">
        <v>-26.7455</v>
      </c>
      <c r="F17" s="181" t="n">
        <v>715.3209000000001</v>
      </c>
      <c r="G17" s="181" t="n">
        <v>-0.451123</v>
      </c>
      <c r="H17" s="181" t="n">
        <v>0.345987</v>
      </c>
      <c r="I17" s="181" t="inlineStr"/>
    </row>
    <row r="18" ht="15" customHeight="1" s="28">
      <c r="A18" s="182" t="n">
        <v>4</v>
      </c>
      <c r="B18" s="182" t="n">
        <v>3</v>
      </c>
      <c r="C18" s="182" t="n">
        <v>4807.09</v>
      </c>
      <c r="D18" s="182" t="n">
        <v>4829.4716</v>
      </c>
      <c r="E18" s="182" t="n">
        <v>-22.3816</v>
      </c>
      <c r="F18" s="182" t="n">
        <v>500.9355</v>
      </c>
      <c r="G18" s="182" t="n">
        <v>-0.264372</v>
      </c>
      <c r="H18" s="182" t="n">
        <v>0.169676</v>
      </c>
      <c r="I18" s="182" t="inlineStr"/>
    </row>
    <row r="19" ht="15" customHeight="1" s="28">
      <c r="A19" s="181" t="n">
        <v>5</v>
      </c>
      <c r="B19" s="181" t="n">
        <v>4</v>
      </c>
      <c r="C19" s="181" t="n">
        <v>4805.02</v>
      </c>
      <c r="D19" s="181" t="n">
        <v>4829.2177</v>
      </c>
      <c r="E19" s="181" t="n">
        <v>-24.1977</v>
      </c>
      <c r="F19" s="181" t="n">
        <v>585.5282999999999</v>
      </c>
      <c r="G19" s="181" t="n">
        <v>-0.334091</v>
      </c>
      <c r="H19" s="181" t="n">
        <v>0.231821</v>
      </c>
      <c r="I19" s="181" t="inlineStr"/>
    </row>
    <row r="20" ht="15" customHeight="1" s="28">
      <c r="A20" s="182" t="n">
        <v>6</v>
      </c>
      <c r="B20" s="182" t="n">
        <v>5</v>
      </c>
      <c r="C20" s="182" t="n">
        <v>4799.31</v>
      </c>
      <c r="D20" s="182" t="n">
        <v>4828.9638</v>
      </c>
      <c r="E20" s="182" t="n">
        <v>-29.6538</v>
      </c>
      <c r="F20" s="182" t="n">
        <v>879.3477</v>
      </c>
      <c r="G20" s="182" t="n">
        <v>-0.6148709999999999</v>
      </c>
      <c r="H20" s="182" t="n">
        <v>0.522852</v>
      </c>
      <c r="I20" s="182" t="inlineStr"/>
    </row>
    <row r="21" ht="15" customHeight="1" s="28">
      <c r="A21" s="181" t="n">
        <v>7</v>
      </c>
      <c r="B21" s="181" t="n">
        <v>6</v>
      </c>
      <c r="C21" s="181" t="n">
        <v>4790.11</v>
      </c>
      <c r="D21" s="181" t="n">
        <v>4828.7099</v>
      </c>
      <c r="E21" s="181" t="n">
        <v>-38.5999</v>
      </c>
      <c r="F21" s="181" t="n">
        <v>1489.9524</v>
      </c>
      <c r="G21" s="181" t="n">
        <v>-1.356131</v>
      </c>
      <c r="H21" s="181" t="n">
        <v>1.501075</v>
      </c>
      <c r="I21" s="181" t="inlineStr"/>
    </row>
    <row r="22" ht="15" customHeight="1" s="28">
      <c r="A22" s="182" t="n">
        <v>8</v>
      </c>
      <c r="B22" s="182" t="n">
        <v>7</v>
      </c>
      <c r="C22" s="182" t="n">
        <v>4791.99</v>
      </c>
      <c r="D22" s="182" t="n">
        <v>4828.456</v>
      </c>
      <c r="E22" s="182" t="n">
        <v>-36.466</v>
      </c>
      <c r="F22" s="182" t="n">
        <v>1329.7696</v>
      </c>
      <c r="G22" s="182" t="n">
        <v>-1.143425</v>
      </c>
      <c r="H22" s="182" t="n">
        <v>1.195667</v>
      </c>
      <c r="I22" s="182" t="inlineStr"/>
    </row>
    <row r="23" ht="15" customHeight="1" s="28">
      <c r="A23" s="181" t="n">
        <v>9</v>
      </c>
      <c r="B23" s="181" t="n">
        <v>8</v>
      </c>
      <c r="C23" s="181" t="n">
        <v>4791.41</v>
      </c>
      <c r="D23" s="181" t="n">
        <v>4828.2021</v>
      </c>
      <c r="E23" s="181" t="n">
        <v>-36.7921</v>
      </c>
      <c r="F23" s="181" t="n">
        <v>1353.6594</v>
      </c>
      <c r="G23" s="181" t="n">
        <v>-1.174376</v>
      </c>
      <c r="H23" s="181" t="n">
        <v>1.239014</v>
      </c>
      <c r="I23" s="181" t="inlineStr"/>
    </row>
    <row r="24" ht="15" customHeight="1" s="28">
      <c r="A24" s="182" t="n">
        <v>10</v>
      </c>
      <c r="B24" s="182" t="n">
        <v>9</v>
      </c>
      <c r="C24" s="182" t="n">
        <v>4785.04</v>
      </c>
      <c r="D24" s="182" t="n">
        <v>4827.9482</v>
      </c>
      <c r="E24" s="182" t="n">
        <v>-42.9082</v>
      </c>
      <c r="F24" s="182" t="n">
        <v>1841.1149</v>
      </c>
      <c r="G24" s="182" t="n">
        <v>-1.862793</v>
      </c>
      <c r="H24" s="182" t="n">
        <v>2.292025</v>
      </c>
      <c r="I24" s="182" t="inlineStr"/>
    </row>
    <row r="25" ht="15" customHeight="1" s="28">
      <c r="A25" s="181" t="n">
        <v>11</v>
      </c>
      <c r="B25" s="181" t="n">
        <v>10</v>
      </c>
      <c r="C25" s="181" t="n">
        <v>4787.16</v>
      </c>
      <c r="D25" s="181" t="n">
        <v>4827.6943</v>
      </c>
      <c r="E25" s="181" t="n">
        <v>-40.5343</v>
      </c>
      <c r="F25" s="181" t="n">
        <v>1643.0311</v>
      </c>
      <c r="G25" s="181" t="n">
        <v>-1.570406</v>
      </c>
      <c r="H25" s="181" t="n">
        <v>1.825363</v>
      </c>
      <c r="I25" s="181" t="inlineStr"/>
    </row>
    <row r="26" ht="15" customHeight="1" s="28">
      <c r="A26" s="182" t="n">
        <v>12</v>
      </c>
      <c r="B26" s="182" t="n">
        <v>11</v>
      </c>
      <c r="C26" s="182" t="n">
        <v>4789.22</v>
      </c>
      <c r="D26" s="182" t="n">
        <v>4827.4404</v>
      </c>
      <c r="E26" s="182" t="n">
        <v>-38.2204</v>
      </c>
      <c r="F26" s="182" t="n">
        <v>1460.8008</v>
      </c>
      <c r="G26" s="182" t="n">
        <v>-1.316527</v>
      </c>
      <c r="H26" s="182" t="n">
        <v>1.442911</v>
      </c>
      <c r="I26" s="182" t="inlineStr"/>
    </row>
    <row r="27" ht="15" customHeight="1" s="28">
      <c r="A27" s="181" t="n">
        <v>13</v>
      </c>
      <c r="B27" s="181" t="n">
        <v>12</v>
      </c>
      <c r="C27" s="181" t="n">
        <v>4790.1</v>
      </c>
      <c r="D27" s="181" t="n">
        <v>4827.1865</v>
      </c>
      <c r="E27" s="181" t="n">
        <v>-37.0865</v>
      </c>
      <c r="F27" s="181" t="n">
        <v>1375.4106</v>
      </c>
      <c r="G27" s="181" t="n">
        <v>-1.202795</v>
      </c>
      <c r="H27" s="181" t="n">
        <v>1.279152</v>
      </c>
      <c r="I27" s="181" t="inlineStr"/>
    </row>
    <row r="28" ht="15" customHeight="1" s="28">
      <c r="A28" s="182" t="n">
        <v>14</v>
      </c>
      <c r="B28" s="182" t="n">
        <v>13</v>
      </c>
      <c r="C28" s="182" t="n">
        <v>4786.98</v>
      </c>
      <c r="D28" s="182" t="n">
        <v>4826.9326</v>
      </c>
      <c r="E28" s="182" t="n">
        <v>-39.9526</v>
      </c>
      <c r="F28" s="182" t="n">
        <v>1596.2129</v>
      </c>
      <c r="G28" s="182" t="n">
        <v>-1.503763</v>
      </c>
      <c r="H28" s="182" t="n">
        <v>1.722817</v>
      </c>
      <c r="I28" s="182" t="inlineStr"/>
    </row>
    <row r="29" ht="15" customHeight="1" s="28">
      <c r="A29" s="181" t="n">
        <v>15</v>
      </c>
      <c r="B29" s="181" t="n">
        <v>14</v>
      </c>
      <c r="C29" s="181" t="n">
        <v>4790.43</v>
      </c>
      <c r="D29" s="181" t="n">
        <v>4826.6787</v>
      </c>
      <c r="E29" s="181" t="n">
        <v>-36.2487</v>
      </c>
      <c r="F29" s="181" t="n">
        <v>1313.971</v>
      </c>
      <c r="G29" s="181" t="n">
        <v>-1.123109</v>
      </c>
      <c r="H29" s="181" t="n">
        <v>1.167425</v>
      </c>
      <c r="I29" s="181" t="inlineStr"/>
    </row>
    <row r="30" ht="15" customHeight="1" s="28">
      <c r="A30" s="182" t="n">
        <v>16</v>
      </c>
      <c r="B30" s="182" t="n">
        <v>15</v>
      </c>
      <c r="C30" s="182" t="n">
        <v>4789.64</v>
      </c>
      <c r="D30" s="182" t="n">
        <v>4826.4248</v>
      </c>
      <c r="E30" s="182" t="n">
        <v>-36.7848</v>
      </c>
      <c r="F30" s="182" t="n">
        <v>1353.1246</v>
      </c>
      <c r="G30" s="182" t="n">
        <v>-1.17368</v>
      </c>
      <c r="H30" s="182" t="n">
        <v>1.238036</v>
      </c>
      <c r="I30" s="182" t="inlineStr"/>
    </row>
    <row r="31" ht="15" customHeight="1" s="28">
      <c r="A31" s="181" t="n">
        <v>17</v>
      </c>
      <c r="B31" s="181" t="n">
        <v>16</v>
      </c>
      <c r="C31" s="181" t="n">
        <v>4790.03</v>
      </c>
      <c r="D31" s="181" t="n">
        <v>4826.1709</v>
      </c>
      <c r="E31" s="181" t="n">
        <v>-36.1409</v>
      </c>
      <c r="F31" s="181" t="n">
        <v>1306.168</v>
      </c>
      <c r="G31" s="181" t="n">
        <v>-1.113119</v>
      </c>
      <c r="H31" s="181" t="n">
        <v>1.153601</v>
      </c>
      <c r="I31" s="181" t="inlineStr"/>
    </row>
    <row r="32" ht="15" customHeight="1" s="28">
      <c r="A32" s="182" t="n">
        <v>18</v>
      </c>
      <c r="B32" s="182" t="n">
        <v>17</v>
      </c>
      <c r="C32" s="182" t="n">
        <v>4790.76</v>
      </c>
      <c r="D32" s="182" t="n">
        <v>4825.9171</v>
      </c>
      <c r="E32" s="182" t="n">
        <v>-35.1571</v>
      </c>
      <c r="F32" s="182" t="n">
        <v>1236.0182</v>
      </c>
      <c r="G32" s="182" t="n">
        <v>-1.024662</v>
      </c>
      <c r="H32" s="182" t="n">
        <v>1.033017</v>
      </c>
      <c r="I32" s="182" t="inlineStr"/>
    </row>
    <row r="33" ht="15" customHeight="1" s="28">
      <c r="A33" s="181" t="n">
        <v>19</v>
      </c>
      <c r="B33" s="181" t="n">
        <v>18</v>
      </c>
      <c r="C33" s="181" t="n">
        <v>4797.59</v>
      </c>
      <c r="D33" s="181" t="n">
        <v>4825.6632</v>
      </c>
      <c r="E33" s="181" t="n">
        <v>-28.0732</v>
      </c>
      <c r="F33" s="181" t="n">
        <v>788.1021</v>
      </c>
      <c r="G33" s="181" t="n">
        <v>-0.521695</v>
      </c>
      <c r="H33" s="181" t="n">
        <v>0.419974</v>
      </c>
      <c r="I33" s="181" t="inlineStr"/>
    </row>
    <row r="34" ht="15" customHeight="1" s="28">
      <c r="A34" s="182" t="n">
        <v>20</v>
      </c>
      <c r="B34" s="182" t="n">
        <v>19</v>
      </c>
      <c r="C34" s="182" t="n">
        <v>4793.52</v>
      </c>
      <c r="D34" s="182" t="n">
        <v>4825.4093</v>
      </c>
      <c r="E34" s="182" t="n">
        <v>-31.8893</v>
      </c>
      <c r="F34" s="182" t="n">
        <v>1016.9249</v>
      </c>
      <c r="G34" s="182" t="n">
        <v>-0.764674</v>
      </c>
      <c r="H34" s="182" t="n">
        <v>0.699255</v>
      </c>
      <c r="I34" s="182" t="inlineStr"/>
    </row>
    <row r="35" ht="15" customHeight="1" s="28">
      <c r="A35" s="181" t="n">
        <v>21</v>
      </c>
      <c r="B35" s="181" t="n">
        <v>20</v>
      </c>
      <c r="C35" s="181" t="n">
        <v>4790.59</v>
      </c>
      <c r="D35" s="181" t="n">
        <v>4825.1554</v>
      </c>
      <c r="E35" s="181" t="n">
        <v>-34.5654</v>
      </c>
      <c r="F35" s="181" t="n">
        <v>1194.7644</v>
      </c>
      <c r="G35" s="181" t="n">
        <v>-0.973793</v>
      </c>
      <c r="H35" s="181" t="n">
        <v>0.965211</v>
      </c>
      <c r="I35" s="181" t="inlineStr"/>
    </row>
    <row r="36" ht="15" customHeight="1" s="28">
      <c r="A36" s="182" t="n">
        <v>22</v>
      </c>
      <c r="B36" s="182" t="n">
        <v>21</v>
      </c>
      <c r="C36" s="182" t="n">
        <v>4789.04</v>
      </c>
      <c r="D36" s="182" t="n">
        <v>4824.9015</v>
      </c>
      <c r="E36" s="182" t="n">
        <v>-35.8615</v>
      </c>
      <c r="F36" s="182" t="n">
        <v>1286.045</v>
      </c>
      <c r="G36" s="182" t="n">
        <v>-1.087495</v>
      </c>
      <c r="H36" s="182" t="n">
        <v>1.11833</v>
      </c>
      <c r="I36" s="182" t="inlineStr"/>
    </row>
    <row r="37" ht="15" customHeight="1" s="28">
      <c r="A37" s="181" t="n">
        <v>23</v>
      </c>
      <c r="B37" s="181" t="n">
        <v>22</v>
      </c>
      <c r="C37" s="181" t="n">
        <v>4788.68</v>
      </c>
      <c r="D37" s="181" t="n">
        <v>4824.6476</v>
      </c>
      <c r="E37" s="181" t="n">
        <v>-35.9676</v>
      </c>
      <c r="F37" s="181" t="n">
        <v>1293.6664</v>
      </c>
      <c r="G37" s="181" t="n">
        <v>-1.097177</v>
      </c>
      <c r="H37" s="181" t="n">
        <v>1.131624</v>
      </c>
      <c r="I37" s="181" t="inlineStr"/>
    </row>
    <row r="38" ht="15" customHeight="1" s="28">
      <c r="A38" s="182" t="n">
        <v>24</v>
      </c>
      <c r="B38" s="182" t="n">
        <v>23</v>
      </c>
      <c r="C38" s="182" t="n">
        <v>4790.84</v>
      </c>
      <c r="D38" s="182" t="n">
        <v>4824.3937</v>
      </c>
      <c r="E38" s="182" t="n">
        <v>-33.5537</v>
      </c>
      <c r="F38" s="182" t="n">
        <v>1125.8493</v>
      </c>
      <c r="G38" s="182" t="n">
        <v>-0.8907659999999999</v>
      </c>
      <c r="H38" s="182" t="n">
        <v>0.857074</v>
      </c>
      <c r="I38" s="182" t="inlineStr"/>
    </row>
    <row r="39" ht="15" customHeight="1" s="28">
      <c r="A39" s="181" t="n">
        <v>25</v>
      </c>
      <c r="B39" s="181" t="n">
        <v>24</v>
      </c>
      <c r="C39" s="181" t="n">
        <v>4795.24</v>
      </c>
      <c r="D39" s="181" t="n">
        <v>4824.1398</v>
      </c>
      <c r="E39" s="181" t="n">
        <v>-28.8998</v>
      </c>
      <c r="F39" s="181" t="n">
        <v>835.1974</v>
      </c>
      <c r="G39" s="181" t="n">
        <v>-0.56915</v>
      </c>
      <c r="H39" s="181" t="n">
        <v>0.471667</v>
      </c>
      <c r="I39" s="181" t="inlineStr"/>
    </row>
    <row r="40" ht="15" customHeight="1" s="28">
      <c r="A40" s="182" t="n">
        <v>26</v>
      </c>
      <c r="B40" s="182" t="n">
        <v>25</v>
      </c>
      <c r="C40" s="182" t="n">
        <v>4794</v>
      </c>
      <c r="D40" s="182" t="n">
        <v>4823.8859</v>
      </c>
      <c r="E40" s="182" t="n">
        <v>-29.8859</v>
      </c>
      <c r="F40" s="182" t="n">
        <v>893.1663</v>
      </c>
      <c r="G40" s="182" t="n">
        <v>-0.629422</v>
      </c>
      <c r="H40" s="182" t="n">
        <v>0.5394139999999999</v>
      </c>
      <c r="I40" s="182" t="inlineStr"/>
    </row>
    <row r="41" ht="15" customHeight="1" s="28">
      <c r="A41" s="181" t="n">
        <v>27</v>
      </c>
      <c r="B41" s="181" t="n">
        <v>26</v>
      </c>
      <c r="C41" s="181" t="n">
        <v>4795.5</v>
      </c>
      <c r="D41" s="181" t="n">
        <v>4823.632</v>
      </c>
      <c r="E41" s="181" t="n">
        <v>-28.132</v>
      </c>
      <c r="F41" s="181" t="n">
        <v>791.409</v>
      </c>
      <c r="G41" s="181" t="n">
        <v>-0.5249819999999999</v>
      </c>
      <c r="H41" s="181" t="n">
        <v>0.423506</v>
      </c>
      <c r="I41" s="181" t="inlineStr"/>
    </row>
    <row r="42" ht="15" customHeight="1" s="28">
      <c r="A42" s="182" t="n">
        <v>28</v>
      </c>
      <c r="B42" s="182" t="n">
        <v>27</v>
      </c>
      <c r="C42" s="182" t="n">
        <v>4795.41</v>
      </c>
      <c r="D42" s="182" t="n">
        <v>4823.3781</v>
      </c>
      <c r="E42" s="182" t="n">
        <v>-27.9681</v>
      </c>
      <c r="F42" s="182" t="n">
        <v>782.2144</v>
      </c>
      <c r="G42" s="182" t="n">
        <v>-0.51586</v>
      </c>
      <c r="H42" s="182" t="n">
        <v>0.413723</v>
      </c>
      <c r="I42" s="182" t="inlineStr"/>
    </row>
    <row r="43" ht="15" customHeight="1" s="28">
      <c r="A43" s="181" t="n">
        <v>29</v>
      </c>
      <c r="B43" s="181" t="n">
        <v>28</v>
      </c>
      <c r="C43" s="181" t="n">
        <v>4793.16</v>
      </c>
      <c r="D43" s="181" t="n">
        <v>4823.1242</v>
      </c>
      <c r="E43" s="181" t="n">
        <v>-29.9642</v>
      </c>
      <c r="F43" s="181" t="n">
        <v>897.8533</v>
      </c>
      <c r="G43" s="181" t="n">
        <v>-0.634383</v>
      </c>
      <c r="H43" s="181" t="n">
        <v>0.54509</v>
      </c>
      <c r="I43" s="181" t="inlineStr"/>
    </row>
    <row r="44" ht="15" customHeight="1" s="28">
      <c r="A44" s="182" t="n">
        <v>30</v>
      </c>
      <c r="B44" s="182" t="n">
        <v>29</v>
      </c>
      <c r="C44" s="182" t="n">
        <v>4794.46</v>
      </c>
      <c r="D44" s="182" t="n">
        <v>4822.8703</v>
      </c>
      <c r="E44" s="182" t="n">
        <v>-28.4103</v>
      </c>
      <c r="F44" s="182" t="n">
        <v>807.1454</v>
      </c>
      <c r="G44" s="182" t="n">
        <v>-0.540718</v>
      </c>
      <c r="H44" s="182" t="n">
        <v>0.440515</v>
      </c>
      <c r="I44" s="182" t="inlineStr"/>
    </row>
    <row r="45" ht="15" customHeight="1" s="28">
      <c r="A45" s="181" t="n">
        <v>31</v>
      </c>
      <c r="B45" s="181" t="n">
        <v>30</v>
      </c>
      <c r="C45" s="181" t="n">
        <v>4795.82</v>
      </c>
      <c r="D45" s="181" t="n">
        <v>4822.6164</v>
      </c>
      <c r="E45" s="181" t="n">
        <v>-26.7964</v>
      </c>
      <c r="F45" s="181" t="n">
        <v>718.0476</v>
      </c>
      <c r="G45" s="181" t="n">
        <v>-0.453704</v>
      </c>
      <c r="H45" s="181" t="n">
        <v>0.348629</v>
      </c>
      <c r="I45" s="181" t="inlineStr"/>
    </row>
    <row r="46" ht="15" customHeight="1" s="28">
      <c r="A46" s="182" t="n">
        <v>32</v>
      </c>
      <c r="B46" s="182" t="n">
        <v>31</v>
      </c>
      <c r="C46" s="182" t="n">
        <v>4792.13</v>
      </c>
      <c r="D46" s="182" t="n">
        <v>4822.3625</v>
      </c>
      <c r="E46" s="182" t="n">
        <v>-30.2325</v>
      </c>
      <c r="F46" s="182" t="n">
        <v>914.0049</v>
      </c>
      <c r="G46" s="182" t="n">
        <v>-0.651577</v>
      </c>
      <c r="H46" s="182" t="n">
        <v>0.564878</v>
      </c>
      <c r="I46" s="182" t="inlineStr"/>
    </row>
    <row r="47" ht="15" customHeight="1" s="28">
      <c r="A47" s="181" t="n">
        <v>33</v>
      </c>
      <c r="B47" s="181" t="n">
        <v>32</v>
      </c>
      <c r="C47" s="181" t="n">
        <v>4790.4</v>
      </c>
      <c r="D47" s="181" t="n">
        <v>4822.1086</v>
      </c>
      <c r="E47" s="181" t="n">
        <v>-31.7086</v>
      </c>
      <c r="F47" s="181" t="n">
        <v>1005.4365</v>
      </c>
      <c r="G47" s="181" t="n">
        <v>-0.751753</v>
      </c>
      <c r="H47" s="181" t="n">
        <v>0.683545</v>
      </c>
      <c r="I47" s="181" t="inlineStr"/>
    </row>
    <row r="48" ht="15" customHeight="1" s="28">
      <c r="A48" s="182" t="n">
        <v>34</v>
      </c>
      <c r="B48" s="182" t="n">
        <v>33</v>
      </c>
      <c r="C48" s="182" t="n">
        <v>4792.86</v>
      </c>
      <c r="D48" s="182" t="n">
        <v>4821.8547</v>
      </c>
      <c r="E48" s="182" t="n">
        <v>-28.9947</v>
      </c>
      <c r="F48" s="182" t="n">
        <v>840.694</v>
      </c>
      <c r="G48" s="182" t="n">
        <v>-0.574778</v>
      </c>
      <c r="H48" s="182" t="n">
        <v>0.477896</v>
      </c>
      <c r="I48" s="182" t="inlineStr"/>
    </row>
    <row r="49" ht="15" customHeight="1" s="28">
      <c r="A49" s="181" t="n">
        <v>35</v>
      </c>
      <c r="B49" s="181" t="n">
        <v>34</v>
      </c>
      <c r="C49" s="181" t="n">
        <v>4798.4</v>
      </c>
      <c r="D49" s="181" t="n">
        <v>4821.6008</v>
      </c>
      <c r="E49" s="181" t="n">
        <v>-23.2008</v>
      </c>
      <c r="F49" s="181" t="n">
        <v>538.2784</v>
      </c>
      <c r="G49" s="181" t="n">
        <v>-0.294479</v>
      </c>
      <c r="H49" s="181" t="n">
        <v>0.195917</v>
      </c>
      <c r="I49" s="181" t="inlineStr"/>
    </row>
    <row r="50" ht="15" customHeight="1" s="28">
      <c r="A50" s="182" t="n">
        <v>36</v>
      </c>
      <c r="B50" s="182" t="n">
        <v>35</v>
      </c>
      <c r="C50" s="182" t="n">
        <v>4794.9</v>
      </c>
      <c r="D50" s="182" t="n">
        <v>4821.3469</v>
      </c>
      <c r="E50" s="182" t="n">
        <v>-26.4469</v>
      </c>
      <c r="F50" s="182" t="n">
        <v>699.4402</v>
      </c>
      <c r="G50" s="182" t="n">
        <v>-0.436183</v>
      </c>
      <c r="H50" s="182" t="n">
        <v>0.330795</v>
      </c>
      <c r="I50" s="182" t="inlineStr"/>
    </row>
    <row r="51" ht="15" customHeight="1" s="28">
      <c r="A51" s="181" t="n">
        <v>37</v>
      </c>
      <c r="B51" s="181" t="n">
        <v>36</v>
      </c>
      <c r="C51" s="181" t="n">
        <v>4779.32</v>
      </c>
      <c r="D51" s="181" t="n">
        <v>4821.093</v>
      </c>
      <c r="E51" s="181" t="n">
        <v>-41.773</v>
      </c>
      <c r="F51" s="181" t="n">
        <v>1744.9866</v>
      </c>
      <c r="G51" s="181" t="n">
        <v>-1.718824</v>
      </c>
      <c r="H51" s="181" t="n">
        <v>2.058931</v>
      </c>
      <c r="I51" s="181" t="inlineStr"/>
    </row>
    <row r="52" ht="15" customHeight="1" s="28">
      <c r="A52" s="182" t="n">
        <v>38</v>
      </c>
      <c r="B52" s="182" t="n">
        <v>37</v>
      </c>
      <c r="C52" s="182" t="n">
        <v>4769.01</v>
      </c>
      <c r="D52" s="182" t="n">
        <v>4820.8391</v>
      </c>
      <c r="E52" s="182" t="n">
        <v>-51.8291</v>
      </c>
      <c r="F52" s="182" t="n">
        <v>2686.2599</v>
      </c>
      <c r="G52" s="182" t="n">
        <v>-3.282957</v>
      </c>
      <c r="H52" s="182" t="n">
        <v>4.879256</v>
      </c>
      <c r="I52" s="182" t="inlineStr"/>
    </row>
    <row r="53" ht="15" customHeight="1" s="28">
      <c r="A53" s="181" t="n">
        <v>39</v>
      </c>
      <c r="B53" s="181" t="n">
        <v>38</v>
      </c>
      <c r="C53" s="181" t="n">
        <v>4777.87</v>
      </c>
      <c r="D53" s="181" t="n">
        <v>4820.5852</v>
      </c>
      <c r="E53" s="181" t="n">
        <v>-42.7152</v>
      </c>
      <c r="F53" s="181" t="n">
        <v>1824.5922</v>
      </c>
      <c r="G53" s="181" t="n">
        <v>-1.837773</v>
      </c>
      <c r="H53" s="181" t="n">
        <v>2.251071</v>
      </c>
      <c r="I53" s="181" t="inlineStr"/>
    </row>
    <row r="54" ht="15" customHeight="1" s="28">
      <c r="A54" s="182" t="n">
        <v>40</v>
      </c>
      <c r="B54" s="182" t="n">
        <v>39</v>
      </c>
      <c r="C54" s="182" t="n">
        <v>4789.48</v>
      </c>
      <c r="D54" s="182" t="n">
        <v>4820.3314</v>
      </c>
      <c r="E54" s="182" t="n">
        <v>-30.8514</v>
      </c>
      <c r="F54" s="182" t="n">
        <v>951.8058</v>
      </c>
      <c r="G54" s="182" t="n">
        <v>-0.692414</v>
      </c>
      <c r="H54" s="182" t="n">
        <v>0.612568</v>
      </c>
      <c r="I54" s="182" t="inlineStr"/>
    </row>
    <row r="55" ht="15" customHeight="1" s="28">
      <c r="A55" s="181" t="n">
        <v>41</v>
      </c>
      <c r="B55" s="181" t="n">
        <v>40</v>
      </c>
      <c r="C55" s="181" t="n">
        <v>4791.35</v>
      </c>
      <c r="D55" s="181" t="n">
        <v>4820.0775</v>
      </c>
      <c r="E55" s="181" t="n">
        <v>-28.7275</v>
      </c>
      <c r="F55" s="181" t="n">
        <v>825.2667</v>
      </c>
      <c r="G55" s="181" t="n">
        <v>-0.559029</v>
      </c>
      <c r="H55" s="181" t="n">
        <v>0.460518</v>
      </c>
      <c r="I55" s="181" t="inlineStr"/>
    </row>
    <row r="56" ht="15" customHeight="1" s="28">
      <c r="A56" s="182" t="n">
        <v>42</v>
      </c>
      <c r="B56" s="182" t="n">
        <v>41</v>
      </c>
      <c r="C56" s="182" t="n">
        <v>4788.86</v>
      </c>
      <c r="D56" s="182" t="n">
        <v>4819.8236</v>
      </c>
      <c r="E56" s="182" t="n">
        <v>-30.9636</v>
      </c>
      <c r="F56" s="182" t="n">
        <v>958.742</v>
      </c>
      <c r="G56" s="182" t="n">
        <v>-0.699996</v>
      </c>
      <c r="H56" s="182" t="n">
        <v>0.621529</v>
      </c>
      <c r="I56" s="182" t="inlineStr"/>
    </row>
    <row r="57" ht="15" customHeight="1" s="28">
      <c r="A57" s="181" t="n">
        <v>43</v>
      </c>
      <c r="B57" s="181" t="n">
        <v>42</v>
      </c>
      <c r="C57" s="181" t="n">
        <v>4791.57</v>
      </c>
      <c r="D57" s="181" t="n">
        <v>4819.5697</v>
      </c>
      <c r="E57" s="181" t="n">
        <v>-27.9997</v>
      </c>
      <c r="F57" s="181" t="n">
        <v>783.9811999999999</v>
      </c>
      <c r="G57" s="181" t="n">
        <v>-0.517609</v>
      </c>
      <c r="H57" s="181" t="n">
        <v>0.415594</v>
      </c>
      <c r="I57" s="181" t="inlineStr"/>
    </row>
    <row r="58" ht="15" customHeight="1" s="28">
      <c r="A58" s="182" t="n">
        <v>44</v>
      </c>
      <c r="B58" s="182" t="n">
        <v>43</v>
      </c>
      <c r="C58" s="182" t="n">
        <v>4784.81</v>
      </c>
      <c r="D58" s="182" t="n">
        <v>4819.3158</v>
      </c>
      <c r="E58" s="182" t="n">
        <v>-34.5058</v>
      </c>
      <c r="F58" s="182" t="n">
        <v>1190.648</v>
      </c>
      <c r="G58" s="182" t="n">
        <v>-0.968765</v>
      </c>
      <c r="H58" s="182" t="n">
        <v>0.958571</v>
      </c>
      <c r="I58" s="182" t="inlineStr"/>
    </row>
    <row r="59" ht="15" customHeight="1" s="28">
      <c r="A59" s="181" t="n">
        <v>45</v>
      </c>
      <c r="B59" s="181" t="n">
        <v>44</v>
      </c>
      <c r="C59" s="181" t="n">
        <v>4795.86</v>
      </c>
      <c r="D59" s="181" t="n">
        <v>4819.0619</v>
      </c>
      <c r="E59" s="181" t="n">
        <v>-23.2019</v>
      </c>
      <c r="F59" s="181" t="n">
        <v>538.3269</v>
      </c>
      <c r="G59" s="181" t="n">
        <v>-0.294518</v>
      </c>
      <c r="H59" s="181" t="n">
        <v>0.195952</v>
      </c>
      <c r="I59" s="181" t="inlineStr"/>
    </row>
    <row r="60" ht="15" customHeight="1" s="28">
      <c r="A60" s="182" t="n">
        <v>46</v>
      </c>
      <c r="B60" s="182" t="n">
        <v>45</v>
      </c>
      <c r="C60" s="182" t="n">
        <v>4793.93</v>
      </c>
      <c r="D60" s="182" t="n">
        <v>4818.808</v>
      </c>
      <c r="E60" s="182" t="n">
        <v>-24.878</v>
      </c>
      <c r="F60" s="182" t="n">
        <v>618.9138</v>
      </c>
      <c r="G60" s="182" t="n">
        <v>-0.363068</v>
      </c>
      <c r="H60" s="182" t="n">
        <v>0.259011</v>
      </c>
      <c r="I60" s="182" t="inlineStr"/>
    </row>
    <row r="61" ht="15" customHeight="1" s="28">
      <c r="A61" s="181" t="n">
        <v>47</v>
      </c>
      <c r="B61" s="181" t="n">
        <v>46</v>
      </c>
      <c r="C61" s="181" t="n">
        <v>4794.26</v>
      </c>
      <c r="D61" s="181" t="n">
        <v>4818.5541</v>
      </c>
      <c r="E61" s="181" t="n">
        <v>-24.2941</v>
      </c>
      <c r="F61" s="181" t="n">
        <v>590.2024</v>
      </c>
      <c r="G61" s="181" t="n">
        <v>-0.3381</v>
      </c>
      <c r="H61" s="181" t="n">
        <v>0.235537</v>
      </c>
      <c r="I61" s="181" t="inlineStr"/>
    </row>
    <row r="62" ht="15" customHeight="1" s="28">
      <c r="A62" s="182" t="n">
        <v>48</v>
      </c>
      <c r="B62" s="182" t="n">
        <v>47</v>
      </c>
      <c r="C62" s="182" t="n">
        <v>4793.09</v>
      </c>
      <c r="D62" s="182" t="n">
        <v>4818.3002</v>
      </c>
      <c r="E62" s="182" t="n">
        <v>-25.2102</v>
      </c>
      <c r="F62" s="182" t="n">
        <v>635.5535</v>
      </c>
      <c r="G62" s="182" t="n">
        <v>-0.377808</v>
      </c>
      <c r="H62" s="182" t="n">
        <v>0.273125</v>
      </c>
      <c r="I62" s="182" t="inlineStr"/>
    </row>
    <row r="63" ht="15" customHeight="1" s="28">
      <c r="A63" s="181" t="n">
        <v>49</v>
      </c>
      <c r="B63" s="181" t="n">
        <v>48</v>
      </c>
      <c r="C63" s="181" t="n">
        <v>4795.16</v>
      </c>
      <c r="D63" s="181" t="n">
        <v>4818.0463</v>
      </c>
      <c r="E63" s="181" t="n">
        <v>-22.8863</v>
      </c>
      <c r="F63" s="181" t="n">
        <v>523.7823</v>
      </c>
      <c r="G63" s="181" t="n">
        <v>-0.282663</v>
      </c>
      <c r="H63" s="181" t="n">
        <v>0.185507</v>
      </c>
      <c r="I63" s="181" t="inlineStr"/>
    </row>
    <row r="64" ht="15" customHeight="1" s="28">
      <c r="A64" s="182" t="n">
        <v>50</v>
      </c>
      <c r="B64" s="182" t="n">
        <v>49</v>
      </c>
      <c r="C64" s="182" t="n">
        <v>4795.87</v>
      </c>
      <c r="D64" s="182" t="n">
        <v>4817.7924</v>
      </c>
      <c r="E64" s="182" t="n">
        <v>-21.9224</v>
      </c>
      <c r="F64" s="182" t="n">
        <v>480.5914</v>
      </c>
      <c r="G64" s="182" t="n">
        <v>-0.248432</v>
      </c>
      <c r="H64" s="182" t="n">
        <v>0.156174</v>
      </c>
      <c r="I64" s="182" t="inlineStr"/>
    </row>
    <row r="65" ht="15" customHeight="1" s="28">
      <c r="A65" s="181" t="n">
        <v>51</v>
      </c>
      <c r="B65" s="181" t="n">
        <v>50</v>
      </c>
      <c r="C65" s="181" t="n">
        <v>4801.05</v>
      </c>
      <c r="D65" s="181" t="n">
        <v>4817.5385</v>
      </c>
      <c r="E65" s="181" t="n">
        <v>-16.4885</v>
      </c>
      <c r="F65" s="181" t="n">
        <v>271.8706</v>
      </c>
      <c r="G65" s="181" t="n">
        <v>-0.105703</v>
      </c>
      <c r="H65" s="181" t="n">
        <v>0.049978</v>
      </c>
      <c r="I65" s="181" t="inlineStr"/>
    </row>
    <row r="66" ht="15" customHeight="1" s="28">
      <c r="A66" s="182" t="n">
        <v>52</v>
      </c>
      <c r="B66" s="182" t="n">
        <v>51</v>
      </c>
      <c r="C66" s="182" t="n">
        <v>4803.04</v>
      </c>
      <c r="D66" s="182" t="n">
        <v>4817.2846</v>
      </c>
      <c r="E66" s="182" t="n">
        <v>-14.2446</v>
      </c>
      <c r="F66" s="182" t="n">
        <v>202.9088</v>
      </c>
      <c r="G66" s="182" t="n">
        <v>-0.06815400000000001</v>
      </c>
      <c r="H66" s="182" t="n">
        <v>0.027839</v>
      </c>
      <c r="I66" s="182" t="inlineStr"/>
    </row>
    <row r="67" ht="15" customHeight="1" s="28">
      <c r="A67" s="181" t="n">
        <v>53</v>
      </c>
      <c r="B67" s="181" t="n">
        <v>52</v>
      </c>
      <c r="C67" s="181" t="n">
        <v>4804.78</v>
      </c>
      <c r="D67" s="181" t="n">
        <v>4817.0307</v>
      </c>
      <c r="E67" s="181" t="n">
        <v>-12.2507</v>
      </c>
      <c r="F67" s="181" t="n">
        <v>150.0799</v>
      </c>
      <c r="G67" s="181" t="n">
        <v>-0.043354</v>
      </c>
      <c r="H67" s="181" t="n">
        <v>0.01523</v>
      </c>
      <c r="I67" s="181" t="inlineStr"/>
    </row>
    <row r="68" ht="15" customHeight="1" s="28">
      <c r="A68" s="182" t="n">
        <v>54</v>
      </c>
      <c r="B68" s="182" t="n">
        <v>53</v>
      </c>
      <c r="C68" s="182" t="n">
        <v>4803.25</v>
      </c>
      <c r="D68" s="182" t="n">
        <v>4816.7768</v>
      </c>
      <c r="E68" s="182" t="n">
        <v>-13.5268</v>
      </c>
      <c r="F68" s="182" t="n">
        <v>182.9747</v>
      </c>
      <c r="G68" s="182" t="n">
        <v>-0.058362</v>
      </c>
      <c r="H68" s="182" t="n">
        <v>0.022638</v>
      </c>
      <c r="I68" s="182" t="inlineStr"/>
    </row>
    <row r="69" ht="15" customHeight="1" s="28">
      <c r="A69" s="181" t="n">
        <v>55</v>
      </c>
      <c r="B69" s="181" t="n">
        <v>54</v>
      </c>
      <c r="C69" s="181" t="n">
        <v>4796.48</v>
      </c>
      <c r="D69" s="181" t="n">
        <v>4816.5229</v>
      </c>
      <c r="E69" s="181" t="n">
        <v>-20.0429</v>
      </c>
      <c r="F69" s="181" t="n">
        <v>401.7186</v>
      </c>
      <c r="G69" s="181" t="n">
        <v>-0.189857</v>
      </c>
      <c r="H69" s="181" t="n">
        <v>0.109119</v>
      </c>
      <c r="I69" s="181" t="inlineStr"/>
    </row>
    <row r="70" ht="15" customHeight="1" s="28">
      <c r="A70" s="182" t="n">
        <v>56</v>
      </c>
      <c r="B70" s="182" t="n">
        <v>55</v>
      </c>
      <c r="C70" s="182" t="n">
        <v>4794.41</v>
      </c>
      <c r="D70" s="182" t="n">
        <v>4816.269</v>
      </c>
      <c r="E70" s="182" t="n">
        <v>-21.859</v>
      </c>
      <c r="F70" s="182" t="n">
        <v>477.8169</v>
      </c>
      <c r="G70" s="182" t="n">
        <v>-0.246284</v>
      </c>
      <c r="H70" s="182" t="n">
        <v>0.154376</v>
      </c>
      <c r="I70" s="182" t="inlineStr"/>
    </row>
    <row r="71" ht="15" customHeight="1" s="28">
      <c r="A71" s="181" t="n">
        <v>57</v>
      </c>
      <c r="B71" s="181" t="n">
        <v>56</v>
      </c>
      <c r="C71" s="181" t="n">
        <v>4787.73</v>
      </c>
      <c r="D71" s="181" t="n">
        <v>4816.0151</v>
      </c>
      <c r="E71" s="181" t="n">
        <v>-28.2851</v>
      </c>
      <c r="F71" s="181" t="n">
        <v>800.0484</v>
      </c>
      <c r="G71" s="181" t="n">
        <v>-0.533602</v>
      </c>
      <c r="H71" s="181" t="n">
        <v>0.432803</v>
      </c>
      <c r="I71" s="181" t="inlineStr"/>
    </row>
    <row r="72" ht="15" customHeight="1" s="28">
      <c r="A72" s="182" t="n">
        <v>58</v>
      </c>
      <c r="B72" s="182" t="n">
        <v>57</v>
      </c>
      <c r="C72" s="182" t="n">
        <v>4783.78</v>
      </c>
      <c r="D72" s="182" t="n">
        <v>4815.7612</v>
      </c>
      <c r="E72" s="182" t="n">
        <v>-31.9812</v>
      </c>
      <c r="F72" s="182" t="n">
        <v>1022.7992</v>
      </c>
      <c r="G72" s="182" t="n">
        <v>-0.7713100000000001</v>
      </c>
      <c r="H72" s="182" t="n">
        <v>0.707356</v>
      </c>
      <c r="I72" s="182" t="inlineStr"/>
    </row>
    <row r="73" ht="15" customHeight="1" s="28">
      <c r="A73" s="181" t="n">
        <v>59</v>
      </c>
      <c r="B73" s="181" t="n">
        <v>58</v>
      </c>
      <c r="C73" s="181" t="n">
        <v>4785.67</v>
      </c>
      <c r="D73" s="181" t="n">
        <v>4815.5073</v>
      </c>
      <c r="E73" s="181" t="n">
        <v>-29.8373</v>
      </c>
      <c r="F73" s="181" t="n">
        <v>890.2666</v>
      </c>
      <c r="G73" s="181" t="n">
        <v>-0.626359</v>
      </c>
      <c r="H73" s="181" t="n">
        <v>0.535917</v>
      </c>
      <c r="I73" s="181" t="inlineStr"/>
    </row>
    <row r="74" ht="15" customHeight="1" s="28">
      <c r="A74" s="182" t="n">
        <v>60</v>
      </c>
      <c r="B74" s="182" t="n">
        <v>59</v>
      </c>
      <c r="C74" s="182" t="n">
        <v>4785.07</v>
      </c>
      <c r="D74" s="182" t="n">
        <v>4815.2534</v>
      </c>
      <c r="E74" s="182" t="n">
        <v>-30.1834</v>
      </c>
      <c r="F74" s="182" t="n">
        <v>911.0401000000001</v>
      </c>
      <c r="G74" s="182" t="n">
        <v>-0.64841</v>
      </c>
      <c r="H74" s="182" t="n">
        <v>0.561219</v>
      </c>
      <c r="I74" s="182" t="inlineStr"/>
    </row>
    <row r="75" ht="15" customHeight="1" s="28">
      <c r="A75" s="181" t="n">
        <v>61</v>
      </c>
      <c r="B75" s="181" t="n">
        <v>60</v>
      </c>
      <c r="C75" s="181" t="n">
        <v>4787.12</v>
      </c>
      <c r="D75" s="181" t="n">
        <v>4814.9995</v>
      </c>
      <c r="E75" s="181" t="n">
        <v>-27.8795</v>
      </c>
      <c r="F75" s="181" t="n">
        <v>777.269</v>
      </c>
      <c r="G75" s="181" t="n">
        <v>-0.510976</v>
      </c>
      <c r="H75" s="181" t="n">
        <v>0.408508</v>
      </c>
      <c r="I75" s="181" t="inlineStr"/>
    </row>
    <row r="76" ht="15" customHeight="1" s="28">
      <c r="A76" s="182" t="n">
        <v>62</v>
      </c>
      <c r="B76" s="182" t="n">
        <v>61</v>
      </c>
      <c r="C76" s="182" t="n">
        <v>4791.72</v>
      </c>
      <c r="D76" s="182" t="n">
        <v>4814.7456</v>
      </c>
      <c r="E76" s="182" t="n">
        <v>-23.0256</v>
      </c>
      <c r="F76" s="182" t="n">
        <v>530.1805000000001</v>
      </c>
      <c r="G76" s="182" t="n">
        <v>-0.287858</v>
      </c>
      <c r="H76" s="182" t="n">
        <v>0.190066</v>
      </c>
      <c r="I76" s="182" t="inlineStr"/>
    </row>
    <row r="77" ht="15" customHeight="1" s="28">
      <c r="A77" s="181" t="n">
        <v>63</v>
      </c>
      <c r="B77" s="181" t="n">
        <v>62</v>
      </c>
      <c r="C77" s="181" t="n">
        <v>4785.87</v>
      </c>
      <c r="D77" s="181" t="n">
        <v>4814.4918</v>
      </c>
      <c r="E77" s="181" t="n">
        <v>-28.6218</v>
      </c>
      <c r="F77" s="181" t="n">
        <v>819.2048</v>
      </c>
      <c r="G77" s="181" t="n">
        <v>-0.552881</v>
      </c>
      <c r="H77" s="181" t="n">
        <v>0.453777</v>
      </c>
      <c r="I77" s="181" t="inlineStr"/>
    </row>
    <row r="78" ht="15" customHeight="1" s="28">
      <c r="A78" s="182" t="n">
        <v>64</v>
      </c>
      <c r="B78" s="182" t="n">
        <v>63</v>
      </c>
      <c r="C78" s="182" t="n">
        <v>4784.38</v>
      </c>
      <c r="D78" s="182" t="n">
        <v>4814.2379</v>
      </c>
      <c r="E78" s="182" t="n">
        <v>-29.8579</v>
      </c>
      <c r="F78" s="182" t="n">
        <v>891.4917</v>
      </c>
      <c r="G78" s="182" t="n">
        <v>-0.627652</v>
      </c>
      <c r="H78" s="182" t="n">
        <v>0.537393</v>
      </c>
      <c r="I78" s="182" t="inlineStr"/>
    </row>
    <row r="79" ht="15" customHeight="1" s="28">
      <c r="A79" s="181" t="n">
        <v>65</v>
      </c>
      <c r="B79" s="181" t="n">
        <v>64</v>
      </c>
      <c r="C79" s="181" t="n">
        <v>4783.7</v>
      </c>
      <c r="D79" s="181" t="n">
        <v>4813.984</v>
      </c>
      <c r="E79" s="181" t="n">
        <v>-30.284</v>
      </c>
      <c r="F79" s="181" t="n">
        <v>917.1184</v>
      </c>
      <c r="G79" s="181" t="n">
        <v>-0.65491</v>
      </c>
      <c r="H79" s="181" t="n">
        <v>0.568733</v>
      </c>
      <c r="I79" s="181" t="inlineStr"/>
    </row>
    <row r="80" ht="15" customHeight="1" s="28">
      <c r="A80" s="182" t="n">
        <v>66</v>
      </c>
      <c r="B80" s="182" t="n">
        <v>65</v>
      </c>
      <c r="C80" s="182" t="n">
        <v>4784.58</v>
      </c>
      <c r="D80" s="182" t="n">
        <v>4813.7301</v>
      </c>
      <c r="E80" s="182" t="n">
        <v>-29.1501</v>
      </c>
      <c r="F80" s="182" t="n">
        <v>849.7264</v>
      </c>
      <c r="G80" s="182" t="n">
        <v>-0.584066</v>
      </c>
      <c r="H80" s="182" t="n">
        <v>0.48822</v>
      </c>
      <c r="I80" s="182" t="inlineStr"/>
    </row>
    <row r="81" ht="15" customHeight="1" s="28">
      <c r="A81" s="181" t="n">
        <v>67</v>
      </c>
      <c r="B81" s="181" t="n">
        <v>66</v>
      </c>
      <c r="C81" s="181" t="n">
        <v>4797.03</v>
      </c>
      <c r="D81" s="181" t="n">
        <v>4813.4762</v>
      </c>
      <c r="E81" s="181" t="n">
        <v>-16.4462</v>
      </c>
      <c r="F81" s="181" t="n">
        <v>270.4766</v>
      </c>
      <c r="G81" s="181" t="n">
        <v>-0.104891</v>
      </c>
      <c r="H81" s="181" t="n">
        <v>0.049467</v>
      </c>
      <c r="I81" s="181" t="inlineStr"/>
    </row>
    <row r="82" ht="15" customHeight="1" s="28">
      <c r="A82" s="182" t="n">
        <v>68</v>
      </c>
      <c r="B82" s="182" t="n">
        <v>67</v>
      </c>
      <c r="C82" s="182" t="n">
        <v>4796.09</v>
      </c>
      <c r="D82" s="182" t="n">
        <v>4813.2223</v>
      </c>
      <c r="E82" s="182" t="n">
        <v>-17.1323</v>
      </c>
      <c r="F82" s="182" t="n">
        <v>293.5149</v>
      </c>
      <c r="G82" s="182" t="n">
        <v>-0.118574</v>
      </c>
      <c r="H82" s="182" t="n">
        <v>0.058253</v>
      </c>
      <c r="I82" s="182" t="inlineStr"/>
    </row>
    <row r="83" ht="15" customHeight="1" s="28">
      <c r="A83" s="181" t="n">
        <v>69</v>
      </c>
      <c r="B83" s="181" t="n">
        <v>68</v>
      </c>
      <c r="C83" s="181" t="n">
        <v>4793.1</v>
      </c>
      <c r="D83" s="181" t="n">
        <v>4812.9684</v>
      </c>
      <c r="E83" s="181" t="n">
        <v>-19.8684</v>
      </c>
      <c r="F83" s="181" t="n">
        <v>394.7526</v>
      </c>
      <c r="G83" s="181" t="n">
        <v>-0.18494</v>
      </c>
      <c r="H83" s="181" t="n">
        <v>0.105368</v>
      </c>
      <c r="I83" s="181" t="inlineStr"/>
    </row>
    <row r="84" ht="15" customHeight="1" s="28">
      <c r="A84" s="182" t="n">
        <v>70</v>
      </c>
      <c r="B84" s="182" t="n">
        <v>69</v>
      </c>
      <c r="C84" s="182" t="n">
        <v>4795.93</v>
      </c>
      <c r="D84" s="182" t="n">
        <v>4812.7145</v>
      </c>
      <c r="E84" s="182" t="n">
        <v>-16.7845</v>
      </c>
      <c r="F84" s="182" t="n">
        <v>281.719</v>
      </c>
      <c r="G84" s="182" t="n">
        <v>-0.111498</v>
      </c>
      <c r="H84" s="182" t="n">
        <v>0.053665</v>
      </c>
      <c r="I84" s="182" t="inlineStr"/>
    </row>
    <row r="85" ht="15" customHeight="1" s="28">
      <c r="A85" s="181" t="n">
        <v>71</v>
      </c>
      <c r="B85" s="181" t="n">
        <v>70</v>
      </c>
      <c r="C85" s="181" t="n">
        <v>4794.67</v>
      </c>
      <c r="D85" s="181" t="n">
        <v>4812.4606</v>
      </c>
      <c r="E85" s="181" t="n">
        <v>-17.7906</v>
      </c>
      <c r="F85" s="181" t="n">
        <v>316.5051</v>
      </c>
      <c r="G85" s="181" t="n">
        <v>-0.132774</v>
      </c>
      <c r="H85" s="181" t="n">
        <v>0.067736</v>
      </c>
      <c r="I85" s="181" t="inlineStr"/>
    </row>
    <row r="86" ht="15" customHeight="1" s="28">
      <c r="A86" s="182" t="n">
        <v>72</v>
      </c>
      <c r="B86" s="182" t="n">
        <v>71</v>
      </c>
      <c r="C86" s="182" t="n">
        <v>4790.39</v>
      </c>
      <c r="D86" s="182" t="n">
        <v>4812.2067</v>
      </c>
      <c r="E86" s="182" t="n">
        <v>-21.8167</v>
      </c>
      <c r="F86" s="182" t="n">
        <v>475.9682</v>
      </c>
      <c r="G86" s="182" t="n">
        <v>-0.244856</v>
      </c>
      <c r="H86" s="182" t="n">
        <v>0.153184</v>
      </c>
      <c r="I86" s="182" t="inlineStr"/>
    </row>
    <row r="87" ht="15" customHeight="1" s="28">
      <c r="A87" s="181" t="n">
        <v>73</v>
      </c>
      <c r="B87" s="181" t="n">
        <v>72</v>
      </c>
      <c r="C87" s="181" t="n">
        <v>4791.33</v>
      </c>
      <c r="D87" s="181" t="n">
        <v>4811.9528</v>
      </c>
      <c r="E87" s="181" t="n">
        <v>-20.6228</v>
      </c>
      <c r="F87" s="181" t="n">
        <v>425.2998</v>
      </c>
      <c r="G87" s="181" t="n">
        <v>-0.206817</v>
      </c>
      <c r="H87" s="181" t="n">
        <v>0.122306</v>
      </c>
      <c r="I87" s="181" t="inlineStr"/>
    </row>
    <row r="88" ht="15" customHeight="1" s="28">
      <c r="A88" s="182" t="n">
        <v>74</v>
      </c>
      <c r="B88" s="182" t="n">
        <v>73</v>
      </c>
      <c r="C88" s="182" t="n">
        <v>4789.59</v>
      </c>
      <c r="D88" s="182" t="n">
        <v>4811.6989</v>
      </c>
      <c r="E88" s="182" t="n">
        <v>-22.1089</v>
      </c>
      <c r="F88" s="182" t="n">
        <v>488.8036</v>
      </c>
      <c r="G88" s="182" t="n">
        <v>-0.254827</v>
      </c>
      <c r="H88" s="182" t="n">
        <v>0.161557</v>
      </c>
      <c r="I88" s="182" t="inlineStr"/>
    </row>
    <row r="89" ht="15" customHeight="1" s="28">
      <c r="A89" s="181" t="n">
        <v>75</v>
      </c>
      <c r="B89" s="181" t="n">
        <v>74</v>
      </c>
      <c r="C89" s="181" t="n">
        <v>4784.95</v>
      </c>
      <c r="D89" s="181" t="n">
        <v>4811.445</v>
      </c>
      <c r="E89" s="181" t="n">
        <v>-26.495</v>
      </c>
      <c r="F89" s="181" t="n">
        <v>701.9854</v>
      </c>
      <c r="G89" s="181" t="n">
        <v>-0.438566</v>
      </c>
      <c r="H89" s="181" t="n">
        <v>0.333207</v>
      </c>
      <c r="I89" s="181" t="inlineStr"/>
    </row>
    <row r="90" ht="15" customHeight="1" s="28">
      <c r="A90" s="182" t="n">
        <v>76</v>
      </c>
      <c r="B90" s="182" t="n">
        <v>75</v>
      </c>
      <c r="C90" s="182" t="n">
        <v>4787.41</v>
      </c>
      <c r="D90" s="182" t="n">
        <v>4811.1911</v>
      </c>
      <c r="E90" s="182" t="n">
        <v>-23.7811</v>
      </c>
      <c r="F90" s="182" t="n">
        <v>565.5413</v>
      </c>
      <c r="G90" s="182" t="n">
        <v>-0.317132</v>
      </c>
      <c r="H90" s="182" t="n">
        <v>0.216265</v>
      </c>
      <c r="I90" s="182" t="inlineStr"/>
    </row>
    <row r="91" ht="15" customHeight="1" s="28">
      <c r="A91" s="181" t="n">
        <v>77</v>
      </c>
      <c r="B91" s="181" t="n">
        <v>76</v>
      </c>
      <c r="C91" s="181" t="n">
        <v>4786.45</v>
      </c>
      <c r="D91" s="181" t="n">
        <v>4810.9372</v>
      </c>
      <c r="E91" s="181" t="n">
        <v>-24.4872</v>
      </c>
      <c r="F91" s="181" t="n">
        <v>599.6238</v>
      </c>
      <c r="G91" s="181" t="n">
        <v>-0.346227</v>
      </c>
      <c r="H91" s="181" t="n">
        <v>0.243117</v>
      </c>
      <c r="I91" s="181" t="inlineStr"/>
    </row>
    <row r="92" ht="15" customHeight="1" s="28">
      <c r="A92" s="182" t="n">
        <v>78</v>
      </c>
      <c r="B92" s="182" t="n">
        <v>77</v>
      </c>
      <c r="C92" s="182" t="n">
        <v>4793.07</v>
      </c>
      <c r="D92" s="182" t="n">
        <v>4810.6833</v>
      </c>
      <c r="E92" s="182" t="n">
        <v>-17.6133</v>
      </c>
      <c r="F92" s="182" t="n">
        <v>310.2291</v>
      </c>
      <c r="G92" s="182" t="n">
        <v>-0.128845</v>
      </c>
      <c r="H92" s="182" t="n">
        <v>0.06507599999999999</v>
      </c>
      <c r="I92" s="182" t="inlineStr"/>
    </row>
    <row r="93" ht="15" customHeight="1" s="28">
      <c r="A93" s="181" t="n">
        <v>79</v>
      </c>
      <c r="B93" s="181" t="n">
        <v>78</v>
      </c>
      <c r="C93" s="181" t="n">
        <v>4798.64</v>
      </c>
      <c r="D93" s="181" t="n">
        <v>4810.4294</v>
      </c>
      <c r="E93" s="181" t="n">
        <v>-11.7894</v>
      </c>
      <c r="F93" s="181" t="n">
        <v>138.9906</v>
      </c>
      <c r="G93" s="181" t="n">
        <v>-0.038639</v>
      </c>
      <c r="H93" s="181" t="n">
        <v>0.013063</v>
      </c>
      <c r="I93" s="181" t="inlineStr"/>
    </row>
    <row r="94" ht="15" customHeight="1" s="28">
      <c r="A94" s="182" t="n">
        <v>80</v>
      </c>
      <c r="B94" s="182" t="n">
        <v>79</v>
      </c>
      <c r="C94" s="182" t="n">
        <v>4799.19</v>
      </c>
      <c r="D94" s="182" t="n">
        <v>4810.1755</v>
      </c>
      <c r="E94" s="182" t="n">
        <v>-10.9855</v>
      </c>
      <c r="F94" s="182" t="n">
        <v>120.6819</v>
      </c>
      <c r="G94" s="182" t="n">
        <v>-0.031261</v>
      </c>
      <c r="H94" s="182" t="n">
        <v>0.009848000000000001</v>
      </c>
      <c r="I94" s="182" t="inlineStr"/>
    </row>
    <row r="95" ht="15" customHeight="1" s="28">
      <c r="A95" s="181" t="n">
        <v>81</v>
      </c>
      <c r="B95" s="181" t="n">
        <v>80</v>
      </c>
      <c r="C95" s="181" t="n">
        <v>4803.86</v>
      </c>
      <c r="D95" s="181" t="n">
        <v>4809.9216</v>
      </c>
      <c r="E95" s="181" t="n">
        <v>-6.0616</v>
      </c>
      <c r="F95" s="181" t="n">
        <v>36.7434</v>
      </c>
      <c r="G95" s="181" t="n">
        <v>-0.005252</v>
      </c>
      <c r="H95" s="181" t="n">
        <v>0.000913</v>
      </c>
      <c r="I95" s="181" t="inlineStr"/>
    </row>
    <row r="96" ht="15" customHeight="1" s="28">
      <c r="A96" s="182" t="n">
        <v>82</v>
      </c>
      <c r="B96" s="182" t="n">
        <v>81</v>
      </c>
      <c r="C96" s="182" t="n">
        <v>4816.87</v>
      </c>
      <c r="D96" s="182" t="n">
        <v>4809.6677</v>
      </c>
      <c r="E96" s="182" t="n">
        <v>7.2023</v>
      </c>
      <c r="F96" s="182" t="n">
        <v>51.8726</v>
      </c>
      <c r="G96" s="182" t="n">
        <v>0.008809000000000001</v>
      </c>
      <c r="H96" s="182" t="n">
        <v>0.001819</v>
      </c>
      <c r="I96" s="182" t="inlineStr"/>
    </row>
    <row r="97" ht="15" customHeight="1" s="28">
      <c r="A97" s="181" t="n">
        <v>83</v>
      </c>
      <c r="B97" s="181" t="n">
        <v>82</v>
      </c>
      <c r="C97" s="181" t="n">
        <v>4823.45</v>
      </c>
      <c r="D97" s="181" t="n">
        <v>4809.4138</v>
      </c>
      <c r="E97" s="181" t="n">
        <v>14.0362</v>
      </c>
      <c r="F97" s="181" t="n">
        <v>197.0137</v>
      </c>
      <c r="G97" s="181" t="n">
        <v>0.065206</v>
      </c>
      <c r="H97" s="181" t="n">
        <v>0.026245</v>
      </c>
      <c r="I97" s="181" t="inlineStr"/>
    </row>
    <row r="98" ht="15" customHeight="1" s="28">
      <c r="A98" s="182" t="n">
        <v>84</v>
      </c>
      <c r="B98" s="182" t="n">
        <v>83</v>
      </c>
      <c r="C98" s="182" t="n">
        <v>4846.75</v>
      </c>
      <c r="D98" s="182" t="n">
        <v>4809.1599</v>
      </c>
      <c r="E98" s="182" t="n">
        <v>37.5901</v>
      </c>
      <c r="F98" s="182" t="n">
        <v>1413.012</v>
      </c>
      <c r="G98" s="182" t="n">
        <v>1.252454</v>
      </c>
      <c r="H98" s="182" t="n">
        <v>1.350048</v>
      </c>
      <c r="I98" s="182" t="inlineStr"/>
    </row>
    <row r="99" ht="15" customHeight="1" s="28">
      <c r="A99" s="181" t="n">
        <v>85</v>
      </c>
      <c r="B99" s="181" t="n">
        <v>84</v>
      </c>
      <c r="C99" s="181" t="n">
        <v>4883.6</v>
      </c>
      <c r="D99" s="181" t="n">
        <v>4808.9061</v>
      </c>
      <c r="E99" s="181" t="n">
        <v>74.6939</v>
      </c>
      <c r="F99" s="181" t="n">
        <v>5579.1857</v>
      </c>
      <c r="G99" s="181" t="n">
        <v>9.826511999999999</v>
      </c>
      <c r="H99" s="181" t="n">
        <v>21.047436</v>
      </c>
      <c r="I99" s="181" t="inlineStr"/>
    </row>
    <row r="100" ht="15" customHeight="1" s="28">
      <c r="A100" s="182" t="n">
        <v>86</v>
      </c>
      <c r="B100" s="182" t="n">
        <v>85</v>
      </c>
      <c r="C100" s="182" t="n">
        <v>4851.59</v>
      </c>
      <c r="D100" s="182" t="n">
        <v>4808.6522</v>
      </c>
      <c r="E100" s="182" t="n">
        <v>42.9378</v>
      </c>
      <c r="F100" s="182" t="n">
        <v>1843.6583</v>
      </c>
      <c r="G100" s="182" t="n">
        <v>1.866654</v>
      </c>
      <c r="H100" s="182" t="n">
        <v>2.298362</v>
      </c>
      <c r="I100" s="182" t="inlineStr"/>
    </row>
    <row r="101" ht="15" customHeight="1" s="28">
      <c r="A101" s="181" t="n">
        <v>87</v>
      </c>
      <c r="B101" s="181" t="n">
        <v>86</v>
      </c>
      <c r="C101" s="181" t="n">
        <v>4864.42</v>
      </c>
      <c r="D101" s="181" t="n">
        <v>4808.3983</v>
      </c>
      <c r="E101" s="181" t="n">
        <v>56.0217</v>
      </c>
      <c r="F101" s="181" t="n">
        <v>3138.4351</v>
      </c>
      <c r="G101" s="181" t="n">
        <v>4.145844</v>
      </c>
      <c r="H101" s="181" t="n">
        <v>6.660148</v>
      </c>
      <c r="I101" s="181" t="inlineStr"/>
    </row>
    <row r="102" ht="15" customHeight="1" s="28">
      <c r="A102" s="182" t="n">
        <v>88</v>
      </c>
      <c r="B102" s="182" t="n">
        <v>87</v>
      </c>
      <c r="C102" s="182" t="n">
        <v>4880.26</v>
      </c>
      <c r="D102" s="182" t="n">
        <v>4808.1444</v>
      </c>
      <c r="E102" s="182" t="n">
        <v>72.1156</v>
      </c>
      <c r="F102" s="182" t="n">
        <v>5200.6646</v>
      </c>
      <c r="G102" s="182" t="n">
        <v>8.843648</v>
      </c>
      <c r="H102" s="182" t="n">
        <v>18.288381</v>
      </c>
      <c r="I102" s="182" t="inlineStr"/>
    </row>
    <row r="103" ht="15" customHeight="1" s="28">
      <c r="A103" s="181" t="n">
        <v>89</v>
      </c>
      <c r="B103" s="181" t="n">
        <v>88</v>
      </c>
      <c r="C103" s="181" t="n">
        <v>4867.03</v>
      </c>
      <c r="D103" s="181" t="n">
        <v>4807.8905</v>
      </c>
      <c r="E103" s="181" t="n">
        <v>59.1395</v>
      </c>
      <c r="F103" s="181" t="n">
        <v>3497.4839</v>
      </c>
      <c r="G103" s="181" t="n">
        <v>4.87727</v>
      </c>
      <c r="H103" s="181" t="n">
        <v>8.271209000000001</v>
      </c>
      <c r="I103" s="181" t="inlineStr"/>
    </row>
    <row r="104" ht="15" customHeight="1" s="28">
      <c r="A104" s="182" t="n">
        <v>90</v>
      </c>
      <c r="B104" s="182" t="n">
        <v>89</v>
      </c>
      <c r="C104" s="182" t="n">
        <v>4871.43</v>
      </c>
      <c r="D104" s="182" t="n">
        <v>4807.6366</v>
      </c>
      <c r="E104" s="182" t="n">
        <v>63.7934</v>
      </c>
      <c r="F104" s="182" t="n">
        <v>4069.601</v>
      </c>
      <c r="G104" s="182" t="n">
        <v>6.121684</v>
      </c>
      <c r="H104" s="182" t="n">
        <v>11.198536</v>
      </c>
      <c r="I104" s="182" t="inlineStr"/>
    </row>
    <row r="105" ht="15" customHeight="1" s="28">
      <c r="A105" s="181" t="n">
        <v>91</v>
      </c>
      <c r="B105" s="181" t="n">
        <v>90</v>
      </c>
      <c r="C105" s="181" t="n">
        <v>4877.31</v>
      </c>
      <c r="D105" s="181" t="n">
        <v>4807.3827</v>
      </c>
      <c r="E105" s="181" t="n">
        <v>69.9273</v>
      </c>
      <c r="F105" s="181" t="n">
        <v>4889.8301</v>
      </c>
      <c r="G105" s="181" t="n">
        <v>8.062761999999999</v>
      </c>
      <c r="H105" s="181" t="n">
        <v>16.167583</v>
      </c>
      <c r="I105" s="181" t="inlineStr"/>
    </row>
    <row r="106" ht="15" customHeight="1" s="28">
      <c r="A106" s="182" t="n">
        <v>92</v>
      </c>
      <c r="B106" s="182" t="n">
        <v>91</v>
      </c>
      <c r="C106" s="182" t="n">
        <v>4873.15</v>
      </c>
      <c r="D106" s="182" t="n">
        <v>4807.1288</v>
      </c>
      <c r="E106" s="182" t="n">
        <v>66.02119999999999</v>
      </c>
      <c r="F106" s="182" t="n">
        <v>4358.8009</v>
      </c>
      <c r="G106" s="182" t="n">
        <v>6.785685</v>
      </c>
      <c r="H106" s="182" t="n">
        <v>12.846702</v>
      </c>
      <c r="I106" s="182" t="inlineStr"/>
    </row>
    <row r="107" ht="15" customHeight="1" s="28">
      <c r="A107" s="181" t="n">
        <v>93</v>
      </c>
      <c r="B107" s="181" t="n">
        <v>92</v>
      </c>
      <c r="C107" s="181" t="n">
        <v>4867.01</v>
      </c>
      <c r="D107" s="181" t="n">
        <v>4806.8749</v>
      </c>
      <c r="E107" s="181" t="n">
        <v>60.1351</v>
      </c>
      <c r="F107" s="181" t="n">
        <v>3616.2316</v>
      </c>
      <c r="G107" s="181" t="n">
        <v>5.127758</v>
      </c>
      <c r="H107" s="181" t="n">
        <v>8.842397999999999</v>
      </c>
      <c r="I107" s="181" t="inlineStr"/>
    </row>
    <row r="108" ht="15" customHeight="1" s="28">
      <c r="A108" s="182" t="n">
        <v>94</v>
      </c>
      <c r="B108" s="182" t="n">
        <v>93</v>
      </c>
      <c r="C108" s="182" t="n">
        <v>4865.86</v>
      </c>
      <c r="D108" s="182" t="n">
        <v>4806.621</v>
      </c>
      <c r="E108" s="182" t="n">
        <v>59.239</v>
      </c>
      <c r="F108" s="182" t="n">
        <v>3509.2599</v>
      </c>
      <c r="G108" s="182" t="n">
        <v>4.901923</v>
      </c>
      <c r="H108" s="182" t="n">
        <v>8.327000999999999</v>
      </c>
      <c r="I108" s="182" t="inlineStr"/>
    </row>
    <row r="109" ht="15" customHeight="1" s="28">
      <c r="A109" s="181" t="n">
        <v>95</v>
      </c>
      <c r="B109" s="181" t="n">
        <v>94</v>
      </c>
      <c r="C109" s="181" t="n">
        <v>4858.58</v>
      </c>
      <c r="D109" s="181" t="n">
        <v>4806.3671</v>
      </c>
      <c r="E109" s="181" t="n">
        <v>52.2129</v>
      </c>
      <c r="F109" s="181" t="n">
        <v>2726.1871</v>
      </c>
      <c r="G109" s="181" t="n">
        <v>3.356423</v>
      </c>
      <c r="H109" s="181" t="n">
        <v>5.02538</v>
      </c>
      <c r="I109" s="181" t="inlineStr"/>
    </row>
    <row r="110" ht="15" customHeight="1" s="28">
      <c r="A110" s="182" t="n">
        <v>96</v>
      </c>
      <c r="B110" s="182" t="n">
        <v>95</v>
      </c>
      <c r="C110" s="182" t="n">
        <v>4867.57</v>
      </c>
      <c r="D110" s="182" t="n">
        <v>4806.1132</v>
      </c>
      <c r="E110" s="182" t="n">
        <v>61.4568</v>
      </c>
      <c r="F110" s="182" t="n">
        <v>3776.938</v>
      </c>
      <c r="G110" s="182" t="n">
        <v>5.473347</v>
      </c>
      <c r="H110" s="182" t="n">
        <v>9.645778</v>
      </c>
      <c r="I110" s="182" t="inlineStr"/>
    </row>
    <row r="111" ht="15" customHeight="1" s="28">
      <c r="A111" s="181" t="n">
        <v>97</v>
      </c>
      <c r="B111" s="181" t="n">
        <v>96</v>
      </c>
      <c r="C111" s="181" t="n">
        <v>4871.66</v>
      </c>
      <c r="D111" s="181" t="n">
        <v>4805.8593</v>
      </c>
      <c r="E111" s="181" t="n">
        <v>65.80070000000001</v>
      </c>
      <c r="F111" s="181" t="n">
        <v>4329.7312</v>
      </c>
      <c r="G111" s="181" t="n">
        <v>6.717916</v>
      </c>
      <c r="H111" s="181" t="n">
        <v>12.675919</v>
      </c>
      <c r="I111" s="181" t="inlineStr"/>
    </row>
    <row r="112" ht="15" customHeight="1" s="28">
      <c r="A112" s="182" t="n">
        <v>98</v>
      </c>
      <c r="B112" s="182" t="n">
        <v>97</v>
      </c>
      <c r="C112" s="182" t="n">
        <v>4867.71</v>
      </c>
      <c r="D112" s="182" t="n">
        <v>4805.6054</v>
      </c>
      <c r="E112" s="182" t="n">
        <v>62.1046</v>
      </c>
      <c r="F112" s="182" t="n">
        <v>3856.9799</v>
      </c>
      <c r="G112" s="182" t="n">
        <v>5.648254</v>
      </c>
      <c r="H112" s="182" t="n">
        <v>10.058942</v>
      </c>
      <c r="I112" s="182" t="inlineStr"/>
    </row>
    <row r="113" ht="15" customHeight="1" s="28">
      <c r="A113" s="181" t="n">
        <v>99</v>
      </c>
      <c r="B113" s="181" t="n">
        <v>98</v>
      </c>
      <c r="C113" s="181" t="n">
        <v>4868.37</v>
      </c>
      <c r="D113" s="181" t="n">
        <v>4805.3515</v>
      </c>
      <c r="E113" s="181" t="n">
        <v>63.0185</v>
      </c>
      <c r="F113" s="181" t="n">
        <v>3971.3293</v>
      </c>
      <c r="G113" s="181" t="n">
        <v>5.901291</v>
      </c>
      <c r="H113" s="181" t="n">
        <v>10.664227</v>
      </c>
      <c r="I113" s="181" t="inlineStr"/>
    </row>
    <row r="114" ht="15" customHeight="1" s="28">
      <c r="A114" s="182" t="n">
        <v>100</v>
      </c>
      <c r="B114" s="182" t="n">
        <v>99</v>
      </c>
      <c r="C114" s="182" t="n">
        <v>4867.12</v>
      </c>
      <c r="D114" s="182" t="n">
        <v>4805.0976</v>
      </c>
      <c r="E114" s="182" t="n">
        <v>62.0224</v>
      </c>
      <c r="F114" s="182" t="n">
        <v>3846.7756</v>
      </c>
      <c r="G114" s="182" t="n">
        <v>5.625854</v>
      </c>
      <c r="H114" s="182" t="n">
        <v>10.005787</v>
      </c>
      <c r="I114" s="182" t="inlineStr"/>
    </row>
    <row r="115" ht="15" customHeight="1" s="28">
      <c r="A115" s="181" t="n">
        <v>101</v>
      </c>
      <c r="B115" s="181" t="n">
        <v>100</v>
      </c>
      <c r="C115" s="181" t="n">
        <v>4862.89</v>
      </c>
      <c r="D115" s="181" t="n">
        <v>4804.8437</v>
      </c>
      <c r="E115" s="181" t="n">
        <v>58.0463</v>
      </c>
      <c r="F115" s="181" t="n">
        <v>3369.37</v>
      </c>
      <c r="G115" s="181" t="n">
        <v>4.611755</v>
      </c>
      <c r="H115" s="181" t="n">
        <v>7.676354</v>
      </c>
      <c r="I115" s="181" t="inlineStr"/>
    </row>
    <row r="116" ht="15" customHeight="1" s="28">
      <c r="A116" s="182" t="n">
        <v>102</v>
      </c>
      <c r="B116" s="182" t="n">
        <v>101</v>
      </c>
      <c r="C116" s="182" t="n">
        <v>4858.63</v>
      </c>
      <c r="D116" s="182" t="n">
        <v>4804.5898</v>
      </c>
      <c r="E116" s="182" t="n">
        <v>54.0402</v>
      </c>
      <c r="F116" s="182" t="n">
        <v>2920.34</v>
      </c>
      <c r="G116" s="182" t="n">
        <v>3.721288</v>
      </c>
      <c r="H116" s="182" t="n">
        <v>5.766661</v>
      </c>
      <c r="I116" s="182" t="inlineStr"/>
    </row>
    <row r="117" ht="15" customHeight="1" s="28">
      <c r="A117" s="181" t="n">
        <v>103</v>
      </c>
      <c r="B117" s="181" t="n">
        <v>102</v>
      </c>
      <c r="C117" s="181" t="n">
        <v>4855.01</v>
      </c>
      <c r="D117" s="181" t="n">
        <v>4804.3359</v>
      </c>
      <c r="E117" s="181" t="n">
        <v>50.6741</v>
      </c>
      <c r="F117" s="181" t="n">
        <v>2567.861</v>
      </c>
      <c r="G117" s="181" t="n">
        <v>3.068318</v>
      </c>
      <c r="H117" s="181" t="n">
        <v>4.458621</v>
      </c>
      <c r="I117" s="181" t="inlineStr"/>
    </row>
    <row r="118" ht="15" customHeight="1" s="28">
      <c r="A118" s="182" t="n">
        <v>104</v>
      </c>
      <c r="B118" s="182" t="n">
        <v>103</v>
      </c>
      <c r="C118" s="182" t="n">
        <v>4862.6</v>
      </c>
      <c r="D118" s="182" t="n">
        <v>4804.082</v>
      </c>
      <c r="E118" s="182" t="n">
        <v>58.518</v>
      </c>
      <c r="F118" s="182" t="n">
        <v>3424.3518</v>
      </c>
      <c r="G118" s="182" t="n">
        <v>4.725097</v>
      </c>
      <c r="H118" s="182" t="n">
        <v>7.928925</v>
      </c>
      <c r="I118" s="182" t="inlineStr"/>
    </row>
    <row r="119" ht="15" customHeight="1" s="28">
      <c r="A119" s="181" t="n">
        <v>105</v>
      </c>
      <c r="B119" s="181" t="n">
        <v>104</v>
      </c>
      <c r="C119" s="181" t="n">
        <v>4861.17</v>
      </c>
      <c r="D119" s="181" t="n">
        <v>4803.8281</v>
      </c>
      <c r="E119" s="181" t="n">
        <v>57.3419</v>
      </c>
      <c r="F119" s="181" t="n">
        <v>3288.0886</v>
      </c>
      <c r="G119" s="181" t="n">
        <v>4.445887</v>
      </c>
      <c r="H119" s="181" t="n">
        <v>7.310458</v>
      </c>
      <c r="I119" s="181" t="inlineStr"/>
    </row>
    <row r="120" ht="15" customHeight="1" s="28">
      <c r="A120" s="182" t="n">
        <v>106</v>
      </c>
      <c r="B120" s="182" t="n">
        <v>105</v>
      </c>
      <c r="C120" s="182" t="n">
        <v>4860.87</v>
      </c>
      <c r="D120" s="182" t="n">
        <v>4803.5742</v>
      </c>
      <c r="E120" s="182" t="n">
        <v>57.2958</v>
      </c>
      <c r="F120" s="182" t="n">
        <v>3282.8032</v>
      </c>
      <c r="G120" s="182" t="n">
        <v>4.435172</v>
      </c>
      <c r="H120" s="182" t="n">
        <v>7.286975</v>
      </c>
      <c r="I120" s="182" t="inlineStr"/>
    </row>
    <row r="121" ht="15" customHeight="1" s="28">
      <c r="A121" s="181" t="n">
        <v>107</v>
      </c>
      <c r="B121" s="181" t="n">
        <v>106</v>
      </c>
      <c r="C121" s="181" t="n">
        <v>4862.4</v>
      </c>
      <c r="D121" s="181" t="n">
        <v>4803.3204</v>
      </c>
      <c r="E121" s="181" t="n">
        <v>59.0796</v>
      </c>
      <c r="F121" s="181" t="n">
        <v>3490.4048</v>
      </c>
      <c r="G121" s="181" t="n">
        <v>4.862469</v>
      </c>
      <c r="H121" s="181" t="n">
        <v>8.237761000000001</v>
      </c>
      <c r="I121" s="181" t="inlineStr"/>
    </row>
    <row r="122" ht="15" customHeight="1" s="28">
      <c r="A122" s="182" t="n">
        <v>108</v>
      </c>
      <c r="B122" s="182" t="n">
        <v>107</v>
      </c>
      <c r="C122" s="182" t="n">
        <v>4858.16</v>
      </c>
      <c r="D122" s="182" t="n">
        <v>4803.0665</v>
      </c>
      <c r="E122" s="182" t="n">
        <v>55.0935</v>
      </c>
      <c r="F122" s="182" t="n">
        <v>3035.2985</v>
      </c>
      <c r="G122" s="182" t="n">
        <v>3.943168</v>
      </c>
      <c r="H122" s="182" t="n">
        <v>6.229603</v>
      </c>
      <c r="I122" s="182" t="inlineStr"/>
    </row>
    <row r="123" ht="15" customHeight="1" s="28">
      <c r="A123" s="181" t="n">
        <v>109</v>
      </c>
      <c r="B123" s="181" t="n">
        <v>108</v>
      </c>
      <c r="C123" s="181" t="n">
        <v>4856.59</v>
      </c>
      <c r="D123" s="181" t="n">
        <v>4802.8126</v>
      </c>
      <c r="E123" s="181" t="n">
        <v>53.7774</v>
      </c>
      <c r="F123" s="181" t="n">
        <v>2892.0129</v>
      </c>
      <c r="G123" s="181" t="n">
        <v>3.667275</v>
      </c>
      <c r="H123" s="181" t="n">
        <v>5.655331</v>
      </c>
      <c r="I123" s="181" t="inlineStr"/>
    </row>
    <row r="124" ht="15" customHeight="1" s="28">
      <c r="A124" s="182" t="n">
        <v>110</v>
      </c>
      <c r="B124" s="182" t="n">
        <v>109</v>
      </c>
      <c r="C124" s="182" t="n">
        <v>4856.91</v>
      </c>
      <c r="D124" s="182" t="n">
        <v>4802.5587</v>
      </c>
      <c r="E124" s="182" t="n">
        <v>54.3513</v>
      </c>
      <c r="F124" s="182" t="n">
        <v>2954.0675</v>
      </c>
      <c r="G124" s="182" t="n">
        <v>3.785941</v>
      </c>
      <c r="H124" s="182" t="n">
        <v>5.90063</v>
      </c>
      <c r="I124" s="182" t="inlineStr"/>
    </row>
    <row r="125" ht="15" customHeight="1" s="28">
      <c r="A125" s="181" t="n">
        <v>111</v>
      </c>
      <c r="B125" s="181" t="n">
        <v>110</v>
      </c>
      <c r="C125" s="181" t="n">
        <v>4860.34</v>
      </c>
      <c r="D125" s="181" t="n">
        <v>4802.3048</v>
      </c>
      <c r="E125" s="181" t="n">
        <v>58.0352</v>
      </c>
      <c r="F125" s="181" t="n">
        <v>3368.0879</v>
      </c>
      <c r="G125" s="181" t="n">
        <v>4.609123</v>
      </c>
      <c r="H125" s="181" t="n">
        <v>7.670513</v>
      </c>
      <c r="I125" s="181" t="inlineStr"/>
    </row>
    <row r="126" ht="15" customHeight="1" s="28">
      <c r="A126" s="182" t="n">
        <v>112</v>
      </c>
      <c r="B126" s="182" t="n">
        <v>111</v>
      </c>
      <c r="C126" s="182" t="n">
        <v>4854.73</v>
      </c>
      <c r="D126" s="182" t="n">
        <v>4802.0509</v>
      </c>
      <c r="E126" s="182" t="n">
        <v>52.6791</v>
      </c>
      <c r="F126" s="182" t="n">
        <v>2775.0903</v>
      </c>
      <c r="G126" s="182" t="n">
        <v>3.447139</v>
      </c>
      <c r="H126" s="182" t="n">
        <v>5.20729</v>
      </c>
      <c r="I126" s="182" t="inlineStr"/>
    </row>
    <row r="127" ht="15" customHeight="1" s="28">
      <c r="A127" s="181" t="n">
        <v>113</v>
      </c>
      <c r="B127" s="181" t="n">
        <v>112</v>
      </c>
      <c r="C127" s="181" t="n">
        <v>4845.91</v>
      </c>
      <c r="D127" s="181" t="n">
        <v>4801.797</v>
      </c>
      <c r="E127" s="181" t="n">
        <v>44.113</v>
      </c>
      <c r="F127" s="181" t="n">
        <v>1945.9586</v>
      </c>
      <c r="G127" s="181" t="n">
        <v>2.024154</v>
      </c>
      <c r="H127" s="181" t="n">
        <v>2.5605</v>
      </c>
      <c r="I127" s="181" t="inlineStr"/>
    </row>
    <row r="128" ht="15" customHeight="1" s="28">
      <c r="A128" s="182" t="n">
        <v>114</v>
      </c>
      <c r="B128" s="182" t="n">
        <v>113</v>
      </c>
      <c r="C128" s="182" t="n">
        <v>4845.96</v>
      </c>
      <c r="D128" s="182" t="n">
        <v>4801.5431</v>
      </c>
      <c r="E128" s="182" t="n">
        <v>44.4169</v>
      </c>
      <c r="F128" s="182" t="n">
        <v>1972.8625</v>
      </c>
      <c r="G128" s="182" t="n">
        <v>2.066276</v>
      </c>
      <c r="H128" s="182" t="n">
        <v>2.63179</v>
      </c>
      <c r="I128" s="182" t="inlineStr"/>
    </row>
    <row r="129" ht="15" customHeight="1" s="28">
      <c r="A129" s="181" t="n">
        <v>115</v>
      </c>
      <c r="B129" s="181" t="n">
        <v>114</v>
      </c>
      <c r="C129" s="181" t="n">
        <v>4835.81</v>
      </c>
      <c r="D129" s="181" t="n">
        <v>4801.2892</v>
      </c>
      <c r="E129" s="181" t="n">
        <v>34.5208</v>
      </c>
      <c r="F129" s="181" t="n">
        <v>1191.6865</v>
      </c>
      <c r="G129" s="181" t="n">
        <v>0.970032</v>
      </c>
      <c r="H129" s="181" t="n">
        <v>0.960244</v>
      </c>
      <c r="I129" s="181" t="inlineStr"/>
    </row>
    <row r="130" ht="15" customHeight="1" s="28">
      <c r="A130" s="182" t="n">
        <v>116</v>
      </c>
      <c r="B130" s="182" t="n">
        <v>115</v>
      </c>
      <c r="C130" s="182" t="n">
        <v>4833.02</v>
      </c>
      <c r="D130" s="182" t="n">
        <v>4801.0353</v>
      </c>
      <c r="E130" s="182" t="n">
        <v>31.9847</v>
      </c>
      <c r="F130" s="182" t="n">
        <v>1023.0215</v>
      </c>
      <c r="G130" s="182" t="n">
        <v>0.7715610000000001</v>
      </c>
      <c r="H130" s="182" t="n">
        <v>0.707664</v>
      </c>
      <c r="I130" s="182" t="inlineStr"/>
    </row>
    <row r="131" ht="15" customHeight="1" s="28">
      <c r="A131" s="181" t="n">
        <v>117</v>
      </c>
      <c r="B131" s="181" t="n">
        <v>116</v>
      </c>
      <c r="C131" s="181" t="n">
        <v>4790.21</v>
      </c>
      <c r="D131" s="181" t="n">
        <v>4800.7814</v>
      </c>
      <c r="E131" s="181" t="n">
        <v>-10.5714</v>
      </c>
      <c r="F131" s="181" t="n">
        <v>111.7544</v>
      </c>
      <c r="G131" s="181" t="n">
        <v>-0.027857</v>
      </c>
      <c r="H131" s="181" t="n">
        <v>0.008444999999999999</v>
      </c>
      <c r="I131" s="181" t="inlineStr"/>
    </row>
    <row r="132" ht="15" customHeight="1" s="28">
      <c r="A132" s="182" t="n">
        <v>118</v>
      </c>
      <c r="B132" s="182" t="n">
        <v>117</v>
      </c>
      <c r="C132" s="182" t="n">
        <v>4784.84</v>
      </c>
      <c r="D132" s="182" t="n">
        <v>4800.5275</v>
      </c>
      <c r="E132" s="182" t="n">
        <v>-15.6875</v>
      </c>
      <c r="F132" s="182" t="n">
        <v>246.0977</v>
      </c>
      <c r="G132" s="182" t="n">
        <v>-0.091034</v>
      </c>
      <c r="H132" s="182" t="n">
        <v>0.040952</v>
      </c>
      <c r="I132" s="182" t="inlineStr"/>
    </row>
    <row r="133" ht="15" customHeight="1" s="28">
      <c r="A133" s="181" t="n">
        <v>119</v>
      </c>
      <c r="B133" s="181" t="n">
        <v>118</v>
      </c>
      <c r="C133" s="181" t="n">
        <v>4780.29</v>
      </c>
      <c r="D133" s="181" t="n">
        <v>4800.2736</v>
      </c>
      <c r="E133" s="181" t="n">
        <v>-19.9836</v>
      </c>
      <c r="F133" s="181" t="n">
        <v>399.3445</v>
      </c>
      <c r="G133" s="181" t="n">
        <v>-0.188176</v>
      </c>
      <c r="H133" s="181" t="n">
        <v>0.107833</v>
      </c>
      <c r="I133" s="181" t="inlineStr"/>
    </row>
    <row r="134" ht="15" customHeight="1" s="28">
      <c r="A134" s="182" t="n">
        <v>120</v>
      </c>
      <c r="B134" s="182" t="n">
        <v>119</v>
      </c>
      <c r="C134" s="182" t="n">
        <v>4779.23</v>
      </c>
      <c r="D134" s="182" t="n">
        <v>4800.0197</v>
      </c>
      <c r="E134" s="182" t="n">
        <v>-20.7897</v>
      </c>
      <c r="F134" s="182" t="n">
        <v>432.2121</v>
      </c>
      <c r="G134" s="182" t="n">
        <v>-0.211879</v>
      </c>
      <c r="H134" s="182" t="n">
        <v>0.126314</v>
      </c>
      <c r="I134" s="182" t="inlineStr"/>
    </row>
    <row r="135" ht="15" customHeight="1" s="28">
      <c r="A135" s="181" t="n">
        <v>121</v>
      </c>
      <c r="B135" s="181" t="n">
        <v>120</v>
      </c>
      <c r="C135" s="181" t="n">
        <v>4772.65</v>
      </c>
      <c r="D135" s="181" t="n">
        <v>4799.7658</v>
      </c>
      <c r="E135" s="181" t="n">
        <v>-27.1158</v>
      </c>
      <c r="F135" s="181" t="n">
        <v>735.2674</v>
      </c>
      <c r="G135" s="181" t="n">
        <v>-0.470123</v>
      </c>
      <c r="H135" s="181" t="n">
        <v>0.365551</v>
      </c>
      <c r="I135" s="181" t="inlineStr"/>
    </row>
    <row r="136" ht="15" customHeight="1" s="28">
      <c r="A136" s="182" t="n">
        <v>122</v>
      </c>
      <c r="B136" s="182" t="n">
        <v>121</v>
      </c>
      <c r="C136" s="182" t="n">
        <v>4769.43</v>
      </c>
      <c r="D136" s="182" t="n">
        <v>4799.5119</v>
      </c>
      <c r="E136" s="182" t="n">
        <v>-30.0819</v>
      </c>
      <c r="F136" s="182" t="n">
        <v>904.9219000000001</v>
      </c>
      <c r="G136" s="182" t="n">
        <v>-0.641889</v>
      </c>
      <c r="H136" s="182" t="n">
        <v>0.5537069999999999</v>
      </c>
      <c r="I136" s="182" t="inlineStr"/>
    </row>
    <row r="137" ht="15" customHeight="1" s="28">
      <c r="A137" s="181" t="n">
        <v>123</v>
      </c>
      <c r="B137" s="181" t="n">
        <v>122</v>
      </c>
      <c r="C137" s="181" t="n">
        <v>4752.06</v>
      </c>
      <c r="D137" s="181" t="n">
        <v>4799.258</v>
      </c>
      <c r="E137" s="181" t="n">
        <v>-47.198</v>
      </c>
      <c r="F137" s="181" t="n">
        <v>2227.6535</v>
      </c>
      <c r="G137" s="181" t="n">
        <v>-2.479218</v>
      </c>
      <c r="H137" s="181" t="n">
        <v>3.355466</v>
      </c>
      <c r="I137" s="181" t="inlineStr"/>
    </row>
    <row r="138" ht="15" customHeight="1" s="28">
      <c r="A138" s="182" t="n">
        <v>124</v>
      </c>
      <c r="B138" s="182" t="n">
        <v>123</v>
      </c>
      <c r="C138" s="182" t="n">
        <v>4755.07</v>
      </c>
      <c r="D138" s="182" t="n">
        <v>4799.0041</v>
      </c>
      <c r="E138" s="182" t="n">
        <v>-43.9341</v>
      </c>
      <c r="F138" s="182" t="n">
        <v>1930.2077</v>
      </c>
      <c r="G138" s="182" t="n">
        <v>-1.999628</v>
      </c>
      <c r="H138" s="182" t="n">
        <v>2.519217</v>
      </c>
      <c r="I138" s="182" t="inlineStr"/>
    </row>
    <row r="139" ht="15" customHeight="1" s="28">
      <c r="A139" s="181" t="n">
        <v>125</v>
      </c>
      <c r="B139" s="181" t="n">
        <v>124</v>
      </c>
      <c r="C139" s="181" t="n">
        <v>4752.17</v>
      </c>
      <c r="D139" s="181" t="n">
        <v>4798.7502</v>
      </c>
      <c r="E139" s="181" t="n">
        <v>-46.5802</v>
      </c>
      <c r="F139" s="181" t="n">
        <v>2169.7181</v>
      </c>
      <c r="G139" s="181" t="n">
        <v>-2.383132</v>
      </c>
      <c r="H139" s="181" t="n">
        <v>3.183202</v>
      </c>
      <c r="I139" s="181" t="inlineStr"/>
    </row>
    <row r="140" ht="15" customHeight="1" s="28">
      <c r="A140" s="182" t="n">
        <v>126</v>
      </c>
      <c r="B140" s="182" t="n">
        <v>125</v>
      </c>
      <c r="C140" s="182" t="n">
        <v>4765.66</v>
      </c>
      <c r="D140" s="182" t="n">
        <v>4798.4963</v>
      </c>
      <c r="E140" s="182" t="n">
        <v>-32.8363</v>
      </c>
      <c r="F140" s="182" t="n">
        <v>1078.2251</v>
      </c>
      <c r="G140" s="182" t="n">
        <v>-0.834848</v>
      </c>
      <c r="H140" s="182" t="n">
        <v>0.786098</v>
      </c>
      <c r="I140" s="182" t="inlineStr"/>
    </row>
    <row r="141" ht="15" customHeight="1" s="28">
      <c r="A141" s="181" t="n">
        <v>127</v>
      </c>
      <c r="B141" s="181" t="n">
        <v>126</v>
      </c>
      <c r="C141" s="181" t="n">
        <v>4764.3</v>
      </c>
      <c r="D141" s="181" t="n">
        <v>4798.2424</v>
      </c>
      <c r="E141" s="181" t="n">
        <v>-33.9424</v>
      </c>
      <c r="F141" s="181" t="n">
        <v>1152.0894</v>
      </c>
      <c r="G141" s="181" t="n">
        <v>-0.922088</v>
      </c>
      <c r="H141" s="181" t="n">
        <v>0.897491</v>
      </c>
      <c r="I141" s="181" t="inlineStr"/>
    </row>
    <row r="142" ht="15" customHeight="1" s="28">
      <c r="A142" s="182" t="n">
        <v>128</v>
      </c>
      <c r="B142" s="182" t="n">
        <v>127</v>
      </c>
      <c r="C142" s="182" t="n">
        <v>4772.93</v>
      </c>
      <c r="D142" s="182" t="n">
        <v>4797.9885</v>
      </c>
      <c r="E142" s="182" t="n">
        <v>-25.0585</v>
      </c>
      <c r="F142" s="182" t="n">
        <v>627.9308</v>
      </c>
      <c r="G142" s="182" t="n">
        <v>-0.371032</v>
      </c>
      <c r="H142" s="182" t="n">
        <v>0.266613</v>
      </c>
      <c r="I142" s="182" t="inlineStr"/>
    </row>
    <row r="143" ht="15" customHeight="1" s="28">
      <c r="A143" s="181" t="n">
        <v>129</v>
      </c>
      <c r="B143" s="181" t="n">
        <v>128</v>
      </c>
      <c r="C143" s="181" t="n">
        <v>4793.92</v>
      </c>
      <c r="D143" s="181" t="n">
        <v>4797.7347</v>
      </c>
      <c r="E143" s="181" t="n">
        <v>-3.8147</v>
      </c>
      <c r="F143" s="181" t="n">
        <v>14.5516</v>
      </c>
      <c r="G143" s="181" t="n">
        <v>-0.001309</v>
      </c>
      <c r="H143" s="181" t="n">
        <v>0.000143</v>
      </c>
      <c r="I143" s="181" t="inlineStr"/>
    </row>
    <row r="144" ht="15" customHeight="1" s="28">
      <c r="A144" s="182" t="n">
        <v>130</v>
      </c>
      <c r="B144" s="182" t="n">
        <v>129</v>
      </c>
      <c r="C144" s="182" t="n">
        <v>4802.69</v>
      </c>
      <c r="D144" s="182" t="n">
        <v>4797.4808</v>
      </c>
      <c r="E144" s="182" t="n">
        <v>5.2092</v>
      </c>
      <c r="F144" s="182" t="n">
        <v>27.1362</v>
      </c>
      <c r="G144" s="182" t="n">
        <v>0.003333</v>
      </c>
      <c r="H144" s="182" t="n">
        <v>0.000498</v>
      </c>
      <c r="I144" s="182" t="inlineStr"/>
    </row>
    <row r="145" ht="15" customHeight="1" s="28">
      <c r="A145" s="181" t="n">
        <v>131</v>
      </c>
      <c r="B145" s="181" t="n">
        <v>130</v>
      </c>
      <c r="C145" s="181" t="n">
        <v>4807.2</v>
      </c>
      <c r="D145" s="181" t="n">
        <v>4797.2269</v>
      </c>
      <c r="E145" s="181" t="n">
        <v>9.973100000000001</v>
      </c>
      <c r="F145" s="181" t="n">
        <v>99.4635</v>
      </c>
      <c r="G145" s="181" t="n">
        <v>0.02339</v>
      </c>
      <c r="H145" s="181" t="n">
        <v>0.006689</v>
      </c>
      <c r="I145" s="181" t="inlineStr"/>
    </row>
    <row r="146" ht="15" customHeight="1" s="28">
      <c r="A146" s="182" t="n">
        <v>132</v>
      </c>
      <c r="B146" s="182" t="n">
        <v>131</v>
      </c>
      <c r="C146" s="182" t="n">
        <v>4807.6</v>
      </c>
      <c r="D146" s="182" t="n">
        <v>4796.973</v>
      </c>
      <c r="E146" s="182" t="n">
        <v>10.627</v>
      </c>
      <c r="F146" s="182" t="n">
        <v>112.9339</v>
      </c>
      <c r="G146" s="182" t="n">
        <v>0.0283</v>
      </c>
      <c r="H146" s="182" t="n">
        <v>0.008624</v>
      </c>
      <c r="I146" s="182" t="inlineStr"/>
    </row>
    <row r="147" ht="15" customHeight="1" s="28">
      <c r="A147" s="181" t="n">
        <v>133</v>
      </c>
      <c r="B147" s="181" t="n">
        <v>132</v>
      </c>
      <c r="C147" s="181" t="n">
        <v>4800.99</v>
      </c>
      <c r="D147" s="181" t="n">
        <v>4796.7191</v>
      </c>
      <c r="E147" s="181" t="n">
        <v>4.2709</v>
      </c>
      <c r="F147" s="181" t="n">
        <v>18.2408</v>
      </c>
      <c r="G147" s="181" t="n">
        <v>0.001837</v>
      </c>
      <c r="H147" s="181" t="n">
        <v>0.000225</v>
      </c>
      <c r="I147" s="181" t="inlineStr"/>
    </row>
    <row r="148" ht="15" customHeight="1" s="28">
      <c r="A148" s="182" t="n">
        <v>134</v>
      </c>
      <c r="B148" s="182" t="n">
        <v>133</v>
      </c>
      <c r="C148" s="182" t="n">
        <v>4800.46</v>
      </c>
      <c r="D148" s="182" t="n">
        <v>4796.4652</v>
      </c>
      <c r="E148" s="182" t="n">
        <v>3.9948</v>
      </c>
      <c r="F148" s="182" t="n">
        <v>15.9586</v>
      </c>
      <c r="G148" s="182" t="n">
        <v>0.001503</v>
      </c>
      <c r="H148" s="182" t="n">
        <v>0.000172</v>
      </c>
      <c r="I148" s="182" t="inlineStr"/>
    </row>
    <row r="149" ht="15" customHeight="1" s="28">
      <c r="A149" s="181" t="n">
        <v>135</v>
      </c>
      <c r="B149" s="181" t="n">
        <v>134</v>
      </c>
      <c r="C149" s="181" t="n">
        <v>4796.33</v>
      </c>
      <c r="D149" s="181" t="n">
        <v>4796.2113</v>
      </c>
      <c r="E149" s="181" t="n">
        <v>0.1187</v>
      </c>
      <c r="F149" s="181" t="n">
        <v>0.0141</v>
      </c>
      <c r="G149" s="181" t="n">
        <v>0</v>
      </c>
      <c r="H149" s="181" t="n">
        <v>0</v>
      </c>
      <c r="I149" s="181" t="inlineStr"/>
    </row>
    <row r="150" ht="15" customHeight="1" s="28">
      <c r="A150" s="182" t="n">
        <v>136</v>
      </c>
      <c r="B150" s="182" t="n">
        <v>135</v>
      </c>
      <c r="C150" s="182" t="n">
        <v>4797.41</v>
      </c>
      <c r="D150" s="182" t="n">
        <v>4795.9574</v>
      </c>
      <c r="E150" s="182" t="n">
        <v>1.4526</v>
      </c>
      <c r="F150" s="182" t="n">
        <v>2.1101</v>
      </c>
      <c r="G150" s="182" t="n">
        <v>7.2e-05</v>
      </c>
      <c r="H150" s="182" t="n">
        <v>3e-06</v>
      </c>
      <c r="I150" s="182" t="inlineStr"/>
    </row>
    <row r="151" ht="15" customHeight="1" s="28">
      <c r="A151" s="181" t="n">
        <v>137</v>
      </c>
      <c r="B151" s="181" t="n">
        <v>136</v>
      </c>
      <c r="C151" s="181" t="n">
        <v>4791.47</v>
      </c>
      <c r="D151" s="181" t="n">
        <v>4795.7035</v>
      </c>
      <c r="E151" s="181" t="n">
        <v>-4.2335</v>
      </c>
      <c r="F151" s="181" t="n">
        <v>17.9224</v>
      </c>
      <c r="G151" s="181" t="n">
        <v>-0.001789</v>
      </c>
      <c r="H151" s="181" t="n">
        <v>0.000217</v>
      </c>
      <c r="I151" s="181" t="inlineStr"/>
    </row>
    <row r="152" ht="15" customHeight="1" s="28">
      <c r="A152" s="182" t="n">
        <v>138</v>
      </c>
      <c r="B152" s="182" t="n">
        <v>137</v>
      </c>
      <c r="C152" s="182" t="n">
        <v>4795.1</v>
      </c>
      <c r="D152" s="182" t="n">
        <v>4795.4496</v>
      </c>
      <c r="E152" s="182" t="n">
        <v>-0.3496</v>
      </c>
      <c r="F152" s="182" t="n">
        <v>0.1222</v>
      </c>
      <c r="G152" s="182" t="n">
        <v>-1e-06</v>
      </c>
      <c r="H152" s="182" t="n">
        <v>0</v>
      </c>
      <c r="I152" s="182" t="inlineStr"/>
    </row>
    <row r="153" ht="15" customHeight="1" s="28">
      <c r="A153" s="181" t="n">
        <v>139</v>
      </c>
      <c r="B153" s="181" t="n">
        <v>138</v>
      </c>
      <c r="C153" s="181" t="n">
        <v>4793.76</v>
      </c>
      <c r="D153" s="181" t="n">
        <v>4795.1957</v>
      </c>
      <c r="E153" s="181" t="n">
        <v>-1.4357</v>
      </c>
      <c r="F153" s="181" t="n">
        <v>2.0612</v>
      </c>
      <c r="G153" s="181" t="n">
        <v>-6.999999999999999e-05</v>
      </c>
      <c r="H153" s="181" t="n">
        <v>3e-06</v>
      </c>
      <c r="I153" s="181" t="inlineStr"/>
    </row>
    <row r="154" ht="15" customHeight="1" s="28">
      <c r="A154" s="182" t="n">
        <v>140</v>
      </c>
      <c r="B154" s="182" t="n">
        <v>139</v>
      </c>
      <c r="C154" s="182" t="n">
        <v>4790.91</v>
      </c>
      <c r="D154" s="182" t="n">
        <v>4794.9418</v>
      </c>
      <c r="E154" s="182" t="n">
        <v>-4.0318</v>
      </c>
      <c r="F154" s="182" t="n">
        <v>16.2554</v>
      </c>
      <c r="G154" s="182" t="n">
        <v>-0.001545</v>
      </c>
      <c r="H154" s="182" t="n">
        <v>0.000179</v>
      </c>
      <c r="I154" s="182" t="inlineStr"/>
    </row>
    <row r="155" ht="15" customHeight="1" s="28">
      <c r="A155" s="181" t="n">
        <v>141</v>
      </c>
      <c r="B155" s="181" t="n">
        <v>140</v>
      </c>
      <c r="C155" s="181" t="n">
        <v>4793.12</v>
      </c>
      <c r="D155" s="181" t="n">
        <v>4794.6879</v>
      </c>
      <c r="E155" s="181" t="n">
        <v>-1.5679</v>
      </c>
      <c r="F155" s="181" t="n">
        <v>2.4583</v>
      </c>
      <c r="G155" s="181" t="n">
        <v>-9.1e-05</v>
      </c>
      <c r="H155" s="181" t="n">
        <v>4e-06</v>
      </c>
      <c r="I155" s="181" t="inlineStr"/>
    </row>
    <row r="156" ht="15" customHeight="1" s="28">
      <c r="A156" s="182" t="n">
        <v>142</v>
      </c>
      <c r="B156" s="182" t="n">
        <v>141</v>
      </c>
      <c r="C156" s="182" t="n">
        <v>4794.79</v>
      </c>
      <c r="D156" s="182" t="n">
        <v>4794.434</v>
      </c>
      <c r="E156" s="182" t="n">
        <v>0.356</v>
      </c>
      <c r="F156" s="182" t="n">
        <v>0.1267</v>
      </c>
      <c r="G156" s="182" t="n">
        <v>1e-06</v>
      </c>
      <c r="H156" s="182" t="n">
        <v>0</v>
      </c>
      <c r="I156" s="182" t="inlineStr"/>
    </row>
    <row r="157" ht="15" customHeight="1" s="28">
      <c r="A157" s="181" t="n">
        <v>143</v>
      </c>
      <c r="B157" s="181" t="n">
        <v>142</v>
      </c>
      <c r="C157" s="181" t="n">
        <v>4787.34</v>
      </c>
      <c r="D157" s="181" t="n">
        <v>4794.1801</v>
      </c>
      <c r="E157" s="181" t="n">
        <v>-6.8401</v>
      </c>
      <c r="F157" s="181" t="n">
        <v>46.7872</v>
      </c>
      <c r="G157" s="181" t="n">
        <v>-0.007546</v>
      </c>
      <c r="H157" s="181" t="n">
        <v>0.00148</v>
      </c>
      <c r="I157" s="181" t="inlineStr"/>
    </row>
    <row r="158" ht="15" customHeight="1" s="28">
      <c r="A158" s="182" t="n">
        <v>144</v>
      </c>
      <c r="B158" s="182" t="n">
        <v>143</v>
      </c>
      <c r="C158" s="182" t="n">
        <v>4789.02</v>
      </c>
      <c r="D158" s="182" t="n">
        <v>4793.9262</v>
      </c>
      <c r="E158" s="182" t="n">
        <v>-4.9062</v>
      </c>
      <c r="F158" s="182" t="n">
        <v>24.071</v>
      </c>
      <c r="G158" s="182" t="n">
        <v>-0.002785</v>
      </c>
      <c r="H158" s="182" t="n">
        <v>0.000392</v>
      </c>
      <c r="I158" s="182" t="inlineStr"/>
    </row>
    <row r="159" ht="15" customHeight="1" s="28">
      <c r="A159" s="181" t="n">
        <v>145</v>
      </c>
      <c r="B159" s="181" t="n">
        <v>144</v>
      </c>
      <c r="C159" s="181" t="n">
        <v>4786.62</v>
      </c>
      <c r="D159" s="181" t="n">
        <v>4793.6723</v>
      </c>
      <c r="E159" s="181" t="n">
        <v>-7.0523</v>
      </c>
      <c r="F159" s="181" t="n">
        <v>49.7353</v>
      </c>
      <c r="G159" s="181" t="n">
        <v>-0.008271000000000001</v>
      </c>
      <c r="H159" s="181" t="n">
        <v>0.001673</v>
      </c>
      <c r="I159" s="181" t="inlineStr"/>
    </row>
    <row r="160" ht="15" customHeight="1" s="28">
      <c r="A160" s="182" t="n">
        <v>146</v>
      </c>
      <c r="B160" s="182" t="n">
        <v>145</v>
      </c>
      <c r="C160" s="182" t="n">
        <v>4788.05</v>
      </c>
      <c r="D160" s="182" t="n">
        <v>4793.4184</v>
      </c>
      <c r="E160" s="182" t="n">
        <v>-5.3684</v>
      </c>
      <c r="F160" s="182" t="n">
        <v>28.82</v>
      </c>
      <c r="G160" s="182" t="n">
        <v>-0.003648</v>
      </c>
      <c r="H160" s="182" t="n">
        <v>0.000562</v>
      </c>
      <c r="I160" s="182" t="inlineStr"/>
    </row>
    <row r="161" ht="15" customHeight="1" s="28">
      <c r="A161" s="181" t="n">
        <v>147</v>
      </c>
      <c r="B161" s="181" t="n">
        <v>146</v>
      </c>
      <c r="C161" s="181" t="n">
        <v>4780.97</v>
      </c>
      <c r="D161" s="181" t="n">
        <v>4793.1645</v>
      </c>
      <c r="E161" s="181" t="n">
        <v>-12.1945</v>
      </c>
      <c r="F161" s="181" t="n">
        <v>148.7066</v>
      </c>
      <c r="G161" s="181" t="n">
        <v>-0.04276</v>
      </c>
      <c r="H161" s="181" t="n">
        <v>0.014953</v>
      </c>
      <c r="I161" s="181" t="inlineStr"/>
    </row>
    <row r="162" ht="15" customHeight="1" s="28">
      <c r="A162" s="182" t="n">
        <v>148</v>
      </c>
      <c r="B162" s="182" t="n">
        <v>147</v>
      </c>
      <c r="C162" s="182" t="n">
        <v>4790.87</v>
      </c>
      <c r="D162" s="182" t="n">
        <v>4792.9106</v>
      </c>
      <c r="E162" s="182" t="n">
        <v>-2.0406</v>
      </c>
      <c r="F162" s="182" t="n">
        <v>4.1642</v>
      </c>
      <c r="G162" s="182" t="n">
        <v>-0.0002</v>
      </c>
      <c r="H162" s="182" t="n">
        <v>1.2e-05</v>
      </c>
      <c r="I162" s="182" t="inlineStr"/>
    </row>
    <row r="163" ht="15" customHeight="1" s="28">
      <c r="A163" s="181" t="n">
        <v>149</v>
      </c>
      <c r="B163" s="181" t="n">
        <v>148</v>
      </c>
      <c r="C163" s="181" t="n">
        <v>4790.56</v>
      </c>
      <c r="D163" s="181" t="n">
        <v>4792.6567</v>
      </c>
      <c r="E163" s="181" t="n">
        <v>-2.0967</v>
      </c>
      <c r="F163" s="181" t="n">
        <v>4.3963</v>
      </c>
      <c r="G163" s="181" t="n">
        <v>-0.000217</v>
      </c>
      <c r="H163" s="181" t="n">
        <v>1.3e-05</v>
      </c>
      <c r="I163" s="181" t="inlineStr"/>
    </row>
    <row r="164" ht="15" customHeight="1" s="28">
      <c r="A164" s="182" t="n">
        <v>150</v>
      </c>
      <c r="B164" s="182" t="n">
        <v>149</v>
      </c>
      <c r="C164" s="182" t="n">
        <v>4786.12</v>
      </c>
      <c r="D164" s="182" t="n">
        <v>4792.4028</v>
      </c>
      <c r="E164" s="182" t="n">
        <v>-6.2828</v>
      </c>
      <c r="F164" s="182" t="n">
        <v>39.4742</v>
      </c>
      <c r="G164" s="182" t="n">
        <v>-0.005848</v>
      </c>
      <c r="H164" s="182" t="n">
        <v>0.001054</v>
      </c>
      <c r="I164" s="182" t="inlineStr"/>
    </row>
    <row r="165" ht="15" customHeight="1" s="28">
      <c r="A165" s="181" t="n">
        <v>151</v>
      </c>
      <c r="B165" s="181" t="n">
        <v>150</v>
      </c>
      <c r="C165" s="181" t="n">
        <v>4790.24</v>
      </c>
      <c r="D165" s="181" t="n">
        <v>4792.149</v>
      </c>
      <c r="E165" s="181" t="n">
        <v>-1.909</v>
      </c>
      <c r="F165" s="181" t="n">
        <v>3.6441</v>
      </c>
      <c r="G165" s="181" t="n">
        <v>-0.000164</v>
      </c>
      <c r="H165" s="181" t="n">
        <v>9e-06</v>
      </c>
      <c r="I165" s="181" t="inlineStr"/>
    </row>
    <row r="166" ht="15" customHeight="1" s="28">
      <c r="A166" s="182" t="n">
        <v>152</v>
      </c>
      <c r="B166" s="182" t="n">
        <v>151</v>
      </c>
      <c r="C166" s="182" t="n">
        <v>4795.46</v>
      </c>
      <c r="D166" s="182" t="n">
        <v>4791.8951</v>
      </c>
      <c r="E166" s="182" t="n">
        <v>3.5649</v>
      </c>
      <c r="F166" s="182" t="n">
        <v>12.7088</v>
      </c>
      <c r="G166" s="182" t="n">
        <v>0.001068</v>
      </c>
      <c r="H166" s="182" t="n">
        <v>0.000109</v>
      </c>
      <c r="I166" s="182" t="inlineStr"/>
    </row>
    <row r="167" ht="15" customHeight="1" s="28">
      <c r="A167" s="181" t="n">
        <v>153</v>
      </c>
      <c r="B167" s="181" t="n">
        <v>152</v>
      </c>
      <c r="C167" s="181" t="n">
        <v>4797.47</v>
      </c>
      <c r="D167" s="181" t="n">
        <v>4791.6412</v>
      </c>
      <c r="E167" s="181" t="n">
        <v>5.8288</v>
      </c>
      <c r="F167" s="181" t="n">
        <v>33.9754</v>
      </c>
      <c r="G167" s="181" t="n">
        <v>0.00467</v>
      </c>
      <c r="H167" s="181" t="n">
        <v>0.000781</v>
      </c>
      <c r="I167" s="181" t="inlineStr"/>
    </row>
    <row r="168" ht="15" customHeight="1" s="28">
      <c r="A168" s="182" t="n">
        <v>154</v>
      </c>
      <c r="B168" s="182" t="n">
        <v>153</v>
      </c>
      <c r="C168" s="182" t="n">
        <v>4797.92</v>
      </c>
      <c r="D168" s="182" t="n">
        <v>4791.3873</v>
      </c>
      <c r="E168" s="182" t="n">
        <v>6.5327</v>
      </c>
      <c r="F168" s="182" t="n">
        <v>42.6766</v>
      </c>
      <c r="G168" s="182" t="n">
        <v>0.006574</v>
      </c>
      <c r="H168" s="182" t="n">
        <v>0.001232</v>
      </c>
      <c r="I168" s="182" t="inlineStr"/>
    </row>
    <row r="169" ht="15" customHeight="1" s="28">
      <c r="A169" s="181" t="n">
        <v>155</v>
      </c>
      <c r="B169" s="181" t="n">
        <v>154</v>
      </c>
      <c r="C169" s="181" t="n">
        <v>4797.69</v>
      </c>
      <c r="D169" s="181" t="n">
        <v>4791.1334</v>
      </c>
      <c r="E169" s="181" t="n">
        <v>6.5566</v>
      </c>
      <c r="F169" s="181" t="n">
        <v>42.9894</v>
      </c>
      <c r="G169" s="181" t="n">
        <v>0.006646</v>
      </c>
      <c r="H169" s="181" t="n">
        <v>0.00125</v>
      </c>
      <c r="I169" s="181" t="inlineStr"/>
    </row>
    <row r="170" ht="15" customHeight="1" s="28">
      <c r="A170" s="182" t="n">
        <v>156</v>
      </c>
      <c r="B170" s="182" t="n">
        <v>155</v>
      </c>
      <c r="C170" s="182" t="n">
        <v>4789.7</v>
      </c>
      <c r="D170" s="182" t="n">
        <v>4790.8795</v>
      </c>
      <c r="E170" s="182" t="n">
        <v>-1.1795</v>
      </c>
      <c r="F170" s="182" t="n">
        <v>1.3912</v>
      </c>
      <c r="G170" s="182" t="n">
        <v>-3.9e-05</v>
      </c>
      <c r="H170" s="182" t="n">
        <v>1e-06</v>
      </c>
      <c r="I170" s="182" t="inlineStr"/>
    </row>
    <row r="171" ht="15" customHeight="1" s="28">
      <c r="A171" s="181" t="n">
        <v>157</v>
      </c>
      <c r="B171" s="181" t="n">
        <v>156</v>
      </c>
      <c r="C171" s="181" t="n">
        <v>4789.48</v>
      </c>
      <c r="D171" s="181" t="n">
        <v>4790.6256</v>
      </c>
      <c r="E171" s="181" t="n">
        <v>-1.1456</v>
      </c>
      <c r="F171" s="181" t="n">
        <v>1.3123</v>
      </c>
      <c r="G171" s="181" t="n">
        <v>-3.5e-05</v>
      </c>
      <c r="H171" s="181" t="n">
        <v>1e-06</v>
      </c>
      <c r="I171" s="181" t="inlineStr"/>
    </row>
    <row r="172" ht="15" customHeight="1" s="28">
      <c r="A172" s="182" t="n">
        <v>158</v>
      </c>
      <c r="B172" s="182" t="n">
        <v>157</v>
      </c>
      <c r="C172" s="182" t="n">
        <v>4792.11</v>
      </c>
      <c r="D172" s="182" t="n">
        <v>4790.3717</v>
      </c>
      <c r="E172" s="182" t="n">
        <v>1.7383</v>
      </c>
      <c r="F172" s="182" t="n">
        <v>3.0218</v>
      </c>
      <c r="G172" s="182" t="n">
        <v>0.000124</v>
      </c>
      <c r="H172" s="182" t="n">
        <v>6e-06</v>
      </c>
      <c r="I172" s="182" t="inlineStr"/>
    </row>
    <row r="173" ht="15" customHeight="1" s="28">
      <c r="A173" s="181" t="n">
        <v>159</v>
      </c>
      <c r="B173" s="181" t="n">
        <v>158</v>
      </c>
      <c r="C173" s="181" t="n">
        <v>4792.48</v>
      </c>
      <c r="D173" s="181" t="n">
        <v>4790.1178</v>
      </c>
      <c r="E173" s="181" t="n">
        <v>2.3622</v>
      </c>
      <c r="F173" s="181" t="n">
        <v>5.5801</v>
      </c>
      <c r="G173" s="181" t="n">
        <v>0.000311</v>
      </c>
      <c r="H173" s="181" t="n">
        <v>2.1e-05</v>
      </c>
      <c r="I173" s="181" t="inlineStr"/>
    </row>
    <row r="174" ht="15" customHeight="1" s="28">
      <c r="A174" s="182" t="n">
        <v>160</v>
      </c>
      <c r="B174" s="182" t="n">
        <v>159</v>
      </c>
      <c r="C174" s="182" t="n">
        <v>4796.19</v>
      </c>
      <c r="D174" s="182" t="n">
        <v>4789.8639</v>
      </c>
      <c r="E174" s="182" t="n">
        <v>6.3261</v>
      </c>
      <c r="F174" s="182" t="n">
        <v>40.0197</v>
      </c>
      <c r="G174" s="182" t="n">
        <v>0.00597</v>
      </c>
      <c r="H174" s="182" t="n">
        <v>0.001083</v>
      </c>
      <c r="I174" s="182" t="inlineStr"/>
    </row>
    <row r="175" ht="15" customHeight="1" s="28">
      <c r="A175" s="181" t="n">
        <v>161</v>
      </c>
      <c r="B175" s="181" t="n">
        <v>160</v>
      </c>
      <c r="C175" s="181" t="n">
        <v>4796.07</v>
      </c>
      <c r="D175" s="181" t="n">
        <v>4789.61</v>
      </c>
      <c r="E175" s="181" t="n">
        <v>6.46</v>
      </c>
      <c r="F175" s="181" t="n">
        <v>41.7317</v>
      </c>
      <c r="G175" s="181" t="n">
        <v>0.006357</v>
      </c>
      <c r="H175" s="181" t="n">
        <v>0.001178</v>
      </c>
      <c r="I175" s="181" t="inlineStr"/>
    </row>
    <row r="176" ht="15" customHeight="1" s="28">
      <c r="A176" s="182" t="n">
        <v>162</v>
      </c>
      <c r="B176" s="182" t="n">
        <v>161</v>
      </c>
      <c r="C176" s="182" t="n">
        <v>4792.33</v>
      </c>
      <c r="D176" s="182" t="n">
        <v>4789.3561</v>
      </c>
      <c r="E176" s="182" t="n">
        <v>2.9739</v>
      </c>
      <c r="F176" s="182" t="n">
        <v>8.844099999999999</v>
      </c>
      <c r="G176" s="182" t="n">
        <v>0.00062</v>
      </c>
      <c r="H176" s="182" t="n">
        <v>5.3e-05</v>
      </c>
      <c r="I176" s="182" t="inlineStr"/>
    </row>
    <row r="177" ht="15" customHeight="1" s="28">
      <c r="A177" s="181" t="n">
        <v>163</v>
      </c>
      <c r="B177" s="181" t="n">
        <v>162</v>
      </c>
      <c r="C177" s="181" t="n">
        <v>4791.96</v>
      </c>
      <c r="D177" s="181" t="n">
        <v>4789.1022</v>
      </c>
      <c r="E177" s="181" t="n">
        <v>2.8578</v>
      </c>
      <c r="F177" s="181" t="n">
        <v>8.167</v>
      </c>
      <c r="G177" s="181" t="n">
        <v>0.00055</v>
      </c>
      <c r="H177" s="181" t="n">
        <v>4.5e-05</v>
      </c>
      <c r="I177" s="181" t="inlineStr"/>
    </row>
    <row r="178" ht="15" customHeight="1" s="28">
      <c r="A178" s="182" t="n">
        <v>164</v>
      </c>
      <c r="B178" s="182" t="n">
        <v>163</v>
      </c>
      <c r="C178" s="182" t="n">
        <v>4791.6</v>
      </c>
      <c r="D178" s="182" t="n">
        <v>4788.8483</v>
      </c>
      <c r="E178" s="182" t="n">
        <v>2.7517</v>
      </c>
      <c r="F178" s="182" t="n">
        <v>7.5718</v>
      </c>
      <c r="G178" s="182" t="n">
        <v>0.000491</v>
      </c>
      <c r="H178" s="182" t="n">
        <v>3.9e-05</v>
      </c>
      <c r="I178" s="182" t="inlineStr"/>
    </row>
    <row r="179" ht="15" customHeight="1" s="28">
      <c r="A179" s="181" t="n">
        <v>165</v>
      </c>
      <c r="B179" s="181" t="n">
        <v>164</v>
      </c>
      <c r="C179" s="181" t="n">
        <v>4795.76</v>
      </c>
      <c r="D179" s="181" t="n">
        <v>4788.5944</v>
      </c>
      <c r="E179" s="181" t="n">
        <v>7.1656</v>
      </c>
      <c r="F179" s="181" t="n">
        <v>51.3456</v>
      </c>
      <c r="G179" s="181" t="n">
        <v>0.008676</v>
      </c>
      <c r="H179" s="181" t="n">
        <v>0.001783</v>
      </c>
      <c r="I179" s="181" t="inlineStr"/>
    </row>
    <row r="180" ht="15" customHeight="1" s="28">
      <c r="A180" s="182" t="n">
        <v>166</v>
      </c>
      <c r="B180" s="182" t="n">
        <v>165</v>
      </c>
      <c r="C180" s="182" t="n">
        <v>4798.24</v>
      </c>
      <c r="D180" s="182" t="n">
        <v>4788.3405</v>
      </c>
      <c r="E180" s="182" t="n">
        <v>9.8995</v>
      </c>
      <c r="F180" s="182" t="n">
        <v>97.9997</v>
      </c>
      <c r="G180" s="182" t="n">
        <v>0.022876</v>
      </c>
      <c r="H180" s="182" t="n">
        <v>0.006494</v>
      </c>
      <c r="I180" s="182" t="inlineStr"/>
    </row>
    <row r="181" ht="15" customHeight="1" s="28">
      <c r="A181" s="181" t="n">
        <v>167</v>
      </c>
      <c r="B181" s="181" t="n">
        <v>166</v>
      </c>
      <c r="C181" s="181" t="n">
        <v>4795.08</v>
      </c>
      <c r="D181" s="181" t="n">
        <v>4788.0866</v>
      </c>
      <c r="E181" s="181" t="n">
        <v>6.9934</v>
      </c>
      <c r="F181" s="181" t="n">
        <v>48.9073</v>
      </c>
      <c r="G181" s="181" t="n">
        <v>0.008064999999999999</v>
      </c>
      <c r="H181" s="181" t="n">
        <v>0.001617</v>
      </c>
      <c r="I181" s="181" t="inlineStr"/>
    </row>
    <row r="182" ht="15" customHeight="1" s="28">
      <c r="A182" s="182" t="n">
        <v>168</v>
      </c>
      <c r="B182" s="182" t="n">
        <v>167</v>
      </c>
      <c r="C182" s="182" t="n">
        <v>4795.91</v>
      </c>
      <c r="D182" s="182" t="n">
        <v>4787.8327</v>
      </c>
      <c r="E182" s="182" t="n">
        <v>8.077299999999999</v>
      </c>
      <c r="F182" s="182" t="n">
        <v>65.2423</v>
      </c>
      <c r="G182" s="182" t="n">
        <v>0.012426</v>
      </c>
      <c r="H182" s="182" t="n">
        <v>0.002878</v>
      </c>
      <c r="I182" s="182" t="inlineStr"/>
    </row>
    <row r="183" ht="15" customHeight="1" s="28">
      <c r="A183" s="181" t="n">
        <v>169</v>
      </c>
      <c r="B183" s="181" t="n">
        <v>168</v>
      </c>
      <c r="C183" s="181" t="n">
        <v>4789.77</v>
      </c>
      <c r="D183" s="181" t="n">
        <v>4787.5788</v>
      </c>
      <c r="E183" s="181" t="n">
        <v>2.1912</v>
      </c>
      <c r="F183" s="181" t="n">
        <v>4.8012</v>
      </c>
      <c r="G183" s="181" t="n">
        <v>0.000248</v>
      </c>
      <c r="H183" s="181" t="n">
        <v>1.6e-05</v>
      </c>
      <c r="I183" s="181" t="inlineStr"/>
    </row>
    <row r="184" ht="15" customHeight="1" s="28">
      <c r="A184" s="182" t="n">
        <v>170</v>
      </c>
      <c r="B184" s="182" t="n">
        <v>169</v>
      </c>
      <c r="C184" s="182" t="n">
        <v>4788.34</v>
      </c>
      <c r="D184" s="182" t="n">
        <v>4787.3249</v>
      </c>
      <c r="E184" s="182" t="n">
        <v>1.0151</v>
      </c>
      <c r="F184" s="182" t="n">
        <v>1.0304</v>
      </c>
      <c r="G184" s="182" t="n">
        <v>2.5e-05</v>
      </c>
      <c r="H184" s="182" t="n">
        <v>1e-06</v>
      </c>
      <c r="I184" s="182" t="inlineStr"/>
    </row>
    <row r="185" ht="15" customHeight="1" s="28">
      <c r="A185" s="181" t="n">
        <v>171</v>
      </c>
      <c r="B185" s="181" t="n">
        <v>170</v>
      </c>
      <c r="C185" s="181" t="n">
        <v>4794.36</v>
      </c>
      <c r="D185" s="181" t="n">
        <v>4787.071</v>
      </c>
      <c r="E185" s="181" t="n">
        <v>7.289</v>
      </c>
      <c r="F185" s="181" t="n">
        <v>53.1289</v>
      </c>
      <c r="G185" s="181" t="n">
        <v>0.009131</v>
      </c>
      <c r="H185" s="181" t="n">
        <v>0.001909</v>
      </c>
      <c r="I185" s="181" t="inlineStr"/>
    </row>
    <row r="186" ht="15" customHeight="1" s="28">
      <c r="A186" s="182" t="n">
        <v>172</v>
      </c>
      <c r="B186" s="182" t="n">
        <v>171</v>
      </c>
      <c r="C186" s="182" t="n">
        <v>4810.44</v>
      </c>
      <c r="D186" s="182" t="n">
        <v>4786.8171</v>
      </c>
      <c r="E186" s="182" t="n">
        <v>23.6229</v>
      </c>
      <c r="F186" s="182" t="n">
        <v>558.0393</v>
      </c>
      <c r="G186" s="182" t="n">
        <v>0.310842</v>
      </c>
      <c r="H186" s="182" t="n">
        <v>0.210565</v>
      </c>
      <c r="I186" s="182" t="inlineStr"/>
    </row>
    <row r="187" ht="15" customHeight="1" s="28">
      <c r="A187" s="181" t="n">
        <v>173</v>
      </c>
      <c r="B187" s="181" t="n">
        <v>172</v>
      </c>
      <c r="C187" s="181" t="n">
        <v>4811.06</v>
      </c>
      <c r="D187" s="181" t="n">
        <v>4786.5632</v>
      </c>
      <c r="E187" s="181" t="n">
        <v>24.4968</v>
      </c>
      <c r="F187" s="181" t="n">
        <v>600.0907999999999</v>
      </c>
      <c r="G187" s="181" t="n">
        <v>0.346632</v>
      </c>
      <c r="H187" s="181" t="n">
        <v>0.243496</v>
      </c>
      <c r="I187" s="181" t="inlineStr"/>
    </row>
    <row r="188" ht="15" customHeight="1" s="28">
      <c r="A188" s="182" t="n">
        <v>174</v>
      </c>
      <c r="B188" s="182" t="n">
        <v>173</v>
      </c>
      <c r="C188" s="182" t="n">
        <v>4805.51</v>
      </c>
      <c r="D188" s="182" t="n">
        <v>4786.3094</v>
      </c>
      <c r="E188" s="182" t="n">
        <v>19.2006</v>
      </c>
      <c r="F188" s="182" t="n">
        <v>368.6648</v>
      </c>
      <c r="G188" s="182" t="n">
        <v>0.166913</v>
      </c>
      <c r="H188" s="182" t="n">
        <v>0.091901</v>
      </c>
      <c r="I188" s="182" t="inlineStr"/>
    </row>
    <row r="189" ht="15" customHeight="1" s="28">
      <c r="A189" s="181" t="n">
        <v>175</v>
      </c>
      <c r="B189" s="181" t="n">
        <v>174</v>
      </c>
      <c r="C189" s="181" t="n">
        <v>4806.11</v>
      </c>
      <c r="D189" s="181" t="n">
        <v>4786.0555</v>
      </c>
      <c r="E189" s="181" t="n">
        <v>20.0545</v>
      </c>
      <c r="F189" s="181" t="n">
        <v>402.1846</v>
      </c>
      <c r="G189" s="181" t="n">
        <v>0.190187</v>
      </c>
      <c r="H189" s="181" t="n">
        <v>0.109373</v>
      </c>
      <c r="I189" s="181" t="inlineStr"/>
    </row>
    <row r="190" ht="15" customHeight="1" s="28">
      <c r="A190" s="182" t="n">
        <v>176</v>
      </c>
      <c r="B190" s="182" t="n">
        <v>175</v>
      </c>
      <c r="C190" s="182" t="n">
        <v>4803.49</v>
      </c>
      <c r="D190" s="182" t="n">
        <v>4785.8016</v>
      </c>
      <c r="E190" s="182" t="n">
        <v>17.6884</v>
      </c>
      <c r="F190" s="182" t="n">
        <v>312.8808</v>
      </c>
      <c r="G190" s="182" t="n">
        <v>0.1305</v>
      </c>
      <c r="H190" s="182" t="n">
        <v>0.066194</v>
      </c>
      <c r="I190" s="182" t="inlineStr"/>
    </row>
    <row r="191" ht="15" customHeight="1" s="28">
      <c r="A191" s="181" t="n">
        <v>177</v>
      </c>
      <c r="B191" s="181" t="n">
        <v>176</v>
      </c>
      <c r="C191" s="181" t="n">
        <v>4815.51</v>
      </c>
      <c r="D191" s="181" t="n">
        <v>4785.5477</v>
      </c>
      <c r="E191" s="181" t="n">
        <v>29.9623</v>
      </c>
      <c r="F191" s="181" t="n">
        <v>897.7414</v>
      </c>
      <c r="G191" s="181" t="n">
        <v>0.634264</v>
      </c>
      <c r="H191" s="181" t="n">
        <v>0.544954</v>
      </c>
      <c r="I191" s="181" t="inlineStr"/>
    </row>
    <row r="192" ht="15" customHeight="1" s="28">
      <c r="A192" s="182" t="n">
        <v>178</v>
      </c>
      <c r="B192" s="182" t="n">
        <v>177</v>
      </c>
      <c r="C192" s="182" t="n">
        <v>4824.19</v>
      </c>
      <c r="D192" s="182" t="n">
        <v>4785.2938</v>
      </c>
      <c r="E192" s="182" t="n">
        <v>38.8962</v>
      </c>
      <c r="F192" s="182" t="n">
        <v>1512.9166</v>
      </c>
      <c r="G192" s="182" t="n">
        <v>1.387604</v>
      </c>
      <c r="H192" s="182" t="n">
        <v>1.547703</v>
      </c>
      <c r="I192" s="182" t="inlineStr"/>
    </row>
    <row r="193" ht="15" customHeight="1" s="28">
      <c r="A193" s="181" t="n">
        <v>179</v>
      </c>
      <c r="B193" s="181" t="n">
        <v>178</v>
      </c>
      <c r="C193" s="181" t="n">
        <v>4822.18</v>
      </c>
      <c r="D193" s="181" t="n">
        <v>4785.0399</v>
      </c>
      <c r="E193" s="181" t="n">
        <v>37.1401</v>
      </c>
      <c r="F193" s="181" t="n">
        <v>1379.3888</v>
      </c>
      <c r="G193" s="181" t="n">
        <v>1.208017</v>
      </c>
      <c r="H193" s="181" t="n">
        <v>1.286563</v>
      </c>
      <c r="I193" s="181" t="inlineStr"/>
    </row>
    <row r="194" ht="15" customHeight="1" s="28">
      <c r="A194" s="182" t="n">
        <v>180</v>
      </c>
      <c r="B194" s="182" t="n">
        <v>179</v>
      </c>
      <c r="C194" s="182" t="n">
        <v>4817.9</v>
      </c>
      <c r="D194" s="182" t="n">
        <v>4784.786</v>
      </c>
      <c r="E194" s="182" t="n">
        <v>33.114</v>
      </c>
      <c r="F194" s="182" t="n">
        <v>1096.5383</v>
      </c>
      <c r="G194" s="182" t="n">
        <v>0.8562070000000001</v>
      </c>
      <c r="H194" s="182" t="n">
        <v>0.8130270000000001</v>
      </c>
      <c r="I194" s="182" t="inlineStr"/>
    </row>
    <row r="195" ht="15" customHeight="1" s="28">
      <c r="A195" s="181" t="n">
        <v>181</v>
      </c>
      <c r="B195" s="181" t="n">
        <v>180</v>
      </c>
      <c r="C195" s="181" t="n">
        <v>4816.39</v>
      </c>
      <c r="D195" s="181" t="n">
        <v>4784.5321</v>
      </c>
      <c r="E195" s="181" t="n">
        <v>31.8579</v>
      </c>
      <c r="F195" s="181" t="n">
        <v>1014.9267</v>
      </c>
      <c r="G195" s="181" t="n">
        <v>0.762422</v>
      </c>
      <c r="H195" s="181" t="n">
        <v>0.696509</v>
      </c>
      <c r="I195" s="181" t="inlineStr"/>
    </row>
    <row r="196" ht="15" customHeight="1" s="28">
      <c r="A196" s="182" t="n">
        <v>182</v>
      </c>
      <c r="B196" s="182" t="n">
        <v>181</v>
      </c>
      <c r="C196" s="182" t="n">
        <v>4823.4</v>
      </c>
      <c r="D196" s="182" t="n">
        <v>4784.2782</v>
      </c>
      <c r="E196" s="182" t="n">
        <v>39.1218</v>
      </c>
      <c r="F196" s="182" t="n">
        <v>1530.516</v>
      </c>
      <c r="G196" s="182" t="n">
        <v>1.411887</v>
      </c>
      <c r="H196" s="182" t="n">
        <v>1.58392</v>
      </c>
      <c r="I196" s="182" t="inlineStr"/>
    </row>
    <row r="197" ht="15" customHeight="1" s="28">
      <c r="A197" s="181" t="n">
        <v>183</v>
      </c>
      <c r="B197" s="181" t="n">
        <v>182</v>
      </c>
      <c r="C197" s="181" t="n">
        <v>4814.18</v>
      </c>
      <c r="D197" s="181" t="n">
        <v>4784.0243</v>
      </c>
      <c r="E197" s="181" t="n">
        <v>30.1557</v>
      </c>
      <c r="F197" s="181" t="n">
        <v>909.3665999999999</v>
      </c>
      <c r="G197" s="181" t="n">
        <v>0.646624</v>
      </c>
      <c r="H197" s="181" t="n">
        <v>0.559159</v>
      </c>
      <c r="I197" s="181" t="inlineStr"/>
    </row>
    <row r="198" ht="15" customHeight="1" s="28">
      <c r="A198" s="182" t="n">
        <v>184</v>
      </c>
      <c r="B198" s="182" t="n">
        <v>183</v>
      </c>
      <c r="C198" s="182" t="n">
        <v>4805.31</v>
      </c>
      <c r="D198" s="182" t="n">
        <v>4783.7704</v>
      </c>
      <c r="E198" s="182" t="n">
        <v>21.5396</v>
      </c>
      <c r="F198" s="182" t="n">
        <v>463.9544</v>
      </c>
      <c r="G198" s="182" t="n">
        <v>0.235644</v>
      </c>
      <c r="H198" s="182" t="n">
        <v>0.145549</v>
      </c>
      <c r="I198" s="182" t="inlineStr"/>
    </row>
    <row r="199" ht="15" customHeight="1" s="28">
      <c r="A199" s="181" t="n">
        <v>185</v>
      </c>
      <c r="B199" s="181" t="n">
        <v>184</v>
      </c>
      <c r="C199" s="181" t="n">
        <v>4798.2</v>
      </c>
      <c r="D199" s="181" t="n">
        <v>4783.5165</v>
      </c>
      <c r="E199" s="181" t="n">
        <v>14.6835</v>
      </c>
      <c r="F199" s="181" t="n">
        <v>215.6051</v>
      </c>
      <c r="G199" s="181" t="n">
        <v>0.07464999999999999</v>
      </c>
      <c r="H199" s="181" t="n">
        <v>0.031432</v>
      </c>
      <c r="I199" s="181" t="inlineStr"/>
    </row>
    <row r="200" ht="15" customHeight="1" s="28">
      <c r="A200" s="182" t="n">
        <v>186</v>
      </c>
      <c r="B200" s="182" t="n">
        <v>185</v>
      </c>
      <c r="C200" s="182" t="n">
        <v>4808.64</v>
      </c>
      <c r="D200" s="182" t="n">
        <v>4783.2626</v>
      </c>
      <c r="E200" s="182" t="n">
        <v>25.3774</v>
      </c>
      <c r="F200" s="182" t="n">
        <v>644.0119999999999</v>
      </c>
      <c r="G200" s="182" t="n">
        <v>0.385376</v>
      </c>
      <c r="H200" s="182" t="n">
        <v>0.280444</v>
      </c>
      <c r="I200" s="182" t="inlineStr"/>
    </row>
    <row r="201" ht="15" customHeight="1" s="28">
      <c r="A201" s="181" t="n">
        <v>187</v>
      </c>
      <c r="B201" s="181" t="n">
        <v>186</v>
      </c>
      <c r="C201" s="181" t="n">
        <v>4800.36</v>
      </c>
      <c r="D201" s="181" t="n">
        <v>4783.0087</v>
      </c>
      <c r="E201" s="181" t="n">
        <v>17.3513</v>
      </c>
      <c r="F201" s="181" t="n">
        <v>301.0672</v>
      </c>
      <c r="G201" s="181" t="n">
        <v>0.123179</v>
      </c>
      <c r="H201" s="181" t="n">
        <v>0.061289</v>
      </c>
      <c r="I201" s="181" t="inlineStr"/>
    </row>
    <row r="202" ht="15" customHeight="1" s="28">
      <c r="A202" s="182" t="n">
        <v>188</v>
      </c>
      <c r="B202" s="182" t="n">
        <v>187</v>
      </c>
      <c r="C202" s="182" t="n">
        <v>4799.8</v>
      </c>
      <c r="D202" s="182" t="n">
        <v>4782.7548</v>
      </c>
      <c r="E202" s="182" t="n">
        <v>17.0452</v>
      </c>
      <c r="F202" s="182" t="n">
        <v>290.5383</v>
      </c>
      <c r="G202" s="182" t="n">
        <v>0.116775</v>
      </c>
      <c r="H202" s="182" t="n">
        <v>0.057077</v>
      </c>
      <c r="I202" s="182" t="inlineStr"/>
    </row>
    <row r="203" ht="15" customHeight="1" s="28">
      <c r="A203" s="181" t="n">
        <v>189</v>
      </c>
      <c r="B203" s="181" t="n">
        <v>188</v>
      </c>
      <c r="C203" s="181" t="n">
        <v>4798.42</v>
      </c>
      <c r="D203" s="181" t="n">
        <v>4782.5009</v>
      </c>
      <c r="E203" s="181" t="n">
        <v>15.9191</v>
      </c>
      <c r="F203" s="181" t="n">
        <v>253.4171</v>
      </c>
      <c r="G203" s="181" t="n">
        <v>0.095126</v>
      </c>
      <c r="H203" s="181" t="n">
        <v>0.043424</v>
      </c>
      <c r="I203" s="181" t="inlineStr"/>
    </row>
    <row r="204" ht="15" customHeight="1" s="28">
      <c r="A204" s="182" t="n">
        <v>190</v>
      </c>
      <c r="B204" s="182" t="n">
        <v>189</v>
      </c>
      <c r="C204" s="182" t="n">
        <v>4801.22</v>
      </c>
      <c r="D204" s="182" t="n">
        <v>4782.247</v>
      </c>
      <c r="E204" s="182" t="n">
        <v>18.973</v>
      </c>
      <c r="F204" s="182" t="n">
        <v>359.9737</v>
      </c>
      <c r="G204" s="182" t="n">
        <v>0.161046</v>
      </c>
      <c r="H204" s="182" t="n">
        <v>0.087619</v>
      </c>
      <c r="I204" s="182" t="inlineStr"/>
    </row>
    <row r="205" ht="15" customHeight="1" s="28">
      <c r="A205" s="181" t="n">
        <v>191</v>
      </c>
      <c r="B205" s="181" t="n">
        <v>190</v>
      </c>
      <c r="C205" s="181" t="n">
        <v>4801.79</v>
      </c>
      <c r="D205" s="181" t="n">
        <v>4781.9931</v>
      </c>
      <c r="E205" s="181" t="n">
        <v>19.7969</v>
      </c>
      <c r="F205" s="181" t="n">
        <v>391.916</v>
      </c>
      <c r="G205" s="181" t="n">
        <v>0.18295</v>
      </c>
      <c r="H205" s="181" t="n">
        <v>0.103859</v>
      </c>
      <c r="I205" s="181" t="inlineStr"/>
    </row>
    <row r="206" ht="15" customHeight="1" s="28">
      <c r="A206" s="182" t="n">
        <v>192</v>
      </c>
      <c r="B206" s="182" t="n">
        <v>191</v>
      </c>
      <c r="C206" s="182" t="n">
        <v>4805.59</v>
      </c>
      <c r="D206" s="182" t="n">
        <v>4781.7392</v>
      </c>
      <c r="E206" s="182" t="n">
        <v>23.8508</v>
      </c>
      <c r="F206" s="182" t="n">
        <v>568.859</v>
      </c>
      <c r="G206" s="182" t="n">
        <v>0.319926</v>
      </c>
      <c r="H206" s="182" t="n">
        <v>0.21881</v>
      </c>
      <c r="I206" s="182" t="inlineStr"/>
    </row>
    <row r="207" ht="15" customHeight="1" s="28">
      <c r="A207" s="181" t="n">
        <v>193</v>
      </c>
      <c r="B207" s="181" t="n">
        <v>192</v>
      </c>
      <c r="C207" s="181" t="n">
        <v>4808.86</v>
      </c>
      <c r="D207" s="181" t="n">
        <v>4781.4853</v>
      </c>
      <c r="E207" s="181" t="n">
        <v>27.3747</v>
      </c>
      <c r="F207" s="181" t="n">
        <v>749.372</v>
      </c>
      <c r="G207" s="181" t="n">
        <v>0.483715</v>
      </c>
      <c r="H207" s="181" t="n">
        <v>0.37971</v>
      </c>
      <c r="I207" s="181" t="inlineStr"/>
    </row>
    <row r="208" ht="15" customHeight="1" s="28">
      <c r="A208" s="182" t="n">
        <v>194</v>
      </c>
      <c r="B208" s="182" t="n">
        <v>193</v>
      </c>
      <c r="C208" s="182" t="n">
        <v>4810.07</v>
      </c>
      <c r="D208" s="182" t="n">
        <v>4781.2314</v>
      </c>
      <c r="E208" s="182" t="n">
        <v>28.8386</v>
      </c>
      <c r="F208" s="182" t="n">
        <v>831.6623</v>
      </c>
      <c r="G208" s="182" t="n">
        <v>0.56554</v>
      </c>
      <c r="H208" s="182" t="n">
        <v>0.467683</v>
      </c>
      <c r="I208" s="182" t="inlineStr"/>
    </row>
    <row r="209" ht="15" customHeight="1" s="28">
      <c r="A209" s="181" t="n">
        <v>195</v>
      </c>
      <c r="B209" s="181" t="n">
        <v>194</v>
      </c>
      <c r="C209" s="181" t="n">
        <v>4809.55</v>
      </c>
      <c r="D209" s="181" t="n">
        <v>4780.9775</v>
      </c>
      <c r="E209" s="181" t="n">
        <v>28.5725</v>
      </c>
      <c r="F209" s="181" t="n">
        <v>816.385</v>
      </c>
      <c r="G209" s="181" t="n">
        <v>0.550029</v>
      </c>
      <c r="H209" s="181" t="n">
        <v>0.450659</v>
      </c>
      <c r="I209" s="181" t="inlineStr"/>
    </row>
    <row r="210" ht="15" customHeight="1" s="28">
      <c r="A210" s="182" t="n">
        <v>196</v>
      </c>
      <c r="B210" s="182" t="n">
        <v>195</v>
      </c>
      <c r="C210" s="182" t="n">
        <v>4806.62</v>
      </c>
      <c r="D210" s="182" t="n">
        <v>4780.7237</v>
      </c>
      <c r="E210" s="182" t="n">
        <v>25.8963</v>
      </c>
      <c r="F210" s="182" t="n">
        <v>670.6208</v>
      </c>
      <c r="G210" s="182" t="n">
        <v>0.409505</v>
      </c>
      <c r="H210" s="182" t="n">
        <v>0.304097</v>
      </c>
      <c r="I210" s="182" t="inlineStr"/>
    </row>
    <row r="211" ht="15" customHeight="1" s="28">
      <c r="A211" s="181" t="n">
        <v>197</v>
      </c>
      <c r="B211" s="181" t="n">
        <v>196</v>
      </c>
      <c r="C211" s="181" t="n">
        <v>4815.51</v>
      </c>
      <c r="D211" s="181" t="n">
        <v>4780.4698</v>
      </c>
      <c r="E211" s="181" t="n">
        <v>35.0402</v>
      </c>
      <c r="F211" s="181" t="n">
        <v>1227.8186</v>
      </c>
      <c r="G211" s="181" t="n">
        <v>1.014482</v>
      </c>
      <c r="H211" s="181" t="n">
        <v>1.019356</v>
      </c>
      <c r="I211" s="181" t="inlineStr"/>
    </row>
    <row r="212" ht="15" customHeight="1" s="28">
      <c r="A212" s="182" t="n">
        <v>198</v>
      </c>
      <c r="B212" s="182" t="n">
        <v>197</v>
      </c>
      <c r="C212" s="182" t="n">
        <v>4813.5</v>
      </c>
      <c r="D212" s="182" t="n">
        <v>4780.2159</v>
      </c>
      <c r="E212" s="182" t="n">
        <v>33.2841</v>
      </c>
      <c r="F212" s="182" t="n">
        <v>1107.8338</v>
      </c>
      <c r="G212" s="182" t="n">
        <v>0.869471</v>
      </c>
      <c r="H212" s="182" t="n">
        <v>0.829864</v>
      </c>
      <c r="I212" s="182" t="inlineStr"/>
    </row>
    <row r="213" ht="15" customHeight="1" s="28">
      <c r="A213" s="181" t="n">
        <v>199</v>
      </c>
      <c r="B213" s="181" t="n">
        <v>198</v>
      </c>
      <c r="C213" s="181" t="n">
        <v>4814.44</v>
      </c>
      <c r="D213" s="181" t="n">
        <v>4779.962</v>
      </c>
      <c r="E213" s="181" t="n">
        <v>34.478</v>
      </c>
      <c r="F213" s="181" t="n">
        <v>1188.7348</v>
      </c>
      <c r="G213" s="181" t="n">
        <v>0.966431</v>
      </c>
      <c r="H213" s="181" t="n">
        <v>0.955493</v>
      </c>
      <c r="I213" s="181" t="inlineStr"/>
    </row>
    <row r="214" ht="15" customHeight="1" s="28">
      <c r="A214" s="182" t="n">
        <v>200</v>
      </c>
      <c r="B214" s="182" t="n">
        <v>199</v>
      </c>
      <c r="C214" s="182" t="n">
        <v>4814.05</v>
      </c>
      <c r="D214" s="182" t="n">
        <v>4779.7081</v>
      </c>
      <c r="E214" s="182" t="n">
        <v>34.3419</v>
      </c>
      <c r="F214" s="182" t="n">
        <v>1179.3681</v>
      </c>
      <c r="G214" s="182" t="n">
        <v>0.95503</v>
      </c>
      <c r="H214" s="182" t="n">
        <v>0.940495</v>
      </c>
      <c r="I214" s="182" t="inlineStr"/>
    </row>
    <row r="215" ht="15" customHeight="1" s="28">
      <c r="A215" s="181" t="n">
        <v>201</v>
      </c>
      <c r="B215" s="181" t="n">
        <v>200</v>
      </c>
      <c r="C215" s="181" t="n">
        <v>4820.26</v>
      </c>
      <c r="D215" s="181" t="n">
        <v>4779.4542</v>
      </c>
      <c r="E215" s="181" t="n">
        <v>40.8058</v>
      </c>
      <c r="F215" s="181" t="n">
        <v>1665.1153</v>
      </c>
      <c r="G215" s="181" t="n">
        <v>1.602174</v>
      </c>
      <c r="H215" s="181" t="n">
        <v>1.874762</v>
      </c>
      <c r="I215" s="181" t="inlineStr"/>
    </row>
    <row r="216" ht="15" customHeight="1" s="28">
      <c r="A216" s="182" t="n">
        <v>202</v>
      </c>
      <c r="B216" s="182" t="n">
        <v>201</v>
      </c>
      <c r="C216" s="182" t="n">
        <v>4817.26</v>
      </c>
      <c r="D216" s="182" t="n">
        <v>4779.2003</v>
      </c>
      <c r="E216" s="182" t="n">
        <v>38.0597</v>
      </c>
      <c r="F216" s="182" t="n">
        <v>1448.5423</v>
      </c>
      <c r="G216" s="182" t="n">
        <v>1.29999</v>
      </c>
      <c r="H216" s="182" t="n">
        <v>1.418796</v>
      </c>
      <c r="I216" s="182" t="inlineStr"/>
    </row>
    <row r="217" ht="15" customHeight="1" s="28">
      <c r="A217" s="181" t="n">
        <v>203</v>
      </c>
      <c r="B217" s="181" t="n">
        <v>202</v>
      </c>
      <c r="C217" s="181" t="n">
        <v>4811.66</v>
      </c>
      <c r="D217" s="181" t="n">
        <v>4778.9464</v>
      </c>
      <c r="E217" s="181" t="n">
        <v>32.7136</v>
      </c>
      <c r="F217" s="181" t="n">
        <v>1070.1806</v>
      </c>
      <c r="G217" s="181" t="n">
        <v>0.825522</v>
      </c>
      <c r="H217" s="181" t="n">
        <v>0.774411</v>
      </c>
      <c r="I217" s="181" t="inlineStr"/>
    </row>
    <row r="218" ht="15" customHeight="1" s="28">
      <c r="A218" s="182" t="n">
        <v>204</v>
      </c>
      <c r="B218" s="182" t="n">
        <v>203</v>
      </c>
      <c r="C218" s="182" t="n">
        <v>4814.24</v>
      </c>
      <c r="D218" s="182" t="n">
        <v>4778.6925</v>
      </c>
      <c r="E218" s="182" t="n">
        <v>35.5475</v>
      </c>
      <c r="F218" s="182" t="n">
        <v>1263.6255</v>
      </c>
      <c r="G218" s="182" t="n">
        <v>1.059182</v>
      </c>
      <c r="H218" s="182" t="n">
        <v>1.079678</v>
      </c>
      <c r="I218" s="182" t="inlineStr"/>
    </row>
    <row r="219" ht="15" customHeight="1" s="28">
      <c r="A219" s="181" t="n">
        <v>205</v>
      </c>
      <c r="B219" s="181" t="n">
        <v>204</v>
      </c>
      <c r="C219" s="181" t="n">
        <v>4813.42</v>
      </c>
      <c r="D219" s="181" t="n">
        <v>4778.4386</v>
      </c>
      <c r="E219" s="181" t="n">
        <v>34.9814</v>
      </c>
      <c r="F219" s="181" t="n">
        <v>1223.6988</v>
      </c>
      <c r="G219" s="181" t="n">
        <v>1.009381</v>
      </c>
      <c r="H219" s="181" t="n">
        <v>1.012527</v>
      </c>
      <c r="I219" s="181" t="inlineStr"/>
    </row>
    <row r="220" ht="15" customHeight="1" s="28">
      <c r="A220" s="182" t="n">
        <v>206</v>
      </c>
      <c r="B220" s="182" t="n">
        <v>205</v>
      </c>
      <c r="C220" s="182" t="n">
        <v>4815.85</v>
      </c>
      <c r="D220" s="182" t="n">
        <v>4778.1847</v>
      </c>
      <c r="E220" s="182" t="n">
        <v>37.6653</v>
      </c>
      <c r="F220" s="182" t="n">
        <v>1418.675</v>
      </c>
      <c r="G220" s="182" t="n">
        <v>1.259991</v>
      </c>
      <c r="H220" s="182" t="n">
        <v>1.360891</v>
      </c>
      <c r="I220" s="182" t="inlineStr"/>
    </row>
    <row r="221" ht="15" customHeight="1" s="28">
      <c r="A221" s="181" t="n">
        <v>207</v>
      </c>
      <c r="B221" s="181" t="n">
        <v>206</v>
      </c>
      <c r="C221" s="181" t="n">
        <v>4816.71</v>
      </c>
      <c r="D221" s="181" t="n">
        <v>4777.9308</v>
      </c>
      <c r="E221" s="181" t="n">
        <v>38.7792</v>
      </c>
      <c r="F221" s="181" t="n">
        <v>1503.8262</v>
      </c>
      <c r="G221" s="181" t="n">
        <v>1.375117</v>
      </c>
      <c r="H221" s="181" t="n">
        <v>1.52916</v>
      </c>
      <c r="I221" s="181" t="inlineStr"/>
    </row>
    <row r="222" ht="15" customHeight="1" s="28">
      <c r="A222" s="182" t="n">
        <v>208</v>
      </c>
      <c r="B222" s="182" t="n">
        <v>207</v>
      </c>
      <c r="C222" s="182" t="n">
        <v>4820.81</v>
      </c>
      <c r="D222" s="182" t="n">
        <v>4777.6769</v>
      </c>
      <c r="E222" s="182" t="n">
        <v>43.1331</v>
      </c>
      <c r="F222" s="182" t="n">
        <v>1860.4637</v>
      </c>
      <c r="G222" s="182" t="n">
        <v>1.892235</v>
      </c>
      <c r="H222" s="182" t="n">
        <v>2.340453</v>
      </c>
      <c r="I222" s="182" t="inlineStr"/>
    </row>
    <row r="223" ht="15" customHeight="1" s="28">
      <c r="A223" s="181" t="n">
        <v>209</v>
      </c>
      <c r="B223" s="181" t="n">
        <v>208</v>
      </c>
      <c r="C223" s="181" t="n">
        <v>4829.14</v>
      </c>
      <c r="D223" s="181" t="n">
        <v>4777.423</v>
      </c>
      <c r="E223" s="181" t="n">
        <v>51.717</v>
      </c>
      <c r="F223" s="181" t="n">
        <v>2674.6469</v>
      </c>
      <c r="G223" s="181" t="n">
        <v>3.261691</v>
      </c>
      <c r="H223" s="181" t="n">
        <v>4.83716</v>
      </c>
      <c r="I223" s="181" t="inlineStr"/>
    </row>
    <row r="224" ht="15" customHeight="1" s="28">
      <c r="A224" s="182" t="n">
        <v>210</v>
      </c>
      <c r="B224" s="182" t="n">
        <v>209</v>
      </c>
      <c r="C224" s="182" t="n">
        <v>4828.53</v>
      </c>
      <c r="D224" s="182" t="n">
        <v>4777.1691</v>
      </c>
      <c r="E224" s="182" t="n">
        <v>51.3609</v>
      </c>
      <c r="F224" s="182" t="n">
        <v>2637.9404</v>
      </c>
      <c r="G224" s="182" t="n">
        <v>3.194778</v>
      </c>
      <c r="H224" s="182" t="n">
        <v>4.705302</v>
      </c>
      <c r="I224" s="182" t="inlineStr"/>
    </row>
    <row r="225" ht="15" customHeight="1" s="28">
      <c r="A225" s="181" t="n">
        <v>211</v>
      </c>
      <c r="B225" s="181" t="n">
        <v>210</v>
      </c>
      <c r="C225" s="181" t="n">
        <v>4830.44</v>
      </c>
      <c r="D225" s="181" t="n">
        <v>4776.9152</v>
      </c>
      <c r="E225" s="181" t="n">
        <v>53.5248</v>
      </c>
      <c r="F225" s="181" t="n">
        <v>2864.902</v>
      </c>
      <c r="G225" s="181" t="n">
        <v>3.615829</v>
      </c>
      <c r="H225" s="181" t="n">
        <v>5.549797</v>
      </c>
      <c r="I225" s="181" t="inlineStr"/>
    </row>
    <row r="226" ht="15" customHeight="1" s="28">
      <c r="A226" s="182" t="n">
        <v>212</v>
      </c>
      <c r="B226" s="182" t="n">
        <v>211</v>
      </c>
      <c r="C226" s="182" t="n">
        <v>4827.62</v>
      </c>
      <c r="D226" s="182" t="n">
        <v>4776.6613</v>
      </c>
      <c r="E226" s="182" t="n">
        <v>50.9587</v>
      </c>
      <c r="F226" s="182" t="n">
        <v>2596.7866</v>
      </c>
      <c r="G226" s="182" t="n">
        <v>3.120309</v>
      </c>
      <c r="H226" s="182" t="n">
        <v>4.559635</v>
      </c>
      <c r="I226" s="182" t="inlineStr"/>
    </row>
    <row r="227" ht="15" customHeight="1" s="28">
      <c r="A227" s="181" t="n">
        <v>213</v>
      </c>
      <c r="B227" s="181" t="n">
        <v>212</v>
      </c>
      <c r="C227" s="181" t="n">
        <v>4825.77</v>
      </c>
      <c r="D227" s="181" t="n">
        <v>4776.4074</v>
      </c>
      <c r="E227" s="181" t="n">
        <v>49.3626</v>
      </c>
      <c r="F227" s="181" t="n">
        <v>2436.6634</v>
      </c>
      <c r="G227" s="181" t="n">
        <v>2.836198</v>
      </c>
      <c r="H227" s="181" t="n">
        <v>4.014659</v>
      </c>
      <c r="I227" s="181" t="inlineStr"/>
    </row>
    <row r="228" ht="15" customHeight="1" s="28">
      <c r="A228" s="182" t="n">
        <v>214</v>
      </c>
      <c r="B228" s="182" t="n">
        <v>213</v>
      </c>
      <c r="C228" s="182" t="n">
        <v>4825.84</v>
      </c>
      <c r="D228" s="182" t="n">
        <v>4776.1535</v>
      </c>
      <c r="E228" s="182" t="n">
        <v>49.6865</v>
      </c>
      <c r="F228" s="182" t="n">
        <v>2468.7449</v>
      </c>
      <c r="G228" s="182" t="n">
        <v>2.892394</v>
      </c>
      <c r="H228" s="182" t="n">
        <v>4.12107</v>
      </c>
      <c r="I228" s="182" t="inlineStr"/>
    </row>
    <row r="229" ht="15" customHeight="1" s="28">
      <c r="A229" s="181" t="n">
        <v>215</v>
      </c>
      <c r="B229" s="181" t="n">
        <v>214</v>
      </c>
      <c r="C229" s="181" t="n">
        <v>4824.16</v>
      </c>
      <c r="D229" s="181" t="n">
        <v>4775.8996</v>
      </c>
      <c r="E229" s="181" t="n">
        <v>48.2604</v>
      </c>
      <c r="F229" s="181" t="n">
        <v>2329.0625</v>
      </c>
      <c r="G229" s="181" t="n">
        <v>2.650421</v>
      </c>
      <c r="H229" s="181" t="n">
        <v>3.66792</v>
      </c>
      <c r="I229" s="181" t="inlineStr"/>
    </row>
    <row r="230" ht="15" customHeight="1" s="28">
      <c r="A230" s="182" t="n">
        <v>216</v>
      </c>
      <c r="B230" s="182" t="n">
        <v>215</v>
      </c>
      <c r="C230" s="182" t="n">
        <v>4821.76</v>
      </c>
      <c r="D230" s="182" t="n">
        <v>4775.6457</v>
      </c>
      <c r="E230" s="182" t="n">
        <v>46.1143</v>
      </c>
      <c r="F230" s="182" t="n">
        <v>2126.5247</v>
      </c>
      <c r="G230" s="182" t="n">
        <v>2.312325</v>
      </c>
      <c r="H230" s="182" t="n">
        <v>3.057725</v>
      </c>
      <c r="I230" s="182" t="inlineStr"/>
    </row>
    <row r="231" ht="15" customHeight="1" s="28">
      <c r="A231" s="181" t="n">
        <v>217</v>
      </c>
      <c r="B231" s="181" t="n">
        <v>216</v>
      </c>
      <c r="C231" s="181" t="n">
        <v>4828.53</v>
      </c>
      <c r="D231" s="181" t="n">
        <v>4775.3918</v>
      </c>
      <c r="E231" s="181" t="n">
        <v>53.1382</v>
      </c>
      <c r="F231" s="181" t="n">
        <v>2823.6632</v>
      </c>
      <c r="G231" s="181" t="n">
        <v>3.538038</v>
      </c>
      <c r="H231" s="181" t="n">
        <v>5.391174</v>
      </c>
      <c r="I231" s="181" t="inlineStr"/>
    </row>
    <row r="232" ht="15" customHeight="1" s="28">
      <c r="A232" s="182" t="n">
        <v>218</v>
      </c>
      <c r="B232" s="182" t="n">
        <v>217</v>
      </c>
      <c r="C232" s="182" t="n">
        <v>4819.92</v>
      </c>
      <c r="D232" s="182" t="n">
        <v>4775.138</v>
      </c>
      <c r="E232" s="182" t="n">
        <v>44.782</v>
      </c>
      <c r="F232" s="182" t="n">
        <v>2005.4318</v>
      </c>
      <c r="G232" s="182" t="n">
        <v>2.117654</v>
      </c>
      <c r="H232" s="182" t="n">
        <v>2.719402</v>
      </c>
      <c r="I232" s="182" t="inlineStr"/>
    </row>
    <row r="233" ht="15" customHeight="1" s="28">
      <c r="A233" s="181" t="n">
        <v>219</v>
      </c>
      <c r="B233" s="181" t="n">
        <v>218</v>
      </c>
      <c r="C233" s="181" t="n">
        <v>4822.66</v>
      </c>
      <c r="D233" s="181" t="n">
        <v>4774.8841</v>
      </c>
      <c r="E233" s="181" t="n">
        <v>47.7759</v>
      </c>
      <c r="F233" s="181" t="n">
        <v>2282.5408</v>
      </c>
      <c r="G233" s="181" t="n">
        <v>2.571408</v>
      </c>
      <c r="H233" s="181" t="n">
        <v>3.522854</v>
      </c>
      <c r="I233" s="181" t="inlineStr"/>
    </row>
    <row r="234" ht="15" customHeight="1" s="28">
      <c r="A234" s="182" t="n">
        <v>220</v>
      </c>
      <c r="B234" s="182" t="n">
        <v>219</v>
      </c>
      <c r="C234" s="182" t="n">
        <v>4823.76</v>
      </c>
      <c r="D234" s="182" t="n">
        <v>4774.6302</v>
      </c>
      <c r="E234" s="182" t="n">
        <v>49.1298</v>
      </c>
      <c r="F234" s="182" t="n">
        <v>2413.7411</v>
      </c>
      <c r="G234" s="182" t="n">
        <v>2.796271</v>
      </c>
      <c r="H234" s="182" t="n">
        <v>3.93948</v>
      </c>
      <c r="I234" s="182" t="inlineStr"/>
    </row>
    <row r="235" ht="15" customHeight="1" s="28">
      <c r="A235" s="181" t="n">
        <v>221</v>
      </c>
      <c r="B235" s="181" t="n">
        <v>220</v>
      </c>
      <c r="C235" s="181" t="n">
        <v>4814.78</v>
      </c>
      <c r="D235" s="181" t="n">
        <v>4774.3763</v>
      </c>
      <c r="E235" s="181" t="n">
        <v>40.4037</v>
      </c>
      <c r="F235" s="181" t="n">
        <v>1632.4618</v>
      </c>
      <c r="G235" s="181" t="n">
        <v>1.555277</v>
      </c>
      <c r="H235" s="181" t="n">
        <v>1.801954</v>
      </c>
      <c r="I235" s="181" t="inlineStr"/>
    </row>
    <row r="236" ht="15" customHeight="1" s="28">
      <c r="A236" s="182" t="n">
        <v>222</v>
      </c>
      <c r="B236" s="182" t="n">
        <v>221</v>
      </c>
      <c r="C236" s="182" t="n">
        <v>4818.7</v>
      </c>
      <c r="D236" s="182" t="n">
        <v>4774.1224</v>
      </c>
      <c r="E236" s="182" t="n">
        <v>44.5776</v>
      </c>
      <c r="F236" s="182" t="n">
        <v>1987.1651</v>
      </c>
      <c r="G236" s="182" t="n">
        <v>2.088787</v>
      </c>
      <c r="H236" s="182" t="n">
        <v>2.670087</v>
      </c>
      <c r="I236" s="182" t="inlineStr"/>
    </row>
    <row r="237" ht="15" customHeight="1" s="28">
      <c r="A237" s="181" t="n">
        <v>223</v>
      </c>
      <c r="B237" s="181" t="n">
        <v>222</v>
      </c>
      <c r="C237" s="181" t="n">
        <v>4813.59</v>
      </c>
      <c r="D237" s="181" t="n">
        <v>4773.8685</v>
      </c>
      <c r="E237" s="181" t="n">
        <v>39.7215</v>
      </c>
      <c r="F237" s="181" t="n">
        <v>1577.7996</v>
      </c>
      <c r="G237" s="181" t="n">
        <v>1.477818</v>
      </c>
      <c r="H237" s="181" t="n">
        <v>1.683299</v>
      </c>
      <c r="I237" s="181" t="inlineStr"/>
    </row>
    <row r="238" ht="15" customHeight="1" s="28">
      <c r="A238" s="182" t="n">
        <v>224</v>
      </c>
      <c r="B238" s="182" t="n">
        <v>223</v>
      </c>
      <c r="C238" s="182" t="n">
        <v>4810.06</v>
      </c>
      <c r="D238" s="182" t="n">
        <v>4773.6146</v>
      </c>
      <c r="E238" s="182" t="n">
        <v>36.4454</v>
      </c>
      <c r="F238" s="182" t="n">
        <v>1328.2687</v>
      </c>
      <c r="G238" s="182" t="n">
        <v>1.14149</v>
      </c>
      <c r="H238" s="182" t="n">
        <v>1.19297</v>
      </c>
      <c r="I238" s="182" t="inlineStr"/>
    </row>
    <row r="239" ht="15" customHeight="1" s="28">
      <c r="A239" s="181" t="n">
        <v>225</v>
      </c>
      <c r="B239" s="181" t="n">
        <v>224</v>
      </c>
      <c r="C239" s="181" t="n">
        <v>4807.3</v>
      </c>
      <c r="D239" s="181" t="n">
        <v>4773.3607</v>
      </c>
      <c r="E239" s="181" t="n">
        <v>33.9393</v>
      </c>
      <c r="F239" s="181" t="n">
        <v>1151.8772</v>
      </c>
      <c r="G239" s="181" t="n">
        <v>0.921833</v>
      </c>
      <c r="H239" s="181" t="n">
        <v>0.89716</v>
      </c>
      <c r="I239" s="181" t="inlineStr"/>
    </row>
    <row r="240" ht="15" customHeight="1" s="28">
      <c r="A240" s="182" t="n">
        <v>226</v>
      </c>
      <c r="B240" s="182" t="n">
        <v>225</v>
      </c>
      <c r="C240" s="182" t="n">
        <v>4807.73</v>
      </c>
      <c r="D240" s="182" t="n">
        <v>4773.1068</v>
      </c>
      <c r="E240" s="182" t="n">
        <v>34.6232</v>
      </c>
      <c r="F240" s="182" t="n">
        <v>1198.7668</v>
      </c>
      <c r="G240" s="182" t="n">
        <v>0.9786899999999999</v>
      </c>
      <c r="H240" s="182" t="n">
        <v>0.971688</v>
      </c>
      <c r="I240" s="182" t="inlineStr"/>
    </row>
    <row r="241" ht="15" customHeight="1" s="28">
      <c r="A241" s="181" t="n">
        <v>227</v>
      </c>
      <c r="B241" s="181" t="n">
        <v>226</v>
      </c>
      <c r="C241" s="181" t="n">
        <v>4806.61</v>
      </c>
      <c r="D241" s="181" t="n">
        <v>4772.8529</v>
      </c>
      <c r="E241" s="181" t="n">
        <v>33.7571</v>
      </c>
      <c r="F241" s="181" t="n">
        <v>1139.5423</v>
      </c>
      <c r="G241" s="181" t="n">
        <v>0.907066</v>
      </c>
      <c r="H241" s="181" t="n">
        <v>0.8780480000000001</v>
      </c>
      <c r="I241" s="181" t="inlineStr"/>
    </row>
    <row r="242" ht="15" customHeight="1" s="28">
      <c r="A242" s="182" t="n">
        <v>228</v>
      </c>
      <c r="B242" s="182" t="n">
        <v>227</v>
      </c>
      <c r="C242" s="182" t="n">
        <v>4806.9</v>
      </c>
      <c r="D242" s="182" t="n">
        <v>4772.599</v>
      </c>
      <c r="E242" s="182" t="n">
        <v>34.301</v>
      </c>
      <c r="F242" s="182" t="n">
        <v>1176.5588</v>
      </c>
      <c r="G242" s="182" t="n">
        <v>0.95162</v>
      </c>
      <c r="H242" s="182" t="n">
        <v>0.936019</v>
      </c>
      <c r="I242" s="182" t="inlineStr"/>
    </row>
    <row r="243" ht="15" customHeight="1" s="28">
      <c r="A243" s="181" t="n">
        <v>229</v>
      </c>
      <c r="B243" s="181" t="n">
        <v>228</v>
      </c>
      <c r="C243" s="181" t="n">
        <v>4800.74</v>
      </c>
      <c r="D243" s="181" t="n">
        <v>4772.3451</v>
      </c>
      <c r="E243" s="181" t="n">
        <v>28.3949</v>
      </c>
      <c r="F243" s="181" t="n">
        <v>806.2703</v>
      </c>
      <c r="G243" s="181" t="n">
        <v>0.539839</v>
      </c>
      <c r="H243" s="181" t="n">
        <v>0.439561</v>
      </c>
      <c r="I243" s="181" t="inlineStr"/>
    </row>
    <row r="244" ht="15" customHeight="1" s="28">
      <c r="A244" s="182" t="n">
        <v>230</v>
      </c>
      <c r="B244" s="182" t="n">
        <v>229</v>
      </c>
      <c r="C244" s="182" t="n">
        <v>4798.75</v>
      </c>
      <c r="D244" s="182" t="n">
        <v>4772.0912</v>
      </c>
      <c r="E244" s="182" t="n">
        <v>26.6588</v>
      </c>
      <c r="F244" s="182" t="n">
        <v>710.6913</v>
      </c>
      <c r="G244" s="182" t="n">
        <v>0.44675</v>
      </c>
      <c r="H244" s="182" t="n">
        <v>0.341523</v>
      </c>
      <c r="I244" s="182" t="inlineStr"/>
    </row>
    <row r="245" ht="15" customHeight="1" s="28">
      <c r="A245" s="181" t="n">
        <v>231</v>
      </c>
      <c r="B245" s="181" t="n">
        <v>230</v>
      </c>
      <c r="C245" s="181" t="n">
        <v>4795.2</v>
      </c>
      <c r="D245" s="181" t="n">
        <v>4771.8373</v>
      </c>
      <c r="E245" s="181" t="n">
        <v>23.3627</v>
      </c>
      <c r="F245" s="181" t="n">
        <v>545.8153</v>
      </c>
      <c r="G245" s="181" t="n">
        <v>0.300685</v>
      </c>
      <c r="H245" s="181" t="n">
        <v>0.201441</v>
      </c>
      <c r="I245" s="181" t="inlineStr"/>
    </row>
    <row r="246" ht="15" customHeight="1" s="28">
      <c r="A246" s="182" t="n">
        <v>232</v>
      </c>
      <c r="B246" s="182" t="n">
        <v>231</v>
      </c>
      <c r="C246" s="182" t="n">
        <v>4797.36</v>
      </c>
      <c r="D246" s="182" t="n">
        <v>4771.5834</v>
      </c>
      <c r="E246" s="182" t="n">
        <v>25.7766</v>
      </c>
      <c r="F246" s="182" t="n">
        <v>664.4323000000001</v>
      </c>
      <c r="G246" s="182" t="n">
        <v>0.403849</v>
      </c>
      <c r="H246" s="182" t="n">
        <v>0.29851</v>
      </c>
      <c r="I246" s="182" t="inlineStr"/>
    </row>
    <row r="247" ht="15" customHeight="1" s="28">
      <c r="A247" s="181" t="n">
        <v>233</v>
      </c>
      <c r="B247" s="181" t="n">
        <v>232</v>
      </c>
      <c r="C247" s="181" t="n">
        <v>4794.24</v>
      </c>
      <c r="D247" s="181" t="n">
        <v>4771.3295</v>
      </c>
      <c r="E247" s="181" t="n">
        <v>22.9105</v>
      </c>
      <c r="F247" s="181" t="n">
        <v>524.8901</v>
      </c>
      <c r="G247" s="181" t="n">
        <v>0.283561</v>
      </c>
      <c r="H247" s="181" t="n">
        <v>0.186292</v>
      </c>
      <c r="I247" s="181" t="inlineStr"/>
    </row>
    <row r="248" ht="15" customHeight="1" s="28">
      <c r="A248" s="182" t="n">
        <v>234</v>
      </c>
      <c r="B248" s="182" t="n">
        <v>233</v>
      </c>
      <c r="C248" s="182" t="n">
        <v>4792.33</v>
      </c>
      <c r="D248" s="182" t="n">
        <v>4771.0756</v>
      </c>
      <c r="E248" s="182" t="n">
        <v>21.2544</v>
      </c>
      <c r="F248" s="182" t="n">
        <v>451.7485</v>
      </c>
      <c r="G248" s="182" t="n">
        <v>0.226406</v>
      </c>
      <c r="H248" s="182" t="n">
        <v>0.137991</v>
      </c>
      <c r="I248" s="182" t="inlineStr"/>
    </row>
    <row r="249" ht="15" customHeight="1" s="28">
      <c r="A249" s="181" t="n">
        <v>235</v>
      </c>
      <c r="B249" s="181" t="n">
        <v>234</v>
      </c>
      <c r="C249" s="181" t="n">
        <v>4791.74</v>
      </c>
      <c r="D249" s="181" t="n">
        <v>4770.8217</v>
      </c>
      <c r="E249" s="181" t="n">
        <v>20.9183</v>
      </c>
      <c r="F249" s="181" t="n">
        <v>437.5741</v>
      </c>
      <c r="G249" s="181" t="n">
        <v>0.215834</v>
      </c>
      <c r="H249" s="181" t="n">
        <v>0.129467</v>
      </c>
      <c r="I249" s="181" t="inlineStr"/>
    </row>
    <row r="250" ht="15" customHeight="1" s="28">
      <c r="A250" s="182" t="n">
        <v>236</v>
      </c>
      <c r="B250" s="182" t="n">
        <v>235</v>
      </c>
      <c r="C250" s="182" t="n">
        <v>4789.16</v>
      </c>
      <c r="D250" s="182" t="n">
        <v>4770.5678</v>
      </c>
      <c r="E250" s="182" t="n">
        <v>18.5922</v>
      </c>
      <c r="F250" s="182" t="n">
        <v>345.6687</v>
      </c>
      <c r="G250" s="182" t="n">
        <v>0.151542</v>
      </c>
      <c r="H250" s="182" t="n">
        <v>0.080794</v>
      </c>
      <c r="I250" s="182" t="inlineStr"/>
    </row>
    <row r="251" ht="15" customHeight="1" s="28">
      <c r="A251" s="181" t="n">
        <v>237</v>
      </c>
      <c r="B251" s="181" t="n">
        <v>236</v>
      </c>
      <c r="C251" s="181" t="n">
        <v>4789.51</v>
      </c>
      <c r="D251" s="181" t="n">
        <v>4770.3139</v>
      </c>
      <c r="E251" s="181" t="n">
        <v>19.1961</v>
      </c>
      <c r="F251" s="181" t="n">
        <v>368.4888</v>
      </c>
      <c r="G251" s="181" t="n">
        <v>0.166794</v>
      </c>
      <c r="H251" s="181" t="n">
        <v>0.09181300000000001</v>
      </c>
      <c r="I251" s="181" t="inlineStr"/>
    </row>
    <row r="252" ht="15" customHeight="1" s="28">
      <c r="A252" s="182" t="n">
        <v>238</v>
      </c>
      <c r="B252" s="182" t="n">
        <v>237</v>
      </c>
      <c r="C252" s="182" t="n">
        <v>4787.58</v>
      </c>
      <c r="D252" s="182" t="n">
        <v>4770.06</v>
      </c>
      <c r="E252" s="182" t="n">
        <v>17.52</v>
      </c>
      <c r="F252" s="182" t="n">
        <v>306.9489</v>
      </c>
      <c r="G252" s="182" t="n">
        <v>0.126807</v>
      </c>
      <c r="H252" s="182" t="n">
        <v>0.063707</v>
      </c>
      <c r="I252" s="182" t="inlineStr"/>
    </row>
    <row r="253" ht="15" customHeight="1" s="28">
      <c r="A253" s="181" t="n">
        <v>239</v>
      </c>
      <c r="B253" s="181" t="n">
        <v>238</v>
      </c>
      <c r="C253" s="181" t="n">
        <v>4796.37</v>
      </c>
      <c r="D253" s="181" t="n">
        <v>4769.8061</v>
      </c>
      <c r="E253" s="181" t="n">
        <v>26.5639</v>
      </c>
      <c r="F253" s="181" t="n">
        <v>705.6383</v>
      </c>
      <c r="G253" s="181" t="n">
        <v>0.441994</v>
      </c>
      <c r="H253" s="181" t="n">
        <v>0.336684</v>
      </c>
      <c r="I253" s="181" t="inlineStr"/>
    </row>
    <row r="254" ht="15" customHeight="1" s="28">
      <c r="A254" s="182" t="n">
        <v>240</v>
      </c>
      <c r="B254" s="182" t="n">
        <v>239</v>
      </c>
      <c r="C254" s="182" t="n">
        <v>4784.33</v>
      </c>
      <c r="D254" s="182" t="n">
        <v>4769.5523</v>
      </c>
      <c r="E254" s="182" t="n">
        <v>14.7777</v>
      </c>
      <c r="F254" s="182" t="n">
        <v>218.3819</v>
      </c>
      <c r="G254" s="182" t="n">
        <v>0.076097</v>
      </c>
      <c r="H254" s="182" t="n">
        <v>0.032247</v>
      </c>
      <c r="I254" s="182" t="inlineStr"/>
    </row>
    <row r="255" ht="15" customHeight="1" s="28">
      <c r="A255" s="181" t="n">
        <v>241</v>
      </c>
      <c r="B255" s="181" t="n">
        <v>240</v>
      </c>
      <c r="C255" s="181" t="n">
        <v>4785.01</v>
      </c>
      <c r="D255" s="181" t="n">
        <v>4769.2984</v>
      </c>
      <c r="E255" s="181" t="n">
        <v>15.7116</v>
      </c>
      <c r="F255" s="181" t="n">
        <v>246.8558</v>
      </c>
      <c r="G255" s="181" t="n">
        <v>0.09145499999999999</v>
      </c>
      <c r="H255" s="181" t="n">
        <v>0.041204</v>
      </c>
      <c r="I255" s="181" t="inlineStr"/>
    </row>
    <row r="256" ht="15" customHeight="1" s="28">
      <c r="A256" s="182" t="n">
        <v>242</v>
      </c>
      <c r="B256" s="182" t="n">
        <v>241</v>
      </c>
      <c r="C256" s="182" t="n">
        <v>4778.93</v>
      </c>
      <c r="D256" s="182" t="n">
        <v>4769.0445</v>
      </c>
      <c r="E256" s="182" t="n">
        <v>9.8855</v>
      </c>
      <c r="F256" s="182" t="n">
        <v>97.7239</v>
      </c>
      <c r="G256" s="182" t="n">
        <v>0.02278</v>
      </c>
      <c r="H256" s="182" t="n">
        <v>0.006457</v>
      </c>
      <c r="I256" s="182" t="inlineStr"/>
    </row>
    <row r="257" ht="15" customHeight="1" s="28">
      <c r="A257" s="181" t="n">
        <v>243</v>
      </c>
      <c r="B257" s="181" t="n">
        <v>242</v>
      </c>
      <c r="C257" s="181" t="n">
        <v>4780.6</v>
      </c>
      <c r="D257" s="181" t="n">
        <v>4768.7906</v>
      </c>
      <c r="E257" s="181" t="n">
        <v>11.8094</v>
      </c>
      <c r="F257" s="181" t="n">
        <v>139.4628</v>
      </c>
      <c r="G257" s="181" t="n">
        <v>0.038836</v>
      </c>
      <c r="H257" s="181" t="n">
        <v>0.013151</v>
      </c>
      <c r="I257" s="181" t="inlineStr"/>
    </row>
    <row r="258" ht="15" customHeight="1" s="28">
      <c r="A258" s="182" t="n">
        <v>244</v>
      </c>
      <c r="B258" s="182" t="n">
        <v>243</v>
      </c>
      <c r="C258" s="182" t="n">
        <v>4778.73</v>
      </c>
      <c r="D258" s="182" t="n">
        <v>4768.5367</v>
      </c>
      <c r="E258" s="182" t="n">
        <v>10.1933</v>
      </c>
      <c r="F258" s="182" t="n">
        <v>103.904</v>
      </c>
      <c r="G258" s="182" t="n">
        <v>0.024974</v>
      </c>
      <c r="H258" s="182" t="n">
        <v>0.0073</v>
      </c>
      <c r="I258" s="182" t="inlineStr"/>
    </row>
    <row r="259" ht="15" customHeight="1" s="28">
      <c r="A259" s="181" t="n">
        <v>245</v>
      </c>
      <c r="B259" s="181" t="n">
        <v>244</v>
      </c>
      <c r="C259" s="181" t="n">
        <v>4782.82</v>
      </c>
      <c r="D259" s="181" t="n">
        <v>4768.2828</v>
      </c>
      <c r="E259" s="181" t="n">
        <v>14.5372</v>
      </c>
      <c r="F259" s="181" t="n">
        <v>211.3309</v>
      </c>
      <c r="G259" s="181" t="n">
        <v>0.07244200000000001</v>
      </c>
      <c r="H259" s="181" t="n">
        <v>0.030198</v>
      </c>
      <c r="I259" s="181" t="inlineStr"/>
    </row>
    <row r="260" ht="15" customHeight="1" s="28">
      <c r="A260" s="182" t="n">
        <v>246</v>
      </c>
      <c r="B260" s="182" t="n">
        <v>245</v>
      </c>
      <c r="C260" s="182" t="n">
        <v>4783.35</v>
      </c>
      <c r="D260" s="182" t="n">
        <v>4768.0289</v>
      </c>
      <c r="E260" s="182" t="n">
        <v>15.3211</v>
      </c>
      <c r="F260" s="182" t="n">
        <v>234.7368</v>
      </c>
      <c r="G260" s="182" t="n">
        <v>0.084804</v>
      </c>
      <c r="H260" s="182" t="n">
        <v>0.037258</v>
      </c>
      <c r="I260" s="182" t="inlineStr"/>
    </row>
    <row r="261" ht="15" customHeight="1" s="28">
      <c r="A261" s="181" t="n">
        <v>247</v>
      </c>
      <c r="B261" s="181" t="n">
        <v>246</v>
      </c>
      <c r="C261" s="181" t="n">
        <v>4786.75</v>
      </c>
      <c r="D261" s="181" t="n">
        <v>4767.775</v>
      </c>
      <c r="E261" s="181" t="n">
        <v>18.975</v>
      </c>
      <c r="F261" s="181" t="n">
        <v>360.0513</v>
      </c>
      <c r="G261" s="181" t="n">
        <v>0.161098</v>
      </c>
      <c r="H261" s="181" t="n">
        <v>0.087657</v>
      </c>
      <c r="I261" s="181" t="inlineStr"/>
    </row>
    <row r="262" ht="15" customHeight="1" s="28">
      <c r="A262" s="182" t="n">
        <v>248</v>
      </c>
      <c r="B262" s="182" t="n">
        <v>247</v>
      </c>
      <c r="C262" s="182" t="n">
        <v>4785.87</v>
      </c>
      <c r="D262" s="182" t="n">
        <v>4767.5211</v>
      </c>
      <c r="E262" s="182" t="n">
        <v>18.3489</v>
      </c>
      <c r="F262" s="182" t="n">
        <v>336.6826</v>
      </c>
      <c r="G262" s="182" t="n">
        <v>0.145671</v>
      </c>
      <c r="H262" s="182" t="n">
        <v>0.07664799999999999</v>
      </c>
      <c r="I262" s="182" t="inlineStr"/>
    </row>
    <row r="263" ht="15" customHeight="1" s="28">
      <c r="A263" s="181" t="n">
        <v>249</v>
      </c>
      <c r="B263" s="181" t="n">
        <v>248</v>
      </c>
      <c r="C263" s="181" t="n">
        <v>4776.03</v>
      </c>
      <c r="D263" s="181" t="n">
        <v>4767.2672</v>
      </c>
      <c r="E263" s="181" t="n">
        <v>8.7628</v>
      </c>
      <c r="F263" s="181" t="n">
        <v>76.7868</v>
      </c>
      <c r="G263" s="181" t="n">
        <v>0.015866</v>
      </c>
      <c r="H263" s="181" t="n">
        <v>0.003987</v>
      </c>
      <c r="I263" s="181" t="inlineStr"/>
    </row>
    <row r="264" ht="15" customHeight="1" s="28">
      <c r="A264" s="182" t="n">
        <v>250</v>
      </c>
      <c r="B264" s="182" t="n">
        <v>249</v>
      </c>
      <c r="C264" s="182" t="n">
        <v>4787.2</v>
      </c>
      <c r="D264" s="182" t="n">
        <v>4767.0133</v>
      </c>
      <c r="E264" s="182" t="n">
        <v>20.1867</v>
      </c>
      <c r="F264" s="182" t="n">
        <v>407.503</v>
      </c>
      <c r="G264" s="182" t="n">
        <v>0.193972</v>
      </c>
      <c r="H264" s="182" t="n">
        <v>0.112284</v>
      </c>
      <c r="I264" s="182" t="inlineStr"/>
    </row>
    <row r="265" ht="15" customHeight="1" s="28">
      <c r="A265" s="181" t="n">
        <v>251</v>
      </c>
      <c r="B265" s="181" t="n">
        <v>250</v>
      </c>
      <c r="C265" s="181" t="n">
        <v>4791.78</v>
      </c>
      <c r="D265" s="181" t="n">
        <v>4766.7594</v>
      </c>
      <c r="E265" s="181" t="n">
        <v>25.0206</v>
      </c>
      <c r="F265" s="181" t="n">
        <v>626.0304</v>
      </c>
      <c r="G265" s="181" t="n">
        <v>0.369348</v>
      </c>
      <c r="H265" s="181" t="n">
        <v>0.265002</v>
      </c>
      <c r="I265" s="181" t="inlineStr"/>
    </row>
    <row r="266" ht="15" customHeight="1" s="28">
      <c r="A266" s="182" t="n">
        <v>252</v>
      </c>
      <c r="B266" s="182" t="n">
        <v>251</v>
      </c>
      <c r="C266" s="182" t="n">
        <v>4786.04</v>
      </c>
      <c r="D266" s="182" t="n">
        <v>4766.5055</v>
      </c>
      <c r="E266" s="182" t="n">
        <v>19.5345</v>
      </c>
      <c r="F266" s="182" t="n">
        <v>381.5965</v>
      </c>
      <c r="G266" s="182" t="n">
        <v>0.175772</v>
      </c>
      <c r="H266" s="182" t="n">
        <v>0.09846100000000001</v>
      </c>
      <c r="I266" s="182" t="inlineStr"/>
    </row>
    <row r="267" ht="15" customHeight="1" s="28">
      <c r="A267" s="181" t="n">
        <v>253</v>
      </c>
      <c r="B267" s="181" t="n">
        <v>252</v>
      </c>
      <c r="C267" s="181" t="n">
        <v>4784.2</v>
      </c>
      <c r="D267" s="181" t="n">
        <v>4766.2516</v>
      </c>
      <c r="E267" s="181" t="n">
        <v>17.9484</v>
      </c>
      <c r="F267" s="181" t="n">
        <v>322.1447</v>
      </c>
      <c r="G267" s="181" t="n">
        <v>0.136339</v>
      </c>
      <c r="H267" s="181" t="n">
        <v>0.070171</v>
      </c>
      <c r="I267" s="181" t="inlineStr"/>
    </row>
    <row r="268" ht="15" customHeight="1" s="28">
      <c r="A268" s="182" t="n">
        <v>254</v>
      </c>
      <c r="B268" s="182" t="n">
        <v>253</v>
      </c>
      <c r="C268" s="182" t="n">
        <v>4782.14</v>
      </c>
      <c r="D268" s="182" t="n">
        <v>4765.9977</v>
      </c>
      <c r="E268" s="182" t="n">
        <v>16.1423</v>
      </c>
      <c r="F268" s="182" t="n">
        <v>260.5734</v>
      </c>
      <c r="G268" s="182" t="n">
        <v>0.09918299999999999</v>
      </c>
      <c r="H268" s="182" t="n">
        <v>0.045911</v>
      </c>
      <c r="I268" s="182" t="inlineStr"/>
    </row>
    <row r="269" ht="15" customHeight="1" s="28">
      <c r="A269" s="181" t="n">
        <v>255</v>
      </c>
      <c r="B269" s="181" t="n">
        <v>254</v>
      </c>
      <c r="C269" s="181" t="n">
        <v>4787.2</v>
      </c>
      <c r="D269" s="181" t="n">
        <v>4765.7438</v>
      </c>
      <c r="E269" s="181" t="n">
        <v>21.4562</v>
      </c>
      <c r="F269" s="181" t="n">
        <v>460.3677</v>
      </c>
      <c r="G269" s="181" t="n">
        <v>0.232917</v>
      </c>
      <c r="H269" s="181" t="n">
        <v>0.143307</v>
      </c>
      <c r="I269" s="181" t="inlineStr"/>
    </row>
    <row r="270" ht="15" customHeight="1" s="28">
      <c r="A270" s="182" t="n">
        <v>256</v>
      </c>
      <c r="B270" s="182" t="n">
        <v>255</v>
      </c>
      <c r="C270" s="182" t="n">
        <v>4783.8</v>
      </c>
      <c r="D270" s="182" t="n">
        <v>4765.4899</v>
      </c>
      <c r="E270" s="182" t="n">
        <v>18.3101</v>
      </c>
      <c r="F270" s="182" t="n">
        <v>335.2589</v>
      </c>
      <c r="G270" s="182" t="n">
        <v>0.144748</v>
      </c>
      <c r="H270" s="182" t="n">
        <v>0.076001</v>
      </c>
      <c r="I270" s="182" t="inlineStr"/>
    </row>
    <row r="271" ht="15" customHeight="1" s="28">
      <c r="A271" s="181" t="n">
        <v>257</v>
      </c>
      <c r="B271" s="181" t="n">
        <v>256</v>
      </c>
      <c r="C271" s="181" t="n">
        <v>4783.02</v>
      </c>
      <c r="D271" s="181" t="n">
        <v>4765.236</v>
      </c>
      <c r="E271" s="181" t="n">
        <v>17.784</v>
      </c>
      <c r="F271" s="181" t="n">
        <v>316.2697</v>
      </c>
      <c r="G271" s="181" t="n">
        <v>0.132626</v>
      </c>
      <c r="H271" s="181" t="n">
        <v>0.067635</v>
      </c>
      <c r="I271" s="181" t="inlineStr"/>
    </row>
    <row r="272" ht="15" customHeight="1" s="28">
      <c r="A272" s="182" t="n">
        <v>258</v>
      </c>
      <c r="B272" s="182" t="n">
        <v>257</v>
      </c>
      <c r="C272" s="182" t="n">
        <v>4783.07</v>
      </c>
      <c r="D272" s="182" t="n">
        <v>4764.9821</v>
      </c>
      <c r="E272" s="182" t="n">
        <v>18.0879</v>
      </c>
      <c r="F272" s="182" t="n">
        <v>327.171</v>
      </c>
      <c r="G272" s="182" t="n">
        <v>0.139542</v>
      </c>
      <c r="H272" s="182" t="n">
        <v>0.072378</v>
      </c>
      <c r="I272" s="182" t="inlineStr"/>
    </row>
    <row r="273" ht="15" customHeight="1" s="28">
      <c r="A273" s="181" t="n">
        <v>259</v>
      </c>
      <c r="B273" s="181" t="n">
        <v>258</v>
      </c>
      <c r="C273" s="181" t="n">
        <v>4786.25</v>
      </c>
      <c r="D273" s="181" t="n">
        <v>4764.7282</v>
      </c>
      <c r="E273" s="181" t="n">
        <v>21.5218</v>
      </c>
      <c r="F273" s="181" t="n">
        <v>463.1863</v>
      </c>
      <c r="G273" s="181" t="n">
        <v>0.235059</v>
      </c>
      <c r="H273" s="181" t="n">
        <v>0.145067</v>
      </c>
      <c r="I273" s="181" t="inlineStr"/>
    </row>
    <row r="274" ht="15" customHeight="1" s="28">
      <c r="A274" s="182" t="n">
        <v>260</v>
      </c>
      <c r="B274" s="182" t="n">
        <v>259</v>
      </c>
      <c r="C274" s="182" t="n">
        <v>4789.79</v>
      </c>
      <c r="D274" s="182" t="n">
        <v>4764.4743</v>
      </c>
      <c r="E274" s="182" t="n">
        <v>25.3157</v>
      </c>
      <c r="F274" s="182" t="n">
        <v>640.8826</v>
      </c>
      <c r="G274" s="182" t="n">
        <v>0.38257</v>
      </c>
      <c r="H274" s="182" t="n">
        <v>0.277725</v>
      </c>
      <c r="I274" s="182" t="inlineStr"/>
    </row>
    <row r="275" ht="15" customHeight="1" s="28">
      <c r="A275" s="181" t="n">
        <v>261</v>
      </c>
      <c r="B275" s="181" t="n">
        <v>260</v>
      </c>
      <c r="C275" s="181" t="n">
        <v>4781.77</v>
      </c>
      <c r="D275" s="181" t="n">
        <v>4764.2204</v>
      </c>
      <c r="E275" s="181" t="n">
        <v>17.5496</v>
      </c>
      <c r="F275" s="181" t="n">
        <v>307.9869</v>
      </c>
      <c r="G275" s="181" t="n">
        <v>0.12745</v>
      </c>
      <c r="H275" s="181" t="n">
        <v>0.064139</v>
      </c>
      <c r="I275" s="181" t="inlineStr"/>
    </row>
    <row r="276" ht="15" customHeight="1" s="28">
      <c r="A276" s="182" t="n">
        <v>262</v>
      </c>
      <c r="B276" s="182" t="n">
        <v>261</v>
      </c>
      <c r="C276" s="182" t="n">
        <v>4783.57</v>
      </c>
      <c r="D276" s="182" t="n">
        <v>4763.9666</v>
      </c>
      <c r="E276" s="182" t="n">
        <v>19.6034</v>
      </c>
      <c r="F276" s="182" t="n">
        <v>384.2952</v>
      </c>
      <c r="G276" s="182" t="n">
        <v>0.17764</v>
      </c>
      <c r="H276" s="182" t="n">
        <v>0.099859</v>
      </c>
      <c r="I276" s="182" t="inlineStr"/>
    </row>
    <row r="277" ht="15" customHeight="1" s="28">
      <c r="A277" s="181" t="n">
        <v>263</v>
      </c>
      <c r="B277" s="181" t="n">
        <v>262</v>
      </c>
      <c r="C277" s="181" t="n">
        <v>4793.1</v>
      </c>
      <c r="D277" s="181" t="n">
        <v>4763.7127</v>
      </c>
      <c r="E277" s="181" t="n">
        <v>29.3873</v>
      </c>
      <c r="F277" s="181" t="n">
        <v>863.6161</v>
      </c>
      <c r="G277" s="181" t="n">
        <v>0.598445</v>
      </c>
      <c r="H277" s="181" t="n">
        <v>0.504312</v>
      </c>
      <c r="I277" s="181" t="inlineStr"/>
    </row>
    <row r="278" ht="15" customHeight="1" s="28">
      <c r="A278" s="182" t="n">
        <v>264</v>
      </c>
      <c r="B278" s="182" t="n">
        <v>263</v>
      </c>
      <c r="C278" s="182" t="n">
        <v>4794.61</v>
      </c>
      <c r="D278" s="182" t="n">
        <v>4763.4588</v>
      </c>
      <c r="E278" s="182" t="n">
        <v>31.1512</v>
      </c>
      <c r="F278" s="182" t="n">
        <v>970.3998</v>
      </c>
      <c r="G278" s="182" t="n">
        <v>0.712803</v>
      </c>
      <c r="H278" s="182" t="n">
        <v>0.6367350000000001</v>
      </c>
      <c r="I278" s="182" t="inlineStr"/>
    </row>
    <row r="279" ht="15" customHeight="1" s="28">
      <c r="A279" s="181" t="n">
        <v>265</v>
      </c>
      <c r="B279" s="181" t="n">
        <v>264</v>
      </c>
      <c r="C279" s="181" t="n">
        <v>4791.06</v>
      </c>
      <c r="D279" s="181" t="n">
        <v>4763.2049</v>
      </c>
      <c r="E279" s="181" t="n">
        <v>27.8551</v>
      </c>
      <c r="F279" s="181" t="n">
        <v>775.9086</v>
      </c>
      <c r="G279" s="181" t="n">
        <v>0.5096349999999999</v>
      </c>
      <c r="H279" s="181" t="n">
        <v>0.407079</v>
      </c>
      <c r="I279" s="181" t="inlineStr"/>
    </row>
    <row r="280" ht="15" customHeight="1" s="28">
      <c r="A280" s="182" t="n">
        <v>266</v>
      </c>
      <c r="B280" s="182" t="n">
        <v>265</v>
      </c>
      <c r="C280" s="182" t="n">
        <v>4780.61</v>
      </c>
      <c r="D280" s="182" t="n">
        <v>4762.951</v>
      </c>
      <c r="E280" s="182" t="n">
        <v>17.659</v>
      </c>
      <c r="F280" s="182" t="n">
        <v>311.8414</v>
      </c>
      <c r="G280" s="182" t="n">
        <v>0.129851</v>
      </c>
      <c r="H280" s="182" t="n">
        <v>0.06575400000000001</v>
      </c>
      <c r="I280" s="182" t="inlineStr"/>
    </row>
    <row r="281" ht="15" customHeight="1" s="28">
      <c r="A281" s="181" t="n">
        <v>267</v>
      </c>
      <c r="B281" s="181" t="n">
        <v>266</v>
      </c>
      <c r="C281" s="181" t="n">
        <v>4778.89</v>
      </c>
      <c r="D281" s="181" t="n">
        <v>4762.6971</v>
      </c>
      <c r="E281" s="181" t="n">
        <v>16.1929</v>
      </c>
      <c r="F281" s="181" t="n">
        <v>262.2109</v>
      </c>
      <c r="G281" s="181" t="n">
        <v>0.10012</v>
      </c>
      <c r="H281" s="181" t="n">
        <v>0.04649</v>
      </c>
      <c r="I281" s="181" t="inlineStr"/>
    </row>
    <row r="282" ht="15" customHeight="1" s="28">
      <c r="A282" s="182" t="n">
        <v>268</v>
      </c>
      <c r="B282" s="182" t="n">
        <v>267</v>
      </c>
      <c r="C282" s="182" t="n">
        <v>4778.78</v>
      </c>
      <c r="D282" s="182" t="n">
        <v>4762.4432</v>
      </c>
      <c r="E282" s="182" t="n">
        <v>16.3368</v>
      </c>
      <c r="F282" s="182" t="n">
        <v>266.8918</v>
      </c>
      <c r="G282" s="182" t="n">
        <v>0.102813</v>
      </c>
      <c r="H282" s="182" t="n">
        <v>0.048165</v>
      </c>
      <c r="I282" s="182" t="inlineStr"/>
    </row>
    <row r="283" ht="15" customHeight="1" s="28">
      <c r="A283" s="181" t="n">
        <v>269</v>
      </c>
      <c r="B283" s="181" t="n">
        <v>268</v>
      </c>
      <c r="C283" s="181" t="n">
        <v>4765.33</v>
      </c>
      <c r="D283" s="181" t="n">
        <v>4762.1893</v>
      </c>
      <c r="E283" s="181" t="n">
        <v>3.1407</v>
      </c>
      <c r="F283" s="181" t="n">
        <v>9.864100000000001</v>
      </c>
      <c r="G283" s="181" t="n">
        <v>0.000731</v>
      </c>
      <c r="H283" s="181" t="n">
        <v>6.600000000000001e-05</v>
      </c>
      <c r="I283" s="181" t="inlineStr"/>
    </row>
    <row r="284" ht="15" customHeight="1" s="28">
      <c r="A284" s="182" t="n">
        <v>270</v>
      </c>
      <c r="B284" s="182" t="n">
        <v>269</v>
      </c>
      <c r="C284" s="182" t="n">
        <v>4774.96</v>
      </c>
      <c r="D284" s="182" t="n">
        <v>4761.9354</v>
      </c>
      <c r="E284" s="182" t="n">
        <v>13.0246</v>
      </c>
      <c r="F284" s="182" t="n">
        <v>169.6406</v>
      </c>
      <c r="G284" s="182" t="n">
        <v>0.0521</v>
      </c>
      <c r="H284" s="182" t="n">
        <v>0.019459</v>
      </c>
      <c r="I284" s="182" t="inlineStr"/>
    </row>
    <row r="285" ht="15" customHeight="1" s="28">
      <c r="A285" s="181" t="n">
        <v>271</v>
      </c>
      <c r="B285" s="181" t="n">
        <v>270</v>
      </c>
      <c r="C285" s="181" t="n">
        <v>4789.04</v>
      </c>
      <c r="D285" s="181" t="n">
        <v>4761.6815</v>
      </c>
      <c r="E285" s="181" t="n">
        <v>27.3585</v>
      </c>
      <c r="F285" s="181" t="n">
        <v>748.4880000000001</v>
      </c>
      <c r="G285" s="181" t="n">
        <v>0.482859</v>
      </c>
      <c r="H285" s="181" t="n">
        <v>0.378815</v>
      </c>
      <c r="I285" s="181" t="inlineStr"/>
    </row>
    <row r="286" ht="15" customHeight="1" s="28">
      <c r="A286" s="182" t="n">
        <v>272</v>
      </c>
      <c r="B286" s="182" t="n">
        <v>271</v>
      </c>
      <c r="C286" s="182" t="n">
        <v>4779.16</v>
      </c>
      <c r="D286" s="182" t="n">
        <v>4761.4276</v>
      </c>
      <c r="E286" s="182" t="n">
        <v>17.7324</v>
      </c>
      <c r="F286" s="182" t="n">
        <v>314.4382</v>
      </c>
      <c r="G286" s="182" t="n">
        <v>0.131476</v>
      </c>
      <c r="H286" s="182" t="n">
        <v>0.066854</v>
      </c>
      <c r="I286" s="182" t="inlineStr"/>
    </row>
    <row r="287" ht="15" customHeight="1" s="28">
      <c r="A287" s="181" t="n">
        <v>273</v>
      </c>
      <c r="B287" s="181" t="n">
        <v>272</v>
      </c>
      <c r="C287" s="181" t="n">
        <v>4778.53</v>
      </c>
      <c r="D287" s="181" t="n">
        <v>4761.1737</v>
      </c>
      <c r="E287" s="181" t="n">
        <v>17.3563</v>
      </c>
      <c r="F287" s="181" t="n">
        <v>301.2412</v>
      </c>
      <c r="G287" s="181" t="n">
        <v>0.123286</v>
      </c>
      <c r="H287" s="181" t="n">
        <v>0.06136</v>
      </c>
      <c r="I287" s="181" t="inlineStr"/>
    </row>
    <row r="288" ht="15" customHeight="1" s="28">
      <c r="A288" s="182" t="n">
        <v>274</v>
      </c>
      <c r="B288" s="182" t="n">
        <v>273</v>
      </c>
      <c r="C288" s="182" t="n">
        <v>4774.24</v>
      </c>
      <c r="D288" s="182" t="n">
        <v>4760.9198</v>
      </c>
      <c r="E288" s="182" t="n">
        <v>13.3202</v>
      </c>
      <c r="F288" s="182" t="n">
        <v>177.4276</v>
      </c>
      <c r="G288" s="182" t="n">
        <v>0.055728</v>
      </c>
      <c r="H288" s="182" t="n">
        <v>0.021286</v>
      </c>
      <c r="I288" s="182" t="inlineStr"/>
    </row>
    <row r="289" ht="15" customHeight="1" s="28">
      <c r="A289" s="181" t="n">
        <v>275</v>
      </c>
      <c r="B289" s="181" t="n">
        <v>274</v>
      </c>
      <c r="C289" s="181" t="n">
        <v>4744.7</v>
      </c>
      <c r="D289" s="181" t="n">
        <v>4760.6659</v>
      </c>
      <c r="E289" s="181" t="n">
        <v>-15.9659</v>
      </c>
      <c r="F289" s="181" t="n">
        <v>254.9102</v>
      </c>
      <c r="G289" s="181" t="n">
        <v>-0.095967</v>
      </c>
      <c r="H289" s="181" t="n">
        <v>0.043937</v>
      </c>
      <c r="I289" s="181" t="inlineStr"/>
    </row>
    <row r="290" ht="15" customHeight="1" s="28">
      <c r="A290" s="182" t="n">
        <v>276</v>
      </c>
      <c r="B290" s="182" t="n">
        <v>275</v>
      </c>
      <c r="C290" s="182" t="n">
        <v>4738.97</v>
      </c>
      <c r="D290" s="182" t="n">
        <v>4760.412</v>
      </c>
      <c r="E290" s="182" t="n">
        <v>-21.442</v>
      </c>
      <c r="F290" s="182" t="n">
        <v>459.7599</v>
      </c>
      <c r="G290" s="182" t="n">
        <v>-0.232456</v>
      </c>
      <c r="H290" s="182" t="n">
        <v>0.142929</v>
      </c>
      <c r="I290" s="182" t="inlineStr"/>
    </row>
    <row r="291" ht="15" customHeight="1" s="28">
      <c r="A291" s="181" t="n">
        <v>277</v>
      </c>
      <c r="B291" s="181" t="n">
        <v>276</v>
      </c>
      <c r="C291" s="181" t="n">
        <v>4748.21</v>
      </c>
      <c r="D291" s="181" t="n">
        <v>4760.1581</v>
      </c>
      <c r="E291" s="181" t="n">
        <v>-11.9481</v>
      </c>
      <c r="F291" s="181" t="n">
        <v>142.7575</v>
      </c>
      <c r="G291" s="181" t="n">
        <v>-0.04022</v>
      </c>
      <c r="H291" s="181" t="n">
        <v>0.01378</v>
      </c>
      <c r="I291" s="181" t="inlineStr"/>
    </row>
    <row r="292" ht="15" customHeight="1" s="28">
      <c r="A292" s="182" t="n">
        <v>278</v>
      </c>
      <c r="B292" s="182" t="n">
        <v>277</v>
      </c>
      <c r="C292" s="182" t="n">
        <v>4742.57</v>
      </c>
      <c r="D292" s="182" t="n">
        <v>4759.9042</v>
      </c>
      <c r="E292" s="182" t="n">
        <v>-17.3342</v>
      </c>
      <c r="F292" s="182" t="n">
        <v>300.4753</v>
      </c>
      <c r="G292" s="182" t="n">
        <v>-0.122816</v>
      </c>
      <c r="H292" s="182" t="n">
        <v>0.061049</v>
      </c>
      <c r="I292" s="182" t="inlineStr"/>
    </row>
    <row r="293" ht="15" customHeight="1" s="28">
      <c r="A293" s="181" t="n">
        <v>279</v>
      </c>
      <c r="B293" s="181" t="n">
        <v>278</v>
      </c>
      <c r="C293" s="181" t="n">
        <v>4745.93</v>
      </c>
      <c r="D293" s="181" t="n">
        <v>4759.6503</v>
      </c>
      <c r="E293" s="181" t="n">
        <v>-13.7203</v>
      </c>
      <c r="F293" s="181" t="n">
        <v>188.2474</v>
      </c>
      <c r="G293" s="181" t="n">
        <v>-0.060903</v>
      </c>
      <c r="H293" s="181" t="n">
        <v>0.023962</v>
      </c>
      <c r="I293" s="181" t="inlineStr"/>
    </row>
    <row r="294" ht="15" customHeight="1" s="28">
      <c r="A294" s="182" t="n">
        <v>280</v>
      </c>
      <c r="B294" s="182" t="n">
        <v>279</v>
      </c>
      <c r="C294" s="182" t="n">
        <v>4741.81</v>
      </c>
      <c r="D294" s="182" t="n">
        <v>4759.3964</v>
      </c>
      <c r="E294" s="182" t="n">
        <v>-17.5864</v>
      </c>
      <c r="F294" s="182" t="n">
        <v>309.2826</v>
      </c>
      <c r="G294" s="182" t="n">
        <v>-0.128256</v>
      </c>
      <c r="H294" s="182" t="n">
        <v>0.06468</v>
      </c>
      <c r="I294" s="182" t="inlineStr"/>
    </row>
    <row r="295" ht="15" customHeight="1" s="28">
      <c r="A295" s="181" t="n">
        <v>281</v>
      </c>
      <c r="B295" s="181" t="n">
        <v>280</v>
      </c>
      <c r="C295" s="181" t="n">
        <v>4730.44</v>
      </c>
      <c r="D295" s="181" t="n">
        <v>4759.1425</v>
      </c>
      <c r="E295" s="181" t="n">
        <v>-28.7025</v>
      </c>
      <c r="F295" s="181" t="n">
        <v>823.8356</v>
      </c>
      <c r="G295" s="181" t="n">
        <v>-0.557576</v>
      </c>
      <c r="H295" s="181" t="n">
        <v>0.458922</v>
      </c>
      <c r="I295" s="181" t="inlineStr"/>
    </row>
    <row r="296" ht="15" customHeight="1" s="28">
      <c r="A296" s="182" t="n">
        <v>282</v>
      </c>
      <c r="B296" s="182" t="n">
        <v>281</v>
      </c>
      <c r="C296" s="182" t="n">
        <v>4720.86</v>
      </c>
      <c r="D296" s="182" t="n">
        <v>4758.8886</v>
      </c>
      <c r="E296" s="182" t="n">
        <v>-38.0286</v>
      </c>
      <c r="F296" s="182" t="n">
        <v>1446.1775</v>
      </c>
      <c r="G296" s="182" t="n">
        <v>-1.296808</v>
      </c>
      <c r="H296" s="182" t="n">
        <v>1.414167</v>
      </c>
      <c r="I296" s="182" t="inlineStr"/>
    </row>
    <row r="297" ht="15" customHeight="1" s="28">
      <c r="A297" s="181" t="n">
        <v>283</v>
      </c>
      <c r="B297" s="181" t="n">
        <v>282</v>
      </c>
      <c r="C297" s="181" t="n">
        <v>4721.05</v>
      </c>
      <c r="D297" s="181" t="n">
        <v>4758.6347</v>
      </c>
      <c r="E297" s="181" t="n">
        <v>-37.5847</v>
      </c>
      <c r="F297" s="181" t="n">
        <v>1412.613</v>
      </c>
      <c r="G297" s="181" t="n">
        <v>-1.251924</v>
      </c>
      <c r="H297" s="181" t="n">
        <v>1.349286</v>
      </c>
      <c r="I297" s="181" t="inlineStr"/>
    </row>
    <row r="298" ht="15" customHeight="1" s="28">
      <c r="A298" s="182" t="n">
        <v>284</v>
      </c>
      <c r="B298" s="182" t="n">
        <v>283</v>
      </c>
      <c r="C298" s="182" t="n">
        <v>4711.56</v>
      </c>
      <c r="D298" s="182" t="n">
        <v>4758.3808</v>
      </c>
      <c r="E298" s="182" t="n">
        <v>-46.8208</v>
      </c>
      <c r="F298" s="182" t="n">
        <v>2192.1919</v>
      </c>
      <c r="G298" s="182" t="n">
        <v>-2.420255</v>
      </c>
      <c r="H298" s="182" t="n">
        <v>3.249486</v>
      </c>
      <c r="I298" s="182" t="inlineStr"/>
    </row>
    <row r="299" ht="15" customHeight="1" s="28">
      <c r="A299" s="181" t="n">
        <v>285</v>
      </c>
      <c r="B299" s="181" t="n">
        <v>284</v>
      </c>
      <c r="C299" s="181" t="n">
        <v>4706.5</v>
      </c>
      <c r="D299" s="181" t="n">
        <v>4758.127</v>
      </c>
      <c r="E299" s="181" t="n">
        <v>-51.627</v>
      </c>
      <c r="F299" s="181" t="n">
        <v>2665.3424</v>
      </c>
      <c r="G299" s="181" t="n">
        <v>-3.244686</v>
      </c>
      <c r="H299" s="181" t="n">
        <v>4.803564</v>
      </c>
      <c r="I299" s="181" t="inlineStr"/>
    </row>
    <row r="300" ht="15" customHeight="1" s="28">
      <c r="A300" s="182" t="n">
        <v>286</v>
      </c>
      <c r="B300" s="182" t="n">
        <v>285</v>
      </c>
      <c r="C300" s="182" t="n">
        <v>4700.29</v>
      </c>
      <c r="D300" s="182" t="n">
        <v>4757.8731</v>
      </c>
      <c r="E300" s="182" t="n">
        <v>-57.5831</v>
      </c>
      <c r="F300" s="182" t="n">
        <v>3315.8086</v>
      </c>
      <c r="G300" s="182" t="n">
        <v>-4.502227</v>
      </c>
      <c r="H300" s="182" t="n">
        <v>7.434238</v>
      </c>
      <c r="I300" s="182" t="inlineStr"/>
    </row>
    <row r="301" ht="15" customHeight="1" s="28">
      <c r="A301" s="181" t="n">
        <v>287</v>
      </c>
      <c r="B301" s="181" t="n">
        <v>286</v>
      </c>
      <c r="C301" s="181" t="n">
        <v>4717.89</v>
      </c>
      <c r="D301" s="181" t="n">
        <v>4757.6192</v>
      </c>
      <c r="E301" s="181" t="n">
        <v>-39.7292</v>
      </c>
      <c r="F301" s="181" t="n">
        <v>1578.4064</v>
      </c>
      <c r="G301" s="181" t="n">
        <v>-1.478671</v>
      </c>
      <c r="H301" s="181" t="n">
        <v>1.684594</v>
      </c>
      <c r="I301" s="181" t="inlineStr"/>
    </row>
    <row r="302" ht="15" customHeight="1" s="28">
      <c r="A302" s="182" t="n">
        <v>288</v>
      </c>
      <c r="B302" s="182" t="n">
        <v>287</v>
      </c>
      <c r="C302" s="182" t="n">
        <v>4711.38</v>
      </c>
      <c r="D302" s="182" t="n">
        <v>4757.3653</v>
      </c>
      <c r="E302" s="182" t="n">
        <v>-45.9853</v>
      </c>
      <c r="F302" s="182" t="n">
        <v>2114.6448</v>
      </c>
      <c r="G302" s="182" t="n">
        <v>-2.292975</v>
      </c>
      <c r="H302" s="182" t="n">
        <v>3.023656</v>
      </c>
      <c r="I302" s="182" t="inlineStr"/>
    </row>
    <row r="303" ht="15" customHeight="1" s="28">
      <c r="A303" s="181" t="n">
        <v>289</v>
      </c>
      <c r="B303" s="181" t="n">
        <v>288</v>
      </c>
      <c r="C303" s="181" t="n">
        <v>4704.63</v>
      </c>
      <c r="D303" s="181" t="n">
        <v>4757.1114</v>
      </c>
      <c r="E303" s="181" t="n">
        <v>-52.4814</v>
      </c>
      <c r="F303" s="181" t="n">
        <v>2754.2944</v>
      </c>
      <c r="G303" s="181" t="n">
        <v>-3.408464</v>
      </c>
      <c r="H303" s="181" t="n">
        <v>5.129538</v>
      </c>
      <c r="I303" s="181" t="inlineStr"/>
    </row>
    <row r="304" ht="15" customHeight="1" s="28">
      <c r="A304" s="182" t="n">
        <v>290</v>
      </c>
      <c r="B304" s="182" t="n">
        <v>289</v>
      </c>
      <c r="C304" s="182" t="n">
        <v>4696.62</v>
      </c>
      <c r="D304" s="182" t="n">
        <v>4756.8575</v>
      </c>
      <c r="E304" s="182" t="n">
        <v>-60.2375</v>
      </c>
      <c r="F304" s="182" t="n">
        <v>3628.5536</v>
      </c>
      <c r="G304" s="182" t="n">
        <v>-5.153989</v>
      </c>
      <c r="H304" s="182" t="n">
        <v>8.902760000000001</v>
      </c>
      <c r="I304" s="182" t="inlineStr"/>
    </row>
    <row r="305" ht="15" customHeight="1" s="28">
      <c r="A305" s="181" t="n">
        <v>291</v>
      </c>
      <c r="B305" s="181" t="n">
        <v>290</v>
      </c>
      <c r="C305" s="181" t="n">
        <v>4703.21</v>
      </c>
      <c r="D305" s="181" t="n">
        <v>4756.6036</v>
      </c>
      <c r="E305" s="181" t="n">
        <v>-53.3936</v>
      </c>
      <c r="F305" s="181" t="n">
        <v>2850.8745</v>
      </c>
      <c r="G305" s="181" t="n">
        <v>-3.589305</v>
      </c>
      <c r="H305" s="181" t="n">
        <v>5.495583</v>
      </c>
      <c r="I305" s="181" t="inlineStr"/>
    </row>
    <row r="306" ht="15" customHeight="1" s="28">
      <c r="A306" s="182" t="n">
        <v>292</v>
      </c>
      <c r="B306" s="182" t="n">
        <v>291</v>
      </c>
      <c r="C306" s="182" t="n">
        <v>4709.51</v>
      </c>
      <c r="D306" s="182" t="n">
        <v>4756.3497</v>
      </c>
      <c r="E306" s="182" t="n">
        <v>-46.8397</v>
      </c>
      <c r="F306" s="182" t="n">
        <v>2193.9561</v>
      </c>
      <c r="G306" s="182" t="n">
        <v>-2.423177</v>
      </c>
      <c r="H306" s="182" t="n">
        <v>3.254719</v>
      </c>
      <c r="I306" s="182" t="inlineStr"/>
    </row>
    <row r="307" ht="15" customHeight="1" s="28">
      <c r="A307" s="181" t="n">
        <v>293</v>
      </c>
      <c r="B307" s="181" t="n">
        <v>292</v>
      </c>
      <c r="C307" s="181" t="n">
        <v>4707.33</v>
      </c>
      <c r="D307" s="181" t="n">
        <v>4756.0958</v>
      </c>
      <c r="E307" s="181" t="n">
        <v>-48.7658</v>
      </c>
      <c r="F307" s="181" t="n">
        <v>2378.1023</v>
      </c>
      <c r="G307" s="181" t="n">
        <v>-2.73457</v>
      </c>
      <c r="H307" s="181" t="n">
        <v>3.824007</v>
      </c>
      <c r="I307" s="181" t="inlineStr"/>
    </row>
    <row r="308" ht="15" customHeight="1" s="28">
      <c r="A308" s="182" t="n">
        <v>294</v>
      </c>
      <c r="B308" s="182" t="n">
        <v>293</v>
      </c>
      <c r="C308" s="182" t="n">
        <v>4714.21</v>
      </c>
      <c r="D308" s="182" t="n">
        <v>4755.8419</v>
      </c>
      <c r="E308" s="182" t="n">
        <v>-41.6319</v>
      </c>
      <c r="F308" s="182" t="n">
        <v>1733.2146</v>
      </c>
      <c r="G308" s="182" t="n">
        <v>-1.70146</v>
      </c>
      <c r="H308" s="182" t="n">
        <v>2.031245</v>
      </c>
      <c r="I308" s="182" t="inlineStr"/>
    </row>
    <row r="309" ht="15" customHeight="1" s="28">
      <c r="A309" s="181" t="n">
        <v>295</v>
      </c>
      <c r="B309" s="181" t="n">
        <v>294</v>
      </c>
      <c r="C309" s="181" t="n">
        <v>4671.47</v>
      </c>
      <c r="D309" s="181" t="n">
        <v>4755.588</v>
      </c>
      <c r="E309" s="181" t="n">
        <v>-84.11799999999999</v>
      </c>
      <c r="F309" s="181" t="n">
        <v>7075.8377</v>
      </c>
      <c r="G309" s="181" t="n">
        <v>-14.034921</v>
      </c>
      <c r="H309" s="181" t="n">
        <v>33.854258</v>
      </c>
      <c r="I309" s="181" t="inlineStr"/>
    </row>
    <row r="310" ht="15" customHeight="1" s="28">
      <c r="A310" s="182" t="n">
        <v>296</v>
      </c>
      <c r="B310" s="182" t="n">
        <v>295</v>
      </c>
      <c r="C310" s="182" t="n">
        <v>4679.23</v>
      </c>
      <c r="D310" s="182" t="n">
        <v>4755.3341</v>
      </c>
      <c r="E310" s="182" t="n">
        <v>-76.1041</v>
      </c>
      <c r="F310" s="182" t="n">
        <v>5791.8346</v>
      </c>
      <c r="G310" s="182" t="n">
        <v>-10.393634</v>
      </c>
      <c r="H310" s="182" t="n">
        <v>22.682445</v>
      </c>
      <c r="I310" s="182" t="inlineStr"/>
    </row>
    <row r="311" ht="15" customHeight="1" s="28">
      <c r="A311" s="181" t="n">
        <v>297</v>
      </c>
      <c r="B311" s="181" t="n">
        <v>296</v>
      </c>
      <c r="C311" s="181" t="n">
        <v>4696.98</v>
      </c>
      <c r="D311" s="181" t="n">
        <v>4755.0802</v>
      </c>
      <c r="E311" s="181" t="n">
        <v>-58.1002</v>
      </c>
      <c r="F311" s="181" t="n">
        <v>3375.6342</v>
      </c>
      <c r="G311" s="181" t="n">
        <v>-4.624622</v>
      </c>
      <c r="H311" s="181" t="n">
        <v>7.704923</v>
      </c>
      <c r="I311" s="181" t="inlineStr"/>
    </row>
    <row r="312" ht="15" customHeight="1" s="28">
      <c r="A312" s="182" t="n">
        <v>298</v>
      </c>
      <c r="B312" s="182" t="n">
        <v>297</v>
      </c>
      <c r="C312" s="182" t="n">
        <v>4705.65</v>
      </c>
      <c r="D312" s="182" t="n">
        <v>4754.8263</v>
      </c>
      <c r="E312" s="182" t="n">
        <v>-49.1763</v>
      </c>
      <c r="F312" s="182" t="n">
        <v>2418.3097</v>
      </c>
      <c r="G312" s="182" t="n">
        <v>-2.804213</v>
      </c>
      <c r="H312" s="182" t="n">
        <v>3.954407</v>
      </c>
      <c r="I312" s="182" t="inlineStr"/>
    </row>
    <row r="313" ht="15" customHeight="1" s="28">
      <c r="A313" s="181" t="n">
        <v>299</v>
      </c>
      <c r="B313" s="181" t="n">
        <v>298</v>
      </c>
      <c r="C313" s="181" t="n">
        <v>4711.42</v>
      </c>
      <c r="D313" s="181" t="n">
        <v>4754.5724</v>
      </c>
      <c r="E313" s="181" t="n">
        <v>-43.1524</v>
      </c>
      <c r="F313" s="181" t="n">
        <v>1862.1311</v>
      </c>
      <c r="G313" s="181" t="n">
        <v>-1.894779</v>
      </c>
      <c r="H313" s="181" t="n">
        <v>2.34465</v>
      </c>
      <c r="I313" s="181" t="inlineStr"/>
    </row>
    <row r="314" ht="15" customHeight="1" s="28">
      <c r="A314" s="182" t="n">
        <v>300</v>
      </c>
      <c r="B314" s="182" t="n">
        <v>299</v>
      </c>
      <c r="C314" s="182" t="n">
        <v>4720.16</v>
      </c>
      <c r="D314" s="182" t="n">
        <v>4754.3185</v>
      </c>
      <c r="E314" s="182" t="n">
        <v>-34.1585</v>
      </c>
      <c r="F314" s="182" t="n">
        <v>1166.8046</v>
      </c>
      <c r="G314" s="182" t="n">
        <v>-0.939811</v>
      </c>
      <c r="H314" s="182" t="n">
        <v>0.920564</v>
      </c>
      <c r="I314" s="182" t="inlineStr"/>
    </row>
    <row r="315" ht="15" customHeight="1" s="28">
      <c r="A315" s="181" t="n">
        <v>301</v>
      </c>
      <c r="B315" s="181" t="n">
        <v>300</v>
      </c>
      <c r="C315" s="181" t="n">
        <v>4721.88</v>
      </c>
      <c r="D315" s="181" t="n">
        <v>4754.0646</v>
      </c>
      <c r="E315" s="181" t="n">
        <v>-32.1846</v>
      </c>
      <c r="F315" s="181" t="n">
        <v>1035.8501</v>
      </c>
      <c r="G315" s="181" t="n">
        <v>-0.78612</v>
      </c>
      <c r="H315" s="181" t="n">
        <v>0.725523</v>
      </c>
      <c r="I315" s="181" t="inlineStr"/>
    </row>
    <row r="316" ht="15" customHeight="1" s="28">
      <c r="A316" s="182" t="n">
        <v>302</v>
      </c>
      <c r="B316" s="182" t="n">
        <v>301</v>
      </c>
      <c r="C316" s="182" t="n">
        <v>4719.05</v>
      </c>
      <c r="D316" s="182" t="n">
        <v>4753.8107</v>
      </c>
      <c r="E316" s="182" t="n">
        <v>-34.7607</v>
      </c>
      <c r="F316" s="182" t="n">
        <v>1208.3084</v>
      </c>
      <c r="G316" s="182" t="n">
        <v>-0.990398</v>
      </c>
      <c r="H316" s="182" t="n">
        <v>0.987218</v>
      </c>
      <c r="I316" s="182" t="inlineStr"/>
    </row>
    <row r="317" ht="15" customHeight="1" s="28">
      <c r="A317" s="181" t="n">
        <v>303</v>
      </c>
      <c r="B317" s="181" t="n">
        <v>302</v>
      </c>
      <c r="C317" s="181" t="n">
        <v>4716.95</v>
      </c>
      <c r="D317" s="181" t="n">
        <v>4753.5568</v>
      </c>
      <c r="E317" s="181" t="n">
        <v>-36.6068</v>
      </c>
      <c r="F317" s="181" t="n">
        <v>1340.0604</v>
      </c>
      <c r="G317" s="181" t="n">
        <v>-1.156724</v>
      </c>
      <c r="H317" s="181" t="n">
        <v>1.214245</v>
      </c>
      <c r="I317" s="181" t="inlineStr"/>
    </row>
    <row r="318" ht="15" customHeight="1" s="28">
      <c r="A318" s="182" t="n">
        <v>304</v>
      </c>
      <c r="B318" s="182" t="n">
        <v>303</v>
      </c>
      <c r="C318" s="182" t="n">
        <v>4719.51</v>
      </c>
      <c r="D318" s="182" t="n">
        <v>4753.3029</v>
      </c>
      <c r="E318" s="182" t="n">
        <v>-33.7929</v>
      </c>
      <c r="F318" s="182" t="n">
        <v>1141.9628</v>
      </c>
      <c r="G318" s="182" t="n">
        <v>-0.909957</v>
      </c>
      <c r="H318" s="182" t="n">
        <v>0.881782</v>
      </c>
      <c r="I318" s="182" t="inlineStr"/>
    </row>
    <row r="319" ht="15" customHeight="1" s="28">
      <c r="A319" s="181" t="n">
        <v>305</v>
      </c>
      <c r="B319" s="181" t="n">
        <v>304</v>
      </c>
      <c r="C319" s="181" t="n">
        <v>4727.47</v>
      </c>
      <c r="D319" s="181" t="n">
        <v>4753.049</v>
      </c>
      <c r="E319" s="181" t="n">
        <v>-25.579</v>
      </c>
      <c r="F319" s="181" t="n">
        <v>654.2875</v>
      </c>
      <c r="G319" s="181" t="n">
        <v>-0.394635</v>
      </c>
      <c r="H319" s="181" t="n">
        <v>0.289464</v>
      </c>
      <c r="I319" s="181" t="inlineStr"/>
    </row>
    <row r="320" ht="15" customHeight="1" s="28">
      <c r="A320" s="182" t="n">
        <v>306</v>
      </c>
      <c r="B320" s="182" t="n">
        <v>305</v>
      </c>
      <c r="C320" s="182" t="n">
        <v>4730</v>
      </c>
      <c r="D320" s="182" t="n">
        <v>4752.7951</v>
      </c>
      <c r="E320" s="182" t="n">
        <v>-22.7951</v>
      </c>
      <c r="F320" s="182" t="n">
        <v>519.6188</v>
      </c>
      <c r="G320" s="182" t="n">
        <v>-0.2793</v>
      </c>
      <c r="H320" s="182" t="n">
        <v>0.182569</v>
      </c>
      <c r="I320" s="182" t="inlineStr"/>
    </row>
    <row r="321" ht="15" customHeight="1" s="28">
      <c r="A321" s="181" t="n">
        <v>307</v>
      </c>
      <c r="B321" s="181" t="n">
        <v>306</v>
      </c>
      <c r="C321" s="181" t="n">
        <v>4731.94</v>
      </c>
      <c r="D321" s="181" t="n">
        <v>4752.5413</v>
      </c>
      <c r="E321" s="181" t="n">
        <v>-20.6013</v>
      </c>
      <c r="F321" s="181" t="n">
        <v>424.4116</v>
      </c>
      <c r="G321" s="181" t="n">
        <v>-0.206169</v>
      </c>
      <c r="H321" s="181" t="n">
        <v>0.121796</v>
      </c>
      <c r="I321" s="181" t="inlineStr"/>
    </row>
    <row r="322" ht="15" customHeight="1" s="28">
      <c r="A322" s="182" t="n">
        <v>308</v>
      </c>
      <c r="B322" s="182" t="n">
        <v>307</v>
      </c>
      <c r="C322" s="182" t="n">
        <v>4737.96</v>
      </c>
      <c r="D322" s="182" t="n">
        <v>4752.2874</v>
      </c>
      <c r="E322" s="182" t="n">
        <v>-14.3274</v>
      </c>
      <c r="F322" s="182" t="n">
        <v>205.2732</v>
      </c>
      <c r="G322" s="182" t="n">
        <v>-0.06934899999999999</v>
      </c>
      <c r="H322" s="182" t="n">
        <v>0.028492</v>
      </c>
      <c r="I322" s="182" t="inlineStr"/>
    </row>
    <row r="323" ht="15" customHeight="1" s="28">
      <c r="A323" s="181" t="n">
        <v>309</v>
      </c>
      <c r="B323" s="181" t="n">
        <v>308</v>
      </c>
      <c r="C323" s="181" t="n">
        <v>4742.93</v>
      </c>
      <c r="D323" s="181" t="n">
        <v>4752.0335</v>
      </c>
      <c r="E323" s="181" t="n">
        <v>-9.1035</v>
      </c>
      <c r="F323" s="181" t="n">
        <v>82.873</v>
      </c>
      <c r="G323" s="181" t="n">
        <v>-0.017789</v>
      </c>
      <c r="H323" s="181" t="n">
        <v>0.004644</v>
      </c>
      <c r="I323" s="181" t="inlineStr"/>
    </row>
    <row r="324" ht="15" customHeight="1" s="28">
      <c r="A324" s="182" t="n">
        <v>310</v>
      </c>
      <c r="B324" s="182" t="n">
        <v>309</v>
      </c>
      <c r="C324" s="182" t="n">
        <v>4742.51</v>
      </c>
      <c r="D324" s="182" t="n">
        <v>4751.7796</v>
      </c>
      <c r="E324" s="182" t="n">
        <v>-9.269600000000001</v>
      </c>
      <c r="F324" s="182" t="n">
        <v>85.92489999999999</v>
      </c>
      <c r="G324" s="182" t="n">
        <v>-0.018781</v>
      </c>
      <c r="H324" s="182" t="n">
        <v>0.004992</v>
      </c>
      <c r="I324" s="182" t="inlineStr"/>
    </row>
    <row r="325" ht="15" customHeight="1" s="28">
      <c r="A325" s="181" t="n">
        <v>311</v>
      </c>
      <c r="B325" s="181" t="n">
        <v>310</v>
      </c>
      <c r="C325" s="181" t="n">
        <v>4742.11</v>
      </c>
      <c r="D325" s="181" t="n">
        <v>4751.5257</v>
      </c>
      <c r="E325" s="181" t="n">
        <v>-9.415699999999999</v>
      </c>
      <c r="F325" s="181" t="n">
        <v>88.6549</v>
      </c>
      <c r="G325" s="181" t="n">
        <v>-0.019683</v>
      </c>
      <c r="H325" s="181" t="n">
        <v>0.005315</v>
      </c>
      <c r="I325" s="181" t="inlineStr"/>
    </row>
    <row r="326" ht="15" customHeight="1" s="28">
      <c r="A326" s="182" t="n">
        <v>312</v>
      </c>
      <c r="B326" s="182" t="n">
        <v>311</v>
      </c>
      <c r="C326" s="182" t="n">
        <v>4739.77</v>
      </c>
      <c r="D326" s="182" t="n">
        <v>4751.2718</v>
      </c>
      <c r="E326" s="182" t="n">
        <v>-11.5018</v>
      </c>
      <c r="F326" s="182" t="n">
        <v>132.2908</v>
      </c>
      <c r="G326" s="182" t="n">
        <v>-0.035879</v>
      </c>
      <c r="H326" s="182" t="n">
        <v>0.011834</v>
      </c>
      <c r="I326" s="182" t="inlineStr"/>
    </row>
    <row r="327" ht="15" customHeight="1" s="28">
      <c r="A327" s="181" t="n">
        <v>313</v>
      </c>
      <c r="B327" s="181" t="n">
        <v>312</v>
      </c>
      <c r="C327" s="181" t="n">
        <v>4738.28</v>
      </c>
      <c r="D327" s="181" t="n">
        <v>4751.0179</v>
      </c>
      <c r="E327" s="181" t="n">
        <v>-12.7379</v>
      </c>
      <c r="F327" s="181" t="n">
        <v>162.2536</v>
      </c>
      <c r="G327" s="181" t="n">
        <v>-0.048734</v>
      </c>
      <c r="H327" s="181" t="n">
        <v>0.017801</v>
      </c>
      <c r="I327" s="181" t="inlineStr"/>
    </row>
    <row r="328" ht="15" customHeight="1" s="28">
      <c r="A328" s="182" t="n">
        <v>314</v>
      </c>
      <c r="B328" s="182" t="n">
        <v>313</v>
      </c>
      <c r="C328" s="182" t="n">
        <v>4746.52</v>
      </c>
      <c r="D328" s="182" t="n">
        <v>4750.764</v>
      </c>
      <c r="E328" s="182" t="n">
        <v>-4.244</v>
      </c>
      <c r="F328" s="182" t="n">
        <v>18.0114</v>
      </c>
      <c r="G328" s="182" t="n">
        <v>-0.001802</v>
      </c>
      <c r="H328" s="182" t="n">
        <v>0.000219</v>
      </c>
      <c r="I328" s="182" t="inlineStr"/>
    </row>
    <row r="329" ht="15" customHeight="1" s="28">
      <c r="A329" s="181" t="n">
        <v>315</v>
      </c>
      <c r="B329" s="181" t="n">
        <v>314</v>
      </c>
      <c r="C329" s="181" t="n">
        <v>4749.74</v>
      </c>
      <c r="D329" s="181" t="n">
        <v>4750.5101</v>
      </c>
      <c r="E329" s="181" t="n">
        <v>-0.7701</v>
      </c>
      <c r="F329" s="181" t="n">
        <v>0.593</v>
      </c>
      <c r="G329" s="181" t="n">
        <v>-1.1e-05</v>
      </c>
      <c r="H329" s="181" t="n">
        <v>0</v>
      </c>
      <c r="I329" s="181" t="inlineStr"/>
    </row>
    <row r="330" ht="15" customHeight="1" s="28">
      <c r="A330" s="182" t="n">
        <v>316</v>
      </c>
      <c r="B330" s="182" t="n">
        <v>315</v>
      </c>
      <c r="C330" s="182" t="n">
        <v>4752.31</v>
      </c>
      <c r="D330" s="182" t="n">
        <v>4750.2562</v>
      </c>
      <c r="E330" s="182" t="n">
        <v>2.0538</v>
      </c>
      <c r="F330" s="182" t="n">
        <v>4.2181</v>
      </c>
      <c r="G330" s="182" t="n">
        <v>0.000204</v>
      </c>
      <c r="H330" s="182" t="n">
        <v>1.2e-05</v>
      </c>
      <c r="I330" s="182" t="inlineStr"/>
    </row>
    <row r="331" ht="15" customHeight="1" s="28">
      <c r="A331" s="181" t="n">
        <v>317</v>
      </c>
      <c r="B331" s="181" t="n">
        <v>316</v>
      </c>
      <c r="C331" s="181" t="n">
        <v>4755.68</v>
      </c>
      <c r="D331" s="181" t="n">
        <v>4750.0023</v>
      </c>
      <c r="E331" s="181" t="n">
        <v>5.6777</v>
      </c>
      <c r="F331" s="181" t="n">
        <v>32.2363</v>
      </c>
      <c r="G331" s="181" t="n">
        <v>0.004316</v>
      </c>
      <c r="H331" s="181" t="n">
        <v>0.000703</v>
      </c>
      <c r="I331" s="181" t="inlineStr"/>
    </row>
    <row r="332" ht="15" customHeight="1" s="28">
      <c r="A332" s="182" t="n">
        <v>318</v>
      </c>
      <c r="B332" s="182" t="n">
        <v>317</v>
      </c>
      <c r="C332" s="182" t="n">
        <v>4755.59</v>
      </c>
      <c r="D332" s="182" t="n">
        <v>4749.7484</v>
      </c>
      <c r="E332" s="182" t="n">
        <v>5.8416</v>
      </c>
      <c r="F332" s="182" t="n">
        <v>34.1243</v>
      </c>
      <c r="G332" s="182" t="n">
        <v>0.0047</v>
      </c>
      <c r="H332" s="182" t="n">
        <v>0.000787</v>
      </c>
      <c r="I332" s="182" t="inlineStr"/>
    </row>
    <row r="333" ht="15" customHeight="1" s="28">
      <c r="A333" s="181" t="n">
        <v>319</v>
      </c>
      <c r="B333" s="181" t="n">
        <v>318</v>
      </c>
      <c r="C333" s="181" t="n">
        <v>4751.37</v>
      </c>
      <c r="D333" s="181" t="n">
        <v>4749.4945</v>
      </c>
      <c r="E333" s="181" t="n">
        <v>1.8755</v>
      </c>
      <c r="F333" s="181" t="n">
        <v>3.5175</v>
      </c>
      <c r="G333" s="181" t="n">
        <v>0.000156</v>
      </c>
      <c r="H333" s="181" t="n">
        <v>8e-06</v>
      </c>
      <c r="I333" s="181" t="inlineStr"/>
    </row>
    <row r="334" ht="15" customHeight="1" s="28">
      <c r="A334" s="182" t="n">
        <v>320</v>
      </c>
      <c r="B334" s="182" t="n">
        <v>319</v>
      </c>
      <c r="C334" s="182" t="n">
        <v>4755.81</v>
      </c>
      <c r="D334" s="182" t="n">
        <v>4749.2406</v>
      </c>
      <c r="E334" s="182" t="n">
        <v>6.5694</v>
      </c>
      <c r="F334" s="182" t="n">
        <v>43.1569</v>
      </c>
      <c r="G334" s="182" t="n">
        <v>0.006685</v>
      </c>
      <c r="H334" s="182" t="n">
        <v>0.001259</v>
      </c>
      <c r="I334" s="182" t="inlineStr"/>
    </row>
    <row r="335" ht="15" customHeight="1" s="28">
      <c r="A335" s="181" t="n">
        <v>321</v>
      </c>
      <c r="B335" s="181" t="n">
        <v>320</v>
      </c>
      <c r="C335" s="181" t="n">
        <v>4757.61</v>
      </c>
      <c r="D335" s="181" t="n">
        <v>4748.9867</v>
      </c>
      <c r="E335" s="181" t="n">
        <v>8.6233</v>
      </c>
      <c r="F335" s="181" t="n">
        <v>74.361</v>
      </c>
      <c r="G335" s="181" t="n">
        <v>0.01512</v>
      </c>
      <c r="H335" s="181" t="n">
        <v>0.003739</v>
      </c>
      <c r="I335" s="181" t="inlineStr"/>
    </row>
    <row r="336" ht="15" customHeight="1" s="28">
      <c r="A336" s="182" t="n">
        <v>322</v>
      </c>
      <c r="B336" s="182" t="n">
        <v>321</v>
      </c>
      <c r="C336" s="182" t="n">
        <v>4763.12</v>
      </c>
      <c r="D336" s="182" t="n">
        <v>4748.7328</v>
      </c>
      <c r="E336" s="182" t="n">
        <v>14.3872</v>
      </c>
      <c r="F336" s="182" t="n">
        <v>206.9909</v>
      </c>
      <c r="G336" s="182" t="n">
        <v>0.07022200000000001</v>
      </c>
      <c r="H336" s="182" t="n">
        <v>0.028971</v>
      </c>
      <c r="I336" s="182" t="inlineStr"/>
    </row>
    <row r="337" ht="15" customHeight="1" s="28">
      <c r="A337" s="181" t="n">
        <v>323</v>
      </c>
      <c r="B337" s="181" t="n">
        <v>322</v>
      </c>
      <c r="C337" s="181" t="n">
        <v>4759.16</v>
      </c>
      <c r="D337" s="181" t="n">
        <v>4748.4789</v>
      </c>
      <c r="E337" s="181" t="n">
        <v>10.6811</v>
      </c>
      <c r="F337" s="181" t="n">
        <v>114.0854</v>
      </c>
      <c r="G337" s="181" t="n">
        <v>0.028733</v>
      </c>
      <c r="H337" s="181" t="n">
        <v>0.008801</v>
      </c>
      <c r="I337" s="181" t="inlineStr"/>
    </row>
    <row r="338" ht="15" customHeight="1" s="28">
      <c r="A338" s="182" t="n">
        <v>324</v>
      </c>
      <c r="B338" s="182" t="n">
        <v>323</v>
      </c>
      <c r="C338" s="182" t="n">
        <v>4758.09</v>
      </c>
      <c r="D338" s="182" t="n">
        <v>4748.225</v>
      </c>
      <c r="E338" s="182" t="n">
        <v>9.865</v>
      </c>
      <c r="F338" s="182" t="n">
        <v>97.3176</v>
      </c>
      <c r="G338" s="182" t="n">
        <v>0.022638</v>
      </c>
      <c r="H338" s="182" t="n">
        <v>0.006404</v>
      </c>
      <c r="I338" s="182" t="inlineStr"/>
    </row>
    <row r="339" ht="15" customHeight="1" s="28">
      <c r="A339" s="181" t="n">
        <v>325</v>
      </c>
      <c r="B339" s="181" t="n">
        <v>324</v>
      </c>
      <c r="C339" s="181" t="n">
        <v>4757.32</v>
      </c>
      <c r="D339" s="181" t="n">
        <v>4747.9711</v>
      </c>
      <c r="E339" s="181" t="n">
        <v>9.3489</v>
      </c>
      <c r="F339" s="181" t="n">
        <v>87.40130000000001</v>
      </c>
      <c r="G339" s="181" t="n">
        <v>0.019267</v>
      </c>
      <c r="H339" s="181" t="n">
        <v>0.005165</v>
      </c>
      <c r="I339" s="181" t="inlineStr"/>
    </row>
    <row r="340" ht="15" customHeight="1" s="28">
      <c r="A340" s="182" t="n">
        <v>326</v>
      </c>
      <c r="B340" s="182" t="n">
        <v>325</v>
      </c>
      <c r="C340" s="182" t="n">
        <v>4755.87</v>
      </c>
      <c r="D340" s="182" t="n">
        <v>4747.7172</v>
      </c>
      <c r="E340" s="182" t="n">
        <v>8.152799999999999</v>
      </c>
      <c r="F340" s="182" t="n">
        <v>66.4675</v>
      </c>
      <c r="G340" s="182" t="n">
        <v>0.012778</v>
      </c>
      <c r="H340" s="182" t="n">
        <v>0.002987</v>
      </c>
      <c r="I340" s="182" t="inlineStr"/>
    </row>
    <row r="341" ht="15" customHeight="1" s="28">
      <c r="A341" s="181" t="n">
        <v>327</v>
      </c>
      <c r="B341" s="181" t="n">
        <v>326</v>
      </c>
      <c r="C341" s="181" t="n">
        <v>4756.36</v>
      </c>
      <c r="D341" s="181" t="n">
        <v>4747.4633</v>
      </c>
      <c r="E341" s="181" t="n">
        <v>8.896699999999999</v>
      </c>
      <c r="F341" s="181" t="n">
        <v>79.15049999999999</v>
      </c>
      <c r="G341" s="181" t="n">
        <v>0.016604</v>
      </c>
      <c r="H341" s="181" t="n">
        <v>0.004236</v>
      </c>
      <c r="I341" s="181" t="inlineStr"/>
    </row>
    <row r="342" ht="15" customHeight="1" s="28">
      <c r="A342" s="182" t="n">
        <v>328</v>
      </c>
      <c r="B342" s="182" t="n">
        <v>327</v>
      </c>
      <c r="C342" s="182" t="n">
        <v>4754.62</v>
      </c>
      <c r="D342" s="182" t="n">
        <v>4747.2094</v>
      </c>
      <c r="E342" s="182" t="n">
        <v>7.4106</v>
      </c>
      <c r="F342" s="182" t="n">
        <v>54.9163</v>
      </c>
      <c r="G342" s="182" t="n">
        <v>0.009596</v>
      </c>
      <c r="H342" s="182" t="n">
        <v>0.002039</v>
      </c>
      <c r="I342" s="182" t="inlineStr"/>
    </row>
    <row r="343" ht="15" customHeight="1" s="28">
      <c r="A343" s="181" t="n">
        <v>329</v>
      </c>
      <c r="B343" s="181" t="n">
        <v>328</v>
      </c>
      <c r="C343" s="181" t="n">
        <v>4756.8</v>
      </c>
      <c r="D343" s="181" t="n">
        <v>4746.9556</v>
      </c>
      <c r="E343" s="181" t="n">
        <v>9.8444</v>
      </c>
      <c r="F343" s="181" t="n">
        <v>96.9132</v>
      </c>
      <c r="G343" s="181" t="n">
        <v>0.022497</v>
      </c>
      <c r="H343" s="181" t="n">
        <v>0.006351</v>
      </c>
      <c r="I343" s="181" t="inlineStr"/>
    </row>
    <row r="344" ht="15" customHeight="1" s="28">
      <c r="A344" s="182" t="n">
        <v>330</v>
      </c>
      <c r="B344" s="182" t="n">
        <v>329</v>
      </c>
      <c r="C344" s="182" t="n">
        <v>4766.19</v>
      </c>
      <c r="D344" s="182" t="n">
        <v>4746.7017</v>
      </c>
      <c r="E344" s="182" t="n">
        <v>19.4883</v>
      </c>
      <c r="F344" s="182" t="n">
        <v>379.7955</v>
      </c>
      <c r="G344" s="182" t="n">
        <v>0.174529</v>
      </c>
      <c r="H344" s="182" t="n">
        <v>0.097534</v>
      </c>
      <c r="I344" s="182" t="inlineStr"/>
    </row>
    <row r="345" ht="15" customHeight="1" s="28">
      <c r="A345" s="181" t="n">
        <v>331</v>
      </c>
      <c r="B345" s="181" t="n">
        <v>330</v>
      </c>
      <c r="C345" s="181" t="n">
        <v>4767.48</v>
      </c>
      <c r="D345" s="181" t="n">
        <v>4746.4478</v>
      </c>
      <c r="E345" s="181" t="n">
        <v>21.0322</v>
      </c>
      <c r="F345" s="181" t="n">
        <v>442.3551</v>
      </c>
      <c r="G345" s="181" t="n">
        <v>0.219381</v>
      </c>
      <c r="H345" s="181" t="n">
        <v>0.132312</v>
      </c>
      <c r="I345" s="181" t="inlineStr"/>
    </row>
    <row r="346" ht="15" customHeight="1" s="28">
      <c r="A346" s="182" t="n">
        <v>332</v>
      </c>
      <c r="B346" s="182" t="n">
        <v>331</v>
      </c>
      <c r="C346" s="182" t="n">
        <v>4767.64</v>
      </c>
      <c r="D346" s="182" t="n">
        <v>4746.1939</v>
      </c>
      <c r="E346" s="182" t="n">
        <v>21.4461</v>
      </c>
      <c r="F346" s="182" t="n">
        <v>459.9367</v>
      </c>
      <c r="G346" s="182" t="n">
        <v>0.23259</v>
      </c>
      <c r="H346" s="182" t="n">
        <v>0.143039</v>
      </c>
      <c r="I346" s="182" t="inlineStr"/>
    </row>
    <row r="347" ht="15" customHeight="1" s="28">
      <c r="A347" s="181" t="n">
        <v>333</v>
      </c>
      <c r="B347" s="181" t="n">
        <v>332</v>
      </c>
      <c r="C347" s="181" t="n">
        <v>4762.84</v>
      </c>
      <c r="D347" s="181" t="n">
        <v>4745.94</v>
      </c>
      <c r="E347" s="181" t="n">
        <v>16.9</v>
      </c>
      <c r="F347" s="181" t="n">
        <v>285.611</v>
      </c>
      <c r="G347" s="181" t="n">
        <v>0.113817</v>
      </c>
      <c r="H347" s="181" t="n">
        <v>0.055158</v>
      </c>
      <c r="I347" s="181" t="inlineStr"/>
    </row>
    <row r="348" ht="15" customHeight="1" s="28">
      <c r="A348" s="182" t="n">
        <v>334</v>
      </c>
      <c r="B348" s="182" t="n">
        <v>333</v>
      </c>
      <c r="C348" s="182" t="n">
        <v>4767.37</v>
      </c>
      <c r="D348" s="182" t="n">
        <v>4745.6861</v>
      </c>
      <c r="E348" s="182" t="n">
        <v>21.6839</v>
      </c>
      <c r="F348" s="182" t="n">
        <v>470.1926</v>
      </c>
      <c r="G348" s="182" t="n">
        <v>0.240412</v>
      </c>
      <c r="H348" s="182" t="n">
        <v>0.149489</v>
      </c>
      <c r="I348" s="182" t="inlineStr"/>
    </row>
    <row r="349" ht="15" customHeight="1" s="28">
      <c r="A349" s="181" t="n">
        <v>335</v>
      </c>
      <c r="B349" s="181" t="n">
        <v>334</v>
      </c>
      <c r="C349" s="181" t="n">
        <v>4763.8</v>
      </c>
      <c r="D349" s="181" t="n">
        <v>4745.4322</v>
      </c>
      <c r="E349" s="181" t="n">
        <v>18.3678</v>
      </c>
      <c r="F349" s="181" t="n">
        <v>337.3768</v>
      </c>
      <c r="G349" s="181" t="n">
        <v>0.146122</v>
      </c>
      <c r="H349" s="181" t="n">
        <v>0.076964</v>
      </c>
      <c r="I349" s="181" t="inlineStr"/>
    </row>
    <row r="350" ht="15" customHeight="1" s="28">
      <c r="A350" s="182" t="n">
        <v>336</v>
      </c>
      <c r="B350" s="182" t="n">
        <v>335</v>
      </c>
      <c r="C350" s="182" t="n">
        <v>4767.69</v>
      </c>
      <c r="D350" s="182" t="n">
        <v>4745.1783</v>
      </c>
      <c r="E350" s="182" t="n">
        <v>22.5117</v>
      </c>
      <c r="F350" s="182" t="n">
        <v>506.7774</v>
      </c>
      <c r="G350" s="182" t="n">
        <v>0.26901</v>
      </c>
      <c r="H350" s="182" t="n">
        <v>0.173657</v>
      </c>
      <c r="I350" s="182" t="inlineStr"/>
    </row>
    <row r="351" ht="15" customHeight="1" s="28">
      <c r="A351" s="181" t="n">
        <v>337</v>
      </c>
      <c r="B351" s="181" t="n">
        <v>336</v>
      </c>
      <c r="C351" s="181" t="n">
        <v>4765.67</v>
      </c>
      <c r="D351" s="181" t="n">
        <v>4744.9244</v>
      </c>
      <c r="E351" s="181" t="n">
        <v>20.7456</v>
      </c>
      <c r="F351" s="181" t="n">
        <v>430.3804</v>
      </c>
      <c r="G351" s="181" t="n">
        <v>0.210534</v>
      </c>
      <c r="H351" s="181" t="n">
        <v>0.125246</v>
      </c>
      <c r="I351" s="181" t="inlineStr"/>
    </row>
    <row r="352" ht="15" customHeight="1" s="28">
      <c r="A352" s="182" t="n">
        <v>338</v>
      </c>
      <c r="B352" s="182" t="n">
        <v>337</v>
      </c>
      <c r="C352" s="182" t="n">
        <v>4766.08</v>
      </c>
      <c r="D352" s="182" t="n">
        <v>4744.6705</v>
      </c>
      <c r="E352" s="182" t="n">
        <v>21.4095</v>
      </c>
      <c r="F352" s="182" t="n">
        <v>458.367</v>
      </c>
      <c r="G352" s="182" t="n">
        <v>0.2314</v>
      </c>
      <c r="H352" s="182" t="n">
        <v>0.142064</v>
      </c>
      <c r="I352" s="182" t="inlineStr"/>
    </row>
    <row r="353" ht="15" customHeight="1" s="28">
      <c r="A353" s="181" t="n">
        <v>339</v>
      </c>
      <c r="B353" s="181" t="n">
        <v>338</v>
      </c>
      <c r="C353" s="181" t="n">
        <v>4763.82</v>
      </c>
      <c r="D353" s="181" t="n">
        <v>4744.4166</v>
      </c>
      <c r="E353" s="181" t="n">
        <v>19.4034</v>
      </c>
      <c r="F353" s="181" t="n">
        <v>376.492</v>
      </c>
      <c r="G353" s="181" t="n">
        <v>0.172257</v>
      </c>
      <c r="H353" s="181" t="n">
        <v>0.095845</v>
      </c>
      <c r="I353" s="181" t="inlineStr"/>
    </row>
    <row r="354" ht="15" customHeight="1" s="28">
      <c r="A354" s="182" t="n">
        <v>340</v>
      </c>
      <c r="B354" s="182" t="n">
        <v>339</v>
      </c>
      <c r="C354" s="182" t="n">
        <v>4760.46</v>
      </c>
      <c r="D354" s="182" t="n">
        <v>4744.1627</v>
      </c>
      <c r="E354" s="182" t="n">
        <v>16.2973</v>
      </c>
      <c r="F354" s="182" t="n">
        <v>265.6019</v>
      </c>
      <c r="G354" s="182" t="n">
        <v>0.102068</v>
      </c>
      <c r="H354" s="182" t="n">
        <v>0.0477</v>
      </c>
      <c r="I354" s="182" t="inlineStr"/>
    </row>
    <row r="355" ht="15" customHeight="1" s="28">
      <c r="A355" s="181" t="n">
        <v>341</v>
      </c>
      <c r="B355" s="181" t="n">
        <v>340</v>
      </c>
      <c r="C355" s="181" t="n">
        <v>4758.02</v>
      </c>
      <c r="D355" s="181" t="n">
        <v>4743.9088</v>
      </c>
      <c r="E355" s="181" t="n">
        <v>14.1112</v>
      </c>
      <c r="F355" s="181" t="n">
        <v>199.1258</v>
      </c>
      <c r="G355" s="181" t="n">
        <v>0.066257</v>
      </c>
      <c r="H355" s="181" t="n">
        <v>0.026811</v>
      </c>
      <c r="I355" s="181" t="inlineStr"/>
    </row>
    <row r="356" ht="15" customHeight="1" s="28">
      <c r="A356" s="182" t="n">
        <v>342</v>
      </c>
      <c r="B356" s="182" t="n">
        <v>341</v>
      </c>
      <c r="C356" s="182" t="n">
        <v>4754.37</v>
      </c>
      <c r="D356" s="182" t="n">
        <v>4743.6549</v>
      </c>
      <c r="E356" s="182" t="n">
        <v>10.7151</v>
      </c>
      <c r="F356" s="182" t="n">
        <v>114.8131</v>
      </c>
      <c r="G356" s="182" t="n">
        <v>0.029009</v>
      </c>
      <c r="H356" s="182" t="n">
        <v>0.008913000000000001</v>
      </c>
      <c r="I356" s="182" t="inlineStr"/>
    </row>
    <row r="357" ht="15" customHeight="1" s="28">
      <c r="A357" s="181" t="n">
        <v>343</v>
      </c>
      <c r="B357" s="181" t="n">
        <v>342</v>
      </c>
      <c r="C357" s="181" t="n">
        <v>4756.15</v>
      </c>
      <c r="D357" s="181" t="n">
        <v>4743.401</v>
      </c>
      <c r="E357" s="181" t="n">
        <v>12.749</v>
      </c>
      <c r="F357" s="181" t="n">
        <v>162.5366</v>
      </c>
      <c r="G357" s="181" t="n">
        <v>0.048862</v>
      </c>
      <c r="H357" s="181" t="n">
        <v>0.017863</v>
      </c>
      <c r="I357" s="181" t="inlineStr"/>
    </row>
    <row r="358" ht="15" customHeight="1" s="28">
      <c r="A358" s="182" t="n">
        <v>344</v>
      </c>
      <c r="B358" s="182" t="n">
        <v>343</v>
      </c>
      <c r="C358" s="182" t="n">
        <v>4757.14</v>
      </c>
      <c r="D358" s="182" t="n">
        <v>4743.1471</v>
      </c>
      <c r="E358" s="182" t="n">
        <v>13.9929</v>
      </c>
      <c r="F358" s="182" t="n">
        <v>195.8007</v>
      </c>
      <c r="G358" s="182" t="n">
        <v>0.064605</v>
      </c>
      <c r="H358" s="182" t="n">
        <v>0.025923</v>
      </c>
      <c r="I358" s="182" t="inlineStr"/>
    </row>
    <row r="359" ht="15" customHeight="1" s="28">
      <c r="A359" s="181" t="n">
        <v>345</v>
      </c>
      <c r="B359" s="181" t="n">
        <v>344</v>
      </c>
      <c r="C359" s="181" t="n">
        <v>4760.72</v>
      </c>
      <c r="D359" s="181" t="n">
        <v>4742.8932</v>
      </c>
      <c r="E359" s="181" t="n">
        <v>17.8268</v>
      </c>
      <c r="F359" s="181" t="n">
        <v>317.7939</v>
      </c>
      <c r="G359" s="181" t="n">
        <v>0.133586</v>
      </c>
      <c r="H359" s="181" t="n">
        <v>0.068289</v>
      </c>
      <c r="I359" s="181" t="inlineStr"/>
    </row>
    <row r="360" ht="15" customHeight="1" s="28">
      <c r="A360" s="182" t="n">
        <v>346</v>
      </c>
      <c r="B360" s="182" t="n">
        <v>345</v>
      </c>
      <c r="C360" s="182" t="n">
        <v>4756.45</v>
      </c>
      <c r="D360" s="182" t="n">
        <v>4742.6393</v>
      </c>
      <c r="E360" s="182" t="n">
        <v>13.8107</v>
      </c>
      <c r="F360" s="182" t="n">
        <v>190.7346</v>
      </c>
      <c r="G360" s="182" t="n">
        <v>0.062114</v>
      </c>
      <c r="H360" s="182" t="n">
        <v>0.024599</v>
      </c>
      <c r="I360" s="182" t="inlineStr"/>
    </row>
    <row r="361" ht="15" customHeight="1" s="28">
      <c r="A361" s="181" t="n">
        <v>347</v>
      </c>
      <c r="B361" s="181" t="n">
        <v>346</v>
      </c>
      <c r="C361" s="181" t="n">
        <v>4758.47</v>
      </c>
      <c r="D361" s="181" t="n">
        <v>4742.3854</v>
      </c>
      <c r="E361" s="181" t="n">
        <v>16.0846</v>
      </c>
      <c r="F361" s="181" t="n">
        <v>258.7133</v>
      </c>
      <c r="G361" s="181" t="n">
        <v>0.098123</v>
      </c>
      <c r="H361" s="181" t="n">
        <v>0.045258</v>
      </c>
      <c r="I361" s="181" t="inlineStr"/>
    </row>
    <row r="362" ht="15" customHeight="1" s="28">
      <c r="A362" s="182" t="n">
        <v>348</v>
      </c>
      <c r="B362" s="182" t="n">
        <v>347</v>
      </c>
      <c r="C362" s="182" t="n">
        <v>4755.32</v>
      </c>
      <c r="D362" s="182" t="n">
        <v>4742.1315</v>
      </c>
      <c r="E362" s="182" t="n">
        <v>13.1885</v>
      </c>
      <c r="F362" s="182" t="n">
        <v>173.9355</v>
      </c>
      <c r="G362" s="182" t="n">
        <v>0.054091</v>
      </c>
      <c r="H362" s="182" t="n">
        <v>0.020457</v>
      </c>
      <c r="I362" s="182" t="inlineStr"/>
    </row>
    <row r="363" ht="15" customHeight="1" s="28">
      <c r="A363" s="181" t="n">
        <v>349</v>
      </c>
      <c r="B363" s="181" t="n">
        <v>348</v>
      </c>
      <c r="C363" s="181" t="n">
        <v>4748.72</v>
      </c>
      <c r="D363" s="181" t="n">
        <v>4741.8776</v>
      </c>
      <c r="E363" s="181" t="n">
        <v>6.8424</v>
      </c>
      <c r="F363" s="181" t="n">
        <v>46.8179</v>
      </c>
      <c r="G363" s="181" t="n">
        <v>0.007554</v>
      </c>
      <c r="H363" s="181" t="n">
        <v>0.001482</v>
      </c>
      <c r="I363" s="181" t="inlineStr"/>
    </row>
    <row r="364" ht="15" customHeight="1" s="28">
      <c r="A364" s="182" t="n">
        <v>350</v>
      </c>
      <c r="B364" s="182" t="n">
        <v>349</v>
      </c>
      <c r="C364" s="182" t="n">
        <v>4754.63</v>
      </c>
      <c r="D364" s="182" t="n">
        <v>4741.6237</v>
      </c>
      <c r="E364" s="182" t="n">
        <v>13.0063</v>
      </c>
      <c r="F364" s="182" t="n">
        <v>169.1626</v>
      </c>
      <c r="G364" s="182" t="n">
        <v>0.05188</v>
      </c>
      <c r="H364" s="182" t="n">
        <v>0.019349</v>
      </c>
      <c r="I364" s="182" t="inlineStr"/>
    </row>
    <row r="365" ht="15" customHeight="1" s="28">
      <c r="A365" s="181" t="n">
        <v>351</v>
      </c>
      <c r="B365" s="181" t="n">
        <v>350</v>
      </c>
      <c r="C365" s="181" t="n">
        <v>4756.53</v>
      </c>
      <c r="D365" s="181" t="n">
        <v>4741.3699</v>
      </c>
      <c r="E365" s="181" t="n">
        <v>15.1601</v>
      </c>
      <c r="F365" s="181" t="n">
        <v>229.8301</v>
      </c>
      <c r="G365" s="181" t="n">
        <v>0.082159</v>
      </c>
      <c r="H365" s="181" t="n">
        <v>0.035717</v>
      </c>
      <c r="I365" s="181" t="inlineStr"/>
    </row>
    <row r="366" ht="15" customHeight="1" s="28">
      <c r="A366" s="182" t="n">
        <v>352</v>
      </c>
      <c r="B366" s="182" t="n">
        <v>351</v>
      </c>
      <c r="C366" s="182" t="n">
        <v>4759.21</v>
      </c>
      <c r="D366" s="182" t="n">
        <v>4741.116</v>
      </c>
      <c r="E366" s="182" t="n">
        <v>18.094</v>
      </c>
      <c r="F366" s="182" t="n">
        <v>327.3944</v>
      </c>
      <c r="G366" s="182" t="n">
        <v>0.139685</v>
      </c>
      <c r="H366" s="182" t="n">
        <v>0.072477</v>
      </c>
      <c r="I366" s="182" t="inlineStr"/>
    </row>
    <row r="367" ht="15" customHeight="1" s="28">
      <c r="A367" s="181" t="n">
        <v>353</v>
      </c>
      <c r="B367" s="181" t="n">
        <v>352</v>
      </c>
      <c r="C367" s="181" t="n">
        <v>4757.27</v>
      </c>
      <c r="D367" s="181" t="n">
        <v>4740.8621</v>
      </c>
      <c r="E367" s="181" t="n">
        <v>16.4079</v>
      </c>
      <c r="F367" s="181" t="n">
        <v>269.2205</v>
      </c>
      <c r="G367" s="181" t="n">
        <v>0.104161</v>
      </c>
      <c r="H367" s="181" t="n">
        <v>0.049009</v>
      </c>
      <c r="I367" s="181" t="inlineStr"/>
    </row>
    <row r="368" ht="15" customHeight="1" s="28">
      <c r="A368" s="182" t="n">
        <v>354</v>
      </c>
      <c r="B368" s="182" t="n">
        <v>353</v>
      </c>
      <c r="C368" s="182" t="n">
        <v>4757.36</v>
      </c>
      <c r="D368" s="182" t="n">
        <v>4740.6082</v>
      </c>
      <c r="E368" s="182" t="n">
        <v>16.7518</v>
      </c>
      <c r="F368" s="182" t="n">
        <v>280.624</v>
      </c>
      <c r="G368" s="182" t="n">
        <v>0.110849</v>
      </c>
      <c r="H368" s="182" t="n">
        <v>0.053248</v>
      </c>
      <c r="I368" s="182" t="inlineStr"/>
    </row>
    <row r="369" ht="15" customHeight="1" s="28">
      <c r="A369" s="181" t="n">
        <v>355</v>
      </c>
      <c r="B369" s="181" t="n">
        <v>354</v>
      </c>
      <c r="C369" s="181" t="n">
        <v>4748.68</v>
      </c>
      <c r="D369" s="181" t="n">
        <v>4740.3543</v>
      </c>
      <c r="E369" s="181" t="n">
        <v>8.325699999999999</v>
      </c>
      <c r="F369" s="181" t="n">
        <v>69.31780000000001</v>
      </c>
      <c r="G369" s="181" t="n">
        <v>0.013609</v>
      </c>
      <c r="H369" s="181" t="n">
        <v>0.003249</v>
      </c>
      <c r="I369" s="181" t="inlineStr"/>
    </row>
    <row r="370" ht="15" customHeight="1" s="28">
      <c r="A370" s="182" t="n">
        <v>356</v>
      </c>
      <c r="B370" s="182" t="n">
        <v>355</v>
      </c>
      <c r="C370" s="182" t="n">
        <v>4750.31</v>
      </c>
      <c r="D370" s="182" t="n">
        <v>4740.1004</v>
      </c>
      <c r="E370" s="182" t="n">
        <v>10.2096</v>
      </c>
      <c r="F370" s="182" t="n">
        <v>104.2365</v>
      </c>
      <c r="G370" s="182" t="n">
        <v>0.025094</v>
      </c>
      <c r="H370" s="182" t="n">
        <v>0.007347</v>
      </c>
      <c r="I370" s="182" t="inlineStr"/>
    </row>
    <row r="371" ht="15" customHeight="1" s="28">
      <c r="A371" s="181" t="n">
        <v>357</v>
      </c>
      <c r="B371" s="181" t="n">
        <v>356</v>
      </c>
      <c r="C371" s="181" t="n">
        <v>4752.51</v>
      </c>
      <c r="D371" s="181" t="n">
        <v>4739.8465</v>
      </c>
      <c r="E371" s="181" t="n">
        <v>12.6635</v>
      </c>
      <c r="F371" s="181" t="n">
        <v>160.3648</v>
      </c>
      <c r="G371" s="181" t="n">
        <v>0.047886</v>
      </c>
      <c r="H371" s="181" t="n">
        <v>0.017389</v>
      </c>
      <c r="I371" s="181" t="inlineStr"/>
    </row>
    <row r="372" ht="15" customHeight="1" s="28">
      <c r="A372" s="182" t="n">
        <v>358</v>
      </c>
      <c r="B372" s="182" t="n">
        <v>357</v>
      </c>
      <c r="C372" s="182" t="n">
        <v>4753.2</v>
      </c>
      <c r="D372" s="182" t="n">
        <v>4739.5926</v>
      </c>
      <c r="E372" s="182" t="n">
        <v>13.6074</v>
      </c>
      <c r="F372" s="182" t="n">
        <v>185.1618</v>
      </c>
      <c r="G372" s="182" t="n">
        <v>0.059411</v>
      </c>
      <c r="H372" s="182" t="n">
        <v>0.023183</v>
      </c>
      <c r="I372" s="182" t="inlineStr"/>
    </row>
    <row r="373" ht="15" customHeight="1" s="28">
      <c r="A373" s="181" t="n">
        <v>359</v>
      </c>
      <c r="B373" s="181" t="n">
        <v>358</v>
      </c>
      <c r="C373" s="181" t="n">
        <v>4746.73</v>
      </c>
      <c r="D373" s="181" t="n">
        <v>4739.3387</v>
      </c>
      <c r="E373" s="181" t="n">
        <v>7.3913</v>
      </c>
      <c r="F373" s="181" t="n">
        <v>54.6315</v>
      </c>
      <c r="G373" s="181" t="n">
        <v>0.009521999999999999</v>
      </c>
      <c r="H373" s="181" t="n">
        <v>0.002018</v>
      </c>
      <c r="I373" s="181" t="inlineStr"/>
    </row>
    <row r="374" ht="15" customHeight="1" s="28">
      <c r="A374" s="182" t="n">
        <v>360</v>
      </c>
      <c r="B374" s="182" t="n">
        <v>359</v>
      </c>
      <c r="C374" s="182" t="n">
        <v>4744.23</v>
      </c>
      <c r="D374" s="182" t="n">
        <v>4739.0848</v>
      </c>
      <c r="E374" s="182" t="n">
        <v>5.1452</v>
      </c>
      <c r="F374" s="182" t="n">
        <v>26.4732</v>
      </c>
      <c r="G374" s="182" t="n">
        <v>0.003212</v>
      </c>
      <c r="H374" s="182" t="n">
        <v>0.000474</v>
      </c>
      <c r="I374" s="182" t="inlineStr"/>
    </row>
    <row r="375" ht="15" customHeight="1" s="28">
      <c r="A375" s="181" t="n">
        <v>361</v>
      </c>
      <c r="B375" s="181" t="n">
        <v>360</v>
      </c>
      <c r="C375" s="181" t="n">
        <v>4742.39</v>
      </c>
      <c r="D375" s="181" t="n">
        <v>4738.8309</v>
      </c>
      <c r="E375" s="181" t="n">
        <v>3.5591</v>
      </c>
      <c r="F375" s="181" t="n">
        <v>12.6672</v>
      </c>
      <c r="G375" s="181" t="n">
        <v>0.001063</v>
      </c>
      <c r="H375" s="181" t="n">
        <v>0.000108</v>
      </c>
      <c r="I375" s="181" t="inlineStr"/>
    </row>
    <row r="376" ht="15" customHeight="1" s="28">
      <c r="A376" s="182" t="n">
        <v>362</v>
      </c>
      <c r="B376" s="182" t="n">
        <v>361</v>
      </c>
      <c r="C376" s="182" t="n">
        <v>4750.2</v>
      </c>
      <c r="D376" s="182" t="n">
        <v>4738.577</v>
      </c>
      <c r="E376" s="182" t="n">
        <v>11.623</v>
      </c>
      <c r="F376" s="182" t="n">
        <v>135.0941</v>
      </c>
      <c r="G376" s="182" t="n">
        <v>0.037025</v>
      </c>
      <c r="H376" s="182" t="n">
        <v>0.01234</v>
      </c>
      <c r="I376" s="182" t="inlineStr"/>
    </row>
    <row r="377" ht="15" customHeight="1" s="28">
      <c r="A377" s="181" t="n">
        <v>363</v>
      </c>
      <c r="B377" s="181" t="n">
        <v>362</v>
      </c>
      <c r="C377" s="181" t="n">
        <v>4755.33</v>
      </c>
      <c r="D377" s="181" t="n">
        <v>4738.3231</v>
      </c>
      <c r="E377" s="181" t="n">
        <v>17.0069</v>
      </c>
      <c r="F377" s="181" t="n">
        <v>289.2345</v>
      </c>
      <c r="G377" s="181" t="n">
        <v>0.115989</v>
      </c>
      <c r="H377" s="181" t="n">
        <v>0.056566</v>
      </c>
      <c r="I377" s="181" t="inlineStr"/>
    </row>
    <row r="378" ht="15" customHeight="1" s="28">
      <c r="A378" s="182" t="n">
        <v>364</v>
      </c>
      <c r="B378" s="182" t="n">
        <v>363</v>
      </c>
      <c r="C378" s="182" t="n">
        <v>4752.94</v>
      </c>
      <c r="D378" s="182" t="n">
        <v>4738.0692</v>
      </c>
      <c r="E378" s="182" t="n">
        <v>14.8708</v>
      </c>
      <c r="F378" s="182" t="n">
        <v>221.1404</v>
      </c>
      <c r="G378" s="182" t="n">
        <v>0.077543</v>
      </c>
      <c r="H378" s="182" t="n">
        <v>0.033067</v>
      </c>
      <c r="I378" s="182" t="inlineStr"/>
    </row>
    <row r="379" ht="15" customHeight="1" s="28">
      <c r="A379" s="181" t="n">
        <v>365</v>
      </c>
      <c r="B379" s="181" t="n">
        <v>364</v>
      </c>
      <c r="C379" s="181" t="n">
        <v>4745.59</v>
      </c>
      <c r="D379" s="181" t="n">
        <v>4737.8153</v>
      </c>
      <c r="E379" s="181" t="n">
        <v>7.7747</v>
      </c>
      <c r="F379" s="181" t="n">
        <v>60.4457</v>
      </c>
      <c r="G379" s="181" t="n">
        <v>0.011081</v>
      </c>
      <c r="H379" s="181" t="n">
        <v>0.002471</v>
      </c>
      <c r="I379" s="181" t="inlineStr"/>
    </row>
    <row r="380" ht="15" customHeight="1" s="28">
      <c r="A380" s="182" t="n">
        <v>366</v>
      </c>
      <c r="B380" s="182" t="n">
        <v>365</v>
      </c>
      <c r="C380" s="182" t="n">
        <v>4743.96</v>
      </c>
      <c r="D380" s="182" t="n">
        <v>4737.5614</v>
      </c>
      <c r="E380" s="182" t="n">
        <v>6.3986</v>
      </c>
      <c r="F380" s="182" t="n">
        <v>40.9418</v>
      </c>
      <c r="G380" s="182" t="n">
        <v>0.006177</v>
      </c>
      <c r="H380" s="182" t="n">
        <v>0.001133</v>
      </c>
      <c r="I380" s="182" t="inlineStr"/>
    </row>
    <row r="381" ht="15" customHeight="1" s="28">
      <c r="A381" s="181" t="n">
        <v>367</v>
      </c>
      <c r="B381" s="181" t="n">
        <v>366</v>
      </c>
      <c r="C381" s="181" t="n">
        <v>4733.08</v>
      </c>
      <c r="D381" s="181" t="n">
        <v>4737.3075</v>
      </c>
      <c r="E381" s="181" t="n">
        <v>-4.2275</v>
      </c>
      <c r="F381" s="181" t="n">
        <v>17.872</v>
      </c>
      <c r="G381" s="181" t="n">
        <v>-0.001782</v>
      </c>
      <c r="H381" s="181" t="n">
        <v>0.000216</v>
      </c>
      <c r="I381" s="181" t="inlineStr"/>
    </row>
    <row r="382" ht="15" customHeight="1" s="28">
      <c r="A382" s="182" t="n">
        <v>368</v>
      </c>
      <c r="B382" s="182" t="n">
        <v>367</v>
      </c>
      <c r="C382" s="182" t="n">
        <v>4736.03</v>
      </c>
      <c r="D382" s="182" t="n">
        <v>4737.0536</v>
      </c>
      <c r="E382" s="182" t="n">
        <v>-1.0236</v>
      </c>
      <c r="F382" s="182" t="n">
        <v>1.0478</v>
      </c>
      <c r="G382" s="182" t="n">
        <v>-2.5e-05</v>
      </c>
      <c r="H382" s="182" t="n">
        <v>1e-06</v>
      </c>
      <c r="I382" s="182" t="inlineStr"/>
    </row>
    <row r="383" ht="15" customHeight="1" s="28">
      <c r="A383" s="181" t="n">
        <v>369</v>
      </c>
      <c r="B383" s="181" t="n">
        <v>368</v>
      </c>
      <c r="C383" s="181" t="n">
        <v>4737.74</v>
      </c>
      <c r="D383" s="181" t="n">
        <v>4736.7997</v>
      </c>
      <c r="E383" s="181" t="n">
        <v>0.9403</v>
      </c>
      <c r="F383" s="181" t="n">
        <v>0.8841</v>
      </c>
      <c r="G383" s="181" t="n">
        <v>2e-05</v>
      </c>
      <c r="H383" s="181" t="n">
        <v>1e-06</v>
      </c>
      <c r="I383" s="181" t="inlineStr"/>
    </row>
    <row r="384" ht="15" customHeight="1" s="28">
      <c r="A384" s="182" t="n">
        <v>370</v>
      </c>
      <c r="B384" s="182" t="n">
        <v>369</v>
      </c>
      <c r="C384" s="182" t="n">
        <v>4735.09</v>
      </c>
      <c r="D384" s="182" t="n">
        <v>4736.5458</v>
      </c>
      <c r="E384" s="182" t="n">
        <v>-1.4558</v>
      </c>
      <c r="F384" s="182" t="n">
        <v>2.1195</v>
      </c>
      <c r="G384" s="182" t="n">
        <v>-7.3e-05</v>
      </c>
      <c r="H384" s="182" t="n">
        <v>3e-06</v>
      </c>
      <c r="I384" s="182" t="inlineStr"/>
    </row>
    <row r="385" ht="15" customHeight="1" s="28">
      <c r="A385" s="181" t="n">
        <v>371</v>
      </c>
      <c r="B385" s="181" t="n">
        <v>370</v>
      </c>
      <c r="C385" s="181" t="n">
        <v>4727.2</v>
      </c>
      <c r="D385" s="181" t="n">
        <v>4736.2919</v>
      </c>
      <c r="E385" s="181" t="n">
        <v>-9.091900000000001</v>
      </c>
      <c r="F385" s="181" t="n">
        <v>82.6634</v>
      </c>
      <c r="G385" s="181" t="n">
        <v>-0.017722</v>
      </c>
      <c r="H385" s="181" t="n">
        <v>0.00462</v>
      </c>
      <c r="I385" s="181" t="inlineStr"/>
    </row>
    <row r="386" ht="15" customHeight="1" s="28">
      <c r="A386" s="182" t="n">
        <v>372</v>
      </c>
      <c r="B386" s="182" t="n">
        <v>371</v>
      </c>
      <c r="C386" s="182" t="n">
        <v>4727.69</v>
      </c>
      <c r="D386" s="182" t="n">
        <v>4736.038</v>
      </c>
      <c r="E386" s="182" t="n">
        <v>-8.348000000000001</v>
      </c>
      <c r="F386" s="182" t="n">
        <v>69.68989999999999</v>
      </c>
      <c r="G386" s="182" t="n">
        <v>-0.013718</v>
      </c>
      <c r="H386" s="182" t="n">
        <v>0.003284</v>
      </c>
      <c r="I386" s="182" t="inlineStr"/>
    </row>
    <row r="387" ht="15" customHeight="1" s="28">
      <c r="A387" s="181" t="n">
        <v>373</v>
      </c>
      <c r="B387" s="181" t="n">
        <v>372</v>
      </c>
      <c r="C387" s="181" t="n">
        <v>4730.22</v>
      </c>
      <c r="D387" s="181" t="n">
        <v>4735.7842</v>
      </c>
      <c r="E387" s="181" t="n">
        <v>-5.5642</v>
      </c>
      <c r="F387" s="181" t="n">
        <v>30.9598</v>
      </c>
      <c r="G387" s="181" t="n">
        <v>-0.004062</v>
      </c>
      <c r="H387" s="181" t="n">
        <v>0.000648</v>
      </c>
      <c r="I387" s="181" t="inlineStr"/>
    </row>
    <row r="388" ht="15" customHeight="1" s="28">
      <c r="A388" s="182" t="n">
        <v>374</v>
      </c>
      <c r="B388" s="182" t="n">
        <v>373</v>
      </c>
      <c r="C388" s="182" t="n">
        <v>4727.08</v>
      </c>
      <c r="D388" s="182" t="n">
        <v>4735.5303</v>
      </c>
      <c r="E388" s="182" t="n">
        <v>-8.4503</v>
      </c>
      <c r="F388" s="182" t="n">
        <v>71.4068</v>
      </c>
      <c r="G388" s="182" t="n">
        <v>-0.014228</v>
      </c>
      <c r="H388" s="182" t="n">
        <v>0.003448</v>
      </c>
      <c r="I388" s="182" t="inlineStr"/>
    </row>
    <row r="389" ht="15" customHeight="1" s="28">
      <c r="A389" s="181" t="n">
        <v>375</v>
      </c>
      <c r="B389" s="181" t="n">
        <v>374</v>
      </c>
      <c r="C389" s="181" t="n">
        <v>4728.3</v>
      </c>
      <c r="D389" s="181" t="n">
        <v>4735.2764</v>
      </c>
      <c r="E389" s="181" t="n">
        <v>-6.9764</v>
      </c>
      <c r="F389" s="181" t="n">
        <v>48.6696</v>
      </c>
      <c r="G389" s="181" t="n">
        <v>-0.008005999999999999</v>
      </c>
      <c r="H389" s="181" t="n">
        <v>0.001602</v>
      </c>
      <c r="I389" s="181" t="inlineStr"/>
    </row>
    <row r="390" ht="15" customHeight="1" s="28">
      <c r="A390" s="182" t="n">
        <v>376</v>
      </c>
      <c r="B390" s="182" t="n">
        <v>375</v>
      </c>
      <c r="C390" s="182" t="n">
        <v>4728.79</v>
      </c>
      <c r="D390" s="182" t="n">
        <v>4735.0225</v>
      </c>
      <c r="E390" s="182" t="n">
        <v>-6.2325</v>
      </c>
      <c r="F390" s="182" t="n">
        <v>38.8436</v>
      </c>
      <c r="G390" s="182" t="n">
        <v>-0.005709</v>
      </c>
      <c r="H390" s="182" t="n">
        <v>0.00102</v>
      </c>
      <c r="I390" s="182" t="inlineStr"/>
    </row>
    <row r="391" ht="15" customHeight="1" s="28">
      <c r="A391" s="181" t="n">
        <v>377</v>
      </c>
      <c r="B391" s="181" t="n">
        <v>376</v>
      </c>
      <c r="C391" s="181" t="n">
        <v>4735.49</v>
      </c>
      <c r="D391" s="181" t="n">
        <v>4734.7686</v>
      </c>
      <c r="E391" s="181" t="n">
        <v>0.7214</v>
      </c>
      <c r="F391" s="181" t="n">
        <v>0.5205</v>
      </c>
      <c r="G391" s="181" t="n">
        <v>9e-06</v>
      </c>
      <c r="H391" s="181" t="n">
        <v>0</v>
      </c>
      <c r="I391" s="181" t="inlineStr"/>
    </row>
    <row r="392" ht="15" customHeight="1" s="28">
      <c r="A392" s="182" t="n">
        <v>378</v>
      </c>
      <c r="B392" s="182" t="n">
        <v>377</v>
      </c>
      <c r="C392" s="182" t="n">
        <v>4735.05</v>
      </c>
      <c r="D392" s="182" t="n">
        <v>4734.5147</v>
      </c>
      <c r="E392" s="182" t="n">
        <v>0.5353</v>
      </c>
      <c r="F392" s="182" t="n">
        <v>0.2866</v>
      </c>
      <c r="G392" s="182" t="n">
        <v>4e-06</v>
      </c>
      <c r="H392" s="182" t="n">
        <v>0</v>
      </c>
      <c r="I392" s="182" t="inlineStr"/>
    </row>
    <row r="393" ht="15" customHeight="1" s="28">
      <c r="A393" s="181" t="n">
        <v>379</v>
      </c>
      <c r="B393" s="181" t="n">
        <v>378</v>
      </c>
      <c r="C393" s="181" t="n">
        <v>4736.17</v>
      </c>
      <c r="D393" s="181" t="n">
        <v>4734.2608</v>
      </c>
      <c r="E393" s="181" t="n">
        <v>1.9092</v>
      </c>
      <c r="F393" s="181" t="n">
        <v>3.6451</v>
      </c>
      <c r="G393" s="181" t="n">
        <v>0.000164</v>
      </c>
      <c r="H393" s="181" t="n">
        <v>9e-06</v>
      </c>
      <c r="I393" s="181" t="inlineStr"/>
    </row>
    <row r="394" ht="15" customHeight="1" s="28">
      <c r="A394" s="182" t="n">
        <v>380</v>
      </c>
      <c r="B394" s="182" t="n">
        <v>379</v>
      </c>
      <c r="C394" s="182" t="n">
        <v>4737.15</v>
      </c>
      <c r="D394" s="182" t="n">
        <v>4734.0069</v>
      </c>
      <c r="E394" s="182" t="n">
        <v>3.1431</v>
      </c>
      <c r="F394" s="182" t="n">
        <v>9.879200000000001</v>
      </c>
      <c r="G394" s="182" t="n">
        <v>0.000732</v>
      </c>
      <c r="H394" s="182" t="n">
        <v>6.600000000000001e-05</v>
      </c>
      <c r="I394" s="182" t="inlineStr"/>
    </row>
    <row r="395" ht="15" customHeight="1" s="28">
      <c r="A395" s="181" t="n">
        <v>381</v>
      </c>
      <c r="B395" s="181" t="n">
        <v>380</v>
      </c>
      <c r="C395" s="181" t="n">
        <v>4735.94</v>
      </c>
      <c r="D395" s="181" t="n">
        <v>4733.753</v>
      </c>
      <c r="E395" s="181" t="n">
        <v>2.187</v>
      </c>
      <c r="F395" s="181" t="n">
        <v>4.783</v>
      </c>
      <c r="G395" s="181" t="n">
        <v>0.000247</v>
      </c>
      <c r="H395" s="181" t="n">
        <v>1.5e-05</v>
      </c>
      <c r="I395" s="181" t="inlineStr"/>
    </row>
    <row r="396" ht="15" customHeight="1" s="28">
      <c r="A396" s="182" t="n">
        <v>382</v>
      </c>
      <c r="B396" s="182" t="n">
        <v>381</v>
      </c>
      <c r="C396" s="182" t="n">
        <v>4730.43</v>
      </c>
      <c r="D396" s="182" t="n">
        <v>4733.4991</v>
      </c>
      <c r="E396" s="182" t="n">
        <v>-3.0691</v>
      </c>
      <c r="F396" s="182" t="n">
        <v>9.4193</v>
      </c>
      <c r="G396" s="182" t="n">
        <v>-0.000682</v>
      </c>
      <c r="H396" s="182" t="n">
        <v>6e-05</v>
      </c>
      <c r="I396" s="182" t="inlineStr"/>
    </row>
    <row r="397" ht="15" customHeight="1" s="28">
      <c r="A397" s="181" t="n">
        <v>383</v>
      </c>
      <c r="B397" s="181" t="n">
        <v>382</v>
      </c>
      <c r="C397" s="181" t="n">
        <v>4739.45</v>
      </c>
      <c r="D397" s="181" t="n">
        <v>4733.2452</v>
      </c>
      <c r="E397" s="181" t="n">
        <v>6.2048</v>
      </c>
      <c r="F397" s="181" t="n">
        <v>38.4996</v>
      </c>
      <c r="G397" s="181" t="n">
        <v>0.005633</v>
      </c>
      <c r="H397" s="181" t="n">
        <v>0.001002</v>
      </c>
      <c r="I397" s="181" t="inlineStr"/>
    </row>
    <row r="398" ht="15" customHeight="1" s="28">
      <c r="A398" s="182" t="n">
        <v>384</v>
      </c>
      <c r="B398" s="182" t="n">
        <v>383</v>
      </c>
      <c r="C398" s="182" t="n">
        <v>4741.69</v>
      </c>
      <c r="D398" s="182" t="n">
        <v>4732.9913</v>
      </c>
      <c r="E398" s="182" t="n">
        <v>8.698700000000001</v>
      </c>
      <c r="F398" s="182" t="n">
        <v>75.6674</v>
      </c>
      <c r="G398" s="182" t="n">
        <v>0.015521</v>
      </c>
      <c r="H398" s="182" t="n">
        <v>0.003871</v>
      </c>
      <c r="I398" s="182" t="inlineStr"/>
    </row>
    <row r="399" ht="15" customHeight="1" s="28">
      <c r="A399" s="181" t="n">
        <v>385</v>
      </c>
      <c r="B399" s="181" t="n">
        <v>384</v>
      </c>
      <c r="C399" s="181" t="n">
        <v>4738.64</v>
      </c>
      <c r="D399" s="181" t="n">
        <v>4732.7374</v>
      </c>
      <c r="E399" s="181" t="n">
        <v>5.9026</v>
      </c>
      <c r="F399" s="181" t="n">
        <v>34.8406</v>
      </c>
      <c r="G399" s="181" t="n">
        <v>0.004849</v>
      </c>
      <c r="H399" s="181" t="n">
        <v>0.000821</v>
      </c>
      <c r="I399" s="181" t="inlineStr"/>
    </row>
    <row r="400" ht="15" customHeight="1" s="28">
      <c r="A400" s="182" t="n">
        <v>386</v>
      </c>
      <c r="B400" s="182" t="n">
        <v>385</v>
      </c>
      <c r="C400" s="182" t="n">
        <v>4744.32</v>
      </c>
      <c r="D400" s="182" t="n">
        <v>4732.4835</v>
      </c>
      <c r="E400" s="182" t="n">
        <v>11.8365</v>
      </c>
      <c r="F400" s="182" t="n">
        <v>140.1025</v>
      </c>
      <c r="G400" s="182" t="n">
        <v>0.039103</v>
      </c>
      <c r="H400" s="182" t="n">
        <v>0.013272</v>
      </c>
      <c r="I400" s="182" t="inlineStr"/>
    </row>
    <row r="401" ht="15" customHeight="1" s="28">
      <c r="A401" s="181" t="n">
        <v>387</v>
      </c>
      <c r="B401" s="181" t="n">
        <v>386</v>
      </c>
      <c r="C401" s="181" t="n">
        <v>4739.38</v>
      </c>
      <c r="D401" s="181" t="n">
        <v>4732.2296</v>
      </c>
      <c r="E401" s="181" t="n">
        <v>7.1504</v>
      </c>
      <c r="F401" s="181" t="n">
        <v>51.128</v>
      </c>
      <c r="G401" s="181" t="n">
        <v>0.008619999999999999</v>
      </c>
      <c r="H401" s="181" t="n">
        <v>0.001768</v>
      </c>
      <c r="I401" s="181" t="inlineStr"/>
    </row>
    <row r="402" ht="15" customHeight="1" s="28">
      <c r="A402" s="182" t="n">
        <v>388</v>
      </c>
      <c r="B402" s="182" t="n">
        <v>387</v>
      </c>
      <c r="C402" s="182" t="n">
        <v>4740.36</v>
      </c>
      <c r="D402" s="182" t="n">
        <v>4731.9757</v>
      </c>
      <c r="E402" s="182" t="n">
        <v>8.3843</v>
      </c>
      <c r="F402" s="182" t="n">
        <v>70.2962</v>
      </c>
      <c r="G402" s="182" t="n">
        <v>0.013898</v>
      </c>
      <c r="H402" s="182" t="n">
        <v>0.003341</v>
      </c>
      <c r="I402" s="182" t="inlineStr"/>
    </row>
    <row r="403" ht="15" customHeight="1" s="28">
      <c r="A403" s="181" t="n">
        <v>389</v>
      </c>
      <c r="B403" s="181" t="n">
        <v>388</v>
      </c>
      <c r="C403" s="181" t="n">
        <v>4736.16</v>
      </c>
      <c r="D403" s="181" t="n">
        <v>4731.7218</v>
      </c>
      <c r="E403" s="181" t="n">
        <v>4.4382</v>
      </c>
      <c r="F403" s="181" t="n">
        <v>19.6974</v>
      </c>
      <c r="G403" s="181" t="n">
        <v>0.002061</v>
      </c>
      <c r="H403" s="181" t="n">
        <v>0.000262</v>
      </c>
      <c r="I403" s="181" t="inlineStr"/>
    </row>
    <row r="404" ht="15" customHeight="1" s="28">
      <c r="A404" s="182" t="n">
        <v>390</v>
      </c>
      <c r="B404" s="182" t="n">
        <v>389</v>
      </c>
      <c r="C404" s="182" t="n">
        <v>4736.99</v>
      </c>
      <c r="D404" s="182" t="n">
        <v>4731.4679</v>
      </c>
      <c r="E404" s="182" t="n">
        <v>5.5221</v>
      </c>
      <c r="F404" s="182" t="n">
        <v>30.4933</v>
      </c>
      <c r="G404" s="182" t="n">
        <v>0.003971</v>
      </c>
      <c r="H404" s="182" t="n">
        <v>0.000629</v>
      </c>
      <c r="I404" s="182" t="inlineStr"/>
    </row>
    <row r="405" ht="15" customHeight="1" s="28">
      <c r="A405" s="181" t="n">
        <v>391</v>
      </c>
      <c r="B405" s="181" t="n">
        <v>390</v>
      </c>
      <c r="C405" s="181" t="n">
        <v>4737.48</v>
      </c>
      <c r="D405" s="181" t="n">
        <v>4731.214</v>
      </c>
      <c r="E405" s="181" t="n">
        <v>6.266</v>
      </c>
      <c r="F405" s="181" t="n">
        <v>39.2624</v>
      </c>
      <c r="G405" s="181" t="n">
        <v>0.005801</v>
      </c>
      <c r="H405" s="181" t="n">
        <v>0.001042</v>
      </c>
      <c r="I405" s="181" t="inlineStr"/>
    </row>
    <row r="406" ht="15" customHeight="1" s="28">
      <c r="A406" s="182" t="n">
        <v>392</v>
      </c>
      <c r="B406" s="182" t="n">
        <v>391</v>
      </c>
      <c r="C406" s="182" t="n">
        <v>4740.38</v>
      </c>
      <c r="D406" s="182" t="n">
        <v>4730.9601</v>
      </c>
      <c r="E406" s="182" t="n">
        <v>9.4199</v>
      </c>
      <c r="F406" s="182" t="n">
        <v>88.7338</v>
      </c>
      <c r="G406" s="182" t="n">
        <v>0.01971</v>
      </c>
      <c r="H406" s="182" t="n">
        <v>0.005324</v>
      </c>
      <c r="I406" s="182" t="inlineStr"/>
    </row>
    <row r="407" ht="15" customHeight="1" s="28">
      <c r="A407" s="181" t="n">
        <v>393</v>
      </c>
      <c r="B407" s="181" t="n">
        <v>392</v>
      </c>
      <c r="C407" s="181" t="n">
        <v>4736.69</v>
      </c>
      <c r="D407" s="181" t="n">
        <v>4730.7062</v>
      </c>
      <c r="E407" s="181" t="n">
        <v>5.9838</v>
      </c>
      <c r="F407" s="181" t="n">
        <v>35.8054</v>
      </c>
      <c r="G407" s="181" t="n">
        <v>0.005052</v>
      </c>
      <c r="H407" s="181" t="n">
        <v>0.000867</v>
      </c>
      <c r="I407" s="181" t="inlineStr"/>
    </row>
    <row r="408" ht="15" customHeight="1" s="28">
      <c r="A408" s="182" t="n">
        <v>394</v>
      </c>
      <c r="B408" s="182" t="n">
        <v>393</v>
      </c>
      <c r="C408" s="182" t="n">
        <v>4732.96</v>
      </c>
      <c r="D408" s="182" t="n">
        <v>4730.4523</v>
      </c>
      <c r="E408" s="182" t="n">
        <v>2.5077</v>
      </c>
      <c r="F408" s="182" t="n">
        <v>6.2883</v>
      </c>
      <c r="G408" s="182" t="n">
        <v>0.000372</v>
      </c>
      <c r="H408" s="182" t="n">
        <v>2.7e-05</v>
      </c>
      <c r="I408" s="182" t="inlineStr"/>
    </row>
    <row r="409" ht="15" customHeight="1" s="28">
      <c r="A409" s="181" t="n">
        <v>395</v>
      </c>
      <c r="B409" s="181" t="n">
        <v>394</v>
      </c>
      <c r="C409" s="181" t="n">
        <v>4729.94</v>
      </c>
      <c r="D409" s="181" t="n">
        <v>4730.1984</v>
      </c>
      <c r="E409" s="181" t="n">
        <v>-0.2584</v>
      </c>
      <c r="F409" s="181" t="n">
        <v>0.0668</v>
      </c>
      <c r="G409" s="181" t="n">
        <v>0</v>
      </c>
      <c r="H409" s="181" t="n">
        <v>0</v>
      </c>
      <c r="I409" s="181" t="inlineStr"/>
    </row>
    <row r="410" ht="15" customHeight="1" s="28">
      <c r="A410" s="182" t="n">
        <v>396</v>
      </c>
      <c r="B410" s="182" t="n">
        <v>395</v>
      </c>
      <c r="C410" s="182" t="n">
        <v>4725.92</v>
      </c>
      <c r="D410" s="182" t="n">
        <v>4729.9446</v>
      </c>
      <c r="E410" s="182" t="n">
        <v>-4.0246</v>
      </c>
      <c r="F410" s="182" t="n">
        <v>16.197</v>
      </c>
      <c r="G410" s="182" t="n">
        <v>-0.001537</v>
      </c>
      <c r="H410" s="182" t="n">
        <v>0.000177</v>
      </c>
      <c r="I410" s="182" t="inlineStr"/>
    </row>
    <row r="411" ht="15" customHeight="1" s="28">
      <c r="A411" s="181" t="n">
        <v>397</v>
      </c>
      <c r="B411" s="181" t="n">
        <v>396</v>
      </c>
      <c r="C411" s="181" t="n">
        <v>4725.95</v>
      </c>
      <c r="D411" s="181" t="n">
        <v>4729.6907</v>
      </c>
      <c r="E411" s="181" t="n">
        <v>-3.7407</v>
      </c>
      <c r="F411" s="181" t="n">
        <v>13.9925</v>
      </c>
      <c r="G411" s="181" t="n">
        <v>-0.001234</v>
      </c>
      <c r="H411" s="181" t="n">
        <v>0.000132</v>
      </c>
      <c r="I411" s="181" t="inlineStr"/>
    </row>
    <row r="412" ht="15" customHeight="1" s="28">
      <c r="A412" s="182" t="n">
        <v>398</v>
      </c>
      <c r="B412" s="182" t="n">
        <v>397</v>
      </c>
      <c r="C412" s="182" t="n">
        <v>4728.14</v>
      </c>
      <c r="D412" s="182" t="n">
        <v>4729.4368</v>
      </c>
      <c r="E412" s="182" t="n">
        <v>-1.2968</v>
      </c>
      <c r="F412" s="182" t="n">
        <v>1.6816</v>
      </c>
      <c r="G412" s="182" t="n">
        <v>-5.1e-05</v>
      </c>
      <c r="H412" s="182" t="n">
        <v>2e-06</v>
      </c>
      <c r="I412" s="182" t="inlineStr"/>
    </row>
    <row r="413" ht="15" customHeight="1" s="28">
      <c r="A413" s="181" t="n">
        <v>399</v>
      </c>
      <c r="B413" s="181" t="n">
        <v>398</v>
      </c>
      <c r="C413" s="181" t="n">
        <v>4724.57</v>
      </c>
      <c r="D413" s="181" t="n">
        <v>4729.1829</v>
      </c>
      <c r="E413" s="181" t="n">
        <v>-4.6129</v>
      </c>
      <c r="F413" s="181" t="n">
        <v>21.2785</v>
      </c>
      <c r="G413" s="181" t="n">
        <v>-0.002314</v>
      </c>
      <c r="H413" s="181" t="n">
        <v>0.000306</v>
      </c>
      <c r="I413" s="181" t="inlineStr"/>
    </row>
    <row r="414" ht="15" customHeight="1" s="28">
      <c r="A414" s="182" t="n">
        <v>400</v>
      </c>
      <c r="B414" s="182" t="n">
        <v>399</v>
      </c>
      <c r="C414" s="182" t="n">
        <v>4727.72</v>
      </c>
      <c r="D414" s="182" t="n">
        <v>4728.929</v>
      </c>
      <c r="E414" s="182" t="n">
        <v>-1.209</v>
      </c>
      <c r="F414" s="182" t="n">
        <v>1.4616</v>
      </c>
      <c r="G414" s="182" t="n">
        <v>-4.2e-05</v>
      </c>
      <c r="H414" s="182" t="n">
        <v>1e-06</v>
      </c>
      <c r="I414" s="182" t="inlineStr"/>
    </row>
    <row r="415" ht="15" customHeight="1" s="28">
      <c r="A415" s="181" t="n">
        <v>401</v>
      </c>
      <c r="B415" s="181" t="n">
        <v>400</v>
      </c>
      <c r="C415" s="181" t="n">
        <v>4699.48</v>
      </c>
      <c r="D415" s="181" t="n">
        <v>4728.6751</v>
      </c>
      <c r="E415" s="181" t="n">
        <v>-29.1951</v>
      </c>
      <c r="F415" s="181" t="n">
        <v>852.3525</v>
      </c>
      <c r="G415" s="181" t="n">
        <v>-0.586776</v>
      </c>
      <c r="H415" s="181" t="n">
        <v>0.491243</v>
      </c>
      <c r="I415" s="181" t="inlineStr"/>
    </row>
    <row r="416" ht="15" customHeight="1" s="28">
      <c r="A416" s="182" t="n">
        <v>402</v>
      </c>
      <c r="B416" s="182" t="n">
        <v>401</v>
      </c>
      <c r="C416" s="182" t="n">
        <v>4741.59</v>
      </c>
      <c r="D416" s="182" t="n">
        <v>4728.4212</v>
      </c>
      <c r="E416" s="182" t="n">
        <v>13.1688</v>
      </c>
      <c r="F416" s="182" t="n">
        <v>173.4178</v>
      </c>
      <c r="G416" s="182" t="n">
        <v>0.05385</v>
      </c>
      <c r="H416" s="182" t="n">
        <v>0.020335</v>
      </c>
      <c r="I416" s="182" t="inlineStr"/>
    </row>
    <row r="417" ht="15" customHeight="1" s="28">
      <c r="A417" s="181" t="n">
        <v>403</v>
      </c>
      <c r="B417" s="181" t="n">
        <v>402</v>
      </c>
      <c r="C417" s="181" t="n">
        <v>4744.84</v>
      </c>
      <c r="D417" s="181" t="n">
        <v>4728.1673</v>
      </c>
      <c r="E417" s="181" t="n">
        <v>16.6727</v>
      </c>
      <c r="F417" s="181" t="n">
        <v>277.9794</v>
      </c>
      <c r="G417" s="181" t="n">
        <v>0.109285</v>
      </c>
      <c r="H417" s="181" t="n">
        <v>0.05225</v>
      </c>
      <c r="I417" s="181" t="inlineStr"/>
    </row>
    <row r="418" ht="15" customHeight="1" s="28">
      <c r="A418" s="182" t="n">
        <v>404</v>
      </c>
      <c r="B418" s="182" t="n">
        <v>403</v>
      </c>
      <c r="C418" s="182" t="n">
        <v>4748.05</v>
      </c>
      <c r="D418" s="182" t="n">
        <v>4727.9134</v>
      </c>
      <c r="E418" s="182" t="n">
        <v>20.1366</v>
      </c>
      <c r="F418" s="182" t="n">
        <v>405.4831</v>
      </c>
      <c r="G418" s="182" t="n">
        <v>0.192532</v>
      </c>
      <c r="H418" s="182" t="n">
        <v>0.111174</v>
      </c>
      <c r="I418" s="182" t="inlineStr"/>
    </row>
    <row r="419" ht="15" customHeight="1" s="28">
      <c r="A419" s="181" t="n">
        <v>405</v>
      </c>
      <c r="B419" s="181" t="n">
        <v>404</v>
      </c>
      <c r="C419" s="181" t="n">
        <v>4737</v>
      </c>
      <c r="D419" s="181" t="n">
        <v>4727.6595</v>
      </c>
      <c r="E419" s="181" t="n">
        <v>9.3405</v>
      </c>
      <c r="F419" s="181" t="n">
        <v>87.245</v>
      </c>
      <c r="G419" s="181" t="n">
        <v>0.019216</v>
      </c>
      <c r="H419" s="181" t="n">
        <v>0.005147</v>
      </c>
      <c r="I419" s="181" t="inlineStr"/>
    </row>
    <row r="420" ht="15" customHeight="1" s="28">
      <c r="A420" s="182" t="n">
        <v>406</v>
      </c>
      <c r="B420" s="182" t="n">
        <v>405</v>
      </c>
      <c r="C420" s="182" t="n">
        <v>4728.26</v>
      </c>
      <c r="D420" s="182" t="n">
        <v>4727.4056</v>
      </c>
      <c r="E420" s="182" t="n">
        <v>0.8544</v>
      </c>
      <c r="F420" s="182" t="n">
        <v>0.73</v>
      </c>
      <c r="G420" s="182" t="n">
        <v>1.5e-05</v>
      </c>
      <c r="H420" s="182" t="n">
        <v>0</v>
      </c>
      <c r="I420" s="182" t="inlineStr"/>
    </row>
    <row r="421" ht="15" customHeight="1" s="28">
      <c r="A421" s="181" t="n">
        <v>407</v>
      </c>
      <c r="B421" s="181" t="n">
        <v>406</v>
      </c>
      <c r="C421" s="181" t="n">
        <v>4733.91</v>
      </c>
      <c r="D421" s="181" t="n">
        <v>4727.1517</v>
      </c>
      <c r="E421" s="181" t="n">
        <v>6.7583</v>
      </c>
      <c r="F421" s="181" t="n">
        <v>45.6746</v>
      </c>
      <c r="G421" s="181" t="n">
        <v>0.007279</v>
      </c>
      <c r="H421" s="181" t="n">
        <v>0.001411</v>
      </c>
      <c r="I421" s="181" t="inlineStr"/>
    </row>
    <row r="422" ht="15" customHeight="1" s="28">
      <c r="A422" s="182" t="n">
        <v>408</v>
      </c>
      <c r="B422" s="182" t="n">
        <v>407</v>
      </c>
      <c r="C422" s="182" t="n">
        <v>4723.33</v>
      </c>
      <c r="D422" s="182" t="n">
        <v>4726.8978</v>
      </c>
      <c r="E422" s="182" t="n">
        <v>-3.5678</v>
      </c>
      <c r="F422" s="182" t="n">
        <v>12.7293</v>
      </c>
      <c r="G422" s="182" t="n">
        <v>-0.001071</v>
      </c>
      <c r="H422" s="182" t="n">
        <v>0.00011</v>
      </c>
      <c r="I422" s="182" t="inlineStr"/>
    </row>
    <row r="423" ht="15" customHeight="1" s="28">
      <c r="A423" s="181" t="n">
        <v>409</v>
      </c>
      <c r="B423" s="181" t="n">
        <v>408</v>
      </c>
      <c r="C423" s="181" t="n">
        <v>4707.19</v>
      </c>
      <c r="D423" s="181" t="n">
        <v>4726.6439</v>
      </c>
      <c r="E423" s="181" t="n">
        <v>-19.4539</v>
      </c>
      <c r="F423" s="181" t="n">
        <v>378.4547</v>
      </c>
      <c r="G423" s="181" t="n">
        <v>-0.173606</v>
      </c>
      <c r="H423" s="181" t="n">
        <v>0.096847</v>
      </c>
      <c r="I423" s="181" t="inlineStr"/>
    </row>
    <row r="424" ht="15" customHeight="1" s="28">
      <c r="A424" s="182" t="n">
        <v>410</v>
      </c>
      <c r="B424" s="182" t="n">
        <v>409</v>
      </c>
      <c r="C424" s="182" t="n">
        <v>4714.1</v>
      </c>
      <c r="D424" s="182" t="n">
        <v>4726.39</v>
      </c>
      <c r="E424" s="182" t="n">
        <v>-12.29</v>
      </c>
      <c r="F424" s="182" t="n">
        <v>151.0445</v>
      </c>
      <c r="G424" s="182" t="n">
        <v>-0.043772</v>
      </c>
      <c r="H424" s="182" t="n">
        <v>0.015427</v>
      </c>
      <c r="I424" s="182" t="inlineStr"/>
    </row>
    <row r="425" ht="15" customHeight="1" s="28">
      <c r="A425" s="181" t="n">
        <v>411</v>
      </c>
      <c r="B425" s="181" t="n">
        <v>410</v>
      </c>
      <c r="C425" s="181" t="n">
        <v>4701.42</v>
      </c>
      <c r="D425" s="181" t="n">
        <v>4726.1361</v>
      </c>
      <c r="E425" s="181" t="n">
        <v>-24.7161</v>
      </c>
      <c r="F425" s="181" t="n">
        <v>610.8867</v>
      </c>
      <c r="G425" s="181" t="n">
        <v>-0.356028</v>
      </c>
      <c r="H425" s="181" t="n">
        <v>0.252336</v>
      </c>
      <c r="I425" s="181" t="inlineStr"/>
    </row>
    <row r="426" ht="15" customHeight="1" s="28">
      <c r="A426" s="182" t="n">
        <v>412</v>
      </c>
      <c r="B426" s="182" t="n">
        <v>411</v>
      </c>
      <c r="C426" s="182" t="n">
        <v>4699.23</v>
      </c>
      <c r="D426" s="182" t="n">
        <v>4725.8822</v>
      </c>
      <c r="E426" s="182" t="n">
        <v>-26.6522</v>
      </c>
      <c r="F426" s="182" t="n">
        <v>710.3411</v>
      </c>
      <c r="G426" s="182" t="n">
        <v>-0.44642</v>
      </c>
      <c r="H426" s="182" t="n">
        <v>0.341186</v>
      </c>
      <c r="I426" s="182" t="inlineStr"/>
    </row>
    <row r="427" ht="15" customHeight="1" s="28">
      <c r="A427" s="181" t="n">
        <v>413</v>
      </c>
      <c r="B427" s="181" t="n">
        <v>412</v>
      </c>
      <c r="C427" s="181" t="n">
        <v>4702.06</v>
      </c>
      <c r="D427" s="181" t="n">
        <v>4725.6283</v>
      </c>
      <c r="E427" s="181" t="n">
        <v>-23.5683</v>
      </c>
      <c r="F427" s="181" t="n">
        <v>555.4662</v>
      </c>
      <c r="G427" s="181" t="n">
        <v>-0.308695</v>
      </c>
      <c r="H427" s="181" t="n">
        <v>0.208628</v>
      </c>
      <c r="I427" s="181" t="inlineStr"/>
    </row>
    <row r="428" ht="15" customHeight="1" s="28">
      <c r="A428" s="182" t="n">
        <v>414</v>
      </c>
      <c r="B428" s="182" t="n">
        <v>413</v>
      </c>
      <c r="C428" s="182" t="n">
        <v>4703.22</v>
      </c>
      <c r="D428" s="182" t="n">
        <v>4725.3744</v>
      </c>
      <c r="E428" s="182" t="n">
        <v>-22.1544</v>
      </c>
      <c r="F428" s="182" t="n">
        <v>490.819</v>
      </c>
      <c r="G428" s="182" t="n">
        <v>-0.256404</v>
      </c>
      <c r="H428" s="182" t="n">
        <v>0.162892</v>
      </c>
      <c r="I428" s="182" t="inlineStr"/>
    </row>
    <row r="429" ht="15" customHeight="1" s="28">
      <c r="A429" s="181" t="n">
        <v>415</v>
      </c>
      <c r="B429" s="181" t="n">
        <v>414</v>
      </c>
      <c r="C429" s="181" t="n">
        <v>4704.99</v>
      </c>
      <c r="D429" s="181" t="n">
        <v>4725.1205</v>
      </c>
      <c r="E429" s="181" t="n">
        <v>-20.1305</v>
      </c>
      <c r="F429" s="181" t="n">
        <v>405.2386</v>
      </c>
      <c r="G429" s="181" t="n">
        <v>-0.192358</v>
      </c>
      <c r="H429" s="181" t="n">
        <v>0.11104</v>
      </c>
      <c r="I429" s="181" t="inlineStr"/>
    </row>
    <row r="430" ht="15" customHeight="1" s="28">
      <c r="A430" s="182" t="n">
        <v>416</v>
      </c>
      <c r="B430" s="182" t="n">
        <v>415</v>
      </c>
      <c r="C430" s="182" t="n">
        <v>4704.1</v>
      </c>
      <c r="D430" s="182" t="n">
        <v>4724.8666</v>
      </c>
      <c r="E430" s="182" t="n">
        <v>-20.7666</v>
      </c>
      <c r="F430" s="182" t="n">
        <v>431.2535</v>
      </c>
      <c r="G430" s="182" t="n">
        <v>-0.211175</v>
      </c>
      <c r="H430" s="182" t="n">
        <v>0.125754</v>
      </c>
      <c r="I430" s="182" t="inlineStr"/>
    </row>
    <row r="431" ht="15" customHeight="1" s="28">
      <c r="A431" s="181" t="n">
        <v>417</v>
      </c>
      <c r="B431" s="181" t="n">
        <v>416</v>
      </c>
      <c r="C431" s="181" t="n">
        <v>4706.25</v>
      </c>
      <c r="D431" s="181" t="n">
        <v>4724.6127</v>
      </c>
      <c r="E431" s="181" t="n">
        <v>-18.3627</v>
      </c>
      <c r="F431" s="181" t="n">
        <v>337.1905</v>
      </c>
      <c r="G431" s="181" t="n">
        <v>-0.146001</v>
      </c>
      <c r="H431" s="181" t="n">
        <v>0.076879</v>
      </c>
      <c r="I431" s="181" t="inlineStr"/>
    </row>
    <row r="432" ht="15" customHeight="1" s="28">
      <c r="A432" s="182" t="n">
        <v>418</v>
      </c>
      <c r="B432" s="182" t="n">
        <v>417</v>
      </c>
      <c r="C432" s="182" t="n">
        <v>4705.73</v>
      </c>
      <c r="D432" s="182" t="n">
        <v>4724.3589</v>
      </c>
      <c r="E432" s="182" t="n">
        <v>-18.6289</v>
      </c>
      <c r="F432" s="182" t="n">
        <v>347.0342</v>
      </c>
      <c r="G432" s="182" t="n">
        <v>-0.152441</v>
      </c>
      <c r="H432" s="182" t="n">
        <v>0.08143300000000001</v>
      </c>
      <c r="I432" s="182" t="inlineStr"/>
    </row>
    <row r="433" ht="15" customHeight="1" s="28">
      <c r="A433" s="181" t="n">
        <v>419</v>
      </c>
      <c r="B433" s="181" t="n">
        <v>418</v>
      </c>
      <c r="C433" s="181" t="n">
        <v>4701.88</v>
      </c>
      <c r="D433" s="181" t="n">
        <v>4724.105</v>
      </c>
      <c r="E433" s="181" t="n">
        <v>-22.225</v>
      </c>
      <c r="F433" s="181" t="n">
        <v>493.9487</v>
      </c>
      <c r="G433" s="181" t="n">
        <v>-0.258861</v>
      </c>
      <c r="H433" s="181" t="n">
        <v>0.164976</v>
      </c>
      <c r="I433" s="181" t="inlineStr"/>
    </row>
    <row r="434" ht="15" customHeight="1" s="28">
      <c r="A434" s="182" t="n">
        <v>420</v>
      </c>
      <c r="B434" s="182" t="n">
        <v>419</v>
      </c>
      <c r="C434" s="182" t="n">
        <v>4704.35</v>
      </c>
      <c r="D434" s="182" t="n">
        <v>4723.8511</v>
      </c>
      <c r="E434" s="182" t="n">
        <v>-19.5011</v>
      </c>
      <c r="F434" s="182" t="n">
        <v>380.2914</v>
      </c>
      <c r="G434" s="182" t="n">
        <v>-0.174871</v>
      </c>
      <c r="H434" s="182" t="n">
        <v>0.097789</v>
      </c>
      <c r="I434" s="182" t="inlineStr"/>
    </row>
    <row r="435" ht="15" customHeight="1" s="28">
      <c r="A435" s="181" t="n">
        <v>421</v>
      </c>
      <c r="B435" s="181" t="n">
        <v>420</v>
      </c>
      <c r="C435" s="181" t="n">
        <v>4707.71</v>
      </c>
      <c r="D435" s="181" t="n">
        <v>4723.5972</v>
      </c>
      <c r="E435" s="181" t="n">
        <v>-15.8872</v>
      </c>
      <c r="F435" s="181" t="n">
        <v>252.4021</v>
      </c>
      <c r="G435" s="181" t="n">
        <v>-0.094555</v>
      </c>
      <c r="H435" s="181" t="n">
        <v>0.043077</v>
      </c>
      <c r="I435" s="181" t="inlineStr"/>
    </row>
    <row r="436" ht="15" customHeight="1" s="28">
      <c r="A436" s="182" t="n">
        <v>422</v>
      </c>
      <c r="B436" s="182" t="n">
        <v>421</v>
      </c>
      <c r="C436" s="182" t="n">
        <v>4705.92</v>
      </c>
      <c r="D436" s="182" t="n">
        <v>4723.3433</v>
      </c>
      <c r="E436" s="182" t="n">
        <v>-17.4233</v>
      </c>
      <c r="F436" s="182" t="n">
        <v>303.5704</v>
      </c>
      <c r="G436" s="182" t="n">
        <v>-0.124719</v>
      </c>
      <c r="H436" s="182" t="n">
        <v>0.062313</v>
      </c>
      <c r="I436" s="182" t="inlineStr"/>
    </row>
    <row r="437" ht="15" customHeight="1" s="28">
      <c r="A437" s="181" t="n">
        <v>423</v>
      </c>
      <c r="B437" s="181" t="n">
        <v>422</v>
      </c>
      <c r="C437" s="181" t="n">
        <v>4701.58</v>
      </c>
      <c r="D437" s="181" t="n">
        <v>4723.0894</v>
      </c>
      <c r="E437" s="181" t="n">
        <v>-21.5094</v>
      </c>
      <c r="F437" s="181" t="n">
        <v>462.6532</v>
      </c>
      <c r="G437" s="181" t="n">
        <v>-0.234653</v>
      </c>
      <c r="H437" s="181" t="n">
        <v>0.144733</v>
      </c>
      <c r="I437" s="181" t="inlineStr"/>
    </row>
    <row r="438" ht="15" customHeight="1" s="28">
      <c r="A438" s="182" t="n">
        <v>424</v>
      </c>
      <c r="B438" s="182" t="n">
        <v>423</v>
      </c>
      <c r="C438" s="182" t="n">
        <v>4713.6</v>
      </c>
      <c r="D438" s="182" t="n">
        <v>4722.8355</v>
      </c>
      <c r="E438" s="182" t="n">
        <v>-9.2355</v>
      </c>
      <c r="F438" s="182" t="n">
        <v>85.2941</v>
      </c>
      <c r="G438" s="182" t="n">
        <v>-0.018575</v>
      </c>
      <c r="H438" s="182" t="n">
        <v>0.004919</v>
      </c>
      <c r="I438" s="182" t="inlineStr"/>
    </row>
    <row r="439" ht="15" customHeight="1" s="28">
      <c r="A439" s="181" t="n">
        <v>425</v>
      </c>
      <c r="B439" s="181" t="n">
        <v>424</v>
      </c>
      <c r="C439" s="181" t="n">
        <v>4711.99</v>
      </c>
      <c r="D439" s="181" t="n">
        <v>4722.5816</v>
      </c>
      <c r="E439" s="181" t="n">
        <v>-10.5916</v>
      </c>
      <c r="F439" s="181" t="n">
        <v>112.1817</v>
      </c>
      <c r="G439" s="181" t="n">
        <v>-0.028017</v>
      </c>
      <c r="H439" s="181" t="n">
        <v>0.008508999999999999</v>
      </c>
      <c r="I439" s="181" t="inlineStr"/>
    </row>
    <row r="440" ht="15" customHeight="1" s="28">
      <c r="A440" s="182" t="n">
        <v>426</v>
      </c>
      <c r="B440" s="182" t="n">
        <v>425</v>
      </c>
      <c r="C440" s="182" t="n">
        <v>4712.13</v>
      </c>
      <c r="D440" s="182" t="n">
        <v>4722.3277</v>
      </c>
      <c r="E440" s="182" t="n">
        <v>-10.1977</v>
      </c>
      <c r="F440" s="182" t="n">
        <v>103.9929</v>
      </c>
      <c r="G440" s="182" t="n">
        <v>-0.025006</v>
      </c>
      <c r="H440" s="182" t="n">
        <v>0.007312</v>
      </c>
      <c r="I440" s="182" t="inlineStr"/>
    </row>
    <row r="441" ht="15" customHeight="1" s="28">
      <c r="A441" s="181" t="n">
        <v>427</v>
      </c>
      <c r="B441" s="181" t="n">
        <v>426</v>
      </c>
      <c r="C441" s="181" t="n">
        <v>4714.98</v>
      </c>
      <c r="D441" s="181" t="n">
        <v>4722.0738</v>
      </c>
      <c r="E441" s="181" t="n">
        <v>-7.0938</v>
      </c>
      <c r="F441" s="181" t="n">
        <v>50.3219</v>
      </c>
      <c r="G441" s="181" t="n">
        <v>-0.008416999999999999</v>
      </c>
      <c r="H441" s="181" t="n">
        <v>0.001712</v>
      </c>
      <c r="I441" s="181" t="inlineStr"/>
    </row>
    <row r="442" ht="15" customHeight="1" s="28">
      <c r="A442" s="182" t="n">
        <v>428</v>
      </c>
      <c r="B442" s="182" t="n">
        <v>427</v>
      </c>
      <c r="C442" s="182" t="n">
        <v>4713.02</v>
      </c>
      <c r="D442" s="182" t="n">
        <v>4721.8199</v>
      </c>
      <c r="E442" s="182" t="n">
        <v>-8.799899999999999</v>
      </c>
      <c r="F442" s="182" t="n">
        <v>77.43819999999999</v>
      </c>
      <c r="G442" s="182" t="n">
        <v>-0.016069</v>
      </c>
      <c r="H442" s="182" t="n">
        <v>0.004055</v>
      </c>
      <c r="I442" s="182" t="inlineStr"/>
    </row>
    <row r="443" ht="15" customHeight="1" s="28">
      <c r="A443" s="181" t="n">
        <v>429</v>
      </c>
      <c r="B443" s="181" t="n">
        <v>428</v>
      </c>
      <c r="C443" s="181" t="n">
        <v>4712.47</v>
      </c>
      <c r="D443" s="181" t="n">
        <v>4721.566</v>
      </c>
      <c r="E443" s="181" t="n">
        <v>-9.096</v>
      </c>
      <c r="F443" s="181" t="n">
        <v>82.7373</v>
      </c>
      <c r="G443" s="181" t="n">
        <v>-0.017746</v>
      </c>
      <c r="H443" s="181" t="n">
        <v>0.004629</v>
      </c>
      <c r="I443" s="181" t="inlineStr"/>
    </row>
    <row r="444" ht="15" customHeight="1" s="28">
      <c r="A444" s="182" t="n">
        <v>430</v>
      </c>
      <c r="B444" s="182" t="n">
        <v>429</v>
      </c>
      <c r="C444" s="182" t="n">
        <v>4706.12</v>
      </c>
      <c r="D444" s="182" t="n">
        <v>4721.3121</v>
      </c>
      <c r="E444" s="182" t="n">
        <v>-15.1921</v>
      </c>
      <c r="F444" s="182" t="n">
        <v>230.8001</v>
      </c>
      <c r="G444" s="182" t="n">
        <v>-0.082679</v>
      </c>
      <c r="H444" s="182" t="n">
        <v>0.036019</v>
      </c>
      <c r="I444" s="182" t="inlineStr"/>
    </row>
    <row r="445" ht="15" customHeight="1" s="28">
      <c r="A445" s="181" t="n">
        <v>431</v>
      </c>
      <c r="B445" s="181" t="n">
        <v>430</v>
      </c>
      <c r="C445" s="181" t="n">
        <v>4713.77</v>
      </c>
      <c r="D445" s="181" t="n">
        <v>4721.0582</v>
      </c>
      <c r="E445" s="181" t="n">
        <v>-7.2882</v>
      </c>
      <c r="F445" s="181" t="n">
        <v>53.118</v>
      </c>
      <c r="G445" s="181" t="n">
        <v>-0.009129</v>
      </c>
      <c r="H445" s="181" t="n">
        <v>0.001908</v>
      </c>
      <c r="I445" s="181" t="inlineStr"/>
    </row>
    <row r="446" ht="15" customHeight="1" s="28">
      <c r="A446" s="182" t="n">
        <v>432</v>
      </c>
      <c r="B446" s="182" t="n">
        <v>431</v>
      </c>
      <c r="C446" s="182" t="n">
        <v>4719.22</v>
      </c>
      <c r="D446" s="182" t="n">
        <v>4720.8043</v>
      </c>
      <c r="E446" s="182" t="n">
        <v>-1.5843</v>
      </c>
      <c r="F446" s="182" t="n">
        <v>2.5101</v>
      </c>
      <c r="G446" s="182" t="n">
        <v>-9.399999999999999e-05</v>
      </c>
      <c r="H446" s="182" t="n">
        <v>4e-06</v>
      </c>
      <c r="I446" s="182" t="inlineStr"/>
    </row>
    <row r="447" ht="15" customHeight="1" s="28">
      <c r="A447" s="181" t="n">
        <v>433</v>
      </c>
      <c r="B447" s="181" t="n">
        <v>432</v>
      </c>
      <c r="C447" s="181" t="n">
        <v>4718.21</v>
      </c>
      <c r="D447" s="181" t="n">
        <v>4720.5504</v>
      </c>
      <c r="E447" s="181" t="n">
        <v>-2.3404</v>
      </c>
      <c r="F447" s="181" t="n">
        <v>5.4776</v>
      </c>
      <c r="G447" s="181" t="n">
        <v>-0.000302</v>
      </c>
      <c r="H447" s="181" t="n">
        <v>2e-05</v>
      </c>
      <c r="I447" s="181" t="inlineStr"/>
    </row>
    <row r="448" ht="15" customHeight="1" s="28">
      <c r="A448" s="182" t="n">
        <v>434</v>
      </c>
      <c r="B448" s="182" t="n">
        <v>433</v>
      </c>
      <c r="C448" s="182" t="n">
        <v>4715.43</v>
      </c>
      <c r="D448" s="182" t="n">
        <v>4720.2965</v>
      </c>
      <c r="E448" s="182" t="n">
        <v>-4.8665</v>
      </c>
      <c r="F448" s="182" t="n">
        <v>23.6831</v>
      </c>
      <c r="G448" s="182" t="n">
        <v>-0.002718</v>
      </c>
      <c r="H448" s="182" t="n">
        <v>0.000379</v>
      </c>
      <c r="I448" s="182" t="inlineStr"/>
    </row>
    <row r="449" ht="15" customHeight="1" s="28">
      <c r="A449" s="181" t="n">
        <v>435</v>
      </c>
      <c r="B449" s="181" t="n">
        <v>434</v>
      </c>
      <c r="C449" s="181" t="n">
        <v>4703.76</v>
      </c>
      <c r="D449" s="181" t="n">
        <v>4720.0426</v>
      </c>
      <c r="E449" s="181" t="n">
        <v>-16.2826</v>
      </c>
      <c r="F449" s="181" t="n">
        <v>265.124</v>
      </c>
      <c r="G449" s="181" t="n">
        <v>-0.101793</v>
      </c>
      <c r="H449" s="181" t="n">
        <v>0.047529</v>
      </c>
      <c r="I449" s="181" t="inlineStr"/>
    </row>
    <row r="450" ht="15" customHeight="1" s="28">
      <c r="A450" s="182" t="n">
        <v>436</v>
      </c>
      <c r="B450" s="182" t="n">
        <v>435</v>
      </c>
      <c r="C450" s="182" t="n">
        <v>4703.28</v>
      </c>
      <c r="D450" s="182" t="n">
        <v>4719.7887</v>
      </c>
      <c r="E450" s="182" t="n">
        <v>-16.5087</v>
      </c>
      <c r="F450" s="182" t="n">
        <v>272.5383</v>
      </c>
      <c r="G450" s="182" t="n">
        <v>-0.106092</v>
      </c>
      <c r="H450" s="182" t="n">
        <v>0.050224</v>
      </c>
      <c r="I450" s="182" t="inlineStr"/>
    </row>
    <row r="451" ht="15" customHeight="1" s="28">
      <c r="A451" s="181" t="n">
        <v>437</v>
      </c>
      <c r="B451" s="181" t="n">
        <v>436</v>
      </c>
      <c r="C451" s="181" t="n">
        <v>4696.92</v>
      </c>
      <c r="D451" s="181" t="n">
        <v>4719.5348</v>
      </c>
      <c r="E451" s="181" t="n">
        <v>-22.6148</v>
      </c>
      <c r="F451" s="181" t="n">
        <v>511.4309</v>
      </c>
      <c r="G451" s="181" t="n">
        <v>-0.272724</v>
      </c>
      <c r="H451" s="181" t="n">
        <v>0.176861</v>
      </c>
      <c r="I451" s="181" t="inlineStr"/>
    </row>
    <row r="452" ht="15" customHeight="1" s="28">
      <c r="A452" s="182" t="n">
        <v>438</v>
      </c>
      <c r="B452" s="182" t="n">
        <v>437</v>
      </c>
      <c r="C452" s="182" t="n">
        <v>4700.94</v>
      </c>
      <c r="D452" s="182" t="n">
        <v>4719.2809</v>
      </c>
      <c r="E452" s="182" t="n">
        <v>-18.3409</v>
      </c>
      <c r="F452" s="182" t="n">
        <v>336.3902</v>
      </c>
      <c r="G452" s="182" t="n">
        <v>-0.145482</v>
      </c>
      <c r="H452" s="182" t="n">
        <v>0.076515</v>
      </c>
      <c r="I452" s="182" t="inlineStr"/>
    </row>
    <row r="453" ht="15" customHeight="1" s="28">
      <c r="A453" s="181" t="n">
        <v>439</v>
      </c>
      <c r="B453" s="181" t="n">
        <v>438</v>
      </c>
      <c r="C453" s="181" t="n">
        <v>4700.99</v>
      </c>
      <c r="D453" s="181" t="n">
        <v>4719.027</v>
      </c>
      <c r="E453" s="181" t="n">
        <v>-18.037</v>
      </c>
      <c r="F453" s="181" t="n">
        <v>325.3351</v>
      </c>
      <c r="G453" s="181" t="n">
        <v>-0.138369</v>
      </c>
      <c r="H453" s="181" t="n">
        <v>0.07156800000000001</v>
      </c>
      <c r="I453" s="181" t="inlineStr"/>
    </row>
    <row r="454" ht="15" customHeight="1" s="28">
      <c r="A454" s="182" t="n">
        <v>440</v>
      </c>
      <c r="B454" s="182" t="n">
        <v>439</v>
      </c>
      <c r="C454" s="182" t="n">
        <v>4697.62</v>
      </c>
      <c r="D454" s="182" t="n">
        <v>4718.7732</v>
      </c>
      <c r="E454" s="182" t="n">
        <v>-21.1532</v>
      </c>
      <c r="F454" s="182" t="n">
        <v>447.4558</v>
      </c>
      <c r="G454" s="182" t="n">
        <v>-0.223187</v>
      </c>
      <c r="H454" s="182" t="n">
        <v>0.135381</v>
      </c>
      <c r="I454" s="182" t="inlineStr"/>
    </row>
    <row r="455" ht="15" customHeight="1" s="28">
      <c r="A455" s="181" t="n">
        <v>441</v>
      </c>
      <c r="B455" s="181" t="n">
        <v>440</v>
      </c>
      <c r="C455" s="181" t="n">
        <v>4689.14</v>
      </c>
      <c r="D455" s="181" t="n">
        <v>4718.5193</v>
      </c>
      <c r="E455" s="181" t="n">
        <v>-29.3793</v>
      </c>
      <c r="F455" s="181" t="n">
        <v>863.1407</v>
      </c>
      <c r="G455" s="181" t="n">
        <v>-0.597951</v>
      </c>
      <c r="H455" s="181" t="n">
        <v>0.503757</v>
      </c>
      <c r="I455" s="181" t="inlineStr"/>
    </row>
    <row r="456" ht="15" customHeight="1" s="28">
      <c r="A456" s="182" t="n">
        <v>442</v>
      </c>
      <c r="B456" s="182" t="n">
        <v>441</v>
      </c>
      <c r="C456" s="182" t="n">
        <v>4686.7</v>
      </c>
      <c r="D456" s="182" t="n">
        <v>4718.2654</v>
      </c>
      <c r="E456" s="182" t="n">
        <v>-31.5654</v>
      </c>
      <c r="F456" s="182" t="n">
        <v>996.372</v>
      </c>
      <c r="G456" s="182" t="n">
        <v>-0.74161</v>
      </c>
      <c r="H456" s="182" t="n">
        <v>0.671275</v>
      </c>
      <c r="I456" s="182" t="inlineStr"/>
    </row>
    <row r="457" ht="15" customHeight="1" s="28">
      <c r="A457" s="181" t="n">
        <v>443</v>
      </c>
      <c r="B457" s="181" t="n">
        <v>442</v>
      </c>
      <c r="C457" s="181" t="n">
        <v>4690.77</v>
      </c>
      <c r="D457" s="181" t="n">
        <v>4718.0115</v>
      </c>
      <c r="E457" s="181" t="n">
        <v>-27.2415</v>
      </c>
      <c r="F457" s="181" t="n">
        <v>742.0974</v>
      </c>
      <c r="G457" s="181" t="n">
        <v>-0.476688</v>
      </c>
      <c r="H457" s="181" t="n">
        <v>0.372374</v>
      </c>
      <c r="I457" s="181" t="inlineStr"/>
    </row>
    <row r="458" ht="15" customHeight="1" s="28">
      <c r="A458" s="182" t="n">
        <v>444</v>
      </c>
      <c r="B458" s="182" t="n">
        <v>443</v>
      </c>
      <c r="C458" s="182" t="n">
        <v>4696.61</v>
      </c>
      <c r="D458" s="182" t="n">
        <v>4717.7576</v>
      </c>
      <c r="E458" s="182" t="n">
        <v>-21.1476</v>
      </c>
      <c r="F458" s="182" t="n">
        <v>447.2197</v>
      </c>
      <c r="G458" s="182" t="n">
        <v>-0.22301</v>
      </c>
      <c r="H458" s="182" t="n">
        <v>0.135238</v>
      </c>
      <c r="I458" s="182" t="inlineStr"/>
    </row>
    <row r="459" ht="15" customHeight="1" s="28">
      <c r="A459" s="181" t="n">
        <v>445</v>
      </c>
      <c r="B459" s="181" t="n">
        <v>444</v>
      </c>
      <c r="C459" s="181" t="n">
        <v>4697.96</v>
      </c>
      <c r="D459" s="181" t="n">
        <v>4717.5037</v>
      </c>
      <c r="E459" s="181" t="n">
        <v>-19.5437</v>
      </c>
      <c r="F459" s="181" t="n">
        <v>381.9552</v>
      </c>
      <c r="G459" s="181" t="n">
        <v>-0.17602</v>
      </c>
      <c r="H459" s="181" t="n">
        <v>0.098647</v>
      </c>
      <c r="I459" s="181" t="inlineStr"/>
    </row>
    <row r="460" ht="15" customHeight="1" s="28">
      <c r="A460" s="182" t="n">
        <v>446</v>
      </c>
      <c r="B460" s="182" t="n">
        <v>445</v>
      </c>
      <c r="C460" s="182" t="n">
        <v>4699.27</v>
      </c>
      <c r="D460" s="182" t="n">
        <v>4717.2498</v>
      </c>
      <c r="E460" s="182" t="n">
        <v>-17.9798</v>
      </c>
      <c r="F460" s="182" t="n">
        <v>323.2725</v>
      </c>
      <c r="G460" s="182" t="n">
        <v>-0.137055</v>
      </c>
      <c r="H460" s="182" t="n">
        <v>0.070663</v>
      </c>
      <c r="I460" s="182" t="inlineStr"/>
    </row>
    <row r="461" ht="15" customHeight="1" s="28">
      <c r="A461" s="181" t="n">
        <v>447</v>
      </c>
      <c r="B461" s="181" t="n">
        <v>446</v>
      </c>
      <c r="C461" s="181" t="n">
        <v>4705.48</v>
      </c>
      <c r="D461" s="181" t="n">
        <v>4716.9959</v>
      </c>
      <c r="E461" s="181" t="n">
        <v>-11.5159</v>
      </c>
      <c r="F461" s="181" t="n">
        <v>132.6156</v>
      </c>
      <c r="G461" s="181" t="n">
        <v>-0.036011</v>
      </c>
      <c r="H461" s="181" t="n">
        <v>0.011892</v>
      </c>
      <c r="I461" s="181" t="inlineStr"/>
    </row>
    <row r="462" ht="15" customHeight="1" s="28">
      <c r="A462" s="182" t="n">
        <v>448</v>
      </c>
      <c r="B462" s="182" t="n">
        <v>447</v>
      </c>
      <c r="C462" s="182" t="n">
        <v>4720.71</v>
      </c>
      <c r="D462" s="182" t="n">
        <v>4716.742</v>
      </c>
      <c r="E462" s="182" t="n">
        <v>3.968</v>
      </c>
      <c r="F462" s="182" t="n">
        <v>15.7451</v>
      </c>
      <c r="G462" s="182" t="n">
        <v>0.001473</v>
      </c>
      <c r="H462" s="182" t="n">
        <v>0.000168</v>
      </c>
      <c r="I462" s="182" t="inlineStr"/>
    </row>
    <row r="463" ht="15" customHeight="1" s="28">
      <c r="A463" s="181" t="n">
        <v>449</v>
      </c>
      <c r="B463" s="181" t="n">
        <v>448</v>
      </c>
      <c r="C463" s="181" t="n">
        <v>4729.21</v>
      </c>
      <c r="D463" s="181" t="n">
        <v>4716.4881</v>
      </c>
      <c r="E463" s="181" t="n">
        <v>12.7219</v>
      </c>
      <c r="F463" s="181" t="n">
        <v>161.8469</v>
      </c>
      <c r="G463" s="181" t="n">
        <v>0.048551</v>
      </c>
      <c r="H463" s="181" t="n">
        <v>0.017712</v>
      </c>
      <c r="I463" s="181" t="inlineStr"/>
    </row>
    <row r="464" ht="15" customHeight="1" s="28">
      <c r="A464" s="182" t="n">
        <v>450</v>
      </c>
      <c r="B464" s="182" t="n">
        <v>449</v>
      </c>
      <c r="C464" s="182" t="n">
        <v>4733.39</v>
      </c>
      <c r="D464" s="182" t="n">
        <v>4716.2342</v>
      </c>
      <c r="E464" s="182" t="n">
        <v>17.1558</v>
      </c>
      <c r="F464" s="182" t="n">
        <v>294.3216</v>
      </c>
      <c r="G464" s="182" t="n">
        <v>0.119063</v>
      </c>
      <c r="H464" s="182" t="n">
        <v>0.058574</v>
      </c>
      <c r="I464" s="182" t="inlineStr"/>
    </row>
    <row r="465" ht="15" customHeight="1" s="28">
      <c r="A465" s="181" t="n">
        <v>451</v>
      </c>
      <c r="B465" s="181" t="n">
        <v>450</v>
      </c>
      <c r="C465" s="181" t="n">
        <v>4739.41</v>
      </c>
      <c r="D465" s="181" t="n">
        <v>4715.9803</v>
      </c>
      <c r="E465" s="181" t="n">
        <v>23.4297</v>
      </c>
      <c r="F465" s="181" t="n">
        <v>548.9508</v>
      </c>
      <c r="G465" s="181" t="n">
        <v>0.30328</v>
      </c>
      <c r="H465" s="181" t="n">
        <v>0.203763</v>
      </c>
      <c r="I465" s="181" t="inlineStr"/>
    </row>
    <row r="466" ht="15" customHeight="1" s="28">
      <c r="A466" s="182" t="n">
        <v>452</v>
      </c>
      <c r="B466" s="182" t="n">
        <v>451</v>
      </c>
      <c r="C466" s="182" t="n">
        <v>4740.04</v>
      </c>
      <c r="D466" s="182" t="n">
        <v>4715.7264</v>
      </c>
      <c r="E466" s="182" t="n">
        <v>24.3136</v>
      </c>
      <c r="F466" s="182" t="n">
        <v>591.1508</v>
      </c>
      <c r="G466" s="182" t="n">
        <v>0.338915</v>
      </c>
      <c r="H466" s="182" t="n">
        <v>0.236295</v>
      </c>
      <c r="I466" s="182" t="inlineStr"/>
    </row>
    <row r="467" ht="15" customHeight="1" s="28">
      <c r="A467" s="181" t="n">
        <v>453</v>
      </c>
      <c r="B467" s="181" t="n">
        <v>452</v>
      </c>
      <c r="C467" s="181" t="n">
        <v>4725.95</v>
      </c>
      <c r="D467" s="181" t="n">
        <v>4715.4725</v>
      </c>
      <c r="E467" s="181" t="n">
        <v>10.4775</v>
      </c>
      <c r="F467" s="181" t="n">
        <v>109.7778</v>
      </c>
      <c r="G467" s="181" t="n">
        <v>0.027122</v>
      </c>
      <c r="H467" s="181" t="n">
        <v>0.008149</v>
      </c>
      <c r="I467" s="181" t="inlineStr"/>
    </row>
    <row r="468" ht="15" customHeight="1" s="28">
      <c r="A468" s="182" t="n">
        <v>454</v>
      </c>
      <c r="B468" s="182" t="n">
        <v>453</v>
      </c>
      <c r="C468" s="182" t="n">
        <v>4727.53</v>
      </c>
      <c r="D468" s="182" t="n">
        <v>4715.2186</v>
      </c>
      <c r="E468" s="182" t="n">
        <v>12.3114</v>
      </c>
      <c r="F468" s="182" t="n">
        <v>151.5702</v>
      </c>
      <c r="G468" s="182" t="n">
        <v>0.044001</v>
      </c>
      <c r="H468" s="182" t="n">
        <v>0.015534</v>
      </c>
      <c r="I468" s="182" t="inlineStr"/>
    </row>
    <row r="469" ht="15" customHeight="1" s="28">
      <c r="A469" s="181" t="n">
        <v>455</v>
      </c>
      <c r="B469" s="181" t="n">
        <v>454</v>
      </c>
      <c r="C469" s="181" t="n">
        <v>4734.55</v>
      </c>
      <c r="D469" s="181" t="n">
        <v>4714.9647</v>
      </c>
      <c r="E469" s="181" t="n">
        <v>19.5853</v>
      </c>
      <c r="F469" s="181" t="n">
        <v>383.5832</v>
      </c>
      <c r="G469" s="181" t="n">
        <v>0.177146</v>
      </c>
      <c r="H469" s="181" t="n">
        <v>0.09948899999999999</v>
      </c>
      <c r="I469" s="181" t="inlineStr"/>
    </row>
    <row r="470" ht="15" customHeight="1" s="28">
      <c r="A470" s="182" t="n">
        <v>456</v>
      </c>
      <c r="B470" s="182" t="n">
        <v>455</v>
      </c>
      <c r="C470" s="182" t="n">
        <v>4724.46</v>
      </c>
      <c r="D470" s="182" t="n">
        <v>4714.7108</v>
      </c>
      <c r="E470" s="182" t="n">
        <v>9.7492</v>
      </c>
      <c r="F470" s="182" t="n">
        <v>95.04640000000001</v>
      </c>
      <c r="G470" s="182" t="n">
        <v>0.02185</v>
      </c>
      <c r="H470" s="182" t="n">
        <v>0.006108</v>
      </c>
      <c r="I470" s="182" t="inlineStr"/>
    </row>
    <row r="471" ht="15" customHeight="1" s="28">
      <c r="A471" s="181" t="n">
        <v>457</v>
      </c>
      <c r="B471" s="181" t="n">
        <v>456</v>
      </c>
      <c r="C471" s="181" t="n">
        <v>4724.31</v>
      </c>
      <c r="D471" s="181" t="n">
        <v>4714.4569</v>
      </c>
      <c r="E471" s="181" t="n">
        <v>9.8531</v>
      </c>
      <c r="F471" s="181" t="n">
        <v>97.083</v>
      </c>
      <c r="G471" s="181" t="n">
        <v>0.022556</v>
      </c>
      <c r="H471" s="181" t="n">
        <v>0.006373</v>
      </c>
      <c r="I471" s="181" t="inlineStr"/>
    </row>
    <row r="472" ht="15" customHeight="1" s="28">
      <c r="A472" s="182" t="n">
        <v>458</v>
      </c>
      <c r="B472" s="182" t="n">
        <v>457</v>
      </c>
      <c r="C472" s="182" t="n">
        <v>4731.54</v>
      </c>
      <c r="D472" s="182" t="n">
        <v>4714.203</v>
      </c>
      <c r="E472" s="182" t="n">
        <v>17.337</v>
      </c>
      <c r="F472" s="182" t="n">
        <v>300.5704</v>
      </c>
      <c r="G472" s="182" t="n">
        <v>0.122875</v>
      </c>
      <c r="H472" s="182" t="n">
        <v>0.061087</v>
      </c>
      <c r="I472" s="182" t="inlineStr"/>
    </row>
    <row r="473" ht="15" customHeight="1" s="28">
      <c r="A473" s="181" t="n">
        <v>459</v>
      </c>
      <c r="B473" s="181" t="n">
        <v>458</v>
      </c>
      <c r="C473" s="181" t="n">
        <v>4730.97</v>
      </c>
      <c r="D473" s="181" t="n">
        <v>4713.9491</v>
      </c>
      <c r="E473" s="181" t="n">
        <v>17.0209</v>
      </c>
      <c r="F473" s="181" t="n">
        <v>289.7098</v>
      </c>
      <c r="G473" s="181" t="n">
        <v>0.116275</v>
      </c>
      <c r="H473" s="181" t="n">
        <v>0.056752</v>
      </c>
      <c r="I473" s="181" t="inlineStr"/>
    </row>
    <row r="474" ht="15" customHeight="1" s="28">
      <c r="A474" s="182" t="n">
        <v>460</v>
      </c>
      <c r="B474" s="182" t="n">
        <v>459</v>
      </c>
      <c r="C474" s="182" t="n">
        <v>4733.72</v>
      </c>
      <c r="D474" s="182" t="n">
        <v>4713.6952</v>
      </c>
      <c r="E474" s="182" t="n">
        <v>20.0248</v>
      </c>
      <c r="F474" s="182" t="n">
        <v>400.9909</v>
      </c>
      <c r="G474" s="182" t="n">
        <v>0.189341</v>
      </c>
      <c r="H474" s="182" t="n">
        <v>0.108724</v>
      </c>
      <c r="I474" s="182" t="inlineStr"/>
    </row>
    <row r="475" ht="15" customHeight="1" s="28">
      <c r="A475" s="181" t="n">
        <v>461</v>
      </c>
      <c r="B475" s="181" t="n">
        <v>460</v>
      </c>
      <c r="C475" s="181" t="n">
        <v>4730.76</v>
      </c>
      <c r="D475" s="181" t="n">
        <v>4713.4413</v>
      </c>
      <c r="E475" s="181" t="n">
        <v>17.3187</v>
      </c>
      <c r="F475" s="181" t="n">
        <v>299.9358</v>
      </c>
      <c r="G475" s="181" t="n">
        <v>0.122486</v>
      </c>
      <c r="H475" s="181" t="n">
        <v>0.060829</v>
      </c>
      <c r="I475" s="181" t="inlineStr"/>
    </row>
    <row r="476" ht="15" customHeight="1" s="28">
      <c r="A476" s="182" t="n">
        <v>462</v>
      </c>
      <c r="B476" s="182" t="n">
        <v>461</v>
      </c>
      <c r="C476" s="182" t="n">
        <v>4733.6</v>
      </c>
      <c r="D476" s="182" t="n">
        <v>4713.1875</v>
      </c>
      <c r="E476" s="182" t="n">
        <v>20.4125</v>
      </c>
      <c r="F476" s="182" t="n">
        <v>416.6721</v>
      </c>
      <c r="G476" s="182" t="n">
        <v>0.200556</v>
      </c>
      <c r="H476" s="182" t="n">
        <v>0.117394</v>
      </c>
      <c r="I476" s="182" t="inlineStr"/>
    </row>
    <row r="477" ht="15" customHeight="1" s="28">
      <c r="A477" s="181" t="n">
        <v>463</v>
      </c>
      <c r="B477" s="181" t="n">
        <v>462</v>
      </c>
      <c r="C477" s="181" t="n">
        <v>4728.34</v>
      </c>
      <c r="D477" s="181" t="n">
        <v>4712.9336</v>
      </c>
      <c r="E477" s="181" t="n">
        <v>15.4064</v>
      </c>
      <c r="F477" s="181" t="n">
        <v>237.3585</v>
      </c>
      <c r="G477" s="181" t="n">
        <v>0.086228</v>
      </c>
      <c r="H477" s="181" t="n">
        <v>0.038095</v>
      </c>
      <c r="I477" s="181" t="inlineStr"/>
    </row>
    <row r="478" ht="15" customHeight="1" s="28">
      <c r="A478" s="182" t="n">
        <v>464</v>
      </c>
      <c r="B478" s="182" t="n">
        <v>463</v>
      </c>
      <c r="C478" s="182" t="n">
        <v>4720.42</v>
      </c>
      <c r="D478" s="182" t="n">
        <v>4712.6797</v>
      </c>
      <c r="E478" s="182" t="n">
        <v>7.7403</v>
      </c>
      <c r="F478" s="182" t="n">
        <v>59.9129</v>
      </c>
      <c r="G478" s="182" t="n">
        <v>0.010935</v>
      </c>
      <c r="H478" s="182" t="n">
        <v>0.002427</v>
      </c>
      <c r="I478" s="182" t="inlineStr"/>
    </row>
    <row r="479" ht="15" customHeight="1" s="28">
      <c r="A479" s="181" t="n">
        <v>465</v>
      </c>
      <c r="B479" s="181" t="n">
        <v>464</v>
      </c>
      <c r="C479" s="181" t="n">
        <v>4719.39</v>
      </c>
      <c r="D479" s="181" t="n">
        <v>4712.4258</v>
      </c>
      <c r="E479" s="181" t="n">
        <v>6.9642</v>
      </c>
      <c r="F479" s="181" t="n">
        <v>48.5006</v>
      </c>
      <c r="G479" s="181" t="n">
        <v>0.007965</v>
      </c>
      <c r="H479" s="181" t="n">
        <v>0.001591</v>
      </c>
      <c r="I479" s="181" t="inlineStr"/>
    </row>
    <row r="480" ht="15" customHeight="1" s="28">
      <c r="A480" s="182" t="n">
        <v>466</v>
      </c>
      <c r="B480" s="182" t="n">
        <v>465</v>
      </c>
      <c r="C480" s="182" t="n">
        <v>4723.22</v>
      </c>
      <c r="D480" s="182" t="n">
        <v>4712.1719</v>
      </c>
      <c r="E480" s="182" t="n">
        <v>11.0481</v>
      </c>
      <c r="F480" s="182" t="n">
        <v>122.0612</v>
      </c>
      <c r="G480" s="182" t="n">
        <v>0.031799</v>
      </c>
      <c r="H480" s="182" t="n">
        <v>0.010074</v>
      </c>
      <c r="I480" s="182" t="inlineStr"/>
    </row>
    <row r="481" ht="15" customHeight="1" s="28">
      <c r="A481" s="181" t="n">
        <v>467</v>
      </c>
      <c r="B481" s="181" t="n">
        <v>466</v>
      </c>
      <c r="C481" s="181" t="n">
        <v>4734.05</v>
      </c>
      <c r="D481" s="181" t="n">
        <v>4711.918</v>
      </c>
      <c r="E481" s="181" t="n">
        <v>22.132</v>
      </c>
      <c r="F481" s="181" t="n">
        <v>489.8266</v>
      </c>
      <c r="G481" s="181" t="n">
        <v>0.255627</v>
      </c>
      <c r="H481" s="181" t="n">
        <v>0.162234</v>
      </c>
      <c r="I481" s="181" t="inlineStr"/>
    </row>
    <row r="482" ht="15" customHeight="1" s="28">
      <c r="A482" s="182" t="n">
        <v>468</v>
      </c>
      <c r="B482" s="182" t="n">
        <v>467</v>
      </c>
      <c r="C482" s="182" t="n">
        <v>4733.09</v>
      </c>
      <c r="D482" s="182" t="n">
        <v>4711.6641</v>
      </c>
      <c r="E482" s="182" t="n">
        <v>21.4259</v>
      </c>
      <c r="F482" s="182" t="n">
        <v>459.0701</v>
      </c>
      <c r="G482" s="182" t="n">
        <v>0.231933</v>
      </c>
      <c r="H482" s="182" t="n">
        <v>0.1425</v>
      </c>
      <c r="I482" s="182" t="inlineStr"/>
    </row>
    <row r="483" ht="15" customHeight="1" s="28">
      <c r="A483" s="181" t="n">
        <v>469</v>
      </c>
      <c r="B483" s="181" t="n">
        <v>468</v>
      </c>
      <c r="C483" s="181" t="n">
        <v>4716.04</v>
      </c>
      <c r="D483" s="181" t="n">
        <v>4711.4102</v>
      </c>
      <c r="E483" s="181" t="n">
        <v>4.6298</v>
      </c>
      <c r="F483" s="181" t="n">
        <v>21.4352</v>
      </c>
      <c r="G483" s="181" t="n">
        <v>0.00234</v>
      </c>
      <c r="H483" s="181" t="n">
        <v>0.000311</v>
      </c>
      <c r="I483" s="181" t="inlineStr"/>
    </row>
    <row r="484" ht="15" customHeight="1" s="28">
      <c r="A484" s="182" t="n">
        <v>470</v>
      </c>
      <c r="B484" s="182" t="n">
        <v>469</v>
      </c>
      <c r="C484" s="182" t="n">
        <v>4706.47</v>
      </c>
      <c r="D484" s="182" t="n">
        <v>4711.1563</v>
      </c>
      <c r="E484" s="182" t="n">
        <v>-4.6863</v>
      </c>
      <c r="F484" s="182" t="n">
        <v>21.9613</v>
      </c>
      <c r="G484" s="182" t="n">
        <v>-0.002427</v>
      </c>
      <c r="H484" s="182" t="n">
        <v>0.000326</v>
      </c>
      <c r="I484" s="182" t="inlineStr"/>
    </row>
    <row r="485" ht="15" customHeight="1" s="28">
      <c r="A485" s="181" t="n">
        <v>471</v>
      </c>
      <c r="B485" s="181" t="n">
        <v>470</v>
      </c>
      <c r="C485" s="181" t="n">
        <v>4677.41</v>
      </c>
      <c r="D485" s="181" t="n">
        <v>4710.9024</v>
      </c>
      <c r="E485" s="181" t="n">
        <v>-33.4924</v>
      </c>
      <c r="F485" s="181" t="n">
        <v>1121.7403</v>
      </c>
      <c r="G485" s="181" t="n">
        <v>-0.885894</v>
      </c>
      <c r="H485" s="181" t="n">
        <v>0.8508289999999999</v>
      </c>
      <c r="I485" s="181" t="inlineStr"/>
    </row>
    <row r="486" ht="15" customHeight="1" s="28">
      <c r="A486" s="182" t="n">
        <v>472</v>
      </c>
      <c r="B486" s="182" t="n">
        <v>471</v>
      </c>
      <c r="C486" s="182" t="n">
        <v>4709.41</v>
      </c>
      <c r="D486" s="182" t="n">
        <v>4710.6485</v>
      </c>
      <c r="E486" s="182" t="n">
        <v>-1.2385</v>
      </c>
      <c r="F486" s="182" t="n">
        <v>1.5339</v>
      </c>
      <c r="G486" s="182" t="n">
        <v>-4.5e-05</v>
      </c>
      <c r="H486" s="182" t="n">
        <v>2e-06</v>
      </c>
      <c r="I486" s="182" t="inlineStr"/>
    </row>
    <row r="487" ht="15" customHeight="1" s="28">
      <c r="A487" s="181" t="n">
        <v>473</v>
      </c>
      <c r="B487" s="181" t="n">
        <v>472</v>
      </c>
      <c r="C487" s="181" t="n">
        <v>4713.84</v>
      </c>
      <c r="D487" s="181" t="n">
        <v>4710.3946</v>
      </c>
      <c r="E487" s="181" t="n">
        <v>3.4454</v>
      </c>
      <c r="F487" s="181" t="n">
        <v>11.8708</v>
      </c>
      <c r="G487" s="181" t="n">
        <v>0.000964</v>
      </c>
      <c r="H487" s="181" t="n">
        <v>9.500000000000001e-05</v>
      </c>
      <c r="I487" s="181" t="inlineStr"/>
    </row>
    <row r="488" ht="15" customHeight="1" s="28">
      <c r="A488" s="182" t="n">
        <v>474</v>
      </c>
      <c r="B488" s="182" t="n">
        <v>473</v>
      </c>
      <c r="C488" s="182" t="n">
        <v>4716.58</v>
      </c>
      <c r="D488" s="182" t="n">
        <v>4710.1407</v>
      </c>
      <c r="E488" s="182" t="n">
        <v>6.4393</v>
      </c>
      <c r="F488" s="182" t="n">
        <v>41.4645</v>
      </c>
      <c r="G488" s="182" t="n">
        <v>0.006296</v>
      </c>
      <c r="H488" s="182" t="n">
        <v>0.001163</v>
      </c>
      <c r="I488" s="182" t="inlineStr"/>
    </row>
    <row r="489" ht="15" customHeight="1" s="28">
      <c r="A489" s="181" t="n">
        <v>475</v>
      </c>
      <c r="B489" s="181" t="n">
        <v>474</v>
      </c>
      <c r="C489" s="181" t="n">
        <v>4711.31</v>
      </c>
      <c r="D489" s="181" t="n">
        <v>4709.8868</v>
      </c>
      <c r="E489" s="181" t="n">
        <v>1.4232</v>
      </c>
      <c r="F489" s="181" t="n">
        <v>2.0255</v>
      </c>
      <c r="G489" s="181" t="n">
        <v>6.8e-05</v>
      </c>
      <c r="H489" s="181" t="n">
        <v>3e-06</v>
      </c>
      <c r="I489" s="181" t="inlineStr"/>
    </row>
    <row r="490" ht="15" customHeight="1" s="28">
      <c r="A490" s="182" t="n">
        <v>476</v>
      </c>
      <c r="B490" s="182" t="n">
        <v>475</v>
      </c>
      <c r="C490" s="182" t="n">
        <v>4700.9</v>
      </c>
      <c r="D490" s="182" t="n">
        <v>4709.6329</v>
      </c>
      <c r="E490" s="182" t="n">
        <v>-8.732900000000001</v>
      </c>
      <c r="F490" s="182" t="n">
        <v>76.2638</v>
      </c>
      <c r="G490" s="182" t="n">
        <v>-0.015704</v>
      </c>
      <c r="H490" s="182" t="n">
        <v>0.003933</v>
      </c>
      <c r="I490" s="182" t="inlineStr"/>
    </row>
    <row r="491" ht="15" customHeight="1" s="28">
      <c r="A491" s="181" t="n">
        <v>477</v>
      </c>
      <c r="B491" s="181" t="n">
        <v>476</v>
      </c>
      <c r="C491" s="181" t="n">
        <v>4696.41</v>
      </c>
      <c r="D491" s="181" t="n">
        <v>4709.379</v>
      </c>
      <c r="E491" s="181" t="n">
        <v>-12.969</v>
      </c>
      <c r="F491" s="181" t="n">
        <v>168.1954</v>
      </c>
      <c r="G491" s="181" t="n">
        <v>-0.051436</v>
      </c>
      <c r="H491" s="181" t="n">
        <v>0.019129</v>
      </c>
      <c r="I491" s="181" t="inlineStr"/>
    </row>
    <row r="492" ht="15" customHeight="1" s="28">
      <c r="A492" s="182" t="n">
        <v>478</v>
      </c>
      <c r="B492" s="182" t="n">
        <v>477</v>
      </c>
      <c r="C492" s="182" t="n">
        <v>4700.16</v>
      </c>
      <c r="D492" s="182" t="n">
        <v>4709.1251</v>
      </c>
      <c r="E492" s="182" t="n">
        <v>-8.9651</v>
      </c>
      <c r="F492" s="182" t="n">
        <v>80.3734</v>
      </c>
      <c r="G492" s="182" t="n">
        <v>-0.016991</v>
      </c>
      <c r="H492" s="182" t="n">
        <v>0.004368</v>
      </c>
      <c r="I492" s="182" t="inlineStr"/>
    </row>
    <row r="493" ht="15" customHeight="1" s="28">
      <c r="A493" s="181" t="n">
        <v>479</v>
      </c>
      <c r="B493" s="181" t="n">
        <v>478</v>
      </c>
      <c r="C493" s="181" t="n">
        <v>4692.49</v>
      </c>
      <c r="D493" s="181" t="n">
        <v>4708.8712</v>
      </c>
      <c r="E493" s="181" t="n">
        <v>-16.3812</v>
      </c>
      <c r="F493" s="181" t="n">
        <v>268.3446</v>
      </c>
      <c r="G493" s="181" t="n">
        <v>-0.103653</v>
      </c>
      <c r="H493" s="181" t="n">
        <v>0.04869</v>
      </c>
      <c r="I493" s="181" t="inlineStr"/>
    </row>
    <row r="494" ht="15" customHeight="1" s="28">
      <c r="A494" s="182" t="n">
        <v>480</v>
      </c>
      <c r="B494" s="182" t="n">
        <v>479</v>
      </c>
      <c r="C494" s="182" t="n">
        <v>4696.1</v>
      </c>
      <c r="D494" s="182" t="n">
        <v>4708.6173</v>
      </c>
      <c r="E494" s="182" t="n">
        <v>-12.5173</v>
      </c>
      <c r="F494" s="182" t="n">
        <v>156.6836</v>
      </c>
      <c r="G494" s="182" t="n">
        <v>-0.046246</v>
      </c>
      <c r="H494" s="182" t="n">
        <v>0.0166</v>
      </c>
      <c r="I494" s="182" t="inlineStr"/>
    </row>
    <row r="495" ht="15" customHeight="1" s="28">
      <c r="A495" s="181" t="n">
        <v>481</v>
      </c>
      <c r="B495" s="181" t="n">
        <v>480</v>
      </c>
      <c r="C495" s="181" t="n">
        <v>4690.84</v>
      </c>
      <c r="D495" s="181" t="n">
        <v>4708.3634</v>
      </c>
      <c r="E495" s="181" t="n">
        <v>-17.5234</v>
      </c>
      <c r="F495" s="181" t="n">
        <v>307.0708</v>
      </c>
      <c r="G495" s="181" t="n">
        <v>-0.126882</v>
      </c>
      <c r="H495" s="181" t="n">
        <v>0.063758</v>
      </c>
      <c r="I495" s="181" t="inlineStr"/>
    </row>
    <row r="496" ht="15" customHeight="1" s="28">
      <c r="A496" s="182" t="n">
        <v>482</v>
      </c>
      <c r="B496" s="182" t="n">
        <v>481</v>
      </c>
      <c r="C496" s="182" t="n">
        <v>4689.41</v>
      </c>
      <c r="D496" s="182" t="n">
        <v>4708.1095</v>
      </c>
      <c r="E496" s="182" t="n">
        <v>-18.6995</v>
      </c>
      <c r="F496" s="182" t="n">
        <v>349.6728</v>
      </c>
      <c r="G496" s="182" t="n">
        <v>-0.154183</v>
      </c>
      <c r="H496" s="182" t="n">
        <v>0.082676</v>
      </c>
      <c r="I496" s="182" t="inlineStr"/>
    </row>
    <row r="497" ht="15" customHeight="1" s="28">
      <c r="A497" s="181" t="n">
        <v>483</v>
      </c>
      <c r="B497" s="181" t="n">
        <v>482</v>
      </c>
      <c r="C497" s="181" t="n">
        <v>4691.39</v>
      </c>
      <c r="D497" s="181" t="n">
        <v>4707.8556</v>
      </c>
      <c r="E497" s="181" t="n">
        <v>-16.4656</v>
      </c>
      <c r="F497" s="181" t="n">
        <v>271.1175</v>
      </c>
      <c r="G497" s="181" t="n">
        <v>-0.105264</v>
      </c>
      <c r="H497" s="181" t="n">
        <v>0.049702</v>
      </c>
      <c r="I497" s="181" t="inlineStr"/>
    </row>
    <row r="498" ht="15" customHeight="1" s="28">
      <c r="A498" s="182" t="n">
        <v>484</v>
      </c>
      <c r="B498" s="182" t="n">
        <v>483</v>
      </c>
      <c r="C498" s="182" t="n">
        <v>4694.41</v>
      </c>
      <c r="D498" s="182" t="n">
        <v>4707.6018</v>
      </c>
      <c r="E498" s="182" t="n">
        <v>-13.1918</v>
      </c>
      <c r="F498" s="182" t="n">
        <v>174.0223</v>
      </c>
      <c r="G498" s="182" t="n">
        <v>-0.054132</v>
      </c>
      <c r="H498" s="182" t="n">
        <v>0.020477</v>
      </c>
      <c r="I498" s="182" t="inlineStr"/>
    </row>
    <row r="499" ht="15" customHeight="1" s="28">
      <c r="A499" s="181" t="n">
        <v>485</v>
      </c>
      <c r="B499" s="181" t="n">
        <v>484</v>
      </c>
      <c r="C499" s="181" t="n">
        <v>4697.43</v>
      </c>
      <c r="D499" s="181" t="n">
        <v>4707.3479</v>
      </c>
      <c r="E499" s="181" t="n">
        <v>-9.917899999999999</v>
      </c>
      <c r="F499" s="181" t="n">
        <v>98.3638</v>
      </c>
      <c r="G499" s="181" t="n">
        <v>-0.023004</v>
      </c>
      <c r="H499" s="181" t="n">
        <v>0.006542</v>
      </c>
      <c r="I499" s="181" t="inlineStr"/>
    </row>
    <row r="500" ht="15" customHeight="1" s="28">
      <c r="A500" s="182" t="n">
        <v>486</v>
      </c>
      <c r="B500" s="182" t="n">
        <v>485</v>
      </c>
      <c r="C500" s="182" t="n">
        <v>4692.9</v>
      </c>
      <c r="D500" s="182" t="n">
        <v>4707.094</v>
      </c>
      <c r="E500" s="182" t="n">
        <v>-14.194</v>
      </c>
      <c r="F500" s="182" t="n">
        <v>201.4685</v>
      </c>
      <c r="G500" s="182" t="n">
        <v>-0.06743</v>
      </c>
      <c r="H500" s="182" t="n">
        <v>0.027446</v>
      </c>
      <c r="I500" s="182" t="inlineStr"/>
    </row>
    <row r="501" ht="15" customHeight="1" s="28">
      <c r="A501" s="181" t="n">
        <v>487</v>
      </c>
      <c r="B501" s="181" t="n">
        <v>486</v>
      </c>
      <c r="C501" s="181" t="n">
        <v>4693.76</v>
      </c>
      <c r="D501" s="181" t="n">
        <v>4706.8401</v>
      </c>
      <c r="E501" s="181" t="n">
        <v>-13.0801</v>
      </c>
      <c r="F501" s="181" t="n">
        <v>171.0881</v>
      </c>
      <c r="G501" s="181" t="n">
        <v>-0.052768</v>
      </c>
      <c r="H501" s="181" t="n">
        <v>0.019792</v>
      </c>
      <c r="I501" s="181" t="inlineStr"/>
    </row>
    <row r="502" ht="15" customHeight="1" s="28">
      <c r="A502" s="182" t="n">
        <v>488</v>
      </c>
      <c r="B502" s="182" t="n">
        <v>487</v>
      </c>
      <c r="C502" s="182" t="n">
        <v>4693.35</v>
      </c>
      <c r="D502" s="182" t="n">
        <v>4706.5862</v>
      </c>
      <c r="E502" s="182" t="n">
        <v>-13.2362</v>
      </c>
      <c r="F502" s="182" t="n">
        <v>175.1962</v>
      </c>
      <c r="G502" s="182" t="n">
        <v>-0.05468</v>
      </c>
      <c r="H502" s="182" t="n">
        <v>0.020754</v>
      </c>
      <c r="I502" s="182" t="inlineStr"/>
    </row>
    <row r="503" ht="15" customHeight="1" s="28">
      <c r="A503" s="181" t="n">
        <v>489</v>
      </c>
      <c r="B503" s="181" t="n">
        <v>488</v>
      </c>
      <c r="C503" s="181" t="n">
        <v>4689.74</v>
      </c>
      <c r="D503" s="181" t="n">
        <v>4706.3323</v>
      </c>
      <c r="E503" s="181" t="n">
        <v>-16.5923</v>
      </c>
      <c r="F503" s="181" t="n">
        <v>275.3035</v>
      </c>
      <c r="G503" s="181" t="n">
        <v>-0.107711</v>
      </c>
      <c r="H503" s="181" t="n">
        <v>0.051248</v>
      </c>
      <c r="I503" s="181" t="inlineStr"/>
    </row>
    <row r="504" ht="15" customHeight="1" s="28">
      <c r="A504" s="182" t="n">
        <v>490</v>
      </c>
      <c r="B504" s="182" t="n">
        <v>489</v>
      </c>
      <c r="C504" s="182" t="n">
        <v>4694.54</v>
      </c>
      <c r="D504" s="182" t="n">
        <v>4706.0784</v>
      </c>
      <c r="E504" s="182" t="n">
        <v>-11.5384</v>
      </c>
      <c r="F504" s="182" t="n">
        <v>133.1342</v>
      </c>
      <c r="G504" s="182" t="n">
        <v>-0.036222</v>
      </c>
      <c r="H504" s="182" t="n">
        <v>0.011985</v>
      </c>
      <c r="I504" s="182" t="inlineStr"/>
    </row>
    <row r="505" ht="15" customHeight="1" s="28">
      <c r="A505" s="181" t="n">
        <v>491</v>
      </c>
      <c r="B505" s="181" t="n">
        <v>490</v>
      </c>
      <c r="C505" s="181" t="n">
        <v>4697.37</v>
      </c>
      <c r="D505" s="181" t="n">
        <v>4705.8245</v>
      </c>
      <c r="E505" s="181" t="n">
        <v>-8.454499999999999</v>
      </c>
      <c r="F505" s="181" t="n">
        <v>71.4783</v>
      </c>
      <c r="G505" s="181" t="n">
        <v>-0.01425</v>
      </c>
      <c r="H505" s="181" t="n">
        <v>0.003455</v>
      </c>
      <c r="I505" s="181" t="inlineStr"/>
    </row>
    <row r="506" ht="15" customHeight="1" s="28">
      <c r="A506" s="182" t="n">
        <v>492</v>
      </c>
      <c r="B506" s="182" t="n">
        <v>491</v>
      </c>
      <c r="C506" s="182" t="n">
        <v>4695.41</v>
      </c>
      <c r="D506" s="182" t="n">
        <v>4705.5706</v>
      </c>
      <c r="E506" s="182" t="n">
        <v>-10.1606</v>
      </c>
      <c r="F506" s="182" t="n">
        <v>103.2375</v>
      </c>
      <c r="G506" s="182" t="n">
        <v>-0.024734</v>
      </c>
      <c r="H506" s="182" t="n">
        <v>0.007207</v>
      </c>
      <c r="I506" s="182" t="inlineStr"/>
    </row>
    <row r="507" ht="15" customHeight="1" s="28">
      <c r="A507" s="181" t="n">
        <v>493</v>
      </c>
      <c r="B507" s="181" t="n">
        <v>492</v>
      </c>
      <c r="C507" s="181" t="n">
        <v>4698.34</v>
      </c>
      <c r="D507" s="181" t="n">
        <v>4705.3167</v>
      </c>
      <c r="E507" s="181" t="n">
        <v>-6.9767</v>
      </c>
      <c r="F507" s="181" t="n">
        <v>48.6742</v>
      </c>
      <c r="G507" s="181" t="n">
        <v>-0.008007</v>
      </c>
      <c r="H507" s="181" t="n">
        <v>0.001602</v>
      </c>
      <c r="I507" s="181" t="inlineStr"/>
    </row>
    <row r="508" ht="15" customHeight="1" s="28">
      <c r="A508" s="182" t="n">
        <v>494</v>
      </c>
      <c r="B508" s="182" t="n">
        <v>493</v>
      </c>
      <c r="C508" s="182" t="n">
        <v>4705.83</v>
      </c>
      <c r="D508" s="182" t="n">
        <v>4705.0628</v>
      </c>
      <c r="E508" s="182" t="n">
        <v>0.7672</v>
      </c>
      <c r="F508" s="182" t="n">
        <v>0.5886</v>
      </c>
      <c r="G508" s="182" t="n">
        <v>1.1e-05</v>
      </c>
      <c r="H508" s="182" t="n">
        <v>0</v>
      </c>
      <c r="I508" s="182" t="inlineStr"/>
    </row>
    <row r="509" ht="15" customHeight="1" s="28">
      <c r="A509" s="181" t="n">
        <v>495</v>
      </c>
      <c r="B509" s="181" t="n">
        <v>494</v>
      </c>
      <c r="C509" s="181" t="n">
        <v>4701.8</v>
      </c>
      <c r="D509" s="181" t="n">
        <v>4704.8089</v>
      </c>
      <c r="E509" s="181" t="n">
        <v>-3.0089</v>
      </c>
      <c r="F509" s="181" t="n">
        <v>9.0535</v>
      </c>
      <c r="G509" s="181" t="n">
        <v>-0.000642</v>
      </c>
      <c r="H509" s="181" t="n">
        <v>5.5e-05</v>
      </c>
      <c r="I509" s="181" t="inlineStr"/>
    </row>
    <row r="510" ht="15" customHeight="1" s="28">
      <c r="A510" s="182" t="n">
        <v>496</v>
      </c>
      <c r="B510" s="182" t="n">
        <v>495</v>
      </c>
      <c r="C510" s="182" t="n">
        <v>4704.71</v>
      </c>
      <c r="D510" s="182" t="n">
        <v>4704.555</v>
      </c>
      <c r="E510" s="182" t="n">
        <v>0.155</v>
      </c>
      <c r="F510" s="182" t="n">
        <v>0.024</v>
      </c>
      <c r="G510" s="182" t="n">
        <v>0</v>
      </c>
      <c r="H510" s="182" t="n">
        <v>0</v>
      </c>
      <c r="I510" s="182" t="inlineStr"/>
    </row>
    <row r="511" ht="15" customHeight="1" s="28">
      <c r="A511" s="181" t="n">
        <v>497</v>
      </c>
      <c r="B511" s="181" t="n">
        <v>496</v>
      </c>
      <c r="C511" s="181" t="n">
        <v>4709.47</v>
      </c>
      <c r="D511" s="181" t="n">
        <v>4704.3011</v>
      </c>
      <c r="E511" s="181" t="n">
        <v>5.1689</v>
      </c>
      <c r="F511" s="181" t="n">
        <v>26.7174</v>
      </c>
      <c r="G511" s="181" t="n">
        <v>0.003256</v>
      </c>
      <c r="H511" s="181" t="n">
        <v>0.000483</v>
      </c>
      <c r="I511" s="181" t="inlineStr"/>
    </row>
    <row r="512" ht="15" customHeight="1" s="28">
      <c r="A512" s="182" t="n">
        <v>498</v>
      </c>
      <c r="B512" s="182" t="n">
        <v>497</v>
      </c>
      <c r="C512" s="182" t="n">
        <v>4698.41</v>
      </c>
      <c r="D512" s="182" t="n">
        <v>4704.0472</v>
      </c>
      <c r="E512" s="182" t="n">
        <v>-5.6372</v>
      </c>
      <c r="F512" s="182" t="n">
        <v>31.7782</v>
      </c>
      <c r="G512" s="182" t="n">
        <v>-0.004224</v>
      </c>
      <c r="H512" s="182" t="n">
        <v>0.000683</v>
      </c>
      <c r="I512" s="182" t="inlineStr"/>
    </row>
    <row r="513" ht="15" customHeight="1" s="28">
      <c r="A513" s="181" t="n">
        <v>499</v>
      </c>
      <c r="B513" s="181" t="n">
        <v>498</v>
      </c>
      <c r="C513" s="181" t="n">
        <v>4690.81</v>
      </c>
      <c r="D513" s="181" t="n">
        <v>4703.7933</v>
      </c>
      <c r="E513" s="181" t="n">
        <v>-12.9833</v>
      </c>
      <c r="F513" s="181" t="n">
        <v>168.5665</v>
      </c>
      <c r="G513" s="181" t="n">
        <v>-0.051606</v>
      </c>
      <c r="H513" s="181" t="n">
        <v>0.019213</v>
      </c>
      <c r="I513" s="181" t="inlineStr"/>
    </row>
    <row r="514" ht="15" customHeight="1" s="28">
      <c r="A514" s="182" t="n">
        <v>500</v>
      </c>
      <c r="B514" s="182" t="n">
        <v>499</v>
      </c>
      <c r="C514" s="182" t="n">
        <v>4699.09</v>
      </c>
      <c r="D514" s="182" t="n">
        <v>4703.5394</v>
      </c>
      <c r="E514" s="182" t="n">
        <v>-4.4494</v>
      </c>
      <c r="F514" s="182" t="n">
        <v>19.7974</v>
      </c>
      <c r="G514" s="182" t="n">
        <v>-0.002077</v>
      </c>
      <c r="H514" s="182" t="n">
        <v>0.000265</v>
      </c>
      <c r="I514" s="182" t="inlineStr"/>
    </row>
    <row r="515" ht="15" customHeight="1" s="28">
      <c r="A515" s="181" t="n">
        <v>501</v>
      </c>
      <c r="B515" s="181" t="n">
        <v>500</v>
      </c>
      <c r="C515" s="181" t="n">
        <v>4693.29</v>
      </c>
      <c r="D515" s="181" t="n">
        <v>4703.2855</v>
      </c>
      <c r="E515" s="181" t="n">
        <v>-9.9955</v>
      </c>
      <c r="F515" s="181" t="n">
        <v>99.9106</v>
      </c>
      <c r="G515" s="181" t="n">
        <v>-0.023548</v>
      </c>
      <c r="H515" s="181" t="n">
        <v>0.00675</v>
      </c>
      <c r="I515" s="181" t="inlineStr"/>
    </row>
    <row r="516" ht="15" customHeight="1" s="28">
      <c r="A516" s="182" t="n">
        <v>502</v>
      </c>
      <c r="B516" s="182" t="n">
        <v>501</v>
      </c>
      <c r="C516" s="182" t="n">
        <v>4684.14</v>
      </c>
      <c r="D516" s="182" t="n">
        <v>4703.0316</v>
      </c>
      <c r="E516" s="182" t="n">
        <v>-18.8916</v>
      </c>
      <c r="F516" s="182" t="n">
        <v>356.8937</v>
      </c>
      <c r="G516" s="182" t="n">
        <v>-0.158983</v>
      </c>
      <c r="H516" s="182" t="n">
        <v>0.08612599999999999</v>
      </c>
      <c r="I516" s="182" t="inlineStr"/>
    </row>
    <row r="517" ht="15" customHeight="1" s="28">
      <c r="A517" s="181" t="n">
        <v>503</v>
      </c>
      <c r="B517" s="181" t="n">
        <v>502</v>
      </c>
      <c r="C517" s="181" t="n">
        <v>4683.54</v>
      </c>
      <c r="D517" s="181" t="n">
        <v>4702.7777</v>
      </c>
      <c r="E517" s="181" t="n">
        <v>-19.2377</v>
      </c>
      <c r="F517" s="181" t="n">
        <v>370.0905</v>
      </c>
      <c r="G517" s="181" t="n">
        <v>-0.167882</v>
      </c>
      <c r="H517" s="181" t="n">
        <v>0.092613</v>
      </c>
      <c r="I517" s="181" t="inlineStr"/>
    </row>
    <row r="518" ht="15" customHeight="1" s="28">
      <c r="A518" s="182" t="n">
        <v>504</v>
      </c>
      <c r="B518" s="182" t="n">
        <v>503</v>
      </c>
      <c r="C518" s="182" t="n">
        <v>4676.83</v>
      </c>
      <c r="D518" s="182" t="n">
        <v>4702.5238</v>
      </c>
      <c r="E518" s="182" t="n">
        <v>-25.6938</v>
      </c>
      <c r="F518" s="182" t="n">
        <v>660.1734</v>
      </c>
      <c r="G518" s="182" t="n">
        <v>-0.399973</v>
      </c>
      <c r="H518" s="182" t="n">
        <v>0.294696</v>
      </c>
      <c r="I518" s="182" t="inlineStr"/>
    </row>
    <row r="519" ht="15" customHeight="1" s="28">
      <c r="A519" s="181" t="n">
        <v>505</v>
      </c>
      <c r="B519" s="181" t="n">
        <v>504</v>
      </c>
      <c r="C519" s="181" t="n">
        <v>4670.5</v>
      </c>
      <c r="D519" s="181" t="n">
        <v>4702.2699</v>
      </c>
      <c r="E519" s="181" t="n">
        <v>-31.7699</v>
      </c>
      <c r="F519" s="181" t="n">
        <v>1009.3294</v>
      </c>
      <c r="G519" s="181" t="n">
        <v>-0.756123</v>
      </c>
      <c r="H519" s="181" t="n">
        <v>0.688848</v>
      </c>
      <c r="I519" s="181" t="inlineStr"/>
    </row>
    <row r="520" ht="15" customHeight="1" s="28">
      <c r="A520" s="182" t="n">
        <v>506</v>
      </c>
      <c r="B520" s="182" t="n">
        <v>505</v>
      </c>
      <c r="C520" s="182" t="n">
        <v>4674.62</v>
      </c>
      <c r="D520" s="182" t="n">
        <v>4702.016</v>
      </c>
      <c r="E520" s="182" t="n">
        <v>-27.396</v>
      </c>
      <c r="F520" s="182" t="n">
        <v>750.5435</v>
      </c>
      <c r="G520" s="182" t="n">
        <v>-0.48485</v>
      </c>
      <c r="H520" s="182" t="n">
        <v>0.380899</v>
      </c>
      <c r="I520" s="182" t="inlineStr"/>
    </row>
    <row r="521" ht="15" customHeight="1" s="28">
      <c r="A521" s="181" t="n">
        <v>507</v>
      </c>
      <c r="B521" s="181" t="n">
        <v>506</v>
      </c>
      <c r="C521" s="181" t="n">
        <v>4675.32</v>
      </c>
      <c r="D521" s="181" t="n">
        <v>4701.7622</v>
      </c>
      <c r="E521" s="181" t="n">
        <v>-26.4422</v>
      </c>
      <c r="F521" s="181" t="n">
        <v>699.1875</v>
      </c>
      <c r="G521" s="181" t="n">
        <v>-0.435947</v>
      </c>
      <c r="H521" s="181" t="n">
        <v>0.330556</v>
      </c>
      <c r="I521" s="181" t="inlineStr"/>
    </row>
    <row r="522" ht="15" customHeight="1" s="28">
      <c r="A522" s="182" t="n">
        <v>508</v>
      </c>
      <c r="B522" s="182" t="n">
        <v>507</v>
      </c>
      <c r="C522" s="182" t="n">
        <v>4672.16</v>
      </c>
      <c r="D522" s="182" t="n">
        <v>4701.5083</v>
      </c>
      <c r="E522" s="182" t="n">
        <v>-29.3483</v>
      </c>
      <c r="F522" s="182" t="n">
        <v>861.3203</v>
      </c>
      <c r="G522" s="182" t="n">
        <v>-0.59606</v>
      </c>
      <c r="H522" s="182" t="n">
        <v>0.501634</v>
      </c>
      <c r="I522" s="182" t="inlineStr"/>
    </row>
    <row r="523" ht="15" customHeight="1" s="28">
      <c r="A523" s="181" t="n">
        <v>509</v>
      </c>
      <c r="B523" s="181" t="n">
        <v>508</v>
      </c>
      <c r="C523" s="181" t="n">
        <v>4670.01</v>
      </c>
      <c r="D523" s="181" t="n">
        <v>4701.2544</v>
      </c>
      <c r="E523" s="181" t="n">
        <v>-31.2444</v>
      </c>
      <c r="F523" s="181" t="n">
        <v>976.2102</v>
      </c>
      <c r="G523" s="181" t="n">
        <v>-0.719214</v>
      </c>
      <c r="H523" s="181" t="n">
        <v>0.644383</v>
      </c>
      <c r="I523" s="181" t="inlineStr"/>
    </row>
    <row r="524" ht="15" customHeight="1" s="28">
      <c r="A524" s="182" t="n">
        <v>510</v>
      </c>
      <c r="B524" s="182" t="n">
        <v>509</v>
      </c>
      <c r="C524" s="182" t="n">
        <v>4659.65</v>
      </c>
      <c r="D524" s="182" t="n">
        <v>4701.0005</v>
      </c>
      <c r="E524" s="182" t="n">
        <v>-41.3505</v>
      </c>
      <c r="F524" s="182" t="n">
        <v>1709.8612</v>
      </c>
      <c r="G524" s="182" t="n">
        <v>-1.667188</v>
      </c>
      <c r="H524" s="182" t="n">
        <v>1.976875</v>
      </c>
      <c r="I524" s="182" t="inlineStr"/>
    </row>
    <row r="525" ht="15" customHeight="1" s="28">
      <c r="A525" s="181" t="n">
        <v>511</v>
      </c>
      <c r="B525" s="181" t="n">
        <v>510</v>
      </c>
      <c r="C525" s="181" t="n">
        <v>4668.58</v>
      </c>
      <c r="D525" s="181" t="n">
        <v>4700.7466</v>
      </c>
      <c r="E525" s="181" t="n">
        <v>-32.1666</v>
      </c>
      <c r="F525" s="181" t="n">
        <v>1034.6883</v>
      </c>
      <c r="G525" s="181" t="n">
        <v>-0.784797</v>
      </c>
      <c r="H525" s="181" t="n">
        <v>0.723897</v>
      </c>
      <c r="I525" s="181" t="inlineStr"/>
    </row>
    <row r="526" ht="15" customHeight="1" s="28">
      <c r="A526" s="182" t="n">
        <v>512</v>
      </c>
      <c r="B526" s="182" t="n">
        <v>511</v>
      </c>
      <c r="C526" s="182" t="n">
        <v>4674.53</v>
      </c>
      <c r="D526" s="182" t="n">
        <v>4700.4927</v>
      </c>
      <c r="E526" s="182" t="n">
        <v>-25.9627</v>
      </c>
      <c r="F526" s="182" t="n">
        <v>674.0606</v>
      </c>
      <c r="G526" s="182" t="n">
        <v>-0.412659</v>
      </c>
      <c r="H526" s="182" t="n">
        <v>0.307224</v>
      </c>
      <c r="I526" s="182" t="inlineStr"/>
    </row>
    <row r="527" ht="15" customHeight="1" s="28">
      <c r="A527" s="181" t="n">
        <v>513</v>
      </c>
      <c r="B527" s="181" t="n">
        <v>512</v>
      </c>
      <c r="C527" s="181" t="n">
        <v>4673.44</v>
      </c>
      <c r="D527" s="181" t="n">
        <v>4700.2388</v>
      </c>
      <c r="E527" s="181" t="n">
        <v>-26.7988</v>
      </c>
      <c r="F527" s="181" t="n">
        <v>718.1747</v>
      </c>
      <c r="G527" s="181" t="n">
        <v>-0.453825</v>
      </c>
      <c r="H527" s="181" t="n">
        <v>0.348753</v>
      </c>
      <c r="I527" s="181" t="inlineStr"/>
    </row>
    <row r="528" ht="15" customHeight="1" s="28">
      <c r="A528" s="182" t="n">
        <v>514</v>
      </c>
      <c r="B528" s="182" t="n">
        <v>513</v>
      </c>
      <c r="C528" s="182" t="n">
        <v>4676.49</v>
      </c>
      <c r="D528" s="182" t="n">
        <v>4699.9849</v>
      </c>
      <c r="E528" s="182" t="n">
        <v>-23.4949</v>
      </c>
      <c r="F528" s="182" t="n">
        <v>552.0096</v>
      </c>
      <c r="G528" s="182" t="n">
        <v>-0.305818</v>
      </c>
      <c r="H528" s="182" t="n">
        <v>0.20604</v>
      </c>
      <c r="I528" s="182" t="inlineStr"/>
    </row>
    <row r="529" ht="15" customHeight="1" s="28">
      <c r="A529" s="181" t="n">
        <v>515</v>
      </c>
      <c r="B529" s="181" t="n">
        <v>514</v>
      </c>
      <c r="C529" s="181" t="n">
        <v>4682.65</v>
      </c>
      <c r="D529" s="181" t="n">
        <v>4699.731</v>
      </c>
      <c r="E529" s="181" t="n">
        <v>-17.081</v>
      </c>
      <c r="F529" s="181" t="n">
        <v>291.7602</v>
      </c>
      <c r="G529" s="181" t="n">
        <v>-0.117512</v>
      </c>
      <c r="H529" s="181" t="n">
        <v>0.057559</v>
      </c>
      <c r="I529" s="181" t="inlineStr"/>
    </row>
    <row r="530" ht="15" customHeight="1" s="28">
      <c r="A530" s="182" t="n">
        <v>516</v>
      </c>
      <c r="B530" s="182" t="n">
        <v>515</v>
      </c>
      <c r="C530" s="182" t="n">
        <v>4686.43</v>
      </c>
      <c r="D530" s="182" t="n">
        <v>4699.4771</v>
      </c>
      <c r="E530" s="182" t="n">
        <v>-13.0471</v>
      </c>
      <c r="F530" s="182" t="n">
        <v>170.2267</v>
      </c>
      <c r="G530" s="182" t="n">
        <v>-0.05237</v>
      </c>
      <c r="H530" s="182" t="n">
        <v>0.019594</v>
      </c>
      <c r="I530" s="182" t="inlineStr"/>
    </row>
    <row r="531" ht="15" customHeight="1" s="28">
      <c r="A531" s="181" t="n">
        <v>517</v>
      </c>
      <c r="B531" s="181" t="n">
        <v>516</v>
      </c>
      <c r="C531" s="181" t="n">
        <v>4681.83</v>
      </c>
      <c r="D531" s="181" t="n">
        <v>4699.2232</v>
      </c>
      <c r="E531" s="181" t="n">
        <v>-17.3932</v>
      </c>
      <c r="F531" s="181" t="n">
        <v>302.5234</v>
      </c>
      <c r="G531" s="181" t="n">
        <v>-0.124074</v>
      </c>
      <c r="H531" s="181" t="n">
        <v>0.061884</v>
      </c>
      <c r="I531" s="181" t="inlineStr"/>
    </row>
    <row r="532" ht="15" customHeight="1" s="28">
      <c r="A532" s="182" t="n">
        <v>518</v>
      </c>
      <c r="B532" s="182" t="n">
        <v>517</v>
      </c>
      <c r="C532" s="182" t="n">
        <v>4671.45</v>
      </c>
      <c r="D532" s="182" t="n">
        <v>4698.9693</v>
      </c>
      <c r="E532" s="182" t="n">
        <v>-27.5193</v>
      </c>
      <c r="F532" s="182" t="n">
        <v>757.3121</v>
      </c>
      <c r="G532" s="182" t="n">
        <v>-0.491423</v>
      </c>
      <c r="H532" s="182" t="n">
        <v>0.3878</v>
      </c>
      <c r="I532" s="182" t="inlineStr"/>
    </row>
    <row r="533" ht="15" customHeight="1" s="28">
      <c r="A533" s="181" t="n">
        <v>519</v>
      </c>
      <c r="B533" s="181" t="n">
        <v>518</v>
      </c>
      <c r="C533" s="181" t="n">
        <v>4673.71</v>
      </c>
      <c r="D533" s="181" t="n">
        <v>4698.7154</v>
      </c>
      <c r="E533" s="181" t="n">
        <v>-25.0054</v>
      </c>
      <c r="F533" s="181" t="n">
        <v>625.2704</v>
      </c>
      <c r="G533" s="181" t="n">
        <v>-0.368676</v>
      </c>
      <c r="H533" s="181" t="n">
        <v>0.264359</v>
      </c>
      <c r="I533" s="181" t="inlineStr"/>
    </row>
    <row r="534" ht="15" customHeight="1" s="28">
      <c r="A534" s="182" t="n">
        <v>520</v>
      </c>
      <c r="B534" s="182" t="n">
        <v>519</v>
      </c>
      <c r="C534" s="182" t="n">
        <v>4671.98</v>
      </c>
      <c r="D534" s="182" t="n">
        <v>4698.4615</v>
      </c>
      <c r="E534" s="182" t="n">
        <v>-26.4815</v>
      </c>
      <c r="F534" s="182" t="n">
        <v>701.2705</v>
      </c>
      <c r="G534" s="182" t="n">
        <v>-0.437897</v>
      </c>
      <c r="H534" s="182" t="n">
        <v>0.332528</v>
      </c>
      <c r="I534" s="182" t="inlineStr"/>
    </row>
    <row r="535" ht="15" customHeight="1" s="28">
      <c r="A535" s="181" t="n">
        <v>521</v>
      </c>
      <c r="B535" s="181" t="n">
        <v>520</v>
      </c>
      <c r="C535" s="181" t="n">
        <v>4680.61</v>
      </c>
      <c r="D535" s="181" t="n">
        <v>4698.2076</v>
      </c>
      <c r="E535" s="181" t="n">
        <v>-17.5976</v>
      </c>
      <c r="F535" s="181" t="n">
        <v>309.6761</v>
      </c>
      <c r="G535" s="181" t="n">
        <v>-0.1285</v>
      </c>
      <c r="H535" s="181" t="n">
        <v>0.064844</v>
      </c>
      <c r="I535" s="181" t="inlineStr"/>
    </row>
    <row r="536" ht="15" customHeight="1" s="28">
      <c r="A536" s="182" t="n">
        <v>522</v>
      </c>
      <c r="B536" s="182" t="n">
        <v>521</v>
      </c>
      <c r="C536" s="182" t="n">
        <v>4684.49</v>
      </c>
      <c r="D536" s="182" t="n">
        <v>4697.9537</v>
      </c>
      <c r="E536" s="182" t="n">
        <v>-13.4637</v>
      </c>
      <c r="F536" s="182" t="n">
        <v>181.2718</v>
      </c>
      <c r="G536" s="182" t="n">
        <v>-0.057549</v>
      </c>
      <c r="H536" s="182" t="n">
        <v>0.022219</v>
      </c>
      <c r="I536" s="182" t="inlineStr"/>
    </row>
    <row r="537" ht="15" customHeight="1" s="28">
      <c r="A537" s="181" t="n">
        <v>523</v>
      </c>
      <c r="B537" s="181" t="n">
        <v>522</v>
      </c>
      <c r="C537" s="181" t="n">
        <v>4685.61</v>
      </c>
      <c r="D537" s="181" t="n">
        <v>4697.6998</v>
      </c>
      <c r="E537" s="181" t="n">
        <v>-12.0898</v>
      </c>
      <c r="F537" s="181" t="n">
        <v>146.1639</v>
      </c>
      <c r="G537" s="181" t="n">
        <v>-0.041668</v>
      </c>
      <c r="H537" s="181" t="n">
        <v>0.014446</v>
      </c>
      <c r="I537" s="181" t="inlineStr"/>
    </row>
    <row r="538" ht="15" customHeight="1" s="28">
      <c r="A538" s="182" t="n">
        <v>524</v>
      </c>
      <c r="B538" s="182" t="n">
        <v>523</v>
      </c>
      <c r="C538" s="182" t="n">
        <v>4694.57</v>
      </c>
      <c r="D538" s="182" t="n">
        <v>4697.4459</v>
      </c>
      <c r="E538" s="182" t="n">
        <v>-2.8759</v>
      </c>
      <c r="F538" s="182" t="n">
        <v>8.271000000000001</v>
      </c>
      <c r="G538" s="182" t="n">
        <v>-0.000561</v>
      </c>
      <c r="H538" s="182" t="n">
        <v>4.6e-05</v>
      </c>
      <c r="I538" s="182" t="inlineStr"/>
    </row>
    <row r="539" ht="15" customHeight="1" s="28">
      <c r="A539" s="181" t="n">
        <v>525</v>
      </c>
      <c r="B539" s="181" t="n">
        <v>524</v>
      </c>
      <c r="C539" s="181" t="n">
        <v>4687.45</v>
      </c>
      <c r="D539" s="181" t="n">
        <v>4697.192</v>
      </c>
      <c r="E539" s="181" t="n">
        <v>-9.742000000000001</v>
      </c>
      <c r="F539" s="181" t="n">
        <v>94.9072</v>
      </c>
      <c r="G539" s="181" t="n">
        <v>-0.021802</v>
      </c>
      <c r="H539" s="181" t="n">
        <v>0.006091</v>
      </c>
      <c r="I539" s="181" t="inlineStr"/>
    </row>
    <row r="540" ht="15" customHeight="1" s="28">
      <c r="A540" s="182" t="n">
        <v>526</v>
      </c>
      <c r="B540" s="182" t="n">
        <v>525</v>
      </c>
      <c r="C540" s="182" t="n">
        <v>4687.83</v>
      </c>
      <c r="D540" s="182" t="n">
        <v>4696.9381</v>
      </c>
      <c r="E540" s="182" t="n">
        <v>-9.1081</v>
      </c>
      <c r="F540" s="182" t="n">
        <v>82.95820000000001</v>
      </c>
      <c r="G540" s="182" t="n">
        <v>-0.017817</v>
      </c>
      <c r="H540" s="182" t="n">
        <v>0.004653</v>
      </c>
      <c r="I540" s="182" t="inlineStr"/>
    </row>
    <row r="541" ht="15" customHeight="1" s="28">
      <c r="A541" s="181" t="n">
        <v>527</v>
      </c>
      <c r="B541" s="181" t="n">
        <v>526</v>
      </c>
      <c r="C541" s="181" t="n">
        <v>4688.13</v>
      </c>
      <c r="D541" s="181" t="n">
        <v>4696.6842</v>
      </c>
      <c r="E541" s="181" t="n">
        <v>-8.5542</v>
      </c>
      <c r="F541" s="181" t="n">
        <v>73.1751</v>
      </c>
      <c r="G541" s="181" t="n">
        <v>-0.01476</v>
      </c>
      <c r="H541" s="181" t="n">
        <v>0.003621</v>
      </c>
      <c r="I541" s="181" t="inlineStr"/>
    </row>
    <row r="542" ht="15" customHeight="1" s="28">
      <c r="A542" s="182" t="n">
        <v>528</v>
      </c>
      <c r="B542" s="182" t="n">
        <v>527</v>
      </c>
      <c r="C542" s="182" t="n">
        <v>4690.84</v>
      </c>
      <c r="D542" s="182" t="n">
        <v>4696.4303</v>
      </c>
      <c r="E542" s="182" t="n">
        <v>-5.5903</v>
      </c>
      <c r="F542" s="182" t="n">
        <v>31.252</v>
      </c>
      <c r="G542" s="182" t="n">
        <v>-0.00412</v>
      </c>
      <c r="H542" s="182" t="n">
        <v>0.00066</v>
      </c>
      <c r="I542" s="182" t="inlineStr"/>
    </row>
    <row r="543" ht="15" customHeight="1" s="28">
      <c r="A543" s="181" t="n">
        <v>529</v>
      </c>
      <c r="B543" s="181" t="n">
        <v>528</v>
      </c>
      <c r="C543" s="181" t="n">
        <v>4695.33</v>
      </c>
      <c r="D543" s="181" t="n">
        <v>4696.1765</v>
      </c>
      <c r="E543" s="181" t="n">
        <v>-0.8465</v>
      </c>
      <c r="F543" s="181" t="n">
        <v>0.7165</v>
      </c>
      <c r="G543" s="181" t="n">
        <v>-1.4e-05</v>
      </c>
      <c r="H543" s="181" t="n">
        <v>0</v>
      </c>
      <c r="I543" s="181" t="inlineStr"/>
    </row>
    <row r="544" ht="15" customHeight="1" s="28">
      <c r="A544" s="182" t="n">
        <v>530</v>
      </c>
      <c r="B544" s="182" t="n">
        <v>529</v>
      </c>
      <c r="C544" s="182" t="n">
        <v>4683.3</v>
      </c>
      <c r="D544" s="182" t="n">
        <v>4695.9226</v>
      </c>
      <c r="E544" s="182" t="n">
        <v>-12.6226</v>
      </c>
      <c r="F544" s="182" t="n">
        <v>159.329</v>
      </c>
      <c r="G544" s="182" t="n">
        <v>-0.047423</v>
      </c>
      <c r="H544" s="182" t="n">
        <v>0.017165</v>
      </c>
      <c r="I544" s="182" t="inlineStr"/>
    </row>
    <row r="545" ht="15" customHeight="1" s="28">
      <c r="A545" s="181" t="n">
        <v>531</v>
      </c>
      <c r="B545" s="181" t="n">
        <v>530</v>
      </c>
      <c r="C545" s="181" t="n">
        <v>4685.99</v>
      </c>
      <c r="D545" s="181" t="n">
        <v>4695.6687</v>
      </c>
      <c r="E545" s="181" t="n">
        <v>-9.678699999999999</v>
      </c>
      <c r="F545" s="181" t="n">
        <v>93.6765</v>
      </c>
      <c r="G545" s="181" t="n">
        <v>-0.021379</v>
      </c>
      <c r="H545" s="181" t="n">
        <v>0.005934</v>
      </c>
      <c r="I545" s="181" t="inlineStr"/>
    </row>
    <row r="546" ht="15" customHeight="1" s="28">
      <c r="A546" s="182" t="n">
        <v>532</v>
      </c>
      <c r="B546" s="182" t="n">
        <v>531</v>
      </c>
      <c r="C546" s="182" t="n">
        <v>4682.04</v>
      </c>
      <c r="D546" s="182" t="n">
        <v>4695.4148</v>
      </c>
      <c r="E546" s="182" t="n">
        <v>-13.3748</v>
      </c>
      <c r="F546" s="182" t="n">
        <v>178.8844</v>
      </c>
      <c r="G546" s="182" t="n">
        <v>-0.056416</v>
      </c>
      <c r="H546" s="182" t="n">
        <v>0.021637</v>
      </c>
      <c r="I546" s="182" t="inlineStr"/>
    </row>
    <row r="547" ht="15" customHeight="1" s="28">
      <c r="A547" s="181" t="n">
        <v>533</v>
      </c>
      <c r="B547" s="181" t="n">
        <v>532</v>
      </c>
      <c r="C547" s="181" t="n">
        <v>4682.45</v>
      </c>
      <c r="D547" s="181" t="n">
        <v>4695.1609</v>
      </c>
      <c r="E547" s="181" t="n">
        <v>-12.7109</v>
      </c>
      <c r="F547" s="181" t="n">
        <v>161.5662</v>
      </c>
      <c r="G547" s="181" t="n">
        <v>-0.048425</v>
      </c>
      <c r="H547" s="181" t="n">
        <v>0.017651</v>
      </c>
      <c r="I547" s="181" t="inlineStr"/>
    </row>
    <row r="548" ht="15" customHeight="1" s="28">
      <c r="A548" s="182" t="n">
        <v>534</v>
      </c>
      <c r="B548" s="182" t="n">
        <v>533</v>
      </c>
      <c r="C548" s="182" t="n">
        <v>4682.25</v>
      </c>
      <c r="D548" s="182" t="n">
        <v>4694.907</v>
      </c>
      <c r="E548" s="182" t="n">
        <v>-12.657</v>
      </c>
      <c r="F548" s="182" t="n">
        <v>160.199</v>
      </c>
      <c r="G548" s="182" t="n">
        <v>-0.047812</v>
      </c>
      <c r="H548" s="182" t="n">
        <v>0.017353</v>
      </c>
      <c r="I548" s="182" t="inlineStr"/>
    </row>
    <row r="549" ht="15" customHeight="1" s="28">
      <c r="A549" s="181" t="n">
        <v>535</v>
      </c>
      <c r="B549" s="181" t="n">
        <v>534</v>
      </c>
      <c r="C549" s="181" t="n">
        <v>4679.01</v>
      </c>
      <c r="D549" s="181" t="n">
        <v>4694.6531</v>
      </c>
      <c r="E549" s="181" t="n">
        <v>-15.6431</v>
      </c>
      <c r="F549" s="181" t="n">
        <v>244.706</v>
      </c>
      <c r="G549" s="181" t="n">
        <v>-0.090263</v>
      </c>
      <c r="H549" s="181" t="n">
        <v>0.04049</v>
      </c>
      <c r="I549" s="181" t="inlineStr"/>
    </row>
    <row r="550" ht="15" customHeight="1" s="28">
      <c r="A550" s="182" t="n">
        <v>536</v>
      </c>
      <c r="B550" s="182" t="n">
        <v>535</v>
      </c>
      <c r="C550" s="182" t="n">
        <v>4678.04</v>
      </c>
      <c r="D550" s="182" t="n">
        <v>4694.3992</v>
      </c>
      <c r="E550" s="182" t="n">
        <v>-16.3592</v>
      </c>
      <c r="F550" s="182" t="n">
        <v>267.6229</v>
      </c>
      <c r="G550" s="182" t="n">
        <v>-0.103235</v>
      </c>
      <c r="H550" s="182" t="n">
        <v>0.048429</v>
      </c>
      <c r="I550" s="182" t="inlineStr"/>
    </row>
    <row r="551" ht="15" customHeight="1" s="28">
      <c r="A551" s="181" t="n">
        <v>537</v>
      </c>
      <c r="B551" s="181" t="n">
        <v>536</v>
      </c>
      <c r="C551" s="181" t="n">
        <v>4696.78</v>
      </c>
      <c r="D551" s="181" t="n">
        <v>4694.1453</v>
      </c>
      <c r="E551" s="181" t="n">
        <v>2.6347</v>
      </c>
      <c r="F551" s="181" t="n">
        <v>6.9417</v>
      </c>
      <c r="G551" s="181" t="n">
        <v>0.000431</v>
      </c>
      <c r="H551" s="181" t="n">
        <v>3.3e-05</v>
      </c>
      <c r="I551" s="181" t="inlineStr"/>
    </row>
    <row r="552" ht="15" customHeight="1" s="28">
      <c r="A552" s="182" t="n">
        <v>538</v>
      </c>
      <c r="B552" s="182" t="n">
        <v>537</v>
      </c>
      <c r="C552" s="182" t="n">
        <v>4715.3</v>
      </c>
      <c r="D552" s="182" t="n">
        <v>4693.8914</v>
      </c>
      <c r="E552" s="182" t="n">
        <v>21.4086</v>
      </c>
      <c r="F552" s="182" t="n">
        <v>458.3284</v>
      </c>
      <c r="G552" s="182" t="n">
        <v>0.231371</v>
      </c>
      <c r="H552" s="182" t="n">
        <v>0.14204</v>
      </c>
      <c r="I552" s="182" t="inlineStr"/>
    </row>
    <row r="553" ht="15" customHeight="1" s="28">
      <c r="A553" s="181" t="n">
        <v>539</v>
      </c>
      <c r="B553" s="181" t="n">
        <v>538</v>
      </c>
      <c r="C553" s="181" t="n">
        <v>4705.4</v>
      </c>
      <c r="D553" s="181" t="n">
        <v>4693.6375</v>
      </c>
      <c r="E553" s="181" t="n">
        <v>11.7625</v>
      </c>
      <c r="F553" s="181" t="n">
        <v>138.3565</v>
      </c>
      <c r="G553" s="181" t="n">
        <v>0.038374</v>
      </c>
      <c r="H553" s="181" t="n">
        <v>0.012944</v>
      </c>
      <c r="I553" s="181" t="inlineStr"/>
    </row>
    <row r="554" ht="15" customHeight="1" s="28">
      <c r="A554" s="182" t="n">
        <v>540</v>
      </c>
      <c r="B554" s="182" t="n">
        <v>539</v>
      </c>
      <c r="C554" s="182" t="n">
        <v>4706.76</v>
      </c>
      <c r="D554" s="182" t="n">
        <v>4693.3836</v>
      </c>
      <c r="E554" s="182" t="n">
        <v>13.3764</v>
      </c>
      <c r="F554" s="182" t="n">
        <v>178.928</v>
      </c>
      <c r="G554" s="182" t="n">
        <v>0.056437</v>
      </c>
      <c r="H554" s="182" t="n">
        <v>0.021648</v>
      </c>
      <c r="I554" s="182" t="inlineStr"/>
    </row>
    <row r="555" ht="15" customHeight="1" s="28">
      <c r="A555" s="181" t="n">
        <v>541</v>
      </c>
      <c r="B555" s="181" t="n">
        <v>540</v>
      </c>
      <c r="C555" s="181" t="n">
        <v>4708.7</v>
      </c>
      <c r="D555" s="181" t="n">
        <v>4693.1297</v>
      </c>
      <c r="E555" s="181" t="n">
        <v>15.5703</v>
      </c>
      <c r="F555" s="181" t="n">
        <v>242.434</v>
      </c>
      <c r="G555" s="181" t="n">
        <v>0.089009</v>
      </c>
      <c r="H555" s="181" t="n">
        <v>0.039742</v>
      </c>
      <c r="I555" s="181" t="inlineStr"/>
    </row>
    <row r="556" ht="15" customHeight="1" s="28">
      <c r="A556" s="182" t="n">
        <v>542</v>
      </c>
      <c r="B556" s="182" t="n">
        <v>541</v>
      </c>
      <c r="C556" s="182" t="n">
        <v>4710.63</v>
      </c>
      <c r="D556" s="182" t="n">
        <v>4692.8758</v>
      </c>
      <c r="E556" s="182" t="n">
        <v>17.7542</v>
      </c>
      <c r="F556" s="182" t="n">
        <v>315.2112</v>
      </c>
      <c r="G556" s="182" t="n">
        <v>0.131961</v>
      </c>
      <c r="H556" s="182" t="n">
        <v>0.06718300000000001</v>
      </c>
      <c r="I556" s="182" t="inlineStr"/>
    </row>
    <row r="557" ht="15" customHeight="1" s="28">
      <c r="A557" s="181" t="n">
        <v>543</v>
      </c>
      <c r="B557" s="181" t="n">
        <v>542</v>
      </c>
      <c r="C557" s="181" t="n">
        <v>4698.83</v>
      </c>
      <c r="D557" s="181" t="n">
        <v>4692.6219</v>
      </c>
      <c r="E557" s="181" t="n">
        <v>6.2081</v>
      </c>
      <c r="F557" s="181" t="n">
        <v>38.5403</v>
      </c>
      <c r="G557" s="181" t="n">
        <v>0.005642</v>
      </c>
      <c r="H557" s="181" t="n">
        <v>0.001004</v>
      </c>
      <c r="I557" s="181" t="inlineStr"/>
    </row>
    <row r="558" ht="15" customHeight="1" s="28">
      <c r="A558" s="182" t="n">
        <v>544</v>
      </c>
      <c r="B558" s="182" t="n">
        <v>543</v>
      </c>
      <c r="C558" s="182" t="n">
        <v>4700.67</v>
      </c>
      <c r="D558" s="182" t="n">
        <v>4692.368</v>
      </c>
      <c r="E558" s="182" t="n">
        <v>8.302</v>
      </c>
      <c r="F558" s="182" t="n">
        <v>68.9229</v>
      </c>
      <c r="G558" s="182" t="n">
        <v>0.013492</v>
      </c>
      <c r="H558" s="182" t="n">
        <v>0.003212</v>
      </c>
      <c r="I558" s="182" t="inlineStr"/>
    </row>
    <row r="559" ht="15" customHeight="1" s="28">
      <c r="A559" s="181" t="n">
        <v>545</v>
      </c>
      <c r="B559" s="181" t="n">
        <v>544</v>
      </c>
      <c r="C559" s="181" t="n">
        <v>4702.99</v>
      </c>
      <c r="D559" s="181" t="n">
        <v>4692.1141</v>
      </c>
      <c r="E559" s="181" t="n">
        <v>10.8759</v>
      </c>
      <c r="F559" s="181" t="n">
        <v>118.2847</v>
      </c>
      <c r="G559" s="181" t="n">
        <v>0.030334</v>
      </c>
      <c r="H559" s="181" t="n">
        <v>0.009461000000000001</v>
      </c>
      <c r="I559" s="181" t="inlineStr"/>
    </row>
    <row r="560" ht="15" customHeight="1" s="28">
      <c r="A560" s="182" t="n">
        <v>546</v>
      </c>
      <c r="B560" s="182" t="n">
        <v>545</v>
      </c>
      <c r="C560" s="182" t="n">
        <v>4697.13</v>
      </c>
      <c r="D560" s="182" t="n">
        <v>4691.8602</v>
      </c>
      <c r="E560" s="182" t="n">
        <v>5.2698</v>
      </c>
      <c r="F560" s="182" t="n">
        <v>27.7705</v>
      </c>
      <c r="G560" s="182" t="n">
        <v>0.003451</v>
      </c>
      <c r="H560" s="182" t="n">
        <v>0.000521</v>
      </c>
      <c r="I560" s="182" t="inlineStr"/>
    </row>
    <row r="561" ht="15" customHeight="1" s="28">
      <c r="A561" s="181" t="n">
        <v>547</v>
      </c>
      <c r="B561" s="181" t="n">
        <v>546</v>
      </c>
      <c r="C561" s="181" t="n">
        <v>4708.23</v>
      </c>
      <c r="D561" s="181" t="n">
        <v>4691.6063</v>
      </c>
      <c r="E561" s="181" t="n">
        <v>16.6237</v>
      </c>
      <c r="F561" s="181" t="n">
        <v>276.3463</v>
      </c>
      <c r="G561" s="181" t="n">
        <v>0.108324</v>
      </c>
      <c r="H561" s="181" t="n">
        <v>0.051637</v>
      </c>
      <c r="I561" s="181" t="inlineStr"/>
    </row>
    <row r="562" ht="15" customHeight="1" s="28">
      <c r="A562" s="182" t="n">
        <v>548</v>
      </c>
      <c r="B562" s="182" t="n">
        <v>547</v>
      </c>
      <c r="C562" s="182" t="n">
        <v>4711.2</v>
      </c>
      <c r="D562" s="182" t="n">
        <v>4691.3524</v>
      </c>
      <c r="E562" s="182" t="n">
        <v>19.8476</v>
      </c>
      <c r="F562" s="182" t="n">
        <v>393.9257</v>
      </c>
      <c r="G562" s="182" t="n">
        <v>0.184359</v>
      </c>
      <c r="H562" s="182" t="n">
        <v>0.104927</v>
      </c>
      <c r="I562" s="182" t="inlineStr"/>
    </row>
    <row r="563" ht="15" customHeight="1" s="28">
      <c r="A563" s="181" t="n">
        <v>549</v>
      </c>
      <c r="B563" s="181" t="n">
        <v>548</v>
      </c>
      <c r="C563" s="181" t="n">
        <v>4731.95</v>
      </c>
      <c r="D563" s="181" t="n">
        <v>4691.0985</v>
      </c>
      <c r="E563" s="181" t="n">
        <v>40.8515</v>
      </c>
      <c r="F563" s="181" t="n">
        <v>1668.8415</v>
      </c>
      <c r="G563" s="181" t="n">
        <v>1.607555</v>
      </c>
      <c r="H563" s="181" t="n">
        <v>1.883162</v>
      </c>
      <c r="I563" s="181" t="inlineStr"/>
    </row>
    <row r="564" ht="15" customHeight="1" s="28">
      <c r="A564" s="182" t="n">
        <v>550</v>
      </c>
      <c r="B564" s="182" t="n">
        <v>549</v>
      </c>
      <c r="C564" s="182" t="n">
        <v>4725.46</v>
      </c>
      <c r="D564" s="182" t="n">
        <v>4690.8446</v>
      </c>
      <c r="E564" s="182" t="n">
        <v>34.6154</v>
      </c>
      <c r="F564" s="182" t="n">
        <v>1198.2226</v>
      </c>
      <c r="G564" s="182" t="n">
        <v>0.978024</v>
      </c>
      <c r="H564" s="182" t="n">
        <v>0.9708059999999999</v>
      </c>
      <c r="I564" s="182" t="inlineStr"/>
    </row>
    <row r="565" ht="15" customHeight="1" s="28">
      <c r="A565" s="181" t="n">
        <v>551</v>
      </c>
      <c r="B565" s="181" t="n">
        <v>550</v>
      </c>
      <c r="C565" s="181" t="n">
        <v>4730.38</v>
      </c>
      <c r="D565" s="181" t="n">
        <v>4690.5908</v>
      </c>
      <c r="E565" s="181" t="n">
        <v>39.7892</v>
      </c>
      <c r="F565" s="181" t="n">
        <v>1583.1843</v>
      </c>
      <c r="G565" s="181" t="n">
        <v>1.48539</v>
      </c>
      <c r="H565" s="181" t="n">
        <v>1.694808</v>
      </c>
      <c r="I565" s="181" t="inlineStr"/>
    </row>
    <row r="566" ht="15" customHeight="1" s="28">
      <c r="A566" s="182" t="n">
        <v>552</v>
      </c>
      <c r="B566" s="182" t="n">
        <v>551</v>
      </c>
      <c r="C566" s="182" t="n">
        <v>4726.41</v>
      </c>
      <c r="D566" s="182" t="n">
        <v>4690.3369</v>
      </c>
      <c r="E566" s="182" t="n">
        <v>36.0731</v>
      </c>
      <c r="F566" s="182" t="n">
        <v>1301.2717</v>
      </c>
      <c r="G566" s="182" t="n">
        <v>1.106866</v>
      </c>
      <c r="H566" s="182" t="n">
        <v>1.144968</v>
      </c>
      <c r="I566" s="182" t="inlineStr"/>
    </row>
    <row r="567" ht="15" customHeight="1" s="28">
      <c r="A567" s="181" t="n">
        <v>553</v>
      </c>
      <c r="B567" s="181" t="n">
        <v>552</v>
      </c>
      <c r="C567" s="181" t="n">
        <v>4721.97</v>
      </c>
      <c r="D567" s="181" t="n">
        <v>4690.083</v>
      </c>
      <c r="E567" s="181" t="n">
        <v>31.887</v>
      </c>
      <c r="F567" s="181" t="n">
        <v>1016.7833</v>
      </c>
      <c r="G567" s="181" t="n">
        <v>0.7645149999999999</v>
      </c>
      <c r="H567" s="181" t="n">
        <v>0.69906</v>
      </c>
      <c r="I567" s="181" t="inlineStr"/>
    </row>
    <row r="568" ht="15" customHeight="1" s="28">
      <c r="A568" s="182" t="n">
        <v>554</v>
      </c>
      <c r="B568" s="182" t="n">
        <v>553</v>
      </c>
      <c r="C568" s="182" t="n">
        <v>4721.74</v>
      </c>
      <c r="D568" s="182" t="n">
        <v>4689.8291</v>
      </c>
      <c r="E568" s="182" t="n">
        <v>31.9109</v>
      </c>
      <c r="F568" s="182" t="n">
        <v>1018.3077</v>
      </c>
      <c r="G568" s="182" t="n">
        <v>0.766235</v>
      </c>
      <c r="H568" s="182" t="n">
        <v>0.7011579999999999</v>
      </c>
      <c r="I568" s="182" t="inlineStr"/>
    </row>
    <row r="569" ht="15" customHeight="1" s="28">
      <c r="A569" s="181" t="n">
        <v>555</v>
      </c>
      <c r="B569" s="181" t="n">
        <v>554</v>
      </c>
      <c r="C569" s="181" t="n">
        <v>4728.12</v>
      </c>
      <c r="D569" s="181" t="n">
        <v>4689.5752</v>
      </c>
      <c r="E569" s="181" t="n">
        <v>38.5448</v>
      </c>
      <c r="F569" s="181" t="n">
        <v>1485.7039</v>
      </c>
      <c r="G569" s="181" t="n">
        <v>1.350335</v>
      </c>
      <c r="H569" s="181" t="n">
        <v>1.492527</v>
      </c>
      <c r="I569" s="181" t="inlineStr"/>
    </row>
    <row r="570" ht="15" customHeight="1" s="28">
      <c r="A570" s="182" t="n">
        <v>556</v>
      </c>
      <c r="B570" s="182" t="n">
        <v>555</v>
      </c>
      <c r="C570" s="182" t="n">
        <v>4727.24</v>
      </c>
      <c r="D570" s="182" t="n">
        <v>4689.3213</v>
      </c>
      <c r="E570" s="182" t="n">
        <v>37.9187</v>
      </c>
      <c r="F570" s="182" t="n">
        <v>1437.8297</v>
      </c>
      <c r="G570" s="182" t="n">
        <v>1.285596</v>
      </c>
      <c r="H570" s="182" t="n">
        <v>1.397888</v>
      </c>
      <c r="I570" s="182" t="inlineStr"/>
    </row>
    <row r="571" ht="15" customHeight="1" s="28">
      <c r="A571" s="181" t="n">
        <v>557</v>
      </c>
      <c r="B571" s="181" t="n">
        <v>556</v>
      </c>
      <c r="C571" s="181" t="n">
        <v>4720.65</v>
      </c>
      <c r="D571" s="181" t="n">
        <v>4689.0674</v>
      </c>
      <c r="E571" s="181" t="n">
        <v>31.5826</v>
      </c>
      <c r="F571" s="181" t="n">
        <v>997.4619</v>
      </c>
      <c r="G571" s="181" t="n">
        <v>0.742827</v>
      </c>
      <c r="H571" s="181" t="n">
        <v>0.672745</v>
      </c>
      <c r="I571" s="181" t="inlineStr"/>
    </row>
    <row r="572" ht="15" customHeight="1" s="28">
      <c r="A572" s="182" t="n">
        <v>558</v>
      </c>
      <c r="B572" s="182" t="n">
        <v>557</v>
      </c>
      <c r="C572" s="182" t="n">
        <v>4723.32</v>
      </c>
      <c r="D572" s="182" t="n">
        <v>4688.8135</v>
      </c>
      <c r="E572" s="182" t="n">
        <v>34.5065</v>
      </c>
      <c r="F572" s="182" t="n">
        <v>1190.6997</v>
      </c>
      <c r="G572" s="182" t="n">
        <v>0.968828</v>
      </c>
      <c r="H572" s="182" t="n">
        <v>0.958654</v>
      </c>
      <c r="I572" s="182" t="inlineStr"/>
    </row>
    <row r="573" ht="15" customHeight="1" s="28">
      <c r="A573" s="181" t="n">
        <v>559</v>
      </c>
      <c r="B573" s="181" t="n">
        <v>558</v>
      </c>
      <c r="C573" s="181" t="n">
        <v>4722.58</v>
      </c>
      <c r="D573" s="181" t="n">
        <v>4688.5596</v>
      </c>
      <c r="E573" s="181" t="n">
        <v>34.0204</v>
      </c>
      <c r="F573" s="181" t="n">
        <v>1157.3884</v>
      </c>
      <c r="G573" s="181" t="n">
        <v>0.928457</v>
      </c>
      <c r="H573" s="181" t="n">
        <v>0.905766</v>
      </c>
      <c r="I573" s="181" t="inlineStr"/>
    </row>
    <row r="574" ht="15" customHeight="1" s="28">
      <c r="A574" s="182" t="n">
        <v>560</v>
      </c>
      <c r="B574" s="182" t="n">
        <v>559</v>
      </c>
      <c r="C574" s="182" t="n">
        <v>4726.84</v>
      </c>
      <c r="D574" s="182" t="n">
        <v>4688.3057</v>
      </c>
      <c r="E574" s="182" t="n">
        <v>38.5343</v>
      </c>
      <c r="F574" s="182" t="n">
        <v>1484.8928</v>
      </c>
      <c r="G574" s="182" t="n">
        <v>1.34923</v>
      </c>
      <c r="H574" s="182" t="n">
        <v>1.490898</v>
      </c>
      <c r="I574" s="182" t="inlineStr"/>
    </row>
    <row r="575" ht="15" customHeight="1" s="28">
      <c r="A575" s="181" t="n">
        <v>561</v>
      </c>
      <c r="B575" s="181" t="n">
        <v>560</v>
      </c>
      <c r="C575" s="181" t="n">
        <v>4727.78</v>
      </c>
      <c r="D575" s="181" t="n">
        <v>4688.0518</v>
      </c>
      <c r="E575" s="181" t="n">
        <v>39.7282</v>
      </c>
      <c r="F575" s="181" t="n">
        <v>1578.3301</v>
      </c>
      <c r="G575" s="181" t="n">
        <v>1.478563</v>
      </c>
      <c r="H575" s="181" t="n">
        <v>1.684431</v>
      </c>
      <c r="I575" s="181" t="inlineStr"/>
    </row>
    <row r="576" ht="15" customHeight="1" s="28">
      <c r="A576" s="182" t="n">
        <v>562</v>
      </c>
      <c r="B576" s="182" t="n">
        <v>561</v>
      </c>
      <c r="C576" s="182" t="n">
        <v>4723.06</v>
      </c>
      <c r="D576" s="182" t="n">
        <v>4687.7979</v>
      </c>
      <c r="E576" s="182" t="n">
        <v>35.2621</v>
      </c>
      <c r="F576" s="182" t="n">
        <v>1243.4156</v>
      </c>
      <c r="G576" s="182" t="n">
        <v>1.033874</v>
      </c>
      <c r="H576" s="182" t="n">
        <v>1.045419</v>
      </c>
      <c r="I576" s="182" t="inlineStr"/>
    </row>
    <row r="577" ht="15" customHeight="1" s="28">
      <c r="A577" s="181" t="n">
        <v>563</v>
      </c>
      <c r="B577" s="181" t="n">
        <v>562</v>
      </c>
      <c r="C577" s="181" t="n">
        <v>4722.48</v>
      </c>
      <c r="D577" s="181" t="n">
        <v>4687.544</v>
      </c>
      <c r="E577" s="181" t="n">
        <v>34.936</v>
      </c>
      <c r="F577" s="181" t="n">
        <v>1220.5237</v>
      </c>
      <c r="G577" s="181" t="n">
        <v>1.005455</v>
      </c>
      <c r="H577" s="181" t="n">
        <v>1.007279</v>
      </c>
      <c r="I577" s="181" t="inlineStr"/>
    </row>
    <row r="578" ht="15" customHeight="1" s="28">
      <c r="A578" s="182" t="n">
        <v>564</v>
      </c>
      <c r="B578" s="182" t="n">
        <v>563</v>
      </c>
      <c r="C578" s="182" t="n">
        <v>4723.38</v>
      </c>
      <c r="D578" s="182" t="n">
        <v>4687.2901</v>
      </c>
      <c r="E578" s="182" t="n">
        <v>36.0899</v>
      </c>
      <c r="F578" s="182" t="n">
        <v>1302.4801</v>
      </c>
      <c r="G578" s="182" t="n">
        <v>1.108408</v>
      </c>
      <c r="H578" s="182" t="n">
        <v>1.147096</v>
      </c>
      <c r="I578" s="182" t="inlineStr"/>
    </row>
    <row r="579" ht="15" customHeight="1" s="28">
      <c r="A579" s="181" t="n">
        <v>565</v>
      </c>
      <c r="B579" s="181" t="n">
        <v>564</v>
      </c>
      <c r="C579" s="181" t="n">
        <v>4723.94</v>
      </c>
      <c r="D579" s="181" t="n">
        <v>4687.0362</v>
      </c>
      <c r="E579" s="181" t="n">
        <v>36.9038</v>
      </c>
      <c r="F579" s="181" t="n">
        <v>1361.8893</v>
      </c>
      <c r="G579" s="181" t="n">
        <v>1.185102</v>
      </c>
      <c r="H579" s="181" t="n">
        <v>1.254126</v>
      </c>
      <c r="I579" s="181" t="inlineStr"/>
    </row>
    <row r="580" ht="15" customHeight="1" s="28">
      <c r="A580" s="182" t="n">
        <v>566</v>
      </c>
      <c r="B580" s="182" t="n">
        <v>565</v>
      </c>
      <c r="C580" s="182" t="n">
        <v>4717.26</v>
      </c>
      <c r="D580" s="182" t="n">
        <v>4686.7823</v>
      </c>
      <c r="E580" s="182" t="n">
        <v>30.4777</v>
      </c>
      <c r="F580" s="182" t="n">
        <v>928.889</v>
      </c>
      <c r="G580" s="182" t="n">
        <v>0.667558</v>
      </c>
      <c r="H580" s="182" t="n">
        <v>0.583425</v>
      </c>
      <c r="I580" s="182" t="inlineStr"/>
    </row>
    <row r="581" ht="15" customHeight="1" s="28">
      <c r="A581" s="181" t="n">
        <v>567</v>
      </c>
      <c r="B581" s="181" t="n">
        <v>566</v>
      </c>
      <c r="C581" s="181" t="n">
        <v>4718.98</v>
      </c>
      <c r="D581" s="181" t="n">
        <v>4686.5284</v>
      </c>
      <c r="E581" s="181" t="n">
        <v>32.4516</v>
      </c>
      <c r="F581" s="181" t="n">
        <v>1053.1048</v>
      </c>
      <c r="G581" s="181" t="n">
        <v>0.805843</v>
      </c>
      <c r="H581" s="181" t="n">
        <v>0.749895</v>
      </c>
      <c r="I581" s="181" t="inlineStr"/>
    </row>
    <row r="582" ht="15" customHeight="1" s="28">
      <c r="A582" s="182" t="n">
        <v>568</v>
      </c>
      <c r="B582" s="182" t="n">
        <v>567</v>
      </c>
      <c r="C582" s="182" t="n">
        <v>4722.91</v>
      </c>
      <c r="D582" s="182" t="n">
        <v>4686.2745</v>
      </c>
      <c r="E582" s="182" t="n">
        <v>36.6355</v>
      </c>
      <c r="F582" s="182" t="n">
        <v>1342.1578</v>
      </c>
      <c r="G582" s="182" t="n">
        <v>1.159441</v>
      </c>
      <c r="H582" s="182" t="n">
        <v>1.218049</v>
      </c>
      <c r="I582" s="182" t="inlineStr"/>
    </row>
    <row r="583" ht="15" customHeight="1" s="28">
      <c r="A583" s="181" t="n">
        <v>569</v>
      </c>
      <c r="B583" s="181" t="n">
        <v>568</v>
      </c>
      <c r="C583" s="181" t="n">
        <v>4722.47</v>
      </c>
      <c r="D583" s="181" t="n">
        <v>4686.0206</v>
      </c>
      <c r="E583" s="181" t="n">
        <v>36.4494</v>
      </c>
      <c r="F583" s="181" t="n">
        <v>1328.5563</v>
      </c>
      <c r="G583" s="181" t="n">
        <v>1.141861</v>
      </c>
      <c r="H583" s="181" t="n">
        <v>1.193487</v>
      </c>
      <c r="I583" s="181" t="inlineStr"/>
    </row>
    <row r="584" ht="15" customHeight="1" s="28">
      <c r="A584" s="182" t="n">
        <v>570</v>
      </c>
      <c r="B584" s="182" t="n">
        <v>569</v>
      </c>
      <c r="C584" s="182" t="n">
        <v>4719.08</v>
      </c>
      <c r="D584" s="182" t="n">
        <v>4685.7667</v>
      </c>
      <c r="E584" s="182" t="n">
        <v>33.3133</v>
      </c>
      <c r="F584" s="182" t="n">
        <v>1109.7734</v>
      </c>
      <c r="G584" s="182" t="n">
        <v>0.8717549999999999</v>
      </c>
      <c r="H584" s="182" t="n">
        <v>0.832772</v>
      </c>
      <c r="I584" s="182" t="inlineStr"/>
    </row>
    <row r="585" ht="15" customHeight="1" s="28">
      <c r="A585" s="181" t="n">
        <v>571</v>
      </c>
      <c r="B585" s="181" t="n">
        <v>570</v>
      </c>
      <c r="C585" s="181" t="n">
        <v>4716.82</v>
      </c>
      <c r="D585" s="181" t="n">
        <v>4685.5128</v>
      </c>
      <c r="E585" s="181" t="n">
        <v>31.3072</v>
      </c>
      <c r="F585" s="181" t="n">
        <v>980.1381</v>
      </c>
      <c r="G585" s="181" t="n">
        <v>0.723559</v>
      </c>
      <c r="H585" s="181" t="n">
        <v>0.649579</v>
      </c>
      <c r="I585" s="181" t="inlineStr"/>
    </row>
    <row r="586" ht="15" customHeight="1" s="28">
      <c r="A586" s="182" t="n">
        <v>572</v>
      </c>
      <c r="B586" s="182" t="n">
        <v>571</v>
      </c>
      <c r="C586" s="182" t="n">
        <v>4717.02</v>
      </c>
      <c r="D586" s="182" t="n">
        <v>4685.2589</v>
      </c>
      <c r="E586" s="182" t="n">
        <v>31.7611</v>
      </c>
      <c r="F586" s="182" t="n">
        <v>1008.7645</v>
      </c>
      <c r="G586" s="182" t="n">
        <v>0.755489</v>
      </c>
      <c r="H586" s="182" t="n">
        <v>0.688077</v>
      </c>
      <c r="I586" s="182" t="inlineStr"/>
    </row>
    <row r="587" ht="15" customHeight="1" s="28">
      <c r="A587" s="181" t="n">
        <v>573</v>
      </c>
      <c r="B587" s="181" t="n">
        <v>572</v>
      </c>
      <c r="C587" s="181" t="n">
        <v>4706.56</v>
      </c>
      <c r="D587" s="181" t="n">
        <v>4685.0051</v>
      </c>
      <c r="E587" s="181" t="n">
        <v>21.5549</v>
      </c>
      <c r="F587" s="181" t="n">
        <v>464.6158</v>
      </c>
      <c r="G587" s="181" t="n">
        <v>0.236148</v>
      </c>
      <c r="H587" s="181" t="n">
        <v>0.145964</v>
      </c>
      <c r="I587" s="181" t="inlineStr"/>
    </row>
    <row r="588" ht="15" customHeight="1" s="28">
      <c r="A588" s="182" t="n">
        <v>574</v>
      </c>
      <c r="B588" s="182" t="n">
        <v>573</v>
      </c>
      <c r="C588" s="182" t="n">
        <v>4708.18</v>
      </c>
      <c r="D588" s="182" t="n">
        <v>4684.7512</v>
      </c>
      <c r="E588" s="182" t="n">
        <v>23.4288</v>
      </c>
      <c r="F588" s="182" t="n">
        <v>548.9107</v>
      </c>
      <c r="G588" s="182" t="n">
        <v>0.303246</v>
      </c>
      <c r="H588" s="182" t="n">
        <v>0.203733</v>
      </c>
      <c r="I588" s="182" t="inlineStr"/>
    </row>
    <row r="589" ht="15" customHeight="1" s="28">
      <c r="A589" s="181" t="n">
        <v>575</v>
      </c>
      <c r="B589" s="181" t="n">
        <v>574</v>
      </c>
      <c r="C589" s="181" t="n">
        <v>4707.61</v>
      </c>
      <c r="D589" s="181" t="n">
        <v>4684.4973</v>
      </c>
      <c r="E589" s="181" t="n">
        <v>23.1127</v>
      </c>
      <c r="F589" s="181" t="n">
        <v>534.1987</v>
      </c>
      <c r="G589" s="181" t="n">
        <v>0.291137</v>
      </c>
      <c r="H589" s="181" t="n">
        <v>0.192958</v>
      </c>
      <c r="I589" s="181" t="inlineStr"/>
    </row>
    <row r="590" ht="15" customHeight="1" s="28">
      <c r="A590" s="182" t="n">
        <v>576</v>
      </c>
      <c r="B590" s="182" t="n">
        <v>575</v>
      </c>
      <c r="C590" s="182" t="n">
        <v>4708.24</v>
      </c>
      <c r="D590" s="182" t="n">
        <v>4684.2434</v>
      </c>
      <c r="E590" s="182" t="n">
        <v>23.9966</v>
      </c>
      <c r="F590" s="182" t="n">
        <v>575.8385</v>
      </c>
      <c r="G590" s="182" t="n">
        <v>0.325832</v>
      </c>
      <c r="H590" s="182" t="n">
        <v>0.224212</v>
      </c>
      <c r="I590" s="182" t="inlineStr"/>
    </row>
    <row r="591" ht="15" customHeight="1" s="28">
      <c r="A591" s="181" t="n">
        <v>577</v>
      </c>
      <c r="B591" s="181" t="n">
        <v>576</v>
      </c>
      <c r="C591" s="181" t="n">
        <v>4685.5</v>
      </c>
      <c r="D591" s="181" t="n">
        <v>4683.9895</v>
      </c>
      <c r="E591" s="181" t="n">
        <v>1.5105</v>
      </c>
      <c r="F591" s="181" t="n">
        <v>2.2817</v>
      </c>
      <c r="G591" s="181" t="n">
        <v>8.1e-05</v>
      </c>
      <c r="H591" s="181" t="n">
        <v>4e-06</v>
      </c>
      <c r="I591" s="181" t="inlineStr"/>
    </row>
    <row r="592" ht="15" customHeight="1" s="28">
      <c r="A592" s="182" t="n">
        <v>578</v>
      </c>
      <c r="B592" s="182" t="n">
        <v>577</v>
      </c>
      <c r="C592" s="182" t="n">
        <v>4686.88</v>
      </c>
      <c r="D592" s="182" t="n">
        <v>4683.7356</v>
      </c>
      <c r="E592" s="182" t="n">
        <v>3.1444</v>
      </c>
      <c r="F592" s="182" t="n">
        <v>9.8874</v>
      </c>
      <c r="G592" s="182" t="n">
        <v>0.000733</v>
      </c>
      <c r="H592" s="182" t="n">
        <v>6.600000000000001e-05</v>
      </c>
      <c r="I592" s="182" t="inlineStr"/>
    </row>
    <row r="593" ht="15" customHeight="1" s="28">
      <c r="A593" s="181" t="n">
        <v>579</v>
      </c>
      <c r="B593" s="181" t="n">
        <v>578</v>
      </c>
      <c r="C593" s="181" t="n">
        <v>4684.48</v>
      </c>
      <c r="D593" s="181" t="n">
        <v>4683.4817</v>
      </c>
      <c r="E593" s="181" t="n">
        <v>0.9983</v>
      </c>
      <c r="F593" s="181" t="n">
        <v>0.9966</v>
      </c>
      <c r="G593" s="181" t="n">
        <v>2.3e-05</v>
      </c>
      <c r="H593" s="181" t="n">
        <v>1e-06</v>
      </c>
      <c r="I593" s="181" t="inlineStr"/>
    </row>
    <row r="594" ht="15" customHeight="1" s="28">
      <c r="A594" s="182" t="n">
        <v>580</v>
      </c>
      <c r="B594" s="182" t="n">
        <v>579</v>
      </c>
      <c r="C594" s="182" t="n">
        <v>4684.52</v>
      </c>
      <c r="D594" s="182" t="n">
        <v>4683.2278</v>
      </c>
      <c r="E594" s="182" t="n">
        <v>1.2922</v>
      </c>
      <c r="F594" s="182" t="n">
        <v>1.6698</v>
      </c>
      <c r="G594" s="182" t="n">
        <v>5.1e-05</v>
      </c>
      <c r="H594" s="182" t="n">
        <v>2e-06</v>
      </c>
      <c r="I594" s="182" t="inlineStr"/>
    </row>
    <row r="595" ht="15" customHeight="1" s="28">
      <c r="A595" s="181" t="n">
        <v>581</v>
      </c>
      <c r="B595" s="181" t="n">
        <v>580</v>
      </c>
      <c r="C595" s="181" t="n">
        <v>4683.71</v>
      </c>
      <c r="D595" s="181" t="n">
        <v>4682.9739</v>
      </c>
      <c r="E595" s="181" t="n">
        <v>0.7361</v>
      </c>
      <c r="F595" s="181" t="n">
        <v>0.5419</v>
      </c>
      <c r="G595" s="181" t="n">
        <v>9e-06</v>
      </c>
      <c r="H595" s="181" t="n">
        <v>0</v>
      </c>
      <c r="I595" s="181" t="inlineStr"/>
    </row>
    <row r="596" ht="15" customHeight="1" s="28">
      <c r="A596" s="182" t="n">
        <v>582</v>
      </c>
      <c r="B596" s="182" t="n">
        <v>581</v>
      </c>
      <c r="C596" s="182" t="n">
        <v>4677.41</v>
      </c>
      <c r="D596" s="182" t="n">
        <v>4682.72</v>
      </c>
      <c r="E596" s="182" t="n">
        <v>-5.31</v>
      </c>
      <c r="F596" s="182" t="n">
        <v>28.196</v>
      </c>
      <c r="G596" s="182" t="n">
        <v>-0.00353</v>
      </c>
      <c r="H596" s="182" t="n">
        <v>0.000538</v>
      </c>
      <c r="I596" s="182" t="inlineStr"/>
    </row>
    <row r="597" ht="15" customHeight="1" s="28">
      <c r="A597" s="181" t="n">
        <v>583</v>
      </c>
      <c r="B597" s="181" t="n">
        <v>582</v>
      </c>
      <c r="C597" s="181" t="n">
        <v>4676.93</v>
      </c>
      <c r="D597" s="181" t="n">
        <v>4682.4661</v>
      </c>
      <c r="E597" s="181" t="n">
        <v>-5.5361</v>
      </c>
      <c r="F597" s="181" t="n">
        <v>30.6484</v>
      </c>
      <c r="G597" s="181" t="n">
        <v>-0.004001</v>
      </c>
      <c r="H597" s="181" t="n">
        <v>0.000635</v>
      </c>
      <c r="I597" s="181" t="inlineStr"/>
    </row>
    <row r="598" ht="15" customHeight="1" s="28">
      <c r="A598" s="182" t="n">
        <v>584</v>
      </c>
      <c r="B598" s="182" t="n">
        <v>583</v>
      </c>
      <c r="C598" s="182" t="n">
        <v>4680.04</v>
      </c>
      <c r="D598" s="182" t="n">
        <v>4682.2122</v>
      </c>
      <c r="E598" s="182" t="n">
        <v>-2.1722</v>
      </c>
      <c r="F598" s="182" t="n">
        <v>4.7185</v>
      </c>
      <c r="G598" s="182" t="n">
        <v>-0.000242</v>
      </c>
      <c r="H598" s="182" t="n">
        <v>1.5e-05</v>
      </c>
      <c r="I598" s="182" t="inlineStr"/>
    </row>
    <row r="599" ht="15" customHeight="1" s="28">
      <c r="A599" s="181" t="n">
        <v>585</v>
      </c>
      <c r="B599" s="181" t="n">
        <v>584</v>
      </c>
      <c r="C599" s="181" t="n">
        <v>4679.86</v>
      </c>
      <c r="D599" s="181" t="n">
        <v>4681.9583</v>
      </c>
      <c r="E599" s="181" t="n">
        <v>-2.0983</v>
      </c>
      <c r="F599" s="181" t="n">
        <v>4.4029</v>
      </c>
      <c r="G599" s="181" t="n">
        <v>-0.000218</v>
      </c>
      <c r="H599" s="181" t="n">
        <v>1.3e-05</v>
      </c>
      <c r="I599" s="181" t="inlineStr"/>
    </row>
    <row r="600" ht="15" customHeight="1" s="28">
      <c r="A600" s="182" t="n">
        <v>586</v>
      </c>
      <c r="B600" s="182" t="n">
        <v>585</v>
      </c>
      <c r="C600" s="182" t="n">
        <v>4680.65</v>
      </c>
      <c r="D600" s="182" t="n">
        <v>4681.7044</v>
      </c>
      <c r="E600" s="182" t="n">
        <v>-1.0544</v>
      </c>
      <c r="F600" s="182" t="n">
        <v>1.1118</v>
      </c>
      <c r="G600" s="182" t="n">
        <v>-2.8e-05</v>
      </c>
      <c r="H600" s="182" t="n">
        <v>1e-06</v>
      </c>
      <c r="I600" s="182" t="inlineStr"/>
    </row>
    <row r="601" ht="15" customHeight="1" s="28">
      <c r="A601" s="181" t="n">
        <v>587</v>
      </c>
      <c r="B601" s="181" t="n">
        <v>586</v>
      </c>
      <c r="C601" s="181" t="n">
        <v>4680.47</v>
      </c>
      <c r="D601" s="181" t="n">
        <v>4681.4505</v>
      </c>
      <c r="E601" s="181" t="n">
        <v>-0.9805</v>
      </c>
      <c r="F601" s="181" t="n">
        <v>0.9614</v>
      </c>
      <c r="G601" s="181" t="n">
        <v>-2.2e-05</v>
      </c>
      <c r="H601" s="181" t="n">
        <v>1e-06</v>
      </c>
      <c r="I601" s="181" t="inlineStr"/>
    </row>
    <row r="602" ht="15" customHeight="1" s="28">
      <c r="A602" s="182" t="n">
        <v>588</v>
      </c>
      <c r="B602" s="182" t="n">
        <v>587</v>
      </c>
      <c r="C602" s="182" t="n">
        <v>4697.98</v>
      </c>
      <c r="D602" s="182" t="n">
        <v>4681.1966</v>
      </c>
      <c r="E602" s="182" t="n">
        <v>16.7834</v>
      </c>
      <c r="F602" s="182" t="n">
        <v>281.6819</v>
      </c>
      <c r="G602" s="182" t="n">
        <v>0.111476</v>
      </c>
      <c r="H602" s="182" t="n">
        <v>0.053651</v>
      </c>
      <c r="I602" s="182" t="inlineStr"/>
    </row>
    <row r="603" ht="15" customHeight="1" s="28">
      <c r="A603" s="181" t="n">
        <v>589</v>
      </c>
      <c r="B603" s="181" t="n">
        <v>588</v>
      </c>
      <c r="C603" s="181" t="n">
        <v>4692.94</v>
      </c>
      <c r="D603" s="181" t="n">
        <v>4680.9427</v>
      </c>
      <c r="E603" s="181" t="n">
        <v>11.9973</v>
      </c>
      <c r="F603" s="181" t="n">
        <v>143.9346</v>
      </c>
      <c r="G603" s="181" t="n">
        <v>0.040718</v>
      </c>
      <c r="H603" s="181" t="n">
        <v>0.014008</v>
      </c>
      <c r="I603" s="181" t="inlineStr"/>
    </row>
    <row r="604" ht="15" customHeight="1" s="28">
      <c r="A604" s="182" t="n">
        <v>590</v>
      </c>
      <c r="B604" s="182" t="n">
        <v>589</v>
      </c>
      <c r="C604" s="182" t="n">
        <v>4697.97</v>
      </c>
      <c r="D604" s="182" t="n">
        <v>4680.6888</v>
      </c>
      <c r="E604" s="182" t="n">
        <v>17.2812</v>
      </c>
      <c r="F604" s="182" t="n">
        <v>298.6389</v>
      </c>
      <c r="G604" s="182" t="n">
        <v>0.121692</v>
      </c>
      <c r="H604" s="182" t="n">
        <v>0.060305</v>
      </c>
      <c r="I604" s="182" t="inlineStr"/>
    </row>
    <row r="605" ht="15" customHeight="1" s="28">
      <c r="A605" s="181" t="n">
        <v>591</v>
      </c>
      <c r="B605" s="181" t="n">
        <v>590</v>
      </c>
      <c r="C605" s="181" t="n">
        <v>4697.87</v>
      </c>
      <c r="D605" s="181" t="n">
        <v>4680.4349</v>
      </c>
      <c r="E605" s="181" t="n">
        <v>17.4351</v>
      </c>
      <c r="F605" s="181" t="n">
        <v>303.9816</v>
      </c>
      <c r="G605" s="181" t="n">
        <v>0.124972</v>
      </c>
      <c r="H605" s="181" t="n">
        <v>0.062482</v>
      </c>
      <c r="I605" s="181" t="inlineStr"/>
    </row>
    <row r="606" ht="15" customHeight="1" s="28">
      <c r="A606" s="182" t="n">
        <v>592</v>
      </c>
      <c r="B606" s="182" t="n">
        <v>591</v>
      </c>
      <c r="C606" s="182" t="n">
        <v>4702.74</v>
      </c>
      <c r="D606" s="182" t="n">
        <v>4680.181</v>
      </c>
      <c r="E606" s="182" t="n">
        <v>22.559</v>
      </c>
      <c r="F606" s="182" t="n">
        <v>508.9068</v>
      </c>
      <c r="G606" s="182" t="n">
        <v>0.270708</v>
      </c>
      <c r="H606" s="182" t="n">
        <v>0.175119</v>
      </c>
      <c r="I606" s="182" t="inlineStr"/>
    </row>
    <row r="607" ht="15" customHeight="1" s="28">
      <c r="A607" s="181" t="n">
        <v>593</v>
      </c>
      <c r="B607" s="181" t="n">
        <v>592</v>
      </c>
      <c r="C607" s="181" t="n">
        <v>4699.73</v>
      </c>
      <c r="D607" s="181" t="n">
        <v>4679.9271</v>
      </c>
      <c r="E607" s="181" t="n">
        <v>19.8029</v>
      </c>
      <c r="F607" s="181" t="n">
        <v>392.1532</v>
      </c>
      <c r="G607" s="181" t="n">
        <v>0.183116</v>
      </c>
      <c r="H607" s="181" t="n">
        <v>0.103985</v>
      </c>
      <c r="I607" s="181" t="inlineStr"/>
    </row>
    <row r="608" ht="15" customHeight="1" s="28">
      <c r="A608" s="182" t="n">
        <v>594</v>
      </c>
      <c r="B608" s="182" t="n">
        <v>593</v>
      </c>
      <c r="C608" s="182" t="n">
        <v>4705.71</v>
      </c>
      <c r="D608" s="182" t="n">
        <v>4679.6732</v>
      </c>
      <c r="E608" s="182" t="n">
        <v>26.0368</v>
      </c>
      <c r="F608" s="182" t="n">
        <v>677.9126</v>
      </c>
      <c r="G608" s="182" t="n">
        <v>0.416202</v>
      </c>
      <c r="H608" s="182" t="n">
        <v>0.310746</v>
      </c>
      <c r="I608" s="182" t="inlineStr"/>
    </row>
    <row r="609" ht="15" customHeight="1" s="28">
      <c r="A609" s="181" t="n">
        <v>595</v>
      </c>
      <c r="B609" s="181" t="n">
        <v>594</v>
      </c>
      <c r="C609" s="181" t="n">
        <v>4713.51</v>
      </c>
      <c r="D609" s="181" t="n">
        <v>4679.4194</v>
      </c>
      <c r="E609" s="181" t="n">
        <v>34.0906</v>
      </c>
      <c r="F609" s="181" t="n">
        <v>1162.1724</v>
      </c>
      <c r="G609" s="181" t="n">
        <v>0.9342200000000001</v>
      </c>
      <c r="H609" s="181" t="n">
        <v>0.913269</v>
      </c>
      <c r="I609" s="181" t="inlineStr"/>
    </row>
    <row r="610" ht="15" customHeight="1" s="28">
      <c r="A610" s="182" t="n">
        <v>596</v>
      </c>
      <c r="B610" s="182" t="n">
        <v>595</v>
      </c>
      <c r="C610" s="182" t="n">
        <v>4718.18</v>
      </c>
      <c r="D610" s="182" t="n">
        <v>4679.1655</v>
      </c>
      <c r="E610" s="182" t="n">
        <v>39.0145</v>
      </c>
      <c r="F610" s="182" t="n">
        <v>1522.1347</v>
      </c>
      <c r="G610" s="182" t="n">
        <v>1.400306</v>
      </c>
      <c r="H610" s="182" t="n">
        <v>1.56662</v>
      </c>
      <c r="I610" s="182" t="inlineStr"/>
    </row>
    <row r="611" ht="15" customHeight="1" s="28">
      <c r="A611" s="181" t="n">
        <v>597</v>
      </c>
      <c r="B611" s="181" t="n">
        <v>596</v>
      </c>
      <c r="C611" s="181" t="n">
        <v>4717.72</v>
      </c>
      <c r="D611" s="181" t="n">
        <v>4678.9116</v>
      </c>
      <c r="E611" s="181" t="n">
        <v>38.8084</v>
      </c>
      <c r="F611" s="181" t="n">
        <v>1506.0951</v>
      </c>
      <c r="G611" s="181" t="n">
        <v>1.37823</v>
      </c>
      <c r="H611" s="181" t="n">
        <v>1.533777</v>
      </c>
      <c r="I611" s="181" t="inlineStr"/>
    </row>
    <row r="612" ht="15" customHeight="1" s="28">
      <c r="A612" s="182" t="n">
        <v>598</v>
      </c>
      <c r="B612" s="182" t="n">
        <v>597</v>
      </c>
      <c r="C612" s="182" t="n">
        <v>4715.68</v>
      </c>
      <c r="D612" s="182" t="n">
        <v>4678.6577</v>
      </c>
      <c r="E612" s="182" t="n">
        <v>37.0223</v>
      </c>
      <c r="F612" s="182" t="n">
        <v>1370.6534</v>
      </c>
      <c r="G612" s="182" t="n">
        <v>1.19656</v>
      </c>
      <c r="H612" s="182" t="n">
        <v>1.270319</v>
      </c>
      <c r="I612" s="182" t="inlineStr"/>
    </row>
    <row r="613" ht="15" customHeight="1" s="28">
      <c r="A613" s="181" t="n">
        <v>599</v>
      </c>
      <c r="B613" s="181" t="n">
        <v>598</v>
      </c>
      <c r="C613" s="181" t="n">
        <v>4728.4</v>
      </c>
      <c r="D613" s="181" t="n">
        <v>4678.4038</v>
      </c>
      <c r="E613" s="181" t="n">
        <v>49.9962</v>
      </c>
      <c r="F613" s="181" t="n">
        <v>2499.6232</v>
      </c>
      <c r="G613" s="181" t="n">
        <v>2.946829</v>
      </c>
      <c r="H613" s="181" t="n">
        <v>4.224805</v>
      </c>
      <c r="I613" s="181" t="inlineStr"/>
    </row>
    <row r="614" ht="15" customHeight="1" s="28">
      <c r="A614" s="182" t="n">
        <v>600</v>
      </c>
      <c r="B614" s="182" t="n">
        <v>599</v>
      </c>
      <c r="C614" s="182" t="n">
        <v>4724.1</v>
      </c>
      <c r="D614" s="182" t="n">
        <v>4678.1499</v>
      </c>
      <c r="E614" s="182" t="n">
        <v>45.9501</v>
      </c>
      <c r="F614" s="182" t="n">
        <v>2111.4142</v>
      </c>
      <c r="G614" s="182" t="n">
        <v>2.287722</v>
      </c>
      <c r="H614" s="182" t="n">
        <v>3.014425</v>
      </c>
      <c r="I614" s="182" t="inlineStr"/>
    </row>
    <row r="615" ht="15" customHeight="1" s="28">
      <c r="A615" s="181" t="n">
        <v>601</v>
      </c>
      <c r="B615" s="181" t="n">
        <v>600</v>
      </c>
      <c r="C615" s="181" t="n">
        <v>4727.47</v>
      </c>
      <c r="D615" s="181" t="n">
        <v>4677.896</v>
      </c>
      <c r="E615" s="181" t="n">
        <v>49.574</v>
      </c>
      <c r="F615" s="181" t="n">
        <v>2457.5837</v>
      </c>
      <c r="G615" s="181" t="n">
        <v>2.872802</v>
      </c>
      <c r="H615" s="181" t="n">
        <v>4.083892</v>
      </c>
      <c r="I615" s="181" t="inlineStr"/>
    </row>
    <row r="616" ht="15" customHeight="1" s="28">
      <c r="A616" s="182" t="n">
        <v>602</v>
      </c>
      <c r="B616" s="182" t="n">
        <v>601</v>
      </c>
      <c r="C616" s="182" t="n">
        <v>4726.85</v>
      </c>
      <c r="D616" s="182" t="n">
        <v>4677.6421</v>
      </c>
      <c r="E616" s="182" t="n">
        <v>49.2079</v>
      </c>
      <c r="F616" s="182" t="n">
        <v>2421.4192</v>
      </c>
      <c r="G616" s="182" t="n">
        <v>2.809624</v>
      </c>
      <c r="H616" s="182" t="n">
        <v>3.964583</v>
      </c>
      <c r="I616" s="182" t="inlineStr"/>
    </row>
    <row r="617" ht="15" customHeight="1" s="28">
      <c r="A617" s="181" t="n">
        <v>603</v>
      </c>
      <c r="B617" s="181" t="n">
        <v>602</v>
      </c>
      <c r="C617" s="181" t="n">
        <v>4726.18</v>
      </c>
      <c r="D617" s="181" t="n">
        <v>4677.3882</v>
      </c>
      <c r="E617" s="181" t="n">
        <v>48.7918</v>
      </c>
      <c r="F617" s="181" t="n">
        <v>2380.6411</v>
      </c>
      <c r="G617" s="181" t="n">
        <v>2.73895</v>
      </c>
      <c r="H617" s="181" t="n">
        <v>3.832176</v>
      </c>
      <c r="I617" s="181" t="inlineStr"/>
    </row>
    <row r="618" ht="15" customHeight="1" s="28">
      <c r="A618" s="182" t="n">
        <v>604</v>
      </c>
      <c r="B618" s="182" t="n">
        <v>603</v>
      </c>
      <c r="C618" s="182" t="n">
        <v>4724.74</v>
      </c>
      <c r="D618" s="182" t="n">
        <v>4677.1343</v>
      </c>
      <c r="E618" s="182" t="n">
        <v>47.6057</v>
      </c>
      <c r="F618" s="182" t="n">
        <v>2266.3035</v>
      </c>
      <c r="G618" s="182" t="n">
        <v>2.544019</v>
      </c>
      <c r="H618" s="182" t="n">
        <v>3.472912</v>
      </c>
      <c r="I618" s="182" t="inlineStr"/>
    </row>
    <row r="619" ht="15" customHeight="1" s="28">
      <c r="A619" s="181" t="n">
        <v>605</v>
      </c>
      <c r="B619" s="181" t="n">
        <v>604</v>
      </c>
      <c r="C619" s="181" t="n">
        <v>4718.21</v>
      </c>
      <c r="D619" s="181" t="n">
        <v>4676.8804</v>
      </c>
      <c r="E619" s="181" t="n">
        <v>41.3296</v>
      </c>
      <c r="F619" s="181" t="n">
        <v>1708.1362</v>
      </c>
      <c r="G619" s="181" t="n">
        <v>1.664665</v>
      </c>
      <c r="H619" s="181" t="n">
        <v>1.972889</v>
      </c>
      <c r="I619" s="181" t="inlineStr"/>
    </row>
    <row r="620" ht="15" customHeight="1" s="28">
      <c r="A620" s="182" t="n">
        <v>606</v>
      </c>
      <c r="B620" s="182" t="n">
        <v>605</v>
      </c>
      <c r="C620" s="182" t="n">
        <v>4718.25</v>
      </c>
      <c r="D620" s="182" t="n">
        <v>4676.6265</v>
      </c>
      <c r="E620" s="182" t="n">
        <v>41.6235</v>
      </c>
      <c r="F620" s="182" t="n">
        <v>1732.5158</v>
      </c>
      <c r="G620" s="182" t="n">
        <v>1.700431</v>
      </c>
      <c r="H620" s="182" t="n">
        <v>2.029607</v>
      </c>
      <c r="I620" s="182" t="inlineStr"/>
    </row>
    <row r="621" ht="15" customHeight="1" s="28">
      <c r="A621" s="181" t="n">
        <v>607</v>
      </c>
      <c r="B621" s="181" t="n">
        <v>606</v>
      </c>
      <c r="C621" s="181" t="n">
        <v>4711.84</v>
      </c>
      <c r="D621" s="181" t="n">
        <v>4676.3726</v>
      </c>
      <c r="E621" s="181" t="n">
        <v>35.4674</v>
      </c>
      <c r="F621" s="181" t="n">
        <v>1257.9362</v>
      </c>
      <c r="G621" s="181" t="n">
        <v>1.052037</v>
      </c>
      <c r="H621" s="181" t="n">
        <v>1.069978</v>
      </c>
      <c r="I621" s="181" t="inlineStr"/>
    </row>
    <row r="622" ht="15" customHeight="1" s="28">
      <c r="A622" s="182" t="n">
        <v>608</v>
      </c>
      <c r="B622" s="182" t="n">
        <v>607</v>
      </c>
      <c r="C622" s="182" t="n">
        <v>4710.13</v>
      </c>
      <c r="D622" s="182" t="n">
        <v>4676.1187</v>
      </c>
      <c r="E622" s="182" t="n">
        <v>34.0113</v>
      </c>
      <c r="F622" s="182" t="n">
        <v>1156.7679</v>
      </c>
      <c r="G622" s="182" t="n">
        <v>0.927711</v>
      </c>
      <c r="H622" s="182" t="n">
        <v>0.904795</v>
      </c>
      <c r="I622" s="182" t="inlineStr"/>
    </row>
    <row r="623" ht="15" customHeight="1" s="28">
      <c r="A623" s="181" t="n">
        <v>609</v>
      </c>
      <c r="B623" s="181" t="n">
        <v>608</v>
      </c>
      <c r="C623" s="181" t="n">
        <v>4714.43</v>
      </c>
      <c r="D623" s="181" t="n">
        <v>4675.8648</v>
      </c>
      <c r="E623" s="181" t="n">
        <v>38.5652</v>
      </c>
      <c r="F623" s="181" t="n">
        <v>1487.2736</v>
      </c>
      <c r="G623" s="181" t="n">
        <v>1.352476</v>
      </c>
      <c r="H623" s="181" t="n">
        <v>1.495682</v>
      </c>
      <c r="I623" s="181" t="inlineStr"/>
    </row>
    <row r="624" ht="15" customHeight="1" s="28">
      <c r="A624" s="182" t="n">
        <v>610</v>
      </c>
      <c r="B624" s="182" t="n">
        <v>609</v>
      </c>
      <c r="C624" s="182" t="n">
        <v>4714.53</v>
      </c>
      <c r="D624" s="182" t="n">
        <v>4675.6109</v>
      </c>
      <c r="E624" s="182" t="n">
        <v>38.9191</v>
      </c>
      <c r="F624" s="182" t="n">
        <v>1514.695</v>
      </c>
      <c r="G624" s="182" t="n">
        <v>1.390052</v>
      </c>
      <c r="H624" s="182" t="n">
        <v>1.551343</v>
      </c>
      <c r="I624" s="182" t="inlineStr"/>
    </row>
    <row r="625" ht="15" customHeight="1" s="28">
      <c r="A625" s="181" t="n">
        <v>611</v>
      </c>
      <c r="B625" s="181" t="n">
        <v>610</v>
      </c>
      <c r="C625" s="181" t="n">
        <v>4710.77</v>
      </c>
      <c r="D625" s="181" t="n">
        <v>4675.357</v>
      </c>
      <c r="E625" s="181" t="n">
        <v>35.413</v>
      </c>
      <c r="F625" s="181" t="n">
        <v>1254.079</v>
      </c>
      <c r="G625" s="181" t="n">
        <v>1.047202</v>
      </c>
      <c r="H625" s="181" t="n">
        <v>1.063426</v>
      </c>
      <c r="I625" s="181" t="inlineStr"/>
    </row>
    <row r="626" ht="15" customHeight="1" s="28">
      <c r="A626" s="182" t="n">
        <v>612</v>
      </c>
      <c r="B626" s="182" t="n">
        <v>611</v>
      </c>
      <c r="C626" s="182" t="n">
        <v>4712.84</v>
      </c>
      <c r="D626" s="182" t="n">
        <v>4675.1031</v>
      </c>
      <c r="E626" s="182" t="n">
        <v>37.7369</v>
      </c>
      <c r="F626" s="182" t="n">
        <v>1424.0716</v>
      </c>
      <c r="G626" s="182" t="n">
        <v>1.267188</v>
      </c>
      <c r="H626" s="182" t="n">
        <v>1.371264</v>
      </c>
      <c r="I626" s="182" t="inlineStr"/>
    </row>
    <row r="627" ht="15" customHeight="1" s="28">
      <c r="A627" s="181" t="n">
        <v>613</v>
      </c>
      <c r="B627" s="181" t="n">
        <v>612</v>
      </c>
      <c r="C627" s="181" t="n">
        <v>4717.2</v>
      </c>
      <c r="D627" s="181" t="n">
        <v>4674.8492</v>
      </c>
      <c r="E627" s="181" t="n">
        <v>42.3508</v>
      </c>
      <c r="F627" s="181" t="n">
        <v>1793.5876</v>
      </c>
      <c r="G627" s="181" t="n">
        <v>1.79113</v>
      </c>
      <c r="H627" s="181" t="n">
        <v>2.175218</v>
      </c>
      <c r="I627" s="181" t="inlineStr"/>
    </row>
    <row r="628" ht="15" customHeight="1" s="28">
      <c r="A628" s="182" t="n">
        <v>614</v>
      </c>
      <c r="B628" s="182" t="n">
        <v>613</v>
      </c>
      <c r="C628" s="182" t="n">
        <v>4716.12</v>
      </c>
      <c r="D628" s="182" t="n">
        <v>4674.5953</v>
      </c>
      <c r="E628" s="182" t="n">
        <v>41.5247</v>
      </c>
      <c r="F628" s="182" t="n">
        <v>1724.2977</v>
      </c>
      <c r="G628" s="182" t="n">
        <v>1.688346</v>
      </c>
      <c r="H628" s="182" t="n">
        <v>2.010398</v>
      </c>
      <c r="I628" s="182" t="inlineStr"/>
    </row>
    <row r="629" ht="15" customHeight="1" s="28">
      <c r="A629" s="181" t="n">
        <v>615</v>
      </c>
      <c r="B629" s="181" t="n">
        <v>614</v>
      </c>
      <c r="C629" s="181" t="n">
        <v>4714.85</v>
      </c>
      <c r="D629" s="181" t="n">
        <v>4674.3414</v>
      </c>
      <c r="E629" s="181" t="n">
        <v>40.5086</v>
      </c>
      <c r="F629" s="181" t="n">
        <v>1640.9434</v>
      </c>
      <c r="G629" s="181" t="n">
        <v>1.567413</v>
      </c>
      <c r="H629" s="181" t="n">
        <v>1.820727</v>
      </c>
      <c r="I629" s="181" t="inlineStr"/>
    </row>
    <row r="630" ht="15" customHeight="1" s="28">
      <c r="A630" s="182" t="n">
        <v>616</v>
      </c>
      <c r="B630" s="182" t="n">
        <v>615</v>
      </c>
      <c r="C630" s="182" t="n">
        <v>4713.36</v>
      </c>
      <c r="D630" s="182" t="n">
        <v>4674.0875</v>
      </c>
      <c r="E630" s="182" t="n">
        <v>39.2725</v>
      </c>
      <c r="F630" s="182" t="n">
        <v>1542.3257</v>
      </c>
      <c r="G630" s="182" t="n">
        <v>1.42826</v>
      </c>
      <c r="H630" s="182" t="n">
        <v>1.608458</v>
      </c>
      <c r="I630" s="182" t="inlineStr"/>
    </row>
    <row r="631" ht="15" customHeight="1" s="28">
      <c r="A631" s="181" t="n">
        <v>617</v>
      </c>
      <c r="B631" s="181" t="n">
        <v>616</v>
      </c>
      <c r="C631" s="181" t="n">
        <v>4710.86</v>
      </c>
      <c r="D631" s="181" t="n">
        <v>4673.8336</v>
      </c>
      <c r="E631" s="181" t="n">
        <v>37.0264</v>
      </c>
      <c r="F631" s="181" t="n">
        <v>1370.9506</v>
      </c>
      <c r="G631" s="181" t="n">
        <v>1.19695</v>
      </c>
      <c r="H631" s="181" t="n">
        <v>1.27087</v>
      </c>
      <c r="I631" s="181" t="inlineStr"/>
    </row>
    <row r="632" ht="15" customHeight="1" s="28">
      <c r="A632" s="182" t="n">
        <v>618</v>
      </c>
      <c r="B632" s="182" t="n">
        <v>617</v>
      </c>
      <c r="C632" s="182" t="n">
        <v>4710.86</v>
      </c>
      <c r="D632" s="182" t="n">
        <v>4673.5798</v>
      </c>
      <c r="E632" s="182" t="n">
        <v>37.2802</v>
      </c>
      <c r="F632" s="182" t="n">
        <v>1389.8168</v>
      </c>
      <c r="G632" s="182" t="n">
        <v>1.221742</v>
      </c>
      <c r="H632" s="182" t="n">
        <v>1.306089</v>
      </c>
      <c r="I632" s="182" t="inlineStr"/>
    </row>
    <row r="633" ht="15" customHeight="1" s="28">
      <c r="A633" s="181" t="n">
        <v>619</v>
      </c>
      <c r="B633" s="181" t="n">
        <v>618</v>
      </c>
      <c r="C633" s="181" t="n">
        <v>4711.89</v>
      </c>
      <c r="D633" s="181" t="n">
        <v>4673.3259</v>
      </c>
      <c r="E633" s="181" t="n">
        <v>38.5641</v>
      </c>
      <c r="F633" s="181" t="n">
        <v>1487.193</v>
      </c>
      <c r="G633" s="181" t="n">
        <v>1.352366</v>
      </c>
      <c r="H633" s="181" t="n">
        <v>1.49552</v>
      </c>
      <c r="I633" s="181" t="inlineStr"/>
    </row>
    <row r="634" ht="15" customHeight="1" s="28">
      <c r="A634" s="182" t="n">
        <v>620</v>
      </c>
      <c r="B634" s="182" t="n">
        <v>619</v>
      </c>
      <c r="C634" s="182" t="n">
        <v>4706.71</v>
      </c>
      <c r="D634" s="182" t="n">
        <v>4673.072</v>
      </c>
      <c r="E634" s="182" t="n">
        <v>33.638</v>
      </c>
      <c r="F634" s="182" t="n">
        <v>1131.5175</v>
      </c>
      <c r="G634" s="182" t="n">
        <v>0.897501</v>
      </c>
      <c r="H634" s="182" t="n">
        <v>0.865725</v>
      </c>
      <c r="I634" s="182" t="inlineStr"/>
    </row>
    <row r="635" ht="15" customHeight="1" s="28">
      <c r="A635" s="181" t="n">
        <v>621</v>
      </c>
      <c r="B635" s="181" t="n">
        <v>620</v>
      </c>
      <c r="C635" s="181" t="n">
        <v>4705.12</v>
      </c>
      <c r="D635" s="181" t="n">
        <v>4672.8181</v>
      </c>
      <c r="E635" s="181" t="n">
        <v>32.3019</v>
      </c>
      <c r="F635" s="181" t="n">
        <v>1043.4149</v>
      </c>
      <c r="G635" s="181" t="n">
        <v>0.794747</v>
      </c>
      <c r="H635" s="181" t="n">
        <v>0.736159</v>
      </c>
      <c r="I635" s="181" t="inlineStr"/>
    </row>
    <row r="636" ht="15" customHeight="1" s="28">
      <c r="A636" s="182" t="n">
        <v>622</v>
      </c>
      <c r="B636" s="182" t="n">
        <v>621</v>
      </c>
      <c r="C636" s="182" t="n">
        <v>4702.32</v>
      </c>
      <c r="D636" s="182" t="n">
        <v>4672.5642</v>
      </c>
      <c r="E636" s="182" t="n">
        <v>29.7558</v>
      </c>
      <c r="F636" s="182" t="n">
        <v>885.4093</v>
      </c>
      <c r="G636" s="182" t="n">
        <v>0.62124</v>
      </c>
      <c r="H636" s="182" t="n">
        <v>0.530085</v>
      </c>
      <c r="I636" s="182" t="inlineStr"/>
    </row>
    <row r="637" ht="15" customHeight="1" s="28">
      <c r="A637" s="181" t="n">
        <v>623</v>
      </c>
      <c r="B637" s="181" t="n">
        <v>622</v>
      </c>
      <c r="C637" s="181" t="n">
        <v>4704.64</v>
      </c>
      <c r="D637" s="181" t="n">
        <v>4672.3103</v>
      </c>
      <c r="E637" s="181" t="n">
        <v>32.3297</v>
      </c>
      <c r="F637" s="181" t="n">
        <v>1045.211</v>
      </c>
      <c r="G637" s="181" t="n">
        <v>0.7968</v>
      </c>
      <c r="H637" s="181" t="n">
        <v>0.738696</v>
      </c>
      <c r="I637" s="181" t="inlineStr"/>
    </row>
    <row r="638" ht="15" customHeight="1" s="28">
      <c r="A638" s="182" t="n">
        <v>624</v>
      </c>
      <c r="B638" s="182" t="n">
        <v>623</v>
      </c>
      <c r="C638" s="182" t="n">
        <v>4703.64</v>
      </c>
      <c r="D638" s="182" t="n">
        <v>4672.0564</v>
      </c>
      <c r="E638" s="182" t="n">
        <v>31.5836</v>
      </c>
      <c r="F638" s="182" t="n">
        <v>997.525</v>
      </c>
      <c r="G638" s="182" t="n">
        <v>0.742897</v>
      </c>
      <c r="H638" s="182" t="n">
        <v>0.67283</v>
      </c>
      <c r="I638" s="182" t="inlineStr"/>
    </row>
    <row r="639" ht="15" customHeight="1" s="28">
      <c r="A639" s="181" t="n">
        <v>625</v>
      </c>
      <c r="B639" s="181" t="n">
        <v>624</v>
      </c>
      <c r="C639" s="181" t="n">
        <v>4701.91</v>
      </c>
      <c r="D639" s="181" t="n">
        <v>4671.8025</v>
      </c>
      <c r="E639" s="181" t="n">
        <v>30.1075</v>
      </c>
      <c r="F639" s="181" t="n">
        <v>906.4624</v>
      </c>
      <c r="G639" s="181" t="n">
        <v>0.643529</v>
      </c>
      <c r="H639" s="181" t="n">
        <v>0.555594</v>
      </c>
      <c r="I639" s="181" t="inlineStr"/>
    </row>
    <row r="640" ht="15" customHeight="1" s="28">
      <c r="A640" s="182" t="n">
        <v>626</v>
      </c>
      <c r="B640" s="182" t="n">
        <v>625</v>
      </c>
      <c r="C640" s="182" t="n">
        <v>4705.08</v>
      </c>
      <c r="D640" s="182" t="n">
        <v>4671.5486</v>
      </c>
      <c r="E640" s="182" t="n">
        <v>33.5314</v>
      </c>
      <c r="F640" s="182" t="n">
        <v>1124.3555</v>
      </c>
      <c r="G640" s="182" t="n">
        <v>0.888994</v>
      </c>
      <c r="H640" s="182" t="n">
        <v>0.854801</v>
      </c>
      <c r="I640" s="182" t="inlineStr"/>
    </row>
    <row r="641" ht="15" customHeight="1" s="28">
      <c r="A641" s="181" t="n">
        <v>627</v>
      </c>
      <c r="B641" s="181" t="n">
        <v>626</v>
      </c>
      <c r="C641" s="181" t="n">
        <v>4709.07</v>
      </c>
      <c r="D641" s="181" t="n">
        <v>4671.2947</v>
      </c>
      <c r="E641" s="181" t="n">
        <v>37.7753</v>
      </c>
      <c r="F641" s="181" t="n">
        <v>1426.9737</v>
      </c>
      <c r="G641" s="181" t="n">
        <v>1.271063</v>
      </c>
      <c r="H641" s="181" t="n">
        <v>1.376859</v>
      </c>
      <c r="I641" s="181" t="inlineStr"/>
    </row>
    <row r="642" ht="15" customHeight="1" s="28">
      <c r="A642" s="182" t="n">
        <v>628</v>
      </c>
      <c r="B642" s="182" t="n">
        <v>627</v>
      </c>
      <c r="C642" s="182" t="n">
        <v>4708.79</v>
      </c>
      <c r="D642" s="182" t="n">
        <v>4671.0408</v>
      </c>
      <c r="E642" s="182" t="n">
        <v>37.7492</v>
      </c>
      <c r="F642" s="182" t="n">
        <v>1425.0022</v>
      </c>
      <c r="G642" s="182" t="n">
        <v>1.26843</v>
      </c>
      <c r="H642" s="182" t="n">
        <v>1.373057</v>
      </c>
      <c r="I642" s="182" t="inlineStr"/>
    </row>
    <row r="643" ht="15" customHeight="1" s="28">
      <c r="A643" s="181" t="n">
        <v>629</v>
      </c>
      <c r="B643" s="181" t="n">
        <v>628</v>
      </c>
      <c r="C643" s="181" t="n">
        <v>4704.04</v>
      </c>
      <c r="D643" s="181" t="n">
        <v>4670.7869</v>
      </c>
      <c r="E643" s="181" t="n">
        <v>33.2531</v>
      </c>
      <c r="F643" s="181" t="n">
        <v>1105.7684</v>
      </c>
      <c r="G643" s="181" t="n">
        <v>0.867041</v>
      </c>
      <c r="H643" s="181" t="n">
        <v>0.826772</v>
      </c>
      <c r="I643" s="181" t="inlineStr"/>
    </row>
    <row r="644" ht="15" customHeight="1" s="28">
      <c r="A644" s="182" t="n">
        <v>630</v>
      </c>
      <c r="B644" s="182" t="n">
        <v>629</v>
      </c>
      <c r="C644" s="182" t="n">
        <v>4705.21</v>
      </c>
      <c r="D644" s="182" t="n">
        <v>4670.533</v>
      </c>
      <c r="E644" s="182" t="n">
        <v>34.677</v>
      </c>
      <c r="F644" s="182" t="n">
        <v>1202.4938</v>
      </c>
      <c r="G644" s="182" t="n">
        <v>0.983258</v>
      </c>
      <c r="H644" s="182" t="n">
        <v>0.9777400000000001</v>
      </c>
      <c r="I644" s="182" t="inlineStr"/>
    </row>
    <row r="645" ht="15" customHeight="1" s="28">
      <c r="A645" s="181" t="n">
        <v>631</v>
      </c>
      <c r="B645" s="181" t="n">
        <v>630</v>
      </c>
      <c r="C645" s="181" t="n">
        <v>4702.72</v>
      </c>
      <c r="D645" s="181" t="n">
        <v>4670.2791</v>
      </c>
      <c r="E645" s="181" t="n">
        <v>32.4409</v>
      </c>
      <c r="F645" s="181" t="n">
        <v>1052.4112</v>
      </c>
      <c r="G645" s="181" t="n">
        <v>0.805047</v>
      </c>
      <c r="H645" s="181" t="n">
        <v>0.748908</v>
      </c>
      <c r="I645" s="181" t="inlineStr"/>
    </row>
    <row r="646" ht="15" customHeight="1" s="28">
      <c r="A646" s="182" t="n">
        <v>632</v>
      </c>
      <c r="B646" s="182" t="n">
        <v>631</v>
      </c>
      <c r="C646" s="182" t="n">
        <v>4704.89</v>
      </c>
      <c r="D646" s="182" t="n">
        <v>4670.0252</v>
      </c>
      <c r="E646" s="182" t="n">
        <v>34.8648</v>
      </c>
      <c r="F646" s="182" t="n">
        <v>1215.5531</v>
      </c>
      <c r="G646" s="182" t="n">
        <v>0.999319</v>
      </c>
      <c r="H646" s="182" t="n">
        <v>0.999092</v>
      </c>
      <c r="I646" s="182" t="inlineStr"/>
    </row>
    <row r="647" ht="15" customHeight="1" s="28">
      <c r="A647" s="181" t="n">
        <v>633</v>
      </c>
      <c r="B647" s="181" t="n">
        <v>632</v>
      </c>
      <c r="C647" s="181" t="n">
        <v>4708.83</v>
      </c>
      <c r="D647" s="181" t="n">
        <v>4669.7713</v>
      </c>
      <c r="E647" s="181" t="n">
        <v>39.0587</v>
      </c>
      <c r="F647" s="181" t="n">
        <v>1525.5804</v>
      </c>
      <c r="G647" s="181" t="n">
        <v>1.405063</v>
      </c>
      <c r="H647" s="181" t="n">
        <v>1.573721</v>
      </c>
      <c r="I647" s="181" t="inlineStr"/>
    </row>
    <row r="648" ht="15" customHeight="1" s="28">
      <c r="A648" s="182" t="n">
        <v>634</v>
      </c>
      <c r="B648" s="182" t="n">
        <v>633</v>
      </c>
      <c r="C648" s="182" t="n">
        <v>4707.09</v>
      </c>
      <c r="D648" s="182" t="n">
        <v>4669.5174</v>
      </c>
      <c r="E648" s="182" t="n">
        <v>37.5726</v>
      </c>
      <c r="F648" s="182" t="n">
        <v>1411.6983</v>
      </c>
      <c r="G648" s="182" t="n">
        <v>1.250708</v>
      </c>
      <c r="H648" s="182" t="n">
        <v>1.347539</v>
      </c>
      <c r="I648" s="182" t="inlineStr"/>
    </row>
    <row r="649" ht="15" customHeight="1" s="28">
      <c r="A649" s="181" t="n">
        <v>635</v>
      </c>
      <c r="B649" s="181" t="n">
        <v>634</v>
      </c>
      <c r="C649" s="181" t="n">
        <v>4698.81</v>
      </c>
      <c r="D649" s="181" t="n">
        <v>4669.2635</v>
      </c>
      <c r="E649" s="181" t="n">
        <v>29.5465</v>
      </c>
      <c r="F649" s="181" t="n">
        <v>872.9939000000001</v>
      </c>
      <c r="G649" s="181" t="n">
        <v>0.608219</v>
      </c>
      <c r="H649" s="181" t="n">
        <v>0.515324</v>
      </c>
      <c r="I649" s="181" t="inlineStr"/>
    </row>
    <row r="650" ht="15" customHeight="1" s="28">
      <c r="A650" s="182" t="n">
        <v>636</v>
      </c>
      <c r="B650" s="182" t="n">
        <v>635</v>
      </c>
      <c r="C650" s="182" t="n">
        <v>4699.24</v>
      </c>
      <c r="D650" s="182" t="n">
        <v>4669.0096</v>
      </c>
      <c r="E650" s="182" t="n">
        <v>30.2304</v>
      </c>
      <c r="F650" s="182" t="n">
        <v>913.875</v>
      </c>
      <c r="G650" s="182" t="n">
        <v>0.651438</v>
      </c>
      <c r="H650" s="182" t="n">
        <v>0.564717</v>
      </c>
      <c r="I650" s="182" t="inlineStr"/>
    </row>
    <row r="651" ht="15" customHeight="1" s="28">
      <c r="A651" s="181" t="n">
        <v>637</v>
      </c>
      <c r="B651" s="181" t="n">
        <v>636</v>
      </c>
      <c r="C651" s="181" t="n">
        <v>4695.99</v>
      </c>
      <c r="D651" s="181" t="n">
        <v>4668.7557</v>
      </c>
      <c r="E651" s="181" t="n">
        <v>27.2343</v>
      </c>
      <c r="F651" s="181" t="n">
        <v>741.7049</v>
      </c>
      <c r="G651" s="181" t="n">
        <v>0.47631</v>
      </c>
      <c r="H651" s="181" t="n">
        <v>0.37198</v>
      </c>
      <c r="I651" s="181" t="inlineStr"/>
    </row>
    <row r="652" ht="15" customHeight="1" s="28">
      <c r="A652" s="182" t="n">
        <v>638</v>
      </c>
      <c r="B652" s="182" t="n">
        <v>637</v>
      </c>
      <c r="C652" s="182" t="n">
        <v>4699.95</v>
      </c>
      <c r="D652" s="182" t="n">
        <v>4668.5018</v>
      </c>
      <c r="E652" s="182" t="n">
        <v>31.4482</v>
      </c>
      <c r="F652" s="182" t="n">
        <v>988.9865</v>
      </c>
      <c r="G652" s="182" t="n">
        <v>0.733379</v>
      </c>
      <c r="H652" s="182" t="n">
        <v>0.661361</v>
      </c>
      <c r="I652" s="182" t="inlineStr"/>
    </row>
    <row r="653" ht="15" customHeight="1" s="28">
      <c r="A653" s="181" t="n">
        <v>639</v>
      </c>
      <c r="B653" s="181" t="n">
        <v>638</v>
      </c>
      <c r="C653" s="181" t="n">
        <v>4693.29</v>
      </c>
      <c r="D653" s="181" t="n">
        <v>4668.2479</v>
      </c>
      <c r="E653" s="181" t="n">
        <v>25.0421</v>
      </c>
      <c r="F653" s="181" t="n">
        <v>627.1043</v>
      </c>
      <c r="G653" s="181" t="n">
        <v>0.370299</v>
      </c>
      <c r="H653" s="181" t="n">
        <v>0.265912</v>
      </c>
      <c r="I653" s="181" t="inlineStr"/>
    </row>
    <row r="654" ht="15" customHeight="1" s="28">
      <c r="A654" s="182" t="n">
        <v>640</v>
      </c>
      <c r="B654" s="182" t="n">
        <v>639</v>
      </c>
      <c r="C654" s="182" t="n">
        <v>4696.1</v>
      </c>
      <c r="D654" s="182" t="n">
        <v>4667.9941</v>
      </c>
      <c r="E654" s="182" t="n">
        <v>28.1059</v>
      </c>
      <c r="F654" s="182" t="n">
        <v>789.9443</v>
      </c>
      <c r="G654" s="182" t="n">
        <v>0.523526</v>
      </c>
      <c r="H654" s="182" t="n">
        <v>0.42194</v>
      </c>
      <c r="I654" s="182" t="inlineStr"/>
    </row>
    <row r="655" ht="15" customHeight="1" s="28">
      <c r="A655" s="181" t="n">
        <v>641</v>
      </c>
      <c r="B655" s="181" t="n">
        <v>640</v>
      </c>
      <c r="C655" s="181" t="n">
        <v>4692.58</v>
      </c>
      <c r="D655" s="181" t="n">
        <v>4667.7402</v>
      </c>
      <c r="E655" s="181" t="n">
        <v>24.8398</v>
      </c>
      <c r="F655" s="181" t="n">
        <v>617.0178</v>
      </c>
      <c r="G655" s="181" t="n">
        <v>0.361401</v>
      </c>
      <c r="H655" s="181" t="n">
        <v>0.257426</v>
      </c>
      <c r="I655" s="181" t="inlineStr"/>
    </row>
    <row r="656" ht="15" customHeight="1" s="28">
      <c r="A656" s="182" t="n">
        <v>642</v>
      </c>
      <c r="B656" s="182" t="n">
        <v>641</v>
      </c>
      <c r="C656" s="182" t="n">
        <v>4689.03</v>
      </c>
      <c r="D656" s="182" t="n">
        <v>4667.4863</v>
      </c>
      <c r="E656" s="182" t="n">
        <v>21.5437</v>
      </c>
      <c r="F656" s="182" t="n">
        <v>464.1326</v>
      </c>
      <c r="G656" s="182" t="n">
        <v>0.23578</v>
      </c>
      <c r="H656" s="182" t="n">
        <v>0.145661</v>
      </c>
      <c r="I656" s="182" t="inlineStr"/>
    </row>
    <row r="657" ht="15" customHeight="1" s="28">
      <c r="A657" s="181" t="n">
        <v>643</v>
      </c>
      <c r="B657" s="181" t="n">
        <v>642</v>
      </c>
      <c r="C657" s="181" t="n">
        <v>4693.62</v>
      </c>
      <c r="D657" s="181" t="n">
        <v>4667.2324</v>
      </c>
      <c r="E657" s="181" t="n">
        <v>26.3876</v>
      </c>
      <c r="F657" s="181" t="n">
        <v>696.3072</v>
      </c>
      <c r="G657" s="181" t="n">
        <v>0.433256</v>
      </c>
      <c r="H657" s="181" t="n">
        <v>0.327838</v>
      </c>
      <c r="I657" s="181" t="inlineStr"/>
    </row>
    <row r="658" ht="15" customHeight="1" s="28">
      <c r="A658" s="182" t="n">
        <v>644</v>
      </c>
      <c r="B658" s="182" t="n">
        <v>643</v>
      </c>
      <c r="C658" s="182" t="n">
        <v>4678.21</v>
      </c>
      <c r="D658" s="182" t="n">
        <v>4666.9785</v>
      </c>
      <c r="E658" s="182" t="n">
        <v>11.2315</v>
      </c>
      <c r="F658" s="182" t="n">
        <v>126.1472</v>
      </c>
      <c r="G658" s="182" t="n">
        <v>0.033409</v>
      </c>
      <c r="H658" s="182" t="n">
        <v>0.01076</v>
      </c>
      <c r="I658" s="182" t="inlineStr"/>
    </row>
    <row r="659" ht="15" customHeight="1" s="28">
      <c r="A659" s="181" t="n">
        <v>645</v>
      </c>
      <c r="B659" s="181" t="n">
        <v>644</v>
      </c>
      <c r="C659" s="181" t="n">
        <v>4674.65</v>
      </c>
      <c r="D659" s="181" t="n">
        <v>4666.7246</v>
      </c>
      <c r="E659" s="181" t="n">
        <v>7.9254</v>
      </c>
      <c r="F659" s="181" t="n">
        <v>62.8124</v>
      </c>
      <c r="G659" s="181" t="n">
        <v>0.011738</v>
      </c>
      <c r="H659" s="181" t="n">
        <v>0.002668</v>
      </c>
      <c r="I659" s="181" t="inlineStr"/>
    </row>
    <row r="660" ht="15" customHeight="1" s="28">
      <c r="A660" s="182" t="n">
        <v>646</v>
      </c>
      <c r="B660" s="182" t="n">
        <v>645</v>
      </c>
      <c r="C660" s="182" t="n">
        <v>4681.21</v>
      </c>
      <c r="D660" s="182" t="n">
        <v>4666.4707</v>
      </c>
      <c r="E660" s="182" t="n">
        <v>14.7393</v>
      </c>
      <c r="F660" s="182" t="n">
        <v>217.2476</v>
      </c>
      <c r="G660" s="182" t="n">
        <v>0.075505</v>
      </c>
      <c r="H660" s="182" t="n">
        <v>0.031913</v>
      </c>
      <c r="I660" s="182" t="inlineStr"/>
    </row>
    <row r="661" ht="15" customHeight="1" s="28">
      <c r="A661" s="181" t="n">
        <v>647</v>
      </c>
      <c r="B661" s="181" t="n">
        <v>646</v>
      </c>
      <c r="C661" s="181" t="n">
        <v>4677.6</v>
      </c>
      <c r="D661" s="181" t="n">
        <v>4666.2168</v>
      </c>
      <c r="E661" s="181" t="n">
        <v>11.3832</v>
      </c>
      <c r="F661" s="181" t="n">
        <v>129.5776</v>
      </c>
      <c r="G661" s="181" t="n">
        <v>0.034781</v>
      </c>
      <c r="H661" s="181" t="n">
        <v>0.011353</v>
      </c>
      <c r="I661" s="181" t="inlineStr"/>
    </row>
    <row r="662" ht="15" customHeight="1" s="28">
      <c r="A662" s="182" t="n">
        <v>648</v>
      </c>
      <c r="B662" s="182" t="n">
        <v>647</v>
      </c>
      <c r="C662" s="182" t="n">
        <v>4670.04</v>
      </c>
      <c r="D662" s="182" t="n">
        <v>4665.9629</v>
      </c>
      <c r="E662" s="182" t="n">
        <v>4.0771</v>
      </c>
      <c r="F662" s="182" t="n">
        <v>16.6228</v>
      </c>
      <c r="G662" s="182" t="n">
        <v>0.001598</v>
      </c>
      <c r="H662" s="182" t="n">
        <v>0.000187</v>
      </c>
      <c r="I662" s="182" t="inlineStr"/>
    </row>
    <row r="663" ht="15" customHeight="1" s="28">
      <c r="A663" s="181" t="n">
        <v>649</v>
      </c>
      <c r="B663" s="181" t="n">
        <v>648</v>
      </c>
      <c r="C663" s="181" t="n">
        <v>4674.71</v>
      </c>
      <c r="D663" s="181" t="n">
        <v>4665.709</v>
      </c>
      <c r="E663" s="181" t="n">
        <v>9.000999999999999</v>
      </c>
      <c r="F663" s="181" t="n">
        <v>81.0181</v>
      </c>
      <c r="G663" s="181" t="n">
        <v>0.017196</v>
      </c>
      <c r="H663" s="181" t="n">
        <v>0.004438</v>
      </c>
      <c r="I663" s="181" t="inlineStr"/>
    </row>
    <row r="664" ht="15" customHeight="1" s="28">
      <c r="A664" s="182" t="n">
        <v>650</v>
      </c>
      <c r="B664" s="182" t="n">
        <v>649</v>
      </c>
      <c r="C664" s="182" t="n">
        <v>4676.38</v>
      </c>
      <c r="D664" s="182" t="n">
        <v>4665.4551</v>
      </c>
      <c r="E664" s="182" t="n">
        <v>10.9249</v>
      </c>
      <c r="F664" s="182" t="n">
        <v>119.3535</v>
      </c>
      <c r="G664" s="182" t="n">
        <v>0.030747</v>
      </c>
      <c r="H664" s="182" t="n">
        <v>0.009632</v>
      </c>
      <c r="I664" s="182" t="inlineStr"/>
    </row>
    <row r="665" ht="15" customHeight="1" s="28">
      <c r="A665" s="181" t="n">
        <v>651</v>
      </c>
      <c r="B665" s="181" t="n">
        <v>650</v>
      </c>
      <c r="C665" s="181" t="n">
        <v>4674.98</v>
      </c>
      <c r="D665" s="181" t="n">
        <v>4665.2012</v>
      </c>
      <c r="E665" s="181" t="n">
        <v>9.7788</v>
      </c>
      <c r="F665" s="181" t="n">
        <v>95.6249</v>
      </c>
      <c r="G665" s="181" t="n">
        <v>0.02205</v>
      </c>
      <c r="H665" s="181" t="n">
        <v>0.006183</v>
      </c>
      <c r="I665" s="181" t="inlineStr"/>
    </row>
    <row r="666" ht="15" customHeight="1" s="28">
      <c r="A666" s="182" t="n">
        <v>652</v>
      </c>
      <c r="B666" s="182" t="n">
        <v>651</v>
      </c>
      <c r="C666" s="182" t="n">
        <v>4676.82</v>
      </c>
      <c r="D666" s="182" t="n">
        <v>4664.9473</v>
      </c>
      <c r="E666" s="182" t="n">
        <v>11.8727</v>
      </c>
      <c r="F666" s="182" t="n">
        <v>140.9608</v>
      </c>
      <c r="G666" s="182" t="n">
        <v>0.039463</v>
      </c>
      <c r="H666" s="182" t="n">
        <v>0.013436</v>
      </c>
      <c r="I666" s="182" t="inlineStr"/>
    </row>
    <row r="667" ht="15" customHeight="1" s="28">
      <c r="A667" s="181" t="n">
        <v>653</v>
      </c>
      <c r="B667" s="181" t="n">
        <v>652</v>
      </c>
      <c r="C667" s="181" t="n">
        <v>4673.86</v>
      </c>
      <c r="D667" s="181" t="n">
        <v>4664.6934</v>
      </c>
      <c r="E667" s="181" t="n">
        <v>9.166600000000001</v>
      </c>
      <c r="F667" s="181" t="n">
        <v>84.02630000000001</v>
      </c>
      <c r="G667" s="181" t="n">
        <v>0.018162</v>
      </c>
      <c r="H667" s="181" t="n">
        <v>0.004774</v>
      </c>
      <c r="I667" s="181" t="inlineStr"/>
    </row>
    <row r="668" ht="15" customHeight="1" s="28">
      <c r="A668" s="182" t="n">
        <v>654</v>
      </c>
      <c r="B668" s="182" t="n">
        <v>653</v>
      </c>
      <c r="C668" s="182" t="n">
        <v>4679.82</v>
      </c>
      <c r="D668" s="182" t="n">
        <v>4664.4395</v>
      </c>
      <c r="E668" s="182" t="n">
        <v>15.3805</v>
      </c>
      <c r="F668" s="182" t="n">
        <v>236.5593</v>
      </c>
      <c r="G668" s="182" t="n">
        <v>0.08579299999999999</v>
      </c>
      <c r="H668" s="182" t="n">
        <v>0.037839</v>
      </c>
      <c r="I668" s="182" t="inlineStr"/>
    </row>
    <row r="669" ht="15" customHeight="1" s="28">
      <c r="A669" s="181" t="n">
        <v>655</v>
      </c>
      <c r="B669" s="181" t="n">
        <v>654</v>
      </c>
      <c r="C669" s="181" t="n">
        <v>4683.29</v>
      </c>
      <c r="D669" s="181" t="n">
        <v>4664.1856</v>
      </c>
      <c r="E669" s="181" t="n">
        <v>19.1044</v>
      </c>
      <c r="F669" s="181" t="n">
        <v>364.9773</v>
      </c>
      <c r="G669" s="181" t="n">
        <v>0.164415</v>
      </c>
      <c r="H669" s="181" t="n">
        <v>0.090072</v>
      </c>
      <c r="I669" s="181" t="inlineStr"/>
    </row>
    <row r="670" ht="15" customHeight="1" s="28">
      <c r="A670" s="182" t="n">
        <v>656</v>
      </c>
      <c r="B670" s="182" t="n">
        <v>655</v>
      </c>
      <c r="C670" s="182" t="n">
        <v>4682.1</v>
      </c>
      <c r="D670" s="182" t="n">
        <v>4663.9317</v>
      </c>
      <c r="E670" s="182" t="n">
        <v>18.1683</v>
      </c>
      <c r="F670" s="182" t="n">
        <v>330.0862</v>
      </c>
      <c r="G670" s="182" t="n">
        <v>0.141411</v>
      </c>
      <c r="H670" s="182" t="n">
        <v>0.073674</v>
      </c>
      <c r="I670" s="182" t="inlineStr"/>
    </row>
    <row r="671" ht="15" customHeight="1" s="28">
      <c r="A671" s="181" t="n">
        <v>657</v>
      </c>
      <c r="B671" s="181" t="n">
        <v>656</v>
      </c>
      <c r="C671" s="181" t="n">
        <v>4681.62</v>
      </c>
      <c r="D671" s="181" t="n">
        <v>4663.6778</v>
      </c>
      <c r="E671" s="181" t="n">
        <v>17.9422</v>
      </c>
      <c r="F671" s="181" t="n">
        <v>321.9215</v>
      </c>
      <c r="G671" s="181" t="n">
        <v>0.136197</v>
      </c>
      <c r="H671" s="181" t="n">
        <v>0.070074</v>
      </c>
      <c r="I671" s="181" t="inlineStr"/>
    </row>
    <row r="672" ht="15" customHeight="1" s="28">
      <c r="A672" s="182" t="n">
        <v>658</v>
      </c>
      <c r="B672" s="182" t="n">
        <v>657</v>
      </c>
      <c r="C672" s="182" t="n">
        <v>4684.05</v>
      </c>
      <c r="D672" s="182" t="n">
        <v>4663.4239</v>
      </c>
      <c r="E672" s="182" t="n">
        <v>20.6261</v>
      </c>
      <c r="F672" s="182" t="n">
        <v>425.4346</v>
      </c>
      <c r="G672" s="182" t="n">
        <v>0.206915</v>
      </c>
      <c r="H672" s="182" t="n">
        <v>0.122384</v>
      </c>
      <c r="I672" s="182" t="inlineStr"/>
    </row>
    <row r="673" ht="15" customHeight="1" s="28">
      <c r="A673" s="181" t="n">
        <v>659</v>
      </c>
      <c r="B673" s="181" t="n">
        <v>658</v>
      </c>
      <c r="C673" s="181" t="n">
        <v>4682.77</v>
      </c>
      <c r="D673" s="181" t="n">
        <v>4663.17</v>
      </c>
      <c r="E673" s="181" t="n">
        <v>19.6</v>
      </c>
      <c r="F673" s="181" t="n">
        <v>384.1585</v>
      </c>
      <c r="G673" s="181" t="n">
        <v>0.177545</v>
      </c>
      <c r="H673" s="181" t="n">
        <v>0.099788</v>
      </c>
      <c r="I673" s="181" t="inlineStr"/>
    </row>
    <row r="674" ht="15" customHeight="1" s="28">
      <c r="A674" s="182" t="n">
        <v>660</v>
      </c>
      <c r="B674" s="182" t="n">
        <v>659</v>
      </c>
      <c r="C674" s="182" t="n">
        <v>4680.74</v>
      </c>
      <c r="D674" s="182" t="n">
        <v>4662.9161</v>
      </c>
      <c r="E674" s="182" t="n">
        <v>17.8239</v>
      </c>
      <c r="F674" s="182" t="n">
        <v>317.6899</v>
      </c>
      <c r="G674" s="182" t="n">
        <v>0.133521</v>
      </c>
      <c r="H674" s="182" t="n">
        <v>0.068244</v>
      </c>
      <c r="I674" s="182" t="inlineStr"/>
    </row>
    <row r="675" ht="15" customHeight="1" s="28">
      <c r="A675" s="181" t="n">
        <v>661</v>
      </c>
      <c r="B675" s="181" t="n">
        <v>660</v>
      </c>
      <c r="C675" s="181" t="n">
        <v>4680.36</v>
      </c>
      <c r="D675" s="181" t="n">
        <v>4662.6622</v>
      </c>
      <c r="E675" s="181" t="n">
        <v>17.6978</v>
      </c>
      <c r="F675" s="181" t="n">
        <v>313.2104</v>
      </c>
      <c r="G675" s="181" t="n">
        <v>0.130707</v>
      </c>
      <c r="H675" s="181" t="n">
        <v>0.066333</v>
      </c>
      <c r="I675" s="181" t="inlineStr"/>
    </row>
    <row r="676" ht="15" customHeight="1" s="28">
      <c r="A676" s="182" t="n">
        <v>662</v>
      </c>
      <c r="B676" s="182" t="n">
        <v>661</v>
      </c>
      <c r="C676" s="182" t="n">
        <v>4682.18</v>
      </c>
      <c r="D676" s="182" t="n">
        <v>4662.4084</v>
      </c>
      <c r="E676" s="182" t="n">
        <v>19.7716</v>
      </c>
      <c r="F676" s="182" t="n">
        <v>390.9181</v>
      </c>
      <c r="G676" s="182" t="n">
        <v>0.182252</v>
      </c>
      <c r="H676" s="182" t="n">
        <v>0.103331</v>
      </c>
      <c r="I676" s="182" t="inlineStr"/>
    </row>
    <row r="677" ht="15" customHeight="1" s="28">
      <c r="A677" s="181" t="n">
        <v>663</v>
      </c>
      <c r="B677" s="181" t="n">
        <v>662</v>
      </c>
      <c r="C677" s="181" t="n">
        <v>4679.98</v>
      </c>
      <c r="D677" s="181" t="n">
        <v>4662.1545</v>
      </c>
      <c r="E677" s="181" t="n">
        <v>17.8255</v>
      </c>
      <c r="F677" s="181" t="n">
        <v>317.75</v>
      </c>
      <c r="G677" s="181" t="n">
        <v>0.133558</v>
      </c>
      <c r="H677" s="181" t="n">
        <v>0.06827</v>
      </c>
      <c r="I677" s="181" t="inlineStr"/>
    </row>
    <row r="678" ht="15" customHeight="1" s="28">
      <c r="A678" s="182" t="n">
        <v>664</v>
      </c>
      <c r="B678" s="182" t="n">
        <v>663</v>
      </c>
      <c r="C678" s="182" t="n">
        <v>4680.71</v>
      </c>
      <c r="D678" s="182" t="n">
        <v>4661.9006</v>
      </c>
      <c r="E678" s="182" t="n">
        <v>18.8094</v>
      </c>
      <c r="F678" s="182" t="n">
        <v>353.795</v>
      </c>
      <c r="G678" s="182" t="n">
        <v>0.156917</v>
      </c>
      <c r="H678" s="182" t="n">
        <v>0.084637</v>
      </c>
      <c r="I678" s="182" t="inlineStr"/>
    </row>
    <row r="679" ht="15" customHeight="1" s="28">
      <c r="A679" s="181" t="n">
        <v>665</v>
      </c>
      <c r="B679" s="181" t="n">
        <v>664</v>
      </c>
      <c r="C679" s="181" t="n">
        <v>4679.22</v>
      </c>
      <c r="D679" s="181" t="n">
        <v>4661.6467</v>
      </c>
      <c r="E679" s="181" t="n">
        <v>17.5733</v>
      </c>
      <c r="F679" s="181" t="n">
        <v>308.8221</v>
      </c>
      <c r="G679" s="181" t="n">
        <v>0.127969</v>
      </c>
      <c r="H679" s="181" t="n">
        <v>0.064487</v>
      </c>
      <c r="I679" s="181" t="inlineStr"/>
    </row>
    <row r="680" ht="15" customHeight="1" s="28">
      <c r="A680" s="182" t="n">
        <v>666</v>
      </c>
      <c r="B680" s="182" t="n">
        <v>665</v>
      </c>
      <c r="C680" s="182" t="n">
        <v>4679.83</v>
      </c>
      <c r="D680" s="182" t="n">
        <v>4661.3928</v>
      </c>
      <c r="E680" s="182" t="n">
        <v>18.4372</v>
      </c>
      <c r="F680" s="182" t="n">
        <v>339.9314</v>
      </c>
      <c r="G680" s="182" t="n">
        <v>0.147785</v>
      </c>
      <c r="H680" s="182" t="n">
        <v>0.078134</v>
      </c>
      <c r="I680" s="182" t="inlineStr"/>
    </row>
    <row r="681" ht="15" customHeight="1" s="28">
      <c r="A681" s="181" t="n">
        <v>667</v>
      </c>
      <c r="B681" s="181" t="n">
        <v>666</v>
      </c>
      <c r="C681" s="181" t="n">
        <v>4680.18</v>
      </c>
      <c r="D681" s="181" t="n">
        <v>4661.1389</v>
      </c>
      <c r="E681" s="181" t="n">
        <v>19.0411</v>
      </c>
      <c r="F681" s="181" t="n">
        <v>362.5645</v>
      </c>
      <c r="G681" s="181" t="n">
        <v>0.162787</v>
      </c>
      <c r="H681" s="181" t="n">
        <v>0.08888500000000001</v>
      </c>
      <c r="I681" s="181" t="inlineStr"/>
    </row>
    <row r="682" ht="15" customHeight="1" s="28">
      <c r="A682" s="182" t="n">
        <v>668</v>
      </c>
      <c r="B682" s="182" t="n">
        <v>667</v>
      </c>
      <c r="C682" s="182" t="n">
        <v>4681.84</v>
      </c>
      <c r="D682" s="182" t="n">
        <v>4660.885</v>
      </c>
      <c r="E682" s="182" t="n">
        <v>20.955</v>
      </c>
      <c r="F682" s="182" t="n">
        <v>439.1129</v>
      </c>
      <c r="G682" s="182" t="n">
        <v>0.216974</v>
      </c>
      <c r="H682" s="182" t="n">
        <v>0.13038</v>
      </c>
      <c r="I682" s="182" t="inlineStr"/>
    </row>
    <row r="683" ht="15" customHeight="1" s="28">
      <c r="A683" s="181" t="n">
        <v>669</v>
      </c>
      <c r="B683" s="181" t="n">
        <v>668</v>
      </c>
      <c r="C683" s="181" t="n">
        <v>4689.32</v>
      </c>
      <c r="D683" s="181" t="n">
        <v>4660.6311</v>
      </c>
      <c r="E683" s="181" t="n">
        <v>28.6889</v>
      </c>
      <c r="F683" s="181" t="n">
        <v>823.0539</v>
      </c>
      <c r="G683" s="181" t="n">
        <v>0.556783</v>
      </c>
      <c r="H683" s="181" t="n">
        <v>0.458051</v>
      </c>
      <c r="I683" s="181" t="inlineStr"/>
    </row>
    <row r="684" ht="15" customHeight="1" s="28">
      <c r="A684" s="182" t="n">
        <v>670</v>
      </c>
      <c r="B684" s="182" t="n">
        <v>669</v>
      </c>
      <c r="C684" s="182" t="n">
        <v>4689.07</v>
      </c>
      <c r="D684" s="182" t="n">
        <v>4660.3772</v>
      </c>
      <c r="E684" s="182" t="n">
        <v>28.6928</v>
      </c>
      <c r="F684" s="182" t="n">
        <v>823.2775</v>
      </c>
      <c r="G684" s="182" t="n">
        <v>0.557009</v>
      </c>
      <c r="H684" s="182" t="n">
        <v>0.4583</v>
      </c>
      <c r="I684" s="182" t="inlineStr"/>
    </row>
    <row r="685" ht="15" customHeight="1" s="28">
      <c r="A685" s="181" t="n">
        <v>671</v>
      </c>
      <c r="B685" s="181" t="n">
        <v>670</v>
      </c>
      <c r="C685" s="181" t="n">
        <v>4687.28</v>
      </c>
      <c r="D685" s="181" t="n">
        <v>4660.1233</v>
      </c>
      <c r="E685" s="181" t="n">
        <v>27.1567</v>
      </c>
      <c r="F685" s="181" t="n">
        <v>737.4868</v>
      </c>
      <c r="G685" s="181" t="n">
        <v>0.472253</v>
      </c>
      <c r="H685" s="181" t="n">
        <v>0.367761</v>
      </c>
      <c r="I685" s="181" t="inlineStr"/>
    </row>
    <row r="686" ht="15" customHeight="1" s="28">
      <c r="A686" s="182" t="n">
        <v>672</v>
      </c>
      <c r="B686" s="182" t="n">
        <v>671</v>
      </c>
      <c r="C686" s="182" t="n">
        <v>4687.93</v>
      </c>
      <c r="D686" s="182" t="n">
        <v>4659.8694</v>
      </c>
      <c r="E686" s="182" t="n">
        <v>28.0606</v>
      </c>
      <c r="F686" s="182" t="n">
        <v>787.3973999999999</v>
      </c>
      <c r="G686" s="182" t="n">
        <v>0.520996</v>
      </c>
      <c r="H686" s="182" t="n">
        <v>0.419223</v>
      </c>
      <c r="I686" s="182" t="inlineStr"/>
    </row>
    <row r="687" ht="15" customHeight="1" s="28">
      <c r="A687" s="181" t="n">
        <v>673</v>
      </c>
      <c r="B687" s="181" t="n">
        <v>672</v>
      </c>
      <c r="C687" s="181" t="n">
        <v>4689.83</v>
      </c>
      <c r="D687" s="181" t="n">
        <v>4659.6155</v>
      </c>
      <c r="E687" s="181" t="n">
        <v>30.2145</v>
      </c>
      <c r="F687" s="181" t="n">
        <v>912.9159</v>
      </c>
      <c r="G687" s="181" t="n">
        <v>0.650413</v>
      </c>
      <c r="H687" s="181" t="n">
        <v>0.563533</v>
      </c>
      <c r="I687" s="181" t="inlineStr"/>
    </row>
    <row r="688" ht="15" customHeight="1" s="28">
      <c r="A688" s="182" t="n">
        <v>674</v>
      </c>
      <c r="B688" s="182" t="n">
        <v>673</v>
      </c>
      <c r="C688" s="182" t="n">
        <v>4690.82</v>
      </c>
      <c r="D688" s="182" t="n">
        <v>4659.3616</v>
      </c>
      <c r="E688" s="182" t="n">
        <v>31.4584</v>
      </c>
      <c r="F688" s="182" t="n">
        <v>989.6305</v>
      </c>
      <c r="G688" s="182" t="n">
        <v>0.734096</v>
      </c>
      <c r="H688" s="182" t="n">
        <v>0.662222</v>
      </c>
      <c r="I688" s="182" t="inlineStr"/>
    </row>
    <row r="689" ht="15" customHeight="1" s="28">
      <c r="A689" s="181" t="n">
        <v>675</v>
      </c>
      <c r="B689" s="181" t="n">
        <v>674</v>
      </c>
      <c r="C689" s="181" t="n">
        <v>4694.41</v>
      </c>
      <c r="D689" s="181" t="n">
        <v>4659.1077</v>
      </c>
      <c r="E689" s="181" t="n">
        <v>35.3023</v>
      </c>
      <c r="F689" s="181" t="n">
        <v>1246.2516</v>
      </c>
      <c r="G689" s="181" t="n">
        <v>1.037413</v>
      </c>
      <c r="H689" s="181" t="n">
        <v>1.050193</v>
      </c>
      <c r="I689" s="181" t="inlineStr"/>
    </row>
    <row r="690" ht="15" customHeight="1" s="28">
      <c r="A690" s="182" t="n">
        <v>676</v>
      </c>
      <c r="B690" s="182" t="n">
        <v>675</v>
      </c>
      <c r="C690" s="182" t="n">
        <v>4691.85</v>
      </c>
      <c r="D690" s="182" t="n">
        <v>4658.8538</v>
      </c>
      <c r="E690" s="182" t="n">
        <v>32.9962</v>
      </c>
      <c r="F690" s="182" t="n">
        <v>1088.7482</v>
      </c>
      <c r="G690" s="182" t="n">
        <v>0.847099</v>
      </c>
      <c r="H690" s="182" t="n">
        <v>0.801517</v>
      </c>
      <c r="I690" s="182" t="inlineStr"/>
    </row>
    <row r="691" ht="15" customHeight="1" s="28">
      <c r="A691" s="181" t="n">
        <v>677</v>
      </c>
      <c r="B691" s="181" t="n">
        <v>676</v>
      </c>
      <c r="C691" s="181" t="n">
        <v>4697.91</v>
      </c>
      <c r="D691" s="181" t="n">
        <v>4658.5999</v>
      </c>
      <c r="E691" s="181" t="n">
        <v>39.3101</v>
      </c>
      <c r="F691" s="181" t="n">
        <v>1545.2824</v>
      </c>
      <c r="G691" s="181" t="n">
        <v>1.432369</v>
      </c>
      <c r="H691" s="181" t="n">
        <v>1.614631</v>
      </c>
      <c r="I691" s="181" t="inlineStr"/>
    </row>
    <row r="692" ht="15" customHeight="1" s="28">
      <c r="A692" s="182" t="n">
        <v>678</v>
      </c>
      <c r="B692" s="182" t="n">
        <v>677</v>
      </c>
      <c r="C692" s="182" t="n">
        <v>4695.01</v>
      </c>
      <c r="D692" s="182" t="n">
        <v>4658.346</v>
      </c>
      <c r="E692" s="182" t="n">
        <v>36.664</v>
      </c>
      <c r="F692" s="182" t="n">
        <v>1344.2471</v>
      </c>
      <c r="G692" s="182" t="n">
        <v>1.162149</v>
      </c>
      <c r="H692" s="182" t="n">
        <v>1.221844</v>
      </c>
      <c r="I692" s="182" t="inlineStr"/>
    </row>
    <row r="693" ht="15" customHeight="1" s="28">
      <c r="A693" s="181" t="n">
        <v>679</v>
      </c>
      <c r="B693" s="181" t="n">
        <v>678</v>
      </c>
      <c r="C693" s="181" t="n">
        <v>4693.71</v>
      </c>
      <c r="D693" s="181" t="n">
        <v>4658.0921</v>
      </c>
      <c r="E693" s="181" t="n">
        <v>35.6179</v>
      </c>
      <c r="F693" s="181" t="n">
        <v>1268.6328</v>
      </c>
      <c r="G693" s="181" t="n">
        <v>1.065484</v>
      </c>
      <c r="H693" s="181" t="n">
        <v>1.088252</v>
      </c>
      <c r="I693" s="181" t="inlineStr"/>
    </row>
    <row r="694" ht="15" customHeight="1" s="28">
      <c r="A694" s="182" t="n">
        <v>680</v>
      </c>
      <c r="B694" s="182" t="n">
        <v>679</v>
      </c>
      <c r="C694" s="182" t="n">
        <v>4690.53</v>
      </c>
      <c r="D694" s="182" t="n">
        <v>4657.8382</v>
      </c>
      <c r="E694" s="182" t="n">
        <v>32.6918</v>
      </c>
      <c r="F694" s="182" t="n">
        <v>1068.7516</v>
      </c>
      <c r="G694" s="182" t="n">
        <v>0.823869</v>
      </c>
      <c r="H694" s="182" t="n">
        <v>0.7723449999999999</v>
      </c>
      <c r="I694" s="182" t="inlineStr"/>
    </row>
    <row r="695" ht="15" customHeight="1" s="28">
      <c r="A695" s="181" t="n">
        <v>681</v>
      </c>
      <c r="B695" s="181" t="n">
        <v>680</v>
      </c>
      <c r="C695" s="181" t="n">
        <v>4688.24</v>
      </c>
      <c r="D695" s="181" t="n">
        <v>4657.5843</v>
      </c>
      <c r="E695" s="181" t="n">
        <v>30.6557</v>
      </c>
      <c r="F695" s="181" t="n">
        <v>939.7696</v>
      </c>
      <c r="G695" s="181" t="n">
        <v>0.679321</v>
      </c>
      <c r="H695" s="181" t="n">
        <v>0.597173</v>
      </c>
      <c r="I695" s="181" t="inlineStr"/>
    </row>
    <row r="696" ht="15" customHeight="1" s="28">
      <c r="A696" s="182" t="n">
        <v>682</v>
      </c>
      <c r="B696" s="182" t="n">
        <v>681</v>
      </c>
      <c r="C696" s="182" t="n">
        <v>4687.7</v>
      </c>
      <c r="D696" s="182" t="n">
        <v>4657.3304</v>
      </c>
      <c r="E696" s="182" t="n">
        <v>30.3696</v>
      </c>
      <c r="F696" s="182" t="n">
        <v>922.3099999999999</v>
      </c>
      <c r="G696" s="182" t="n">
        <v>0.660478</v>
      </c>
      <c r="H696" s="182" t="n">
        <v>0.57519</v>
      </c>
      <c r="I696" s="182" t="inlineStr"/>
    </row>
    <row r="697" ht="15" customHeight="1" s="28">
      <c r="A697" s="181" t="n">
        <v>683</v>
      </c>
      <c r="B697" s="181" t="n">
        <v>682</v>
      </c>
      <c r="C697" s="181" t="n">
        <v>4687.37</v>
      </c>
      <c r="D697" s="181" t="n">
        <v>4657.0765</v>
      </c>
      <c r="E697" s="181" t="n">
        <v>30.2935</v>
      </c>
      <c r="F697" s="181" t="n">
        <v>917.6933</v>
      </c>
      <c r="G697" s="181" t="n">
        <v>0.655525</v>
      </c>
      <c r="H697" s="181" t="n">
        <v>0.569446</v>
      </c>
      <c r="I697" s="181" t="inlineStr"/>
    </row>
    <row r="698" ht="15" customHeight="1" s="28">
      <c r="A698" s="182" t="n">
        <v>684</v>
      </c>
      <c r="B698" s="182" t="n">
        <v>683</v>
      </c>
      <c r="C698" s="182" t="n">
        <v>4670.88</v>
      </c>
      <c r="D698" s="182" t="n">
        <v>4656.8227</v>
      </c>
      <c r="E698" s="182" t="n">
        <v>14.0573</v>
      </c>
      <c r="F698" s="182" t="n">
        <v>197.6091</v>
      </c>
      <c r="G698" s="182" t="n">
        <v>0.065502</v>
      </c>
      <c r="H698" s="182" t="n">
        <v>0.026404</v>
      </c>
      <c r="I698" s="182" t="inlineStr"/>
    </row>
    <row r="699" ht="15" customHeight="1" s="28">
      <c r="A699" s="181" t="n">
        <v>685</v>
      </c>
      <c r="B699" s="181" t="n">
        <v>684</v>
      </c>
      <c r="C699" s="181" t="n">
        <v>4677.52</v>
      </c>
      <c r="D699" s="181" t="n">
        <v>4656.5688</v>
      </c>
      <c r="E699" s="181" t="n">
        <v>20.9512</v>
      </c>
      <c r="F699" s="181" t="n">
        <v>438.9546</v>
      </c>
      <c r="G699" s="181" t="n">
        <v>0.216857</v>
      </c>
      <c r="H699" s="181" t="n">
        <v>0.130286</v>
      </c>
      <c r="I699" s="181" t="inlineStr"/>
    </row>
    <row r="700" ht="15" customHeight="1" s="28">
      <c r="A700" s="182" t="n">
        <v>686</v>
      </c>
      <c r="B700" s="182" t="n">
        <v>685</v>
      </c>
      <c r="C700" s="182" t="n">
        <v>4675.58</v>
      </c>
      <c r="D700" s="182" t="n">
        <v>4656.3149</v>
      </c>
      <c r="E700" s="182" t="n">
        <v>19.2651</v>
      </c>
      <c r="F700" s="182" t="n">
        <v>371.1456</v>
      </c>
      <c r="G700" s="182" t="n">
        <v>0.168601</v>
      </c>
      <c r="H700" s="182" t="n">
        <v>0.093142</v>
      </c>
      <c r="I700" s="182" t="inlineStr"/>
    </row>
    <row r="701" ht="15" customHeight="1" s="28">
      <c r="A701" s="181" t="n">
        <v>687</v>
      </c>
      <c r="B701" s="181" t="n">
        <v>686</v>
      </c>
      <c r="C701" s="181" t="n">
        <v>4671.15</v>
      </c>
      <c r="D701" s="181" t="n">
        <v>4656.061</v>
      </c>
      <c r="E701" s="181" t="n">
        <v>15.089</v>
      </c>
      <c r="F701" s="181" t="n">
        <v>227.679</v>
      </c>
      <c r="G701" s="181" t="n">
        <v>0.081008</v>
      </c>
      <c r="H701" s="181" t="n">
        <v>0.035051</v>
      </c>
      <c r="I701" s="181" t="inlineStr"/>
    </row>
    <row r="702" ht="15" customHeight="1" s="28">
      <c r="A702" s="182" t="n">
        <v>688</v>
      </c>
      <c r="B702" s="182" t="n">
        <v>687</v>
      </c>
      <c r="C702" s="182" t="n">
        <v>4669.14</v>
      </c>
      <c r="D702" s="182" t="n">
        <v>4655.8071</v>
      </c>
      <c r="E702" s="182" t="n">
        <v>13.3329</v>
      </c>
      <c r="F702" s="182" t="n">
        <v>177.767</v>
      </c>
      <c r="G702" s="182" t="n">
        <v>0.055888</v>
      </c>
      <c r="H702" s="182" t="n">
        <v>0.021368</v>
      </c>
      <c r="I702" s="182" t="inlineStr"/>
    </row>
    <row r="703" ht="15" customHeight="1" s="28">
      <c r="A703" s="181" t="n">
        <v>689</v>
      </c>
      <c r="B703" s="181" t="n">
        <v>688</v>
      </c>
      <c r="C703" s="181" t="n">
        <v>4672.91</v>
      </c>
      <c r="D703" s="181" t="n">
        <v>4655.5532</v>
      </c>
      <c r="E703" s="181" t="n">
        <v>17.3568</v>
      </c>
      <c r="F703" s="181" t="n">
        <v>301.2594</v>
      </c>
      <c r="G703" s="181" t="n">
        <v>0.123297</v>
      </c>
      <c r="H703" s="181" t="n">
        <v>0.061368</v>
      </c>
      <c r="I703" s="181" t="inlineStr"/>
    </row>
    <row r="704" ht="15" customHeight="1" s="28">
      <c r="A704" s="182" t="n">
        <v>690</v>
      </c>
      <c r="B704" s="182" t="n">
        <v>689</v>
      </c>
      <c r="C704" s="182" t="n">
        <v>4674.86</v>
      </c>
      <c r="D704" s="182" t="n">
        <v>4655.2993</v>
      </c>
      <c r="E704" s="182" t="n">
        <v>19.5607</v>
      </c>
      <c r="F704" s="182" t="n">
        <v>382.6218</v>
      </c>
      <c r="G704" s="182" t="n">
        <v>0.176481</v>
      </c>
      <c r="H704" s="182" t="n">
        <v>0.098991</v>
      </c>
      <c r="I704" s="182" t="inlineStr"/>
    </row>
    <row r="705" ht="15" customHeight="1" s="28">
      <c r="A705" s="181" t="n">
        <v>691</v>
      </c>
      <c r="B705" s="181" t="n">
        <v>690</v>
      </c>
      <c r="C705" s="181" t="n">
        <v>4672.11</v>
      </c>
      <c r="D705" s="181" t="n">
        <v>4655.0454</v>
      </c>
      <c r="E705" s="181" t="n">
        <v>17.0646</v>
      </c>
      <c r="F705" s="181" t="n">
        <v>291.2012</v>
      </c>
      <c r="G705" s="181" t="n">
        <v>0.117174</v>
      </c>
      <c r="H705" s="181" t="n">
        <v>0.057338</v>
      </c>
      <c r="I705" s="181" t="inlineStr"/>
    </row>
    <row r="706" ht="15" customHeight="1" s="28">
      <c r="A706" s="182" t="n">
        <v>692</v>
      </c>
      <c r="B706" s="182" t="n">
        <v>691</v>
      </c>
      <c r="C706" s="182" t="n">
        <v>4671.02</v>
      </c>
      <c r="D706" s="182" t="n">
        <v>4654.7915</v>
      </c>
      <c r="E706" s="182" t="n">
        <v>16.2285</v>
      </c>
      <c r="F706" s="182" t="n">
        <v>263.3646</v>
      </c>
      <c r="G706" s="182" t="n">
        <v>0.100781</v>
      </c>
      <c r="H706" s="182" t="n">
        <v>0.0469</v>
      </c>
      <c r="I706" s="182" t="inlineStr"/>
    </row>
    <row r="707" ht="15" customHeight="1" s="28">
      <c r="A707" s="181" t="n">
        <v>693</v>
      </c>
      <c r="B707" s="181" t="n">
        <v>692</v>
      </c>
      <c r="C707" s="181" t="n">
        <v>4669.93</v>
      </c>
      <c r="D707" s="181" t="n">
        <v>4654.5376</v>
      </c>
      <c r="E707" s="181" t="n">
        <v>15.3924</v>
      </c>
      <c r="F707" s="181" t="n">
        <v>236.9262</v>
      </c>
      <c r="G707" s="181" t="n">
        <v>0.085993</v>
      </c>
      <c r="H707" s="181" t="n">
        <v>0.037956</v>
      </c>
      <c r="I707" s="181" t="inlineStr"/>
    </row>
    <row r="708" ht="15" customHeight="1" s="28">
      <c r="A708" s="182" t="n">
        <v>694</v>
      </c>
      <c r="B708" s="182" t="n">
        <v>693</v>
      </c>
      <c r="C708" s="182" t="n">
        <v>4667.66</v>
      </c>
      <c r="D708" s="182" t="n">
        <v>4654.2837</v>
      </c>
      <c r="E708" s="182" t="n">
        <v>13.3763</v>
      </c>
      <c r="F708" s="182" t="n">
        <v>178.9255</v>
      </c>
      <c r="G708" s="182" t="n">
        <v>0.056435</v>
      </c>
      <c r="H708" s="182" t="n">
        <v>0.021647</v>
      </c>
      <c r="I708" s="182" t="inlineStr"/>
    </row>
    <row r="709" ht="15" customHeight="1" s="28">
      <c r="A709" s="181" t="n">
        <v>695</v>
      </c>
      <c r="B709" s="181" t="n">
        <v>694</v>
      </c>
      <c r="C709" s="181" t="n">
        <v>4669.92</v>
      </c>
      <c r="D709" s="181" t="n">
        <v>4654.0298</v>
      </c>
      <c r="E709" s="181" t="n">
        <v>15.8902</v>
      </c>
      <c r="F709" s="181" t="n">
        <v>252.4984</v>
      </c>
      <c r="G709" s="181" t="n">
        <v>0.094609</v>
      </c>
      <c r="H709" s="181" t="n">
        <v>0.04311</v>
      </c>
      <c r="I709" s="181" t="inlineStr"/>
    </row>
    <row r="710" ht="15" customHeight="1" s="28">
      <c r="A710" s="182" t="n">
        <v>696</v>
      </c>
      <c r="B710" s="182" t="n">
        <v>695</v>
      </c>
      <c r="C710" s="182" t="n">
        <v>4667.71</v>
      </c>
      <c r="D710" s="182" t="n">
        <v>4653.7759</v>
      </c>
      <c r="E710" s="182" t="n">
        <v>13.9341</v>
      </c>
      <c r="F710" s="182" t="n">
        <v>194.159</v>
      </c>
      <c r="G710" s="182" t="n">
        <v>0.063794</v>
      </c>
      <c r="H710" s="182" t="n">
        <v>0.02549</v>
      </c>
      <c r="I710" s="182" t="inlineStr"/>
    </row>
    <row r="711" ht="15" customHeight="1" s="28">
      <c r="A711" s="181" t="n">
        <v>697</v>
      </c>
      <c r="B711" s="181" t="n">
        <v>696</v>
      </c>
      <c r="C711" s="181" t="n">
        <v>4652.57</v>
      </c>
      <c r="D711" s="181" t="n">
        <v>4653.522</v>
      </c>
      <c r="E711" s="181" t="n">
        <v>-0.952</v>
      </c>
      <c r="F711" s="181" t="n">
        <v>0.9063</v>
      </c>
      <c r="G711" s="181" t="n">
        <v>-2e-05</v>
      </c>
      <c r="H711" s="181" t="n">
        <v>1e-06</v>
      </c>
      <c r="I711" s="181" t="inlineStr"/>
    </row>
    <row r="712" ht="15" customHeight="1" s="28">
      <c r="A712" s="182" t="n">
        <v>698</v>
      </c>
      <c r="B712" s="182" t="n">
        <v>697</v>
      </c>
      <c r="C712" s="182" t="n">
        <v>4658.38</v>
      </c>
      <c r="D712" s="182" t="n">
        <v>4653.2681</v>
      </c>
      <c r="E712" s="182" t="n">
        <v>5.1119</v>
      </c>
      <c r="F712" s="182" t="n">
        <v>26.1314</v>
      </c>
      <c r="G712" s="182" t="n">
        <v>0.00315</v>
      </c>
      <c r="H712" s="182" t="n">
        <v>0.000462</v>
      </c>
      <c r="I712" s="182" t="inlineStr"/>
    </row>
    <row r="713" ht="15" customHeight="1" s="28">
      <c r="A713" s="181" t="n">
        <v>699</v>
      </c>
      <c r="B713" s="181" t="n">
        <v>698</v>
      </c>
      <c r="C713" s="181" t="n">
        <v>4624.58</v>
      </c>
      <c r="D713" s="181" t="n">
        <v>4653.0142</v>
      </c>
      <c r="E713" s="181" t="n">
        <v>-28.4342</v>
      </c>
      <c r="F713" s="181" t="n">
        <v>808.5048</v>
      </c>
      <c r="G713" s="181" t="n">
        <v>-0.542085</v>
      </c>
      <c r="H713" s="181" t="n">
        <v>0.442001</v>
      </c>
      <c r="I713" s="181" t="inlineStr"/>
    </row>
    <row r="714" ht="15" customHeight="1" s="28">
      <c r="A714" s="182" t="n">
        <v>700</v>
      </c>
      <c r="B714" s="182" t="n">
        <v>699</v>
      </c>
      <c r="C714" s="182" t="n">
        <v>4632.23</v>
      </c>
      <c r="D714" s="182" t="n">
        <v>4652.7603</v>
      </c>
      <c r="E714" s="182" t="n">
        <v>-20.5303</v>
      </c>
      <c r="F714" s="182" t="n">
        <v>421.4942</v>
      </c>
      <c r="G714" s="182" t="n">
        <v>-0.204047</v>
      </c>
      <c r="H714" s="182" t="n">
        <v>0.120127</v>
      </c>
      <c r="I714" s="182" t="inlineStr"/>
    </row>
    <row r="715" ht="15" customHeight="1" s="28">
      <c r="A715" s="181" t="n">
        <v>701</v>
      </c>
      <c r="B715" s="181" t="n">
        <v>700</v>
      </c>
      <c r="C715" s="181" t="n">
        <v>4640.69</v>
      </c>
      <c r="D715" s="181" t="n">
        <v>4652.5064</v>
      </c>
      <c r="E715" s="181" t="n">
        <v>-11.8164</v>
      </c>
      <c r="F715" s="181" t="n">
        <v>139.628</v>
      </c>
      <c r="G715" s="181" t="n">
        <v>-0.038905</v>
      </c>
      <c r="H715" s="181" t="n">
        <v>0.013183</v>
      </c>
      <c r="I715" s="181" t="inlineStr"/>
    </row>
    <row r="716" ht="15" customHeight="1" s="28">
      <c r="A716" s="182" t="n">
        <v>702</v>
      </c>
      <c r="B716" s="182" t="n">
        <v>701</v>
      </c>
      <c r="C716" s="182" t="n">
        <v>4631.64</v>
      </c>
      <c r="D716" s="182" t="n">
        <v>4652.2525</v>
      </c>
      <c r="E716" s="182" t="n">
        <v>-20.6125</v>
      </c>
      <c r="F716" s="182" t="n">
        <v>424.8765</v>
      </c>
      <c r="G716" s="182" t="n">
        <v>-0.206508</v>
      </c>
      <c r="H716" s="182" t="n">
        <v>0.122063</v>
      </c>
      <c r="I716" s="182" t="inlineStr"/>
    </row>
    <row r="717" ht="15" customHeight="1" s="28">
      <c r="A717" s="181" t="n">
        <v>703</v>
      </c>
      <c r="B717" s="181" t="n">
        <v>702</v>
      </c>
      <c r="C717" s="181" t="n">
        <v>4629.83</v>
      </c>
      <c r="D717" s="181" t="n">
        <v>4651.9986</v>
      </c>
      <c r="E717" s="181" t="n">
        <v>-22.1686</v>
      </c>
      <c r="F717" s="181" t="n">
        <v>491.4485</v>
      </c>
      <c r="G717" s="181" t="n">
        <v>-0.256898</v>
      </c>
      <c r="H717" s="181" t="n">
        <v>0.16331</v>
      </c>
      <c r="I717" s="181" t="inlineStr"/>
    </row>
    <row r="718" ht="15" customHeight="1" s="28">
      <c r="A718" s="182" t="n">
        <v>704</v>
      </c>
      <c r="B718" s="182" t="n">
        <v>703</v>
      </c>
      <c r="C718" s="182" t="n">
        <v>4628.99</v>
      </c>
      <c r="D718" s="182" t="n">
        <v>4651.7447</v>
      </c>
      <c r="E718" s="182" t="n">
        <v>-22.7547</v>
      </c>
      <c r="F718" s="182" t="n">
        <v>517.7782</v>
      </c>
      <c r="G718" s="182" t="n">
        <v>-0.277817</v>
      </c>
      <c r="H718" s="182" t="n">
        <v>0.181278</v>
      </c>
      <c r="I718" s="182" t="inlineStr"/>
    </row>
    <row r="719" ht="15" customHeight="1" s="28">
      <c r="A719" s="181" t="n">
        <v>705</v>
      </c>
      <c r="B719" s="181" t="n">
        <v>704</v>
      </c>
      <c r="C719" s="181" t="n">
        <v>4634.3</v>
      </c>
      <c r="D719" s="181" t="n">
        <v>4651.4908</v>
      </c>
      <c r="E719" s="181" t="n">
        <v>-17.1908</v>
      </c>
      <c r="F719" s="181" t="n">
        <v>295.5252</v>
      </c>
      <c r="G719" s="181" t="n">
        <v>-0.119794</v>
      </c>
      <c r="H719" s="181" t="n">
        <v>0.059054</v>
      </c>
      <c r="I719" s="181" t="inlineStr"/>
    </row>
    <row r="720" ht="15" customHeight="1" s="28">
      <c r="A720" s="182" t="n">
        <v>706</v>
      </c>
      <c r="B720" s="182" t="n">
        <v>705</v>
      </c>
      <c r="C720" s="182" t="n">
        <v>4629.79</v>
      </c>
      <c r="D720" s="182" t="n">
        <v>4651.237</v>
      </c>
      <c r="E720" s="182" t="n">
        <v>-21.447</v>
      </c>
      <c r="F720" s="182" t="n">
        <v>459.9717</v>
      </c>
      <c r="G720" s="182" t="n">
        <v>-0.232616</v>
      </c>
      <c r="H720" s="182" t="n">
        <v>0.143061</v>
      </c>
      <c r="I720" s="182" t="inlineStr"/>
    </row>
    <row r="721" ht="15" customHeight="1" s="28">
      <c r="A721" s="181" t="n">
        <v>707</v>
      </c>
      <c r="B721" s="181" t="n">
        <v>706</v>
      </c>
      <c r="C721" s="181" t="n">
        <v>4629.38</v>
      </c>
      <c r="D721" s="181" t="n">
        <v>4650.9831</v>
      </c>
      <c r="E721" s="181" t="n">
        <v>-21.6031</v>
      </c>
      <c r="F721" s="181" t="n">
        <v>466.692</v>
      </c>
      <c r="G721" s="181" t="n">
        <v>-0.237733</v>
      </c>
      <c r="H721" s="181" t="n">
        <v>0.147271</v>
      </c>
      <c r="I721" s="181" t="inlineStr"/>
    </row>
    <row r="722" ht="15" customHeight="1" s="28">
      <c r="A722" s="182" t="n">
        <v>708</v>
      </c>
      <c r="B722" s="182" t="n">
        <v>707</v>
      </c>
      <c r="C722" s="182" t="n">
        <v>4633.24</v>
      </c>
      <c r="D722" s="182" t="n">
        <v>4650.7292</v>
      </c>
      <c r="E722" s="182" t="n">
        <v>-17.4892</v>
      </c>
      <c r="F722" s="182" t="n">
        <v>305.8707</v>
      </c>
      <c r="G722" s="182" t="n">
        <v>-0.126139</v>
      </c>
      <c r="H722" s="182" t="n">
        <v>0.063261</v>
      </c>
      <c r="I722" s="182" t="inlineStr"/>
    </row>
    <row r="723" ht="15" customHeight="1" s="28">
      <c r="A723" s="181" t="n">
        <v>709</v>
      </c>
      <c r="B723" s="181" t="n">
        <v>708</v>
      </c>
      <c r="C723" s="181" t="n">
        <v>4620.29</v>
      </c>
      <c r="D723" s="181" t="n">
        <v>4650.4753</v>
      </c>
      <c r="E723" s="181" t="n">
        <v>-30.1853</v>
      </c>
      <c r="F723" s="181" t="n">
        <v>911.1501</v>
      </c>
      <c r="G723" s="181" t="n">
        <v>-0.648527</v>
      </c>
      <c r="H723" s="181" t="n">
        <v>0.561355</v>
      </c>
      <c r="I723" s="181" t="inlineStr"/>
    </row>
    <row r="724" ht="15" customHeight="1" s="28">
      <c r="A724" s="182" t="n">
        <v>710</v>
      </c>
      <c r="B724" s="182" t="n">
        <v>709</v>
      </c>
      <c r="C724" s="182" t="n">
        <v>4626.98</v>
      </c>
      <c r="D724" s="182" t="n">
        <v>4650.2214</v>
      </c>
      <c r="E724" s="182" t="n">
        <v>-23.2414</v>
      </c>
      <c r="F724" s="182" t="n">
        <v>540.1612</v>
      </c>
      <c r="G724" s="182" t="n">
        <v>-0.296025</v>
      </c>
      <c r="H724" s="182" t="n">
        <v>0.19729</v>
      </c>
      <c r="I724" s="182" t="inlineStr"/>
    </row>
    <row r="725" ht="15" customHeight="1" s="28">
      <c r="A725" s="181" t="n">
        <v>711</v>
      </c>
      <c r="B725" s="181" t="n">
        <v>710</v>
      </c>
      <c r="C725" s="181" t="n">
        <v>4628.21</v>
      </c>
      <c r="D725" s="181" t="n">
        <v>4649.9675</v>
      </c>
      <c r="E725" s="181" t="n">
        <v>-21.7575</v>
      </c>
      <c r="F725" s="181" t="n">
        <v>473.3876</v>
      </c>
      <c r="G725" s="181" t="n">
        <v>-0.242867</v>
      </c>
      <c r="H725" s="181" t="n">
        <v>0.151527</v>
      </c>
      <c r="I725" s="181" t="inlineStr"/>
    </row>
    <row r="726" ht="15" customHeight="1" s="28">
      <c r="A726" s="182" t="n">
        <v>712</v>
      </c>
      <c r="B726" s="182" t="n">
        <v>711</v>
      </c>
      <c r="C726" s="182" t="n">
        <v>4629.62</v>
      </c>
      <c r="D726" s="182" t="n">
        <v>4649.7136</v>
      </c>
      <c r="E726" s="182" t="n">
        <v>-20.0936</v>
      </c>
      <c r="F726" s="182" t="n">
        <v>403.7518</v>
      </c>
      <c r="G726" s="182" t="n">
        <v>-0.1913</v>
      </c>
      <c r="H726" s="182" t="n">
        <v>0.110227</v>
      </c>
      <c r="I726" s="182" t="inlineStr"/>
    </row>
    <row r="727" ht="15" customHeight="1" s="28">
      <c r="A727" s="181" t="n">
        <v>713</v>
      </c>
      <c r="B727" s="181" t="n">
        <v>712</v>
      </c>
      <c r="C727" s="181" t="n">
        <v>4625.52</v>
      </c>
      <c r="D727" s="181" t="n">
        <v>4649.4597</v>
      </c>
      <c r="E727" s="181" t="n">
        <v>-23.9397</v>
      </c>
      <c r="F727" s="181" t="n">
        <v>573.1084</v>
      </c>
      <c r="G727" s="181" t="n">
        <v>-0.323518</v>
      </c>
      <c r="H727" s="181" t="n">
        <v>0.222091</v>
      </c>
      <c r="I727" s="181" t="inlineStr"/>
    </row>
    <row r="728" ht="15" customHeight="1" s="28">
      <c r="A728" s="182" t="n">
        <v>714</v>
      </c>
      <c r="B728" s="182" t="n">
        <v>713</v>
      </c>
      <c r="C728" s="182" t="n">
        <v>4618.31</v>
      </c>
      <c r="D728" s="182" t="n">
        <v>4649.2058</v>
      </c>
      <c r="E728" s="182" t="n">
        <v>-30.8958</v>
      </c>
      <c r="F728" s="182" t="n">
        <v>954.5496000000001</v>
      </c>
      <c r="G728" s="182" t="n">
        <v>-0.69541</v>
      </c>
      <c r="H728" s="182" t="n">
        <v>0.616105</v>
      </c>
      <c r="I728" s="182" t="inlineStr"/>
    </row>
    <row r="729" ht="15" customHeight="1" s="28">
      <c r="A729" s="181" t="n">
        <v>715</v>
      </c>
      <c r="B729" s="181" t="n">
        <v>714</v>
      </c>
      <c r="C729" s="181" t="n">
        <v>4613.05</v>
      </c>
      <c r="D729" s="181" t="n">
        <v>4648.9519</v>
      </c>
      <c r="E729" s="181" t="n">
        <v>-35.9019</v>
      </c>
      <c r="F729" s="181" t="n">
        <v>1288.9458</v>
      </c>
      <c r="G729" s="181" t="n">
        <v>-1.091177</v>
      </c>
      <c r="H729" s="181" t="n">
        <v>1.12338</v>
      </c>
      <c r="I729" s="181" t="inlineStr"/>
    </row>
    <row r="730" ht="15" customHeight="1" s="28">
      <c r="A730" s="182" t="n">
        <v>716</v>
      </c>
      <c r="B730" s="182" t="n">
        <v>715</v>
      </c>
      <c r="C730" s="182" t="n">
        <v>4604.84</v>
      </c>
      <c r="D730" s="182" t="n">
        <v>4648.698</v>
      </c>
      <c r="E730" s="182" t="n">
        <v>-43.858</v>
      </c>
      <c r="F730" s="182" t="n">
        <v>1923.5238</v>
      </c>
      <c r="G730" s="182" t="n">
        <v>-1.989251</v>
      </c>
      <c r="H730" s="182" t="n">
        <v>2.501801</v>
      </c>
      <c r="I730" s="182" t="inlineStr"/>
    </row>
    <row r="731" ht="15" customHeight="1" s="28">
      <c r="A731" s="181" t="n">
        <v>717</v>
      </c>
      <c r="B731" s="181" t="n">
        <v>716</v>
      </c>
      <c r="C731" s="181" t="n">
        <v>4612.7</v>
      </c>
      <c r="D731" s="181" t="n">
        <v>4648.4441</v>
      </c>
      <c r="E731" s="181" t="n">
        <v>-35.7441</v>
      </c>
      <c r="F731" s="181" t="n">
        <v>1277.6407</v>
      </c>
      <c r="G731" s="181" t="n">
        <v>-1.076853</v>
      </c>
      <c r="H731" s="181" t="n">
        <v>1.103761</v>
      </c>
      <c r="I731" s="181" t="inlineStr"/>
    </row>
    <row r="732" ht="15" customHeight="1" s="28">
      <c r="A732" s="182" t="n">
        <v>718</v>
      </c>
      <c r="B732" s="182" t="n">
        <v>717</v>
      </c>
      <c r="C732" s="182" t="n">
        <v>4611.77</v>
      </c>
      <c r="D732" s="182" t="n">
        <v>4648.1902</v>
      </c>
      <c r="E732" s="182" t="n">
        <v>-36.4202</v>
      </c>
      <c r="F732" s="182" t="n">
        <v>1326.4313</v>
      </c>
      <c r="G732" s="182" t="n">
        <v>-1.139122</v>
      </c>
      <c r="H732" s="182" t="n">
        <v>1.189672</v>
      </c>
      <c r="I732" s="182" t="inlineStr"/>
    </row>
    <row r="733" ht="15" customHeight="1" s="28">
      <c r="A733" s="181" t="n">
        <v>719</v>
      </c>
      <c r="B733" s="181" t="n">
        <v>718</v>
      </c>
      <c r="C733" s="181" t="n">
        <v>4613.29</v>
      </c>
      <c r="D733" s="181" t="n">
        <v>4647.9363</v>
      </c>
      <c r="E733" s="181" t="n">
        <v>-34.6463</v>
      </c>
      <c r="F733" s="181" t="n">
        <v>1200.3667</v>
      </c>
      <c r="G733" s="181" t="n">
        <v>-0.98065</v>
      </c>
      <c r="H733" s="181" t="n">
        <v>0.974284</v>
      </c>
      <c r="I733" s="181" t="inlineStr"/>
    </row>
    <row r="734" ht="15" customHeight="1" s="28">
      <c r="A734" s="182" t="n">
        <v>720</v>
      </c>
      <c r="B734" s="182" t="n">
        <v>719</v>
      </c>
      <c r="C734" s="182" t="n">
        <v>4603.3</v>
      </c>
      <c r="D734" s="182" t="n">
        <v>4647.6824</v>
      </c>
      <c r="E734" s="182" t="n">
        <v>-44.3824</v>
      </c>
      <c r="F734" s="182" t="n">
        <v>1969.7986</v>
      </c>
      <c r="G734" s="182" t="n">
        <v>-2.061465</v>
      </c>
      <c r="H734" s="182" t="n">
        <v>2.623622</v>
      </c>
      <c r="I734" s="182" t="inlineStr"/>
    </row>
    <row r="735" ht="15" customHeight="1" s="28">
      <c r="A735" s="181" t="n">
        <v>721</v>
      </c>
      <c r="B735" s="181" t="n">
        <v>720</v>
      </c>
      <c r="C735" s="181" t="n">
        <v>4598.69</v>
      </c>
      <c r="D735" s="181" t="n">
        <v>4647.4285</v>
      </c>
      <c r="E735" s="181" t="n">
        <v>-48.7385</v>
      </c>
      <c r="F735" s="181" t="n">
        <v>2375.4431</v>
      </c>
      <c r="G735" s="181" t="n">
        <v>-2.729984</v>
      </c>
      <c r="H735" s="181" t="n">
        <v>3.815459</v>
      </c>
      <c r="I735" s="181" t="inlineStr"/>
    </row>
    <row r="736" ht="15" customHeight="1" s="28">
      <c r="A736" s="182" t="n">
        <v>722</v>
      </c>
      <c r="B736" s="182" t="n">
        <v>721</v>
      </c>
      <c r="C736" s="182" t="n">
        <v>4599.45</v>
      </c>
      <c r="D736" s="182" t="n">
        <v>4647.1746</v>
      </c>
      <c r="E736" s="182" t="n">
        <v>-47.7246</v>
      </c>
      <c r="F736" s="182" t="n">
        <v>2277.6396</v>
      </c>
      <c r="G736" s="182" t="n">
        <v>-2.56313</v>
      </c>
      <c r="H736" s="182" t="n">
        <v>3.507741</v>
      </c>
      <c r="I736" s="182" t="inlineStr"/>
    </row>
    <row r="737" ht="15" customHeight="1" s="28">
      <c r="A737" s="181" t="n">
        <v>723</v>
      </c>
      <c r="B737" s="181" t="n">
        <v>722</v>
      </c>
      <c r="C737" s="181" t="n">
        <v>4572.22</v>
      </c>
      <c r="D737" s="181" t="n">
        <v>4646.9207</v>
      </c>
      <c r="E737" s="181" t="n">
        <v>-74.7007</v>
      </c>
      <c r="F737" s="181" t="n">
        <v>5580.1986</v>
      </c>
      <c r="G737" s="181" t="n">
        <v>-9.829188</v>
      </c>
      <c r="H737" s="181" t="n">
        <v>21.055079</v>
      </c>
      <c r="I737" s="181" t="inlineStr"/>
    </row>
    <row r="738" ht="15" customHeight="1" s="28">
      <c r="A738" s="182" t="n">
        <v>724</v>
      </c>
      <c r="B738" s="182" t="n">
        <v>723</v>
      </c>
      <c r="C738" s="182" t="n">
        <v>4562.88</v>
      </c>
      <c r="D738" s="182" t="n">
        <v>4646.6668</v>
      </c>
      <c r="E738" s="182" t="n">
        <v>-83.7868</v>
      </c>
      <c r="F738" s="182" t="n">
        <v>7020.2331</v>
      </c>
      <c r="G738" s="182" t="n">
        <v>-13.869809</v>
      </c>
      <c r="H738" s="182" t="n">
        <v>33.324269</v>
      </c>
      <c r="I738" s="182" t="inlineStr"/>
    </row>
    <row r="739" ht="15" customHeight="1" s="28">
      <c r="A739" s="181" t="n">
        <v>725</v>
      </c>
      <c r="B739" s="181" t="n">
        <v>724</v>
      </c>
      <c r="C739" s="181" t="n">
        <v>4581.73</v>
      </c>
      <c r="D739" s="181" t="n">
        <v>4646.4129</v>
      </c>
      <c r="E739" s="181" t="n">
        <v>-64.6829</v>
      </c>
      <c r="F739" s="181" t="n">
        <v>4183.8822</v>
      </c>
      <c r="G739" s="181" t="n">
        <v>-6.381347</v>
      </c>
      <c r="H739" s="181" t="n">
        <v>11.836314</v>
      </c>
      <c r="I739" s="181" t="inlineStr"/>
    </row>
    <row r="740" ht="15" customHeight="1" s="28">
      <c r="A740" s="182" t="n">
        <v>726</v>
      </c>
      <c r="B740" s="182" t="n">
        <v>725</v>
      </c>
      <c r="C740" s="182" t="n">
        <v>4580.32</v>
      </c>
      <c r="D740" s="182" t="n">
        <v>4646.159</v>
      </c>
      <c r="E740" s="182" t="n">
        <v>-65.839</v>
      </c>
      <c r="F740" s="182" t="n">
        <v>4334.7792</v>
      </c>
      <c r="G740" s="182" t="n">
        <v>-6.729668</v>
      </c>
      <c r="H740" s="182" t="n">
        <v>12.705494</v>
      </c>
      <c r="I740" s="182" t="inlineStr"/>
    </row>
    <row r="741" ht="15" customHeight="1" s="28">
      <c r="A741" s="181" t="n">
        <v>727</v>
      </c>
      <c r="B741" s="181" t="n">
        <v>726</v>
      </c>
      <c r="C741" s="181" t="n">
        <v>4586.96</v>
      </c>
      <c r="D741" s="181" t="n">
        <v>4645.9051</v>
      </c>
      <c r="E741" s="181" t="n">
        <v>-58.9451</v>
      </c>
      <c r="F741" s="181" t="n">
        <v>3474.5301</v>
      </c>
      <c r="G741" s="181" t="n">
        <v>-4.829335</v>
      </c>
      <c r="H741" s="181" t="n">
        <v>8.162998999999999</v>
      </c>
      <c r="I741" s="181" t="inlineStr"/>
    </row>
    <row r="742" ht="15" customHeight="1" s="28">
      <c r="A742" s="182" t="n">
        <v>728</v>
      </c>
      <c r="B742" s="182" t="n">
        <v>727</v>
      </c>
      <c r="C742" s="182" t="n">
        <v>4593.98</v>
      </c>
      <c r="D742" s="182" t="n">
        <v>4645.6512</v>
      </c>
      <c r="E742" s="182" t="n">
        <v>-51.6712</v>
      </c>
      <c r="F742" s="182" t="n">
        <v>2669.918</v>
      </c>
      <c r="G742" s="182" t="n">
        <v>-3.253045</v>
      </c>
      <c r="H742" s="182" t="n">
        <v>4.820071</v>
      </c>
      <c r="I742" s="182" t="inlineStr"/>
    </row>
    <row r="743" ht="15" customHeight="1" s="28">
      <c r="A743" s="181" t="n">
        <v>729</v>
      </c>
      <c r="B743" s="181" t="n">
        <v>728</v>
      </c>
      <c r="C743" s="181" t="n">
        <v>4576.38</v>
      </c>
      <c r="D743" s="181" t="n">
        <v>4645.3974</v>
      </c>
      <c r="E743" s="181" t="n">
        <v>-69.01739999999999</v>
      </c>
      <c r="F743" s="181" t="n">
        <v>4763.3951</v>
      </c>
      <c r="G743" s="181" t="n">
        <v>-7.752077</v>
      </c>
      <c r="H743" s="181" t="n">
        <v>15.342311</v>
      </c>
      <c r="I743" s="181" t="inlineStr"/>
    </row>
    <row r="744" ht="15" customHeight="1" s="28">
      <c r="A744" s="182" t="n">
        <v>730</v>
      </c>
      <c r="B744" s="182" t="n">
        <v>729</v>
      </c>
      <c r="C744" s="182" t="n">
        <v>4581.88</v>
      </c>
      <c r="D744" s="182" t="n">
        <v>4645.1435</v>
      </c>
      <c r="E744" s="182" t="n">
        <v>-63.2635</v>
      </c>
      <c r="F744" s="182" t="n">
        <v>4002.2652</v>
      </c>
      <c r="G744" s="182" t="n">
        <v>-5.97038</v>
      </c>
      <c r="H744" s="182" t="n">
        <v>10.831018</v>
      </c>
      <c r="I744" s="182" t="inlineStr"/>
    </row>
    <row r="745" ht="15" customHeight="1" s="28">
      <c r="A745" s="181" t="n">
        <v>731</v>
      </c>
      <c r="B745" s="181" t="n">
        <v>730</v>
      </c>
      <c r="C745" s="181" t="n">
        <v>4581.73</v>
      </c>
      <c r="D745" s="181" t="n">
        <v>4644.8896</v>
      </c>
      <c r="E745" s="181" t="n">
        <v>-63.1596</v>
      </c>
      <c r="F745" s="181" t="n">
        <v>3989.1304</v>
      </c>
      <c r="G745" s="181" t="n">
        <v>-5.941013</v>
      </c>
      <c r="H745" s="181" t="n">
        <v>10.760044</v>
      </c>
      <c r="I745" s="181" t="inlineStr"/>
    </row>
    <row r="746" ht="15" customHeight="1" s="28">
      <c r="A746" s="182" t="n">
        <v>732</v>
      </c>
      <c r="B746" s="182" t="n">
        <v>731</v>
      </c>
      <c r="C746" s="182" t="n">
        <v>4580.32</v>
      </c>
      <c r="D746" s="182" t="n">
        <v>4644.6357</v>
      </c>
      <c r="E746" s="182" t="n">
        <v>-64.31570000000001</v>
      </c>
      <c r="F746" s="182" t="n">
        <v>4136.5051</v>
      </c>
      <c r="G746" s="182" t="n">
        <v>-6.273263</v>
      </c>
      <c r="H746" s="182" t="n">
        <v>11.569769</v>
      </c>
      <c r="I746" s="182" t="inlineStr"/>
    </row>
    <row r="747" ht="15" customHeight="1" s="28">
      <c r="A747" s="181" t="n">
        <v>733</v>
      </c>
      <c r="B747" s="181" t="n">
        <v>732</v>
      </c>
      <c r="C747" s="181" t="n">
        <v>4568.29</v>
      </c>
      <c r="D747" s="181" t="n">
        <v>4644.3818</v>
      </c>
      <c r="E747" s="181" t="n">
        <v>-76.09180000000001</v>
      </c>
      <c r="F747" s="181" t="n">
        <v>5789.9577</v>
      </c>
      <c r="G747" s="181" t="n">
        <v>-10.388582</v>
      </c>
      <c r="H747" s="181" t="n">
        <v>22.667747</v>
      </c>
      <c r="I747" s="181" t="inlineStr"/>
    </row>
    <row r="748" ht="15" customHeight="1" s="28">
      <c r="A748" s="182" t="n">
        <v>734</v>
      </c>
      <c r="B748" s="182" t="n">
        <v>733</v>
      </c>
      <c r="C748" s="182" t="n">
        <v>4571.47</v>
      </c>
      <c r="D748" s="182" t="n">
        <v>4644.1279</v>
      </c>
      <c r="E748" s="182" t="n">
        <v>-72.6579</v>
      </c>
      <c r="F748" s="182" t="n">
        <v>5279.167</v>
      </c>
      <c r="G748" s="182" t="n">
        <v>-9.044639999999999</v>
      </c>
      <c r="H748" s="182" t="n">
        <v>18.844663</v>
      </c>
      <c r="I748" s="182" t="inlineStr"/>
    </row>
    <row r="749" ht="15" customHeight="1" s="28">
      <c r="A749" s="181" t="n">
        <v>735</v>
      </c>
      <c r="B749" s="181" t="n">
        <v>734</v>
      </c>
      <c r="C749" s="181" t="n">
        <v>4564.18</v>
      </c>
      <c r="D749" s="181" t="n">
        <v>4643.874</v>
      </c>
      <c r="E749" s="181" t="n">
        <v>-79.694</v>
      </c>
      <c r="F749" s="181" t="n">
        <v>6351.1306</v>
      </c>
      <c r="G749" s="181" t="n">
        <v>-11.934926</v>
      </c>
      <c r="H749" s="181" t="n">
        <v>27.27468</v>
      </c>
      <c r="I749" s="181" t="inlineStr"/>
    </row>
    <row r="750" ht="15" customHeight="1" s="28">
      <c r="A750" s="182" t="n">
        <v>736</v>
      </c>
      <c r="B750" s="182" t="n">
        <v>735</v>
      </c>
      <c r="C750" s="182" t="n">
        <v>4574.6</v>
      </c>
      <c r="D750" s="182" t="n">
        <v>4643.6201</v>
      </c>
      <c r="E750" s="182" t="n">
        <v>-69.0201</v>
      </c>
      <c r="F750" s="182" t="n">
        <v>4763.7722</v>
      </c>
      <c r="G750" s="182" t="n">
        <v>-7.752998</v>
      </c>
      <c r="H750" s="182" t="n">
        <v>15.34474</v>
      </c>
      <c r="I750" s="182" t="inlineStr"/>
    </row>
    <row r="751" ht="15" customHeight="1" s="28">
      <c r="A751" s="181" t="n">
        <v>737</v>
      </c>
      <c r="B751" s="181" t="n">
        <v>736</v>
      </c>
      <c r="C751" s="181" t="n">
        <v>4572.73</v>
      </c>
      <c r="D751" s="181" t="n">
        <v>4643.3662</v>
      </c>
      <c r="E751" s="181" t="n">
        <v>-70.6362</v>
      </c>
      <c r="F751" s="181" t="n">
        <v>4989.4713</v>
      </c>
      <c r="G751" s="181" t="n">
        <v>-8.310458000000001</v>
      </c>
      <c r="H751" s="181" t="n">
        <v>16.833198</v>
      </c>
      <c r="I751" s="181" t="inlineStr"/>
    </row>
    <row r="752" ht="15" customHeight="1" s="28">
      <c r="A752" s="182" t="n">
        <v>738</v>
      </c>
      <c r="B752" s="182" t="n">
        <v>737</v>
      </c>
      <c r="C752" s="182" t="n">
        <v>4577.09</v>
      </c>
      <c r="D752" s="182" t="n">
        <v>4643.1123</v>
      </c>
      <c r="E752" s="182" t="n">
        <v>-66.0223</v>
      </c>
      <c r="F752" s="182" t="n">
        <v>4358.9434</v>
      </c>
      <c r="G752" s="182" t="n">
        <v>-6.786018</v>
      </c>
      <c r="H752" s="182" t="n">
        <v>12.847541</v>
      </c>
      <c r="I752" s="182" t="inlineStr"/>
    </row>
    <row r="753" ht="15" customHeight="1" s="28">
      <c r="A753" s="181" t="n">
        <v>739</v>
      </c>
      <c r="B753" s="181" t="n">
        <v>738</v>
      </c>
      <c r="C753" s="181" t="n">
        <v>4577.82</v>
      </c>
      <c r="D753" s="181" t="n">
        <v>4642.8584</v>
      </c>
      <c r="E753" s="181" t="n">
        <v>-65.0384</v>
      </c>
      <c r="F753" s="181" t="n">
        <v>4229.9933</v>
      </c>
      <c r="G753" s="181" t="n">
        <v>-6.487132</v>
      </c>
      <c r="H753" s="181" t="n">
        <v>12.098651</v>
      </c>
      <c r="I753" s="181" t="inlineStr"/>
    </row>
    <row r="754" ht="15" customHeight="1" s="28">
      <c r="A754" s="182" t="n">
        <v>740</v>
      </c>
      <c r="B754" s="182" t="n">
        <v>739</v>
      </c>
      <c r="C754" s="182" t="n">
        <v>4586.48</v>
      </c>
      <c r="D754" s="182" t="n">
        <v>4642.6045</v>
      </c>
      <c r="E754" s="182" t="n">
        <v>-56.1245</v>
      </c>
      <c r="F754" s="182" t="n">
        <v>3149.9599</v>
      </c>
      <c r="G754" s="182" t="n">
        <v>-4.168701</v>
      </c>
      <c r="H754" s="182" t="n">
        <v>6.709152</v>
      </c>
      <c r="I754" s="182" t="inlineStr"/>
    </row>
    <row r="755" ht="15" customHeight="1" s="28">
      <c r="A755" s="181" t="n">
        <v>741</v>
      </c>
      <c r="B755" s="181" t="n">
        <v>740</v>
      </c>
      <c r="C755" s="181" t="n">
        <v>4585.4</v>
      </c>
      <c r="D755" s="181" t="n">
        <v>4642.3506</v>
      </c>
      <c r="E755" s="181" t="n">
        <v>-56.9506</v>
      </c>
      <c r="F755" s="181" t="n">
        <v>3243.3717</v>
      </c>
      <c r="G755" s="181" t="n">
        <v>-4.355503</v>
      </c>
      <c r="H755" s="181" t="n">
        <v>7.112971</v>
      </c>
      <c r="I755" s="181" t="inlineStr"/>
    </row>
    <row r="756" ht="15" customHeight="1" s="28">
      <c r="A756" s="182" t="n">
        <v>742</v>
      </c>
      <c r="B756" s="182" t="n">
        <v>741</v>
      </c>
      <c r="C756" s="182" t="n">
        <v>4582.74</v>
      </c>
      <c r="D756" s="182" t="n">
        <v>4642.0967</v>
      </c>
      <c r="E756" s="182" t="n">
        <v>-59.3567</v>
      </c>
      <c r="F756" s="182" t="n">
        <v>3523.2193</v>
      </c>
      <c r="G756" s="182" t="n">
        <v>-4.931201</v>
      </c>
      <c r="H756" s="182" t="n">
        <v>8.393381</v>
      </c>
      <c r="I756" s="182" t="inlineStr"/>
    </row>
    <row r="757" ht="15" customHeight="1" s="28">
      <c r="A757" s="181" t="n">
        <v>743</v>
      </c>
      <c r="B757" s="181" t="n">
        <v>742</v>
      </c>
      <c r="C757" s="181" t="n">
        <v>4585.06</v>
      </c>
      <c r="D757" s="181" t="n">
        <v>4641.8428</v>
      </c>
      <c r="E757" s="181" t="n">
        <v>-56.7828</v>
      </c>
      <c r="F757" s="181" t="n">
        <v>3224.2883</v>
      </c>
      <c r="G757" s="181" t="n">
        <v>-4.317119</v>
      </c>
      <c r="H757" s="181" t="n">
        <v>7.029514</v>
      </c>
      <c r="I757" s="181" t="inlineStr"/>
    </row>
    <row r="758" ht="15" customHeight="1" s="28">
      <c r="A758" s="182" t="n">
        <v>744</v>
      </c>
      <c r="B758" s="182" t="n">
        <v>743</v>
      </c>
      <c r="C758" s="182" t="n">
        <v>4592.2</v>
      </c>
      <c r="D758" s="182" t="n">
        <v>4641.5889</v>
      </c>
      <c r="E758" s="182" t="n">
        <v>-49.3889</v>
      </c>
      <c r="F758" s="182" t="n">
        <v>2439.2656</v>
      </c>
      <c r="G758" s="182" t="n">
        <v>-2.840742</v>
      </c>
      <c r="H758" s="182" t="n">
        <v>4.023238</v>
      </c>
      <c r="I758" s="182" t="inlineStr"/>
    </row>
    <row r="759" ht="15" customHeight="1" s="28">
      <c r="A759" s="181" t="n">
        <v>745</v>
      </c>
      <c r="B759" s="181" t="n">
        <v>744</v>
      </c>
      <c r="C759" s="181" t="n">
        <v>4593.67</v>
      </c>
      <c r="D759" s="181" t="n">
        <v>4641.335</v>
      </c>
      <c r="E759" s="181" t="n">
        <v>-47.665</v>
      </c>
      <c r="F759" s="181" t="n">
        <v>2271.9547</v>
      </c>
      <c r="G759" s="181" t="n">
        <v>-2.55354</v>
      </c>
      <c r="H759" s="181" t="n">
        <v>3.490253</v>
      </c>
      <c r="I759" s="181" t="inlineStr"/>
    </row>
    <row r="760" ht="15" customHeight="1" s="28">
      <c r="A760" s="182" t="n">
        <v>746</v>
      </c>
      <c r="B760" s="182" t="n">
        <v>745</v>
      </c>
      <c r="C760" s="182" t="n">
        <v>4593.49</v>
      </c>
      <c r="D760" s="182" t="n">
        <v>4641.0811</v>
      </c>
      <c r="E760" s="182" t="n">
        <v>-47.5911</v>
      </c>
      <c r="F760" s="182" t="n">
        <v>2264.9157</v>
      </c>
      <c r="G760" s="182" t="n">
        <v>-2.541682</v>
      </c>
      <c r="H760" s="182" t="n">
        <v>3.468659</v>
      </c>
      <c r="I760" s="182" t="inlineStr"/>
    </row>
    <row r="761" ht="15" customHeight="1" s="28">
      <c r="A761" s="181" t="n">
        <v>747</v>
      </c>
      <c r="B761" s="181" t="n">
        <v>746</v>
      </c>
      <c r="C761" s="181" t="n">
        <v>4599.02</v>
      </c>
      <c r="D761" s="181" t="n">
        <v>4640.8272</v>
      </c>
      <c r="E761" s="181" t="n">
        <v>-41.8072</v>
      </c>
      <c r="F761" s="181" t="n">
        <v>1747.8449</v>
      </c>
      <c r="G761" s="181" t="n">
        <v>-1.723049</v>
      </c>
      <c r="H761" s="181" t="n">
        <v>2.065681</v>
      </c>
      <c r="I761" s="181" t="inlineStr"/>
    </row>
    <row r="762" ht="15" customHeight="1" s="28">
      <c r="A762" s="182" t="n">
        <v>748</v>
      </c>
      <c r="B762" s="182" t="n">
        <v>747</v>
      </c>
      <c r="C762" s="182" t="n">
        <v>4594.77</v>
      </c>
      <c r="D762" s="182" t="n">
        <v>4640.5733</v>
      </c>
      <c r="E762" s="182" t="n">
        <v>-45.8033</v>
      </c>
      <c r="F762" s="182" t="n">
        <v>2097.9459</v>
      </c>
      <c r="G762" s="182" t="n">
        <v>-2.265868</v>
      </c>
      <c r="H762" s="182" t="n">
        <v>2.976091</v>
      </c>
      <c r="I762" s="182" t="inlineStr"/>
    </row>
    <row r="763" ht="15" customHeight="1" s="28">
      <c r="A763" s="181" t="n">
        <v>749</v>
      </c>
      <c r="B763" s="181" t="n">
        <v>748</v>
      </c>
      <c r="C763" s="181" t="n">
        <v>4596.1</v>
      </c>
      <c r="D763" s="181" t="n">
        <v>4640.3194</v>
      </c>
      <c r="E763" s="181" t="n">
        <v>-44.2194</v>
      </c>
      <c r="F763" s="181" t="n">
        <v>1955.3592</v>
      </c>
      <c r="G763" s="181" t="n">
        <v>-2.038839</v>
      </c>
      <c r="H763" s="181" t="n">
        <v>2.585298</v>
      </c>
      <c r="I763" s="181" t="inlineStr"/>
    </row>
    <row r="764" ht="15" customHeight="1" s="28">
      <c r="A764" s="182" t="n">
        <v>750</v>
      </c>
      <c r="B764" s="182" t="n">
        <v>749</v>
      </c>
      <c r="C764" s="182" t="n">
        <v>4598.91</v>
      </c>
      <c r="D764" s="182" t="n">
        <v>4640.0655</v>
      </c>
      <c r="E764" s="182" t="n">
        <v>-41.1555</v>
      </c>
      <c r="F764" s="182" t="n">
        <v>1693.7792</v>
      </c>
      <c r="G764" s="182" t="n">
        <v>-1.643722</v>
      </c>
      <c r="H764" s="182" t="n">
        <v>1.939863</v>
      </c>
      <c r="I764" s="182" t="inlineStr"/>
    </row>
    <row r="765" ht="15" customHeight="1" s="28">
      <c r="A765" s="181" t="n">
        <v>751</v>
      </c>
      <c r="B765" s="181" t="n">
        <v>750</v>
      </c>
      <c r="C765" s="181" t="n">
        <v>4597.74</v>
      </c>
      <c r="D765" s="181" t="n">
        <v>4639.8117</v>
      </c>
      <c r="E765" s="181" t="n">
        <v>-42.0717</v>
      </c>
      <c r="F765" s="181" t="n">
        <v>1770.024</v>
      </c>
      <c r="G765" s="181" t="n">
        <v>-1.755949</v>
      </c>
      <c r="H765" s="181" t="n">
        <v>2.118439</v>
      </c>
      <c r="I765" s="181" t="inlineStr"/>
    </row>
    <row r="766" ht="15" customHeight="1" s="28">
      <c r="A766" s="182" t="n">
        <v>752</v>
      </c>
      <c r="B766" s="182" t="n">
        <v>751</v>
      </c>
      <c r="C766" s="182" t="n">
        <v>4594.2</v>
      </c>
      <c r="D766" s="182" t="n">
        <v>4639.5578</v>
      </c>
      <c r="E766" s="182" t="n">
        <v>-45.3578</v>
      </c>
      <c r="F766" s="182" t="n">
        <v>2057.3262</v>
      </c>
      <c r="G766" s="182" t="n">
        <v>-2.200381</v>
      </c>
      <c r="H766" s="182" t="n">
        <v>2.861962</v>
      </c>
      <c r="I766" s="182" t="inlineStr"/>
    </row>
    <row r="767" ht="15" customHeight="1" s="28">
      <c r="A767" s="181" t="n">
        <v>753</v>
      </c>
      <c r="B767" s="181" t="n">
        <v>752</v>
      </c>
      <c r="C767" s="181" t="n">
        <v>4595.75</v>
      </c>
      <c r="D767" s="181" t="n">
        <v>4639.3039</v>
      </c>
      <c r="E767" s="181" t="n">
        <v>-43.5539</v>
      </c>
      <c r="F767" s="181" t="n">
        <v>1896.9389</v>
      </c>
      <c r="G767" s="181" t="n">
        <v>-1.948154</v>
      </c>
      <c r="H767" s="181" t="n">
        <v>2.433124</v>
      </c>
      <c r="I767" s="181" t="inlineStr"/>
    </row>
    <row r="768" ht="15" customHeight="1" s="28">
      <c r="A768" s="182" t="n">
        <v>754</v>
      </c>
      <c r="B768" s="182" t="n">
        <v>753</v>
      </c>
      <c r="C768" s="182" t="n">
        <v>4596.22</v>
      </c>
      <c r="D768" s="182" t="n">
        <v>4639.05</v>
      </c>
      <c r="E768" s="182" t="n">
        <v>-42.83</v>
      </c>
      <c r="F768" s="182" t="n">
        <v>1834.406</v>
      </c>
      <c r="G768" s="182" t="n">
        <v>-1.85262</v>
      </c>
      <c r="H768" s="182" t="n">
        <v>2.275352</v>
      </c>
      <c r="I768" s="182" t="inlineStr"/>
    </row>
    <row r="769" ht="15" customHeight="1" s="28">
      <c r="A769" s="181" t="n">
        <v>755</v>
      </c>
      <c r="B769" s="181" t="n">
        <v>754</v>
      </c>
      <c r="C769" s="181" t="n">
        <v>4598.52</v>
      </c>
      <c r="D769" s="181" t="n">
        <v>4638.7961</v>
      </c>
      <c r="E769" s="181" t="n">
        <v>-40.2761</v>
      </c>
      <c r="F769" s="181" t="n">
        <v>1622.1619</v>
      </c>
      <c r="G769" s="181" t="n">
        <v>-1.540581</v>
      </c>
      <c r="H769" s="181" t="n">
        <v>1.779287</v>
      </c>
      <c r="I769" s="181" t="inlineStr"/>
    </row>
    <row r="770" ht="15" customHeight="1" s="28">
      <c r="A770" s="182" t="n">
        <v>756</v>
      </c>
      <c r="B770" s="182" t="n">
        <v>755</v>
      </c>
      <c r="C770" s="182" t="n">
        <v>4595.7</v>
      </c>
      <c r="D770" s="182" t="n">
        <v>4638.5422</v>
      </c>
      <c r="E770" s="182" t="n">
        <v>-42.8422</v>
      </c>
      <c r="F770" s="182" t="n">
        <v>1835.452</v>
      </c>
      <c r="G770" s="182" t="n">
        <v>-1.854205</v>
      </c>
      <c r="H770" s="182" t="n">
        <v>2.277947</v>
      </c>
      <c r="I770" s="182" t="inlineStr"/>
    </row>
    <row r="771" ht="15" customHeight="1" s="28">
      <c r="A771" s="181" t="n">
        <v>757</v>
      </c>
      <c r="B771" s="181" t="n">
        <v>756</v>
      </c>
      <c r="C771" s="181" t="n">
        <v>4597.28</v>
      </c>
      <c r="D771" s="181" t="n">
        <v>4638.2883</v>
      </c>
      <c r="E771" s="181" t="n">
        <v>-41.0083</v>
      </c>
      <c r="F771" s="181" t="n">
        <v>1681.679</v>
      </c>
      <c r="G771" s="181" t="n">
        <v>-1.62614</v>
      </c>
      <c r="H771" s="181" t="n">
        <v>1.912246</v>
      </c>
      <c r="I771" s="181" t="inlineStr"/>
    </row>
    <row r="772" ht="15" customHeight="1" s="28">
      <c r="A772" s="182" t="n">
        <v>758</v>
      </c>
      <c r="B772" s="182" t="n">
        <v>757</v>
      </c>
      <c r="C772" s="182" t="n">
        <v>4592.85</v>
      </c>
      <c r="D772" s="182" t="n">
        <v>4638.0344</v>
      </c>
      <c r="E772" s="182" t="n">
        <v>-45.1844</v>
      </c>
      <c r="F772" s="182" t="n">
        <v>2041.6286</v>
      </c>
      <c r="G772" s="182" t="n">
        <v>-2.175246</v>
      </c>
      <c r="H772" s="182" t="n">
        <v>2.818455</v>
      </c>
      <c r="I772" s="182" t="inlineStr"/>
    </row>
    <row r="773" ht="15" customHeight="1" s="28">
      <c r="A773" s="181" t="n">
        <v>759</v>
      </c>
      <c r="B773" s="181" t="n">
        <v>758</v>
      </c>
      <c r="C773" s="181" t="n">
        <v>4593.44</v>
      </c>
      <c r="D773" s="181" t="n">
        <v>4637.7805</v>
      </c>
      <c r="E773" s="181" t="n">
        <v>-44.3405</v>
      </c>
      <c r="F773" s="181" t="n">
        <v>1966.079</v>
      </c>
      <c r="G773" s="181" t="n">
        <v>-2.055628</v>
      </c>
      <c r="H773" s="181" t="n">
        <v>2.613723</v>
      </c>
      <c r="I773" s="181" t="inlineStr"/>
    </row>
    <row r="774" ht="15" customHeight="1" s="28">
      <c r="A774" s="182" t="n">
        <v>760</v>
      </c>
      <c r="B774" s="182" t="n">
        <v>759</v>
      </c>
      <c r="C774" s="182" t="n">
        <v>4597.18</v>
      </c>
      <c r="D774" s="182" t="n">
        <v>4637.5266</v>
      </c>
      <c r="E774" s="182" t="n">
        <v>-40.3466</v>
      </c>
      <c r="F774" s="182" t="n">
        <v>1627.8476</v>
      </c>
      <c r="G774" s="182" t="n">
        <v>-1.548688</v>
      </c>
      <c r="H774" s="182" t="n">
        <v>1.791782</v>
      </c>
      <c r="I774" s="182" t="inlineStr"/>
    </row>
    <row r="775" ht="15" customHeight="1" s="28">
      <c r="A775" s="181" t="n">
        <v>761</v>
      </c>
      <c r="B775" s="181" t="n">
        <v>760</v>
      </c>
      <c r="C775" s="181" t="n">
        <v>4596.42</v>
      </c>
      <c r="D775" s="181" t="n">
        <v>4637.2727</v>
      </c>
      <c r="E775" s="181" t="n">
        <v>-40.8527</v>
      </c>
      <c r="F775" s="181" t="n">
        <v>1668.9429</v>
      </c>
      <c r="G775" s="181" t="n">
        <v>-1.607701</v>
      </c>
      <c r="H775" s="181" t="n">
        <v>1.883391</v>
      </c>
      <c r="I775" s="181" t="inlineStr"/>
    </row>
    <row r="776" ht="15" customHeight="1" s="28">
      <c r="A776" s="182" t="n">
        <v>762</v>
      </c>
      <c r="B776" s="182" t="n">
        <v>761</v>
      </c>
      <c r="C776" s="182" t="n">
        <v>4595.82</v>
      </c>
      <c r="D776" s="182" t="n">
        <v>4637.0188</v>
      </c>
      <c r="E776" s="182" t="n">
        <v>-41.1988</v>
      </c>
      <c r="F776" s="182" t="n">
        <v>1697.3413</v>
      </c>
      <c r="G776" s="182" t="n">
        <v>-1.64891</v>
      </c>
      <c r="H776" s="182" t="n">
        <v>1.948031</v>
      </c>
      <c r="I776" s="182" t="inlineStr"/>
    </row>
    <row r="777" ht="15" customHeight="1" s="28">
      <c r="A777" s="181" t="n">
        <v>763</v>
      </c>
      <c r="B777" s="181" t="n">
        <v>762</v>
      </c>
      <c r="C777" s="181" t="n">
        <v>4593.71</v>
      </c>
      <c r="D777" s="181" t="n">
        <v>4636.7649</v>
      </c>
      <c r="E777" s="181" t="n">
        <v>-43.0549</v>
      </c>
      <c r="F777" s="181" t="n">
        <v>1853.725</v>
      </c>
      <c r="G777" s="181" t="n">
        <v>-1.881963</v>
      </c>
      <c r="H777" s="181" t="n">
        <v>2.32353</v>
      </c>
      <c r="I777" s="181" t="inlineStr"/>
    </row>
    <row r="778" ht="15" customHeight="1" s="28">
      <c r="A778" s="182" t="n">
        <v>764</v>
      </c>
      <c r="B778" s="182" t="n">
        <v>763</v>
      </c>
      <c r="C778" s="182" t="n">
        <v>4594.16</v>
      </c>
      <c r="D778" s="182" t="n">
        <v>4636.511</v>
      </c>
      <c r="E778" s="182" t="n">
        <v>-42.351</v>
      </c>
      <c r="F778" s="182" t="n">
        <v>1793.6082</v>
      </c>
      <c r="G778" s="182" t="n">
        <v>-1.791161</v>
      </c>
      <c r="H778" s="182" t="n">
        <v>2.175268</v>
      </c>
      <c r="I778" s="182" t="inlineStr"/>
    </row>
    <row r="779" ht="15" customHeight="1" s="28">
      <c r="A779" s="181" t="n">
        <v>765</v>
      </c>
      <c r="B779" s="181" t="n">
        <v>764</v>
      </c>
      <c r="C779" s="181" t="n">
        <v>4590.84</v>
      </c>
      <c r="D779" s="181" t="n">
        <v>4636.2571</v>
      </c>
      <c r="E779" s="181" t="n">
        <v>-45.4171</v>
      </c>
      <c r="F779" s="181" t="n">
        <v>2062.7144</v>
      </c>
      <c r="G779" s="181" t="n">
        <v>-2.209031</v>
      </c>
      <c r="H779" s="181" t="n">
        <v>2.876973</v>
      </c>
      <c r="I779" s="181" t="inlineStr"/>
    </row>
    <row r="780" ht="15" customHeight="1" s="28">
      <c r="A780" s="182" t="n">
        <v>766</v>
      </c>
      <c r="B780" s="182" t="n">
        <v>765</v>
      </c>
      <c r="C780" s="182" t="n">
        <v>4592.2</v>
      </c>
      <c r="D780" s="182" t="n">
        <v>4636.0032</v>
      </c>
      <c r="E780" s="182" t="n">
        <v>-43.8032</v>
      </c>
      <c r="F780" s="182" t="n">
        <v>1918.7221</v>
      </c>
      <c r="G780" s="182" t="n">
        <v>-1.981807</v>
      </c>
      <c r="H780" s="182" t="n">
        <v>2.489326</v>
      </c>
      <c r="I780" s="182" t="inlineStr"/>
    </row>
    <row r="781" ht="15" customHeight="1" s="28">
      <c r="A781" s="181" t="n">
        <v>767</v>
      </c>
      <c r="B781" s="181" t="n">
        <v>766</v>
      </c>
      <c r="C781" s="181" t="n">
        <v>4589.91</v>
      </c>
      <c r="D781" s="181" t="n">
        <v>4635.7493</v>
      </c>
      <c r="E781" s="181" t="n">
        <v>-45.8393</v>
      </c>
      <c r="F781" s="181" t="n">
        <v>2101.2437</v>
      </c>
      <c r="G781" s="181" t="n">
        <v>-2.271213</v>
      </c>
      <c r="H781" s="181" t="n">
        <v>2.985454</v>
      </c>
      <c r="I781" s="181" t="inlineStr"/>
    </row>
    <row r="782" ht="15" customHeight="1" s="28">
      <c r="A782" s="182" t="n">
        <v>768</v>
      </c>
      <c r="B782" s="182" t="n">
        <v>767</v>
      </c>
      <c r="C782" s="182" t="n">
        <v>4595.51</v>
      </c>
      <c r="D782" s="182" t="n">
        <v>4635.4954</v>
      </c>
      <c r="E782" s="182" t="n">
        <v>-39.9854</v>
      </c>
      <c r="F782" s="182" t="n">
        <v>1598.8346</v>
      </c>
      <c r="G782" s="182" t="n">
        <v>-1.507469</v>
      </c>
      <c r="H782" s="182" t="n">
        <v>1.728481</v>
      </c>
      <c r="I782" s="182" t="inlineStr"/>
    </row>
    <row r="783" ht="15" customHeight="1" s="28">
      <c r="A783" s="181" t="n">
        <v>769</v>
      </c>
      <c r="B783" s="181" t="n">
        <v>768</v>
      </c>
      <c r="C783" s="181" t="n">
        <v>4607.37</v>
      </c>
      <c r="D783" s="181" t="n">
        <v>4635.2415</v>
      </c>
      <c r="E783" s="181" t="n">
        <v>-27.8715</v>
      </c>
      <c r="F783" s="181" t="n">
        <v>776.8224</v>
      </c>
      <c r="G783" s="181" t="n">
        <v>-0.510535</v>
      </c>
      <c r="H783" s="181" t="n">
        <v>0.408038</v>
      </c>
      <c r="I783" s="181" t="inlineStr"/>
    </row>
    <row r="784" ht="15" customHeight="1" s="28">
      <c r="A784" s="182" t="n">
        <v>770</v>
      </c>
      <c r="B784" s="182" t="n">
        <v>769</v>
      </c>
      <c r="C784" s="182" t="n">
        <v>4600.13</v>
      </c>
      <c r="D784" s="182" t="n">
        <v>4634.9876</v>
      </c>
      <c r="E784" s="182" t="n">
        <v>-34.8576</v>
      </c>
      <c r="F784" s="182" t="n">
        <v>1215.055</v>
      </c>
      <c r="G784" s="182" t="n">
        <v>-0.998705</v>
      </c>
      <c r="H784" s="182" t="n">
        <v>0.998273</v>
      </c>
      <c r="I784" s="182" t="inlineStr"/>
    </row>
    <row r="785" ht="15" customHeight="1" s="28">
      <c r="A785" s="181" t="n">
        <v>771</v>
      </c>
      <c r="B785" s="181" t="n">
        <v>770</v>
      </c>
      <c r="C785" s="181" t="n">
        <v>4603.88</v>
      </c>
      <c r="D785" s="181" t="n">
        <v>4634.7337</v>
      </c>
      <c r="E785" s="181" t="n">
        <v>-30.8537</v>
      </c>
      <c r="F785" s="181" t="n">
        <v>951.9535</v>
      </c>
      <c r="G785" s="181" t="n">
        <v>-0.6925750000000001</v>
      </c>
      <c r="H785" s="181" t="n">
        <v>0.612758</v>
      </c>
      <c r="I785" s="181" t="inlineStr"/>
    </row>
    <row r="786" ht="15" customHeight="1" s="28">
      <c r="A786" s="182" t="n">
        <v>772</v>
      </c>
      <c r="B786" s="182" t="n">
        <v>771</v>
      </c>
      <c r="C786" s="182" t="n">
        <v>4600.27</v>
      </c>
      <c r="D786" s="182" t="n">
        <v>4634.4798</v>
      </c>
      <c r="E786" s="182" t="n">
        <v>-34.2098</v>
      </c>
      <c r="F786" s="182" t="n">
        <v>1170.3137</v>
      </c>
      <c r="G786" s="182" t="n">
        <v>-0.944053</v>
      </c>
      <c r="H786" s="182" t="n">
        <v>0.926109</v>
      </c>
      <c r="I786" s="182" t="inlineStr"/>
    </row>
    <row r="787" ht="15" customHeight="1" s="28">
      <c r="A787" s="181" t="n">
        <v>773</v>
      </c>
      <c r="B787" s="181" t="n">
        <v>772</v>
      </c>
      <c r="C787" s="181" t="n">
        <v>4582.65</v>
      </c>
      <c r="D787" s="181" t="n">
        <v>4634.226</v>
      </c>
      <c r="E787" s="181" t="n">
        <v>-51.576</v>
      </c>
      <c r="F787" s="181" t="n">
        <v>2660.0788</v>
      </c>
      <c r="G787" s="181" t="n">
        <v>-3.235079</v>
      </c>
      <c r="H787" s="181" t="n">
        <v>4.78461</v>
      </c>
      <c r="I787" s="181" t="inlineStr"/>
    </row>
    <row r="788" ht="15" customHeight="1" s="28">
      <c r="A788" s="182" t="n">
        <v>774</v>
      </c>
      <c r="B788" s="182" t="n">
        <v>773</v>
      </c>
      <c r="C788" s="182" t="n">
        <v>4580.48</v>
      </c>
      <c r="D788" s="182" t="n">
        <v>4633.9721</v>
      </c>
      <c r="E788" s="182" t="n">
        <v>-53.4921</v>
      </c>
      <c r="F788" s="182" t="n">
        <v>2861.4001</v>
      </c>
      <c r="G788" s="182" t="n">
        <v>-3.609201</v>
      </c>
      <c r="H788" s="182" t="n">
        <v>5.536238</v>
      </c>
      <c r="I788" s="182" t="inlineStr"/>
    </row>
    <row r="789" ht="15" customHeight="1" s="28">
      <c r="A789" s="181" t="n">
        <v>775</v>
      </c>
      <c r="B789" s="181" t="n">
        <v>774</v>
      </c>
      <c r="C789" s="181" t="n">
        <v>4590.56</v>
      </c>
      <c r="D789" s="181" t="n">
        <v>4633.7182</v>
      </c>
      <c r="E789" s="181" t="n">
        <v>-43.1582</v>
      </c>
      <c r="F789" s="181" t="n">
        <v>1862.6269</v>
      </c>
      <c r="G789" s="181" t="n">
        <v>-1.895536</v>
      </c>
      <c r="H789" s="181" t="n">
        <v>2.345899</v>
      </c>
      <c r="I789" s="181" t="inlineStr"/>
    </row>
    <row r="790" ht="15" customHeight="1" s="28">
      <c r="A790" s="182" t="n">
        <v>776</v>
      </c>
      <c r="B790" s="182" t="n">
        <v>775</v>
      </c>
      <c r="C790" s="182" t="n">
        <v>4584.98</v>
      </c>
      <c r="D790" s="182" t="n">
        <v>4633.4643</v>
      </c>
      <c r="E790" s="182" t="n">
        <v>-48.4843</v>
      </c>
      <c r="F790" s="182" t="n">
        <v>2350.724</v>
      </c>
      <c r="G790" s="182" t="n">
        <v>-2.687482</v>
      </c>
      <c r="H790" s="182" t="n">
        <v>3.736464</v>
      </c>
      <c r="I790" s="182" t="inlineStr"/>
    </row>
    <row r="791" ht="15" customHeight="1" s="28">
      <c r="A791" s="181" t="n">
        <v>777</v>
      </c>
      <c r="B791" s="181" t="n">
        <v>776</v>
      </c>
      <c r="C791" s="181" t="n">
        <v>4600.87</v>
      </c>
      <c r="D791" s="181" t="n">
        <v>4633.2104</v>
      </c>
      <c r="E791" s="181" t="n">
        <v>-32.3404</v>
      </c>
      <c r="F791" s="181" t="n">
        <v>1045.8995</v>
      </c>
      <c r="G791" s="181" t="n">
        <v>-0.797587</v>
      </c>
      <c r="H791" s="181" t="n">
        <v>0.739669</v>
      </c>
      <c r="I791" s="181" t="inlineStr"/>
    </row>
    <row r="792" ht="15" customHeight="1" s="28">
      <c r="A792" s="182" t="n">
        <v>778</v>
      </c>
      <c r="B792" s="182" t="n">
        <v>777</v>
      </c>
      <c r="C792" s="182" t="n">
        <v>4598.93</v>
      </c>
      <c r="D792" s="182" t="n">
        <v>4632.9565</v>
      </c>
      <c r="E792" s="182" t="n">
        <v>-34.0265</v>
      </c>
      <c r="F792" s="182" t="n">
        <v>1157.801</v>
      </c>
      <c r="G792" s="182" t="n">
        <v>-0.9289539999999999</v>
      </c>
      <c r="H792" s="182" t="n">
        <v>0.906411</v>
      </c>
      <c r="I792" s="182" t="inlineStr"/>
    </row>
    <row r="793" ht="15" customHeight="1" s="28">
      <c r="A793" s="181" t="n">
        <v>779</v>
      </c>
      <c r="B793" s="181" t="n">
        <v>778</v>
      </c>
      <c r="C793" s="181" t="n">
        <v>4596.92</v>
      </c>
      <c r="D793" s="181" t="n">
        <v>4632.7026</v>
      </c>
      <c r="E793" s="181" t="n">
        <v>-35.7826</v>
      </c>
      <c r="F793" s="181" t="n">
        <v>1280.393</v>
      </c>
      <c r="G793" s="181" t="n">
        <v>-1.080334</v>
      </c>
      <c r="H793" s="181" t="n">
        <v>1.108522</v>
      </c>
      <c r="I793" s="181" t="inlineStr"/>
    </row>
    <row r="794" ht="15" customHeight="1" s="28">
      <c r="A794" s="182" t="n">
        <v>780</v>
      </c>
      <c r="B794" s="182" t="n">
        <v>779</v>
      </c>
      <c r="C794" s="182" t="n">
        <v>4593.75</v>
      </c>
      <c r="D794" s="182" t="n">
        <v>4632.4487</v>
      </c>
      <c r="E794" s="182" t="n">
        <v>-38.6987</v>
      </c>
      <c r="F794" s="182" t="n">
        <v>1497.5881</v>
      </c>
      <c r="G794" s="182" t="n">
        <v>-1.36657</v>
      </c>
      <c r="H794" s="182" t="n">
        <v>1.5165</v>
      </c>
      <c r="I794" s="182" t="inlineStr"/>
    </row>
    <row r="795" ht="15" customHeight="1" s="28">
      <c r="A795" s="181" t="n">
        <v>781</v>
      </c>
      <c r="B795" s="181" t="n">
        <v>780</v>
      </c>
      <c r="C795" s="181" t="n">
        <v>4601.89</v>
      </c>
      <c r="D795" s="181" t="n">
        <v>4632.1948</v>
      </c>
      <c r="E795" s="181" t="n">
        <v>-30.3048</v>
      </c>
      <c r="F795" s="181" t="n">
        <v>918.3801999999999</v>
      </c>
      <c r="G795" s="181" t="n">
        <v>-0.656262</v>
      </c>
      <c r="H795" s="181" t="n">
        <v>0.570299</v>
      </c>
      <c r="I795" s="181" t="inlineStr"/>
    </row>
    <row r="796" ht="15" customHeight="1" s="28">
      <c r="A796" s="182" t="n">
        <v>782</v>
      </c>
      <c r="B796" s="182" t="n">
        <v>781</v>
      </c>
      <c r="C796" s="182" t="n">
        <v>4598.67</v>
      </c>
      <c r="D796" s="182" t="n">
        <v>4631.9409</v>
      </c>
      <c r="E796" s="182" t="n">
        <v>-33.2709</v>
      </c>
      <c r="F796" s="182" t="n">
        <v>1106.9523</v>
      </c>
      <c r="G796" s="182" t="n">
        <v>-0.868433</v>
      </c>
      <c r="H796" s="182" t="n">
        <v>0.8285439999999999</v>
      </c>
      <c r="I796" s="182" t="inlineStr"/>
    </row>
    <row r="797" ht="15" customHeight="1" s="28">
      <c r="A797" s="181" t="n">
        <v>783</v>
      </c>
      <c r="B797" s="181" t="n">
        <v>782</v>
      </c>
      <c r="C797" s="181" t="n">
        <v>4593.91</v>
      </c>
      <c r="D797" s="181" t="n">
        <v>4631.687</v>
      </c>
      <c r="E797" s="181" t="n">
        <v>-37.777</v>
      </c>
      <c r="F797" s="181" t="n">
        <v>1427.1015</v>
      </c>
      <c r="G797" s="181" t="n">
        <v>-1.271234</v>
      </c>
      <c r="H797" s="181" t="n">
        <v>1.377106</v>
      </c>
      <c r="I797" s="181" t="inlineStr"/>
    </row>
    <row r="798" ht="15" customHeight="1" s="28">
      <c r="A798" s="182" t="n">
        <v>784</v>
      </c>
      <c r="B798" s="182" t="n">
        <v>783</v>
      </c>
      <c r="C798" s="182" t="n">
        <v>4595.48</v>
      </c>
      <c r="D798" s="182" t="n">
        <v>4631.4331</v>
      </c>
      <c r="E798" s="182" t="n">
        <v>-35.9531</v>
      </c>
      <c r="F798" s="182" t="n">
        <v>1292.6255</v>
      </c>
      <c r="G798" s="182" t="n">
        <v>-1.095853</v>
      </c>
      <c r="H798" s="182" t="n">
        <v>1.129804</v>
      </c>
      <c r="I798" s="182" t="inlineStr"/>
    </row>
    <row r="799" ht="15" customHeight="1" s="28">
      <c r="A799" s="181" t="n">
        <v>785</v>
      </c>
      <c r="B799" s="181" t="n">
        <v>784</v>
      </c>
      <c r="C799" s="181" t="n">
        <v>4600.68</v>
      </c>
      <c r="D799" s="181" t="n">
        <v>4631.1792</v>
      </c>
      <c r="E799" s="181" t="n">
        <v>-30.4992</v>
      </c>
      <c r="F799" s="181" t="n">
        <v>930.2016</v>
      </c>
      <c r="G799" s="181" t="n">
        <v>-0.668973</v>
      </c>
      <c r="H799" s="181" t="n">
        <v>0.585075</v>
      </c>
      <c r="I799" s="181" t="inlineStr"/>
    </row>
    <row r="800" ht="15" customHeight="1" s="28">
      <c r="A800" s="182" t="n">
        <v>786</v>
      </c>
      <c r="B800" s="182" t="n">
        <v>785</v>
      </c>
      <c r="C800" s="182" t="n">
        <v>4601.86</v>
      </c>
      <c r="D800" s="182" t="n">
        <v>4630.9253</v>
      </c>
      <c r="E800" s="182" t="n">
        <v>-29.0653</v>
      </c>
      <c r="F800" s="182" t="n">
        <v>844.7923</v>
      </c>
      <c r="G800" s="182" t="n">
        <v>-0.578986</v>
      </c>
      <c r="H800" s="182" t="n">
        <v>0.482567</v>
      </c>
      <c r="I800" s="182" t="inlineStr"/>
    </row>
    <row r="801" ht="15" customHeight="1" s="28">
      <c r="A801" s="181" t="n">
        <v>787</v>
      </c>
      <c r="B801" s="181" t="n">
        <v>786</v>
      </c>
      <c r="C801" s="181" t="n">
        <v>4602.15</v>
      </c>
      <c r="D801" s="181" t="n">
        <v>4630.6714</v>
      </c>
      <c r="E801" s="181" t="n">
        <v>-28.5214</v>
      </c>
      <c r="F801" s="181" t="n">
        <v>813.4711</v>
      </c>
      <c r="G801" s="181" t="n">
        <v>-0.547087</v>
      </c>
      <c r="H801" s="181" t="n">
        <v>0.447447</v>
      </c>
      <c r="I801" s="181" t="inlineStr"/>
    </row>
    <row r="802" ht="15" customHeight="1" s="28">
      <c r="A802" s="182" t="n">
        <v>788</v>
      </c>
      <c r="B802" s="182" t="n">
        <v>787</v>
      </c>
      <c r="C802" s="182" t="n">
        <v>4604.85</v>
      </c>
      <c r="D802" s="182" t="n">
        <v>4630.4175</v>
      </c>
      <c r="E802" s="182" t="n">
        <v>-25.5675</v>
      </c>
      <c r="F802" s="182" t="n">
        <v>653.6981</v>
      </c>
      <c r="G802" s="182" t="n">
        <v>-0.394102</v>
      </c>
      <c r="H802" s="182" t="n">
        <v>0.288943</v>
      </c>
      <c r="I802" s="182" t="inlineStr"/>
    </row>
    <row r="803" ht="15" customHeight="1" s="28">
      <c r="A803" s="181" t="n">
        <v>789</v>
      </c>
      <c r="B803" s="181" t="n">
        <v>788</v>
      </c>
      <c r="C803" s="181" t="n">
        <v>4601.15</v>
      </c>
      <c r="D803" s="181" t="n">
        <v>4630.1636</v>
      </c>
      <c r="E803" s="181" t="n">
        <v>-29.0136</v>
      </c>
      <c r="F803" s="181" t="n">
        <v>841.7904</v>
      </c>
      <c r="G803" s="181" t="n">
        <v>-0.5759030000000001</v>
      </c>
      <c r="H803" s="181" t="n">
        <v>0.479143</v>
      </c>
      <c r="I803" s="181" t="inlineStr"/>
    </row>
    <row r="804" ht="15" customHeight="1" s="28">
      <c r="A804" s="182" t="n">
        <v>790</v>
      </c>
      <c r="B804" s="182" t="n">
        <v>789</v>
      </c>
      <c r="C804" s="182" t="n">
        <v>4600.72</v>
      </c>
      <c r="D804" s="182" t="n">
        <v>4629.9097</v>
      </c>
      <c r="E804" s="182" t="n">
        <v>-29.1897</v>
      </c>
      <c r="F804" s="182" t="n">
        <v>852.0403</v>
      </c>
      <c r="G804" s="182" t="n">
        <v>-0.586453</v>
      </c>
      <c r="H804" s="182" t="n">
        <v>0.490883</v>
      </c>
      <c r="I804" s="182" t="inlineStr"/>
    </row>
    <row r="805" ht="15" customHeight="1" s="28">
      <c r="A805" s="181" t="n">
        <v>791</v>
      </c>
      <c r="B805" s="181" t="n">
        <v>790</v>
      </c>
      <c r="C805" s="181" t="n">
        <v>4599.05</v>
      </c>
      <c r="D805" s="181" t="n">
        <v>4629.6558</v>
      </c>
      <c r="E805" s="181" t="n">
        <v>-30.6058</v>
      </c>
      <c r="F805" s="181" t="n">
        <v>936.717</v>
      </c>
      <c r="G805" s="181" t="n">
        <v>-0.676014</v>
      </c>
      <c r="H805" s="181" t="n">
        <v>0.5933</v>
      </c>
      <c r="I805" s="181" t="inlineStr"/>
    </row>
    <row r="806" ht="15" customHeight="1" s="28">
      <c r="A806" s="182" t="n">
        <v>792</v>
      </c>
      <c r="B806" s="182" t="n">
        <v>791</v>
      </c>
      <c r="C806" s="182" t="n">
        <v>4590.9</v>
      </c>
      <c r="D806" s="182" t="n">
        <v>4629.4019</v>
      </c>
      <c r="E806" s="182" t="n">
        <v>-38.5019</v>
      </c>
      <c r="F806" s="182" t="n">
        <v>1482.3992</v>
      </c>
      <c r="G806" s="182" t="n">
        <v>-1.345832</v>
      </c>
      <c r="H806" s="182" t="n">
        <v>1.485894</v>
      </c>
      <c r="I806" s="182" t="inlineStr"/>
    </row>
    <row r="807" ht="15" customHeight="1" s="28">
      <c r="A807" s="181" t="n">
        <v>793</v>
      </c>
      <c r="B807" s="181" t="n">
        <v>792</v>
      </c>
      <c r="C807" s="181" t="n">
        <v>4588.73</v>
      </c>
      <c r="D807" s="181" t="n">
        <v>4629.148</v>
      </c>
      <c r="E807" s="181" t="n">
        <v>-40.418</v>
      </c>
      <c r="F807" s="181" t="n">
        <v>1633.6181</v>
      </c>
      <c r="G807" s="181" t="n">
        <v>-1.55693</v>
      </c>
      <c r="H807" s="181" t="n">
        <v>1.804507</v>
      </c>
      <c r="I807" s="181" t="inlineStr"/>
    </row>
    <row r="808" ht="15" customHeight="1" s="28">
      <c r="A808" s="182" t="n">
        <v>794</v>
      </c>
      <c r="B808" s="182" t="n">
        <v>793</v>
      </c>
      <c r="C808" s="182" t="n">
        <v>4585.04</v>
      </c>
      <c r="D808" s="182" t="n">
        <v>4628.8941</v>
      </c>
      <c r="E808" s="182" t="n">
        <v>-43.8541</v>
      </c>
      <c r="F808" s="182" t="n">
        <v>1923.1862</v>
      </c>
      <c r="G808" s="182" t="n">
        <v>-1.988727</v>
      </c>
      <c r="H808" s="182" t="n">
        <v>2.500922</v>
      </c>
      <c r="I808" s="182" t="inlineStr"/>
    </row>
    <row r="809" ht="15" customHeight="1" s="28">
      <c r="A809" s="181" t="n">
        <v>795</v>
      </c>
      <c r="B809" s="181" t="n">
        <v>794</v>
      </c>
      <c r="C809" s="181" t="n">
        <v>4585.03</v>
      </c>
      <c r="D809" s="181" t="n">
        <v>4628.6403</v>
      </c>
      <c r="E809" s="181" t="n">
        <v>-43.6103</v>
      </c>
      <c r="F809" s="181" t="n">
        <v>1901.854</v>
      </c>
      <c r="G809" s="181" t="n">
        <v>-1.95573</v>
      </c>
      <c r="H809" s="181" t="n">
        <v>2.445749</v>
      </c>
      <c r="I809" s="181" t="inlineStr"/>
    </row>
    <row r="810" ht="15" customHeight="1" s="28">
      <c r="A810" s="182" t="n">
        <v>796</v>
      </c>
      <c r="B810" s="182" t="n">
        <v>795</v>
      </c>
      <c r="C810" s="182" t="n">
        <v>4584.52</v>
      </c>
      <c r="D810" s="182" t="n">
        <v>4628.3864</v>
      </c>
      <c r="E810" s="182" t="n">
        <v>-43.8664</v>
      </c>
      <c r="F810" s="182" t="n">
        <v>1924.2572</v>
      </c>
      <c r="G810" s="182" t="n">
        <v>-1.990388</v>
      </c>
      <c r="H810" s="182" t="n">
        <v>2.503709</v>
      </c>
      <c r="I810" s="182" t="inlineStr"/>
    </row>
    <row r="811" ht="15" customHeight="1" s="28">
      <c r="A811" s="181" t="n">
        <v>797</v>
      </c>
      <c r="B811" s="181" t="n">
        <v>796</v>
      </c>
      <c r="C811" s="181" t="n">
        <v>4578.72</v>
      </c>
      <c r="D811" s="181" t="n">
        <v>4628.1325</v>
      </c>
      <c r="E811" s="181" t="n">
        <v>-49.4125</v>
      </c>
      <c r="F811" s="181" t="n">
        <v>2441.5912</v>
      </c>
      <c r="G811" s="181" t="n">
        <v>-2.844806</v>
      </c>
      <c r="H811" s="181" t="n">
        <v>4.030914</v>
      </c>
      <c r="I811" s="181" t="inlineStr"/>
    </row>
    <row r="812" ht="15" customHeight="1" s="28">
      <c r="A812" s="182" t="n">
        <v>798</v>
      </c>
      <c r="B812" s="182" t="n">
        <v>797</v>
      </c>
      <c r="C812" s="182" t="n">
        <v>4575.11</v>
      </c>
      <c r="D812" s="182" t="n">
        <v>4627.8786</v>
      </c>
      <c r="E812" s="182" t="n">
        <v>-52.7686</v>
      </c>
      <c r="F812" s="182" t="n">
        <v>2784.5214</v>
      </c>
      <c r="G812" s="182" t="n">
        <v>-3.464727</v>
      </c>
      <c r="H812" s="182" t="n">
        <v>5.242745</v>
      </c>
      <c r="I812" s="182" t="inlineStr"/>
    </row>
    <row r="813" ht="15" customHeight="1" s="28">
      <c r="A813" s="181" t="n">
        <v>799</v>
      </c>
      <c r="B813" s="181" t="n">
        <v>798</v>
      </c>
      <c r="C813" s="181" t="n">
        <v>4570.56</v>
      </c>
      <c r="D813" s="181" t="n">
        <v>4627.6247</v>
      </c>
      <c r="E813" s="181" t="n">
        <v>-57.0647</v>
      </c>
      <c r="F813" s="181" t="n">
        <v>3256.3765</v>
      </c>
      <c r="G813" s="181" t="n">
        <v>-4.381725</v>
      </c>
      <c r="H813" s="181" t="n">
        <v>7.170126</v>
      </c>
      <c r="I813" s="181" t="inlineStr"/>
    </row>
    <row r="814" ht="15" customHeight="1" s="28">
      <c r="A814" s="182" t="n">
        <v>800</v>
      </c>
      <c r="B814" s="182" t="n">
        <v>799</v>
      </c>
      <c r="C814" s="182" t="n">
        <v>4567.92</v>
      </c>
      <c r="D814" s="182" t="n">
        <v>4627.3708</v>
      </c>
      <c r="E814" s="182" t="n">
        <v>-59.4508</v>
      </c>
      <c r="F814" s="182" t="n">
        <v>3534.3945</v>
      </c>
      <c r="G814" s="182" t="n">
        <v>-4.954681</v>
      </c>
      <c r="H814" s="182" t="n">
        <v>8.446711000000001</v>
      </c>
      <c r="I814" s="182" t="inlineStr"/>
    </row>
    <row r="815" ht="15" customHeight="1" s="28">
      <c r="A815" s="181" t="n">
        <v>801</v>
      </c>
      <c r="B815" s="181" t="n">
        <v>800</v>
      </c>
      <c r="C815" s="181" t="n">
        <v>4565.44</v>
      </c>
      <c r="D815" s="181" t="n">
        <v>4627.1169</v>
      </c>
      <c r="E815" s="181" t="n">
        <v>-61.6769</v>
      </c>
      <c r="F815" s="181" t="n">
        <v>3804.0373</v>
      </c>
      <c r="G815" s="181" t="n">
        <v>-5.532359</v>
      </c>
      <c r="H815" s="181" t="n">
        <v>9.784691</v>
      </c>
      <c r="I815" s="181" t="inlineStr"/>
    </row>
    <row r="816" ht="15" customHeight="1" s="28">
      <c r="A816" s="182" t="n">
        <v>802</v>
      </c>
      <c r="B816" s="182" t="n">
        <v>801</v>
      </c>
      <c r="C816" s="182" t="n">
        <v>4566.65</v>
      </c>
      <c r="D816" s="182" t="n">
        <v>4626.863</v>
      </c>
      <c r="E816" s="182" t="n">
        <v>-60.213</v>
      </c>
      <c r="F816" s="182" t="n">
        <v>3625.6033</v>
      </c>
      <c r="G816" s="182" t="n">
        <v>-5.147704</v>
      </c>
      <c r="H816" s="182" t="n">
        <v>8.888287999999999</v>
      </c>
      <c r="I816" s="182" t="inlineStr"/>
    </row>
    <row r="817" ht="15" customHeight="1" s="28">
      <c r="A817" s="181" t="n">
        <v>803</v>
      </c>
      <c r="B817" s="181" t="n">
        <v>802</v>
      </c>
      <c r="C817" s="181" t="n">
        <v>4568.37</v>
      </c>
      <c r="D817" s="181" t="n">
        <v>4626.6091</v>
      </c>
      <c r="E817" s="181" t="n">
        <v>-58.2391</v>
      </c>
      <c r="F817" s="181" t="n">
        <v>3391.7913</v>
      </c>
      <c r="G817" s="181" t="n">
        <v>-4.657865</v>
      </c>
      <c r="H817" s="181" t="n">
        <v>7.778857</v>
      </c>
      <c r="I817" s="181" t="inlineStr"/>
    </row>
    <row r="818" ht="15" customHeight="1" s="28">
      <c r="A818" s="182" t="n">
        <v>804</v>
      </c>
      <c r="B818" s="182" t="n">
        <v>803</v>
      </c>
      <c r="C818" s="182" t="n">
        <v>4573.2</v>
      </c>
      <c r="D818" s="182" t="n">
        <v>4626.3552</v>
      </c>
      <c r="E818" s="182" t="n">
        <v>-53.1552</v>
      </c>
      <c r="F818" s="182" t="n">
        <v>2825.4744</v>
      </c>
      <c r="G818" s="182" t="n">
        <v>-3.541443</v>
      </c>
      <c r="H818" s="182" t="n">
        <v>5.398093</v>
      </c>
      <c r="I818" s="182" t="inlineStr"/>
    </row>
    <row r="819" ht="15" customHeight="1" s="28">
      <c r="A819" s="181" t="n">
        <v>805</v>
      </c>
      <c r="B819" s="181" t="n">
        <v>804</v>
      </c>
      <c r="C819" s="181" t="n">
        <v>4574.2</v>
      </c>
      <c r="D819" s="181" t="n">
        <v>4626.1013</v>
      </c>
      <c r="E819" s="181" t="n">
        <v>-51.9013</v>
      </c>
      <c r="F819" s="181" t="n">
        <v>2693.7445</v>
      </c>
      <c r="G819" s="181" t="n">
        <v>-3.296688</v>
      </c>
      <c r="H819" s="181" t="n">
        <v>4.906484</v>
      </c>
      <c r="I819" s="181" t="inlineStr"/>
    </row>
    <row r="820" ht="15" customHeight="1" s="28">
      <c r="A820" s="182" t="n">
        <v>806</v>
      </c>
      <c r="B820" s="182" t="n">
        <v>805</v>
      </c>
      <c r="C820" s="182" t="n">
        <v>4565.69</v>
      </c>
      <c r="D820" s="182" t="n">
        <v>4625.8474</v>
      </c>
      <c r="E820" s="182" t="n">
        <v>-60.1574</v>
      </c>
      <c r="F820" s="182" t="n">
        <v>3618.9129</v>
      </c>
      <c r="G820" s="182" t="n">
        <v>-5.133462</v>
      </c>
      <c r="H820" s="182" t="n">
        <v>8.855515</v>
      </c>
      <c r="I820" s="182" t="inlineStr"/>
    </row>
    <row r="821" ht="15" customHeight="1" s="28">
      <c r="A821" s="181" t="n">
        <v>807</v>
      </c>
      <c r="B821" s="181" t="n">
        <v>806</v>
      </c>
      <c r="C821" s="181" t="n">
        <v>4558.86</v>
      </c>
      <c r="D821" s="181" t="n">
        <v>4625.5935</v>
      </c>
      <c r="E821" s="181" t="n">
        <v>-66.73350000000001</v>
      </c>
      <c r="F821" s="181" t="n">
        <v>4453.3607</v>
      </c>
      <c r="G821" s="181" t="n">
        <v>-7.007692</v>
      </c>
      <c r="H821" s="181" t="n">
        <v>13.41014</v>
      </c>
      <c r="I821" s="181" t="inlineStr"/>
    </row>
    <row r="822" ht="15" customHeight="1" s="28">
      <c r="A822" s="182" t="n">
        <v>808</v>
      </c>
      <c r="B822" s="182" t="n">
        <v>807</v>
      </c>
      <c r="C822" s="182" t="n">
        <v>4555.94</v>
      </c>
      <c r="D822" s="182" t="n">
        <v>4625.3396</v>
      </c>
      <c r="E822" s="182" t="n">
        <v>-69.39960000000001</v>
      </c>
      <c r="F822" s="182" t="n">
        <v>4816.3058</v>
      </c>
      <c r="G822" s="182" t="n">
        <v>-7.881598</v>
      </c>
      <c r="H822" s="182" t="n">
        <v>15.685042</v>
      </c>
      <c r="I822" s="182" t="inlineStr"/>
    </row>
    <row r="823" ht="15" customHeight="1" s="28">
      <c r="A823" s="181" t="n">
        <v>809</v>
      </c>
      <c r="B823" s="181" t="n">
        <v>808</v>
      </c>
      <c r="C823" s="181" t="n">
        <v>4568.04</v>
      </c>
      <c r="D823" s="181" t="n">
        <v>4625.0857</v>
      </c>
      <c r="E823" s="181" t="n">
        <v>-57.0457</v>
      </c>
      <c r="F823" s="181" t="n">
        <v>3254.2135</v>
      </c>
      <c r="G823" s="181" t="n">
        <v>-4.37736</v>
      </c>
      <c r="H823" s="181" t="n">
        <v>7.160604</v>
      </c>
      <c r="I823" s="181" t="inlineStr"/>
    </row>
    <row r="824" ht="15" customHeight="1" s="28">
      <c r="A824" s="182" t="n">
        <v>810</v>
      </c>
      <c r="B824" s="182" t="n">
        <v>809</v>
      </c>
      <c r="C824" s="182" t="n">
        <v>4571.78</v>
      </c>
      <c r="D824" s="182" t="n">
        <v>4624.8318</v>
      </c>
      <c r="E824" s="182" t="n">
        <v>-53.0518</v>
      </c>
      <c r="F824" s="182" t="n">
        <v>2814.4955</v>
      </c>
      <c r="G824" s="182" t="n">
        <v>-3.520822</v>
      </c>
      <c r="H824" s="182" t="n">
        <v>5.356223</v>
      </c>
      <c r="I824" s="182" t="inlineStr"/>
    </row>
    <row r="825" ht="15" customHeight="1" s="28">
      <c r="A825" s="181" t="n">
        <v>811</v>
      </c>
      <c r="B825" s="181" t="n">
        <v>810</v>
      </c>
      <c r="C825" s="181" t="n">
        <v>4566.36</v>
      </c>
      <c r="D825" s="181" t="n">
        <v>4624.5779</v>
      </c>
      <c r="E825" s="181" t="n">
        <v>-58.2179</v>
      </c>
      <c r="F825" s="181" t="n">
        <v>3389.3266</v>
      </c>
      <c r="G825" s="181" t="n">
        <v>-4.652788</v>
      </c>
      <c r="H825" s="181" t="n">
        <v>7.767556</v>
      </c>
      <c r="I825" s="181" t="inlineStr"/>
    </row>
    <row r="826" ht="15" customHeight="1" s="28">
      <c r="A826" s="182" t="n">
        <v>812</v>
      </c>
      <c r="B826" s="182" t="n">
        <v>811</v>
      </c>
      <c r="C826" s="182" t="n">
        <v>4569.98</v>
      </c>
      <c r="D826" s="182" t="n">
        <v>4624.324</v>
      </c>
      <c r="E826" s="182" t="n">
        <v>-54.344</v>
      </c>
      <c r="F826" s="182" t="n">
        <v>2953.2733</v>
      </c>
      <c r="G826" s="182" t="n">
        <v>-3.784414</v>
      </c>
      <c r="H826" s="182" t="n">
        <v>5.897458</v>
      </c>
      <c r="I826" s="182" t="inlineStr"/>
    </row>
    <row r="827" ht="15" customHeight="1" s="28">
      <c r="A827" s="181" t="n">
        <v>813</v>
      </c>
      <c r="B827" s="181" t="n">
        <v>812</v>
      </c>
      <c r="C827" s="181" t="n">
        <v>4568.02</v>
      </c>
      <c r="D827" s="181" t="n">
        <v>4624.0701</v>
      </c>
      <c r="E827" s="181" t="n">
        <v>-56.0501</v>
      </c>
      <c r="F827" s="181" t="n">
        <v>3141.6173</v>
      </c>
      <c r="G827" s="181" t="n">
        <v>-4.152151</v>
      </c>
      <c r="H827" s="181" t="n">
        <v>6.673661</v>
      </c>
      <c r="I827" s="181" t="inlineStr"/>
    </row>
    <row r="828" ht="15" customHeight="1" s="28">
      <c r="A828" s="182" t="n">
        <v>814</v>
      </c>
      <c r="B828" s="182" t="n">
        <v>813</v>
      </c>
      <c r="C828" s="182" t="n">
        <v>4564.76</v>
      </c>
      <c r="D828" s="182" t="n">
        <v>4623.8162</v>
      </c>
      <c r="E828" s="182" t="n">
        <v>-59.0562</v>
      </c>
      <c r="F828" s="182" t="n">
        <v>3487.6391</v>
      </c>
      <c r="G828" s="182" t="n">
        <v>-4.856691</v>
      </c>
      <c r="H828" s="182" t="n">
        <v>8.224710999999999</v>
      </c>
      <c r="I828" s="182" t="inlineStr"/>
    </row>
    <row r="829" ht="15" customHeight="1" s="28">
      <c r="A829" s="181" t="n">
        <v>815</v>
      </c>
      <c r="B829" s="181" t="n">
        <v>814</v>
      </c>
      <c r="C829" s="181" t="n">
        <v>4567.03</v>
      </c>
      <c r="D829" s="181" t="n">
        <v>4623.5623</v>
      </c>
      <c r="E829" s="181" t="n">
        <v>-56.5323</v>
      </c>
      <c r="F829" s="181" t="n">
        <v>3195.9056</v>
      </c>
      <c r="G829" s="181" t="n">
        <v>-4.26024</v>
      </c>
      <c r="H829" s="181" t="n">
        <v>6.9063</v>
      </c>
      <c r="I829" s="181" t="inlineStr"/>
    </row>
    <row r="830" ht="15" customHeight="1" s="28">
      <c r="A830" s="182" t="n">
        <v>816</v>
      </c>
      <c r="B830" s="182" t="n">
        <v>815</v>
      </c>
      <c r="C830" s="182" t="n">
        <v>4561.87</v>
      </c>
      <c r="D830" s="182" t="n">
        <v>4623.3084</v>
      </c>
      <c r="E830" s="182" t="n">
        <v>-61.4384</v>
      </c>
      <c r="F830" s="182" t="n">
        <v>3774.6826</v>
      </c>
      <c r="G830" s="182" t="n">
        <v>-5.468445</v>
      </c>
      <c r="H830" s="182" t="n">
        <v>9.634262</v>
      </c>
      <c r="I830" s="182" t="inlineStr"/>
    </row>
    <row r="831" ht="15" customHeight="1" s="28">
      <c r="A831" s="181" t="n">
        <v>817</v>
      </c>
      <c r="B831" s="181" t="n">
        <v>816</v>
      </c>
      <c r="C831" s="181" t="n">
        <v>4564.41</v>
      </c>
      <c r="D831" s="181" t="n">
        <v>4623.0546</v>
      </c>
      <c r="E831" s="181" t="n">
        <v>-58.6446</v>
      </c>
      <c r="F831" s="181" t="n">
        <v>3439.1833</v>
      </c>
      <c r="G831" s="181" t="n">
        <v>-4.755828</v>
      </c>
      <c r="H831" s="181" t="n">
        <v>7.997757</v>
      </c>
      <c r="I831" s="181" t="inlineStr"/>
    </row>
    <row r="832" ht="15" customHeight="1" s="28">
      <c r="A832" s="182" t="n">
        <v>818</v>
      </c>
      <c r="B832" s="182" t="n">
        <v>817</v>
      </c>
      <c r="C832" s="182" t="n">
        <v>4559.4</v>
      </c>
      <c r="D832" s="182" t="n">
        <v>4622.8007</v>
      </c>
      <c r="E832" s="182" t="n">
        <v>-63.4007</v>
      </c>
      <c r="F832" s="182" t="n">
        <v>4019.643</v>
      </c>
      <c r="G832" s="182" t="n">
        <v>-6.009307</v>
      </c>
      <c r="H832" s="182" t="n">
        <v>10.925279</v>
      </c>
      <c r="I832" s="182" t="inlineStr"/>
    </row>
    <row r="833" ht="15" customHeight="1" s="28">
      <c r="A833" s="181" t="n">
        <v>819</v>
      </c>
      <c r="B833" s="181" t="n">
        <v>818</v>
      </c>
      <c r="C833" s="181" t="n">
        <v>4557.62</v>
      </c>
      <c r="D833" s="181" t="n">
        <v>4622.5468</v>
      </c>
      <c r="E833" s="181" t="n">
        <v>-64.9268</v>
      </c>
      <c r="F833" s="181" t="n">
        <v>4215.4841</v>
      </c>
      <c r="G833" s="181" t="n">
        <v>-6.453783</v>
      </c>
      <c r="H833" s="181" t="n">
        <v>12.015794</v>
      </c>
      <c r="I833" s="181" t="inlineStr"/>
    </row>
    <row r="834" ht="15" customHeight="1" s="28">
      <c r="A834" s="182" t="n">
        <v>820</v>
      </c>
      <c r="B834" s="182" t="n">
        <v>819</v>
      </c>
      <c r="C834" s="182" t="n">
        <v>4544.9</v>
      </c>
      <c r="D834" s="182" t="n">
        <v>4622.2929</v>
      </c>
      <c r="E834" s="182" t="n">
        <v>-77.3929</v>
      </c>
      <c r="F834" s="182" t="n">
        <v>5989.6554</v>
      </c>
      <c r="G834" s="182" t="n">
        <v>-10.930649</v>
      </c>
      <c r="H834" s="182" t="n">
        <v>24.258349</v>
      </c>
      <c r="I834" s="182" t="inlineStr"/>
    </row>
    <row r="835" ht="15" customHeight="1" s="28">
      <c r="A835" s="181" t="n">
        <v>821</v>
      </c>
      <c r="B835" s="181" t="n">
        <v>820</v>
      </c>
      <c r="C835" s="181" t="n">
        <v>4549.8</v>
      </c>
      <c r="D835" s="181" t="n">
        <v>4622.039</v>
      </c>
      <c r="E835" s="181" t="n">
        <v>-72.239</v>
      </c>
      <c r="F835" s="181" t="n">
        <v>5218.4685</v>
      </c>
      <c r="G835" s="181" t="n">
        <v>-8.889099999999999</v>
      </c>
      <c r="H835" s="181" t="n">
        <v>18.413812</v>
      </c>
      <c r="I835" s="181" t="inlineStr"/>
    </row>
    <row r="836" ht="15" customHeight="1" s="28">
      <c r="A836" s="182" t="n">
        <v>822</v>
      </c>
      <c r="B836" s="182" t="n">
        <v>821</v>
      </c>
      <c r="C836" s="182" t="n">
        <v>4537.82</v>
      </c>
      <c r="D836" s="182" t="n">
        <v>4621.7851</v>
      </c>
      <c r="E836" s="182" t="n">
        <v>-83.96510000000001</v>
      </c>
      <c r="F836" s="182" t="n">
        <v>7050.1334</v>
      </c>
      <c r="G836" s="182" t="n">
        <v>-13.958514</v>
      </c>
      <c r="H836" s="182" t="n">
        <v>33.608741</v>
      </c>
      <c r="I836" s="182" t="inlineStr"/>
    </row>
    <row r="837" ht="15" customHeight="1" s="28">
      <c r="A837" s="181" t="n">
        <v>823</v>
      </c>
      <c r="B837" s="181" t="n">
        <v>822</v>
      </c>
      <c r="C837" s="181" t="n">
        <v>4514.81</v>
      </c>
      <c r="D837" s="181" t="n">
        <v>4621.5312</v>
      </c>
      <c r="E837" s="181" t="n">
        <v>-106.7212</v>
      </c>
      <c r="F837" s="181" t="n">
        <v>11389.4097</v>
      </c>
      <c r="G837" s="181" t="n">
        <v>-28.661242</v>
      </c>
      <c r="H837" s="181" t="n">
        <v>87.712199</v>
      </c>
      <c r="I837" s="181" t="inlineStr"/>
    </row>
    <row r="838" ht="15" customHeight="1" s="28">
      <c r="A838" s="182" t="n">
        <v>824</v>
      </c>
      <c r="B838" s="182" t="n">
        <v>823</v>
      </c>
      <c r="C838" s="182" t="n">
        <v>4521.71</v>
      </c>
      <c r="D838" s="182" t="n">
        <v>4621.2773</v>
      </c>
      <c r="E838" s="182" t="n">
        <v>-99.5673</v>
      </c>
      <c r="F838" s="182" t="n">
        <v>9913.643599999999</v>
      </c>
      <c r="G838" s="182" t="n">
        <v>-23.275184</v>
      </c>
      <c r="H838" s="182" t="n">
        <v>66.454466</v>
      </c>
      <c r="I838" s="182" t="inlineStr"/>
    </row>
    <row r="839" ht="15" customHeight="1" s="28">
      <c r="A839" s="181" t="n">
        <v>825</v>
      </c>
      <c r="B839" s="181" t="n">
        <v>824</v>
      </c>
      <c r="C839" s="181" t="n">
        <v>4526.15</v>
      </c>
      <c r="D839" s="181" t="n">
        <v>4621.0234</v>
      </c>
      <c r="E839" s="181" t="n">
        <v>-94.8734</v>
      </c>
      <c r="F839" s="181" t="n">
        <v>9000.9594</v>
      </c>
      <c r="G839" s="181" t="n">
        <v>-20.136148</v>
      </c>
      <c r="H839" s="181" t="n">
        <v>54.781659</v>
      </c>
      <c r="I839" s="181" t="inlineStr"/>
    </row>
    <row r="840" ht="15" customHeight="1" s="28">
      <c r="A840" s="182" t="n">
        <v>826</v>
      </c>
      <c r="B840" s="182" t="n">
        <v>825</v>
      </c>
      <c r="C840" s="182" t="n">
        <v>4533.2</v>
      </c>
      <c r="D840" s="182" t="n">
        <v>4620.7695</v>
      </c>
      <c r="E840" s="182" t="n">
        <v>-87.56950000000001</v>
      </c>
      <c r="F840" s="182" t="n">
        <v>7668.4157</v>
      </c>
      <c r="G840" s="182" t="n">
        <v>-15.834401</v>
      </c>
      <c r="H840" s="182" t="n">
        <v>39.762059</v>
      </c>
      <c r="I840" s="182" t="inlineStr"/>
    </row>
    <row r="841" ht="15" customHeight="1" s="28">
      <c r="A841" s="181" t="n">
        <v>827</v>
      </c>
      <c r="B841" s="181" t="n">
        <v>826</v>
      </c>
      <c r="C841" s="181" t="n">
        <v>4538.69</v>
      </c>
      <c r="D841" s="181" t="n">
        <v>4620.5156</v>
      </c>
      <c r="E841" s="181" t="n">
        <v>-81.82559999999999</v>
      </c>
      <c r="F841" s="181" t="n">
        <v>6695.428</v>
      </c>
      <c r="G841" s="181" t="n">
        <v>-12.918459</v>
      </c>
      <c r="H841" s="181" t="n">
        <v>30.311977</v>
      </c>
      <c r="I841" s="181" t="inlineStr"/>
    </row>
    <row r="842" ht="15" customHeight="1" s="28">
      <c r="A842" s="182" t="n">
        <v>828</v>
      </c>
      <c r="B842" s="182" t="n">
        <v>827</v>
      </c>
      <c r="C842" s="182" t="n">
        <v>4539.25</v>
      </c>
      <c r="D842" s="182" t="n">
        <v>4620.2617</v>
      </c>
      <c r="E842" s="182" t="n">
        <v>-81.0117</v>
      </c>
      <c r="F842" s="182" t="n">
        <v>6562.8955</v>
      </c>
      <c r="G842" s="182" t="n">
        <v>-12.536792</v>
      </c>
      <c r="H842" s="182" t="n">
        <v>29.123834</v>
      </c>
      <c r="I842" s="182" t="inlineStr"/>
    </row>
    <row r="843" ht="15" customHeight="1" s="28">
      <c r="A843" s="181" t="n">
        <v>829</v>
      </c>
      <c r="B843" s="181" t="n">
        <v>828</v>
      </c>
      <c r="C843" s="181" t="n">
        <v>4538.08</v>
      </c>
      <c r="D843" s="181" t="n">
        <v>4620.0078</v>
      </c>
      <c r="E843" s="181" t="n">
        <v>-81.9278</v>
      </c>
      <c r="F843" s="181" t="n">
        <v>6712.1651</v>
      </c>
      <c r="G843" s="181" t="n">
        <v>-12.966929</v>
      </c>
      <c r="H843" s="181" t="n">
        <v>30.463713</v>
      </c>
      <c r="I843" s="181" t="inlineStr"/>
    </row>
    <row r="844" ht="15" customHeight="1" s="28">
      <c r="A844" s="182" t="n">
        <v>830</v>
      </c>
      <c r="B844" s="182" t="n">
        <v>829</v>
      </c>
      <c r="C844" s="182" t="n">
        <v>4543.61</v>
      </c>
      <c r="D844" s="182" t="n">
        <v>4619.7539</v>
      </c>
      <c r="E844" s="182" t="n">
        <v>-76.1439</v>
      </c>
      <c r="F844" s="182" t="n">
        <v>5797.8948</v>
      </c>
      <c r="G844" s="182" t="n">
        <v>-10.409951</v>
      </c>
      <c r="H844" s="182" t="n">
        <v>22.729937</v>
      </c>
      <c r="I844" s="182" t="inlineStr"/>
    </row>
    <row r="845" ht="15" customHeight="1" s="28">
      <c r="A845" s="181" t="n">
        <v>831</v>
      </c>
      <c r="B845" s="181" t="n">
        <v>830</v>
      </c>
      <c r="C845" s="181" t="n">
        <v>4553.17</v>
      </c>
      <c r="D845" s="181" t="n">
        <v>4619.5</v>
      </c>
      <c r="E845" s="181" t="n">
        <v>-66.33</v>
      </c>
      <c r="F845" s="181" t="n">
        <v>4399.6707</v>
      </c>
      <c r="G845" s="181" t="n">
        <v>-6.881347</v>
      </c>
      <c r="H845" s="181" t="n">
        <v>13.088742</v>
      </c>
      <c r="I845" s="181" t="inlineStr"/>
    </row>
    <row r="846" ht="15" customHeight="1" s="28">
      <c r="A846" s="182" t="n">
        <v>832</v>
      </c>
      <c r="B846" s="182" t="n">
        <v>831</v>
      </c>
      <c r="C846" s="182" t="n">
        <v>4547.48</v>
      </c>
      <c r="D846" s="182" t="n">
        <v>4619.2461</v>
      </c>
      <c r="E846" s="182" t="n">
        <v>-71.76609999999999</v>
      </c>
      <c r="F846" s="182" t="n">
        <v>5150.3757</v>
      </c>
      <c r="G846" s="182" t="n">
        <v>-8.715685000000001</v>
      </c>
      <c r="H846" s="182" t="n">
        <v>17.936404</v>
      </c>
      <c r="I846" s="182" t="inlineStr"/>
    </row>
    <row r="847" ht="15" customHeight="1" s="28">
      <c r="A847" s="181" t="n">
        <v>833</v>
      </c>
      <c r="B847" s="181" t="n">
        <v>832</v>
      </c>
      <c r="C847" s="181" t="n">
        <v>4559.1</v>
      </c>
      <c r="D847" s="181" t="n">
        <v>4618.9922</v>
      </c>
      <c r="E847" s="181" t="n">
        <v>-59.8922</v>
      </c>
      <c r="F847" s="181" t="n">
        <v>3587.0783</v>
      </c>
      <c r="G847" s="181" t="n">
        <v>-5.065875</v>
      </c>
      <c r="H847" s="181" t="n">
        <v>8.700400999999999</v>
      </c>
      <c r="I847" s="181" t="inlineStr"/>
    </row>
    <row r="848" ht="15" customHeight="1" s="28">
      <c r="A848" s="182" t="n">
        <v>834</v>
      </c>
      <c r="B848" s="182" t="n">
        <v>833</v>
      </c>
      <c r="C848" s="182" t="n">
        <v>4560.23</v>
      </c>
      <c r="D848" s="182" t="n">
        <v>4618.7383</v>
      </c>
      <c r="E848" s="182" t="n">
        <v>-58.5083</v>
      </c>
      <c r="F848" s="182" t="n">
        <v>3423.2243</v>
      </c>
      <c r="G848" s="182" t="n">
        <v>-4.722764</v>
      </c>
      <c r="H848" s="182" t="n">
        <v>7.923705</v>
      </c>
      <c r="I848" s="182" t="inlineStr"/>
    </row>
    <row r="849" ht="15" customHeight="1" s="28">
      <c r="A849" s="181" t="n">
        <v>835</v>
      </c>
      <c r="B849" s="181" t="n">
        <v>834</v>
      </c>
      <c r="C849" s="181" t="n">
        <v>4550.51</v>
      </c>
      <c r="D849" s="181" t="n">
        <v>4618.4844</v>
      </c>
      <c r="E849" s="181" t="n">
        <v>-67.9744</v>
      </c>
      <c r="F849" s="181" t="n">
        <v>4620.5233</v>
      </c>
      <c r="G849" s="181" t="n">
        <v>-7.405936</v>
      </c>
      <c r="H849" s="181" t="n">
        <v>14.435768</v>
      </c>
      <c r="I849" s="181" t="inlineStr"/>
    </row>
    <row r="850" ht="15" customHeight="1" s="28">
      <c r="A850" s="182" t="n">
        <v>836</v>
      </c>
      <c r="B850" s="182" t="n">
        <v>835</v>
      </c>
      <c r="C850" s="182" t="n">
        <v>4545.36</v>
      </c>
      <c r="D850" s="182" t="n">
        <v>4618.2305</v>
      </c>
      <c r="E850" s="182" t="n">
        <v>-72.87050000000001</v>
      </c>
      <c r="F850" s="182" t="n">
        <v>5310.115</v>
      </c>
      <c r="G850" s="182" t="n">
        <v>-9.12429</v>
      </c>
      <c r="H850" s="182" t="n">
        <v>19.066256</v>
      </c>
      <c r="I850" s="182" t="inlineStr"/>
    </row>
    <row r="851" ht="15" customHeight="1" s="28">
      <c r="A851" s="181" t="n">
        <v>837</v>
      </c>
      <c r="B851" s="181" t="n">
        <v>836</v>
      </c>
      <c r="C851" s="181" t="n">
        <v>4550.68</v>
      </c>
      <c r="D851" s="181" t="n">
        <v>4617.9766</v>
      </c>
      <c r="E851" s="181" t="n">
        <v>-67.2966</v>
      </c>
      <c r="F851" s="181" t="n">
        <v>4528.8378</v>
      </c>
      <c r="G851" s="181" t="n">
        <v>-7.186598</v>
      </c>
      <c r="H851" s="181" t="n">
        <v>13.868552</v>
      </c>
      <c r="I851" s="181" t="inlineStr"/>
    </row>
    <row r="852" ht="15" customHeight="1" s="28">
      <c r="A852" s="182" t="n">
        <v>838</v>
      </c>
      <c r="B852" s="182" t="n">
        <v>837</v>
      </c>
      <c r="C852" s="182" t="n">
        <v>4547.23</v>
      </c>
      <c r="D852" s="182" t="n">
        <v>4617.7227</v>
      </c>
      <c r="E852" s="182" t="n">
        <v>-70.4927</v>
      </c>
      <c r="F852" s="182" t="n">
        <v>4969.2271</v>
      </c>
      <c r="G852" s="182" t="n">
        <v>-8.259931</v>
      </c>
      <c r="H852" s="182" t="n">
        <v>16.696877</v>
      </c>
      <c r="I852" s="182" t="inlineStr"/>
    </row>
    <row r="853" ht="15" customHeight="1" s="28">
      <c r="A853" s="181" t="n">
        <v>839</v>
      </c>
      <c r="B853" s="181" t="n">
        <v>838</v>
      </c>
      <c r="C853" s="181" t="n">
        <v>4544.75</v>
      </c>
      <c r="D853" s="181" t="n">
        <v>4617.4688</v>
      </c>
      <c r="E853" s="181" t="n">
        <v>-72.7188</v>
      </c>
      <c r="F853" s="181" t="n">
        <v>5288.031</v>
      </c>
      <c r="G853" s="181" t="n">
        <v>-9.067429000000001</v>
      </c>
      <c r="H853" s="181" t="n">
        <v>18.907999</v>
      </c>
      <c r="I853" s="181" t="inlineStr"/>
    </row>
    <row r="854" ht="15" customHeight="1" s="28">
      <c r="A854" s="182" t="n">
        <v>840</v>
      </c>
      <c r="B854" s="182" t="n">
        <v>839</v>
      </c>
      <c r="C854" s="182" t="n">
        <v>4547.33</v>
      </c>
      <c r="D854" s="182" t="n">
        <v>4617.215</v>
      </c>
      <c r="E854" s="182" t="n">
        <v>-69.88500000000001</v>
      </c>
      <c r="F854" s="182" t="n">
        <v>4883.9068</v>
      </c>
      <c r="G854" s="182" t="n">
        <v>-8.048116</v>
      </c>
      <c r="H854" s="182" t="n">
        <v>16.128438</v>
      </c>
      <c r="I854" s="182" t="inlineStr"/>
    </row>
    <row r="855" ht="15" customHeight="1" s="28">
      <c r="A855" s="181" t="n">
        <v>841</v>
      </c>
      <c r="B855" s="181" t="n">
        <v>840</v>
      </c>
      <c r="C855" s="181" t="n">
        <v>4525.75</v>
      </c>
      <c r="D855" s="181" t="n">
        <v>4616.9611</v>
      </c>
      <c r="E855" s="181" t="n">
        <v>-91.2111</v>
      </c>
      <c r="F855" s="181" t="n">
        <v>8319.457200000001</v>
      </c>
      <c r="G855" s="181" t="n">
        <v>-17.893103</v>
      </c>
      <c r="H855" s="181" t="n">
        <v>46.800183</v>
      </c>
      <c r="I855" s="181" t="inlineStr"/>
    </row>
    <row r="856" ht="15" customHeight="1" s="28">
      <c r="A856" s="182" t="n">
        <v>842</v>
      </c>
      <c r="B856" s="182" t="n">
        <v>841</v>
      </c>
      <c r="C856" s="182" t="n">
        <v>4532.95</v>
      </c>
      <c r="D856" s="182" t="n">
        <v>4616.7072</v>
      </c>
      <c r="E856" s="182" t="n">
        <v>-83.7572</v>
      </c>
      <c r="F856" s="182" t="n">
        <v>7015.2623</v>
      </c>
      <c r="G856" s="182" t="n">
        <v>-13.85508</v>
      </c>
      <c r="H856" s="182" t="n">
        <v>33.277095</v>
      </c>
      <c r="I856" s="182" t="inlineStr"/>
    </row>
    <row r="857" ht="15" customHeight="1" s="28">
      <c r="A857" s="181" t="n">
        <v>843</v>
      </c>
      <c r="B857" s="181" t="n">
        <v>842</v>
      </c>
      <c r="C857" s="181" t="n">
        <v>4520.81</v>
      </c>
      <c r="D857" s="181" t="n">
        <v>4616.4533</v>
      </c>
      <c r="E857" s="181" t="n">
        <v>-95.6433</v>
      </c>
      <c r="F857" s="181" t="n">
        <v>9147.634599999999</v>
      </c>
      <c r="G857" s="181" t="n">
        <v>-20.63034</v>
      </c>
      <c r="H857" s="181" t="n">
        <v>56.581595</v>
      </c>
      <c r="I857" s="181" t="inlineStr"/>
    </row>
    <row r="858" ht="15" customHeight="1" s="28">
      <c r="A858" s="182" t="n">
        <v>844</v>
      </c>
      <c r="B858" s="182" t="n">
        <v>843</v>
      </c>
      <c r="C858" s="182" t="n">
        <v>4538.19</v>
      </c>
      <c r="D858" s="182" t="n">
        <v>4616.1994</v>
      </c>
      <c r="E858" s="182" t="n">
        <v>-78.0094</v>
      </c>
      <c r="F858" s="182" t="n">
        <v>6085.4621</v>
      </c>
      <c r="G858" s="182" t="n">
        <v>-11.193954</v>
      </c>
      <c r="H858" s="182" t="n">
        <v>25.040598</v>
      </c>
      <c r="I858" s="182" t="inlineStr"/>
    </row>
    <row r="859" ht="15" customHeight="1" s="28">
      <c r="A859" s="181" t="n">
        <v>845</v>
      </c>
      <c r="B859" s="181" t="n">
        <v>844</v>
      </c>
      <c r="C859" s="181" t="n">
        <v>4547.72</v>
      </c>
      <c r="D859" s="181" t="n">
        <v>4615.9455</v>
      </c>
      <c r="E859" s="181" t="n">
        <v>-68.2255</v>
      </c>
      <c r="F859" s="181" t="n">
        <v>4654.7156</v>
      </c>
      <c r="G859" s="181" t="n">
        <v>-7.488294</v>
      </c>
      <c r="H859" s="181" t="n">
        <v>14.650211</v>
      </c>
      <c r="I859" s="181" t="inlineStr"/>
    </row>
    <row r="860" ht="15" customHeight="1" s="28">
      <c r="A860" s="182" t="n">
        <v>846</v>
      </c>
      <c r="B860" s="182" t="n">
        <v>845</v>
      </c>
      <c r="C860" s="182" t="n">
        <v>4542.84</v>
      </c>
      <c r="D860" s="182" t="n">
        <v>4615.6916</v>
      </c>
      <c r="E860" s="182" t="n">
        <v>-72.8516</v>
      </c>
      <c r="F860" s="182" t="n">
        <v>5307.3528</v>
      </c>
      <c r="G860" s="182" t="n">
        <v>-9.117171000000001</v>
      </c>
      <c r="H860" s="182" t="n">
        <v>19.046426</v>
      </c>
      <c r="I860" s="182" t="inlineStr"/>
    </row>
    <row r="861" ht="15" customHeight="1" s="28">
      <c r="A861" s="181" t="n">
        <v>847</v>
      </c>
      <c r="B861" s="181" t="n">
        <v>846</v>
      </c>
      <c r="C861" s="181" t="n">
        <v>4539.61</v>
      </c>
      <c r="D861" s="181" t="n">
        <v>4615.4377</v>
      </c>
      <c r="E861" s="181" t="n">
        <v>-75.82769999999999</v>
      </c>
      <c r="F861" s="181" t="n">
        <v>5749.8379</v>
      </c>
      <c r="G861" s="181" t="n">
        <v>-10.280792</v>
      </c>
      <c r="H861" s="181" t="n">
        <v>22.354696</v>
      </c>
      <c r="I861" s="181" t="inlineStr"/>
    </row>
    <row r="862" ht="15" customHeight="1" s="28">
      <c r="A862" s="182" t="n">
        <v>848</v>
      </c>
      <c r="B862" s="182" t="n">
        <v>847</v>
      </c>
      <c r="C862" s="182" t="n">
        <v>4547.05</v>
      </c>
      <c r="D862" s="182" t="n">
        <v>4615.1838</v>
      </c>
      <c r="E862" s="182" t="n">
        <v>-68.13379999999999</v>
      </c>
      <c r="F862" s="182" t="n">
        <v>4642.2133</v>
      </c>
      <c r="G862" s="182" t="n">
        <v>-7.458145</v>
      </c>
      <c r="H862" s="182" t="n">
        <v>14.571617</v>
      </c>
      <c r="I862" s="182" t="inlineStr"/>
    </row>
    <row r="863" ht="15" customHeight="1" s="28">
      <c r="A863" s="181" t="n">
        <v>849</v>
      </c>
      <c r="B863" s="181" t="n">
        <v>848</v>
      </c>
      <c r="C863" s="181" t="n">
        <v>4546.25</v>
      </c>
      <c r="D863" s="181" t="n">
        <v>4614.9299</v>
      </c>
      <c r="E863" s="181" t="n">
        <v>-68.6799</v>
      </c>
      <c r="F863" s="181" t="n">
        <v>4716.9279</v>
      </c>
      <c r="G863" s="181" t="n">
        <v>-7.638921</v>
      </c>
      <c r="H863" s="181" t="n">
        <v>15.044441</v>
      </c>
      <c r="I863" s="181" t="inlineStr"/>
    </row>
    <row r="864" ht="15" customHeight="1" s="28">
      <c r="A864" s="182" t="n">
        <v>850</v>
      </c>
      <c r="B864" s="182" t="n">
        <v>849</v>
      </c>
      <c r="C864" s="182" t="n">
        <v>4543.25</v>
      </c>
      <c r="D864" s="182" t="n">
        <v>4614.676</v>
      </c>
      <c r="E864" s="182" t="n">
        <v>-71.426</v>
      </c>
      <c r="F864" s="182" t="n">
        <v>5101.6733</v>
      </c>
      <c r="G864" s="182" t="n">
        <v>-8.592354</v>
      </c>
      <c r="H864" s="182" t="n">
        <v>17.598792</v>
      </c>
      <c r="I864" s="182" t="inlineStr"/>
    </row>
    <row r="865" ht="15" customHeight="1" s="28">
      <c r="A865" s="181" t="n">
        <v>851</v>
      </c>
      <c r="B865" s="181" t="n">
        <v>850</v>
      </c>
      <c r="C865" s="181" t="n">
        <v>4543.79</v>
      </c>
      <c r="D865" s="181" t="n">
        <v>4614.4221</v>
      </c>
      <c r="E865" s="181" t="n">
        <v>-70.63209999999999</v>
      </c>
      <c r="F865" s="181" t="n">
        <v>4988.894</v>
      </c>
      <c r="G865" s="181" t="n">
        <v>-8.309016</v>
      </c>
      <c r="H865" s="181" t="n">
        <v>16.829303</v>
      </c>
      <c r="I865" s="181" t="inlineStr"/>
    </row>
    <row r="866" ht="15" customHeight="1" s="28">
      <c r="A866" s="182" t="n">
        <v>852</v>
      </c>
      <c r="B866" s="182" t="n">
        <v>851</v>
      </c>
      <c r="C866" s="182" t="n">
        <v>4543.57</v>
      </c>
      <c r="D866" s="182" t="n">
        <v>4614.1682</v>
      </c>
      <c r="E866" s="182" t="n">
        <v>-70.59820000000001</v>
      </c>
      <c r="F866" s="182" t="n">
        <v>4984.107</v>
      </c>
      <c r="G866" s="182" t="n">
        <v>-8.29706</v>
      </c>
      <c r="H866" s="182" t="n">
        <v>16.797022</v>
      </c>
      <c r="I866" s="182" t="inlineStr"/>
    </row>
    <row r="867" ht="15" customHeight="1" s="28">
      <c r="A867" s="181" t="n">
        <v>853</v>
      </c>
      <c r="B867" s="181" t="n">
        <v>852</v>
      </c>
      <c r="C867" s="181" t="n">
        <v>4546.4</v>
      </c>
      <c r="D867" s="181" t="n">
        <v>4613.9143</v>
      </c>
      <c r="E867" s="181" t="n">
        <v>-67.51430000000001</v>
      </c>
      <c r="F867" s="181" t="n">
        <v>4558.1824</v>
      </c>
      <c r="G867" s="181" t="n">
        <v>-7.256559</v>
      </c>
      <c r="H867" s="181" t="n">
        <v>14.048856</v>
      </c>
      <c r="I867" s="181" t="inlineStr"/>
    </row>
    <row r="868" ht="15" customHeight="1" s="28">
      <c r="A868" s="182" t="n">
        <v>854</v>
      </c>
      <c r="B868" s="182" t="n">
        <v>853</v>
      </c>
      <c r="C868" s="182" t="n">
        <v>4549.14</v>
      </c>
      <c r="D868" s="182" t="n">
        <v>4613.6604</v>
      </c>
      <c r="E868" s="182" t="n">
        <v>-64.5204</v>
      </c>
      <c r="F868" s="182" t="n">
        <v>4162.8842</v>
      </c>
      <c r="G868" s="182" t="n">
        <v>-6.333367</v>
      </c>
      <c r="H868" s="182" t="n">
        <v>11.717804</v>
      </c>
      <c r="I868" s="182" t="inlineStr"/>
    </row>
    <row r="869" ht="15" customHeight="1" s="28">
      <c r="A869" s="181" t="n">
        <v>855</v>
      </c>
      <c r="B869" s="181" t="n">
        <v>854</v>
      </c>
      <c r="C869" s="181" t="n">
        <v>4548.51</v>
      </c>
      <c r="D869" s="181" t="n">
        <v>4613.4065</v>
      </c>
      <c r="E869" s="181" t="n">
        <v>-64.8965</v>
      </c>
      <c r="F869" s="181" t="n">
        <v>4211.5585</v>
      </c>
      <c r="G869" s="181" t="n">
        <v>-6.44477</v>
      </c>
      <c r="H869" s="181" t="n">
        <v>11.993426</v>
      </c>
      <c r="I869" s="181" t="inlineStr"/>
    </row>
    <row r="870" ht="15" customHeight="1" s="28">
      <c r="A870" s="182" t="n">
        <v>856</v>
      </c>
      <c r="B870" s="182" t="n">
        <v>855</v>
      </c>
      <c r="C870" s="182" t="n">
        <v>4552.08</v>
      </c>
      <c r="D870" s="182" t="n">
        <v>4613.1526</v>
      </c>
      <c r="E870" s="182" t="n">
        <v>-61.0726</v>
      </c>
      <c r="F870" s="182" t="n">
        <v>3729.8656</v>
      </c>
      <c r="G870" s="182" t="n">
        <v>-5.371344</v>
      </c>
      <c r="H870" s="182" t="n">
        <v>9.406844</v>
      </c>
      <c r="I870" s="182" t="inlineStr"/>
    </row>
    <row r="871" ht="15" customHeight="1" s="28">
      <c r="A871" s="181" t="n">
        <v>857</v>
      </c>
      <c r="B871" s="181" t="n">
        <v>856</v>
      </c>
      <c r="C871" s="181" t="n">
        <v>4553.33</v>
      </c>
      <c r="D871" s="181" t="n">
        <v>4612.8987</v>
      </c>
      <c r="E871" s="181" t="n">
        <v>-59.5687</v>
      </c>
      <c r="F871" s="181" t="n">
        <v>3548.4336</v>
      </c>
      <c r="G871" s="181" t="n">
        <v>-4.984232</v>
      </c>
      <c r="H871" s="181" t="n">
        <v>8.513947</v>
      </c>
      <c r="I871" s="181" t="inlineStr"/>
    </row>
    <row r="872" ht="15" customHeight="1" s="28">
      <c r="A872" s="182" t="n">
        <v>858</v>
      </c>
      <c r="B872" s="182" t="n">
        <v>857</v>
      </c>
      <c r="C872" s="182" t="n">
        <v>4551.63</v>
      </c>
      <c r="D872" s="182" t="n">
        <v>4612.6448</v>
      </c>
      <c r="E872" s="182" t="n">
        <v>-61.0148</v>
      </c>
      <c r="F872" s="182" t="n">
        <v>3722.8101</v>
      </c>
      <c r="G872" s="182" t="n">
        <v>-5.35611</v>
      </c>
      <c r="H872" s="182" t="n">
        <v>9.371289000000001</v>
      </c>
      <c r="I872" s="182" t="inlineStr"/>
    </row>
    <row r="873" ht="15" customHeight="1" s="28">
      <c r="A873" s="181" t="n">
        <v>859</v>
      </c>
      <c r="B873" s="181" t="n">
        <v>858</v>
      </c>
      <c r="C873" s="181" t="n">
        <v>4554.44</v>
      </c>
      <c r="D873" s="181" t="n">
        <v>4612.3909</v>
      </c>
      <c r="E873" s="181" t="n">
        <v>-57.9509</v>
      </c>
      <c r="F873" s="181" t="n">
        <v>3358.3114</v>
      </c>
      <c r="G873" s="181" t="n">
        <v>-4.589069</v>
      </c>
      <c r="H873" s="181" t="n">
        <v>7.626047</v>
      </c>
      <c r="I873" s="181" t="inlineStr"/>
    </row>
    <row r="874" ht="15" customHeight="1" s="28">
      <c r="A874" s="182" t="n">
        <v>860</v>
      </c>
      <c r="B874" s="182" t="n">
        <v>859</v>
      </c>
      <c r="C874" s="182" t="n">
        <v>4561.66</v>
      </c>
      <c r="D874" s="182" t="n">
        <v>4612.137</v>
      </c>
      <c r="E874" s="182" t="n">
        <v>-50.477</v>
      </c>
      <c r="F874" s="182" t="n">
        <v>2547.932</v>
      </c>
      <c r="G874" s="182" t="n">
        <v>-3.032668</v>
      </c>
      <c r="H874" s="182" t="n">
        <v>4.389684</v>
      </c>
      <c r="I874" s="182" t="inlineStr"/>
    </row>
    <row r="875" ht="15" customHeight="1" s="28">
      <c r="A875" s="181" t="n">
        <v>861</v>
      </c>
      <c r="B875" s="181" t="n">
        <v>860</v>
      </c>
      <c r="C875" s="181" t="n">
        <v>4557.93</v>
      </c>
      <c r="D875" s="181" t="n">
        <v>4611.8831</v>
      </c>
      <c r="E875" s="181" t="n">
        <v>-53.9531</v>
      </c>
      <c r="F875" s="181" t="n">
        <v>2910.9422</v>
      </c>
      <c r="G875" s="181" t="n">
        <v>-3.70334</v>
      </c>
      <c r="H875" s="181" t="n">
        <v>5.729606</v>
      </c>
      <c r="I875" s="181" t="inlineStr"/>
    </row>
    <row r="876" ht="15" customHeight="1" s="28">
      <c r="A876" s="182" t="n">
        <v>862</v>
      </c>
      <c r="B876" s="182" t="n">
        <v>861</v>
      </c>
      <c r="C876" s="182" t="n">
        <v>4563.57</v>
      </c>
      <c r="D876" s="182" t="n">
        <v>4611.6293</v>
      </c>
      <c r="E876" s="182" t="n">
        <v>-48.0593</v>
      </c>
      <c r="F876" s="182" t="n">
        <v>2309.6918</v>
      </c>
      <c r="G876" s="182" t="n">
        <v>-2.617425</v>
      </c>
      <c r="H876" s="182" t="n">
        <v>3.607162</v>
      </c>
      <c r="I876" s="182" t="inlineStr"/>
    </row>
    <row r="877" ht="15" customHeight="1" s="28">
      <c r="A877" s="181" t="n">
        <v>863</v>
      </c>
      <c r="B877" s="181" t="n">
        <v>862</v>
      </c>
      <c r="C877" s="181" t="n">
        <v>4567.11</v>
      </c>
      <c r="D877" s="181" t="n">
        <v>4611.3754</v>
      </c>
      <c r="E877" s="181" t="n">
        <v>-44.2654</v>
      </c>
      <c r="F877" s="181" t="n">
        <v>1959.4219</v>
      </c>
      <c r="G877" s="181" t="n">
        <v>-2.045197</v>
      </c>
      <c r="H877" s="181" t="n">
        <v>2.596053</v>
      </c>
      <c r="I877" s="181" t="inlineStr"/>
    </row>
    <row r="878" ht="15" customHeight="1" s="28">
      <c r="A878" s="182" t="n">
        <v>864</v>
      </c>
      <c r="B878" s="182" t="n">
        <v>863</v>
      </c>
      <c r="C878" s="182" t="n">
        <v>4569.83</v>
      </c>
      <c r="D878" s="182" t="n">
        <v>4611.1215</v>
      </c>
      <c r="E878" s="182" t="n">
        <v>-41.2915</v>
      </c>
      <c r="F878" s="182" t="n">
        <v>1704.9848</v>
      </c>
      <c r="G878" s="182" t="n">
        <v>-1.660061</v>
      </c>
      <c r="H878" s="182" t="n">
        <v>1.965616</v>
      </c>
      <c r="I878" s="182" t="inlineStr"/>
    </row>
    <row r="879" ht="15" customHeight="1" s="28">
      <c r="A879" s="181" t="n">
        <v>865</v>
      </c>
      <c r="B879" s="181" t="n">
        <v>864</v>
      </c>
      <c r="C879" s="181" t="n">
        <v>4568.52</v>
      </c>
      <c r="D879" s="181" t="n">
        <v>4610.8676</v>
      </c>
      <c r="E879" s="181" t="n">
        <v>-42.3476</v>
      </c>
      <c r="F879" s="181" t="n">
        <v>1793.3164</v>
      </c>
      <c r="G879" s="181" t="n">
        <v>-1.790724</v>
      </c>
      <c r="H879" s="181" t="n">
        <v>2.17456</v>
      </c>
      <c r="I879" s="181" t="inlineStr"/>
    </row>
    <row r="880" ht="15" customHeight="1" s="28">
      <c r="A880" s="182" t="n">
        <v>866</v>
      </c>
      <c r="B880" s="182" t="n">
        <v>865</v>
      </c>
      <c r="C880" s="182" t="n">
        <v>4579.79</v>
      </c>
      <c r="D880" s="182" t="n">
        <v>4610.6137</v>
      </c>
      <c r="E880" s="182" t="n">
        <v>-30.8237</v>
      </c>
      <c r="F880" s="182" t="n">
        <v>950.0987</v>
      </c>
      <c r="G880" s="182" t="n">
        <v>-0.6905520000000001</v>
      </c>
      <c r="H880" s="182" t="n">
        <v>0.6103730000000001</v>
      </c>
      <c r="I880" s="182" t="inlineStr"/>
    </row>
    <row r="881" ht="15" customHeight="1" s="28">
      <c r="A881" s="181" t="n">
        <v>867</v>
      </c>
      <c r="B881" s="181" t="n">
        <v>866</v>
      </c>
      <c r="C881" s="181" t="n">
        <v>4576.31</v>
      </c>
      <c r="D881" s="181" t="n">
        <v>4610.3598</v>
      </c>
      <c r="E881" s="181" t="n">
        <v>-34.0498</v>
      </c>
      <c r="F881" s="181" t="n">
        <v>1159.3872</v>
      </c>
      <c r="G881" s="181" t="n">
        <v>-0.930863</v>
      </c>
      <c r="H881" s="181" t="n">
        <v>0.908897</v>
      </c>
      <c r="I881" s="181" t="inlineStr"/>
    </row>
    <row r="882" ht="15" customHeight="1" s="28">
      <c r="A882" s="182" t="n">
        <v>868</v>
      </c>
      <c r="B882" s="182" t="n">
        <v>867</v>
      </c>
      <c r="C882" s="182" t="n">
        <v>4579.13</v>
      </c>
      <c r="D882" s="182" t="n">
        <v>4610.1059</v>
      </c>
      <c r="E882" s="182" t="n">
        <v>-30.9759</v>
      </c>
      <c r="F882" s="182" t="n">
        <v>959.5051</v>
      </c>
      <c r="G882" s="182" t="n">
        <v>-0.700832</v>
      </c>
      <c r="H882" s="182" t="n">
        <v>0.622518</v>
      </c>
      <c r="I882" s="182" t="inlineStr"/>
    </row>
    <row r="883" ht="15" customHeight="1" s="28">
      <c r="A883" s="181" t="n">
        <v>869</v>
      </c>
      <c r="B883" s="181" t="n">
        <v>868</v>
      </c>
      <c r="C883" s="181" t="n">
        <v>4579.74</v>
      </c>
      <c r="D883" s="181" t="n">
        <v>4609.852</v>
      </c>
      <c r="E883" s="181" t="n">
        <v>-30.112</v>
      </c>
      <c r="F883" s="181" t="n">
        <v>906.7316</v>
      </c>
      <c r="G883" s="181" t="n">
        <v>-0.643815</v>
      </c>
      <c r="H883" s="181" t="n">
        <v>0.555924</v>
      </c>
      <c r="I883" s="181" t="inlineStr"/>
    </row>
    <row r="884" ht="15" customHeight="1" s="28">
      <c r="A884" s="182" t="n">
        <v>870</v>
      </c>
      <c r="B884" s="182" t="n">
        <v>869</v>
      </c>
      <c r="C884" s="182" t="n">
        <v>4573.13</v>
      </c>
      <c r="D884" s="182" t="n">
        <v>4609.5981</v>
      </c>
      <c r="E884" s="182" t="n">
        <v>-36.4681</v>
      </c>
      <c r="F884" s="182" t="n">
        <v>1329.9215</v>
      </c>
      <c r="G884" s="182" t="n">
        <v>-1.143621</v>
      </c>
      <c r="H884" s="182" t="n">
        <v>1.195941</v>
      </c>
      <c r="I884" s="182" t="inlineStr"/>
    </row>
    <row r="885" ht="15" customHeight="1" s="28">
      <c r="A885" s="181" t="n">
        <v>871</v>
      </c>
      <c r="B885" s="181" t="n">
        <v>870</v>
      </c>
      <c r="C885" s="181" t="n">
        <v>4562.53</v>
      </c>
      <c r="D885" s="181" t="n">
        <v>4609.3442</v>
      </c>
      <c r="E885" s="181" t="n">
        <v>-46.8142</v>
      </c>
      <c r="F885" s="181" t="n">
        <v>2191.5687</v>
      </c>
      <c r="G885" s="181" t="n">
        <v>-2.419223</v>
      </c>
      <c r="H885" s="181" t="n">
        <v>3.247639</v>
      </c>
      <c r="I885" s="181" t="inlineStr"/>
    </row>
    <row r="886" ht="15" customHeight="1" s="28">
      <c r="A886" s="182" t="n">
        <v>872</v>
      </c>
      <c r="B886" s="182" t="n">
        <v>871</v>
      </c>
      <c r="C886" s="182" t="n">
        <v>4565.02</v>
      </c>
      <c r="D886" s="182" t="n">
        <v>4609.0903</v>
      </c>
      <c r="E886" s="182" t="n">
        <v>-44.0703</v>
      </c>
      <c r="F886" s="182" t="n">
        <v>1942.1912</v>
      </c>
      <c r="G886" s="182" t="n">
        <v>-2.018279</v>
      </c>
      <c r="H886" s="182" t="n">
        <v>2.550595</v>
      </c>
      <c r="I886" s="182" t="inlineStr"/>
    </row>
    <row r="887" ht="15" customHeight="1" s="28">
      <c r="A887" s="181" t="n">
        <v>873</v>
      </c>
      <c r="B887" s="181" t="n">
        <v>872</v>
      </c>
      <c r="C887" s="181" t="n">
        <v>4564.98</v>
      </c>
      <c r="D887" s="181" t="n">
        <v>4608.8364</v>
      </c>
      <c r="E887" s="181" t="n">
        <v>-43.8564</v>
      </c>
      <c r="F887" s="181" t="n">
        <v>1923.384</v>
      </c>
      <c r="G887" s="181" t="n">
        <v>-1.989034</v>
      </c>
      <c r="H887" s="181" t="n">
        <v>2.501437</v>
      </c>
      <c r="I887" s="181" t="inlineStr"/>
    </row>
    <row r="888" ht="15" customHeight="1" s="28">
      <c r="A888" s="182" t="n">
        <v>874</v>
      </c>
      <c r="B888" s="182" t="n">
        <v>873</v>
      </c>
      <c r="C888" s="182" t="n">
        <v>4563.32</v>
      </c>
      <c r="D888" s="182" t="n">
        <v>4608.5825</v>
      </c>
      <c r="E888" s="182" t="n">
        <v>-45.2625</v>
      </c>
      <c r="F888" s="182" t="n">
        <v>2048.6945</v>
      </c>
      <c r="G888" s="182" t="n">
        <v>-2.186548</v>
      </c>
      <c r="H888" s="182" t="n">
        <v>2.837997</v>
      </c>
      <c r="I888" s="182" t="inlineStr"/>
    </row>
    <row r="889" ht="15" customHeight="1" s="28">
      <c r="A889" s="181" t="n">
        <v>875</v>
      </c>
      <c r="B889" s="181" t="n">
        <v>874</v>
      </c>
      <c r="C889" s="181" t="n">
        <v>4561.66</v>
      </c>
      <c r="D889" s="181" t="n">
        <v>4608.3286</v>
      </c>
      <c r="E889" s="181" t="n">
        <v>-46.6686</v>
      </c>
      <c r="F889" s="181" t="n">
        <v>2177.9593</v>
      </c>
      <c r="G889" s="181" t="n">
        <v>-2.396723</v>
      </c>
      <c r="H889" s="181" t="n">
        <v>3.207429</v>
      </c>
      <c r="I889" s="181" t="inlineStr"/>
    </row>
    <row r="890" ht="15" customHeight="1" s="28">
      <c r="A890" s="182" t="n">
        <v>876</v>
      </c>
      <c r="B890" s="182" t="n">
        <v>875</v>
      </c>
      <c r="C890" s="182" t="n">
        <v>4556.09</v>
      </c>
      <c r="D890" s="182" t="n">
        <v>4608.0747</v>
      </c>
      <c r="E890" s="182" t="n">
        <v>-51.9847</v>
      </c>
      <c r="F890" s="182" t="n">
        <v>2702.4107</v>
      </c>
      <c r="G890" s="182" t="n">
        <v>-3.312609</v>
      </c>
      <c r="H890" s="182" t="n">
        <v>4.938104</v>
      </c>
      <c r="I890" s="182" t="inlineStr"/>
    </row>
    <row r="891" ht="15" customHeight="1" s="28">
      <c r="A891" s="181" t="n">
        <v>877</v>
      </c>
      <c r="B891" s="181" t="n">
        <v>876</v>
      </c>
      <c r="C891" s="181" t="n">
        <v>4555.41</v>
      </c>
      <c r="D891" s="181" t="n">
        <v>4607.8208</v>
      </c>
      <c r="E891" s="181" t="n">
        <v>-52.4108</v>
      </c>
      <c r="F891" s="181" t="n">
        <v>2746.8941</v>
      </c>
      <c r="G891" s="181" t="n">
        <v>-3.394736</v>
      </c>
      <c r="H891" s="181" t="n">
        <v>5.102011</v>
      </c>
      <c r="I891" s="181" t="inlineStr"/>
    </row>
    <row r="892" ht="15" customHeight="1" s="28">
      <c r="A892" s="182" t="n">
        <v>878</v>
      </c>
      <c r="B892" s="182" t="n">
        <v>877</v>
      </c>
      <c r="C892" s="182" t="n">
        <v>4547.28</v>
      </c>
      <c r="D892" s="182" t="n">
        <v>4607.5669</v>
      </c>
      <c r="E892" s="182" t="n">
        <v>-60.2869</v>
      </c>
      <c r="F892" s="182" t="n">
        <v>3634.5133</v>
      </c>
      <c r="G892" s="182" t="n">
        <v>-5.166692</v>
      </c>
      <c r="H892" s="182" t="n">
        <v>8.932029</v>
      </c>
      <c r="I892" s="182" t="inlineStr"/>
    </row>
    <row r="893" ht="15" customHeight="1" s="28">
      <c r="A893" s="181" t="n">
        <v>879</v>
      </c>
      <c r="B893" s="181" t="n">
        <v>878</v>
      </c>
      <c r="C893" s="181" t="n">
        <v>4544.74</v>
      </c>
      <c r="D893" s="181" t="n">
        <v>4607.313</v>
      </c>
      <c r="E893" s="181" t="n">
        <v>-62.573</v>
      </c>
      <c r="F893" s="181" t="n">
        <v>3915.384</v>
      </c>
      <c r="G893" s="181" t="n">
        <v>-5.777031</v>
      </c>
      <c r="H893" s="181" t="n">
        <v>10.365883</v>
      </c>
      <c r="I893" s="181" t="inlineStr"/>
    </row>
    <row r="894" ht="15" customHeight="1" s="28">
      <c r="A894" s="182" t="n">
        <v>880</v>
      </c>
      <c r="B894" s="182" t="n">
        <v>879</v>
      </c>
      <c r="C894" s="182" t="n">
        <v>4541.91</v>
      </c>
      <c r="D894" s="182" t="n">
        <v>4607.0591</v>
      </c>
      <c r="E894" s="182" t="n">
        <v>-65.1491</v>
      </c>
      <c r="F894" s="182" t="n">
        <v>4244.4097</v>
      </c>
      <c r="G894" s="182" t="n">
        <v>-6.520323</v>
      </c>
      <c r="H894" s="182" t="n">
        <v>12.181259</v>
      </c>
      <c r="I894" s="182" t="inlineStr"/>
    </row>
    <row r="895" ht="15" customHeight="1" s="28">
      <c r="A895" s="181" t="n">
        <v>881</v>
      </c>
      <c r="B895" s="181" t="n">
        <v>880</v>
      </c>
      <c r="C895" s="181" t="n">
        <v>4553.22</v>
      </c>
      <c r="D895" s="181" t="n">
        <v>4606.8052</v>
      </c>
      <c r="E895" s="181" t="n">
        <v>-53.5852</v>
      </c>
      <c r="F895" s="181" t="n">
        <v>2871.3778</v>
      </c>
      <c r="G895" s="181" t="n">
        <v>-3.628095</v>
      </c>
      <c r="H895" s="181" t="n">
        <v>5.574915</v>
      </c>
      <c r="I895" s="181" t="inlineStr"/>
    </row>
    <row r="896" ht="15" customHeight="1" s="28">
      <c r="A896" s="182" t="n">
        <v>882</v>
      </c>
      <c r="B896" s="182" t="n">
        <v>881</v>
      </c>
      <c r="C896" s="182" t="n">
        <v>4555.73</v>
      </c>
      <c r="D896" s="182" t="n">
        <v>4606.5513</v>
      </c>
      <c r="E896" s="182" t="n">
        <v>-50.8213</v>
      </c>
      <c r="F896" s="182" t="n">
        <v>2582.8089</v>
      </c>
      <c r="G896" s="182" t="n">
        <v>-3.095149</v>
      </c>
      <c r="H896" s="182" t="n">
        <v>4.510681</v>
      </c>
      <c r="I896" s="182" t="inlineStr"/>
    </row>
    <row r="897" ht="15" customHeight="1" s="28">
      <c r="A897" s="181" t="n">
        <v>883</v>
      </c>
      <c r="B897" s="181" t="n">
        <v>882</v>
      </c>
      <c r="C897" s="181" t="n">
        <v>4564.04</v>
      </c>
      <c r="D897" s="181" t="n">
        <v>4606.2974</v>
      </c>
      <c r="E897" s="181" t="n">
        <v>-42.2574</v>
      </c>
      <c r="F897" s="181" t="n">
        <v>1785.6919</v>
      </c>
      <c r="G897" s="181" t="n">
        <v>-1.779315</v>
      </c>
      <c r="H897" s="181" t="n">
        <v>2.156109</v>
      </c>
      <c r="I897" s="181" t="inlineStr"/>
    </row>
    <row r="898" ht="15" customHeight="1" s="28">
      <c r="A898" s="182" t="n">
        <v>884</v>
      </c>
      <c r="B898" s="182" t="n">
        <v>883</v>
      </c>
      <c r="C898" s="182" t="n">
        <v>4562.71</v>
      </c>
      <c r="D898" s="182" t="n">
        <v>4606.0436</v>
      </c>
      <c r="E898" s="182" t="n">
        <v>-43.3336</v>
      </c>
      <c r="F898" s="182" t="n">
        <v>1877.7967</v>
      </c>
      <c r="G898" s="182" t="n">
        <v>-1.91874</v>
      </c>
      <c r="H898" s="182" t="n">
        <v>2.384266</v>
      </c>
      <c r="I898" s="182" t="inlineStr"/>
    </row>
    <row r="899" ht="15" customHeight="1" s="28">
      <c r="A899" s="181" t="n">
        <v>885</v>
      </c>
      <c r="B899" s="181" t="n">
        <v>884</v>
      </c>
      <c r="C899" s="181" t="n">
        <v>4566.21</v>
      </c>
      <c r="D899" s="181" t="n">
        <v>4605.7897</v>
      </c>
      <c r="E899" s="181" t="n">
        <v>-39.5797</v>
      </c>
      <c r="F899" s="181" t="n">
        <v>1566.5492</v>
      </c>
      <c r="G899" s="181" t="n">
        <v>-1.46204</v>
      </c>
      <c r="H899" s="181" t="n">
        <v>1.659379</v>
      </c>
      <c r="I899" s="181" t="inlineStr"/>
    </row>
    <row r="900" ht="15" customHeight="1" s="28">
      <c r="A900" s="182" t="n">
        <v>886</v>
      </c>
      <c r="B900" s="182" t="n">
        <v>885</v>
      </c>
      <c r="C900" s="182" t="n">
        <v>4569.57</v>
      </c>
      <c r="D900" s="182" t="n">
        <v>4605.5358</v>
      </c>
      <c r="E900" s="182" t="n">
        <v>-35.9658</v>
      </c>
      <c r="F900" s="182" t="n">
        <v>1293.536</v>
      </c>
      <c r="G900" s="182" t="n">
        <v>-1.097011</v>
      </c>
      <c r="H900" s="182" t="n">
        <v>1.131396</v>
      </c>
      <c r="I900" s="182" t="inlineStr"/>
    </row>
    <row r="901" ht="15" customHeight="1" s="28">
      <c r="A901" s="181" t="n">
        <v>887</v>
      </c>
      <c r="B901" s="181" t="n">
        <v>886</v>
      </c>
      <c r="C901" s="181" t="n">
        <v>4575.23</v>
      </c>
      <c r="D901" s="181" t="n">
        <v>4605.2819</v>
      </c>
      <c r="E901" s="181" t="n">
        <v>-30.0519</v>
      </c>
      <c r="F901" s="181" t="n">
        <v>903.1146</v>
      </c>
      <c r="G901" s="181" t="n">
        <v>-0.639967</v>
      </c>
      <c r="H901" s="181" t="n">
        <v>0.551497</v>
      </c>
      <c r="I901" s="181" t="inlineStr"/>
    </row>
    <row r="902" ht="15" customHeight="1" s="28">
      <c r="A902" s="182" t="n">
        <v>888</v>
      </c>
      <c r="B902" s="182" t="n">
        <v>887</v>
      </c>
      <c r="C902" s="182" t="n">
        <v>4589.44</v>
      </c>
      <c r="D902" s="182" t="n">
        <v>4605.028</v>
      </c>
      <c r="E902" s="182" t="n">
        <v>-15.588</v>
      </c>
      <c r="F902" s="182" t="n">
        <v>242.9848</v>
      </c>
      <c r="G902" s="182" t="n">
        <v>-0.089312</v>
      </c>
      <c r="H902" s="182" t="n">
        <v>0.039922</v>
      </c>
      <c r="I902" s="182" t="inlineStr"/>
    </row>
    <row r="903" ht="15" customHeight="1" s="28">
      <c r="A903" s="181" t="n">
        <v>889</v>
      </c>
      <c r="B903" s="181" t="n">
        <v>888</v>
      </c>
      <c r="C903" s="181" t="n">
        <v>4591.59</v>
      </c>
      <c r="D903" s="181" t="n">
        <v>4604.7741</v>
      </c>
      <c r="E903" s="181" t="n">
        <v>-13.1841</v>
      </c>
      <c r="F903" s="181" t="n">
        <v>173.8198</v>
      </c>
      <c r="G903" s="181" t="n">
        <v>-0.054037</v>
      </c>
      <c r="H903" s="181" t="n">
        <v>0.020429</v>
      </c>
      <c r="I903" s="181" t="inlineStr"/>
    </row>
    <row r="904" ht="15" customHeight="1" s="28">
      <c r="A904" s="182" t="n">
        <v>890</v>
      </c>
      <c r="B904" s="182" t="n">
        <v>889</v>
      </c>
      <c r="C904" s="182" t="n">
        <v>4591.59</v>
      </c>
      <c r="D904" s="182" t="n">
        <v>4604.5202</v>
      </c>
      <c r="E904" s="182" t="n">
        <v>-12.9302</v>
      </c>
      <c r="F904" s="182" t="n">
        <v>167.1895</v>
      </c>
      <c r="G904" s="182" t="n">
        <v>-0.050975</v>
      </c>
      <c r="H904" s="182" t="n">
        <v>0.018901</v>
      </c>
      <c r="I904" s="182" t="inlineStr"/>
    </row>
    <row r="905" ht="15" customHeight="1" s="28">
      <c r="A905" s="181" t="n">
        <v>891</v>
      </c>
      <c r="B905" s="181" t="n">
        <v>890</v>
      </c>
      <c r="C905" s="181" t="n">
        <v>4596.69</v>
      </c>
      <c r="D905" s="181" t="n">
        <v>4604.2663</v>
      </c>
      <c r="E905" s="181" t="n">
        <v>-7.5763</v>
      </c>
      <c r="F905" s="181" t="n">
        <v>57.4001</v>
      </c>
      <c r="G905" s="181" t="n">
        <v>-0.010254</v>
      </c>
      <c r="H905" s="181" t="n">
        <v>0.002228</v>
      </c>
      <c r="I905" s="181" t="inlineStr"/>
    </row>
    <row r="906" ht="15" customHeight="1" s="28">
      <c r="A906" s="182" t="n">
        <v>892</v>
      </c>
      <c r="B906" s="182" t="n">
        <v>891</v>
      </c>
      <c r="C906" s="182" t="n">
        <v>4598.44</v>
      </c>
      <c r="D906" s="182" t="n">
        <v>4604.0124</v>
      </c>
      <c r="E906" s="182" t="n">
        <v>-5.5724</v>
      </c>
      <c r="F906" s="182" t="n">
        <v>31.0515</v>
      </c>
      <c r="G906" s="182" t="n">
        <v>-0.00408</v>
      </c>
      <c r="H906" s="182" t="n">
        <v>0.000652</v>
      </c>
      <c r="I906" s="182" t="inlineStr"/>
    </row>
    <row r="907" ht="15" customHeight="1" s="28">
      <c r="A907" s="181" t="n">
        <v>893</v>
      </c>
      <c r="B907" s="181" t="n">
        <v>892</v>
      </c>
      <c r="C907" s="181" t="n">
        <v>4618.7</v>
      </c>
      <c r="D907" s="181" t="n">
        <v>4603.7585</v>
      </c>
      <c r="E907" s="181" t="n">
        <v>14.9415</v>
      </c>
      <c r="F907" s="181" t="n">
        <v>223.2486</v>
      </c>
      <c r="G907" s="181" t="n">
        <v>0.078655</v>
      </c>
      <c r="H907" s="181" t="n">
        <v>0.0337</v>
      </c>
      <c r="I907" s="181" t="inlineStr"/>
    </row>
    <row r="908" ht="15" customHeight="1" s="28">
      <c r="A908" s="182" t="n">
        <v>894</v>
      </c>
      <c r="B908" s="182" t="n">
        <v>893</v>
      </c>
      <c r="C908" s="182" t="n">
        <v>4617.35</v>
      </c>
      <c r="D908" s="182" t="n">
        <v>4603.5046</v>
      </c>
      <c r="E908" s="182" t="n">
        <v>13.8454</v>
      </c>
      <c r="F908" s="182" t="n">
        <v>191.6952</v>
      </c>
      <c r="G908" s="182" t="n">
        <v>0.062584</v>
      </c>
      <c r="H908" s="182" t="n">
        <v>0.024847</v>
      </c>
      <c r="I908" s="182" t="inlineStr"/>
    </row>
    <row r="909" ht="15" customHeight="1" s="28">
      <c r="A909" s="181" t="n">
        <v>895</v>
      </c>
      <c r="B909" s="181" t="n">
        <v>894</v>
      </c>
      <c r="C909" s="181" t="n">
        <v>4614.82</v>
      </c>
      <c r="D909" s="181" t="n">
        <v>4603.2507</v>
      </c>
      <c r="E909" s="181" t="n">
        <v>11.5693</v>
      </c>
      <c r="F909" s="181" t="n">
        <v>133.8487</v>
      </c>
      <c r="G909" s="181" t="n">
        <v>0.036514</v>
      </c>
      <c r="H909" s="181" t="n">
        <v>0.012114</v>
      </c>
      <c r="I909" s="181" t="inlineStr"/>
    </row>
    <row r="910" ht="15" customHeight="1" s="28">
      <c r="A910" s="182" t="n">
        <v>896</v>
      </c>
      <c r="B910" s="182" t="n">
        <v>895</v>
      </c>
      <c r="C910" s="182" t="n">
        <v>4616</v>
      </c>
      <c r="D910" s="182" t="n">
        <v>4602.9968</v>
      </c>
      <c r="E910" s="182" t="n">
        <v>13.0032</v>
      </c>
      <c r="F910" s="182" t="n">
        <v>169.0831</v>
      </c>
      <c r="G910" s="182" t="n">
        <v>0.051843</v>
      </c>
      <c r="H910" s="182" t="n">
        <v>0.019331</v>
      </c>
      <c r="I910" s="182" t="inlineStr"/>
    </row>
    <row r="911" ht="15" customHeight="1" s="28">
      <c r="A911" s="181" t="n">
        <v>897</v>
      </c>
      <c r="B911" s="181" t="n">
        <v>896</v>
      </c>
      <c r="C911" s="181" t="n">
        <v>4618.96</v>
      </c>
      <c r="D911" s="181" t="n">
        <v>4602.7429</v>
      </c>
      <c r="E911" s="181" t="n">
        <v>16.2171</v>
      </c>
      <c r="F911" s="181" t="n">
        <v>262.994</v>
      </c>
      <c r="G911" s="181" t="n">
        <v>0.100568</v>
      </c>
      <c r="H911" s="181" t="n">
        <v>0.046768</v>
      </c>
      <c r="I911" s="181" t="inlineStr"/>
    </row>
    <row r="912" ht="15" customHeight="1" s="28">
      <c r="A912" s="182" t="n">
        <v>898</v>
      </c>
      <c r="B912" s="182" t="n">
        <v>897</v>
      </c>
      <c r="C912" s="182" t="n">
        <v>4625.41</v>
      </c>
      <c r="D912" s="182" t="n">
        <v>4602.489</v>
      </c>
      <c r="E912" s="182" t="n">
        <v>22.921</v>
      </c>
      <c r="F912" s="182" t="n">
        <v>525.3715</v>
      </c>
      <c r="G912" s="182" t="n">
        <v>0.283951</v>
      </c>
      <c r="H912" s="182" t="n">
        <v>0.186634</v>
      </c>
      <c r="I912" s="182" t="inlineStr"/>
    </row>
    <row r="913" ht="15" customHeight="1" s="28">
      <c r="A913" s="181" t="n">
        <v>899</v>
      </c>
      <c r="B913" s="181" t="n">
        <v>898</v>
      </c>
      <c r="C913" s="181" t="n">
        <v>4619.35</v>
      </c>
      <c r="D913" s="181" t="n">
        <v>4602.2351</v>
      </c>
      <c r="E913" s="181" t="n">
        <v>17.1149</v>
      </c>
      <c r="F913" s="181" t="n">
        <v>292.9191</v>
      </c>
      <c r="G913" s="181" t="n">
        <v>0.118213</v>
      </c>
      <c r="H913" s="181" t="n">
        <v>0.058017</v>
      </c>
      <c r="I913" s="181" t="inlineStr"/>
    </row>
    <row r="914" ht="15" customHeight="1" s="28">
      <c r="A914" s="182" t="n">
        <v>900</v>
      </c>
      <c r="B914" s="182" t="n">
        <v>899</v>
      </c>
      <c r="C914" s="182" t="n">
        <v>4624.91</v>
      </c>
      <c r="D914" s="182" t="n">
        <v>4601.9812</v>
      </c>
      <c r="E914" s="182" t="n">
        <v>22.9288</v>
      </c>
      <c r="F914" s="182" t="n">
        <v>525.7288</v>
      </c>
      <c r="G914" s="182" t="n">
        <v>0.28424</v>
      </c>
      <c r="H914" s="182" t="n">
        <v>0.186888</v>
      </c>
      <c r="I914" s="182" t="inlineStr"/>
    </row>
    <row r="915" ht="15" customHeight="1" s="28">
      <c r="A915" s="181" t="n">
        <v>901</v>
      </c>
      <c r="B915" s="181" t="n">
        <v>900</v>
      </c>
      <c r="C915" s="181" t="n">
        <v>4626.92</v>
      </c>
      <c r="D915" s="181" t="n">
        <v>4601.7273</v>
      </c>
      <c r="E915" s="181" t="n">
        <v>25.1927</v>
      </c>
      <c r="F915" s="181" t="n">
        <v>634.6707</v>
      </c>
      <c r="G915" s="181" t="n">
        <v>0.377021</v>
      </c>
      <c r="H915" s="181" t="n">
        <v>0.272367</v>
      </c>
      <c r="I915" s="181" t="inlineStr"/>
    </row>
    <row r="916" ht="15" customHeight="1" s="28">
      <c r="A916" s="182" t="n">
        <v>902</v>
      </c>
      <c r="B916" s="182" t="n">
        <v>901</v>
      </c>
      <c r="C916" s="182" t="n">
        <v>4643.78</v>
      </c>
      <c r="D916" s="182" t="n">
        <v>4601.4734</v>
      </c>
      <c r="E916" s="182" t="n">
        <v>42.3066</v>
      </c>
      <c r="F916" s="182" t="n">
        <v>1789.8456</v>
      </c>
      <c r="G916" s="182" t="n">
        <v>1.785527</v>
      </c>
      <c r="H916" s="182" t="n">
        <v>2.166151</v>
      </c>
      <c r="I916" s="182" t="inlineStr"/>
    </row>
    <row r="917" ht="15" customHeight="1" s="28">
      <c r="A917" s="181" t="n">
        <v>903</v>
      </c>
      <c r="B917" s="181" t="n">
        <v>902</v>
      </c>
      <c r="C917" s="181" t="n">
        <v>4636.62</v>
      </c>
      <c r="D917" s="181" t="n">
        <v>4601.2195</v>
      </c>
      <c r="E917" s="181" t="n">
        <v>35.4005</v>
      </c>
      <c r="F917" s="181" t="n">
        <v>1253.1927</v>
      </c>
      <c r="G917" s="181" t="n">
        <v>1.046092</v>
      </c>
      <c r="H917" s="181" t="n">
        <v>1.061924</v>
      </c>
      <c r="I917" s="181" t="inlineStr"/>
    </row>
    <row r="918" ht="15" customHeight="1" s="28">
      <c r="A918" s="182" t="n">
        <v>904</v>
      </c>
      <c r="B918" s="182" t="n">
        <v>903</v>
      </c>
      <c r="C918" s="182" t="n">
        <v>4639.68</v>
      </c>
      <c r="D918" s="182" t="n">
        <v>4600.9656</v>
      </c>
      <c r="E918" s="182" t="n">
        <v>38.7144</v>
      </c>
      <c r="F918" s="182" t="n">
        <v>1498.8015</v>
      </c>
      <c r="G918" s="182" t="n">
        <v>1.368231</v>
      </c>
      <c r="H918" s="182" t="n">
        <v>1.518958</v>
      </c>
      <c r="I918" s="182" t="inlineStr"/>
    </row>
    <row r="919" ht="15" customHeight="1" s="28">
      <c r="A919" s="181" t="n">
        <v>905</v>
      </c>
      <c r="B919" s="181" t="n">
        <v>904</v>
      </c>
      <c r="C919" s="181" t="n">
        <v>4635.99</v>
      </c>
      <c r="D919" s="181" t="n">
        <v>4600.7117</v>
      </c>
      <c r="E919" s="181" t="n">
        <v>35.2783</v>
      </c>
      <c r="F919" s="181" t="n">
        <v>1244.5552</v>
      </c>
      <c r="G919" s="181" t="n">
        <v>1.035296</v>
      </c>
      <c r="H919" s="181" t="n">
        <v>1.047336</v>
      </c>
      <c r="I919" s="181" t="inlineStr"/>
    </row>
    <row r="920" ht="15" customHeight="1" s="28">
      <c r="A920" s="182" t="n">
        <v>906</v>
      </c>
      <c r="B920" s="182" t="n">
        <v>905</v>
      </c>
      <c r="C920" s="182" t="n">
        <v>4637.7</v>
      </c>
      <c r="D920" s="182" t="n">
        <v>4600.4579</v>
      </c>
      <c r="E920" s="182" t="n">
        <v>37.2421</v>
      </c>
      <c r="F920" s="182" t="n">
        <v>1386.9777</v>
      </c>
      <c r="G920" s="182" t="n">
        <v>1.218</v>
      </c>
      <c r="H920" s="182" t="n">
        <v>1.300758</v>
      </c>
      <c r="I920" s="182" t="inlineStr"/>
    </row>
    <row r="921" ht="15" customHeight="1" s="28">
      <c r="A921" s="181" t="n">
        <v>907</v>
      </c>
      <c r="B921" s="181" t="n">
        <v>906</v>
      </c>
      <c r="C921" s="181" t="n">
        <v>4629.82</v>
      </c>
      <c r="D921" s="181" t="n">
        <v>4600.204</v>
      </c>
      <c r="E921" s="181" t="n">
        <v>29.616</v>
      </c>
      <c r="F921" s="181" t="n">
        <v>877.1101</v>
      </c>
      <c r="G921" s="181" t="n">
        <v>0.612526</v>
      </c>
      <c r="H921" s="181" t="n">
        <v>0.520195</v>
      </c>
      <c r="I921" s="181" t="inlineStr"/>
    </row>
    <row r="922" ht="15" customHeight="1" s="28">
      <c r="A922" s="182" t="n">
        <v>908</v>
      </c>
      <c r="B922" s="182" t="n">
        <v>907</v>
      </c>
      <c r="C922" s="182" t="n">
        <v>4630.21</v>
      </c>
      <c r="D922" s="182" t="n">
        <v>4599.9501</v>
      </c>
      <c r="E922" s="182" t="n">
        <v>30.2599</v>
      </c>
      <c r="F922" s="182" t="n">
        <v>915.664</v>
      </c>
      <c r="G922" s="182" t="n">
        <v>0.653352</v>
      </c>
      <c r="H922" s="182" t="n">
        <v>0.56693</v>
      </c>
      <c r="I922" s="182" t="inlineStr"/>
    </row>
    <row r="923" ht="15" customHeight="1" s="28">
      <c r="A923" s="181" t="n">
        <v>909</v>
      </c>
      <c r="B923" s="181" t="n">
        <v>908</v>
      </c>
      <c r="C923" s="181" t="n">
        <v>4635.81</v>
      </c>
      <c r="D923" s="181" t="n">
        <v>4599.6962</v>
      </c>
      <c r="E923" s="181" t="n">
        <v>36.1138</v>
      </c>
      <c r="F923" s="181" t="n">
        <v>1304.2091</v>
      </c>
      <c r="G923" s="181" t="n">
        <v>1.110616</v>
      </c>
      <c r="H923" s="181" t="n">
        <v>1.150143</v>
      </c>
      <c r="I923" s="181" t="inlineStr"/>
    </row>
    <row r="924" ht="15" customHeight="1" s="28">
      <c r="A924" s="182" t="n">
        <v>910</v>
      </c>
      <c r="B924" s="182" t="n">
        <v>909</v>
      </c>
      <c r="C924" s="182" t="n">
        <v>4630.51</v>
      </c>
      <c r="D924" s="182" t="n">
        <v>4599.4423</v>
      </c>
      <c r="E924" s="182" t="n">
        <v>31.0677</v>
      </c>
      <c r="F924" s="182" t="n">
        <v>965.2039</v>
      </c>
      <c r="G924" s="182" t="n">
        <v>0.707085</v>
      </c>
      <c r="H924" s="182" t="n">
        <v>0.629935</v>
      </c>
      <c r="I924" s="182" t="inlineStr"/>
    </row>
    <row r="925" ht="15" customHeight="1" s="28">
      <c r="A925" s="181" t="n">
        <v>911</v>
      </c>
      <c r="B925" s="181" t="n">
        <v>910</v>
      </c>
      <c r="C925" s="181" t="n">
        <v>4625.92</v>
      </c>
      <c r="D925" s="181" t="n">
        <v>4599.1884</v>
      </c>
      <c r="E925" s="181" t="n">
        <v>26.7316</v>
      </c>
      <c r="F925" s="181" t="n">
        <v>714.5798</v>
      </c>
      <c r="G925" s="181" t="n">
        <v>0.450422</v>
      </c>
      <c r="H925" s="181" t="n">
        <v>0.34527</v>
      </c>
      <c r="I925" s="181" t="inlineStr"/>
    </row>
    <row r="926" ht="15" customHeight="1" s="28">
      <c r="A926" s="182" t="n">
        <v>912</v>
      </c>
      <c r="B926" s="182" t="n">
        <v>911</v>
      </c>
      <c r="C926" s="182" t="n">
        <v>4639.57</v>
      </c>
      <c r="D926" s="182" t="n">
        <v>4598.9345</v>
      </c>
      <c r="E926" s="182" t="n">
        <v>40.6355</v>
      </c>
      <c r="F926" s="182" t="n">
        <v>1651.2456</v>
      </c>
      <c r="G926" s="182" t="n">
        <v>1.582198</v>
      </c>
      <c r="H926" s="182" t="n">
        <v>1.84366</v>
      </c>
      <c r="I926" s="182" t="inlineStr"/>
    </row>
    <row r="927" ht="15" customHeight="1" s="28">
      <c r="A927" s="181" t="n">
        <v>913</v>
      </c>
      <c r="B927" s="181" t="n">
        <v>912</v>
      </c>
      <c r="C927" s="181" t="n">
        <v>4641.5</v>
      </c>
      <c r="D927" s="181" t="n">
        <v>4598.6806</v>
      </c>
      <c r="E927" s="181" t="n">
        <v>42.8194</v>
      </c>
      <c r="F927" s="181" t="n">
        <v>1833.5025</v>
      </c>
      <c r="G927" s="181" t="n">
        <v>1.851252</v>
      </c>
      <c r="H927" s="181" t="n">
        <v>2.273111</v>
      </c>
      <c r="I927" s="181" t="inlineStr"/>
    </row>
    <row r="928" ht="15" customHeight="1" s="28">
      <c r="A928" s="182" t="n">
        <v>914</v>
      </c>
      <c r="B928" s="182" t="n">
        <v>913</v>
      </c>
      <c r="C928" s="182" t="n">
        <v>4633.5</v>
      </c>
      <c r="D928" s="182" t="n">
        <v>4598.4267</v>
      </c>
      <c r="E928" s="182" t="n">
        <v>35.0733</v>
      </c>
      <c r="F928" s="182" t="n">
        <v>1230.1373</v>
      </c>
      <c r="G928" s="182" t="n">
        <v>1.017357</v>
      </c>
      <c r="H928" s="182" t="n">
        <v>1.02321</v>
      </c>
      <c r="I928" s="182" t="inlineStr"/>
    </row>
    <row r="929" ht="15" customHeight="1" s="28">
      <c r="A929" s="181" t="n">
        <v>915</v>
      </c>
      <c r="B929" s="181" t="n">
        <v>914</v>
      </c>
      <c r="C929" s="181" t="n">
        <v>4625.44</v>
      </c>
      <c r="D929" s="181" t="n">
        <v>4598.1728</v>
      </c>
      <c r="E929" s="181" t="n">
        <v>27.2672</v>
      </c>
      <c r="F929" s="181" t="n">
        <v>743.5007000000001</v>
      </c>
      <c r="G929" s="181" t="n">
        <v>0.478041</v>
      </c>
      <c r="H929" s="181" t="n">
        <v>0.373784</v>
      </c>
      <c r="I929" s="181" t="inlineStr"/>
    </row>
    <row r="930" ht="15" customHeight="1" s="28">
      <c r="A930" s="182" t="n">
        <v>916</v>
      </c>
      <c r="B930" s="182" t="n">
        <v>915</v>
      </c>
      <c r="C930" s="182" t="n">
        <v>4610.99</v>
      </c>
      <c r="D930" s="182" t="n">
        <v>4597.9189</v>
      </c>
      <c r="E930" s="182" t="n">
        <v>13.0711</v>
      </c>
      <c r="F930" s="182" t="n">
        <v>170.8538</v>
      </c>
      <c r="G930" s="182" t="n">
        <v>0.05266</v>
      </c>
      <c r="H930" s="182" t="n">
        <v>0.019738</v>
      </c>
      <c r="I930" s="182" t="inlineStr"/>
    </row>
    <row r="931" ht="15" customHeight="1" s="28">
      <c r="A931" s="181" t="n">
        <v>917</v>
      </c>
      <c r="B931" s="181" t="n">
        <v>916</v>
      </c>
      <c r="C931" s="181" t="n">
        <v>4620.39</v>
      </c>
      <c r="D931" s="181" t="n">
        <v>4597.665</v>
      </c>
      <c r="E931" s="181" t="n">
        <v>22.725</v>
      </c>
      <c r="F931" s="181" t="n">
        <v>516.4256</v>
      </c>
      <c r="G931" s="181" t="n">
        <v>0.276729</v>
      </c>
      <c r="H931" s="181" t="n">
        <v>0.180332</v>
      </c>
      <c r="I931" s="181" t="inlineStr"/>
    </row>
    <row r="932" ht="15" customHeight="1" s="28">
      <c r="A932" s="182" t="n">
        <v>918</v>
      </c>
      <c r="B932" s="182" t="n">
        <v>917</v>
      </c>
      <c r="C932" s="182" t="n">
        <v>4622.81</v>
      </c>
      <c r="D932" s="182" t="n">
        <v>4597.4111</v>
      </c>
      <c r="E932" s="182" t="n">
        <v>25.3989</v>
      </c>
      <c r="F932" s="182" t="n">
        <v>645.1039</v>
      </c>
      <c r="G932" s="182" t="n">
        <v>0.386356</v>
      </c>
      <c r="H932" s="182" t="n">
        <v>0.281395</v>
      </c>
      <c r="I932" s="182" t="inlineStr"/>
    </row>
    <row r="933" ht="15" customHeight="1" s="28">
      <c r="A933" s="181" t="n">
        <v>919</v>
      </c>
      <c r="B933" s="181" t="n">
        <v>918</v>
      </c>
      <c r="C933" s="181" t="n">
        <v>4617.7</v>
      </c>
      <c r="D933" s="181" t="n">
        <v>4597.1572</v>
      </c>
      <c r="E933" s="181" t="n">
        <v>20.5428</v>
      </c>
      <c r="F933" s="181" t="n">
        <v>422.0062</v>
      </c>
      <c r="G933" s="181" t="n">
        <v>0.204419</v>
      </c>
      <c r="H933" s="181" t="n">
        <v>0.120419</v>
      </c>
      <c r="I933" s="181" t="inlineStr"/>
    </row>
    <row r="934" ht="15" customHeight="1" s="28">
      <c r="A934" s="182" t="n">
        <v>920</v>
      </c>
      <c r="B934" s="182" t="n">
        <v>919</v>
      </c>
      <c r="C934" s="182" t="n">
        <v>4619.59</v>
      </c>
      <c r="D934" s="182" t="n">
        <v>4596.9033</v>
      </c>
      <c r="E934" s="182" t="n">
        <v>22.6867</v>
      </c>
      <c r="F934" s="182" t="n">
        <v>514.6857</v>
      </c>
      <c r="G934" s="182" t="n">
        <v>0.275332</v>
      </c>
      <c r="H934" s="182" t="n">
        <v>0.179119</v>
      </c>
      <c r="I934" s="182" t="inlineStr"/>
    </row>
    <row r="935" ht="15" customHeight="1" s="28">
      <c r="A935" s="181" t="n">
        <v>921</v>
      </c>
      <c r="B935" s="181" t="n">
        <v>920</v>
      </c>
      <c r="C935" s="181" t="n">
        <v>4620.13</v>
      </c>
      <c r="D935" s="181" t="n">
        <v>4596.6494</v>
      </c>
      <c r="E935" s="181" t="n">
        <v>23.4806</v>
      </c>
      <c r="F935" s="181" t="n">
        <v>551.3377</v>
      </c>
      <c r="G935" s="181" t="n">
        <v>0.30526</v>
      </c>
      <c r="H935" s="181" t="n">
        <v>0.205538</v>
      </c>
      <c r="I935" s="181" t="inlineStr"/>
    </row>
    <row r="936" ht="15" customHeight="1" s="28">
      <c r="A936" s="182" t="n">
        <v>922</v>
      </c>
      <c r="B936" s="182" t="n">
        <v>921</v>
      </c>
      <c r="C936" s="182" t="n">
        <v>4623.09</v>
      </c>
      <c r="D936" s="182" t="n">
        <v>4596.3955</v>
      </c>
      <c r="E936" s="182" t="n">
        <v>26.6945</v>
      </c>
      <c r="F936" s="182" t="n">
        <v>712.5951</v>
      </c>
      <c r="G936" s="182" t="n">
        <v>0.448546</v>
      </c>
      <c r="H936" s="182" t="n">
        <v>0.343355</v>
      </c>
      <c r="I936" s="182" t="inlineStr"/>
    </row>
    <row r="937" ht="15" customHeight="1" s="28">
      <c r="A937" s="181" t="n">
        <v>923</v>
      </c>
      <c r="B937" s="181" t="n">
        <v>922</v>
      </c>
      <c r="C937" s="181" t="n">
        <v>4615.65</v>
      </c>
      <c r="D937" s="181" t="n">
        <v>4596.1416</v>
      </c>
      <c r="E937" s="181" t="n">
        <v>19.5084</v>
      </c>
      <c r="F937" s="181" t="n">
        <v>380.5766</v>
      </c>
      <c r="G937" s="181" t="n">
        <v>0.175068</v>
      </c>
      <c r="H937" s="181" t="n">
        <v>0.097936</v>
      </c>
      <c r="I937" s="181" t="inlineStr"/>
    </row>
    <row r="938" ht="15" customHeight="1" s="28">
      <c r="A938" s="182" t="n">
        <v>924</v>
      </c>
      <c r="B938" s="182" t="n">
        <v>923</v>
      </c>
      <c r="C938" s="182" t="n">
        <v>4615.35</v>
      </c>
      <c r="D938" s="182" t="n">
        <v>4595.8877</v>
      </c>
      <c r="E938" s="182" t="n">
        <v>19.4623</v>
      </c>
      <c r="F938" s="182" t="n">
        <v>378.7799</v>
      </c>
      <c r="G938" s="182" t="n">
        <v>0.17383</v>
      </c>
      <c r="H938" s="182" t="n">
        <v>0.097013</v>
      </c>
      <c r="I938" s="182" t="inlineStr"/>
    </row>
    <row r="939" ht="15" customHeight="1" s="28">
      <c r="A939" s="181" t="n">
        <v>925</v>
      </c>
      <c r="B939" s="181" t="n">
        <v>924</v>
      </c>
      <c r="C939" s="181" t="n">
        <v>4611.63</v>
      </c>
      <c r="D939" s="181" t="n">
        <v>4595.6338</v>
      </c>
      <c r="E939" s="181" t="n">
        <v>15.9962</v>
      </c>
      <c r="F939" s="181" t="n">
        <v>255.8772</v>
      </c>
      <c r="G939" s="181" t="n">
        <v>0.096514</v>
      </c>
      <c r="H939" s="181" t="n">
        <v>0.044271</v>
      </c>
      <c r="I939" s="181" t="inlineStr"/>
    </row>
    <row r="940" ht="15" customHeight="1" s="28">
      <c r="A940" s="182" t="n">
        <v>926</v>
      </c>
      <c r="B940" s="182" t="n">
        <v>925</v>
      </c>
      <c r="C940" s="182" t="n">
        <v>4608.08</v>
      </c>
      <c r="D940" s="182" t="n">
        <v>4595.3799</v>
      </c>
      <c r="E940" s="182" t="n">
        <v>12.7001</v>
      </c>
      <c r="F940" s="182" t="n">
        <v>161.2915</v>
      </c>
      <c r="G940" s="182" t="n">
        <v>0.048301</v>
      </c>
      <c r="H940" s="182" t="n">
        <v>0.017591</v>
      </c>
      <c r="I940" s="182" t="inlineStr"/>
    </row>
    <row r="941" ht="15" customHeight="1" s="28">
      <c r="A941" s="181" t="n">
        <v>927</v>
      </c>
      <c r="B941" s="181" t="n">
        <v>926</v>
      </c>
      <c r="C941" s="181" t="n">
        <v>4609.12</v>
      </c>
      <c r="D941" s="181" t="n">
        <v>4595.126</v>
      </c>
      <c r="E941" s="181" t="n">
        <v>13.994</v>
      </c>
      <c r="F941" s="181" t="n">
        <v>195.8308</v>
      </c>
      <c r="G941" s="181" t="n">
        <v>0.06462</v>
      </c>
      <c r="H941" s="181" t="n">
        <v>0.025931</v>
      </c>
      <c r="I941" s="181" t="inlineStr"/>
    </row>
    <row r="942" ht="15" customHeight="1" s="28">
      <c r="A942" s="182" t="n">
        <v>928</v>
      </c>
      <c r="B942" s="182" t="n">
        <v>927</v>
      </c>
      <c r="C942" s="182" t="n">
        <v>4607.62</v>
      </c>
      <c r="D942" s="182" t="n">
        <v>4594.8722</v>
      </c>
      <c r="E942" s="182" t="n">
        <v>12.7478</v>
      </c>
      <c r="F942" s="182" t="n">
        <v>162.5077</v>
      </c>
      <c r="G942" s="182" t="n">
        <v>0.048849</v>
      </c>
      <c r="H942" s="182" t="n">
        <v>0.017857</v>
      </c>
      <c r="I942" s="182" t="inlineStr"/>
    </row>
    <row r="943" ht="15" customHeight="1" s="28">
      <c r="A943" s="181" t="n">
        <v>929</v>
      </c>
      <c r="B943" s="181" t="n">
        <v>928</v>
      </c>
      <c r="C943" s="181" t="n">
        <v>4615.95</v>
      </c>
      <c r="D943" s="181" t="n">
        <v>4594.6183</v>
      </c>
      <c r="E943" s="181" t="n">
        <v>21.3317</v>
      </c>
      <c r="F943" s="181" t="n">
        <v>455.0434</v>
      </c>
      <c r="G943" s="181" t="n">
        <v>0.228888</v>
      </c>
      <c r="H943" s="181" t="n">
        <v>0.140011</v>
      </c>
      <c r="I943" s="181" t="inlineStr"/>
    </row>
    <row r="944" ht="15" customHeight="1" s="28">
      <c r="A944" s="182" t="n">
        <v>930</v>
      </c>
      <c r="B944" s="182" t="n">
        <v>929</v>
      </c>
      <c r="C944" s="182" t="n">
        <v>4618</v>
      </c>
      <c r="D944" s="182" t="n">
        <v>4594.3644</v>
      </c>
      <c r="E944" s="182" t="n">
        <v>23.6356</v>
      </c>
      <c r="F944" s="182" t="n">
        <v>558.6435</v>
      </c>
      <c r="G944" s="182" t="n">
        <v>0.311347</v>
      </c>
      <c r="H944" s="182" t="n">
        <v>0.211022</v>
      </c>
      <c r="I944" s="182" t="inlineStr"/>
    </row>
    <row r="945" ht="15" customHeight="1" s="28">
      <c r="A945" s="181" t="n">
        <v>931</v>
      </c>
      <c r="B945" s="181" t="n">
        <v>930</v>
      </c>
      <c r="C945" s="181" t="n">
        <v>4617.86</v>
      </c>
      <c r="D945" s="181" t="n">
        <v>4594.1105</v>
      </c>
      <c r="E945" s="181" t="n">
        <v>23.7495</v>
      </c>
      <c r="F945" s="181" t="n">
        <v>564.0405</v>
      </c>
      <c r="G945" s="181" t="n">
        <v>0.31587</v>
      </c>
      <c r="H945" s="181" t="n">
        <v>0.215119</v>
      </c>
      <c r="I945" s="181" t="inlineStr"/>
    </row>
    <row r="946" ht="15" customHeight="1" s="28">
      <c r="A946" s="182" t="n">
        <v>932</v>
      </c>
      <c r="B946" s="182" t="n">
        <v>931</v>
      </c>
      <c r="C946" s="182" t="n">
        <v>4616.86</v>
      </c>
      <c r="D946" s="182" t="n">
        <v>4593.8566</v>
      </c>
      <c r="E946" s="182" t="n">
        <v>23.0034</v>
      </c>
      <c r="F946" s="182" t="n">
        <v>529.1579</v>
      </c>
      <c r="G946" s="182" t="n">
        <v>0.287026</v>
      </c>
      <c r="H946" s="182" t="n">
        <v>0.189334</v>
      </c>
      <c r="I946" s="182" t="inlineStr"/>
    </row>
    <row r="947" ht="15" customHeight="1" s="28">
      <c r="A947" s="181" t="n">
        <v>933</v>
      </c>
      <c r="B947" s="181" t="n">
        <v>932</v>
      </c>
      <c r="C947" s="181" t="n">
        <v>4620.57</v>
      </c>
      <c r="D947" s="181" t="n">
        <v>4593.6027</v>
      </c>
      <c r="E947" s="181" t="n">
        <v>26.9673</v>
      </c>
      <c r="F947" s="181" t="n">
        <v>727.2367</v>
      </c>
      <c r="G947" s="181" t="n">
        <v>0.462442</v>
      </c>
      <c r="H947" s="181" t="n">
        <v>0.35761</v>
      </c>
      <c r="I947" s="181" t="inlineStr"/>
    </row>
    <row r="948" ht="15" customHeight="1" s="28">
      <c r="A948" s="182" t="n">
        <v>934</v>
      </c>
      <c r="B948" s="182" t="n">
        <v>933</v>
      </c>
      <c r="C948" s="182" t="n">
        <v>4620.79</v>
      </c>
      <c r="D948" s="182" t="n">
        <v>4593.3488</v>
      </c>
      <c r="E948" s="182" t="n">
        <v>27.4412</v>
      </c>
      <c r="F948" s="182" t="n">
        <v>753.0207</v>
      </c>
      <c r="G948" s="182" t="n">
        <v>0.487252</v>
      </c>
      <c r="H948" s="182" t="n">
        <v>0.383417</v>
      </c>
      <c r="I948" s="182" t="inlineStr"/>
    </row>
    <row r="949" ht="15" customHeight="1" s="28">
      <c r="A949" s="181" t="n">
        <v>935</v>
      </c>
      <c r="B949" s="181" t="n">
        <v>934</v>
      </c>
      <c r="C949" s="181" t="n">
        <v>4620.7</v>
      </c>
      <c r="D949" s="181" t="n">
        <v>4593.0949</v>
      </c>
      <c r="E949" s="181" t="n">
        <v>27.6051</v>
      </c>
      <c r="F949" s="181" t="n">
        <v>762.0426</v>
      </c>
      <c r="G949" s="181" t="n">
        <v>0.496035</v>
      </c>
      <c r="H949" s="181" t="n">
        <v>0.392659</v>
      </c>
      <c r="I949" s="181" t="inlineStr"/>
    </row>
    <row r="950" ht="15" customHeight="1" s="28">
      <c r="A950" s="182" t="n">
        <v>936</v>
      </c>
      <c r="B950" s="182" t="n">
        <v>935</v>
      </c>
      <c r="C950" s="182" t="n">
        <v>4622.48</v>
      </c>
      <c r="D950" s="182" t="n">
        <v>4592.841</v>
      </c>
      <c r="E950" s="182" t="n">
        <v>29.639</v>
      </c>
      <c r="F950" s="182" t="n">
        <v>878.4711</v>
      </c>
      <c r="G950" s="182" t="n">
        <v>0.6139520000000001</v>
      </c>
      <c r="H950" s="182" t="n">
        <v>0.52181</v>
      </c>
      <c r="I950" s="182" t="inlineStr"/>
    </row>
    <row r="951" ht="15" customHeight="1" s="28">
      <c r="A951" s="181" t="n">
        <v>937</v>
      </c>
      <c r="B951" s="181" t="n">
        <v>936</v>
      </c>
      <c r="C951" s="181" t="n">
        <v>4624.33</v>
      </c>
      <c r="D951" s="181" t="n">
        <v>4592.5871</v>
      </c>
      <c r="E951" s="181" t="n">
        <v>31.7429</v>
      </c>
      <c r="F951" s="181" t="n">
        <v>1007.6123</v>
      </c>
      <c r="G951" s="181" t="n">
        <v>0.754194</v>
      </c>
      <c r="H951" s="181" t="n">
        <v>0.6865059999999999</v>
      </c>
      <c r="I951" s="181" t="inlineStr"/>
    </row>
    <row r="952" ht="15" customHeight="1" s="28">
      <c r="A952" s="182" t="n">
        <v>938</v>
      </c>
      <c r="B952" s="182" t="n">
        <v>937</v>
      </c>
      <c r="C952" s="182" t="n">
        <v>4617.77</v>
      </c>
      <c r="D952" s="182" t="n">
        <v>4592.3332</v>
      </c>
      <c r="E952" s="182" t="n">
        <v>25.4368</v>
      </c>
      <c r="F952" s="182" t="n">
        <v>647.0309999999999</v>
      </c>
      <c r="G952" s="182" t="n">
        <v>0.388089</v>
      </c>
      <c r="H952" s="182" t="n">
        <v>0.283079</v>
      </c>
      <c r="I952" s="182" t="inlineStr"/>
    </row>
    <row r="953" ht="15" customHeight="1" s="28">
      <c r="A953" s="181" t="n">
        <v>939</v>
      </c>
      <c r="B953" s="181" t="n">
        <v>938</v>
      </c>
      <c r="C953" s="181" t="n">
        <v>4622.49</v>
      </c>
      <c r="D953" s="181" t="n">
        <v>4592.0793</v>
      </c>
      <c r="E953" s="181" t="n">
        <v>30.4107</v>
      </c>
      <c r="F953" s="181" t="n">
        <v>924.8107</v>
      </c>
      <c r="G953" s="181" t="n">
        <v>0.663166</v>
      </c>
      <c r="H953" s="181" t="n">
        <v>0.578313</v>
      </c>
      <c r="I953" s="181" t="inlineStr"/>
    </row>
    <row r="954" ht="15" customHeight="1" s="28">
      <c r="A954" s="182" t="n">
        <v>940</v>
      </c>
      <c r="B954" s="182" t="n">
        <v>939</v>
      </c>
      <c r="C954" s="182" t="n">
        <v>4617.07</v>
      </c>
      <c r="D954" s="182" t="n">
        <v>4591.8254</v>
      </c>
      <c r="E954" s="182" t="n">
        <v>25.2446</v>
      </c>
      <c r="F954" s="182" t="n">
        <v>637.2896</v>
      </c>
      <c r="G954" s="182" t="n">
        <v>0.379357</v>
      </c>
      <c r="H954" s="182" t="n">
        <v>0.274619</v>
      </c>
      <c r="I954" s="182" t="inlineStr"/>
    </row>
    <row r="955" ht="15" customHeight="1" s="28">
      <c r="A955" s="181" t="n">
        <v>941</v>
      </c>
      <c r="B955" s="181" t="n">
        <v>940</v>
      </c>
      <c r="C955" s="181" t="n">
        <v>4616.16</v>
      </c>
      <c r="D955" s="181" t="n">
        <v>4591.5715</v>
      </c>
      <c r="E955" s="181" t="n">
        <v>24.5885</v>
      </c>
      <c r="F955" s="181" t="n">
        <v>604.5939</v>
      </c>
      <c r="G955" s="181" t="n">
        <v>0.350541</v>
      </c>
      <c r="H955" s="181" t="n">
        <v>0.247164</v>
      </c>
      <c r="I955" s="181" t="inlineStr"/>
    </row>
    <row r="956" ht="15" customHeight="1" s="28">
      <c r="A956" s="182" t="n">
        <v>942</v>
      </c>
      <c r="B956" s="182" t="n">
        <v>941</v>
      </c>
      <c r="C956" s="182" t="n">
        <v>4616.72</v>
      </c>
      <c r="D956" s="182" t="n">
        <v>4591.3176</v>
      </c>
      <c r="E956" s="182" t="n">
        <v>25.4024</v>
      </c>
      <c r="F956" s="182" t="n">
        <v>645.2813</v>
      </c>
      <c r="G956" s="182" t="n">
        <v>0.386515</v>
      </c>
      <c r="H956" s="182" t="n">
        <v>0.28155</v>
      </c>
      <c r="I956" s="182" t="inlineStr"/>
    </row>
    <row r="957" ht="15" customHeight="1" s="28">
      <c r="A957" s="181" t="n">
        <v>943</v>
      </c>
      <c r="B957" s="181" t="n">
        <v>942</v>
      </c>
      <c r="C957" s="181" t="n">
        <v>4617.33</v>
      </c>
      <c r="D957" s="181" t="n">
        <v>4591.0637</v>
      </c>
      <c r="E957" s="181" t="n">
        <v>26.2663</v>
      </c>
      <c r="F957" s="181" t="n">
        <v>689.9176</v>
      </c>
      <c r="G957" s="181" t="n">
        <v>0.427306</v>
      </c>
      <c r="H957" s="181" t="n">
        <v>0.321849</v>
      </c>
      <c r="I957" s="181" t="inlineStr"/>
    </row>
    <row r="958" ht="15" customHeight="1" s="28">
      <c r="A958" s="182" t="n">
        <v>944</v>
      </c>
      <c r="B958" s="182" t="n">
        <v>943</v>
      </c>
      <c r="C958" s="182" t="n">
        <v>4621.81</v>
      </c>
      <c r="D958" s="182" t="n">
        <v>4590.8098</v>
      </c>
      <c r="E958" s="182" t="n">
        <v>31.0002</v>
      </c>
      <c r="F958" s="182" t="n">
        <v>961.011</v>
      </c>
      <c r="G958" s="182" t="n">
        <v>0.702483</v>
      </c>
      <c r="H958" s="182" t="n">
        <v>0.624474</v>
      </c>
      <c r="I958" s="182" t="inlineStr"/>
    </row>
    <row r="959" ht="15" customHeight="1" s="28">
      <c r="A959" s="181" t="n">
        <v>945</v>
      </c>
      <c r="B959" s="181" t="n">
        <v>944</v>
      </c>
      <c r="C959" s="181" t="n">
        <v>4631.38</v>
      </c>
      <c r="D959" s="181" t="n">
        <v>4590.5559</v>
      </c>
      <c r="E959" s="181" t="n">
        <v>40.8241</v>
      </c>
      <c r="F959" s="181" t="n">
        <v>1666.605</v>
      </c>
      <c r="G959" s="181" t="n">
        <v>1.604324</v>
      </c>
      <c r="H959" s="181" t="n">
        <v>1.878118</v>
      </c>
      <c r="I959" s="181" t="inlineStr"/>
    </row>
    <row r="960" ht="15" customHeight="1" s="28">
      <c r="A960" s="182" t="n">
        <v>946</v>
      </c>
      <c r="B960" s="182" t="n">
        <v>945</v>
      </c>
      <c r="C960" s="182" t="n">
        <v>4631.38</v>
      </c>
      <c r="D960" s="182" t="n">
        <v>4590.302</v>
      </c>
      <c r="E960" s="182" t="n">
        <v>41.078</v>
      </c>
      <c r="F960" s="182" t="n">
        <v>1687.3995</v>
      </c>
      <c r="G960" s="182" t="n">
        <v>1.634444</v>
      </c>
      <c r="H960" s="182" t="n">
        <v>1.925278</v>
      </c>
      <c r="I960" s="182" t="inlineStr"/>
    </row>
    <row r="961" ht="15" customHeight="1" s="28">
      <c r="A961" s="181" t="n">
        <v>947</v>
      </c>
      <c r="B961" s="181" t="n">
        <v>946</v>
      </c>
      <c r="C961" s="181" t="n">
        <v>4631.75</v>
      </c>
      <c r="D961" s="181" t="n">
        <v>4590.0481</v>
      </c>
      <c r="E961" s="181" t="n">
        <v>41.7019</v>
      </c>
      <c r="F961" s="181" t="n">
        <v>1739.0455</v>
      </c>
      <c r="G961" s="181" t="n">
        <v>1.710053</v>
      </c>
      <c r="H961" s="181" t="n">
        <v>2.044935</v>
      </c>
      <c r="I961" s="181" t="inlineStr"/>
    </row>
    <row r="962" ht="15" customHeight="1" s="28">
      <c r="A962" s="182" t="n">
        <v>948</v>
      </c>
      <c r="B962" s="182" t="n">
        <v>947</v>
      </c>
      <c r="C962" s="182" t="n">
        <v>4630.51</v>
      </c>
      <c r="D962" s="182" t="n">
        <v>4589.7942</v>
      </c>
      <c r="E962" s="182" t="n">
        <v>40.7158</v>
      </c>
      <c r="F962" s="182" t="n">
        <v>1657.7731</v>
      </c>
      <c r="G962" s="182" t="n">
        <v>1.591589</v>
      </c>
      <c r="H962" s="182" t="n">
        <v>1.858265</v>
      </c>
      <c r="I962" s="182" t="inlineStr"/>
    </row>
    <row r="963" ht="15" customHeight="1" s="28">
      <c r="A963" s="181" t="n">
        <v>949</v>
      </c>
      <c r="B963" s="181" t="n">
        <v>948</v>
      </c>
      <c r="C963" s="181" t="n">
        <v>4630.26</v>
      </c>
      <c r="D963" s="181" t="n">
        <v>4589.5403</v>
      </c>
      <c r="E963" s="181" t="n">
        <v>40.7197</v>
      </c>
      <c r="F963" s="181" t="n">
        <v>1658.0903</v>
      </c>
      <c r="G963" s="181" t="n">
        <v>1.592045</v>
      </c>
      <c r="H963" s="181" t="n">
        <v>1.858977</v>
      </c>
      <c r="I963" s="181" t="inlineStr"/>
    </row>
    <row r="964" ht="15" customHeight="1" s="28">
      <c r="A964" s="182" t="n">
        <v>950</v>
      </c>
      <c r="B964" s="182" t="n">
        <v>949</v>
      </c>
      <c r="C964" s="182" t="n">
        <v>4630.75</v>
      </c>
      <c r="D964" s="182" t="n">
        <v>4589.2864</v>
      </c>
      <c r="E964" s="182" t="n">
        <v>41.4636</v>
      </c>
      <c r="F964" s="182" t="n">
        <v>1719.226</v>
      </c>
      <c r="G964" s="182" t="n">
        <v>1.680903</v>
      </c>
      <c r="H964" s="182" t="n">
        <v>1.998589</v>
      </c>
      <c r="I964" s="182" t="inlineStr"/>
    </row>
    <row r="965" ht="15" customHeight="1" s="28">
      <c r="A965" s="181" t="n">
        <v>951</v>
      </c>
      <c r="B965" s="181" t="n">
        <v>950</v>
      </c>
      <c r="C965" s="181" t="n">
        <v>4631.31</v>
      </c>
      <c r="D965" s="181" t="n">
        <v>4589.0326</v>
      </c>
      <c r="E965" s="181" t="n">
        <v>42.2774</v>
      </c>
      <c r="F965" s="181" t="n">
        <v>1787.3825</v>
      </c>
      <c r="G965" s="181" t="n">
        <v>1.781843</v>
      </c>
      <c r="H965" s="181" t="n">
        <v>2.160193</v>
      </c>
      <c r="I965" s="181" t="inlineStr"/>
    </row>
    <row r="966" ht="15" customHeight="1" s="28">
      <c r="A966" s="182" t="n">
        <v>952</v>
      </c>
      <c r="B966" s="182" t="n">
        <v>951</v>
      </c>
      <c r="C966" s="182" t="n">
        <v>4626.71</v>
      </c>
      <c r="D966" s="182" t="n">
        <v>4588.7787</v>
      </c>
      <c r="E966" s="182" t="n">
        <v>37.9313</v>
      </c>
      <c r="F966" s="182" t="n">
        <v>1438.7867</v>
      </c>
      <c r="G966" s="182" t="n">
        <v>1.286879</v>
      </c>
      <c r="H966" s="182" t="n">
        <v>1.39975</v>
      </c>
      <c r="I966" s="182" t="inlineStr"/>
    </row>
    <row r="967" ht="15" customHeight="1" s="28">
      <c r="A967" s="181" t="n">
        <v>953</v>
      </c>
      <c r="B967" s="181" t="n">
        <v>952</v>
      </c>
      <c r="C967" s="181" t="n">
        <v>4622.55</v>
      </c>
      <c r="D967" s="181" t="n">
        <v>4588.5248</v>
      </c>
      <c r="E967" s="181" t="n">
        <v>34.0252</v>
      </c>
      <c r="F967" s="181" t="n">
        <v>1157.7168</v>
      </c>
      <c r="G967" s="181" t="n">
        <v>0.928852</v>
      </c>
      <c r="H967" s="181" t="n">
        <v>0.90628</v>
      </c>
      <c r="I967" s="181" t="inlineStr"/>
    </row>
    <row r="968" ht="15" customHeight="1" s="28">
      <c r="A968" s="182" t="n">
        <v>954</v>
      </c>
      <c r="B968" s="182" t="n">
        <v>953</v>
      </c>
      <c r="C968" s="182" t="n">
        <v>4623.65</v>
      </c>
      <c r="D968" s="182" t="n">
        <v>4588.2709</v>
      </c>
      <c r="E968" s="182" t="n">
        <v>35.3791</v>
      </c>
      <c r="F968" s="182" t="n">
        <v>1251.683</v>
      </c>
      <c r="G968" s="182" t="n">
        <v>1.044202</v>
      </c>
      <c r="H968" s="182" t="n">
        <v>1.059367</v>
      </c>
      <c r="I968" s="182" t="inlineStr"/>
    </row>
    <row r="969" ht="15" customHeight="1" s="28">
      <c r="A969" s="181" t="n">
        <v>955</v>
      </c>
      <c r="B969" s="181" t="n">
        <v>954</v>
      </c>
      <c r="C969" s="181" t="n">
        <v>4620.9</v>
      </c>
      <c r="D969" s="181" t="n">
        <v>4588.017</v>
      </c>
      <c r="E969" s="181" t="n">
        <v>32.883</v>
      </c>
      <c r="F969" s="181" t="n">
        <v>1081.2935</v>
      </c>
      <c r="G969" s="181" t="n">
        <v>0.838414</v>
      </c>
      <c r="H969" s="181" t="n">
        <v>0.790578</v>
      </c>
      <c r="I969" s="181" t="inlineStr"/>
    </row>
    <row r="970" ht="15" customHeight="1" s="28">
      <c r="A970" s="182" t="n">
        <v>956</v>
      </c>
      <c r="B970" s="182" t="n">
        <v>955</v>
      </c>
      <c r="C970" s="182" t="n">
        <v>4620.02</v>
      </c>
      <c r="D970" s="182" t="n">
        <v>4587.7631</v>
      </c>
      <c r="E970" s="182" t="n">
        <v>32.2569</v>
      </c>
      <c r="F970" s="182" t="n">
        <v>1040.5091</v>
      </c>
      <c r="G970" s="182" t="n">
        <v>0.791429</v>
      </c>
      <c r="H970" s="182" t="n">
        <v>0.732065</v>
      </c>
      <c r="I970" s="182" t="inlineStr"/>
    </row>
    <row r="971" ht="15" customHeight="1" s="28">
      <c r="A971" s="181" t="n">
        <v>957</v>
      </c>
      <c r="B971" s="181" t="n">
        <v>956</v>
      </c>
      <c r="C971" s="181" t="n">
        <v>4618.7</v>
      </c>
      <c r="D971" s="181" t="n">
        <v>4587.5092</v>
      </c>
      <c r="E971" s="181" t="n">
        <v>31.1908</v>
      </c>
      <c r="F971" s="181" t="n">
        <v>972.8672</v>
      </c>
      <c r="G971" s="181" t="n">
        <v>0.715523</v>
      </c>
      <c r="H971" s="181" t="n">
        <v>0.639977</v>
      </c>
      <c r="I971" s="181" t="inlineStr"/>
    </row>
    <row r="972" ht="15" customHeight="1" s="28">
      <c r="A972" s="182" t="n">
        <v>958</v>
      </c>
      <c r="B972" s="182" t="n">
        <v>957</v>
      </c>
      <c r="C972" s="182" t="n">
        <v>4616.68</v>
      </c>
      <c r="D972" s="182" t="n">
        <v>4587.2553</v>
      </c>
      <c r="E972" s="182" t="n">
        <v>29.4247</v>
      </c>
      <c r="F972" s="182" t="n">
        <v>865.8138</v>
      </c>
      <c r="G972" s="182" t="n">
        <v>0.600731</v>
      </c>
      <c r="H972" s="182" t="n">
        <v>0.5068820000000001</v>
      </c>
      <c r="I972" s="182" t="inlineStr"/>
    </row>
    <row r="973" ht="15" customHeight="1" s="28">
      <c r="A973" s="181" t="n">
        <v>959</v>
      </c>
      <c r="B973" s="181" t="n">
        <v>958</v>
      </c>
      <c r="C973" s="181" t="n">
        <v>4620.2</v>
      </c>
      <c r="D973" s="181" t="n">
        <v>4587.0014</v>
      </c>
      <c r="E973" s="181" t="n">
        <v>33.1986</v>
      </c>
      <c r="F973" s="181" t="n">
        <v>1102.1477</v>
      </c>
      <c r="G973" s="181" t="n">
        <v>0.8627860000000001</v>
      </c>
      <c r="H973" s="181" t="n">
        <v>0.821367</v>
      </c>
      <c r="I973" s="181" t="inlineStr"/>
    </row>
    <row r="974" ht="15" customHeight="1" s="28">
      <c r="A974" s="182" t="n">
        <v>960</v>
      </c>
      <c r="B974" s="182" t="n">
        <v>959</v>
      </c>
      <c r="C974" s="182" t="n">
        <v>4621.05</v>
      </c>
      <c r="D974" s="182" t="n">
        <v>4586.7475</v>
      </c>
      <c r="E974" s="182" t="n">
        <v>34.3025</v>
      </c>
      <c r="F974" s="182" t="n">
        <v>1176.6619</v>
      </c>
      <c r="G974" s="182" t="n">
        <v>0.951745</v>
      </c>
      <c r="H974" s="182" t="n">
        <v>0.936183</v>
      </c>
      <c r="I974" s="182" t="inlineStr"/>
    </row>
    <row r="975" ht="15" customHeight="1" s="28">
      <c r="A975" s="181" t="n">
        <v>961</v>
      </c>
      <c r="B975" s="181" t="n">
        <v>960</v>
      </c>
      <c r="C975" s="181" t="n">
        <v>4630.89</v>
      </c>
      <c r="D975" s="181" t="n">
        <v>4586.4936</v>
      </c>
      <c r="E975" s="181" t="n">
        <v>44.3964</v>
      </c>
      <c r="F975" s="181" t="n">
        <v>1971.0404</v>
      </c>
      <c r="G975" s="181" t="n">
        <v>2.063415</v>
      </c>
      <c r="H975" s="181" t="n">
        <v>2.626931</v>
      </c>
      <c r="I975" s="181" t="inlineStr"/>
    </row>
    <row r="976" ht="15" customHeight="1" s="28">
      <c r="A976" s="182" t="n">
        <v>962</v>
      </c>
      <c r="B976" s="182" t="n">
        <v>961</v>
      </c>
      <c r="C976" s="182" t="n">
        <v>4629.39</v>
      </c>
      <c r="D976" s="182" t="n">
        <v>4586.2397</v>
      </c>
      <c r="E976" s="182" t="n">
        <v>43.1503</v>
      </c>
      <c r="F976" s="182" t="n">
        <v>1861.9481</v>
      </c>
      <c r="G976" s="182" t="n">
        <v>1.8945</v>
      </c>
      <c r="H976" s="182" t="n">
        <v>2.344189</v>
      </c>
      <c r="I976" s="182" t="inlineStr"/>
    </row>
    <row r="977" ht="15" customHeight="1" s="28">
      <c r="A977" s="181" t="n">
        <v>963</v>
      </c>
      <c r="B977" s="181" t="n">
        <v>962</v>
      </c>
      <c r="C977" s="181" t="n">
        <v>4624.38</v>
      </c>
      <c r="D977" s="181" t="n">
        <v>4585.9858</v>
      </c>
      <c r="E977" s="181" t="n">
        <v>38.3942</v>
      </c>
      <c r="F977" s="181" t="n">
        <v>1474.114</v>
      </c>
      <c r="G977" s="181" t="n">
        <v>1.334565</v>
      </c>
      <c r="H977" s="181" t="n">
        <v>1.469331</v>
      </c>
      <c r="I977" s="181" t="inlineStr"/>
    </row>
    <row r="978" ht="15" customHeight="1" s="28">
      <c r="A978" s="182" t="n">
        <v>964</v>
      </c>
      <c r="B978" s="182" t="n">
        <v>963</v>
      </c>
      <c r="C978" s="182" t="n">
        <v>4619.15</v>
      </c>
      <c r="D978" s="182" t="n">
        <v>4585.7319</v>
      </c>
      <c r="E978" s="182" t="n">
        <v>33.4181</v>
      </c>
      <c r="F978" s="182" t="n">
        <v>1116.7686</v>
      </c>
      <c r="G978" s="182" t="n">
        <v>0.880011</v>
      </c>
      <c r="H978" s="182" t="n">
        <v>0.8433040000000001</v>
      </c>
      <c r="I978" s="182" t="inlineStr"/>
    </row>
    <row r="979" ht="15" customHeight="1" s="28">
      <c r="A979" s="181" t="n">
        <v>965</v>
      </c>
      <c r="B979" s="181" t="n">
        <v>964</v>
      </c>
      <c r="C979" s="181" t="n">
        <v>4620.85</v>
      </c>
      <c r="D979" s="181" t="n">
        <v>4585.478</v>
      </c>
      <c r="E979" s="181" t="n">
        <v>35.372</v>
      </c>
      <c r="F979" s="181" t="n">
        <v>1251.1772</v>
      </c>
      <c r="G979" s="181" t="n">
        <v>1.04357</v>
      </c>
      <c r="H979" s="181" t="n">
        <v>1.058511</v>
      </c>
      <c r="I979" s="181" t="inlineStr"/>
    </row>
    <row r="980" ht="15" customHeight="1" s="28">
      <c r="A980" s="182" t="n">
        <v>966</v>
      </c>
      <c r="B980" s="182" t="n">
        <v>965</v>
      </c>
      <c r="C980" s="182" t="n">
        <v>4626.13</v>
      </c>
      <c r="D980" s="182" t="n">
        <v>4585.2241</v>
      </c>
      <c r="E980" s="182" t="n">
        <v>40.9059</v>
      </c>
      <c r="F980" s="182" t="n">
        <v>1673.2909</v>
      </c>
      <c r="G980" s="182" t="n">
        <v>1.613988</v>
      </c>
      <c r="H980" s="182" t="n">
        <v>1.893217</v>
      </c>
      <c r="I980" s="182" t="inlineStr"/>
    </row>
    <row r="981" ht="15" customHeight="1" s="28">
      <c r="A981" s="181" t="n">
        <v>967</v>
      </c>
      <c r="B981" s="181" t="n">
        <v>966</v>
      </c>
      <c r="C981" s="181" t="n">
        <v>4626.21</v>
      </c>
      <c r="D981" s="181" t="n">
        <v>4584.9702</v>
      </c>
      <c r="E981" s="181" t="n">
        <v>41.2398</v>
      </c>
      <c r="F981" s="181" t="n">
        <v>1700.719</v>
      </c>
      <c r="G981" s="181" t="n">
        <v>1.653834</v>
      </c>
      <c r="H981" s="181" t="n">
        <v>1.955792</v>
      </c>
      <c r="I981" s="181" t="inlineStr"/>
    </row>
    <row r="982" ht="15" customHeight="1" s="28">
      <c r="A982" s="182" t="n">
        <v>968</v>
      </c>
      <c r="B982" s="182" t="n">
        <v>967</v>
      </c>
      <c r="C982" s="182" t="n">
        <v>4626.67</v>
      </c>
      <c r="D982" s="182" t="n">
        <v>4584.7163</v>
      </c>
      <c r="E982" s="182" t="n">
        <v>41.9537</v>
      </c>
      <c r="F982" s="182" t="n">
        <v>1760.1104</v>
      </c>
      <c r="G982" s="182" t="n">
        <v>1.741218</v>
      </c>
      <c r="H982" s="182" t="n">
        <v>2.094775</v>
      </c>
      <c r="I982" s="182" t="inlineStr"/>
    </row>
    <row r="983" ht="15" customHeight="1" s="28">
      <c r="A983" s="181" t="n">
        <v>969</v>
      </c>
      <c r="B983" s="181" t="n">
        <v>968</v>
      </c>
      <c r="C983" s="181" t="n">
        <v>4621.93</v>
      </c>
      <c r="D983" s="181" t="n">
        <v>4584.4624</v>
      </c>
      <c r="E983" s="181" t="n">
        <v>37.4676</v>
      </c>
      <c r="F983" s="181" t="n">
        <v>1403.8184</v>
      </c>
      <c r="G983" s="181" t="n">
        <v>1.240251</v>
      </c>
      <c r="H983" s="181" t="n">
        <v>1.332538</v>
      </c>
      <c r="I983" s="181" t="inlineStr"/>
    </row>
    <row r="984" ht="15" customHeight="1" s="28">
      <c r="A984" s="182" t="n">
        <v>970</v>
      </c>
      <c r="B984" s="182" t="n">
        <v>969</v>
      </c>
      <c r="C984" s="182" t="n">
        <v>4617.53</v>
      </c>
      <c r="D984" s="182" t="n">
        <v>4584.2085</v>
      </c>
      <c r="E984" s="182" t="n">
        <v>33.3215</v>
      </c>
      <c r="F984" s="182" t="n">
        <v>1110.3197</v>
      </c>
      <c r="G984" s="182" t="n">
        <v>0.872399</v>
      </c>
      <c r="H984" s="182" t="n">
        <v>0.833592</v>
      </c>
      <c r="I984" s="182" t="inlineStr"/>
    </row>
    <row r="985" ht="15" customHeight="1" s="28">
      <c r="A985" s="181" t="n">
        <v>971</v>
      </c>
      <c r="B985" s="181" t="n">
        <v>970</v>
      </c>
      <c r="C985" s="181" t="n">
        <v>4613.51</v>
      </c>
      <c r="D985" s="181" t="n">
        <v>4583.9546</v>
      </c>
      <c r="E985" s="181" t="n">
        <v>29.5554</v>
      </c>
      <c r="F985" s="181" t="n">
        <v>873.5191</v>
      </c>
      <c r="G985" s="181" t="n">
        <v>0.608768</v>
      </c>
      <c r="H985" s="181" t="n">
        <v>0.515944</v>
      </c>
      <c r="I985" s="181" t="inlineStr"/>
    </row>
    <row r="986" ht="15" customHeight="1" s="28">
      <c r="A986" s="182" t="n">
        <v>972</v>
      </c>
      <c r="B986" s="182" t="n">
        <v>971</v>
      </c>
      <c r="C986" s="182" t="n">
        <v>4609.18</v>
      </c>
      <c r="D986" s="182" t="n">
        <v>4583.7007</v>
      </c>
      <c r="E986" s="182" t="n">
        <v>25.4793</v>
      </c>
      <c r="F986" s="182" t="n">
        <v>649.1923</v>
      </c>
      <c r="G986" s="182" t="n">
        <v>0.390035</v>
      </c>
      <c r="H986" s="182" t="n">
        <v>0.284973</v>
      </c>
      <c r="I986" s="182" t="inlineStr"/>
    </row>
    <row r="987" ht="15" customHeight="1" s="28">
      <c r="A987" s="181" t="n">
        <v>973</v>
      </c>
      <c r="B987" s="181" t="n">
        <v>972</v>
      </c>
      <c r="C987" s="181" t="n">
        <v>4614.29</v>
      </c>
      <c r="D987" s="181" t="n">
        <v>4583.4469</v>
      </c>
      <c r="E987" s="181" t="n">
        <v>30.8431</v>
      </c>
      <c r="F987" s="181" t="n">
        <v>951.2997</v>
      </c>
      <c r="G987" s="181" t="n">
        <v>0.691862</v>
      </c>
      <c r="H987" s="181" t="n">
        <v>0.611917</v>
      </c>
      <c r="I987" s="181" t="inlineStr"/>
    </row>
    <row r="988" ht="15" customHeight="1" s="28">
      <c r="A988" s="182" t="n">
        <v>974</v>
      </c>
      <c r="B988" s="182" t="n">
        <v>973</v>
      </c>
      <c r="C988" s="182" t="n">
        <v>4614.64</v>
      </c>
      <c r="D988" s="182" t="n">
        <v>4583.193</v>
      </c>
      <c r="E988" s="182" t="n">
        <v>31.447</v>
      </c>
      <c r="F988" s="182" t="n">
        <v>988.9165</v>
      </c>
      <c r="G988" s="182" t="n">
        <v>0.733302</v>
      </c>
      <c r="H988" s="182" t="n">
        <v>0.661267</v>
      </c>
      <c r="I988" s="182" t="inlineStr"/>
    </row>
    <row r="989" ht="15" customHeight="1" s="28">
      <c r="A989" s="181" t="n">
        <v>975</v>
      </c>
      <c r="B989" s="181" t="n">
        <v>974</v>
      </c>
      <c r="C989" s="181" t="n">
        <v>4610</v>
      </c>
      <c r="D989" s="181" t="n">
        <v>4582.9391</v>
      </c>
      <c r="E989" s="181" t="n">
        <v>27.0609</v>
      </c>
      <c r="F989" s="181" t="n">
        <v>732.2944</v>
      </c>
      <c r="G989" s="181" t="n">
        <v>0.467274</v>
      </c>
      <c r="H989" s="181" t="n">
        <v>0.362601</v>
      </c>
      <c r="I989" s="181" t="inlineStr"/>
    </row>
    <row r="990" ht="15" customHeight="1" s="28">
      <c r="A990" s="182" t="n">
        <v>976</v>
      </c>
      <c r="B990" s="182" t="n">
        <v>975</v>
      </c>
      <c r="C990" s="182" t="n">
        <v>4605.03</v>
      </c>
      <c r="D990" s="182" t="n">
        <v>4582.6852</v>
      </c>
      <c r="E990" s="182" t="n">
        <v>22.3448</v>
      </c>
      <c r="F990" s="182" t="n">
        <v>499.2916</v>
      </c>
      <c r="G990" s="182" t="n">
        <v>0.263072</v>
      </c>
      <c r="H990" s="182" t="n">
        <v>0.168564</v>
      </c>
      <c r="I990" s="182" t="inlineStr"/>
    </row>
    <row r="991" ht="15" customHeight="1" s="28">
      <c r="A991" s="181" t="n">
        <v>977</v>
      </c>
      <c r="B991" s="181" t="n">
        <v>976</v>
      </c>
      <c r="C991" s="181" t="n">
        <v>4601.49</v>
      </c>
      <c r="D991" s="181" t="n">
        <v>4582.4313</v>
      </c>
      <c r="E991" s="181" t="n">
        <v>19.0587</v>
      </c>
      <c r="F991" s="181" t="n">
        <v>363.2352</v>
      </c>
      <c r="G991" s="181" t="n">
        <v>0.163239</v>
      </c>
      <c r="H991" s="181" t="n">
        <v>0.089214</v>
      </c>
      <c r="I991" s="181" t="inlineStr"/>
    </row>
    <row r="992" ht="15" customHeight="1" s="28">
      <c r="A992" s="182" t="n">
        <v>978</v>
      </c>
      <c r="B992" s="182" t="n">
        <v>977</v>
      </c>
      <c r="C992" s="182" t="n">
        <v>4593.44</v>
      </c>
      <c r="D992" s="182" t="n">
        <v>4582.1774</v>
      </c>
      <c r="E992" s="182" t="n">
        <v>11.2626</v>
      </c>
      <c r="F992" s="182" t="n">
        <v>126.8467</v>
      </c>
      <c r="G992" s="182" t="n">
        <v>0.033687</v>
      </c>
      <c r="H992" s="182" t="n">
        <v>0.01088</v>
      </c>
      <c r="I992" s="182" t="inlineStr"/>
    </row>
    <row r="993" ht="15" customHeight="1" s="28">
      <c r="A993" s="181" t="n">
        <v>979</v>
      </c>
      <c r="B993" s="181" t="n">
        <v>978</v>
      </c>
      <c r="C993" s="181" t="n">
        <v>4593.36</v>
      </c>
      <c r="D993" s="181" t="n">
        <v>4581.9235</v>
      </c>
      <c r="E993" s="181" t="n">
        <v>11.4365</v>
      </c>
      <c r="F993" s="181" t="n">
        <v>130.794</v>
      </c>
      <c r="G993" s="181" t="n">
        <v>0.035272</v>
      </c>
      <c r="H993" s="181" t="n">
        <v>0.011567</v>
      </c>
      <c r="I993" s="181" t="inlineStr"/>
    </row>
    <row r="994" ht="15" customHeight="1" s="28">
      <c r="A994" s="182" t="n">
        <v>980</v>
      </c>
      <c r="B994" s="182" t="n">
        <v>979</v>
      </c>
      <c r="C994" s="182" t="n">
        <v>4594.77</v>
      </c>
      <c r="D994" s="182" t="n">
        <v>4581.6696</v>
      </c>
      <c r="E994" s="182" t="n">
        <v>13.1004</v>
      </c>
      <c r="F994" s="182" t="n">
        <v>171.6209</v>
      </c>
      <c r="G994" s="182" t="n">
        <v>0.053015</v>
      </c>
      <c r="H994" s="182" t="n">
        <v>0.019916</v>
      </c>
      <c r="I994" s="182" t="inlineStr"/>
    </row>
    <row r="995" ht="15" customHeight="1" s="28">
      <c r="A995" s="181" t="n">
        <v>981</v>
      </c>
      <c r="B995" s="181" t="n">
        <v>980</v>
      </c>
      <c r="C995" s="181" t="n">
        <v>4595.97</v>
      </c>
      <c r="D995" s="181" t="n">
        <v>4581.4157</v>
      </c>
      <c r="E995" s="181" t="n">
        <v>14.5543</v>
      </c>
      <c r="F995" s="181" t="n">
        <v>211.828</v>
      </c>
      <c r="G995" s="181" t="n">
        <v>0.072697</v>
      </c>
      <c r="H995" s="181" t="n">
        <v>0.030341</v>
      </c>
      <c r="I995" s="181" t="inlineStr"/>
    </row>
    <row r="996" ht="15" customHeight="1" s="28">
      <c r="A996" s="182" t="n">
        <v>982</v>
      </c>
      <c r="B996" s="182" t="n">
        <v>981</v>
      </c>
      <c r="C996" s="182" t="n">
        <v>4592.32</v>
      </c>
      <c r="D996" s="182" t="n">
        <v>4581.1618</v>
      </c>
      <c r="E996" s="182" t="n">
        <v>11.1582</v>
      </c>
      <c r="F996" s="182" t="n">
        <v>124.5056</v>
      </c>
      <c r="G996" s="182" t="n">
        <v>0.032759</v>
      </c>
      <c r="H996" s="182" t="n">
        <v>0.010482</v>
      </c>
      <c r="I996" s="182" t="inlineStr"/>
    </row>
    <row r="997" ht="15" customHeight="1" s="28">
      <c r="A997" s="181" t="n">
        <v>983</v>
      </c>
      <c r="B997" s="181" t="n">
        <v>982</v>
      </c>
      <c r="C997" s="181" t="n">
        <v>4585.41</v>
      </c>
      <c r="D997" s="181" t="n">
        <v>4580.9079</v>
      </c>
      <c r="E997" s="181" t="n">
        <v>4.5021</v>
      </c>
      <c r="F997" s="181" t="n">
        <v>20.2689</v>
      </c>
      <c r="G997" s="181" t="n">
        <v>0.002152</v>
      </c>
      <c r="H997" s="181" t="n">
        <v>0.000278</v>
      </c>
      <c r="I997" s="181" t="inlineStr"/>
    </row>
    <row r="998" ht="15" customHeight="1" s="28">
      <c r="A998" s="182" t="n">
        <v>984</v>
      </c>
      <c r="B998" s="182" t="n">
        <v>983</v>
      </c>
      <c r="C998" s="182" t="n">
        <v>4578.16</v>
      </c>
      <c r="D998" s="182" t="n">
        <v>4580.654</v>
      </c>
      <c r="E998" s="182" t="n">
        <v>-2.494</v>
      </c>
      <c r="F998" s="182" t="n">
        <v>6.22</v>
      </c>
      <c r="G998" s="182" t="n">
        <v>-0.000366</v>
      </c>
      <c r="H998" s="182" t="n">
        <v>2.6e-05</v>
      </c>
      <c r="I998" s="182" t="inlineStr"/>
    </row>
    <row r="999" ht="15" customHeight="1" s="28">
      <c r="A999" s="181" t="n">
        <v>985</v>
      </c>
      <c r="B999" s="181" t="n">
        <v>984</v>
      </c>
      <c r="C999" s="181" t="n">
        <v>4574.06</v>
      </c>
      <c r="D999" s="181" t="n">
        <v>4580.4001</v>
      </c>
      <c r="E999" s="181" t="n">
        <v>-6.3401</v>
      </c>
      <c r="F999" s="181" t="n">
        <v>40.197</v>
      </c>
      <c r="G999" s="181" t="n">
        <v>-0.006009</v>
      </c>
      <c r="H999" s="181" t="n">
        <v>0.001093</v>
      </c>
      <c r="I999" s="181" t="inlineStr"/>
    </row>
    <row r="1000" ht="15" customHeight="1" s="28">
      <c r="A1000" s="182" t="n">
        <v>986</v>
      </c>
      <c r="B1000" s="182" t="n">
        <v>985</v>
      </c>
      <c r="C1000" s="182" t="n">
        <v>4567.37</v>
      </c>
      <c r="D1000" s="182" t="n">
        <v>4580.1462</v>
      </c>
      <c r="E1000" s="182" t="n">
        <v>-12.7762</v>
      </c>
      <c r="F1000" s="182" t="n">
        <v>163.2316</v>
      </c>
      <c r="G1000" s="182" t="n">
        <v>-0.049176</v>
      </c>
      <c r="H1000" s="182" t="n">
        <v>0.018016</v>
      </c>
      <c r="I1000" s="182" t="inlineStr"/>
    </row>
    <row r="1001" ht="15" customHeight="1" s="28">
      <c r="A1001" s="181" t="n">
        <v>987</v>
      </c>
      <c r="B1001" s="181" t="n">
        <v>986</v>
      </c>
      <c r="C1001" s="181" t="n">
        <v>4571.29</v>
      </c>
      <c r="D1001" s="181" t="n">
        <v>4579.8923</v>
      </c>
      <c r="E1001" s="181" t="n">
        <v>-8.6023</v>
      </c>
      <c r="F1001" s="181" t="n">
        <v>73.99979999999999</v>
      </c>
      <c r="G1001" s="181" t="n">
        <v>-0.01501</v>
      </c>
      <c r="H1001" s="181" t="n">
        <v>0.003703</v>
      </c>
      <c r="I1001" s="181" t="inlineStr"/>
    </row>
    <row r="1002" ht="15" customHeight="1" s="28">
      <c r="A1002" s="182" t="n">
        <v>988</v>
      </c>
      <c r="B1002" s="182" t="n">
        <v>987</v>
      </c>
      <c r="C1002" s="182" t="n">
        <v>4568.51</v>
      </c>
      <c r="D1002" s="182" t="n">
        <v>4579.6384</v>
      </c>
      <c r="E1002" s="182" t="n">
        <v>-11.1284</v>
      </c>
      <c r="F1002" s="182" t="n">
        <v>123.8417</v>
      </c>
      <c r="G1002" s="182" t="n">
        <v>-0.032497</v>
      </c>
      <c r="H1002" s="182" t="n">
        <v>0.01037</v>
      </c>
      <c r="I1002" s="182" t="inlineStr"/>
    </row>
    <row r="1003" ht="15" customHeight="1" s="28">
      <c r="A1003" s="181" t="n">
        <v>989</v>
      </c>
      <c r="B1003" s="181" t="n">
        <v>988</v>
      </c>
      <c r="C1003" s="181" t="n">
        <v>4565.87</v>
      </c>
      <c r="D1003" s="181" t="n">
        <v>4579.3845</v>
      </c>
      <c r="E1003" s="181" t="n">
        <v>-13.5145</v>
      </c>
      <c r="F1003" s="181" t="n">
        <v>182.6424</v>
      </c>
      <c r="G1003" s="181" t="n">
        <v>-0.058203</v>
      </c>
      <c r="H1003" s="181" t="n">
        <v>0.022556</v>
      </c>
      <c r="I1003" s="181" t="inlineStr"/>
    </row>
    <row r="1004" ht="15" customHeight="1" s="28">
      <c r="A1004" s="182" t="n">
        <v>990</v>
      </c>
      <c r="B1004" s="182" t="n">
        <v>989</v>
      </c>
      <c r="C1004" s="182" t="n">
        <v>4569.29</v>
      </c>
      <c r="D1004" s="182" t="n">
        <v>4579.1306</v>
      </c>
      <c r="E1004" s="182" t="n">
        <v>-9.8406</v>
      </c>
      <c r="F1004" s="182" t="n">
        <v>96.83799999999999</v>
      </c>
      <c r="G1004" s="182" t="n">
        <v>-0.02247</v>
      </c>
      <c r="H1004" s="182" t="n">
        <v>0.006341</v>
      </c>
      <c r="I1004" s="182" t="inlineStr"/>
    </row>
    <row r="1005" ht="15" customHeight="1" s="28">
      <c r="A1005" s="181" t="n">
        <v>991</v>
      </c>
      <c r="B1005" s="181" t="n">
        <v>990</v>
      </c>
      <c r="C1005" s="181" t="n">
        <v>4570.62</v>
      </c>
      <c r="D1005" s="181" t="n">
        <v>4578.8767</v>
      </c>
      <c r="E1005" s="181" t="n">
        <v>-8.2567</v>
      </c>
      <c r="F1005" s="181" t="n">
        <v>68.1737</v>
      </c>
      <c r="G1005" s="181" t="n">
        <v>-0.013273</v>
      </c>
      <c r="H1005" s="181" t="n">
        <v>0.003143</v>
      </c>
      <c r="I1005" s="181" t="inlineStr"/>
    </row>
    <row r="1006" ht="15" customHeight="1" s="28">
      <c r="A1006" s="182" t="n">
        <v>992</v>
      </c>
      <c r="B1006" s="182" t="n">
        <v>991</v>
      </c>
      <c r="C1006" s="182" t="n">
        <v>4563.12</v>
      </c>
      <c r="D1006" s="182" t="n">
        <v>4578.6228</v>
      </c>
      <c r="E1006" s="182" t="n">
        <v>-15.5028</v>
      </c>
      <c r="F1006" s="182" t="n">
        <v>240.338</v>
      </c>
      <c r="G1006" s="182" t="n">
        <v>-0.087857</v>
      </c>
      <c r="H1006" s="182" t="n">
        <v>0.039057</v>
      </c>
      <c r="I1006" s="182" t="inlineStr"/>
    </row>
    <row r="1007" ht="15" customHeight="1" s="28">
      <c r="A1007" s="181" t="n">
        <v>993</v>
      </c>
      <c r="B1007" s="181" t="n">
        <v>992</v>
      </c>
      <c r="C1007" s="181" t="n">
        <v>4566.78</v>
      </c>
      <c r="D1007" s="181" t="n">
        <v>4578.3689</v>
      </c>
      <c r="E1007" s="181" t="n">
        <v>-11.5889</v>
      </c>
      <c r="F1007" s="181" t="n">
        <v>134.3036</v>
      </c>
      <c r="G1007" s="181" t="n">
        <v>-0.036701</v>
      </c>
      <c r="H1007" s="181" t="n">
        <v>0.012196</v>
      </c>
      <c r="I1007" s="181" t="inlineStr"/>
    </row>
    <row r="1008" ht="15" customHeight="1" s="28">
      <c r="A1008" s="182" t="n">
        <v>994</v>
      </c>
      <c r="B1008" s="182" t="n">
        <v>993</v>
      </c>
      <c r="C1008" s="182" t="n">
        <v>4572.18</v>
      </c>
      <c r="D1008" s="182" t="n">
        <v>4578.115</v>
      </c>
      <c r="E1008" s="182" t="n">
        <v>-5.935</v>
      </c>
      <c r="F1008" s="182" t="n">
        <v>35.2248</v>
      </c>
      <c r="G1008" s="182" t="n">
        <v>-0.00493</v>
      </c>
      <c r="H1008" s="182" t="n">
        <v>0.000839</v>
      </c>
      <c r="I1008" s="182" t="inlineStr"/>
    </row>
    <row r="1009" ht="15" customHeight="1" s="28">
      <c r="A1009" s="181" t="n">
        <v>995</v>
      </c>
      <c r="B1009" s="181" t="n">
        <v>994</v>
      </c>
      <c r="C1009" s="181" t="n">
        <v>4570.49</v>
      </c>
      <c r="D1009" s="181" t="n">
        <v>4577.8612</v>
      </c>
      <c r="E1009" s="181" t="n">
        <v>-7.3712</v>
      </c>
      <c r="F1009" s="181" t="n">
        <v>54.3339</v>
      </c>
      <c r="G1009" s="181" t="n">
        <v>-0.009443999999999999</v>
      </c>
      <c r="H1009" s="181" t="n">
        <v>0.001996</v>
      </c>
      <c r="I1009" s="181" t="inlineStr"/>
    </row>
    <row r="1010" ht="15" customHeight="1" s="28">
      <c r="A1010" s="182" t="n">
        <v>996</v>
      </c>
      <c r="B1010" s="182" t="n">
        <v>995</v>
      </c>
      <c r="C1010" s="182" t="n">
        <v>4566.67</v>
      </c>
      <c r="D1010" s="182" t="n">
        <v>4577.6073</v>
      </c>
      <c r="E1010" s="182" t="n">
        <v>-10.9373</v>
      </c>
      <c r="F1010" s="182" t="n">
        <v>119.6236</v>
      </c>
      <c r="G1010" s="182" t="n">
        <v>-0.030851</v>
      </c>
      <c r="H1010" s="182" t="n">
        <v>0.009676000000000001</v>
      </c>
      <c r="I1010" s="182" t="inlineStr"/>
    </row>
    <row r="1011" ht="15" customHeight="1" s="28">
      <c r="A1011" s="181" t="n">
        <v>997</v>
      </c>
      <c r="B1011" s="181" t="n">
        <v>996</v>
      </c>
      <c r="C1011" s="181" t="n">
        <v>4565.94</v>
      </c>
      <c r="D1011" s="181" t="n">
        <v>4577.3534</v>
      </c>
      <c r="E1011" s="181" t="n">
        <v>-11.4134</v>
      </c>
      <c r="F1011" s="181" t="n">
        <v>130.2648</v>
      </c>
      <c r="G1011" s="181" t="n">
        <v>-0.035058</v>
      </c>
      <c r="H1011" s="181" t="n">
        <v>0.011474</v>
      </c>
      <c r="I1011" s="181" t="inlineStr"/>
    </row>
    <row r="1012" ht="15" customHeight="1" s="28">
      <c r="A1012" s="182" t="n">
        <v>998</v>
      </c>
      <c r="B1012" s="182" t="n">
        <v>997</v>
      </c>
      <c r="C1012" s="182" t="n">
        <v>4572.03</v>
      </c>
      <c r="D1012" s="182" t="n">
        <v>4577.0995</v>
      </c>
      <c r="E1012" s="182" t="n">
        <v>-5.0695</v>
      </c>
      <c r="F1012" s="182" t="n">
        <v>25.6995</v>
      </c>
      <c r="G1012" s="182" t="n">
        <v>-0.003072</v>
      </c>
      <c r="H1012" s="182" t="n">
        <v>0.000447</v>
      </c>
      <c r="I1012" s="182" t="inlineStr"/>
    </row>
    <row r="1013" ht="15" customHeight="1" s="28">
      <c r="A1013" s="181" t="n">
        <v>999</v>
      </c>
      <c r="B1013" s="181" t="n">
        <v>998</v>
      </c>
      <c r="C1013" s="181" t="n">
        <v>4575.75</v>
      </c>
      <c r="D1013" s="181" t="n">
        <v>4576.8456</v>
      </c>
      <c r="E1013" s="181" t="n">
        <v>-1.0956</v>
      </c>
      <c r="F1013" s="181" t="n">
        <v>1.2003</v>
      </c>
      <c r="G1013" s="181" t="n">
        <v>-3.1e-05</v>
      </c>
      <c r="H1013" s="181" t="n">
        <v>1e-06</v>
      </c>
      <c r="I1013" s="181" t="inlineStr"/>
    </row>
    <row r="1014" ht="15" customHeight="1" s="28">
      <c r="A1014" s="182" t="n">
        <v>1000</v>
      </c>
      <c r="B1014" s="182" t="n">
        <v>999</v>
      </c>
      <c r="C1014" s="182" t="n">
        <v>4578.84</v>
      </c>
      <c r="D1014" s="182" t="n">
        <v>4576.5917</v>
      </c>
      <c r="E1014" s="182" t="n">
        <v>2.2483</v>
      </c>
      <c r="F1014" s="182" t="n">
        <v>5.055</v>
      </c>
      <c r="G1014" s="182" t="n">
        <v>0.000268</v>
      </c>
      <c r="H1014" s="182" t="n">
        <v>1.7e-05</v>
      </c>
      <c r="I1014" s="182" t="inlineStr"/>
    </row>
    <row r="1015" ht="15" customHeight="1" s="28">
      <c r="A1015" s="181" t="n">
        <v>1001</v>
      </c>
      <c r="B1015" s="181" t="n">
        <v>1000</v>
      </c>
      <c r="C1015" s="181" t="n">
        <v>4584.86</v>
      </c>
      <c r="D1015" s="181" t="n">
        <v>4576.3378</v>
      </c>
      <c r="E1015" s="181" t="n">
        <v>8.5222</v>
      </c>
      <c r="F1015" s="181" t="n">
        <v>72.6283</v>
      </c>
      <c r="G1015" s="181" t="n">
        <v>0.014595</v>
      </c>
      <c r="H1015" s="181" t="n">
        <v>0.003567</v>
      </c>
      <c r="I1015" s="181" t="inlineStr"/>
    </row>
    <row r="1016" ht="15" customHeight="1" s="28">
      <c r="A1016" s="182" t="n">
        <v>1002</v>
      </c>
      <c r="B1016" s="182" t="n">
        <v>1001</v>
      </c>
      <c r="C1016" s="182" t="n">
        <v>4602.95</v>
      </c>
      <c r="D1016" s="182" t="n">
        <v>4576.0839</v>
      </c>
      <c r="E1016" s="182" t="n">
        <v>26.8661</v>
      </c>
      <c r="F1016" s="182" t="n">
        <v>721.7882</v>
      </c>
      <c r="G1016" s="182" t="n">
        <v>0.457254</v>
      </c>
      <c r="H1016" s="182" t="n">
        <v>0.352271</v>
      </c>
      <c r="I1016" s="182" t="inlineStr"/>
    </row>
    <row r="1017" ht="15" customHeight="1" s="28">
      <c r="A1017" s="181" t="n">
        <v>1003</v>
      </c>
      <c r="B1017" s="181" t="n">
        <v>1002</v>
      </c>
      <c r="C1017" s="181" t="n">
        <v>4591.95</v>
      </c>
      <c r="D1017" s="181" t="n">
        <v>4575.83</v>
      </c>
      <c r="E1017" s="181" t="n">
        <v>16.12</v>
      </c>
      <c r="F1017" s="181" t="n">
        <v>259.8548</v>
      </c>
      <c r="G1017" s="181" t="n">
        <v>0.098773</v>
      </c>
      <c r="H1017" s="181" t="n">
        <v>0.045658</v>
      </c>
      <c r="I1017" s="181" t="inlineStr"/>
    </row>
    <row r="1018" ht="15" customHeight="1" s="28">
      <c r="A1018" s="182" t="n">
        <v>1004</v>
      </c>
      <c r="B1018" s="182" t="n">
        <v>1003</v>
      </c>
      <c r="C1018" s="182" t="n">
        <v>4591.18</v>
      </c>
      <c r="D1018" s="182" t="n">
        <v>4575.5761</v>
      </c>
      <c r="E1018" s="182" t="n">
        <v>15.6039</v>
      </c>
      <c r="F1018" s="182" t="n">
        <v>243.4819</v>
      </c>
      <c r="G1018" s="182" t="n">
        <v>0.089587</v>
      </c>
      <c r="H1018" s="182" t="n">
        <v>0.040086</v>
      </c>
      <c r="I1018" s="182" t="inlineStr"/>
    </row>
    <row r="1019" ht="15" customHeight="1" s="28">
      <c r="A1019" s="181" t="n">
        <v>1005</v>
      </c>
      <c r="B1019" s="181" t="n">
        <v>1004</v>
      </c>
      <c r="C1019" s="181" t="n">
        <v>4591.32</v>
      </c>
      <c r="D1019" s="181" t="n">
        <v>4575.3222</v>
      </c>
      <c r="E1019" s="181" t="n">
        <v>15.9978</v>
      </c>
      <c r="F1019" s="181" t="n">
        <v>255.9297</v>
      </c>
      <c r="G1019" s="181" t="n">
        <v>0.096544</v>
      </c>
      <c r="H1019" s="181" t="n">
        <v>0.044289</v>
      </c>
      <c r="I1019" s="181" t="inlineStr"/>
    </row>
    <row r="1020" ht="15" customHeight="1" s="28">
      <c r="A1020" s="182" t="n">
        <v>1006</v>
      </c>
      <c r="B1020" s="182" t="n">
        <v>1005</v>
      </c>
      <c r="C1020" s="182" t="n">
        <v>4589.2</v>
      </c>
      <c r="D1020" s="182" t="n">
        <v>4575.0683</v>
      </c>
      <c r="E1020" s="182" t="n">
        <v>14.1317</v>
      </c>
      <c r="F1020" s="182" t="n">
        <v>199.7049</v>
      </c>
      <c r="G1020" s="182" t="n">
        <v>0.066547</v>
      </c>
      <c r="H1020" s="182" t="n">
        <v>0.026967</v>
      </c>
      <c r="I1020" s="182" t="inlineStr"/>
    </row>
    <row r="1021" ht="15" customHeight="1" s="28">
      <c r="A1021" s="181" t="n">
        <v>1007</v>
      </c>
      <c r="B1021" s="181" t="n">
        <v>1006</v>
      </c>
      <c r="C1021" s="181" t="n">
        <v>4608.07</v>
      </c>
      <c r="D1021" s="181" t="n">
        <v>4574.8144</v>
      </c>
      <c r="E1021" s="181" t="n">
        <v>33.2556</v>
      </c>
      <c r="F1021" s="181" t="n">
        <v>1105.9345</v>
      </c>
      <c r="G1021" s="181" t="n">
        <v>0.867236</v>
      </c>
      <c r="H1021" s="181" t="n">
        <v>0.827021</v>
      </c>
      <c r="I1021" s="181" t="inlineStr"/>
    </row>
    <row r="1022" ht="15" customHeight="1" s="28">
      <c r="A1022" s="182" t="n">
        <v>1008</v>
      </c>
      <c r="B1022" s="182" t="n">
        <v>1007</v>
      </c>
      <c r="C1022" s="182" t="n">
        <v>4625.7</v>
      </c>
      <c r="D1022" s="182" t="n">
        <v>4574.5605</v>
      </c>
      <c r="E1022" s="182" t="n">
        <v>51.1395</v>
      </c>
      <c r="F1022" s="182" t="n">
        <v>2615.2474</v>
      </c>
      <c r="G1022" s="182" t="n">
        <v>3.153642</v>
      </c>
      <c r="H1022" s="182" t="n">
        <v>4.624695</v>
      </c>
      <c r="I1022" s="182" t="inlineStr"/>
    </row>
    <row r="1023" ht="15" customHeight="1" s="28">
      <c r="A1023" s="181" t="n">
        <v>1009</v>
      </c>
      <c r="B1023" s="181" t="n">
        <v>1008</v>
      </c>
      <c r="C1023" s="181" t="n">
        <v>4656.06</v>
      </c>
      <c r="D1023" s="181" t="n">
        <v>4574.3066</v>
      </c>
      <c r="E1023" s="181" t="n">
        <v>81.7534</v>
      </c>
      <c r="F1023" s="181" t="n">
        <v>6683.6159</v>
      </c>
      <c r="G1023" s="181" t="n">
        <v>12.884288</v>
      </c>
      <c r="H1023" s="181" t="n">
        <v>30.205119</v>
      </c>
      <c r="I1023" s="181" t="inlineStr"/>
    </row>
    <row r="1024" ht="15" customHeight="1" s="28">
      <c r="A1024" s="182" t="n">
        <v>1010</v>
      </c>
      <c r="B1024" s="182" t="n">
        <v>1009</v>
      </c>
      <c r="C1024" s="182" t="n">
        <v>4644.67</v>
      </c>
      <c r="D1024" s="182" t="n">
        <v>4574.0527</v>
      </c>
      <c r="E1024" s="182" t="n">
        <v>70.6173</v>
      </c>
      <c r="F1024" s="182" t="n">
        <v>4986.8003</v>
      </c>
      <c r="G1024" s="182" t="n">
        <v>8.303786000000001</v>
      </c>
      <c r="H1024" s="182" t="n">
        <v>16.81518</v>
      </c>
      <c r="I1024" s="182" t="inlineStr"/>
    </row>
    <row r="1025" ht="15" customHeight="1" s="28">
      <c r="A1025" s="181" t="n">
        <v>1011</v>
      </c>
      <c r="B1025" s="181" t="n">
        <v>1010</v>
      </c>
      <c r="C1025" s="181" t="n">
        <v>4633.23</v>
      </c>
      <c r="D1025" s="181" t="n">
        <v>4573.7988</v>
      </c>
      <c r="E1025" s="181" t="n">
        <v>59.4312</v>
      </c>
      <c r="F1025" s="181" t="n">
        <v>3532.0647</v>
      </c>
      <c r="G1025" s="181" t="n">
        <v>4.949783</v>
      </c>
      <c r="H1025" s="181" t="n">
        <v>8.435578</v>
      </c>
      <c r="I1025" s="181" t="inlineStr"/>
    </row>
    <row r="1026" ht="15" customHeight="1" s="28">
      <c r="A1026" s="182" t="n">
        <v>1012</v>
      </c>
      <c r="B1026" s="182" t="n">
        <v>1011</v>
      </c>
      <c r="C1026" s="182" t="n">
        <v>4632.21</v>
      </c>
      <c r="D1026" s="182" t="n">
        <v>4573.5449</v>
      </c>
      <c r="E1026" s="182" t="n">
        <v>58.6651</v>
      </c>
      <c r="F1026" s="182" t="n">
        <v>3441.5906</v>
      </c>
      <c r="G1026" s="182" t="n">
        <v>4.760822</v>
      </c>
      <c r="H1026" s="182" t="n">
        <v>8.008957000000001</v>
      </c>
      <c r="I1026" s="182" t="inlineStr"/>
    </row>
    <row r="1027" ht="15" customHeight="1" s="28">
      <c r="A1027" s="181" t="n">
        <v>1013</v>
      </c>
      <c r="B1027" s="181" t="n">
        <v>1012</v>
      </c>
      <c r="C1027" s="181" t="n">
        <v>4636.58</v>
      </c>
      <c r="D1027" s="181" t="n">
        <v>4573.291</v>
      </c>
      <c r="E1027" s="181" t="n">
        <v>63.289</v>
      </c>
      <c r="F1027" s="181" t="n">
        <v>4005.4933</v>
      </c>
      <c r="G1027" s="181" t="n">
        <v>5.977605</v>
      </c>
      <c r="H1027" s="181" t="n">
        <v>10.848498</v>
      </c>
      <c r="I1027" s="181" t="inlineStr"/>
    </row>
    <row r="1028" ht="15" customHeight="1" s="28">
      <c r="A1028" s="182" t="n">
        <v>1014</v>
      </c>
      <c r="B1028" s="182" t="n">
        <v>1013</v>
      </c>
      <c r="C1028" s="182" t="n">
        <v>4636.46</v>
      </c>
      <c r="D1028" s="182" t="n">
        <v>4573.0371</v>
      </c>
      <c r="E1028" s="182" t="n">
        <v>63.4229</v>
      </c>
      <c r="F1028" s="182" t="n">
        <v>4022.4595</v>
      </c>
      <c r="G1028" s="182" t="n">
        <v>6.015624</v>
      </c>
      <c r="H1028" s="182" t="n">
        <v>10.940595</v>
      </c>
      <c r="I1028" s="182" t="inlineStr"/>
    </row>
    <row r="1029" ht="15" customHeight="1" s="28">
      <c r="A1029" s="181" t="n">
        <v>1015</v>
      </c>
      <c r="B1029" s="181" t="n">
        <v>1014</v>
      </c>
      <c r="C1029" s="181" t="n">
        <v>4643.6</v>
      </c>
      <c r="D1029" s="181" t="n">
        <v>4572.7832</v>
      </c>
      <c r="E1029" s="181" t="n">
        <v>70.8168</v>
      </c>
      <c r="F1029" s="181" t="n">
        <v>5015.0132</v>
      </c>
      <c r="G1029" s="181" t="n">
        <v>8.374354</v>
      </c>
      <c r="H1029" s="181" t="n">
        <v>17.005983</v>
      </c>
      <c r="I1029" s="181" t="inlineStr"/>
    </row>
    <row r="1030" ht="15" customHeight="1" s="28">
      <c r="A1030" s="182" t="n">
        <v>1016</v>
      </c>
      <c r="B1030" s="182" t="n">
        <v>1015</v>
      </c>
      <c r="C1030" s="182" t="n">
        <v>4643.3</v>
      </c>
      <c r="D1030" s="182" t="n">
        <v>4572.5293</v>
      </c>
      <c r="E1030" s="182" t="n">
        <v>70.77070000000001</v>
      </c>
      <c r="F1030" s="182" t="n">
        <v>5008.4854</v>
      </c>
      <c r="G1030" s="182" t="n">
        <v>8.358008</v>
      </c>
      <c r="H1030" s="182" t="n">
        <v>16.96174</v>
      </c>
      <c r="I1030" s="182" t="inlineStr"/>
    </row>
    <row r="1031" ht="15" customHeight="1" s="28">
      <c r="A1031" s="181" t="n">
        <v>1017</v>
      </c>
      <c r="B1031" s="181" t="n">
        <v>1016</v>
      </c>
      <c r="C1031" s="181" t="n">
        <v>4642.75</v>
      </c>
      <c r="D1031" s="181" t="n">
        <v>4572.2755</v>
      </c>
      <c r="E1031" s="181" t="n">
        <v>70.47450000000001</v>
      </c>
      <c r="F1031" s="181" t="n">
        <v>4966.662</v>
      </c>
      <c r="G1031" s="181" t="n">
        <v>8.253537</v>
      </c>
      <c r="H1031" s="181" t="n">
        <v>16.679644</v>
      </c>
      <c r="I1031" s="181" t="inlineStr"/>
    </row>
    <row r="1032" ht="15" customHeight="1" s="28">
      <c r="A1032" s="182" t="n">
        <v>1018</v>
      </c>
      <c r="B1032" s="182" t="n">
        <v>1017</v>
      </c>
      <c r="C1032" s="182" t="n">
        <v>4637.96</v>
      </c>
      <c r="D1032" s="182" t="n">
        <v>4572.0216</v>
      </c>
      <c r="E1032" s="182" t="n">
        <v>65.9384</v>
      </c>
      <c r="F1032" s="182" t="n">
        <v>4347.8784</v>
      </c>
      <c r="G1032" s="182" t="n">
        <v>6.760196</v>
      </c>
      <c r="H1032" s="182" t="n">
        <v>12.782399</v>
      </c>
      <c r="I1032" s="182" t="inlineStr"/>
    </row>
    <row r="1033" ht="15" customHeight="1" s="28">
      <c r="A1033" s="181" t="n">
        <v>1019</v>
      </c>
      <c r="B1033" s="181" t="n">
        <v>1018</v>
      </c>
      <c r="C1033" s="181" t="n">
        <v>4638.86</v>
      </c>
      <c r="D1033" s="181" t="n">
        <v>4571.7677</v>
      </c>
      <c r="E1033" s="181" t="n">
        <v>67.09229999999999</v>
      </c>
      <c r="F1033" s="181" t="n">
        <v>4501.3821</v>
      </c>
      <c r="G1033" s="181" t="n">
        <v>7.121344</v>
      </c>
      <c r="H1033" s="181" t="n">
        <v>13.700907</v>
      </c>
      <c r="I1033" s="181" t="inlineStr"/>
    </row>
    <row r="1034" ht="15" customHeight="1" s="28">
      <c r="A1034" s="182" t="n">
        <v>1020</v>
      </c>
      <c r="B1034" s="182" t="n">
        <v>1019</v>
      </c>
      <c r="C1034" s="182" t="n">
        <v>4638.72</v>
      </c>
      <c r="D1034" s="182" t="n">
        <v>4571.5138</v>
      </c>
      <c r="E1034" s="182" t="n">
        <v>67.2062</v>
      </c>
      <c r="F1034" s="182" t="n">
        <v>4516.6781</v>
      </c>
      <c r="G1034" s="182" t="n">
        <v>7.157674</v>
      </c>
      <c r="H1034" s="182" t="n">
        <v>13.794179</v>
      </c>
      <c r="I1034" s="182" t="inlineStr"/>
    </row>
    <row r="1035" ht="15" customHeight="1" s="28">
      <c r="A1035" s="181" t="n">
        <v>1021</v>
      </c>
      <c r="B1035" s="181" t="n">
        <v>1020</v>
      </c>
      <c r="C1035" s="181" t="n">
        <v>4639.73</v>
      </c>
      <c r="D1035" s="181" t="n">
        <v>4571.2599</v>
      </c>
      <c r="E1035" s="181" t="n">
        <v>68.4701</v>
      </c>
      <c r="F1035" s="181" t="n">
        <v>4688.1588</v>
      </c>
      <c r="G1035" s="181" t="n">
        <v>7.569142</v>
      </c>
      <c r="H1035" s="181" t="n">
        <v>14.861485</v>
      </c>
      <c r="I1035" s="181" t="inlineStr"/>
    </row>
    <row r="1036" ht="15" customHeight="1" s="28">
      <c r="A1036" s="182" t="n">
        <v>1022</v>
      </c>
      <c r="B1036" s="182" t="n">
        <v>1021</v>
      </c>
      <c r="C1036" s="182" t="n">
        <v>4631.67</v>
      </c>
      <c r="D1036" s="182" t="n">
        <v>4571.006</v>
      </c>
      <c r="E1036" s="182" t="n">
        <v>60.664</v>
      </c>
      <c r="F1036" s="182" t="n">
        <v>3680.1241</v>
      </c>
      <c r="G1036" s="182" t="n">
        <v>5.264254</v>
      </c>
      <c r="H1036" s="182" t="n">
        <v>9.157617</v>
      </c>
      <c r="I1036" s="182" t="inlineStr"/>
    </row>
    <row r="1037" ht="15" customHeight="1" s="28">
      <c r="A1037" s="181" t="n">
        <v>1023</v>
      </c>
      <c r="B1037" s="181" t="n">
        <v>1022</v>
      </c>
      <c r="C1037" s="181" t="n">
        <v>4628</v>
      </c>
      <c r="D1037" s="181" t="n">
        <v>4570.7521</v>
      </c>
      <c r="E1037" s="181" t="n">
        <v>57.2479</v>
      </c>
      <c r="F1037" s="181" t="n">
        <v>3277.3246</v>
      </c>
      <c r="G1037" s="181" t="n">
        <v>4.424074</v>
      </c>
      <c r="H1037" s="181" t="n">
        <v>7.262673</v>
      </c>
      <c r="I1037" s="181" t="inlineStr"/>
    </row>
    <row r="1038" ht="15" customHeight="1" s="28">
      <c r="A1038" s="182" t="n">
        <v>1024</v>
      </c>
      <c r="B1038" s="182" t="n">
        <v>1023</v>
      </c>
      <c r="C1038" s="182" t="n">
        <v>4629.43</v>
      </c>
      <c r="D1038" s="182" t="n">
        <v>4570.4982</v>
      </c>
      <c r="E1038" s="182" t="n">
        <v>58.9318</v>
      </c>
      <c r="F1038" s="182" t="n">
        <v>3472.9591</v>
      </c>
      <c r="G1038" s="182" t="n">
        <v>4.82606</v>
      </c>
      <c r="H1038" s="182" t="n">
        <v>8.155619</v>
      </c>
      <c r="I1038" s="182" t="inlineStr"/>
    </row>
    <row r="1039" ht="15" customHeight="1" s="28">
      <c r="A1039" s="181" t="n">
        <v>1025</v>
      </c>
      <c r="B1039" s="181" t="n">
        <v>1024</v>
      </c>
      <c r="C1039" s="181" t="n">
        <v>4615.72</v>
      </c>
      <c r="D1039" s="181" t="n">
        <v>4570.2443</v>
      </c>
      <c r="E1039" s="181" t="n">
        <v>45.4757</v>
      </c>
      <c r="F1039" s="181" t="n">
        <v>2068.0405</v>
      </c>
      <c r="G1039" s="181" t="n">
        <v>2.217592</v>
      </c>
      <c r="H1039" s="181" t="n">
        <v>2.891849</v>
      </c>
      <c r="I1039" s="181" t="inlineStr"/>
    </row>
    <row r="1040" ht="15" customHeight="1" s="28">
      <c r="A1040" s="182" t="n">
        <v>1026</v>
      </c>
      <c r="B1040" s="182" t="n">
        <v>1025</v>
      </c>
      <c r="C1040" s="182" t="n">
        <v>4623.48</v>
      </c>
      <c r="D1040" s="182" t="n">
        <v>4569.9904</v>
      </c>
      <c r="E1040" s="182" t="n">
        <v>53.4896</v>
      </c>
      <c r="F1040" s="182" t="n">
        <v>2861.1382</v>
      </c>
      <c r="G1040" s="182" t="n">
        <v>3.608705</v>
      </c>
      <c r="H1040" s="182" t="n">
        <v>5.535225</v>
      </c>
      <c r="I1040" s="182" t="inlineStr"/>
    </row>
    <row r="1041" ht="15" customHeight="1" s="28">
      <c r="A1041" s="181" t="n">
        <v>1027</v>
      </c>
      <c r="B1041" s="181" t="n">
        <v>1026</v>
      </c>
      <c r="C1041" s="181" t="n">
        <v>4622.32</v>
      </c>
      <c r="D1041" s="181" t="n">
        <v>4569.7365</v>
      </c>
      <c r="E1041" s="181" t="n">
        <v>52.5835</v>
      </c>
      <c r="F1041" s="181" t="n">
        <v>2765.0249</v>
      </c>
      <c r="G1041" s="181" t="n">
        <v>3.428402</v>
      </c>
      <c r="H1041" s="181" t="n">
        <v>5.169585</v>
      </c>
      <c r="I1041" s="181" t="inlineStr"/>
    </row>
    <row r="1042" ht="15" customHeight="1" s="28">
      <c r="A1042" s="182" t="n">
        <v>1028</v>
      </c>
      <c r="B1042" s="182" t="n">
        <v>1027</v>
      </c>
      <c r="C1042" s="182" t="n">
        <v>4624.35</v>
      </c>
      <c r="D1042" s="182" t="n">
        <v>4569.4826</v>
      </c>
      <c r="E1042" s="182" t="n">
        <v>54.8674</v>
      </c>
      <c r="F1042" s="182" t="n">
        <v>3010.4315</v>
      </c>
      <c r="G1042" s="182" t="n">
        <v>3.89481</v>
      </c>
      <c r="H1042" s="182" t="n">
        <v>6.127948</v>
      </c>
      <c r="I1042" s="182" t="inlineStr"/>
    </row>
    <row r="1043" ht="15" customHeight="1" s="28">
      <c r="A1043" s="181" t="n">
        <v>1029</v>
      </c>
      <c r="B1043" s="181" t="n">
        <v>1028</v>
      </c>
      <c r="C1043" s="181" t="n">
        <v>4626.3</v>
      </c>
      <c r="D1043" s="181" t="n">
        <v>4569.2287</v>
      </c>
      <c r="E1043" s="181" t="n">
        <v>57.0713</v>
      </c>
      <c r="F1043" s="181" t="n">
        <v>3257.1327</v>
      </c>
      <c r="G1043" s="181" t="n">
        <v>4.383251</v>
      </c>
      <c r="H1043" s="181" t="n">
        <v>7.173457</v>
      </c>
      <c r="I1043" s="181" t="inlineStr"/>
    </row>
    <row r="1044" ht="15" customHeight="1" s="28">
      <c r="A1044" s="182" t="n">
        <v>1030</v>
      </c>
      <c r="B1044" s="182" t="n">
        <v>1029</v>
      </c>
      <c r="C1044" s="182" t="n">
        <v>4624.4</v>
      </c>
      <c r="D1044" s="182" t="n">
        <v>4568.9748</v>
      </c>
      <c r="E1044" s="182" t="n">
        <v>55.4252</v>
      </c>
      <c r="F1044" s="182" t="n">
        <v>3071.9517</v>
      </c>
      <c r="G1044" s="182" t="n">
        <v>4.014808</v>
      </c>
      <c r="H1044" s="182" t="n">
        <v>6.380965</v>
      </c>
      <c r="I1044" s="182" t="inlineStr"/>
    </row>
    <row r="1045" ht="15" customHeight="1" s="28">
      <c r="A1045" s="181" t="n">
        <v>1031</v>
      </c>
      <c r="B1045" s="181" t="n">
        <v>1030</v>
      </c>
      <c r="C1045" s="181" t="n">
        <v>4611.78</v>
      </c>
      <c r="D1045" s="181" t="n">
        <v>4568.7209</v>
      </c>
      <c r="E1045" s="181" t="n">
        <v>43.0591</v>
      </c>
      <c r="F1045" s="181" t="n">
        <v>1854.0849</v>
      </c>
      <c r="G1045" s="181" t="n">
        <v>1.882511</v>
      </c>
      <c r="H1045" s="181" t="n">
        <v>2.324432</v>
      </c>
      <c r="I1045" s="181" t="inlineStr"/>
    </row>
    <row r="1046" ht="15" customHeight="1" s="28">
      <c r="A1046" s="182" t="n">
        <v>1032</v>
      </c>
      <c r="B1046" s="182" t="n">
        <v>1031</v>
      </c>
      <c r="C1046" s="182" t="n">
        <v>4610.06</v>
      </c>
      <c r="D1046" s="182" t="n">
        <v>4568.467</v>
      </c>
      <c r="E1046" s="182" t="n">
        <v>41.593</v>
      </c>
      <c r="F1046" s="182" t="n">
        <v>1729.9761</v>
      </c>
      <c r="G1046" s="182" t="n">
        <v>1.696693</v>
      </c>
      <c r="H1046" s="182" t="n">
        <v>2.023661</v>
      </c>
      <c r="I1046" s="182" t="inlineStr"/>
    </row>
    <row r="1047" ht="15" customHeight="1" s="28">
      <c r="A1047" s="181" t="n">
        <v>1033</v>
      </c>
      <c r="B1047" s="181" t="n">
        <v>1032</v>
      </c>
      <c r="C1047" s="181" t="n">
        <v>4611.41</v>
      </c>
      <c r="D1047" s="181" t="n">
        <v>4568.2131</v>
      </c>
      <c r="E1047" s="181" t="n">
        <v>43.1969</v>
      </c>
      <c r="F1047" s="181" t="n">
        <v>1865.9702</v>
      </c>
      <c r="G1047" s="181" t="n">
        <v>1.900642</v>
      </c>
      <c r="H1047" s="181" t="n">
        <v>2.354328</v>
      </c>
      <c r="I1047" s="181" t="inlineStr"/>
    </row>
    <row r="1048" ht="15" customHeight="1" s="28">
      <c r="A1048" s="182" t="n">
        <v>1034</v>
      </c>
      <c r="B1048" s="182" t="n">
        <v>1033</v>
      </c>
      <c r="C1048" s="182" t="n">
        <v>4613.3</v>
      </c>
      <c r="D1048" s="182" t="n">
        <v>4567.9592</v>
      </c>
      <c r="E1048" s="182" t="n">
        <v>45.3408</v>
      </c>
      <c r="F1048" s="182" t="n">
        <v>2055.7856</v>
      </c>
      <c r="G1048" s="182" t="n">
        <v>2.19791</v>
      </c>
      <c r="H1048" s="182" t="n">
        <v>2.857678</v>
      </c>
      <c r="I1048" s="182" t="inlineStr"/>
    </row>
    <row r="1049" ht="15" customHeight="1" s="28">
      <c r="A1049" s="181" t="n">
        <v>1035</v>
      </c>
      <c r="B1049" s="181" t="n">
        <v>1034</v>
      </c>
      <c r="C1049" s="181" t="n">
        <v>4613.77</v>
      </c>
      <c r="D1049" s="181" t="n">
        <v>4567.7053</v>
      </c>
      <c r="E1049" s="181" t="n">
        <v>46.0647</v>
      </c>
      <c r="F1049" s="181" t="n">
        <v>2121.9536</v>
      </c>
      <c r="G1049" s="181" t="n">
        <v>2.304873</v>
      </c>
      <c r="H1049" s="181" t="n">
        <v>3.044594</v>
      </c>
      <c r="I1049" s="181" t="inlineStr"/>
    </row>
    <row r="1050" ht="15" customHeight="1" s="28">
      <c r="A1050" s="182" t="n">
        <v>1036</v>
      </c>
      <c r="B1050" s="182" t="n">
        <v>1035</v>
      </c>
      <c r="C1050" s="182" t="n">
        <v>4613.98</v>
      </c>
      <c r="D1050" s="182" t="n">
        <v>4567.4514</v>
      </c>
      <c r="E1050" s="182" t="n">
        <v>46.5286</v>
      </c>
      <c r="F1050" s="182" t="n">
        <v>2164.9072</v>
      </c>
      <c r="G1050" s="182" t="n">
        <v>2.375211</v>
      </c>
      <c r="H1050" s="182" t="n">
        <v>3.169101</v>
      </c>
      <c r="I1050" s="182" t="inlineStr"/>
    </row>
    <row r="1051" ht="15" customHeight="1" s="28">
      <c r="A1051" s="181" t="n">
        <v>1037</v>
      </c>
      <c r="B1051" s="181" t="n">
        <v>1036</v>
      </c>
      <c r="C1051" s="181" t="n">
        <v>4623.11</v>
      </c>
      <c r="D1051" s="181" t="n">
        <v>4567.1975</v>
      </c>
      <c r="E1051" s="181" t="n">
        <v>55.9125</v>
      </c>
      <c r="F1051" s="181" t="n">
        <v>3126.203</v>
      </c>
      <c r="G1051" s="181" t="n">
        <v>4.12163</v>
      </c>
      <c r="H1051" s="181" t="n">
        <v>6.608333</v>
      </c>
      <c r="I1051" s="181" t="inlineStr"/>
    </row>
    <row r="1052" ht="15" customHeight="1" s="28">
      <c r="A1052" s="182" t="n">
        <v>1038</v>
      </c>
      <c r="B1052" s="182" t="n">
        <v>1037</v>
      </c>
      <c r="C1052" s="182" t="n">
        <v>4620.91</v>
      </c>
      <c r="D1052" s="182" t="n">
        <v>4566.9436</v>
      </c>
      <c r="E1052" s="182" t="n">
        <v>53.9664</v>
      </c>
      <c r="F1052" s="182" t="n">
        <v>2912.3674</v>
      </c>
      <c r="G1052" s="182" t="n">
        <v>3.70606</v>
      </c>
      <c r="H1052" s="182" t="n">
        <v>5.735217</v>
      </c>
      <c r="I1052" s="182" t="inlineStr"/>
    </row>
    <row r="1053" ht="15" customHeight="1" s="28">
      <c r="A1053" s="181" t="n">
        <v>1039</v>
      </c>
      <c r="B1053" s="181" t="n">
        <v>1038</v>
      </c>
      <c r="C1053" s="181" t="n">
        <v>4628.2</v>
      </c>
      <c r="D1053" s="181" t="n">
        <v>4566.6898</v>
      </c>
      <c r="E1053" s="181" t="n">
        <v>61.5102</v>
      </c>
      <c r="F1053" s="181" t="n">
        <v>3783.5108</v>
      </c>
      <c r="G1053" s="181" t="n">
        <v>5.48764</v>
      </c>
      <c r="H1053" s="181" t="n">
        <v>9.67938</v>
      </c>
      <c r="I1053" s="181" t="inlineStr"/>
    </row>
    <row r="1054" ht="15" customHeight="1" s="28">
      <c r="A1054" s="182" t="n">
        <v>1040</v>
      </c>
      <c r="B1054" s="182" t="n">
        <v>1039</v>
      </c>
      <c r="C1054" s="182" t="n">
        <v>4618.95</v>
      </c>
      <c r="D1054" s="182" t="n">
        <v>4566.4359</v>
      </c>
      <c r="E1054" s="182" t="n">
        <v>52.5141</v>
      </c>
      <c r="F1054" s="182" t="n">
        <v>2757.7355</v>
      </c>
      <c r="G1054" s="182" t="n">
        <v>3.414854</v>
      </c>
      <c r="H1054" s="182" t="n">
        <v>5.142364</v>
      </c>
      <c r="I1054" s="182" t="inlineStr"/>
    </row>
    <row r="1055" ht="15" customHeight="1" s="28">
      <c r="A1055" s="181" t="n">
        <v>1041</v>
      </c>
      <c r="B1055" s="181" t="n">
        <v>1040</v>
      </c>
      <c r="C1055" s="181" t="n">
        <v>4615.08</v>
      </c>
      <c r="D1055" s="181" t="n">
        <v>4566.182</v>
      </c>
      <c r="E1055" s="181" t="n">
        <v>48.898</v>
      </c>
      <c r="F1055" s="181" t="n">
        <v>2391.0184</v>
      </c>
      <c r="G1055" s="181" t="n">
        <v>2.756878</v>
      </c>
      <c r="H1055" s="181" t="n">
        <v>3.865658</v>
      </c>
      <c r="I1055" s="181" t="inlineStr"/>
    </row>
    <row r="1056" ht="15" customHeight="1" s="28">
      <c r="A1056" s="182" t="n">
        <v>1042</v>
      </c>
      <c r="B1056" s="182" t="n">
        <v>1041</v>
      </c>
      <c r="C1056" s="182" t="n">
        <v>4617.09</v>
      </c>
      <c r="D1056" s="182" t="n">
        <v>4565.9281</v>
      </c>
      <c r="E1056" s="182" t="n">
        <v>51.1619</v>
      </c>
      <c r="F1056" s="182" t="n">
        <v>2617.5437</v>
      </c>
      <c r="G1056" s="182" t="n">
        <v>3.157796</v>
      </c>
      <c r="H1056" s="182" t="n">
        <v>4.63282</v>
      </c>
      <c r="I1056" s="182" t="inlineStr"/>
    </row>
    <row r="1057" ht="15" customHeight="1" s="28">
      <c r="A1057" s="181" t="n">
        <v>1043</v>
      </c>
      <c r="B1057" s="181" t="n">
        <v>1042</v>
      </c>
      <c r="C1057" s="181" t="n">
        <v>4613.63</v>
      </c>
      <c r="D1057" s="181" t="n">
        <v>4565.6742</v>
      </c>
      <c r="E1057" s="181" t="n">
        <v>47.9558</v>
      </c>
      <c r="F1057" s="181" t="n">
        <v>2299.7618</v>
      </c>
      <c r="G1057" s="181" t="n">
        <v>2.600563</v>
      </c>
      <c r="H1057" s="181" t="n">
        <v>3.576212</v>
      </c>
      <c r="I1057" s="181" t="inlineStr"/>
    </row>
    <row r="1058" ht="15" customHeight="1" s="28">
      <c r="A1058" s="182" t="n">
        <v>1044</v>
      </c>
      <c r="B1058" s="182" t="n">
        <v>1043</v>
      </c>
      <c r="C1058" s="182" t="n">
        <v>4613.86</v>
      </c>
      <c r="D1058" s="182" t="n">
        <v>4565.4203</v>
      </c>
      <c r="E1058" s="182" t="n">
        <v>48.4397</v>
      </c>
      <c r="F1058" s="182" t="n">
        <v>2346.4072</v>
      </c>
      <c r="G1058" s="182" t="n">
        <v>2.680083</v>
      </c>
      <c r="H1058" s="182" t="n">
        <v>3.722754</v>
      </c>
      <c r="I1058" s="182" t="inlineStr"/>
    </row>
    <row r="1059" ht="15" customHeight="1" s="28">
      <c r="A1059" s="181" t="n">
        <v>1045</v>
      </c>
      <c r="B1059" s="181" t="n">
        <v>1044</v>
      </c>
      <c r="C1059" s="181" t="n">
        <v>4612.3</v>
      </c>
      <c r="D1059" s="181" t="n">
        <v>4565.1664</v>
      </c>
      <c r="E1059" s="181" t="n">
        <v>47.1336</v>
      </c>
      <c r="F1059" s="181" t="n">
        <v>2221.5784</v>
      </c>
      <c r="G1059" s="181" t="n">
        <v>2.469083</v>
      </c>
      <c r="H1059" s="181" t="n">
        <v>3.337189</v>
      </c>
      <c r="I1059" s="181" t="inlineStr"/>
    </row>
    <row r="1060" ht="15" customHeight="1" s="28">
      <c r="A1060" s="182" t="n">
        <v>1046</v>
      </c>
      <c r="B1060" s="182" t="n">
        <v>1045</v>
      </c>
      <c r="C1060" s="182" t="n">
        <v>4606.13</v>
      </c>
      <c r="D1060" s="182" t="n">
        <v>4564.9125</v>
      </c>
      <c r="E1060" s="182" t="n">
        <v>41.2175</v>
      </c>
      <c r="F1060" s="182" t="n">
        <v>1698.8838</v>
      </c>
      <c r="G1060" s="182" t="n">
        <v>1.651158</v>
      </c>
      <c r="H1060" s="182" t="n">
        <v>1.951574</v>
      </c>
      <c r="I1060" s="182" t="inlineStr"/>
    </row>
    <row r="1061" ht="15" customHeight="1" s="28">
      <c r="A1061" s="181" t="n">
        <v>1047</v>
      </c>
      <c r="B1061" s="181" t="n">
        <v>1046</v>
      </c>
      <c r="C1061" s="181" t="n">
        <v>4605.86</v>
      </c>
      <c r="D1061" s="181" t="n">
        <v>4564.6586</v>
      </c>
      <c r="E1061" s="181" t="n">
        <v>41.2014</v>
      </c>
      <c r="F1061" s="181" t="n">
        <v>1697.5565</v>
      </c>
      <c r="G1061" s="181" t="n">
        <v>1.649224</v>
      </c>
      <c r="H1061" s="181" t="n">
        <v>1.948525</v>
      </c>
      <c r="I1061" s="181" t="inlineStr"/>
    </row>
    <row r="1062" ht="15" customHeight="1" s="28">
      <c r="A1062" s="182" t="n">
        <v>1048</v>
      </c>
      <c r="B1062" s="182" t="n">
        <v>1047</v>
      </c>
      <c r="C1062" s="182" t="n">
        <v>4613.01</v>
      </c>
      <c r="D1062" s="182" t="n">
        <v>4564.4047</v>
      </c>
      <c r="E1062" s="182" t="n">
        <v>48.6053</v>
      </c>
      <c r="F1062" s="182" t="n">
        <v>2362.4761</v>
      </c>
      <c r="G1062" s="182" t="n">
        <v>2.707661</v>
      </c>
      <c r="H1062" s="182" t="n">
        <v>3.773918</v>
      </c>
      <c r="I1062" s="182" t="inlineStr"/>
    </row>
    <row r="1063" ht="15" customHeight="1" s="28">
      <c r="A1063" s="181" t="n">
        <v>1049</v>
      </c>
      <c r="B1063" s="181" t="n">
        <v>1048</v>
      </c>
      <c r="C1063" s="181" t="n">
        <v>4600.58</v>
      </c>
      <c r="D1063" s="181" t="n">
        <v>4564.1508</v>
      </c>
      <c r="E1063" s="181" t="n">
        <v>36.4292</v>
      </c>
      <c r="F1063" s="181" t="n">
        <v>1327.087</v>
      </c>
      <c r="G1063" s="181" t="n">
        <v>1.139967</v>
      </c>
      <c r="H1063" s="181" t="n">
        <v>1.190848</v>
      </c>
      <c r="I1063" s="181" t="inlineStr"/>
    </row>
    <row r="1064" ht="15" customHeight="1" s="28">
      <c r="A1064" s="182" t="n">
        <v>1050</v>
      </c>
      <c r="B1064" s="182" t="n">
        <v>1049</v>
      </c>
      <c r="C1064" s="182" t="n">
        <v>4594.65</v>
      </c>
      <c r="D1064" s="182" t="n">
        <v>4563.8969</v>
      </c>
      <c r="E1064" s="182" t="n">
        <v>30.7531</v>
      </c>
      <c r="F1064" s="182" t="n">
        <v>945.7532</v>
      </c>
      <c r="G1064" s="182" t="n">
        <v>0.68582</v>
      </c>
      <c r="H1064" s="182" t="n">
        <v>0.604802</v>
      </c>
      <c r="I1064" s="182" t="inlineStr"/>
    </row>
    <row r="1065" ht="15" customHeight="1" s="28">
      <c r="A1065" s="181" t="n">
        <v>1051</v>
      </c>
      <c r="B1065" s="181" t="n">
        <v>1050</v>
      </c>
      <c r="C1065" s="181" t="n">
        <v>4601.59</v>
      </c>
      <c r="D1065" s="181" t="n">
        <v>4563.643</v>
      </c>
      <c r="E1065" s="181" t="n">
        <v>37.947</v>
      </c>
      <c r="F1065" s="181" t="n">
        <v>1439.9745</v>
      </c>
      <c r="G1065" s="181" t="n">
        <v>1.288473</v>
      </c>
      <c r="H1065" s="181" t="n">
        <v>1.402062</v>
      </c>
      <c r="I1065" s="181" t="inlineStr"/>
    </row>
    <row r="1066" ht="15" customHeight="1" s="28">
      <c r="A1066" s="182" t="n">
        <v>1052</v>
      </c>
      <c r="B1066" s="182" t="n">
        <v>1051</v>
      </c>
      <c r="C1066" s="182" t="n">
        <v>4613.14</v>
      </c>
      <c r="D1066" s="182" t="n">
        <v>4563.3891</v>
      </c>
      <c r="E1066" s="182" t="n">
        <v>49.7509</v>
      </c>
      <c r="F1066" s="182" t="n">
        <v>2475.1512</v>
      </c>
      <c r="G1066" s="182" t="n">
        <v>2.90366</v>
      </c>
      <c r="H1066" s="182" t="n">
        <v>4.142486</v>
      </c>
      <c r="I1066" s="182" t="inlineStr"/>
    </row>
    <row r="1067" ht="15" customHeight="1" s="28">
      <c r="A1067" s="181" t="n">
        <v>1053</v>
      </c>
      <c r="B1067" s="181" t="n">
        <v>1052</v>
      </c>
      <c r="C1067" s="181" t="n">
        <v>4608.34</v>
      </c>
      <c r="D1067" s="181" t="n">
        <v>4563.1352</v>
      </c>
      <c r="E1067" s="181" t="n">
        <v>45.2048</v>
      </c>
      <c r="F1067" s="181" t="n">
        <v>2043.4727</v>
      </c>
      <c r="G1067" s="181" t="n">
        <v>2.178193</v>
      </c>
      <c r="H1067" s="181" t="n">
        <v>2.823549</v>
      </c>
      <c r="I1067" s="181" t="inlineStr"/>
    </row>
    <row r="1068" ht="15" customHeight="1" s="28">
      <c r="A1068" s="182" t="n">
        <v>1054</v>
      </c>
      <c r="B1068" s="182" t="n">
        <v>1053</v>
      </c>
      <c r="C1068" s="182" t="n">
        <v>4593.09</v>
      </c>
      <c r="D1068" s="182" t="n">
        <v>4562.8813</v>
      </c>
      <c r="E1068" s="182" t="n">
        <v>30.2087</v>
      </c>
      <c r="F1068" s="182" t="n">
        <v>912.5645</v>
      </c>
      <c r="G1068" s="182" t="n">
        <v>0.650038</v>
      </c>
      <c r="H1068" s="182" t="n">
        <v>0.563099</v>
      </c>
      <c r="I1068" s="182" t="inlineStr"/>
    </row>
    <row r="1069" ht="15" customHeight="1" s="28">
      <c r="A1069" s="181" t="n">
        <v>1055</v>
      </c>
      <c r="B1069" s="181" t="n">
        <v>1054</v>
      </c>
      <c r="C1069" s="181" t="n">
        <v>4603.32</v>
      </c>
      <c r="D1069" s="181" t="n">
        <v>4562.6274</v>
      </c>
      <c r="E1069" s="181" t="n">
        <v>40.6926</v>
      </c>
      <c r="F1069" s="181" t="n">
        <v>1655.8859</v>
      </c>
      <c r="G1069" s="181" t="n">
        <v>1.588872</v>
      </c>
      <c r="H1069" s="181" t="n">
        <v>1.854037</v>
      </c>
      <c r="I1069" s="181" t="inlineStr"/>
    </row>
    <row r="1070" ht="15" customHeight="1" s="28">
      <c r="A1070" s="182" t="n">
        <v>1056</v>
      </c>
      <c r="B1070" s="182" t="n">
        <v>1055</v>
      </c>
      <c r="C1070" s="182" t="n">
        <v>4605.77</v>
      </c>
      <c r="D1070" s="182" t="n">
        <v>4562.3735</v>
      </c>
      <c r="E1070" s="182" t="n">
        <v>43.3965</v>
      </c>
      <c r="F1070" s="182" t="n">
        <v>1883.2539</v>
      </c>
      <c r="G1070" s="182" t="n">
        <v>1.92711</v>
      </c>
      <c r="H1070" s="182" t="n">
        <v>2.398144</v>
      </c>
      <c r="I1070" s="182" t="inlineStr"/>
    </row>
    <row r="1071" ht="15" customHeight="1" s="28">
      <c r="A1071" s="181" t="n">
        <v>1057</v>
      </c>
      <c r="B1071" s="181" t="n">
        <v>1056</v>
      </c>
      <c r="C1071" s="181" t="n">
        <v>4610.07</v>
      </c>
      <c r="D1071" s="181" t="n">
        <v>4562.1196</v>
      </c>
      <c r="E1071" s="181" t="n">
        <v>47.9504</v>
      </c>
      <c r="F1071" s="181" t="n">
        <v>2299.2379</v>
      </c>
      <c r="G1071" s="181" t="n">
        <v>2.599675</v>
      </c>
      <c r="H1071" s="181" t="n">
        <v>3.574583</v>
      </c>
      <c r="I1071" s="181" t="inlineStr"/>
    </row>
    <row r="1072" ht="15" customHeight="1" s="28">
      <c r="A1072" s="182" t="n">
        <v>1058</v>
      </c>
      <c r="B1072" s="182" t="n">
        <v>1057</v>
      </c>
      <c r="C1072" s="182" t="n">
        <v>4610.27</v>
      </c>
      <c r="D1072" s="182" t="n">
        <v>4561.8657</v>
      </c>
      <c r="E1072" s="182" t="n">
        <v>48.4043</v>
      </c>
      <c r="F1072" s="182" t="n">
        <v>2342.9728</v>
      </c>
      <c r="G1072" s="182" t="n">
        <v>2.674201</v>
      </c>
      <c r="H1072" s="182" t="n">
        <v>3.711864</v>
      </c>
      <c r="I1072" s="182" t="inlineStr"/>
    </row>
    <row r="1073" ht="15" customHeight="1" s="28">
      <c r="A1073" s="181" t="n">
        <v>1059</v>
      </c>
      <c r="B1073" s="181" t="n">
        <v>1058</v>
      </c>
      <c r="C1073" s="181" t="n">
        <v>4605.07</v>
      </c>
      <c r="D1073" s="181" t="n">
        <v>4561.6118</v>
      </c>
      <c r="E1073" s="181" t="n">
        <v>43.4582</v>
      </c>
      <c r="F1073" s="181" t="n">
        <v>1888.6116</v>
      </c>
      <c r="G1073" s="181" t="n">
        <v>1.93534</v>
      </c>
      <c r="H1073" s="181" t="n">
        <v>2.411809</v>
      </c>
      <c r="I1073" s="181" t="inlineStr"/>
    </row>
    <row r="1074" ht="15" customHeight="1" s="28">
      <c r="A1074" s="182" t="n">
        <v>1060</v>
      </c>
      <c r="B1074" s="182" t="n">
        <v>1059</v>
      </c>
      <c r="C1074" s="182" t="n">
        <v>4615.09</v>
      </c>
      <c r="D1074" s="182" t="n">
        <v>4561.3579</v>
      </c>
      <c r="E1074" s="182" t="n">
        <v>53.7321</v>
      </c>
      <c r="F1074" s="182" t="n">
        <v>2887.1338</v>
      </c>
      <c r="G1074" s="182" t="n">
        <v>3.657999</v>
      </c>
      <c r="H1074" s="182" t="n">
        <v>5.636265</v>
      </c>
      <c r="I1074" s="182" t="inlineStr"/>
    </row>
    <row r="1075" ht="15" customHeight="1" s="28">
      <c r="A1075" s="181" t="n">
        <v>1061</v>
      </c>
      <c r="B1075" s="181" t="n">
        <v>1060</v>
      </c>
      <c r="C1075" s="181" t="n">
        <v>4611.19</v>
      </c>
      <c r="D1075" s="181" t="n">
        <v>4561.104</v>
      </c>
      <c r="E1075" s="181" t="n">
        <v>50.086</v>
      </c>
      <c r="F1075" s="181" t="n">
        <v>2508.6025</v>
      </c>
      <c r="G1075" s="181" t="n">
        <v>2.962722</v>
      </c>
      <c r="H1075" s="181" t="n">
        <v>4.255213</v>
      </c>
      <c r="I1075" s="181" t="inlineStr"/>
    </row>
    <row r="1076" ht="15" customHeight="1" s="28">
      <c r="A1076" s="182" t="n">
        <v>1062</v>
      </c>
      <c r="B1076" s="182" t="n">
        <v>1061</v>
      </c>
      <c r="C1076" s="182" t="n">
        <v>4608.12</v>
      </c>
      <c r="D1076" s="182" t="n">
        <v>4560.8502</v>
      </c>
      <c r="E1076" s="182" t="n">
        <v>47.2698</v>
      </c>
      <c r="F1076" s="182" t="n">
        <v>2234.4384</v>
      </c>
      <c r="G1076" s="182" t="n">
        <v>2.490553</v>
      </c>
      <c r="H1076" s="182" t="n">
        <v>3.375937</v>
      </c>
      <c r="I1076" s="182" t="inlineStr"/>
    </row>
    <row r="1077" ht="15" customHeight="1" s="28">
      <c r="A1077" s="181" t="n">
        <v>1063</v>
      </c>
      <c r="B1077" s="181" t="n">
        <v>1062</v>
      </c>
      <c r="C1077" s="181" t="n">
        <v>4609.32</v>
      </c>
      <c r="D1077" s="181" t="n">
        <v>4560.5963</v>
      </c>
      <c r="E1077" s="181" t="n">
        <v>48.7237</v>
      </c>
      <c r="F1077" s="181" t="n">
        <v>2374.003</v>
      </c>
      <c r="G1077" s="181" t="n">
        <v>2.727502</v>
      </c>
      <c r="H1077" s="181" t="n">
        <v>3.810835</v>
      </c>
      <c r="I1077" s="181" t="inlineStr"/>
    </row>
    <row r="1078" ht="15" customHeight="1" s="28">
      <c r="A1078" s="182" t="n">
        <v>1064</v>
      </c>
      <c r="B1078" s="182" t="n">
        <v>1063</v>
      </c>
      <c r="C1078" s="182" t="n">
        <v>4606</v>
      </c>
      <c r="D1078" s="182" t="n">
        <v>4560.3424</v>
      </c>
      <c r="E1078" s="182" t="n">
        <v>45.6576</v>
      </c>
      <c r="F1078" s="182" t="n">
        <v>2084.6198</v>
      </c>
      <c r="G1078" s="182" t="n">
        <v>2.244313</v>
      </c>
      <c r="H1078" s="182" t="n">
        <v>2.938403</v>
      </c>
      <c r="I1078" s="182" t="inlineStr"/>
    </row>
    <row r="1079" ht="15" customHeight="1" s="28">
      <c r="A1079" s="181" t="n">
        <v>1065</v>
      </c>
      <c r="B1079" s="181" t="n">
        <v>1064</v>
      </c>
      <c r="C1079" s="181" t="n">
        <v>4603.74</v>
      </c>
      <c r="D1079" s="181" t="n">
        <v>4560.0885</v>
      </c>
      <c r="E1079" s="181" t="n">
        <v>43.6515</v>
      </c>
      <c r="F1079" s="181" t="n">
        <v>1905.4563</v>
      </c>
      <c r="G1079" s="181" t="n">
        <v>1.961289</v>
      </c>
      <c r="H1079" s="181" t="n">
        <v>2.455023</v>
      </c>
      <c r="I1079" s="181" t="inlineStr"/>
    </row>
    <row r="1080" ht="15" customHeight="1" s="28">
      <c r="A1080" s="182" t="n">
        <v>1066</v>
      </c>
      <c r="B1080" s="182" t="n">
        <v>1065</v>
      </c>
      <c r="C1080" s="182" t="n">
        <v>4596.32</v>
      </c>
      <c r="D1080" s="182" t="n">
        <v>4559.8346</v>
      </c>
      <c r="E1080" s="182" t="n">
        <v>36.4854</v>
      </c>
      <c r="F1080" s="182" t="n">
        <v>1331.1865</v>
      </c>
      <c r="G1080" s="182" t="n">
        <v>1.145253</v>
      </c>
      <c r="H1080" s="182" t="n">
        <v>1.198217</v>
      </c>
      <c r="I1080" s="182" t="inlineStr"/>
    </row>
    <row r="1081" ht="15" customHeight="1" s="28">
      <c r="A1081" s="181" t="n">
        <v>1067</v>
      </c>
      <c r="B1081" s="181" t="n">
        <v>1066</v>
      </c>
      <c r="C1081" s="181" t="n">
        <v>4598.85</v>
      </c>
      <c r="D1081" s="181" t="n">
        <v>4559.5807</v>
      </c>
      <c r="E1081" s="181" t="n">
        <v>39.2693</v>
      </c>
      <c r="F1081" s="181" t="n">
        <v>1542.0798</v>
      </c>
      <c r="G1081" s="181" t="n">
        <v>1.427919</v>
      </c>
      <c r="H1081" s="181" t="n">
        <v>1.607945</v>
      </c>
      <c r="I1081" s="181" t="inlineStr"/>
    </row>
    <row r="1082" ht="15" customHeight="1" s="28">
      <c r="A1082" s="182" t="n">
        <v>1068</v>
      </c>
      <c r="B1082" s="182" t="n">
        <v>1067</v>
      </c>
      <c r="C1082" s="182" t="n">
        <v>4599.12</v>
      </c>
      <c r="D1082" s="182" t="n">
        <v>4559.3268</v>
      </c>
      <c r="E1082" s="182" t="n">
        <v>39.7932</v>
      </c>
      <c r="F1082" s="182" t="n">
        <v>1583.5003</v>
      </c>
      <c r="G1082" s="182" t="n">
        <v>1.485834</v>
      </c>
      <c r="H1082" s="182" t="n">
        <v>1.695485</v>
      </c>
      <c r="I1082" s="182" t="inlineStr"/>
    </row>
    <row r="1083" ht="15" customHeight="1" s="28">
      <c r="A1083" s="181" t="n">
        <v>1069</v>
      </c>
      <c r="B1083" s="181" t="n">
        <v>1068</v>
      </c>
      <c r="C1083" s="181" t="n">
        <v>4597.44</v>
      </c>
      <c r="D1083" s="181" t="n">
        <v>4559.0729</v>
      </c>
      <c r="E1083" s="181" t="n">
        <v>38.3671</v>
      </c>
      <c r="F1083" s="181" t="n">
        <v>1472.0355</v>
      </c>
      <c r="G1083" s="181" t="n">
        <v>1.331744</v>
      </c>
      <c r="H1083" s="181" t="n">
        <v>1.465191</v>
      </c>
      <c r="I1083" s="181" t="inlineStr"/>
    </row>
    <row r="1084" ht="15" customHeight="1" s="28">
      <c r="A1084" s="182" t="n">
        <v>1070</v>
      </c>
      <c r="B1084" s="182" t="n">
        <v>1069</v>
      </c>
      <c r="C1084" s="182" t="n">
        <v>4594.08</v>
      </c>
      <c r="D1084" s="182" t="n">
        <v>4558.819</v>
      </c>
      <c r="E1084" s="182" t="n">
        <v>35.261</v>
      </c>
      <c r="F1084" s="182" t="n">
        <v>1243.3388</v>
      </c>
      <c r="G1084" s="182" t="n">
        <v>1.033778</v>
      </c>
      <c r="H1084" s="182" t="n">
        <v>1.045289</v>
      </c>
      <c r="I1084" s="182" t="inlineStr"/>
    </row>
    <row r="1085" ht="15" customHeight="1" s="28">
      <c r="A1085" s="181" t="n">
        <v>1071</v>
      </c>
      <c r="B1085" s="181" t="n">
        <v>1070</v>
      </c>
      <c r="C1085" s="181" t="n">
        <v>4585.46</v>
      </c>
      <c r="D1085" s="181" t="n">
        <v>4558.5651</v>
      </c>
      <c r="E1085" s="181" t="n">
        <v>26.8949</v>
      </c>
      <c r="F1085" s="181" t="n">
        <v>723.3359</v>
      </c>
      <c r="G1085" s="181" t="n">
        <v>0.458726</v>
      </c>
      <c r="H1085" s="181" t="n">
        <v>0.353784</v>
      </c>
      <c r="I1085" s="181" t="inlineStr"/>
    </row>
    <row r="1086" ht="15" customHeight="1" s="28">
      <c r="A1086" s="182" t="n">
        <v>1072</v>
      </c>
      <c r="B1086" s="182" t="n">
        <v>1071</v>
      </c>
      <c r="C1086" s="182" t="n">
        <v>4588.54</v>
      </c>
      <c r="D1086" s="182" t="n">
        <v>4558.3112</v>
      </c>
      <c r="E1086" s="182" t="n">
        <v>30.2288</v>
      </c>
      <c r="F1086" s="182" t="n">
        <v>913.7804</v>
      </c>
      <c r="G1086" s="182" t="n">
        <v>0.6513370000000001</v>
      </c>
      <c r="H1086" s="182" t="n">
        <v>0.564601</v>
      </c>
      <c r="I1086" s="182" t="inlineStr"/>
    </row>
    <row r="1087" ht="15" customHeight="1" s="28">
      <c r="A1087" s="181" t="n">
        <v>1073</v>
      </c>
      <c r="B1087" s="181" t="n">
        <v>1072</v>
      </c>
      <c r="C1087" s="181" t="n">
        <v>4592.16</v>
      </c>
      <c r="D1087" s="181" t="n">
        <v>4558.0573</v>
      </c>
      <c r="E1087" s="181" t="n">
        <v>34.1027</v>
      </c>
      <c r="F1087" s="181" t="n">
        <v>1162.9939</v>
      </c>
      <c r="G1087" s="181" t="n">
        <v>0.93521</v>
      </c>
      <c r="H1087" s="181" t="n">
        <v>0.914561</v>
      </c>
      <c r="I1087" s="181" t="inlineStr"/>
    </row>
    <row r="1088" ht="15" customHeight="1" s="28">
      <c r="A1088" s="182" t="n">
        <v>1074</v>
      </c>
      <c r="B1088" s="182" t="n">
        <v>1073</v>
      </c>
      <c r="C1088" s="182" t="n">
        <v>4585.82</v>
      </c>
      <c r="D1088" s="182" t="n">
        <v>4557.8034</v>
      </c>
      <c r="E1088" s="182" t="n">
        <v>28.0166</v>
      </c>
      <c r="F1088" s="182" t="n">
        <v>784.9294</v>
      </c>
      <c r="G1088" s="182" t="n">
        <v>0.518548</v>
      </c>
      <c r="H1088" s="182" t="n">
        <v>0.4166</v>
      </c>
      <c r="I1088" s="182" t="inlineStr"/>
    </row>
    <row r="1089" ht="15" customHeight="1" s="28">
      <c r="A1089" s="181" t="n">
        <v>1075</v>
      </c>
      <c r="B1089" s="181" t="n">
        <v>1074</v>
      </c>
      <c r="C1089" s="181" t="n">
        <v>4587.99</v>
      </c>
      <c r="D1089" s="181" t="n">
        <v>4557.5495</v>
      </c>
      <c r="E1089" s="181" t="n">
        <v>30.4405</v>
      </c>
      <c r="F1089" s="181" t="n">
        <v>926.6233</v>
      </c>
      <c r="G1089" s="181" t="n">
        <v>0.665117</v>
      </c>
      <c r="H1089" s="181" t="n">
        <v>0.580583</v>
      </c>
      <c r="I1089" s="181" t="inlineStr"/>
    </row>
    <row r="1090" ht="15" customHeight="1" s="28">
      <c r="A1090" s="182" t="n">
        <v>1076</v>
      </c>
      <c r="B1090" s="182" t="n">
        <v>1075</v>
      </c>
      <c r="C1090" s="182" t="n">
        <v>4579.06</v>
      </c>
      <c r="D1090" s="182" t="n">
        <v>4557.2956</v>
      </c>
      <c r="E1090" s="182" t="n">
        <v>21.7644</v>
      </c>
      <c r="F1090" s="182" t="n">
        <v>473.6884</v>
      </c>
      <c r="G1090" s="182" t="n">
        <v>0.243098</v>
      </c>
      <c r="H1090" s="182" t="n">
        <v>0.15172</v>
      </c>
      <c r="I1090" s="182" t="inlineStr"/>
    </row>
    <row r="1091" ht="15" customHeight="1" s="28">
      <c r="A1091" s="181" t="n">
        <v>1077</v>
      </c>
      <c r="B1091" s="181" t="n">
        <v>1076</v>
      </c>
      <c r="C1091" s="181" t="n">
        <v>4580.25</v>
      </c>
      <c r="D1091" s="181" t="n">
        <v>4557.0417</v>
      </c>
      <c r="E1091" s="181" t="n">
        <v>23.2083</v>
      </c>
      <c r="F1091" s="181" t="n">
        <v>538.6242</v>
      </c>
      <c r="G1091" s="181" t="n">
        <v>0.294762</v>
      </c>
      <c r="H1091" s="181" t="n">
        <v>0.196169</v>
      </c>
      <c r="I1091" s="181" t="inlineStr"/>
    </row>
    <row r="1092" ht="15" customHeight="1" s="28">
      <c r="A1092" s="182" t="n">
        <v>1078</v>
      </c>
      <c r="B1092" s="182" t="n">
        <v>1077</v>
      </c>
      <c r="C1092" s="182" t="n">
        <v>4575.07</v>
      </c>
      <c r="D1092" s="182" t="n">
        <v>4556.7878</v>
      </c>
      <c r="E1092" s="182" t="n">
        <v>18.2822</v>
      </c>
      <c r="F1092" s="182" t="n">
        <v>334.2379</v>
      </c>
      <c r="G1092" s="182" t="n">
        <v>0.144088</v>
      </c>
      <c r="H1092" s="182" t="n">
        <v>0.075539</v>
      </c>
      <c r="I1092" s="182" t="inlineStr"/>
    </row>
    <row r="1093" ht="15" customHeight="1" s="28">
      <c r="A1093" s="181" t="n">
        <v>1079</v>
      </c>
      <c r="B1093" s="181" t="n">
        <v>1078</v>
      </c>
      <c r="C1093" s="181" t="n">
        <v>4578.09</v>
      </c>
      <c r="D1093" s="181" t="n">
        <v>4556.5339</v>
      </c>
      <c r="E1093" s="181" t="n">
        <v>21.5561</v>
      </c>
      <c r="F1093" s="181" t="n">
        <v>464.6641</v>
      </c>
      <c r="G1093" s="181" t="n">
        <v>0.236185</v>
      </c>
      <c r="H1093" s="181" t="n">
        <v>0.145994</v>
      </c>
      <c r="I1093" s="181" t="inlineStr"/>
    </row>
    <row r="1094" ht="15" customHeight="1" s="28">
      <c r="A1094" s="182" t="n">
        <v>1080</v>
      </c>
      <c r="B1094" s="182" t="n">
        <v>1079</v>
      </c>
      <c r="C1094" s="182" t="n">
        <v>4577.11</v>
      </c>
      <c r="D1094" s="182" t="n">
        <v>4556.28</v>
      </c>
      <c r="E1094" s="182" t="n">
        <v>20.83</v>
      </c>
      <c r="F1094" s="182" t="n">
        <v>433.8874</v>
      </c>
      <c r="G1094" s="182" t="n">
        <v>0.213112</v>
      </c>
      <c r="H1094" s="182" t="n">
        <v>0.127295</v>
      </c>
      <c r="I1094" s="182" t="inlineStr"/>
    </row>
    <row r="1095" ht="15" customHeight="1" s="28">
      <c r="A1095" s="181" t="n">
        <v>1081</v>
      </c>
      <c r="B1095" s="181" t="n">
        <v>1080</v>
      </c>
      <c r="C1095" s="181" t="n">
        <v>4584.21</v>
      </c>
      <c r="D1095" s="181" t="n">
        <v>4556.0261</v>
      </c>
      <c r="E1095" s="181" t="n">
        <v>28.1839</v>
      </c>
      <c r="F1095" s="181" t="n">
        <v>794.33</v>
      </c>
      <c r="G1095" s="181" t="n">
        <v>0.527891</v>
      </c>
      <c r="H1095" s="181" t="n">
        <v>0.426638</v>
      </c>
      <c r="I1095" s="181" t="inlineStr"/>
    </row>
    <row r="1096" ht="15" customHeight="1" s="28">
      <c r="A1096" s="182" t="n">
        <v>1082</v>
      </c>
      <c r="B1096" s="182" t="n">
        <v>1081</v>
      </c>
      <c r="C1096" s="182" t="n">
        <v>4581.15</v>
      </c>
      <c r="D1096" s="182" t="n">
        <v>4555.7722</v>
      </c>
      <c r="E1096" s="182" t="n">
        <v>25.3778</v>
      </c>
      <c r="F1096" s="182" t="n">
        <v>644.0305</v>
      </c>
      <c r="G1096" s="182" t="n">
        <v>0.385392</v>
      </c>
      <c r="H1096" s="182" t="n">
        <v>0.28046</v>
      </c>
      <c r="I1096" s="182" t="inlineStr"/>
    </row>
    <row r="1097" ht="15" customHeight="1" s="28">
      <c r="A1097" s="181" t="n">
        <v>1083</v>
      </c>
      <c r="B1097" s="181" t="n">
        <v>1082</v>
      </c>
      <c r="C1097" s="181" t="n">
        <v>4581.26</v>
      </c>
      <c r="D1097" s="181" t="n">
        <v>4555.5183</v>
      </c>
      <c r="E1097" s="181" t="n">
        <v>25.7417</v>
      </c>
      <c r="F1097" s="181" t="n">
        <v>662.6326</v>
      </c>
      <c r="G1097" s="181" t="n">
        <v>0.40221</v>
      </c>
      <c r="H1097" s="181" t="n">
        <v>0.296895</v>
      </c>
      <c r="I1097" s="181" t="inlineStr"/>
    </row>
    <row r="1098" ht="15" customHeight="1" s="28">
      <c r="A1098" s="182" t="n">
        <v>1084</v>
      </c>
      <c r="B1098" s="182" t="n">
        <v>1083</v>
      </c>
      <c r="C1098" s="182" t="n">
        <v>4575.47</v>
      </c>
      <c r="D1098" s="182" t="n">
        <v>4555.2645</v>
      </c>
      <c r="E1098" s="182" t="n">
        <v>20.2055</v>
      </c>
      <c r="F1098" s="182" t="n">
        <v>408.2641</v>
      </c>
      <c r="G1098" s="182" t="n">
        <v>0.194516</v>
      </c>
      <c r="H1098" s="182" t="n">
        <v>0.112704</v>
      </c>
      <c r="I1098" s="182" t="inlineStr"/>
    </row>
    <row r="1099" ht="15" customHeight="1" s="28">
      <c r="A1099" s="181" t="n">
        <v>1085</v>
      </c>
      <c r="B1099" s="181" t="n">
        <v>1084</v>
      </c>
      <c r="C1099" s="181" t="n">
        <v>4541.79</v>
      </c>
      <c r="D1099" s="181" t="n">
        <v>4555.0106</v>
      </c>
      <c r="E1099" s="181" t="n">
        <v>-13.2206</v>
      </c>
      <c r="F1099" s="181" t="n">
        <v>174.7831</v>
      </c>
      <c r="G1099" s="181" t="n">
        <v>-0.054487</v>
      </c>
      <c r="H1099" s="181" t="n">
        <v>0.020656</v>
      </c>
      <c r="I1099" s="181" t="inlineStr"/>
    </row>
    <row r="1100" ht="15" customHeight="1" s="28">
      <c r="A1100" s="182" t="n">
        <v>1086</v>
      </c>
      <c r="B1100" s="182" t="n">
        <v>1085</v>
      </c>
      <c r="C1100" s="182" t="n">
        <v>4545</v>
      </c>
      <c r="D1100" s="182" t="n">
        <v>4554.7567</v>
      </c>
      <c r="E1100" s="182" t="n">
        <v>-9.7567</v>
      </c>
      <c r="F1100" s="182" t="n">
        <v>95.1925</v>
      </c>
      <c r="G1100" s="182" t="n">
        <v>-0.0219</v>
      </c>
      <c r="H1100" s="182" t="n">
        <v>0.006127</v>
      </c>
      <c r="I1100" s="182" t="inlineStr"/>
    </row>
    <row r="1101" ht="15" customHeight="1" s="28">
      <c r="A1101" s="181" t="n">
        <v>1087</v>
      </c>
      <c r="B1101" s="181" t="n">
        <v>1086</v>
      </c>
      <c r="C1101" s="181" t="n">
        <v>4558.64</v>
      </c>
      <c r="D1101" s="181" t="n">
        <v>4554.5028</v>
      </c>
      <c r="E1101" s="181" t="n">
        <v>4.1372</v>
      </c>
      <c r="F1101" s="181" t="n">
        <v>17.1167</v>
      </c>
      <c r="G1101" s="181" t="n">
        <v>0.00167</v>
      </c>
      <c r="H1101" s="181" t="n">
        <v>0.000198</v>
      </c>
      <c r="I1101" s="181" t="inlineStr"/>
    </row>
    <row r="1102" ht="15" customHeight="1" s="28">
      <c r="A1102" s="182" t="n">
        <v>1088</v>
      </c>
      <c r="B1102" s="182" t="n">
        <v>1087</v>
      </c>
      <c r="C1102" s="182" t="n">
        <v>4562.67</v>
      </c>
      <c r="D1102" s="182" t="n">
        <v>4554.2489</v>
      </c>
      <c r="E1102" s="182" t="n">
        <v>8.421099999999999</v>
      </c>
      <c r="F1102" s="182" t="n">
        <v>70.91540000000001</v>
      </c>
      <c r="G1102" s="182" t="n">
        <v>0.014082</v>
      </c>
      <c r="H1102" s="182" t="n">
        <v>0.0034</v>
      </c>
      <c r="I1102" s="182" t="inlineStr"/>
    </row>
    <row r="1103" ht="15" customHeight="1" s="28">
      <c r="A1103" s="181" t="n">
        <v>1089</v>
      </c>
      <c r="B1103" s="181" t="n">
        <v>1088</v>
      </c>
      <c r="C1103" s="181" t="n">
        <v>4565.34</v>
      </c>
      <c r="D1103" s="181" t="n">
        <v>4553.995</v>
      </c>
      <c r="E1103" s="181" t="n">
        <v>11.345</v>
      </c>
      <c r="F1103" s="181" t="n">
        <v>128.7096</v>
      </c>
      <c r="G1103" s="181" t="n">
        <v>0.034432</v>
      </c>
      <c r="H1103" s="181" t="n">
        <v>0.011202</v>
      </c>
      <c r="I1103" s="181" t="inlineStr"/>
    </row>
    <row r="1104" ht="15" customHeight="1" s="28">
      <c r="A1104" s="182" t="n">
        <v>1090</v>
      </c>
      <c r="B1104" s="182" t="n">
        <v>1089</v>
      </c>
      <c r="C1104" s="182" t="n">
        <v>4562.26</v>
      </c>
      <c r="D1104" s="182" t="n">
        <v>4553.7411</v>
      </c>
      <c r="E1104" s="182" t="n">
        <v>8.5189</v>
      </c>
      <c r="F1104" s="182" t="n">
        <v>72.572</v>
      </c>
      <c r="G1104" s="182" t="n">
        <v>0.014578</v>
      </c>
      <c r="H1104" s="182" t="n">
        <v>0.003561</v>
      </c>
      <c r="I1104" s="182" t="inlineStr"/>
    </row>
    <row r="1105" ht="15" customHeight="1" s="28">
      <c r="A1105" s="181" t="n">
        <v>1091</v>
      </c>
      <c r="B1105" s="181" t="n">
        <v>1090</v>
      </c>
      <c r="C1105" s="181" t="n">
        <v>4553.65</v>
      </c>
      <c r="D1105" s="181" t="n">
        <v>4553.4872</v>
      </c>
      <c r="E1105" s="181" t="n">
        <v>0.1628</v>
      </c>
      <c r="F1105" s="181" t="n">
        <v>0.0265</v>
      </c>
      <c r="G1105" s="181" t="n">
        <v>0</v>
      </c>
      <c r="H1105" s="181" t="n">
        <v>0</v>
      </c>
      <c r="I1105" s="181" t="inlineStr"/>
    </row>
    <row r="1106" ht="15" customHeight="1" s="28">
      <c r="A1106" s="182" t="n">
        <v>1092</v>
      </c>
      <c r="B1106" s="182" t="n">
        <v>1091</v>
      </c>
      <c r="C1106" s="182" t="n">
        <v>4559.94</v>
      </c>
      <c r="D1106" s="182" t="n">
        <v>4553.2333</v>
      </c>
      <c r="E1106" s="182" t="n">
        <v>6.7067</v>
      </c>
      <c r="F1106" s="182" t="n">
        <v>44.98</v>
      </c>
      <c r="G1106" s="182" t="n">
        <v>0.007113</v>
      </c>
      <c r="H1106" s="182" t="n">
        <v>0.001368</v>
      </c>
      <c r="I1106" s="182" t="inlineStr"/>
    </row>
    <row r="1107" ht="15" customHeight="1" s="28">
      <c r="A1107" s="181" t="n">
        <v>1093</v>
      </c>
      <c r="B1107" s="181" t="n">
        <v>1092</v>
      </c>
      <c r="C1107" s="181" t="n">
        <v>4563.67</v>
      </c>
      <c r="D1107" s="181" t="n">
        <v>4552.9794</v>
      </c>
      <c r="E1107" s="181" t="n">
        <v>10.6906</v>
      </c>
      <c r="F1107" s="181" t="n">
        <v>114.2891</v>
      </c>
      <c r="G1107" s="181" t="n">
        <v>0.02881</v>
      </c>
      <c r="H1107" s="181" t="n">
        <v>0.008832</v>
      </c>
      <c r="I1107" s="181" t="inlineStr"/>
    </row>
    <row r="1108" ht="15" customHeight="1" s="28">
      <c r="A1108" s="182" t="n">
        <v>1094</v>
      </c>
      <c r="B1108" s="182" t="n">
        <v>1093</v>
      </c>
      <c r="C1108" s="182" t="n">
        <v>4568.68</v>
      </c>
      <c r="D1108" s="182" t="n">
        <v>4552.7255</v>
      </c>
      <c r="E1108" s="182" t="n">
        <v>15.9545</v>
      </c>
      <c r="F1108" s="182" t="n">
        <v>254.5461</v>
      </c>
      <c r="G1108" s="182" t="n">
        <v>0.095762</v>
      </c>
      <c r="H1108" s="182" t="n">
        <v>0.043812</v>
      </c>
      <c r="I1108" s="182" t="inlineStr"/>
    </row>
    <row r="1109" ht="15" customHeight="1" s="28">
      <c r="A1109" s="181" t="n">
        <v>1095</v>
      </c>
      <c r="B1109" s="181" t="n">
        <v>1094</v>
      </c>
      <c r="C1109" s="181" t="n">
        <v>4570.1</v>
      </c>
      <c r="D1109" s="181" t="n">
        <v>4552.4716</v>
      </c>
      <c r="E1109" s="181" t="n">
        <v>17.6284</v>
      </c>
      <c r="F1109" s="181" t="n">
        <v>310.7604</v>
      </c>
      <c r="G1109" s="181" t="n">
        <v>0.129176</v>
      </c>
      <c r="H1109" s="181" t="n">
        <v>0.065299</v>
      </c>
      <c r="I1109" s="181" t="inlineStr"/>
    </row>
    <row r="1110" ht="15" customHeight="1" s="28">
      <c r="A1110" s="182" t="n">
        <v>1096</v>
      </c>
      <c r="B1110" s="182" t="n">
        <v>1095</v>
      </c>
      <c r="C1110" s="182" t="n">
        <v>4568.79</v>
      </c>
      <c r="D1110" s="182" t="n">
        <v>4552.2177</v>
      </c>
      <c r="E1110" s="182" t="n">
        <v>16.5723</v>
      </c>
      <c r="F1110" s="182" t="n">
        <v>274.6409</v>
      </c>
      <c r="G1110" s="182" t="n">
        <v>0.107323</v>
      </c>
      <c r="H1110" s="182" t="n">
        <v>0.051002</v>
      </c>
      <c r="I1110" s="182" t="inlineStr"/>
    </row>
    <row r="1111" ht="15" customHeight="1" s="28">
      <c r="A1111" s="181" t="n">
        <v>1097</v>
      </c>
      <c r="B1111" s="181" t="n">
        <v>1096</v>
      </c>
      <c r="C1111" s="181" t="n">
        <v>4565.98</v>
      </c>
      <c r="D1111" s="181" t="n">
        <v>4551.9638</v>
      </c>
      <c r="E1111" s="181" t="n">
        <v>14.0162</v>
      </c>
      <c r="F1111" s="181" t="n">
        <v>196.4535</v>
      </c>
      <c r="G1111" s="181" t="n">
        <v>0.064928</v>
      </c>
      <c r="H1111" s="181" t="n">
        <v>0.026096</v>
      </c>
      <c r="I1111" s="181" t="inlineStr"/>
    </row>
    <row r="1112" ht="15" customHeight="1" s="28">
      <c r="A1112" s="182" t="n">
        <v>1098</v>
      </c>
      <c r="B1112" s="182" t="n">
        <v>1097</v>
      </c>
      <c r="C1112" s="182" t="n">
        <v>4561.09</v>
      </c>
      <c r="D1112" s="182" t="n">
        <v>4551.7099</v>
      </c>
      <c r="E1112" s="182" t="n">
        <v>9.380100000000001</v>
      </c>
      <c r="F1112" s="182" t="n">
        <v>87.986</v>
      </c>
      <c r="G1112" s="182" t="n">
        <v>0.019461</v>
      </c>
      <c r="H1112" s="182" t="n">
        <v>0.005235</v>
      </c>
      <c r="I1112" s="182" t="inlineStr"/>
    </row>
    <row r="1113" ht="15" customHeight="1" s="28">
      <c r="A1113" s="181" t="n">
        <v>1099</v>
      </c>
      <c r="B1113" s="181" t="n">
        <v>1098</v>
      </c>
      <c r="C1113" s="181" t="n">
        <v>4565.51</v>
      </c>
      <c r="D1113" s="181" t="n">
        <v>4551.456</v>
      </c>
      <c r="E1113" s="181" t="n">
        <v>14.054</v>
      </c>
      <c r="F1113" s="181" t="n">
        <v>197.5143</v>
      </c>
      <c r="G1113" s="181" t="n">
        <v>0.065455</v>
      </c>
      <c r="H1113" s="181" t="n">
        <v>0.026379</v>
      </c>
      <c r="I1113" s="181" t="inlineStr"/>
    </row>
    <row r="1114" ht="15" customHeight="1" s="28">
      <c r="A1114" s="182" t="n">
        <v>1100</v>
      </c>
      <c r="B1114" s="182" t="n">
        <v>1099</v>
      </c>
      <c r="C1114" s="182" t="n">
        <v>4563.85</v>
      </c>
      <c r="D1114" s="182" t="n">
        <v>4551.2021</v>
      </c>
      <c r="E1114" s="182" t="n">
        <v>12.6479</v>
      </c>
      <c r="F1114" s="182" t="n">
        <v>159.9687</v>
      </c>
      <c r="G1114" s="182" t="n">
        <v>0.047709</v>
      </c>
      <c r="H1114" s="182" t="n">
        <v>0.017303</v>
      </c>
      <c r="I1114" s="182" t="inlineStr"/>
    </row>
    <row r="1115" ht="15" customHeight="1" s="28">
      <c r="A1115" s="181" t="n">
        <v>1101</v>
      </c>
      <c r="B1115" s="181" t="n">
        <v>1100</v>
      </c>
      <c r="C1115" s="181" t="n">
        <v>4560.18</v>
      </c>
      <c r="D1115" s="181" t="n">
        <v>4550.9482</v>
      </c>
      <c r="E1115" s="181" t="n">
        <v>9.2318</v>
      </c>
      <c r="F1115" s="181" t="n">
        <v>85.2256</v>
      </c>
      <c r="G1115" s="181" t="n">
        <v>0.018552</v>
      </c>
      <c r="H1115" s="181" t="n">
        <v>0.004911</v>
      </c>
      <c r="I1115" s="181" t="inlineStr"/>
    </row>
    <row r="1116" ht="15" customHeight="1" s="28">
      <c r="A1116" s="182" t="n">
        <v>1102</v>
      </c>
      <c r="B1116" s="182" t="n">
        <v>1101</v>
      </c>
      <c r="C1116" s="182" t="n">
        <v>4571.2</v>
      </c>
      <c r="D1116" s="182" t="n">
        <v>4550.6943</v>
      </c>
      <c r="E1116" s="182" t="n">
        <v>20.5057</v>
      </c>
      <c r="F1116" s="182" t="n">
        <v>420.4823</v>
      </c>
      <c r="G1116" s="182" t="n">
        <v>0.203313</v>
      </c>
      <c r="H1116" s="182" t="n">
        <v>0.119551</v>
      </c>
      <c r="I1116" s="182" t="inlineStr"/>
    </row>
    <row r="1117" ht="15" customHeight="1" s="28">
      <c r="A1117" s="181" t="n">
        <v>1103</v>
      </c>
      <c r="B1117" s="181" t="n">
        <v>1102</v>
      </c>
      <c r="C1117" s="181" t="n">
        <v>4574.38</v>
      </c>
      <c r="D1117" s="181" t="n">
        <v>4550.4404</v>
      </c>
      <c r="E1117" s="181" t="n">
        <v>23.9396</v>
      </c>
      <c r="F1117" s="181" t="n">
        <v>573.1026000000001</v>
      </c>
      <c r="G1117" s="181" t="n">
        <v>0.323513</v>
      </c>
      <c r="H1117" s="181" t="n">
        <v>0.222087</v>
      </c>
      <c r="I1117" s="181" t="inlineStr"/>
    </row>
    <row r="1118" ht="15" customHeight="1" s="28">
      <c r="A1118" s="182" t="n">
        <v>1104</v>
      </c>
      <c r="B1118" s="182" t="n">
        <v>1103</v>
      </c>
      <c r="C1118" s="182" t="n">
        <v>4561.26</v>
      </c>
      <c r="D1118" s="182" t="n">
        <v>4550.1865</v>
      </c>
      <c r="E1118" s="182" t="n">
        <v>11.0735</v>
      </c>
      <c r="F1118" s="182" t="n">
        <v>122.6214</v>
      </c>
      <c r="G1118" s="182" t="n">
        <v>0.032018</v>
      </c>
      <c r="H1118" s="182" t="n">
        <v>0.010167</v>
      </c>
      <c r="I1118" s="182" t="inlineStr"/>
    </row>
    <row r="1119" ht="15" customHeight="1" s="28">
      <c r="A1119" s="181" t="n">
        <v>1105</v>
      </c>
      <c r="B1119" s="181" t="n">
        <v>1104</v>
      </c>
      <c r="C1119" s="181" t="n">
        <v>4548.46</v>
      </c>
      <c r="D1119" s="181" t="n">
        <v>4549.9326</v>
      </c>
      <c r="E1119" s="181" t="n">
        <v>-1.4726</v>
      </c>
      <c r="F1119" s="181" t="n">
        <v>2.1687</v>
      </c>
      <c r="G1119" s="181" t="n">
        <v>-7.499999999999999e-05</v>
      </c>
      <c r="H1119" s="181" t="n">
        <v>3e-06</v>
      </c>
      <c r="I1119" s="181" t="inlineStr"/>
    </row>
    <row r="1120" ht="15" customHeight="1" s="28">
      <c r="A1120" s="182" t="n">
        <v>1106</v>
      </c>
      <c r="B1120" s="182" t="n">
        <v>1105</v>
      </c>
      <c r="C1120" s="182" t="n">
        <v>4537.95</v>
      </c>
      <c r="D1120" s="182" t="n">
        <v>4549.6788</v>
      </c>
      <c r="E1120" s="182" t="n">
        <v>-11.7288</v>
      </c>
      <c r="F1120" s="182" t="n">
        <v>137.5636</v>
      </c>
      <c r="G1120" s="182" t="n">
        <v>-0.038045</v>
      </c>
      <c r="H1120" s="182" t="n">
        <v>0.012796</v>
      </c>
      <c r="I1120" s="182" t="inlineStr"/>
    </row>
    <row r="1121" ht="15" customHeight="1" s="28">
      <c r="A1121" s="181" t="n">
        <v>1107</v>
      </c>
      <c r="B1121" s="181" t="n">
        <v>1106</v>
      </c>
      <c r="C1121" s="181" t="n">
        <v>4535.1</v>
      </c>
      <c r="D1121" s="181" t="n">
        <v>4549.4249</v>
      </c>
      <c r="E1121" s="181" t="n">
        <v>-14.3249</v>
      </c>
      <c r="F1121" s="181" t="n">
        <v>205.2015</v>
      </c>
      <c r="G1121" s="181" t="n">
        <v>-0.069313</v>
      </c>
      <c r="H1121" s="181" t="n">
        <v>0.028472</v>
      </c>
      <c r="I1121" s="181" t="inlineStr"/>
    </row>
    <row r="1122" ht="15" customHeight="1" s="28">
      <c r="A1122" s="182" t="n">
        <v>1108</v>
      </c>
      <c r="B1122" s="182" t="n">
        <v>1107</v>
      </c>
      <c r="C1122" s="182" t="n">
        <v>4521.33</v>
      </c>
      <c r="D1122" s="182" t="n">
        <v>4549.171</v>
      </c>
      <c r="E1122" s="182" t="n">
        <v>-27.841</v>
      </c>
      <c r="F1122" s="182" t="n">
        <v>775.1191</v>
      </c>
      <c r="G1122" s="182" t="n">
        <v>-0.508857</v>
      </c>
      <c r="H1122" s="182" t="n">
        <v>0.406251</v>
      </c>
      <c r="I1122" s="182" t="inlineStr"/>
    </row>
    <row r="1123" ht="15" customHeight="1" s="28">
      <c r="A1123" s="181" t="n">
        <v>1109</v>
      </c>
      <c r="B1123" s="181" t="n">
        <v>1108</v>
      </c>
      <c r="C1123" s="181" t="n">
        <v>4509.88</v>
      </c>
      <c r="D1123" s="181" t="n">
        <v>4548.9171</v>
      </c>
      <c r="E1123" s="181" t="n">
        <v>-39.0371</v>
      </c>
      <c r="F1123" s="181" t="n">
        <v>1523.8925</v>
      </c>
      <c r="G1123" s="181" t="n">
        <v>-1.402732</v>
      </c>
      <c r="H1123" s="181" t="n">
        <v>1.570241</v>
      </c>
      <c r="I1123" s="181" t="inlineStr"/>
    </row>
    <row r="1124" ht="15" customHeight="1" s="28">
      <c r="A1124" s="182" t="n">
        <v>1110</v>
      </c>
      <c r="B1124" s="182" t="n">
        <v>1109</v>
      </c>
      <c r="C1124" s="182" t="n">
        <v>4515.03</v>
      </c>
      <c r="D1124" s="182" t="n">
        <v>4548.6632</v>
      </c>
      <c r="E1124" s="182" t="n">
        <v>-33.6332</v>
      </c>
      <c r="F1124" s="182" t="n">
        <v>1131.1901</v>
      </c>
      <c r="G1124" s="182" t="n">
        <v>-0.897112</v>
      </c>
      <c r="H1124" s="182" t="n">
        <v>0.865224</v>
      </c>
      <c r="I1124" s="182" t="inlineStr"/>
    </row>
    <row r="1125" ht="15" customHeight="1" s="28">
      <c r="A1125" s="181" t="n">
        <v>1111</v>
      </c>
      <c r="B1125" s="181" t="n">
        <v>1110</v>
      </c>
      <c r="C1125" s="181" t="n">
        <v>4512.59</v>
      </c>
      <c r="D1125" s="181" t="n">
        <v>4548.4093</v>
      </c>
      <c r="E1125" s="181" t="n">
        <v>-35.8193</v>
      </c>
      <c r="F1125" s="181" t="n">
        <v>1283.0204</v>
      </c>
      <c r="G1125" s="181" t="n">
        <v>-1.083661</v>
      </c>
      <c r="H1125" s="181" t="n">
        <v>1.113076</v>
      </c>
      <c r="I1125" s="181" t="inlineStr"/>
    </row>
    <row r="1126" ht="15" customHeight="1" s="28">
      <c r="A1126" s="182" t="n">
        <v>1112</v>
      </c>
      <c r="B1126" s="182" t="n">
        <v>1111</v>
      </c>
      <c r="C1126" s="182" t="n">
        <v>4510.69</v>
      </c>
      <c r="D1126" s="182" t="n">
        <v>4548.1554</v>
      </c>
      <c r="E1126" s="182" t="n">
        <v>-37.4654</v>
      </c>
      <c r="F1126" s="182" t="n">
        <v>1403.6546</v>
      </c>
      <c r="G1126" s="182" t="n">
        <v>-1.240034</v>
      </c>
      <c r="H1126" s="182" t="n">
        <v>1.332227</v>
      </c>
      <c r="I1126" s="182" t="inlineStr"/>
    </row>
    <row r="1127" ht="15" customHeight="1" s="28">
      <c r="A1127" s="181" t="n">
        <v>1113</v>
      </c>
      <c r="B1127" s="181" t="n">
        <v>1112</v>
      </c>
      <c r="C1127" s="181" t="n">
        <v>4522.39</v>
      </c>
      <c r="D1127" s="181" t="n">
        <v>4547.9015</v>
      </c>
      <c r="E1127" s="181" t="n">
        <v>-25.5115</v>
      </c>
      <c r="F1127" s="181" t="n">
        <v>650.8357999999999</v>
      </c>
      <c r="G1127" s="181" t="n">
        <v>-0.391517</v>
      </c>
      <c r="H1127" s="181" t="n">
        <v>0.286418</v>
      </c>
      <c r="I1127" s="181" t="inlineStr"/>
    </row>
    <row r="1128" ht="15" customHeight="1" s="28">
      <c r="A1128" s="182" t="n">
        <v>1114</v>
      </c>
      <c r="B1128" s="182" t="n">
        <v>1113</v>
      </c>
      <c r="C1128" s="182" t="n">
        <v>4524.38</v>
      </c>
      <c r="D1128" s="182" t="n">
        <v>4547.6476</v>
      </c>
      <c r="E1128" s="182" t="n">
        <v>-23.2676</v>
      </c>
      <c r="F1128" s="182" t="n">
        <v>541.3807</v>
      </c>
      <c r="G1128" s="182" t="n">
        <v>-0.297028</v>
      </c>
      <c r="H1128" s="182" t="n">
        <v>0.198181</v>
      </c>
      <c r="I1128" s="182" t="inlineStr"/>
    </row>
    <row r="1129" ht="15" customHeight="1" s="28">
      <c r="A1129" s="181" t="n">
        <v>1115</v>
      </c>
      <c r="B1129" s="181" t="n">
        <v>1114</v>
      </c>
      <c r="C1129" s="181" t="n">
        <v>4526.1</v>
      </c>
      <c r="D1129" s="181" t="n">
        <v>4547.3937</v>
      </c>
      <c r="E1129" s="181" t="n">
        <v>-21.2937</v>
      </c>
      <c r="F1129" s="181" t="n">
        <v>453.4213</v>
      </c>
      <c r="G1129" s="181" t="n">
        <v>-0.227665</v>
      </c>
      <c r="H1129" s="181" t="n">
        <v>0.139015</v>
      </c>
      <c r="I1129" s="181" t="inlineStr"/>
    </row>
    <row r="1130" ht="15" customHeight="1" s="28">
      <c r="A1130" s="182" t="n">
        <v>1116</v>
      </c>
      <c r="B1130" s="182" t="n">
        <v>1115</v>
      </c>
      <c r="C1130" s="182" t="n">
        <v>4522.35</v>
      </c>
      <c r="D1130" s="182" t="n">
        <v>4547.1398</v>
      </c>
      <c r="E1130" s="182" t="n">
        <v>-24.7898</v>
      </c>
      <c r="F1130" s="182" t="n">
        <v>614.534</v>
      </c>
      <c r="G1130" s="182" t="n">
        <v>-0.359221</v>
      </c>
      <c r="H1130" s="182" t="n">
        <v>0.255358</v>
      </c>
      <c r="I1130" s="182" t="inlineStr"/>
    </row>
    <row r="1131" ht="15" customHeight="1" s="28">
      <c r="A1131" s="181" t="n">
        <v>1117</v>
      </c>
      <c r="B1131" s="181" t="n">
        <v>1116</v>
      </c>
      <c r="C1131" s="181" t="n">
        <v>4520.01</v>
      </c>
      <c r="D1131" s="181" t="n">
        <v>4546.8859</v>
      </c>
      <c r="E1131" s="181" t="n">
        <v>-26.8759</v>
      </c>
      <c r="F1131" s="181" t="n">
        <v>722.3141000000001</v>
      </c>
      <c r="G1131" s="181" t="n">
        <v>-0.457754</v>
      </c>
      <c r="H1131" s="181" t="n">
        <v>0.352785</v>
      </c>
      <c r="I1131" s="181" t="inlineStr"/>
    </row>
    <row r="1132" ht="15" customHeight="1" s="28">
      <c r="A1132" s="182" t="n">
        <v>1118</v>
      </c>
      <c r="B1132" s="182" t="n">
        <v>1117</v>
      </c>
      <c r="C1132" s="182" t="n">
        <v>4511.95</v>
      </c>
      <c r="D1132" s="182" t="n">
        <v>4546.632</v>
      </c>
      <c r="E1132" s="182" t="n">
        <v>-34.682</v>
      </c>
      <c r="F1132" s="182" t="n">
        <v>1202.8415</v>
      </c>
      <c r="G1132" s="182" t="n">
        <v>-0.983684</v>
      </c>
      <c r="H1132" s="182" t="n">
        <v>0.978305</v>
      </c>
      <c r="I1132" s="182" t="inlineStr"/>
    </row>
    <row r="1133" ht="15" customHeight="1" s="28">
      <c r="A1133" s="181" t="n">
        <v>1119</v>
      </c>
      <c r="B1133" s="181" t="n">
        <v>1118</v>
      </c>
      <c r="C1133" s="181" t="n">
        <v>4511.86</v>
      </c>
      <c r="D1133" s="181" t="n">
        <v>4546.3781</v>
      </c>
      <c r="E1133" s="181" t="n">
        <v>-34.5181</v>
      </c>
      <c r="F1133" s="181" t="n">
        <v>1191.5</v>
      </c>
      <c r="G1133" s="181" t="n">
        <v>-0.969805</v>
      </c>
      <c r="H1133" s="181" t="n">
        <v>0.959943</v>
      </c>
      <c r="I1133" s="181" t="inlineStr"/>
    </row>
    <row r="1134" ht="15" customHeight="1" s="28">
      <c r="A1134" s="182" t="n">
        <v>1120</v>
      </c>
      <c r="B1134" s="182" t="n">
        <v>1119</v>
      </c>
      <c r="C1134" s="182" t="n">
        <v>4516.4</v>
      </c>
      <c r="D1134" s="182" t="n">
        <v>4546.1242</v>
      </c>
      <c r="E1134" s="182" t="n">
        <v>-29.7242</v>
      </c>
      <c r="F1134" s="182" t="n">
        <v>883.529</v>
      </c>
      <c r="G1134" s="182" t="n">
        <v>-0.619262</v>
      </c>
      <c r="H1134" s="182" t="n">
        <v>0.527836</v>
      </c>
      <c r="I1134" s="182" t="inlineStr"/>
    </row>
    <row r="1135" ht="15" customHeight="1" s="28">
      <c r="A1135" s="181" t="n">
        <v>1121</v>
      </c>
      <c r="B1135" s="181" t="n">
        <v>1120</v>
      </c>
      <c r="C1135" s="181" t="n">
        <v>4519.05</v>
      </c>
      <c r="D1135" s="181" t="n">
        <v>4545.8703</v>
      </c>
      <c r="E1135" s="181" t="n">
        <v>-26.8203</v>
      </c>
      <c r="F1135" s="181" t="n">
        <v>719.3295000000001</v>
      </c>
      <c r="G1135" s="181" t="n">
        <v>-0.45492</v>
      </c>
      <c r="H1135" s="181" t="n">
        <v>0.349875</v>
      </c>
      <c r="I1135" s="181" t="inlineStr"/>
    </row>
    <row r="1136" ht="15" customHeight="1" s="28">
      <c r="A1136" s="182" t="n">
        <v>1122</v>
      </c>
      <c r="B1136" s="182" t="n">
        <v>1121</v>
      </c>
      <c r="C1136" s="182" t="n">
        <v>4522.42</v>
      </c>
      <c r="D1136" s="182" t="n">
        <v>4545.6164</v>
      </c>
      <c r="E1136" s="182" t="n">
        <v>-23.1964</v>
      </c>
      <c r="F1136" s="182" t="n">
        <v>538.0741</v>
      </c>
      <c r="G1136" s="182" t="n">
        <v>-0.294311</v>
      </c>
      <c r="H1136" s="182" t="n">
        <v>0.195768</v>
      </c>
      <c r="I1136" s="182" t="inlineStr"/>
    </row>
    <row r="1137" ht="15" customHeight="1" s="28">
      <c r="A1137" s="181" t="n">
        <v>1123</v>
      </c>
      <c r="B1137" s="181" t="n">
        <v>1122</v>
      </c>
      <c r="C1137" s="181" t="n">
        <v>4521.16</v>
      </c>
      <c r="D1137" s="181" t="n">
        <v>4545.3625</v>
      </c>
      <c r="E1137" s="181" t="n">
        <v>-24.2025</v>
      </c>
      <c r="F1137" s="181" t="n">
        <v>585.7624</v>
      </c>
      <c r="G1137" s="181" t="n">
        <v>-0.334292</v>
      </c>
      <c r="H1137" s="181" t="n">
        <v>0.232007</v>
      </c>
      <c r="I1137" s="181" t="inlineStr"/>
    </row>
    <row r="1138" ht="15" customHeight="1" s="28">
      <c r="A1138" s="182" t="n">
        <v>1124</v>
      </c>
      <c r="B1138" s="182" t="n">
        <v>1123</v>
      </c>
      <c r="C1138" s="182" t="n">
        <v>4517.46</v>
      </c>
      <c r="D1138" s="182" t="n">
        <v>4545.1086</v>
      </c>
      <c r="E1138" s="182" t="n">
        <v>-27.6486</v>
      </c>
      <c r="F1138" s="182" t="n">
        <v>764.4469</v>
      </c>
      <c r="G1138" s="182" t="n">
        <v>-0.498384</v>
      </c>
      <c r="H1138" s="182" t="n">
        <v>0.395141</v>
      </c>
      <c r="I1138" s="182" t="inlineStr"/>
    </row>
    <row r="1139" ht="15" customHeight="1" s="28">
      <c r="A1139" s="181" t="n">
        <v>1125</v>
      </c>
      <c r="B1139" s="181" t="n">
        <v>1124</v>
      </c>
      <c r="C1139" s="181" t="n">
        <v>4514.74</v>
      </c>
      <c r="D1139" s="181" t="n">
        <v>4544.8547</v>
      </c>
      <c r="E1139" s="181" t="n">
        <v>-30.1147</v>
      </c>
      <c r="F1139" s="181" t="n">
        <v>906.8973999999999</v>
      </c>
      <c r="G1139" s="181" t="n">
        <v>-0.643992</v>
      </c>
      <c r="H1139" s="181" t="n">
        <v>0.556127</v>
      </c>
      <c r="I1139" s="181" t="inlineStr"/>
    </row>
    <row r="1140" ht="15" customHeight="1" s="28">
      <c r="A1140" s="182" t="n">
        <v>1126</v>
      </c>
      <c r="B1140" s="182" t="n">
        <v>1125</v>
      </c>
      <c r="C1140" s="182" t="n">
        <v>4515.21</v>
      </c>
      <c r="D1140" s="182" t="n">
        <v>4544.6008</v>
      </c>
      <c r="E1140" s="182" t="n">
        <v>-29.3908</v>
      </c>
      <c r="F1140" s="182" t="n">
        <v>863.8216</v>
      </c>
      <c r="G1140" s="182" t="n">
        <v>-0.5986590000000001</v>
      </c>
      <c r="H1140" s="182" t="n">
        <v>0.504552</v>
      </c>
      <c r="I1140" s="182" t="inlineStr"/>
    </row>
    <row r="1141" ht="15" customHeight="1" s="28">
      <c r="A1141" s="181" t="n">
        <v>1127</v>
      </c>
      <c r="B1141" s="181" t="n">
        <v>1126</v>
      </c>
      <c r="C1141" s="181" t="n">
        <v>4518.75</v>
      </c>
      <c r="D1141" s="181" t="n">
        <v>4544.3469</v>
      </c>
      <c r="E1141" s="181" t="n">
        <v>-25.5969</v>
      </c>
      <c r="F1141" s="181" t="n">
        <v>655.2037</v>
      </c>
      <c r="G1141" s="181" t="n">
        <v>-0.395465</v>
      </c>
      <c r="H1141" s="181" t="n">
        <v>0.290275</v>
      </c>
      <c r="I1141" s="181" t="inlineStr"/>
    </row>
    <row r="1142" ht="15" customHeight="1" s="28">
      <c r="A1142" s="182" t="n">
        <v>1128</v>
      </c>
      <c r="B1142" s="182" t="n">
        <v>1127</v>
      </c>
      <c r="C1142" s="182" t="n">
        <v>4523.84</v>
      </c>
      <c r="D1142" s="182" t="n">
        <v>4544.0931</v>
      </c>
      <c r="E1142" s="182" t="n">
        <v>-20.2531</v>
      </c>
      <c r="F1142" s="182" t="n">
        <v>410.1861</v>
      </c>
      <c r="G1142" s="182" t="n">
        <v>-0.195891</v>
      </c>
      <c r="H1142" s="182" t="n">
        <v>0.113768</v>
      </c>
      <c r="I1142" s="182" t="inlineStr"/>
    </row>
    <row r="1143" ht="15" customHeight="1" s="28">
      <c r="A1143" s="181" t="n">
        <v>1129</v>
      </c>
      <c r="B1143" s="181" t="n">
        <v>1128</v>
      </c>
      <c r="C1143" s="181" t="n">
        <v>4521.1</v>
      </c>
      <c r="D1143" s="181" t="n">
        <v>4543.8392</v>
      </c>
      <c r="E1143" s="181" t="n">
        <v>-22.7392</v>
      </c>
      <c r="F1143" s="181" t="n">
        <v>517.0692</v>
      </c>
      <c r="G1143" s="181" t="n">
        <v>-0.277247</v>
      </c>
      <c r="H1143" s="181" t="n">
        <v>0.180782</v>
      </c>
      <c r="I1143" s="181" t="inlineStr"/>
    </row>
    <row r="1144" ht="15" customHeight="1" s="28">
      <c r="A1144" s="182" t="n">
        <v>1130</v>
      </c>
      <c r="B1144" s="182" t="n">
        <v>1129</v>
      </c>
      <c r="C1144" s="182" t="n">
        <v>4519.66</v>
      </c>
      <c r="D1144" s="182" t="n">
        <v>4543.5853</v>
      </c>
      <c r="E1144" s="182" t="n">
        <v>-23.9253</v>
      </c>
      <c r="F1144" s="182" t="n">
        <v>572.4181</v>
      </c>
      <c r="G1144" s="182" t="n">
        <v>-0.322934</v>
      </c>
      <c r="H1144" s="182" t="n">
        <v>0.221556</v>
      </c>
      <c r="I1144" s="182" t="inlineStr"/>
    </row>
    <row r="1145" ht="15" customHeight="1" s="28">
      <c r="A1145" s="181" t="n">
        <v>1131</v>
      </c>
      <c r="B1145" s="181" t="n">
        <v>1130</v>
      </c>
      <c r="C1145" s="181" t="n">
        <v>4519.02</v>
      </c>
      <c r="D1145" s="181" t="n">
        <v>4543.3314</v>
      </c>
      <c r="E1145" s="181" t="n">
        <v>-24.3114</v>
      </c>
      <c r="F1145" s="181" t="n">
        <v>591.0424</v>
      </c>
      <c r="G1145" s="181" t="n">
        <v>-0.338822</v>
      </c>
      <c r="H1145" s="181" t="n">
        <v>0.236208</v>
      </c>
      <c r="I1145" s="181" t="inlineStr"/>
    </row>
    <row r="1146" ht="15" customHeight="1" s="28">
      <c r="A1146" s="182" t="n">
        <v>1132</v>
      </c>
      <c r="B1146" s="182" t="n">
        <v>1131</v>
      </c>
      <c r="C1146" s="182" t="n">
        <v>4517.52</v>
      </c>
      <c r="D1146" s="182" t="n">
        <v>4543.0775</v>
      </c>
      <c r="E1146" s="182" t="n">
        <v>-25.5575</v>
      </c>
      <c r="F1146" s="182" t="n">
        <v>653.1842</v>
      </c>
      <c r="G1146" s="182" t="n">
        <v>-0.393638</v>
      </c>
      <c r="H1146" s="182" t="n">
        <v>0.288489</v>
      </c>
      <c r="I1146" s="182" t="inlineStr"/>
    </row>
    <row r="1147" ht="15" customHeight="1" s="28">
      <c r="A1147" s="181" t="n">
        <v>1133</v>
      </c>
      <c r="B1147" s="181" t="n">
        <v>1132</v>
      </c>
      <c r="C1147" s="181" t="n">
        <v>4520.44</v>
      </c>
      <c r="D1147" s="181" t="n">
        <v>4542.8236</v>
      </c>
      <c r="E1147" s="181" t="n">
        <v>-22.3836</v>
      </c>
      <c r="F1147" s="181" t="n">
        <v>501.0244</v>
      </c>
      <c r="G1147" s="181" t="n">
        <v>-0.264443</v>
      </c>
      <c r="H1147" s="181" t="n">
        <v>0.169737</v>
      </c>
      <c r="I1147" s="181" t="inlineStr"/>
    </row>
    <row r="1148" ht="15" customHeight="1" s="28">
      <c r="A1148" s="182" t="n">
        <v>1134</v>
      </c>
      <c r="B1148" s="182" t="n">
        <v>1133</v>
      </c>
      <c r="C1148" s="182" t="n">
        <v>4521.13</v>
      </c>
      <c r="D1148" s="182" t="n">
        <v>4542.5697</v>
      </c>
      <c r="E1148" s="182" t="n">
        <v>-21.4397</v>
      </c>
      <c r="F1148" s="182" t="n">
        <v>459.6598</v>
      </c>
      <c r="G1148" s="182" t="n">
        <v>-0.23238</v>
      </c>
      <c r="H1148" s="182" t="n">
        <v>0.142867</v>
      </c>
      <c r="I1148" s="182" t="inlineStr"/>
    </row>
    <row r="1149" ht="15" customHeight="1" s="28">
      <c r="A1149" s="181" t="n">
        <v>1135</v>
      </c>
      <c r="B1149" s="181" t="n">
        <v>1134</v>
      </c>
      <c r="C1149" s="181" t="n">
        <v>4518.52</v>
      </c>
      <c r="D1149" s="181" t="n">
        <v>4542.3158</v>
      </c>
      <c r="E1149" s="181" t="n">
        <v>-23.7958</v>
      </c>
      <c r="F1149" s="181" t="n">
        <v>566.2393</v>
      </c>
      <c r="G1149" s="181" t="n">
        <v>-0.317719</v>
      </c>
      <c r="H1149" s="181" t="n">
        <v>0.216799</v>
      </c>
      <c r="I1149" s="181" t="inlineStr"/>
    </row>
    <row r="1151" ht="18" customHeight="1" s="28">
      <c r="A1151" s="172" t="inlineStr">
        <is>
          <t>STEP 2 — Jarque-Bera Test Result</t>
        </is>
      </c>
    </row>
    <row r="1152" ht="16" customHeight="1" s="28">
      <c r="A1152" s="186" t="inlineStr">
        <is>
          <t>n (sample size)</t>
        </is>
      </c>
      <c r="E1152" s="187" t="inlineStr">
        <is>
          <t>1135</t>
        </is>
      </c>
    </row>
    <row r="1153" ht="16" customHeight="1" s="28">
      <c r="A1153" s="186" t="inlineStr">
        <is>
          <t>Sample Skewness S</t>
        </is>
      </c>
      <c r="E1153" s="187" t="inlineStr">
        <is>
          <t>-0.333970</t>
        </is>
      </c>
    </row>
    <row r="1154" ht="16" customHeight="1" s="28">
      <c r="A1154" s="186" t="inlineStr">
        <is>
          <t>Sample Excess Kurtosis K</t>
        </is>
      </c>
      <c r="E1154" s="187" t="inlineStr">
        <is>
          <t>-0.533411</t>
        </is>
      </c>
    </row>
    <row r="1155" ht="16" customHeight="1" s="28">
      <c r="A1155" s="186" t="inlineStr">
        <is>
          <t>JB statistic = n/6·(S² + (K-3)²/4)</t>
        </is>
      </c>
      <c r="E1155" s="187" t="inlineStr">
        <is>
          <t>34.5546</t>
        </is>
      </c>
    </row>
    <row r="1156" ht="16" customHeight="1" s="28">
      <c r="A1156" s="186" t="inlineStr">
        <is>
          <t>p-value (chi-sq, df=2)</t>
        </is>
      </c>
      <c r="E1156" s="187" t="inlineStr">
        <is>
          <t>3.137301e-08</t>
        </is>
      </c>
    </row>
    <row r="1157" ht="16" customHeight="1" s="28">
      <c r="A1157" s="186" t="inlineStr">
        <is>
          <t>Critical χ²(2, α=0.05)</t>
        </is>
      </c>
      <c r="E1157" s="187" t="inlineStr">
        <is>
          <t>5.991</t>
        </is>
      </c>
    </row>
    <row r="1158" ht="22" customHeight="1" s="28">
      <c r="A1158" s="189" t="inlineStr">
        <is>
          <t>DECISION:  JB = 34.5546, p = 3.1373e-08 &lt; α (0.05)  ⟹  REJECT H₀  →  OLS residuals are NOT normally distributed</t>
        </is>
      </c>
    </row>
  </sheetData>
  <mergeCells count="25">
    <mergeCell ref="B7:I7"/>
    <mergeCell ref="E1152:I1152"/>
    <mergeCell ref="A1154:D1154"/>
    <mergeCell ref="E1155:I1155"/>
    <mergeCell ref="E1157:I1157"/>
    <mergeCell ref="A1153:D1153"/>
    <mergeCell ref="E1154:I1154"/>
    <mergeCell ref="A1158:I1158"/>
    <mergeCell ref="A2:I2"/>
    <mergeCell ref="B11:I11"/>
    <mergeCell ref="E1153:I1153"/>
    <mergeCell ref="A4:I4"/>
    <mergeCell ref="B8:I8"/>
    <mergeCell ref="A13:I13"/>
    <mergeCell ref="B10:I10"/>
    <mergeCell ref="A1156:D1156"/>
    <mergeCell ref="B9:I9"/>
    <mergeCell ref="B6:I6"/>
    <mergeCell ref="A1:I1"/>
    <mergeCell ref="E1156:I1156"/>
    <mergeCell ref="B5:I5"/>
    <mergeCell ref="A1151:I1151"/>
    <mergeCell ref="A1155:D1155"/>
    <mergeCell ref="A1152:D1152"/>
    <mergeCell ref="A1157:D115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6" customWidth="1" style="28" min="7" max="7"/>
    <col width="6" customWidth="1" style="28" min="8" max="8"/>
  </cols>
  <sheetData>
    <row r="1" ht="26" customHeight="1" s="28">
      <c r="A1" s="170" t="inlineStr">
        <is>
          <t>BREUSCH-PAGAN HOMOSCEDASTICITY TEST  |  MODEL A2  |  n = 107</t>
        </is>
      </c>
    </row>
    <row r="2" ht="20" customHeight="1" s="28">
      <c r="A2" s="183" t="inlineStr">
        <is>
          <t>Null hypothesis H₀: variance of residuals is constant  |  Residual: eᵢ = ssaᵢ − OLS  |  Dataset: V3894</t>
        </is>
      </c>
    </row>
    <row r="4" ht="18" customHeight="1" s="28">
      <c r="A4" s="172" t="inlineStr">
        <is>
          <t>Context &amp; Parameters</t>
        </is>
      </c>
    </row>
    <row r="5" ht="16" customHeight="1" s="28">
      <c r="A5" s="184" t="inlineStr">
        <is>
          <t>DATASET:</t>
        </is>
      </c>
      <c r="B5" s="185" t="inlineStr">
        <is>
          <t>DavinTrade_V3894_Data_XAUUSD_M15.txt</t>
        </is>
      </c>
    </row>
    <row r="6" ht="16" customHeight="1" s="28">
      <c r="A6" s="184" t="inlineStr">
        <is>
          <t>MODEL:</t>
        </is>
      </c>
      <c r="B6" s="185" t="inlineStr">
        <is>
          <t>MODEL A2 — SSA values at crossing events</t>
        </is>
      </c>
    </row>
    <row r="7" ht="16" customHeight="1" s="28">
      <c r="A7" s="184" t="inlineStr">
        <is>
          <t>RESIDUAL:</t>
        </is>
      </c>
      <c r="B7" s="185" t="inlineStr">
        <is>
          <t>eᵢ = ssaᵢ − (4834.5505 + -0.260122×bar_idxᵢ)</t>
        </is>
      </c>
    </row>
    <row r="8" ht="16" customHeight="1" s="28">
      <c r="A8" s="184" t="inlineStr">
        <is>
          <t>n:</t>
        </is>
      </c>
      <c r="B8" s="185" t="inlineStr">
        <is>
          <t>107 crossing events</t>
        </is>
      </c>
    </row>
    <row r="9" ht="16" customHeight="1" s="28">
      <c r="A9" s="184" t="inlineStr">
        <is>
          <t>TEST:</t>
        </is>
      </c>
      <c r="B9" s="185" t="inlineStr">
        <is>
          <t>Breusch-Pagan (n &lt; 100; see note)</t>
        </is>
      </c>
    </row>
    <row r="10" ht="16" customHeight="1" s="28">
      <c r="A10" s="184" t="inlineStr">
        <is>
          <t>α:</t>
        </is>
      </c>
      <c r="B10" s="185" t="inlineStr">
        <is>
          <t>0.05</t>
        </is>
      </c>
    </row>
    <row r="12" ht="18" customHeight="1" s="28">
      <c r="A12" s="172" t="inlineStr">
        <is>
          <t>STEP 1 — Residuals and Squared Residuals (crossing bars only)</t>
        </is>
      </c>
    </row>
    <row r="13" ht="28" customHeight="1" s="28">
      <c r="A13" s="62" t="inlineStr">
        <is>
          <t>i</t>
        </is>
      </c>
      <c r="B13" s="62" t="inlineStr">
        <is>
          <t>Bar Index (X)</t>
        </is>
      </c>
      <c r="C13" s="62" t="inlineStr">
        <is>
          <t>SSA</t>
        </is>
      </c>
      <c r="D13" s="62" t="inlineStr">
        <is>
          <t>OLS Fitted</t>
        </is>
      </c>
      <c r="E13" s="62" t="inlineStr">
        <is>
          <t>eᵢ</t>
        </is>
      </c>
      <c r="F13" s="62" t="inlineStr">
        <is>
          <t>eᵢ² (dep. var.)</t>
        </is>
      </c>
      <c r="G13" s="62" t="inlineStr"/>
      <c r="H13" s="62" t="inlineStr"/>
    </row>
    <row r="14" ht="15" customHeight="1" s="28">
      <c r="A14" s="181" t="n">
        <v>1</v>
      </c>
      <c r="B14" s="181" t="n">
        <v>0</v>
      </c>
      <c r="C14" s="181" t="n">
        <v>4798.9749</v>
      </c>
      <c r="D14" s="181" t="n">
        <v>4834.5505</v>
      </c>
      <c r="E14" s="181" t="n">
        <v>-35.5756</v>
      </c>
      <c r="F14" s="181" t="n">
        <v>1265.6231</v>
      </c>
      <c r="G14" s="181" t="inlineStr"/>
      <c r="H14" s="181" t="inlineStr"/>
    </row>
    <row r="15" ht="15" customHeight="1" s="28">
      <c r="A15" s="182" t="n">
        <v>2</v>
      </c>
      <c r="B15" s="182" t="n">
        <v>4</v>
      </c>
      <c r="C15" s="182" t="n">
        <v>4801.7586</v>
      </c>
      <c r="D15" s="182" t="n">
        <v>4833.51</v>
      </c>
      <c r="E15" s="182" t="n">
        <v>-31.7514</v>
      </c>
      <c r="F15" s="182" t="n">
        <v>1008.1545</v>
      </c>
      <c r="G15" s="182" t="inlineStr"/>
      <c r="H15" s="182" t="inlineStr"/>
    </row>
    <row r="16" ht="15" customHeight="1" s="28">
      <c r="A16" s="181" t="n">
        <v>3</v>
      </c>
      <c r="B16" s="181" t="n">
        <v>13</v>
      </c>
      <c r="C16" s="181" t="n">
        <v>4788.1799</v>
      </c>
      <c r="D16" s="181" t="n">
        <v>4831.1689</v>
      </c>
      <c r="E16" s="181" t="n">
        <v>-42.9891</v>
      </c>
      <c r="F16" s="181" t="n">
        <v>1848.0585</v>
      </c>
      <c r="G16" s="181" t="inlineStr"/>
      <c r="H16" s="181" t="inlineStr"/>
    </row>
    <row r="17" ht="15" customHeight="1" s="28">
      <c r="A17" s="182" t="n">
        <v>4</v>
      </c>
      <c r="B17" s="182" t="n">
        <v>20</v>
      </c>
      <c r="C17" s="182" t="n">
        <v>4791.7372</v>
      </c>
      <c r="D17" s="182" t="n">
        <v>4829.3481</v>
      </c>
      <c r="E17" s="182" t="n">
        <v>-37.6109</v>
      </c>
      <c r="F17" s="182" t="n">
        <v>1414.5796</v>
      </c>
      <c r="G17" s="182" t="inlineStr"/>
      <c r="H17" s="182" t="inlineStr"/>
    </row>
    <row r="18" ht="15" customHeight="1" s="28">
      <c r="A18" s="181" t="n">
        <v>5</v>
      </c>
      <c r="B18" s="181" t="n">
        <v>24</v>
      </c>
      <c r="C18" s="181" t="n">
        <v>4791.9693</v>
      </c>
      <c r="D18" s="181" t="n">
        <v>4828.3076</v>
      </c>
      <c r="E18" s="181" t="n">
        <v>-36.3383</v>
      </c>
      <c r="F18" s="181" t="n">
        <v>1320.4698</v>
      </c>
      <c r="G18" s="181" t="inlineStr"/>
      <c r="H18" s="181" t="inlineStr"/>
    </row>
    <row r="19" ht="15" customHeight="1" s="28">
      <c r="A19" s="182" t="n">
        <v>6</v>
      </c>
      <c r="B19" s="182" t="n">
        <v>31</v>
      </c>
      <c r="C19" s="182" t="n">
        <v>4794.635</v>
      </c>
      <c r="D19" s="182" t="n">
        <v>4826.4867</v>
      </c>
      <c r="E19" s="182" t="n">
        <v>-31.8517</v>
      </c>
      <c r="F19" s="182" t="n">
        <v>1014.5324</v>
      </c>
      <c r="G19" s="182" t="inlineStr"/>
      <c r="H19" s="182" t="inlineStr"/>
    </row>
    <row r="20" ht="15" customHeight="1" s="28">
      <c r="A20" s="181" t="n">
        <v>7</v>
      </c>
      <c r="B20" s="181" t="n">
        <v>39</v>
      </c>
      <c r="C20" s="181" t="n">
        <v>4784.2445</v>
      </c>
      <c r="D20" s="181" t="n">
        <v>4824.4057</v>
      </c>
      <c r="E20" s="181" t="n">
        <v>-40.1612</v>
      </c>
      <c r="F20" s="181" t="n">
        <v>1612.9236</v>
      </c>
      <c r="G20" s="181" t="inlineStr"/>
      <c r="H20" s="181" t="inlineStr"/>
    </row>
    <row r="21" ht="15" customHeight="1" s="28">
      <c r="A21" s="182" t="n">
        <v>8</v>
      </c>
      <c r="B21" s="182" t="n">
        <v>53</v>
      </c>
      <c r="C21" s="182" t="n">
        <v>4799.4912</v>
      </c>
      <c r="D21" s="182" t="n">
        <v>4820.764</v>
      </c>
      <c r="E21" s="182" t="n">
        <v>-21.2729</v>
      </c>
      <c r="F21" s="182" t="n">
        <v>452.5355</v>
      </c>
      <c r="G21" s="182" t="inlineStr"/>
      <c r="H21" s="182" t="inlineStr"/>
    </row>
    <row r="22" ht="15" customHeight="1" s="28">
      <c r="A22" s="181" t="n">
        <v>9</v>
      </c>
      <c r="B22" s="181" t="n">
        <v>62</v>
      </c>
      <c r="C22" s="181" t="n">
        <v>4785.2155</v>
      </c>
      <c r="D22" s="181" t="n">
        <v>4818.4229</v>
      </c>
      <c r="E22" s="181" t="n">
        <v>-33.2074</v>
      </c>
      <c r="F22" s="181" t="n">
        <v>1102.7317</v>
      </c>
      <c r="G22" s="181" t="inlineStr"/>
      <c r="H22" s="181" t="inlineStr"/>
    </row>
    <row r="23" ht="15" customHeight="1" s="28">
      <c r="A23" s="182" t="n">
        <v>10</v>
      </c>
      <c r="B23" s="182" t="n">
        <v>71</v>
      </c>
      <c r="C23" s="182" t="n">
        <v>4792.9258</v>
      </c>
      <c r="D23" s="182" t="n">
        <v>4816.0818</v>
      </c>
      <c r="E23" s="182" t="n">
        <v>-23.156</v>
      </c>
      <c r="F23" s="182" t="n">
        <v>536.202</v>
      </c>
      <c r="G23" s="182" t="inlineStr"/>
      <c r="H23" s="182" t="inlineStr"/>
    </row>
    <row r="24" ht="15" customHeight="1" s="28">
      <c r="A24" s="181" t="n">
        <v>11</v>
      </c>
      <c r="B24" s="181" t="n">
        <v>77</v>
      </c>
      <c r="C24" s="181" t="n">
        <v>4789.136</v>
      </c>
      <c r="D24" s="181" t="n">
        <v>4814.5211</v>
      </c>
      <c r="E24" s="181" t="n">
        <v>-25.3851</v>
      </c>
      <c r="F24" s="181" t="n">
        <v>644.405</v>
      </c>
      <c r="G24" s="181" t="inlineStr"/>
      <c r="H24" s="181" t="inlineStr"/>
    </row>
    <row r="25" ht="15" customHeight="1" s="28">
      <c r="A25" s="182" t="n">
        <v>12</v>
      </c>
      <c r="B25" s="182" t="n">
        <v>90</v>
      </c>
      <c r="C25" s="182" t="n">
        <v>4872.1414</v>
      </c>
      <c r="D25" s="182" t="n">
        <v>4811.1395</v>
      </c>
      <c r="E25" s="182" t="n">
        <v>61.0019</v>
      </c>
      <c r="F25" s="182" t="n">
        <v>3721.2332</v>
      </c>
      <c r="G25" s="182" t="inlineStr"/>
      <c r="H25" s="182" t="inlineStr"/>
    </row>
    <row r="26" ht="15" customHeight="1" s="28">
      <c r="A26" s="181" t="n">
        <v>13</v>
      </c>
      <c r="B26" s="181" t="n">
        <v>96</v>
      </c>
      <c r="C26" s="181" t="n">
        <v>4866.7911</v>
      </c>
      <c r="D26" s="181" t="n">
        <v>4809.5788</v>
      </c>
      <c r="E26" s="181" t="n">
        <v>57.2123</v>
      </c>
      <c r="F26" s="181" t="n">
        <v>3273.2465</v>
      </c>
      <c r="G26" s="181" t="inlineStr"/>
      <c r="H26" s="181" t="inlineStr"/>
    </row>
    <row r="27" ht="15" customHeight="1" s="28">
      <c r="A27" s="182" t="n">
        <v>14</v>
      </c>
      <c r="B27" s="182" t="n">
        <v>98</v>
      </c>
      <c r="C27" s="182" t="n">
        <v>4866.6882</v>
      </c>
      <c r="D27" s="182" t="n">
        <v>4809.0586</v>
      </c>
      <c r="E27" s="182" t="n">
        <v>57.6297</v>
      </c>
      <c r="F27" s="182" t="n">
        <v>3321.1786</v>
      </c>
      <c r="G27" s="182" t="inlineStr"/>
      <c r="H27" s="182" t="inlineStr"/>
    </row>
    <row r="28" ht="15" customHeight="1" s="28">
      <c r="A28" s="181" t="n">
        <v>15</v>
      </c>
      <c r="B28" s="181" t="n">
        <v>106</v>
      </c>
      <c r="C28" s="181" t="n">
        <v>4859.3727</v>
      </c>
      <c r="D28" s="181" t="n">
        <v>4806.9776</v>
      </c>
      <c r="E28" s="181" t="n">
        <v>52.3951</v>
      </c>
      <c r="F28" s="181" t="n">
        <v>2745.251</v>
      </c>
      <c r="G28" s="181" t="inlineStr"/>
      <c r="H28" s="181" t="inlineStr"/>
    </row>
    <row r="29" ht="15" customHeight="1" s="28">
      <c r="A29" s="182" t="n">
        <v>16</v>
      </c>
      <c r="B29" s="182" t="n">
        <v>109</v>
      </c>
      <c r="C29" s="182" t="n">
        <v>4859.671</v>
      </c>
      <c r="D29" s="182" t="n">
        <v>4806.1972</v>
      </c>
      <c r="E29" s="182" t="n">
        <v>53.4738</v>
      </c>
      <c r="F29" s="182" t="n">
        <v>2859.4504</v>
      </c>
      <c r="G29" s="182" t="inlineStr"/>
      <c r="H29" s="182" t="inlineStr"/>
    </row>
    <row r="30" ht="15" customHeight="1" s="28">
      <c r="A30" s="181" t="n">
        <v>17</v>
      </c>
      <c r="B30" s="181" t="n">
        <v>125</v>
      </c>
      <c r="C30" s="181" t="n">
        <v>4763.9122</v>
      </c>
      <c r="D30" s="181" t="n">
        <v>4802.0353</v>
      </c>
      <c r="E30" s="181" t="n">
        <v>-38.1231</v>
      </c>
      <c r="F30" s="181" t="n">
        <v>1453.3684</v>
      </c>
      <c r="G30" s="181" t="inlineStr"/>
      <c r="H30" s="181" t="inlineStr"/>
    </row>
    <row r="31" ht="15" customHeight="1" s="28">
      <c r="A31" s="182" t="n">
        <v>18</v>
      </c>
      <c r="B31" s="182" t="n">
        <v>134</v>
      </c>
      <c r="C31" s="182" t="n">
        <v>4800.2768</v>
      </c>
      <c r="D31" s="182" t="n">
        <v>4799.6942</v>
      </c>
      <c r="E31" s="182" t="n">
        <v>0.5826</v>
      </c>
      <c r="F31" s="182" t="n">
        <v>0.3394</v>
      </c>
      <c r="G31" s="182" t="inlineStr"/>
      <c r="H31" s="182" t="inlineStr"/>
    </row>
    <row r="32" ht="15" customHeight="1" s="28">
      <c r="A32" s="181" t="n">
        <v>19</v>
      </c>
      <c r="B32" s="181" t="n">
        <v>148</v>
      </c>
      <c r="C32" s="181" t="n">
        <v>4788.4819</v>
      </c>
      <c r="D32" s="181" t="n">
        <v>4796.0525</v>
      </c>
      <c r="E32" s="181" t="n">
        <v>-7.5706</v>
      </c>
      <c r="F32" s="181" t="n">
        <v>57.3136</v>
      </c>
      <c r="G32" s="181" t="inlineStr"/>
      <c r="H32" s="181" t="inlineStr"/>
    </row>
    <row r="33" ht="15" customHeight="1" s="28">
      <c r="A33" s="182" t="n">
        <v>20</v>
      </c>
      <c r="B33" s="182" t="n">
        <v>155</v>
      </c>
      <c r="C33" s="182" t="n">
        <v>4794.2746</v>
      </c>
      <c r="D33" s="182" t="n">
        <v>4794.2316</v>
      </c>
      <c r="E33" s="182" t="n">
        <v>0.043</v>
      </c>
      <c r="F33" s="182" t="n">
        <v>0.0018</v>
      </c>
      <c r="G33" s="182" t="inlineStr"/>
      <c r="H33" s="182" t="inlineStr"/>
    </row>
    <row r="34" ht="15" customHeight="1" s="28">
      <c r="A34" s="181" t="n">
        <v>21</v>
      </c>
      <c r="B34" s="181" t="n">
        <v>160</v>
      </c>
      <c r="C34" s="181" t="n">
        <v>4793.1611</v>
      </c>
      <c r="D34" s="181" t="n">
        <v>4792.931</v>
      </c>
      <c r="E34" s="181" t="n">
        <v>0.2301</v>
      </c>
      <c r="F34" s="181" t="n">
        <v>0.053</v>
      </c>
      <c r="G34" s="181" t="inlineStr"/>
      <c r="H34" s="181" t="inlineStr"/>
    </row>
    <row r="35" ht="15" customHeight="1" s="28">
      <c r="A35" s="182" t="n">
        <v>22</v>
      </c>
      <c r="B35" s="182" t="n">
        <v>180</v>
      </c>
      <c r="C35" s="182" t="n">
        <v>4818.5417</v>
      </c>
      <c r="D35" s="182" t="n">
        <v>4787.7286</v>
      </c>
      <c r="E35" s="182" t="n">
        <v>30.8132</v>
      </c>
      <c r="F35" s="182" t="n">
        <v>949.4514</v>
      </c>
      <c r="G35" s="182" t="inlineStr"/>
      <c r="H35" s="182" t="inlineStr"/>
    </row>
    <row r="36" ht="15" customHeight="1" s="28">
      <c r="A36" s="181" t="n">
        <v>23</v>
      </c>
      <c r="B36" s="181" t="n">
        <v>190</v>
      </c>
      <c r="C36" s="181" t="n">
        <v>4802.2072</v>
      </c>
      <c r="D36" s="181" t="n">
        <v>4785.1273</v>
      </c>
      <c r="E36" s="181" t="n">
        <v>17.0799</v>
      </c>
      <c r="F36" s="181" t="n">
        <v>291.723</v>
      </c>
      <c r="G36" s="181" t="inlineStr"/>
      <c r="H36" s="181" t="inlineStr"/>
    </row>
    <row r="37" ht="15" customHeight="1" s="28">
      <c r="A37" s="182" t="n">
        <v>24</v>
      </c>
      <c r="B37" s="182" t="n">
        <v>201</v>
      </c>
      <c r="C37" s="182" t="n">
        <v>4814.364</v>
      </c>
      <c r="D37" s="182" t="n">
        <v>4782.266</v>
      </c>
      <c r="E37" s="182" t="n">
        <v>32.098</v>
      </c>
      <c r="F37" s="182" t="n">
        <v>1030.2823</v>
      </c>
      <c r="G37" s="182" t="inlineStr"/>
      <c r="H37" s="182" t="inlineStr"/>
    </row>
    <row r="38" ht="15" customHeight="1" s="28">
      <c r="A38" s="181" t="n">
        <v>25</v>
      </c>
      <c r="B38" s="181" t="n">
        <v>203</v>
      </c>
      <c r="C38" s="181" t="n">
        <v>4814.6371</v>
      </c>
      <c r="D38" s="181" t="n">
        <v>4781.7457</v>
      </c>
      <c r="E38" s="181" t="n">
        <v>32.8913</v>
      </c>
      <c r="F38" s="181" t="n">
        <v>1081.8393</v>
      </c>
      <c r="G38" s="181" t="inlineStr"/>
      <c r="H38" s="181" t="inlineStr"/>
    </row>
    <row r="39" ht="15" customHeight="1" s="28">
      <c r="A39" s="182" t="n">
        <v>26</v>
      </c>
      <c r="B39" s="182" t="n">
        <v>213</v>
      </c>
      <c r="C39" s="182" t="n">
        <v>4827.0749</v>
      </c>
      <c r="D39" s="182" t="n">
        <v>4779.1445</v>
      </c>
      <c r="E39" s="182" t="n">
        <v>47.9304</v>
      </c>
      <c r="F39" s="182" t="n">
        <v>2297.3218</v>
      </c>
      <c r="G39" s="182" t="inlineStr"/>
      <c r="H39" s="182" t="inlineStr"/>
    </row>
    <row r="40" ht="15" customHeight="1" s="28">
      <c r="A40" s="181" t="n">
        <v>27</v>
      </c>
      <c r="B40" s="181" t="n">
        <v>245</v>
      </c>
      <c r="C40" s="181" t="n">
        <v>4782.0763</v>
      </c>
      <c r="D40" s="181" t="n">
        <v>4770.8206</v>
      </c>
      <c r="E40" s="181" t="n">
        <v>11.2557</v>
      </c>
      <c r="F40" s="181" t="n">
        <v>126.6905</v>
      </c>
      <c r="G40" s="181" t="inlineStr"/>
      <c r="H40" s="181" t="inlineStr"/>
    </row>
    <row r="41" ht="15" customHeight="1" s="28">
      <c r="A41" s="182" t="n">
        <v>28</v>
      </c>
      <c r="B41" s="182" t="n">
        <v>252</v>
      </c>
      <c r="C41" s="182" t="n">
        <v>4785.1929</v>
      </c>
      <c r="D41" s="182" t="n">
        <v>4768.9998</v>
      </c>
      <c r="E41" s="182" t="n">
        <v>16.1931</v>
      </c>
      <c r="F41" s="182" t="n">
        <v>262.2163</v>
      </c>
      <c r="G41" s="182" t="inlineStr"/>
      <c r="H41" s="182" t="inlineStr"/>
    </row>
    <row r="42" ht="15" customHeight="1" s="28">
      <c r="A42" s="181" t="n">
        <v>29</v>
      </c>
      <c r="B42" s="181" t="n">
        <v>257</v>
      </c>
      <c r="C42" s="181" t="n">
        <v>4784.8373</v>
      </c>
      <c r="D42" s="181" t="n">
        <v>4767.6992</v>
      </c>
      <c r="E42" s="181" t="n">
        <v>17.1382</v>
      </c>
      <c r="F42" s="181" t="n">
        <v>293.7166</v>
      </c>
      <c r="G42" s="181" t="inlineStr"/>
      <c r="H42" s="181" t="inlineStr"/>
    </row>
    <row r="43" ht="15" customHeight="1" s="28">
      <c r="A43" s="182" t="n">
        <v>30</v>
      </c>
      <c r="B43" s="182" t="n">
        <v>263</v>
      </c>
      <c r="C43" s="182" t="n">
        <v>4787.2112</v>
      </c>
      <c r="D43" s="182" t="n">
        <v>4766.1384</v>
      </c>
      <c r="E43" s="182" t="n">
        <v>21.0728</v>
      </c>
      <c r="F43" s="182" t="n">
        <v>444.0635</v>
      </c>
      <c r="G43" s="182" t="inlineStr"/>
      <c r="H43" s="182" t="inlineStr"/>
    </row>
    <row r="44" ht="15" customHeight="1" s="28">
      <c r="A44" s="181" t="n">
        <v>31</v>
      </c>
      <c r="B44" s="181" t="n">
        <v>296</v>
      </c>
      <c r="C44" s="181" t="n">
        <v>4697.7102</v>
      </c>
      <c r="D44" s="181" t="n">
        <v>4757.5544</v>
      </c>
      <c r="E44" s="181" t="n">
        <v>-59.8442</v>
      </c>
      <c r="F44" s="181" t="n">
        <v>3581.3247</v>
      </c>
      <c r="G44" s="181" t="inlineStr"/>
      <c r="H44" s="181" t="inlineStr"/>
    </row>
    <row r="45" ht="15" customHeight="1" s="28">
      <c r="A45" s="182" t="n">
        <v>32</v>
      </c>
      <c r="B45" s="182" t="n">
        <v>323</v>
      </c>
      <c r="C45" s="182" t="n">
        <v>4757.8093</v>
      </c>
      <c r="D45" s="182" t="n">
        <v>4750.5311</v>
      </c>
      <c r="E45" s="182" t="n">
        <v>7.2782</v>
      </c>
      <c r="F45" s="182" t="n">
        <v>52.9715</v>
      </c>
      <c r="G45" s="182" t="inlineStr"/>
      <c r="H45" s="182" t="inlineStr"/>
    </row>
    <row r="46" ht="15" customHeight="1" s="28">
      <c r="A46" s="181" t="n">
        <v>33</v>
      </c>
      <c r="B46" s="181" t="n">
        <v>327</v>
      </c>
      <c r="C46" s="181" t="n">
        <v>4758.0106</v>
      </c>
      <c r="D46" s="181" t="n">
        <v>4749.4906</v>
      </c>
      <c r="E46" s="181" t="n">
        <v>8.52</v>
      </c>
      <c r="F46" s="181" t="n">
        <v>72.5903</v>
      </c>
      <c r="G46" s="181" t="inlineStr"/>
      <c r="H46" s="181" t="inlineStr"/>
    </row>
    <row r="47" ht="15" customHeight="1" s="28">
      <c r="A47" s="182" t="n">
        <v>34</v>
      </c>
      <c r="B47" s="182" t="n">
        <v>335</v>
      </c>
      <c r="C47" s="182" t="n">
        <v>4766.5311</v>
      </c>
      <c r="D47" s="182" t="n">
        <v>4747.4096</v>
      </c>
      <c r="E47" s="182" t="n">
        <v>19.1215</v>
      </c>
      <c r="F47" s="182" t="n">
        <v>365.6309</v>
      </c>
      <c r="G47" s="182" t="inlineStr"/>
      <c r="H47" s="182" t="inlineStr"/>
    </row>
    <row r="48" ht="15" customHeight="1" s="28">
      <c r="A48" s="181" t="n">
        <v>35</v>
      </c>
      <c r="B48" s="181" t="n">
        <v>349</v>
      </c>
      <c r="C48" s="181" t="n">
        <v>4756.1254</v>
      </c>
      <c r="D48" s="181" t="n">
        <v>4743.7679</v>
      </c>
      <c r="E48" s="181" t="n">
        <v>12.3575</v>
      </c>
      <c r="F48" s="181" t="n">
        <v>152.7077</v>
      </c>
      <c r="G48" s="181" t="inlineStr"/>
      <c r="H48" s="181" t="inlineStr"/>
    </row>
    <row r="49" ht="15" customHeight="1" s="28">
      <c r="A49" s="182" t="n">
        <v>36</v>
      </c>
      <c r="B49" s="182" t="n">
        <v>351</v>
      </c>
      <c r="C49" s="182" t="n">
        <v>4756.0877</v>
      </c>
      <c r="D49" s="182" t="n">
        <v>4743.2477</v>
      </c>
      <c r="E49" s="182" t="n">
        <v>12.8401</v>
      </c>
      <c r="F49" s="182" t="n">
        <v>164.8671</v>
      </c>
      <c r="G49" s="182" t="inlineStr"/>
      <c r="H49" s="182" t="inlineStr"/>
    </row>
    <row r="50" ht="15" customHeight="1" s="28">
      <c r="A50" s="181" t="n">
        <v>37</v>
      </c>
      <c r="B50" s="181" t="n">
        <v>361</v>
      </c>
      <c r="C50" s="181" t="n">
        <v>4748.9847</v>
      </c>
      <c r="D50" s="181" t="n">
        <v>4740.6465</v>
      </c>
      <c r="E50" s="181" t="n">
        <v>8.338200000000001</v>
      </c>
      <c r="F50" s="181" t="n">
        <v>69.5261</v>
      </c>
      <c r="G50" s="181" t="inlineStr"/>
      <c r="H50" s="181" t="inlineStr"/>
    </row>
    <row r="51" ht="15" customHeight="1" s="28">
      <c r="A51" s="182" t="n">
        <v>38</v>
      </c>
      <c r="B51" s="182" t="n">
        <v>363</v>
      </c>
      <c r="C51" s="182" t="n">
        <v>4748.0625</v>
      </c>
      <c r="D51" s="182" t="n">
        <v>4740.1262</v>
      </c>
      <c r="E51" s="182" t="n">
        <v>7.9363</v>
      </c>
      <c r="F51" s="182" t="n">
        <v>62.9847</v>
      </c>
      <c r="G51" s="182" t="inlineStr"/>
      <c r="H51" s="182" t="inlineStr"/>
    </row>
    <row r="52" ht="15" customHeight="1" s="28">
      <c r="A52" s="181" t="n">
        <v>39</v>
      </c>
      <c r="B52" s="181" t="n">
        <v>374</v>
      </c>
      <c r="C52" s="181" t="n">
        <v>4729.4164</v>
      </c>
      <c r="D52" s="181" t="n">
        <v>4737.2649</v>
      </c>
      <c r="E52" s="181" t="n">
        <v>-7.8485</v>
      </c>
      <c r="F52" s="181" t="n">
        <v>61.5989</v>
      </c>
      <c r="G52" s="181" t="inlineStr"/>
      <c r="H52" s="181" t="inlineStr"/>
    </row>
    <row r="53" ht="15" customHeight="1" s="28">
      <c r="A53" s="182" t="n">
        <v>40</v>
      </c>
      <c r="B53" s="182" t="n">
        <v>390</v>
      </c>
      <c r="C53" s="182" t="n">
        <v>4739.1687</v>
      </c>
      <c r="D53" s="182" t="n">
        <v>4733.1029</v>
      </c>
      <c r="E53" s="182" t="n">
        <v>6.0658</v>
      </c>
      <c r="F53" s="182" t="n">
        <v>36.7936</v>
      </c>
      <c r="G53" s="182" t="inlineStr"/>
      <c r="H53" s="182" t="inlineStr"/>
    </row>
    <row r="54" ht="15" customHeight="1" s="28">
      <c r="A54" s="181" t="n">
        <v>41</v>
      </c>
      <c r="B54" s="181" t="n">
        <v>399</v>
      </c>
      <c r="C54" s="181" t="n">
        <v>4725.8976</v>
      </c>
      <c r="D54" s="181" t="n">
        <v>4730.7618</v>
      </c>
      <c r="E54" s="181" t="n">
        <v>-4.8643</v>
      </c>
      <c r="F54" s="181" t="n">
        <v>23.6611</v>
      </c>
      <c r="G54" s="181" t="inlineStr"/>
      <c r="H54" s="181" t="inlineStr"/>
    </row>
    <row r="55" ht="15" customHeight="1" s="28">
      <c r="A55" s="182" t="n">
        <v>42</v>
      </c>
      <c r="B55" s="182" t="n">
        <v>405</v>
      </c>
      <c r="C55" s="182" t="n">
        <v>4733.9721</v>
      </c>
      <c r="D55" s="182" t="n">
        <v>4729.2011</v>
      </c>
      <c r="E55" s="182" t="n">
        <v>4.771</v>
      </c>
      <c r="F55" s="182" t="n">
        <v>22.7625</v>
      </c>
      <c r="G55" s="182" t="inlineStr"/>
      <c r="H55" s="182" t="inlineStr"/>
    </row>
    <row r="56" ht="15" customHeight="1" s="28">
      <c r="A56" s="181" t="n">
        <v>43</v>
      </c>
      <c r="B56" s="181" t="n">
        <v>415</v>
      </c>
      <c r="C56" s="181" t="n">
        <v>4703.263</v>
      </c>
      <c r="D56" s="181" t="n">
        <v>4726.5999</v>
      </c>
      <c r="E56" s="181" t="n">
        <v>-23.3369</v>
      </c>
      <c r="F56" s="181" t="n">
        <v>544.6106</v>
      </c>
      <c r="G56" s="181" t="inlineStr"/>
      <c r="H56" s="181" t="inlineStr"/>
    </row>
    <row r="57" ht="15" customHeight="1" s="28">
      <c r="A57" s="182" t="n">
        <v>44</v>
      </c>
      <c r="B57" s="182" t="n">
        <v>432</v>
      </c>
      <c r="C57" s="182" t="n">
        <v>4713.1717</v>
      </c>
      <c r="D57" s="182" t="n">
        <v>4722.1778</v>
      </c>
      <c r="E57" s="182" t="n">
        <v>-9.0061</v>
      </c>
      <c r="F57" s="182" t="n">
        <v>81.1097</v>
      </c>
      <c r="G57" s="182" t="inlineStr"/>
      <c r="H57" s="182" t="inlineStr"/>
    </row>
    <row r="58" ht="15" customHeight="1" s="28">
      <c r="A58" s="181" t="n">
        <v>45</v>
      </c>
      <c r="B58" s="181" t="n">
        <v>443</v>
      </c>
      <c r="C58" s="181" t="n">
        <v>4693.4593</v>
      </c>
      <c r="D58" s="181" t="n">
        <v>4719.3165</v>
      </c>
      <c r="E58" s="181" t="n">
        <v>-25.8572</v>
      </c>
      <c r="F58" s="181" t="n">
        <v>668.5947</v>
      </c>
      <c r="G58" s="181" t="inlineStr"/>
      <c r="H58" s="181" t="inlineStr"/>
    </row>
    <row r="59" ht="15" customHeight="1" s="28">
      <c r="A59" s="182" t="n">
        <v>46</v>
      </c>
      <c r="B59" s="182" t="n">
        <v>453</v>
      </c>
      <c r="C59" s="182" t="n">
        <v>4732.4203</v>
      </c>
      <c r="D59" s="182" t="n">
        <v>4716.7152</v>
      </c>
      <c r="E59" s="182" t="n">
        <v>15.705</v>
      </c>
      <c r="F59" s="182" t="n">
        <v>246.6483</v>
      </c>
      <c r="G59" s="182" t="inlineStr"/>
      <c r="H59" s="182" t="inlineStr"/>
    </row>
    <row r="60" ht="15" customHeight="1" s="28">
      <c r="A60" s="181" t="n">
        <v>47</v>
      </c>
      <c r="B60" s="181" t="n">
        <v>458</v>
      </c>
      <c r="C60" s="181" t="n">
        <v>4728.4898</v>
      </c>
      <c r="D60" s="181" t="n">
        <v>4715.4146</v>
      </c>
      <c r="E60" s="181" t="n">
        <v>13.0751</v>
      </c>
      <c r="F60" s="181" t="n">
        <v>170.9591</v>
      </c>
      <c r="G60" s="181" t="inlineStr"/>
      <c r="H60" s="181" t="inlineStr"/>
    </row>
    <row r="61" ht="15" customHeight="1" s="28">
      <c r="A61" s="182" t="n">
        <v>48</v>
      </c>
      <c r="B61" s="182" t="n">
        <v>463</v>
      </c>
      <c r="C61" s="182" t="n">
        <v>4729.1198</v>
      </c>
      <c r="D61" s="182" t="n">
        <v>4714.114</v>
      </c>
      <c r="E61" s="182" t="n">
        <v>15.0058</v>
      </c>
      <c r="F61" s="182" t="n">
        <v>225.1744</v>
      </c>
      <c r="G61" s="182" t="inlineStr"/>
      <c r="H61" s="182" t="inlineStr"/>
    </row>
    <row r="62" ht="15" customHeight="1" s="28">
      <c r="A62" s="181" t="n">
        <v>49</v>
      </c>
      <c r="B62" s="181" t="n">
        <v>485</v>
      </c>
      <c r="C62" s="181" t="n">
        <v>4692.6568</v>
      </c>
      <c r="D62" s="181" t="n">
        <v>4708.3913</v>
      </c>
      <c r="E62" s="181" t="n">
        <v>-15.7345</v>
      </c>
      <c r="F62" s="181" t="n">
        <v>247.5756</v>
      </c>
      <c r="G62" s="181" t="inlineStr"/>
      <c r="H62" s="181" t="inlineStr"/>
    </row>
    <row r="63" ht="15" customHeight="1" s="28">
      <c r="A63" s="182" t="n">
        <v>50</v>
      </c>
      <c r="B63" s="182" t="n">
        <v>497</v>
      </c>
      <c r="C63" s="182" t="n">
        <v>4701.3644</v>
      </c>
      <c r="D63" s="182" t="n">
        <v>4705.2699</v>
      </c>
      <c r="E63" s="182" t="n">
        <v>-3.9055</v>
      </c>
      <c r="F63" s="182" t="n">
        <v>15.2528</v>
      </c>
      <c r="G63" s="182" t="inlineStr"/>
      <c r="H63" s="182" t="inlineStr"/>
    </row>
    <row r="64" ht="15" customHeight="1" s="28">
      <c r="A64" s="181" t="n">
        <v>51</v>
      </c>
      <c r="B64" s="181" t="n">
        <v>510</v>
      </c>
      <c r="C64" s="181" t="n">
        <v>4671.0085</v>
      </c>
      <c r="D64" s="181" t="n">
        <v>4701.8883</v>
      </c>
      <c r="E64" s="181" t="n">
        <v>-30.8798</v>
      </c>
      <c r="F64" s="181" t="n">
        <v>953.5605</v>
      </c>
      <c r="G64" s="181" t="inlineStr"/>
      <c r="H64" s="181" t="inlineStr"/>
    </row>
    <row r="65" ht="15" customHeight="1" s="28">
      <c r="A65" s="182" t="n">
        <v>52</v>
      </c>
      <c r="B65" s="182" t="n">
        <v>517</v>
      </c>
      <c r="C65" s="182" t="n">
        <v>4677.5968</v>
      </c>
      <c r="D65" s="182" t="n">
        <v>4700.0674</v>
      </c>
      <c r="E65" s="182" t="n">
        <v>-22.4707</v>
      </c>
      <c r="F65" s="182" t="n">
        <v>504.9302</v>
      </c>
      <c r="G65" s="182" t="inlineStr"/>
      <c r="H65" s="182" t="inlineStr"/>
    </row>
    <row r="66" ht="15" customHeight="1" s="28">
      <c r="A66" s="181" t="n">
        <v>53</v>
      </c>
      <c r="B66" s="181" t="n">
        <v>519</v>
      </c>
      <c r="C66" s="181" t="n">
        <v>4677.6687</v>
      </c>
      <c r="D66" s="181" t="n">
        <v>4699.5472</v>
      </c>
      <c r="E66" s="181" t="n">
        <v>-21.8785</v>
      </c>
      <c r="F66" s="181" t="n">
        <v>478.6674</v>
      </c>
      <c r="G66" s="181" t="inlineStr"/>
      <c r="H66" s="181" t="inlineStr"/>
    </row>
    <row r="67" ht="15" customHeight="1" s="28">
      <c r="A67" s="182" t="n">
        <v>54</v>
      </c>
      <c r="B67" s="182" t="n">
        <v>528</v>
      </c>
      <c r="C67" s="182" t="n">
        <v>4688.6921</v>
      </c>
      <c r="D67" s="182" t="n">
        <v>4697.2061</v>
      </c>
      <c r="E67" s="182" t="n">
        <v>-8.513999999999999</v>
      </c>
      <c r="F67" s="182" t="n">
        <v>72.4873</v>
      </c>
      <c r="G67" s="182" t="inlineStr"/>
      <c r="H67" s="182" t="inlineStr"/>
    </row>
    <row r="68" ht="15" customHeight="1" s="28">
      <c r="A68" s="181" t="n">
        <v>55</v>
      </c>
      <c r="B68" s="181" t="n">
        <v>533</v>
      </c>
      <c r="C68" s="181" t="n">
        <v>4682.0741</v>
      </c>
      <c r="D68" s="181" t="n">
        <v>4695.9055</v>
      </c>
      <c r="E68" s="181" t="n">
        <v>-13.8314</v>
      </c>
      <c r="F68" s="181" t="n">
        <v>191.3068</v>
      </c>
      <c r="G68" s="181" t="inlineStr"/>
      <c r="H68" s="181" t="inlineStr"/>
    </row>
    <row r="69" ht="15" customHeight="1" s="28">
      <c r="A69" s="182" t="n">
        <v>56</v>
      </c>
      <c r="B69" s="182" t="n">
        <v>542</v>
      </c>
      <c r="C69" s="182" t="n">
        <v>4703.9862</v>
      </c>
      <c r="D69" s="182" t="n">
        <v>4693.5644</v>
      </c>
      <c r="E69" s="182" t="n">
        <v>10.4218</v>
      </c>
      <c r="F69" s="182" t="n">
        <v>108.6145</v>
      </c>
      <c r="G69" s="182" t="inlineStr"/>
      <c r="H69" s="182" t="inlineStr"/>
    </row>
    <row r="70" ht="15" customHeight="1" s="28">
      <c r="A70" s="181" t="n">
        <v>57</v>
      </c>
      <c r="B70" s="181" t="n">
        <v>545</v>
      </c>
      <c r="C70" s="181" t="n">
        <v>4705.476</v>
      </c>
      <c r="D70" s="181" t="n">
        <v>4692.784</v>
      </c>
      <c r="E70" s="181" t="n">
        <v>12.692</v>
      </c>
      <c r="F70" s="181" t="n">
        <v>161.0862</v>
      </c>
      <c r="G70" s="181" t="inlineStr"/>
      <c r="H70" s="181" t="inlineStr"/>
    </row>
    <row r="71" ht="15" customHeight="1" s="28">
      <c r="A71" s="182" t="n">
        <v>58</v>
      </c>
      <c r="B71" s="182" t="n">
        <v>554</v>
      </c>
      <c r="C71" s="182" t="n">
        <v>4725.9997</v>
      </c>
      <c r="D71" s="182" t="n">
        <v>4690.4429</v>
      </c>
      <c r="E71" s="182" t="n">
        <v>35.5568</v>
      </c>
      <c r="F71" s="182" t="n">
        <v>1264.2868</v>
      </c>
      <c r="G71" s="182" t="inlineStr"/>
      <c r="H71" s="182" t="inlineStr"/>
    </row>
    <row r="72" ht="15" customHeight="1" s="28">
      <c r="A72" s="181" t="n">
        <v>59</v>
      </c>
      <c r="B72" s="181" t="n">
        <v>559</v>
      </c>
      <c r="C72" s="181" t="n">
        <v>4723.6963</v>
      </c>
      <c r="D72" s="181" t="n">
        <v>4689.1423</v>
      </c>
      <c r="E72" s="181" t="n">
        <v>34.5539</v>
      </c>
      <c r="F72" s="181" t="n">
        <v>1193.9749</v>
      </c>
      <c r="G72" s="181" t="inlineStr"/>
      <c r="H72" s="181" t="inlineStr"/>
    </row>
    <row r="73" ht="15" customHeight="1" s="28">
      <c r="A73" s="182" t="n">
        <v>60</v>
      </c>
      <c r="B73" s="182" t="n">
        <v>562</v>
      </c>
      <c r="C73" s="182" t="n">
        <v>4723.8595</v>
      </c>
      <c r="D73" s="182" t="n">
        <v>4688.362</v>
      </c>
      <c r="E73" s="182" t="n">
        <v>35.4976</v>
      </c>
      <c r="F73" s="182" t="n">
        <v>1260.0787</v>
      </c>
      <c r="G73" s="182" t="inlineStr"/>
      <c r="H73" s="182" t="inlineStr"/>
    </row>
    <row r="74" ht="15" customHeight="1" s="28">
      <c r="A74" s="181" t="n">
        <v>61</v>
      </c>
      <c r="B74" s="181" t="n">
        <v>584</v>
      </c>
      <c r="C74" s="181" t="n">
        <v>4680.7626</v>
      </c>
      <c r="D74" s="181" t="n">
        <v>4682.6393</v>
      </c>
      <c r="E74" s="181" t="n">
        <v>-1.8766</v>
      </c>
      <c r="F74" s="181" t="n">
        <v>3.5218</v>
      </c>
      <c r="G74" s="181" t="inlineStr"/>
      <c r="H74" s="181" t="inlineStr"/>
    </row>
    <row r="75" ht="15" customHeight="1" s="28">
      <c r="A75" s="182" t="n">
        <v>62</v>
      </c>
      <c r="B75" s="182" t="n">
        <v>602</v>
      </c>
      <c r="C75" s="182" t="n">
        <v>4725.1237</v>
      </c>
      <c r="D75" s="182" t="n">
        <v>4677.9571</v>
      </c>
      <c r="E75" s="182" t="n">
        <v>47.1667</v>
      </c>
      <c r="F75" s="182" t="n">
        <v>2224.6945</v>
      </c>
      <c r="G75" s="182" t="inlineStr"/>
      <c r="H75" s="182" t="inlineStr"/>
    </row>
    <row r="76" ht="15" customHeight="1" s="28">
      <c r="A76" s="181" t="n">
        <v>63</v>
      </c>
      <c r="B76" s="181" t="n">
        <v>611</v>
      </c>
      <c r="C76" s="181" t="n">
        <v>4713.8471</v>
      </c>
      <c r="D76" s="181" t="n">
        <v>4675.616</v>
      </c>
      <c r="E76" s="181" t="n">
        <v>38.2311</v>
      </c>
      <c r="F76" s="181" t="n">
        <v>1461.6166</v>
      </c>
      <c r="G76" s="181" t="inlineStr"/>
      <c r="H76" s="181" t="inlineStr"/>
    </row>
    <row r="77" ht="15" customHeight="1" s="28">
      <c r="A77" s="182" t="n">
        <v>64</v>
      </c>
      <c r="B77" s="182" t="n">
        <v>615</v>
      </c>
      <c r="C77" s="182" t="n">
        <v>4714.2374</v>
      </c>
      <c r="D77" s="182" t="n">
        <v>4674.5755</v>
      </c>
      <c r="E77" s="182" t="n">
        <v>39.6619</v>
      </c>
      <c r="F77" s="182" t="n">
        <v>1573.0697</v>
      </c>
      <c r="G77" s="182" t="inlineStr"/>
      <c r="H77" s="182" t="inlineStr"/>
    </row>
    <row r="78" ht="15" customHeight="1" s="28">
      <c r="A78" s="181" t="n">
        <v>65</v>
      </c>
      <c r="B78" s="181" t="n">
        <v>624</v>
      </c>
      <c r="C78" s="181" t="n">
        <v>4704.1656</v>
      </c>
      <c r="D78" s="181" t="n">
        <v>4672.2344</v>
      </c>
      <c r="E78" s="181" t="n">
        <v>31.9312</v>
      </c>
      <c r="F78" s="181" t="n">
        <v>1019.6028</v>
      </c>
      <c r="G78" s="181" t="inlineStr"/>
      <c r="H78" s="181" t="inlineStr"/>
    </row>
    <row r="79" ht="15" customHeight="1" s="28">
      <c r="A79" s="182" t="n">
        <v>66</v>
      </c>
      <c r="B79" s="182" t="n">
        <v>630</v>
      </c>
      <c r="C79" s="182" t="n">
        <v>4705.993</v>
      </c>
      <c r="D79" s="182" t="n">
        <v>4670.6737</v>
      </c>
      <c r="E79" s="182" t="n">
        <v>35.3194</v>
      </c>
      <c r="F79" s="182" t="n">
        <v>1247.4588</v>
      </c>
      <c r="G79" s="182" t="inlineStr"/>
      <c r="H79" s="182" t="inlineStr"/>
    </row>
    <row r="80" ht="15" customHeight="1" s="28">
      <c r="A80" s="181" t="n">
        <v>67</v>
      </c>
      <c r="B80" s="181" t="n">
        <v>650</v>
      </c>
      <c r="C80" s="181" t="n">
        <v>4674.7766</v>
      </c>
      <c r="D80" s="181" t="n">
        <v>4665.4712</v>
      </c>
      <c r="E80" s="181" t="n">
        <v>9.305400000000001</v>
      </c>
      <c r="F80" s="181" t="n">
        <v>86.5898</v>
      </c>
      <c r="G80" s="181" t="inlineStr"/>
      <c r="H80" s="181" t="inlineStr"/>
    </row>
    <row r="81" ht="15" customHeight="1" s="28">
      <c r="A81" s="182" t="n">
        <v>68</v>
      </c>
      <c r="B81" s="182" t="n">
        <v>659</v>
      </c>
      <c r="C81" s="182" t="n">
        <v>4681.7926</v>
      </c>
      <c r="D81" s="182" t="n">
        <v>4663.1301</v>
      </c>
      <c r="E81" s="182" t="n">
        <v>18.6624</v>
      </c>
      <c r="F81" s="182" t="n">
        <v>348.287</v>
      </c>
      <c r="G81" s="182" t="inlineStr"/>
      <c r="H81" s="182" t="inlineStr"/>
    </row>
    <row r="82" ht="15" customHeight="1" s="28">
      <c r="A82" s="181" t="n">
        <v>69</v>
      </c>
      <c r="B82" s="181" t="n">
        <v>664</v>
      </c>
      <c r="C82" s="181" t="n">
        <v>4680.2319</v>
      </c>
      <c r="D82" s="181" t="n">
        <v>4661.8295</v>
      </c>
      <c r="E82" s="181" t="n">
        <v>18.4024</v>
      </c>
      <c r="F82" s="181" t="n">
        <v>338.6472</v>
      </c>
      <c r="G82" s="181" t="inlineStr"/>
      <c r="H82" s="181" t="inlineStr"/>
    </row>
    <row r="83" ht="15" customHeight="1" s="28">
      <c r="A83" s="182" t="n">
        <v>70</v>
      </c>
      <c r="B83" s="182" t="n">
        <v>678</v>
      </c>
      <c r="C83" s="182" t="n">
        <v>4693.6994</v>
      </c>
      <c r="D83" s="182" t="n">
        <v>4658.1878</v>
      </c>
      <c r="E83" s="182" t="n">
        <v>35.5116</v>
      </c>
      <c r="F83" s="182" t="n">
        <v>1261.0721</v>
      </c>
      <c r="G83" s="182" t="inlineStr"/>
      <c r="H83" s="182" t="inlineStr"/>
    </row>
    <row r="84" ht="15" customHeight="1" s="28">
      <c r="A84" s="181" t="n">
        <v>71</v>
      </c>
      <c r="B84" s="181" t="n">
        <v>689</v>
      </c>
      <c r="C84" s="181" t="n">
        <v>4672.4743</v>
      </c>
      <c r="D84" s="181" t="n">
        <v>4655.3265</v>
      </c>
      <c r="E84" s="181" t="n">
        <v>17.1479</v>
      </c>
      <c r="F84" s="181" t="n">
        <v>294.0491</v>
      </c>
      <c r="G84" s="181" t="inlineStr"/>
      <c r="H84" s="181" t="inlineStr"/>
    </row>
    <row r="85" ht="15" customHeight="1" s="28">
      <c r="A85" s="182" t="n">
        <v>72</v>
      </c>
      <c r="B85" s="182" t="n">
        <v>692</v>
      </c>
      <c r="C85" s="182" t="n">
        <v>4672.133</v>
      </c>
      <c r="D85" s="182" t="n">
        <v>4654.5461</v>
      </c>
      <c r="E85" s="182" t="n">
        <v>17.5869</v>
      </c>
      <c r="F85" s="182" t="n">
        <v>309.2985</v>
      </c>
      <c r="G85" s="182" t="inlineStr"/>
      <c r="H85" s="182" t="inlineStr"/>
    </row>
    <row r="86" ht="15" customHeight="1" s="28">
      <c r="A86" s="181" t="n">
        <v>73</v>
      </c>
      <c r="B86" s="181" t="n">
        <v>727</v>
      </c>
      <c r="C86" s="181" t="n">
        <v>4582.2172</v>
      </c>
      <c r="D86" s="181" t="n">
        <v>4645.4418</v>
      </c>
      <c r="E86" s="181" t="n">
        <v>-63.2246</v>
      </c>
      <c r="F86" s="181" t="n">
        <v>3997.3495</v>
      </c>
      <c r="G86" s="181" t="inlineStr"/>
      <c r="H86" s="181" t="inlineStr"/>
    </row>
    <row r="87" ht="15" customHeight="1" s="28">
      <c r="A87" s="182" t="n">
        <v>74</v>
      </c>
      <c r="B87" s="182" t="n">
        <v>729</v>
      </c>
      <c r="C87" s="182" t="n">
        <v>4581.4012</v>
      </c>
      <c r="D87" s="182" t="n">
        <v>4644.9216</v>
      </c>
      <c r="E87" s="182" t="n">
        <v>-63.5203</v>
      </c>
      <c r="F87" s="182" t="n">
        <v>4034.8325</v>
      </c>
      <c r="G87" s="182" t="inlineStr"/>
      <c r="H87" s="182" t="inlineStr"/>
    </row>
    <row r="88" ht="15" customHeight="1" s="28">
      <c r="A88" s="181" t="n">
        <v>75</v>
      </c>
      <c r="B88" s="181" t="n">
        <v>736</v>
      </c>
      <c r="C88" s="181" t="n">
        <v>4572.3875</v>
      </c>
      <c r="D88" s="181" t="n">
        <v>4643.1007</v>
      </c>
      <c r="E88" s="181" t="n">
        <v>-70.7132</v>
      </c>
      <c r="F88" s="181" t="n">
        <v>5000.362</v>
      </c>
      <c r="G88" s="181" t="inlineStr"/>
      <c r="H88" s="181" t="inlineStr"/>
    </row>
    <row r="89" ht="15" customHeight="1" s="28">
      <c r="A89" s="182" t="n">
        <v>76</v>
      </c>
      <c r="B89" s="182" t="n">
        <v>755</v>
      </c>
      <c r="C89" s="182" t="n">
        <v>4596.5934</v>
      </c>
      <c r="D89" s="182" t="n">
        <v>4638.1584</v>
      </c>
      <c r="E89" s="182" t="n">
        <v>-41.565</v>
      </c>
      <c r="F89" s="182" t="n">
        <v>1727.6509</v>
      </c>
      <c r="G89" s="182" t="inlineStr"/>
      <c r="H89" s="182" t="inlineStr"/>
    </row>
    <row r="90" ht="15" customHeight="1" s="28">
      <c r="A90" s="181" t="n">
        <v>77</v>
      </c>
      <c r="B90" s="181" t="n">
        <v>764</v>
      </c>
      <c r="C90" s="181" t="n">
        <v>4594.1765</v>
      </c>
      <c r="D90" s="181" t="n">
        <v>4635.8173</v>
      </c>
      <c r="E90" s="181" t="n">
        <v>-41.6408</v>
      </c>
      <c r="F90" s="181" t="n">
        <v>1733.9547</v>
      </c>
      <c r="G90" s="181" t="inlineStr"/>
      <c r="H90" s="181" t="inlineStr"/>
    </row>
    <row r="91" ht="15" customHeight="1" s="28">
      <c r="A91" s="182" t="n">
        <v>78</v>
      </c>
      <c r="B91" s="182" t="n">
        <v>770</v>
      </c>
      <c r="C91" s="182" t="n">
        <v>4596.4324</v>
      </c>
      <c r="D91" s="182" t="n">
        <v>4634.2566</v>
      </c>
      <c r="E91" s="182" t="n">
        <v>-37.8242</v>
      </c>
      <c r="F91" s="182" t="n">
        <v>1430.6678</v>
      </c>
      <c r="G91" s="182" t="inlineStr"/>
      <c r="H91" s="182" t="inlineStr"/>
    </row>
    <row r="92" ht="15" customHeight="1" s="28">
      <c r="A92" s="181" t="n">
        <v>79</v>
      </c>
      <c r="B92" s="181" t="n">
        <v>776</v>
      </c>
      <c r="C92" s="181" t="n">
        <v>4592.2323</v>
      </c>
      <c r="D92" s="181" t="n">
        <v>4632.6958</v>
      </c>
      <c r="E92" s="181" t="n">
        <v>-40.4636</v>
      </c>
      <c r="F92" s="181" t="n">
        <v>1637.3012</v>
      </c>
      <c r="G92" s="181" t="inlineStr"/>
      <c r="H92" s="181" t="inlineStr"/>
    </row>
    <row r="93" ht="15" customHeight="1" s="28">
      <c r="A93" s="182" t="n">
        <v>80</v>
      </c>
      <c r="B93" s="182" t="n">
        <v>788</v>
      </c>
      <c r="C93" s="182" t="n">
        <v>4600.8452</v>
      </c>
      <c r="D93" s="182" t="n">
        <v>4629.5744</v>
      </c>
      <c r="E93" s="182" t="n">
        <v>-28.7292</v>
      </c>
      <c r="F93" s="182" t="n">
        <v>825.3683</v>
      </c>
      <c r="G93" s="182" t="inlineStr"/>
      <c r="H93" s="182" t="inlineStr"/>
    </row>
    <row r="94" ht="15" customHeight="1" s="28">
      <c r="A94" s="181" t="n">
        <v>81</v>
      </c>
      <c r="B94" s="181" t="n">
        <v>809</v>
      </c>
      <c r="C94" s="181" t="n">
        <v>4565.6079</v>
      </c>
      <c r="D94" s="181" t="n">
        <v>4624.1118</v>
      </c>
      <c r="E94" s="181" t="n">
        <v>-58.5039</v>
      </c>
      <c r="F94" s="181" t="n">
        <v>3422.7102</v>
      </c>
      <c r="G94" s="181" t="inlineStr"/>
      <c r="H94" s="181" t="inlineStr"/>
    </row>
    <row r="95" ht="15" customHeight="1" s="28">
      <c r="A95" s="182" t="n">
        <v>82</v>
      </c>
      <c r="B95" s="182" t="n">
        <v>815</v>
      </c>
      <c r="C95" s="182" t="n">
        <v>4566.1015</v>
      </c>
      <c r="D95" s="182" t="n">
        <v>4622.5511</v>
      </c>
      <c r="E95" s="182" t="n">
        <v>-56.4496</v>
      </c>
      <c r="F95" s="182" t="n">
        <v>3186.562</v>
      </c>
      <c r="G95" s="182" t="inlineStr"/>
      <c r="H95" s="182" t="inlineStr"/>
    </row>
    <row r="96" ht="15" customHeight="1" s="28">
      <c r="A96" s="181" t="n">
        <v>83</v>
      </c>
      <c r="B96" s="181" t="n">
        <v>826</v>
      </c>
      <c r="C96" s="181" t="n">
        <v>4532.0678</v>
      </c>
      <c r="D96" s="181" t="n">
        <v>4619.6897</v>
      </c>
      <c r="E96" s="181" t="n">
        <v>-87.622</v>
      </c>
      <c r="F96" s="181" t="n">
        <v>7677.613</v>
      </c>
      <c r="G96" s="181" t="inlineStr"/>
      <c r="H96" s="181" t="inlineStr"/>
    </row>
    <row r="97" ht="15" customHeight="1" s="28">
      <c r="A97" s="182" t="n">
        <v>84</v>
      </c>
      <c r="B97" s="182" t="n">
        <v>835</v>
      </c>
      <c r="C97" s="182" t="n">
        <v>4551.6611</v>
      </c>
      <c r="D97" s="182" t="n">
        <v>4617.3487</v>
      </c>
      <c r="E97" s="182" t="n">
        <v>-65.6876</v>
      </c>
      <c r="F97" s="182" t="n">
        <v>4314.8544</v>
      </c>
      <c r="G97" s="182" t="inlineStr"/>
      <c r="H97" s="182" t="inlineStr"/>
    </row>
    <row r="98" ht="15" customHeight="1" s="28">
      <c r="A98" s="181" t="n">
        <v>85</v>
      </c>
      <c r="B98" s="181" t="n">
        <v>843</v>
      </c>
      <c r="C98" s="181" t="n">
        <v>4535.9611</v>
      </c>
      <c r="D98" s="181" t="n">
        <v>4615.2677</v>
      </c>
      <c r="E98" s="181" t="n">
        <v>-79.3065</v>
      </c>
      <c r="F98" s="181" t="n">
        <v>6289.5281</v>
      </c>
      <c r="G98" s="181" t="inlineStr"/>
      <c r="H98" s="181" t="inlineStr"/>
    </row>
    <row r="99" ht="15" customHeight="1" s="28">
      <c r="A99" s="182" t="n">
        <v>86</v>
      </c>
      <c r="B99" s="182" t="n">
        <v>869</v>
      </c>
      <c r="C99" s="182" t="n">
        <v>4573.7037</v>
      </c>
      <c r="D99" s="182" t="n">
        <v>4608.5045</v>
      </c>
      <c r="E99" s="182" t="n">
        <v>-34.8008</v>
      </c>
      <c r="F99" s="182" t="n">
        <v>1211.0946</v>
      </c>
      <c r="G99" s="182" t="inlineStr"/>
      <c r="H99" s="182" t="inlineStr"/>
    </row>
    <row r="100" ht="15" customHeight="1" s="28">
      <c r="A100" s="181" t="n">
        <v>87</v>
      </c>
      <c r="B100" s="181" t="n">
        <v>880</v>
      </c>
      <c r="C100" s="181" t="n">
        <v>4551.2341</v>
      </c>
      <c r="D100" s="181" t="n">
        <v>4605.6432</v>
      </c>
      <c r="E100" s="181" t="n">
        <v>-54.4091</v>
      </c>
      <c r="F100" s="181" t="n">
        <v>2960.3449</v>
      </c>
      <c r="G100" s="181" t="inlineStr"/>
      <c r="H100" s="181" t="inlineStr"/>
    </row>
    <row r="101" ht="15" customHeight="1" s="28">
      <c r="A101" s="182" t="n">
        <v>88</v>
      </c>
      <c r="B101" s="182" t="n">
        <v>906</v>
      </c>
      <c r="C101" s="182" t="n">
        <v>4635.2304</v>
      </c>
      <c r="D101" s="182" t="n">
        <v>4598.88</v>
      </c>
      <c r="E101" s="182" t="n">
        <v>36.3504</v>
      </c>
      <c r="F101" s="182" t="n">
        <v>1321.3515</v>
      </c>
      <c r="G101" s="182" t="inlineStr"/>
      <c r="H101" s="182" t="inlineStr"/>
    </row>
    <row r="102" ht="15" customHeight="1" s="28">
      <c r="A102" s="181" t="n">
        <v>89</v>
      </c>
      <c r="B102" s="181" t="n">
        <v>928</v>
      </c>
      <c r="C102" s="181" t="n">
        <v>4612.4703</v>
      </c>
      <c r="D102" s="181" t="n">
        <v>4593.1573</v>
      </c>
      <c r="E102" s="181" t="n">
        <v>19.313</v>
      </c>
      <c r="F102" s="181" t="n">
        <v>372.9902</v>
      </c>
      <c r="G102" s="181" t="inlineStr"/>
      <c r="H102" s="181" t="inlineStr"/>
    </row>
    <row r="103" ht="15" customHeight="1" s="28">
      <c r="A103" s="182" t="n">
        <v>90</v>
      </c>
      <c r="B103" s="182" t="n">
        <v>936</v>
      </c>
      <c r="C103" s="182" t="n">
        <v>4621.3179</v>
      </c>
      <c r="D103" s="182" t="n">
        <v>4591.0763</v>
      </c>
      <c r="E103" s="182" t="n">
        <v>30.2416</v>
      </c>
      <c r="F103" s="182" t="n">
        <v>914.5525</v>
      </c>
      <c r="G103" s="182" t="inlineStr"/>
      <c r="H103" s="182" t="inlineStr"/>
    </row>
    <row r="104" ht="15" customHeight="1" s="28">
      <c r="A104" s="181" t="n">
        <v>91</v>
      </c>
      <c r="B104" s="181" t="n">
        <v>941</v>
      </c>
      <c r="C104" s="181" t="n">
        <v>4618.4207</v>
      </c>
      <c r="D104" s="181" t="n">
        <v>4589.7757</v>
      </c>
      <c r="E104" s="181" t="n">
        <v>28.6449</v>
      </c>
      <c r="F104" s="181" t="n">
        <v>820.5325</v>
      </c>
      <c r="G104" s="181" t="inlineStr"/>
      <c r="H104" s="181" t="inlineStr"/>
    </row>
    <row r="105" ht="15" customHeight="1" s="28">
      <c r="A105" s="182" t="n">
        <v>92</v>
      </c>
      <c r="B105" s="182" t="n">
        <v>949</v>
      </c>
      <c r="C105" s="182" t="n">
        <v>4631.1862</v>
      </c>
      <c r="D105" s="182" t="n">
        <v>4587.6947</v>
      </c>
      <c r="E105" s="182" t="n">
        <v>43.4915</v>
      </c>
      <c r="F105" s="182" t="n">
        <v>1891.5093</v>
      </c>
      <c r="G105" s="182" t="inlineStr"/>
      <c r="H105" s="182" t="inlineStr"/>
    </row>
    <row r="106" ht="15" customHeight="1" s="28">
      <c r="A106" s="181" t="n">
        <v>93</v>
      </c>
      <c r="B106" s="181" t="n">
        <v>958</v>
      </c>
      <c r="C106" s="181" t="n">
        <v>4621.1766</v>
      </c>
      <c r="D106" s="181" t="n">
        <v>4585.3536</v>
      </c>
      <c r="E106" s="181" t="n">
        <v>35.823</v>
      </c>
      <c r="F106" s="181" t="n">
        <v>1283.2868</v>
      </c>
      <c r="G106" s="181" t="inlineStr"/>
      <c r="H106" s="181" t="inlineStr"/>
    </row>
    <row r="107" ht="15" customHeight="1" s="28">
      <c r="A107" s="182" t="n">
        <v>94</v>
      </c>
      <c r="B107" s="182" t="n">
        <v>965</v>
      </c>
      <c r="C107" s="182" t="n">
        <v>4624.7019</v>
      </c>
      <c r="D107" s="182" t="n">
        <v>4583.5328</v>
      </c>
      <c r="E107" s="182" t="n">
        <v>41.1691</v>
      </c>
      <c r="F107" s="182" t="n">
        <v>1694.8929</v>
      </c>
      <c r="G107" s="182" t="inlineStr"/>
      <c r="H107" s="182" t="inlineStr"/>
    </row>
    <row r="108" ht="15" customHeight="1" s="28">
      <c r="A108" s="181" t="n">
        <v>95</v>
      </c>
      <c r="B108" s="181" t="n">
        <v>992</v>
      </c>
      <c r="C108" s="181" t="n">
        <v>4566.9336</v>
      </c>
      <c r="D108" s="181" t="n">
        <v>4576.5095</v>
      </c>
      <c r="E108" s="181" t="n">
        <v>-9.575900000000001</v>
      </c>
      <c r="F108" s="181" t="n">
        <v>91.6973</v>
      </c>
      <c r="G108" s="181" t="inlineStr"/>
      <c r="H108" s="181" t="inlineStr"/>
    </row>
    <row r="109" ht="15" customHeight="1" s="28">
      <c r="A109" s="182" t="n">
        <v>96</v>
      </c>
      <c r="B109" s="182" t="n">
        <v>1016</v>
      </c>
      <c r="C109" s="182" t="n">
        <v>4640.4135</v>
      </c>
      <c r="D109" s="182" t="n">
        <v>4570.2666</v>
      </c>
      <c r="E109" s="182" t="n">
        <v>70.1469</v>
      </c>
      <c r="F109" s="182" t="n">
        <v>4920.5859</v>
      </c>
      <c r="G109" s="182" t="inlineStr"/>
      <c r="H109" s="182" t="inlineStr"/>
    </row>
    <row r="110" ht="15" customHeight="1" s="28">
      <c r="A110" s="181" t="n">
        <v>97</v>
      </c>
      <c r="B110" s="181" t="n">
        <v>1034</v>
      </c>
      <c r="C110" s="181" t="n">
        <v>4615.1934</v>
      </c>
      <c r="D110" s="181" t="n">
        <v>4565.5844</v>
      </c>
      <c r="E110" s="181" t="n">
        <v>49.6091</v>
      </c>
      <c r="F110" s="181" t="n">
        <v>2461.0582</v>
      </c>
      <c r="G110" s="181" t="inlineStr"/>
      <c r="H110" s="181" t="inlineStr"/>
    </row>
    <row r="111" ht="15" customHeight="1" s="28">
      <c r="A111" s="182" t="n">
        <v>98</v>
      </c>
      <c r="B111" s="182" t="n">
        <v>1040</v>
      </c>
      <c r="C111" s="182" t="n">
        <v>4619.5298</v>
      </c>
      <c r="D111" s="182" t="n">
        <v>4564.0236</v>
      </c>
      <c r="E111" s="182" t="n">
        <v>55.5062</v>
      </c>
      <c r="F111" s="182" t="n">
        <v>3080.9366</v>
      </c>
      <c r="G111" s="182" t="inlineStr"/>
      <c r="H111" s="182" t="inlineStr"/>
    </row>
    <row r="112" ht="15" customHeight="1" s="28">
      <c r="A112" s="181" t="n">
        <v>99</v>
      </c>
      <c r="B112" s="181" t="n">
        <v>1053</v>
      </c>
      <c r="C112" s="181" t="n">
        <v>4603.4631</v>
      </c>
      <c r="D112" s="181" t="n">
        <v>4560.6421</v>
      </c>
      <c r="E112" s="181" t="n">
        <v>42.8211</v>
      </c>
      <c r="F112" s="181" t="n">
        <v>1833.6441</v>
      </c>
      <c r="G112" s="181" t="inlineStr"/>
      <c r="H112" s="181" t="inlineStr"/>
    </row>
    <row r="113" ht="15" customHeight="1" s="28">
      <c r="A113" s="182" t="n">
        <v>100</v>
      </c>
      <c r="B113" s="182" t="n">
        <v>1061</v>
      </c>
      <c r="C113" s="182" t="n">
        <v>4609.1787</v>
      </c>
      <c r="D113" s="182" t="n">
        <v>4558.5611</v>
      </c>
      <c r="E113" s="182" t="n">
        <v>50.6176</v>
      </c>
      <c r="F113" s="182" t="n">
        <v>2562.1421</v>
      </c>
      <c r="G113" s="182" t="inlineStr"/>
      <c r="H113" s="182" t="inlineStr"/>
    </row>
    <row r="114" ht="15" customHeight="1" s="28">
      <c r="A114" s="181" t="n">
        <v>101</v>
      </c>
      <c r="B114" s="181" t="n">
        <v>1089</v>
      </c>
      <c r="C114" s="181" t="n">
        <v>4559.2624</v>
      </c>
      <c r="D114" s="181" t="n">
        <v>4551.2777</v>
      </c>
      <c r="E114" s="181" t="n">
        <v>7.9847</v>
      </c>
      <c r="F114" s="181" t="n">
        <v>63.7555</v>
      </c>
      <c r="G114" s="181" t="inlineStr"/>
      <c r="H114" s="181" t="inlineStr"/>
    </row>
    <row r="115" ht="15" customHeight="1" s="28">
      <c r="A115" s="182" t="n">
        <v>102</v>
      </c>
      <c r="B115" s="182" t="n">
        <v>1101</v>
      </c>
      <c r="C115" s="182" t="n">
        <v>4566.5537</v>
      </c>
      <c r="D115" s="182" t="n">
        <v>4548.1562</v>
      </c>
      <c r="E115" s="182" t="n">
        <v>18.3975</v>
      </c>
      <c r="F115" s="182" t="n">
        <v>338.469</v>
      </c>
      <c r="G115" s="182" t="inlineStr"/>
      <c r="H115" s="182" t="inlineStr"/>
    </row>
    <row r="116" ht="15" customHeight="1" s="28">
      <c r="A116" s="181" t="n">
        <v>103</v>
      </c>
      <c r="B116" s="181" t="n">
        <v>1112</v>
      </c>
      <c r="C116" s="181" t="n">
        <v>4516.7968</v>
      </c>
      <c r="D116" s="181" t="n">
        <v>4545.2949</v>
      </c>
      <c r="E116" s="181" t="n">
        <v>-28.4981</v>
      </c>
      <c r="F116" s="181" t="n">
        <v>812.1401</v>
      </c>
      <c r="G116" s="181" t="inlineStr"/>
      <c r="H116" s="181" t="inlineStr"/>
    </row>
    <row r="117" ht="15" customHeight="1" s="28">
      <c r="A117" s="182" t="n">
        <v>104</v>
      </c>
      <c r="B117" s="182" t="n">
        <v>1117</v>
      </c>
      <c r="C117" s="182" t="n">
        <v>4519.7938</v>
      </c>
      <c r="D117" s="182" t="n">
        <v>4543.9943</v>
      </c>
      <c r="E117" s="182" t="n">
        <v>-24.2004</v>
      </c>
      <c r="F117" s="182" t="n">
        <v>585.6614</v>
      </c>
      <c r="G117" s="182" t="inlineStr"/>
      <c r="H117" s="182" t="inlineStr"/>
    </row>
    <row r="118" ht="15" customHeight="1" s="28">
      <c r="A118" s="181" t="n">
        <v>105</v>
      </c>
      <c r="B118" s="181" t="n">
        <v>1123</v>
      </c>
      <c r="C118" s="181" t="n">
        <v>4517.1665</v>
      </c>
      <c r="D118" s="181" t="n">
        <v>4542.4335</v>
      </c>
      <c r="E118" s="181" t="n">
        <v>-25.267</v>
      </c>
      <c r="F118" s="181" t="n">
        <v>638.4208</v>
      </c>
      <c r="G118" s="181" t="inlineStr"/>
      <c r="H118" s="181" t="inlineStr"/>
    </row>
    <row r="119" ht="15" customHeight="1" s="28">
      <c r="A119" s="182" t="n">
        <v>106</v>
      </c>
      <c r="B119" s="182" t="n">
        <v>1130</v>
      </c>
      <c r="C119" s="182" t="n">
        <v>4519.7573</v>
      </c>
      <c r="D119" s="182" t="n">
        <v>4540.6127</v>
      </c>
      <c r="E119" s="182" t="n">
        <v>-20.8554</v>
      </c>
      <c r="F119" s="182" t="n">
        <v>434.9463</v>
      </c>
      <c r="G119" s="182" t="inlineStr"/>
      <c r="H119" s="182" t="inlineStr"/>
    </row>
    <row r="120" ht="15" customHeight="1" s="28">
      <c r="A120" s="181" t="n">
        <v>107</v>
      </c>
      <c r="B120" s="181" t="n">
        <v>1134</v>
      </c>
      <c r="C120" s="181" t="n">
        <v>4519.4497</v>
      </c>
      <c r="D120" s="181" t="n">
        <v>4539.5722</v>
      </c>
      <c r="E120" s="181" t="n">
        <v>-20.1225</v>
      </c>
      <c r="F120" s="181" t="n">
        <v>404.9157</v>
      </c>
      <c r="G120" s="181" t="inlineStr"/>
      <c r="H120" s="181" t="inlineStr"/>
    </row>
    <row r="122" ht="18" customHeight="1" s="28">
      <c r="A122" s="172" t="inlineStr">
        <is>
          <t>STEP 2 — Auxiliary Regression eᵢ² ~ bar_idx  →  Breusch-Pagan LM</t>
        </is>
      </c>
    </row>
    <row r="123" ht="16" customHeight="1" s="28">
      <c r="A123" s="186" t="inlineStr">
        <is>
          <t>n</t>
        </is>
      </c>
      <c r="E123" s="187" t="inlineStr">
        <is>
          <t>107</t>
        </is>
      </c>
    </row>
    <row r="124" ht="16" customHeight="1" s="28">
      <c r="A124" s="186" t="inlineStr">
        <is>
          <t>BP LM statistic = n × R²_aux</t>
        </is>
      </c>
      <c r="E124" s="187" t="inlineStr">
        <is>
          <t>3.864400</t>
        </is>
      </c>
    </row>
    <row r="125" ht="16" customHeight="1" s="28">
      <c r="A125" s="186" t="inlineStr">
        <is>
          <t>p-value (chi-sq, df=1)</t>
        </is>
      </c>
      <c r="E125" s="187" t="inlineStr">
        <is>
          <t>4.931967e-02</t>
        </is>
      </c>
    </row>
    <row r="126" ht="16" customHeight="1" s="28">
      <c r="A126" s="186" t="inlineStr">
        <is>
          <t>Critical χ²(1, α=0.05)</t>
        </is>
      </c>
      <c r="E126" s="187" t="inlineStr">
        <is>
          <t>3.841</t>
        </is>
      </c>
    </row>
    <row r="127" ht="22" customHeight="1" s="28">
      <c r="A127" s="189" t="inlineStr">
        <is>
          <t>DECISION:  LM = 3.8644, p = 4.9320e-02 &lt; α (0.05)  ⟹  REJECT H₀  →  OLS residuals are HETEROSCEDASTIC</t>
        </is>
      </c>
    </row>
  </sheetData>
  <mergeCells count="20">
    <mergeCell ref="A126:D126"/>
    <mergeCell ref="B9:H9"/>
    <mergeCell ref="E124:H124"/>
    <mergeCell ref="B6:H6"/>
    <mergeCell ref="A125:D125"/>
    <mergeCell ref="A1:H1"/>
    <mergeCell ref="E125:H125"/>
    <mergeCell ref="B5:H5"/>
    <mergeCell ref="B7:H7"/>
    <mergeCell ref="A123:D123"/>
    <mergeCell ref="A12:H12"/>
    <mergeCell ref="E123:H123"/>
    <mergeCell ref="E126:H126"/>
    <mergeCell ref="A2:H2"/>
    <mergeCell ref="A124:D124"/>
    <mergeCell ref="A4:H4"/>
    <mergeCell ref="B8:H8"/>
    <mergeCell ref="A122:H122"/>
    <mergeCell ref="B10:H10"/>
    <mergeCell ref="A127:H1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14" customWidth="1" style="28" min="7" max="7"/>
    <col width="6" customWidth="1" style="28" min="8" max="8"/>
    <col width="6" customWidth="1" style="28" min="9" max="9"/>
  </cols>
  <sheetData>
    <row r="1" ht="26" customHeight="1" s="28">
      <c r="A1" s="170" t="inlineStr">
        <is>
          <t>WHITE'S HOMOSCEDASTICITY TEST  |  MODEL B2  |  n = 1135</t>
        </is>
      </c>
    </row>
    <row r="2" ht="20" customHeight="1" s="28">
      <c r="A2" s="183" t="inlineStr">
        <is>
          <t>Null hypothesis H₀: homoscedasticity  |  Residual: eᵢ = closeᵢ − OLS  |  Auxiliary: eᵢ² ~ bar_idx + bar_idx²  |  Dataset: V3894</t>
        </is>
      </c>
    </row>
    <row r="4" ht="18" customHeight="1" s="28">
      <c r="A4" s="172" t="inlineStr">
        <is>
          <t>Context &amp; Parameters</t>
        </is>
      </c>
    </row>
    <row r="5" ht="16" customHeight="1" s="28">
      <c r="A5" s="184" t="inlineStr">
        <is>
          <t>DATASET:</t>
        </is>
      </c>
      <c r="B5" s="185" t="inlineStr">
        <is>
          <t>DavinTrade_V3894_Data_XAUUSD_M15.txt</t>
        </is>
      </c>
    </row>
    <row r="6" ht="16" customHeight="1" s="28">
      <c r="A6" s="184" t="inlineStr">
        <is>
          <t>MODEL:</t>
        </is>
      </c>
      <c r="B6" s="185" t="inlineStr">
        <is>
          <t>MODEL B2 — All 1,135 bars, close price</t>
        </is>
      </c>
    </row>
    <row r="7" ht="16" customHeight="1" s="28">
      <c r="A7" s="184" t="inlineStr">
        <is>
          <t>RESIDUAL:</t>
        </is>
      </c>
      <c r="B7" s="185" t="inlineStr">
        <is>
          <t>eᵢ = closeᵢ − (4830.2333 + -0.253895×bar_idxᵢ)</t>
        </is>
      </c>
    </row>
    <row r="8" ht="16" customHeight="1" s="28">
      <c r="A8" s="184" t="inlineStr">
        <is>
          <t>n:</t>
        </is>
      </c>
      <c r="B8" s="185" t="inlineStr">
        <is>
          <t>1135 bars</t>
        </is>
      </c>
    </row>
    <row r="9" ht="16" customHeight="1" s="28">
      <c r="A9" s="184" t="inlineStr">
        <is>
          <t>TEST:</t>
        </is>
      </c>
      <c r="B9" s="185" t="inlineStr">
        <is>
          <t>White's Test (n ≥ 100)</t>
        </is>
      </c>
    </row>
    <row r="10" ht="16" customHeight="1" s="28">
      <c r="A10" s="184" t="inlineStr">
        <is>
          <t>α:</t>
        </is>
      </c>
      <c r="B10" s="185" t="inlineStr">
        <is>
          <t>0.05</t>
        </is>
      </c>
    </row>
    <row r="12" ht="18" customHeight="1" s="28">
      <c r="A12" s="172" t="inlineStr">
        <is>
          <t>STEP 1 — Residuals eᵢ, eᵢ², and Xᵢ² (all 1135 bars)</t>
        </is>
      </c>
    </row>
    <row r="13" ht="28" customHeight="1" s="28">
      <c r="A13" s="62" t="inlineStr">
        <is>
          <t>i</t>
        </is>
      </c>
      <c r="B13" s="62" t="inlineStr">
        <is>
          <t>Bar Index (X)</t>
        </is>
      </c>
      <c r="C13" s="62" t="inlineStr">
        <is>
          <t>Close</t>
        </is>
      </c>
      <c r="D13" s="62" t="inlineStr">
        <is>
          <t>OLS Fitted</t>
        </is>
      </c>
      <c r="E13" s="62" t="inlineStr">
        <is>
          <t>eᵢ</t>
        </is>
      </c>
      <c r="F13" s="62" t="inlineStr">
        <is>
          <t>eᵢ²</t>
        </is>
      </c>
      <c r="G13" s="62" t="inlineStr">
        <is>
          <t>X²</t>
        </is>
      </c>
      <c r="H13" s="62" t="inlineStr"/>
      <c r="I13" s="62" t="inlineStr"/>
    </row>
    <row r="14" ht="15" customHeight="1" s="28">
      <c r="A14" s="181" t="n">
        <v>1</v>
      </c>
      <c r="B14" s="181" t="n">
        <v>0</v>
      </c>
      <c r="C14" s="181" t="n">
        <v>4806.71</v>
      </c>
      <c r="D14" s="181" t="n">
        <v>4830.2333</v>
      </c>
      <c r="E14" s="181" t="n">
        <v>-23.5233</v>
      </c>
      <c r="F14" s="181" t="n">
        <v>553.3444</v>
      </c>
      <c r="G14" s="181" t="n">
        <v>0</v>
      </c>
      <c r="H14" s="181" t="inlineStr"/>
      <c r="I14" s="181" t="inlineStr"/>
    </row>
    <row r="15" ht="15" customHeight="1" s="28">
      <c r="A15" s="182" t="n">
        <v>2</v>
      </c>
      <c r="B15" s="182" t="n">
        <v>1</v>
      </c>
      <c r="C15" s="182" t="n">
        <v>4802.1</v>
      </c>
      <c r="D15" s="182" t="n">
        <v>4829.9794</v>
      </c>
      <c r="E15" s="182" t="n">
        <v>-27.8794</v>
      </c>
      <c r="F15" s="182" t="n">
        <v>777.2598</v>
      </c>
      <c r="G15" s="182" t="n">
        <v>1</v>
      </c>
      <c r="H15" s="182" t="inlineStr"/>
      <c r="I15" s="182" t="inlineStr"/>
    </row>
    <row r="16" ht="15" customHeight="1" s="28">
      <c r="A16" s="181" t="n">
        <v>3</v>
      </c>
      <c r="B16" s="181" t="n">
        <v>2</v>
      </c>
      <c r="C16" s="181" t="n">
        <v>4802.98</v>
      </c>
      <c r="D16" s="181" t="n">
        <v>4829.7255</v>
      </c>
      <c r="E16" s="181" t="n">
        <v>-26.7455</v>
      </c>
      <c r="F16" s="181" t="n">
        <v>715.3209000000001</v>
      </c>
      <c r="G16" s="181" t="n">
        <v>4</v>
      </c>
      <c r="H16" s="181" t="inlineStr"/>
      <c r="I16" s="181" t="inlineStr"/>
    </row>
    <row r="17" ht="15" customHeight="1" s="28">
      <c r="A17" s="182" t="n">
        <v>4</v>
      </c>
      <c r="B17" s="182" t="n">
        <v>3</v>
      </c>
      <c r="C17" s="182" t="n">
        <v>4807.09</v>
      </c>
      <c r="D17" s="182" t="n">
        <v>4829.4716</v>
      </c>
      <c r="E17" s="182" t="n">
        <v>-22.3816</v>
      </c>
      <c r="F17" s="182" t="n">
        <v>500.9355</v>
      </c>
      <c r="G17" s="182" t="n">
        <v>9</v>
      </c>
      <c r="H17" s="182" t="inlineStr"/>
      <c r="I17" s="182" t="inlineStr"/>
    </row>
    <row r="18" ht="15" customHeight="1" s="28">
      <c r="A18" s="181" t="n">
        <v>5</v>
      </c>
      <c r="B18" s="181" t="n">
        <v>4</v>
      </c>
      <c r="C18" s="181" t="n">
        <v>4805.02</v>
      </c>
      <c r="D18" s="181" t="n">
        <v>4829.2177</v>
      </c>
      <c r="E18" s="181" t="n">
        <v>-24.1977</v>
      </c>
      <c r="F18" s="181" t="n">
        <v>585.5282999999999</v>
      </c>
      <c r="G18" s="181" t="n">
        <v>16</v>
      </c>
      <c r="H18" s="181" t="inlineStr"/>
      <c r="I18" s="181" t="inlineStr"/>
    </row>
    <row r="19" ht="15" customHeight="1" s="28">
      <c r="A19" s="182" t="n">
        <v>6</v>
      </c>
      <c r="B19" s="182" t="n">
        <v>5</v>
      </c>
      <c r="C19" s="182" t="n">
        <v>4799.31</v>
      </c>
      <c r="D19" s="182" t="n">
        <v>4828.9638</v>
      </c>
      <c r="E19" s="182" t="n">
        <v>-29.6538</v>
      </c>
      <c r="F19" s="182" t="n">
        <v>879.3477</v>
      </c>
      <c r="G19" s="182" t="n">
        <v>25</v>
      </c>
      <c r="H19" s="182" t="inlineStr"/>
      <c r="I19" s="182" t="inlineStr"/>
    </row>
    <row r="20" ht="15" customHeight="1" s="28">
      <c r="A20" s="181" t="n">
        <v>7</v>
      </c>
      <c r="B20" s="181" t="n">
        <v>6</v>
      </c>
      <c r="C20" s="181" t="n">
        <v>4790.11</v>
      </c>
      <c r="D20" s="181" t="n">
        <v>4828.7099</v>
      </c>
      <c r="E20" s="181" t="n">
        <v>-38.5999</v>
      </c>
      <c r="F20" s="181" t="n">
        <v>1489.9524</v>
      </c>
      <c r="G20" s="181" t="n">
        <v>36</v>
      </c>
      <c r="H20" s="181" t="inlineStr"/>
      <c r="I20" s="181" t="inlineStr"/>
    </row>
    <row r="21" ht="15" customHeight="1" s="28">
      <c r="A21" s="182" t="n">
        <v>8</v>
      </c>
      <c r="B21" s="182" t="n">
        <v>7</v>
      </c>
      <c r="C21" s="182" t="n">
        <v>4791.99</v>
      </c>
      <c r="D21" s="182" t="n">
        <v>4828.456</v>
      </c>
      <c r="E21" s="182" t="n">
        <v>-36.466</v>
      </c>
      <c r="F21" s="182" t="n">
        <v>1329.7696</v>
      </c>
      <c r="G21" s="182" t="n">
        <v>49</v>
      </c>
      <c r="H21" s="182" t="inlineStr"/>
      <c r="I21" s="182" t="inlineStr"/>
    </row>
    <row r="22" ht="15" customHeight="1" s="28">
      <c r="A22" s="181" t="n">
        <v>9</v>
      </c>
      <c r="B22" s="181" t="n">
        <v>8</v>
      </c>
      <c r="C22" s="181" t="n">
        <v>4791.41</v>
      </c>
      <c r="D22" s="181" t="n">
        <v>4828.2021</v>
      </c>
      <c r="E22" s="181" t="n">
        <v>-36.7921</v>
      </c>
      <c r="F22" s="181" t="n">
        <v>1353.6594</v>
      </c>
      <c r="G22" s="181" t="n">
        <v>64</v>
      </c>
      <c r="H22" s="181" t="inlineStr"/>
      <c r="I22" s="181" t="inlineStr"/>
    </row>
    <row r="23" ht="15" customHeight="1" s="28">
      <c r="A23" s="182" t="n">
        <v>10</v>
      </c>
      <c r="B23" s="182" t="n">
        <v>9</v>
      </c>
      <c r="C23" s="182" t="n">
        <v>4785.04</v>
      </c>
      <c r="D23" s="182" t="n">
        <v>4827.9482</v>
      </c>
      <c r="E23" s="182" t="n">
        <v>-42.9082</v>
      </c>
      <c r="F23" s="182" t="n">
        <v>1841.1149</v>
      </c>
      <c r="G23" s="182" t="n">
        <v>81</v>
      </c>
      <c r="H23" s="182" t="inlineStr"/>
      <c r="I23" s="182" t="inlineStr"/>
    </row>
    <row r="24" ht="15" customHeight="1" s="28">
      <c r="A24" s="181" t="n">
        <v>11</v>
      </c>
      <c r="B24" s="181" t="n">
        <v>10</v>
      </c>
      <c r="C24" s="181" t="n">
        <v>4787.16</v>
      </c>
      <c r="D24" s="181" t="n">
        <v>4827.6943</v>
      </c>
      <c r="E24" s="181" t="n">
        <v>-40.5343</v>
      </c>
      <c r="F24" s="181" t="n">
        <v>1643.0311</v>
      </c>
      <c r="G24" s="181" t="n">
        <v>100</v>
      </c>
      <c r="H24" s="181" t="inlineStr"/>
      <c r="I24" s="181" t="inlineStr"/>
    </row>
    <row r="25" ht="15" customHeight="1" s="28">
      <c r="A25" s="182" t="n">
        <v>12</v>
      </c>
      <c r="B25" s="182" t="n">
        <v>11</v>
      </c>
      <c r="C25" s="182" t="n">
        <v>4789.22</v>
      </c>
      <c r="D25" s="182" t="n">
        <v>4827.4404</v>
      </c>
      <c r="E25" s="182" t="n">
        <v>-38.2204</v>
      </c>
      <c r="F25" s="182" t="n">
        <v>1460.8008</v>
      </c>
      <c r="G25" s="182" t="n">
        <v>121</v>
      </c>
      <c r="H25" s="182" t="inlineStr"/>
      <c r="I25" s="182" t="inlineStr"/>
    </row>
    <row r="26" ht="15" customHeight="1" s="28">
      <c r="A26" s="181" t="n">
        <v>13</v>
      </c>
      <c r="B26" s="181" t="n">
        <v>12</v>
      </c>
      <c r="C26" s="181" t="n">
        <v>4790.1</v>
      </c>
      <c r="D26" s="181" t="n">
        <v>4827.1865</v>
      </c>
      <c r="E26" s="181" t="n">
        <v>-37.0865</v>
      </c>
      <c r="F26" s="181" t="n">
        <v>1375.4106</v>
      </c>
      <c r="G26" s="181" t="n">
        <v>144</v>
      </c>
      <c r="H26" s="181" t="inlineStr"/>
      <c r="I26" s="181" t="inlineStr"/>
    </row>
    <row r="27" ht="15" customHeight="1" s="28">
      <c r="A27" s="182" t="n">
        <v>14</v>
      </c>
      <c r="B27" s="182" t="n">
        <v>13</v>
      </c>
      <c r="C27" s="182" t="n">
        <v>4786.98</v>
      </c>
      <c r="D27" s="182" t="n">
        <v>4826.9326</v>
      </c>
      <c r="E27" s="182" t="n">
        <v>-39.9526</v>
      </c>
      <c r="F27" s="182" t="n">
        <v>1596.2129</v>
      </c>
      <c r="G27" s="182" t="n">
        <v>169</v>
      </c>
      <c r="H27" s="182" t="inlineStr"/>
      <c r="I27" s="182" t="inlineStr"/>
    </row>
    <row r="28" ht="15" customHeight="1" s="28">
      <c r="A28" s="181" t="n">
        <v>15</v>
      </c>
      <c r="B28" s="181" t="n">
        <v>14</v>
      </c>
      <c r="C28" s="181" t="n">
        <v>4790.43</v>
      </c>
      <c r="D28" s="181" t="n">
        <v>4826.6787</v>
      </c>
      <c r="E28" s="181" t="n">
        <v>-36.2487</v>
      </c>
      <c r="F28" s="181" t="n">
        <v>1313.971</v>
      </c>
      <c r="G28" s="181" t="n">
        <v>196</v>
      </c>
      <c r="H28" s="181" t="inlineStr"/>
      <c r="I28" s="181" t="inlineStr"/>
    </row>
    <row r="29" ht="15" customHeight="1" s="28">
      <c r="A29" s="182" t="n">
        <v>16</v>
      </c>
      <c r="B29" s="182" t="n">
        <v>15</v>
      </c>
      <c r="C29" s="182" t="n">
        <v>4789.64</v>
      </c>
      <c r="D29" s="182" t="n">
        <v>4826.4248</v>
      </c>
      <c r="E29" s="182" t="n">
        <v>-36.7848</v>
      </c>
      <c r="F29" s="182" t="n">
        <v>1353.1246</v>
      </c>
      <c r="G29" s="182" t="n">
        <v>225</v>
      </c>
      <c r="H29" s="182" t="inlineStr"/>
      <c r="I29" s="182" t="inlineStr"/>
    </row>
    <row r="30" ht="15" customHeight="1" s="28">
      <c r="A30" s="181" t="n">
        <v>17</v>
      </c>
      <c r="B30" s="181" t="n">
        <v>16</v>
      </c>
      <c r="C30" s="181" t="n">
        <v>4790.03</v>
      </c>
      <c r="D30" s="181" t="n">
        <v>4826.1709</v>
      </c>
      <c r="E30" s="181" t="n">
        <v>-36.1409</v>
      </c>
      <c r="F30" s="181" t="n">
        <v>1306.168</v>
      </c>
      <c r="G30" s="181" t="n">
        <v>256</v>
      </c>
      <c r="H30" s="181" t="inlineStr"/>
      <c r="I30" s="181" t="inlineStr"/>
    </row>
    <row r="31" ht="15" customHeight="1" s="28">
      <c r="A31" s="182" t="n">
        <v>18</v>
      </c>
      <c r="B31" s="182" t="n">
        <v>17</v>
      </c>
      <c r="C31" s="182" t="n">
        <v>4790.76</v>
      </c>
      <c r="D31" s="182" t="n">
        <v>4825.9171</v>
      </c>
      <c r="E31" s="182" t="n">
        <v>-35.1571</v>
      </c>
      <c r="F31" s="182" t="n">
        <v>1236.0182</v>
      </c>
      <c r="G31" s="182" t="n">
        <v>289</v>
      </c>
      <c r="H31" s="182" t="inlineStr"/>
      <c r="I31" s="182" t="inlineStr"/>
    </row>
    <row r="32" ht="15" customHeight="1" s="28">
      <c r="A32" s="181" t="n">
        <v>19</v>
      </c>
      <c r="B32" s="181" t="n">
        <v>18</v>
      </c>
      <c r="C32" s="181" t="n">
        <v>4797.59</v>
      </c>
      <c r="D32" s="181" t="n">
        <v>4825.6632</v>
      </c>
      <c r="E32" s="181" t="n">
        <v>-28.0732</v>
      </c>
      <c r="F32" s="181" t="n">
        <v>788.1021</v>
      </c>
      <c r="G32" s="181" t="n">
        <v>324</v>
      </c>
      <c r="H32" s="181" t="inlineStr"/>
      <c r="I32" s="181" t="inlineStr"/>
    </row>
    <row r="33" ht="15" customHeight="1" s="28">
      <c r="A33" s="182" t="n">
        <v>20</v>
      </c>
      <c r="B33" s="182" t="n">
        <v>19</v>
      </c>
      <c r="C33" s="182" t="n">
        <v>4793.52</v>
      </c>
      <c r="D33" s="182" t="n">
        <v>4825.4093</v>
      </c>
      <c r="E33" s="182" t="n">
        <v>-31.8893</v>
      </c>
      <c r="F33" s="182" t="n">
        <v>1016.9249</v>
      </c>
      <c r="G33" s="182" t="n">
        <v>361</v>
      </c>
      <c r="H33" s="182" t="inlineStr"/>
      <c r="I33" s="182" t="inlineStr"/>
    </row>
    <row r="34" ht="15" customHeight="1" s="28">
      <c r="A34" s="181" t="n">
        <v>21</v>
      </c>
      <c r="B34" s="181" t="n">
        <v>20</v>
      </c>
      <c r="C34" s="181" t="n">
        <v>4790.59</v>
      </c>
      <c r="D34" s="181" t="n">
        <v>4825.1554</v>
      </c>
      <c r="E34" s="181" t="n">
        <v>-34.5654</v>
      </c>
      <c r="F34" s="181" t="n">
        <v>1194.7644</v>
      </c>
      <c r="G34" s="181" t="n">
        <v>400</v>
      </c>
      <c r="H34" s="181" t="inlineStr"/>
      <c r="I34" s="181" t="inlineStr"/>
    </row>
    <row r="35" ht="15" customHeight="1" s="28">
      <c r="A35" s="182" t="n">
        <v>22</v>
      </c>
      <c r="B35" s="182" t="n">
        <v>21</v>
      </c>
      <c r="C35" s="182" t="n">
        <v>4789.04</v>
      </c>
      <c r="D35" s="182" t="n">
        <v>4824.9015</v>
      </c>
      <c r="E35" s="182" t="n">
        <v>-35.8615</v>
      </c>
      <c r="F35" s="182" t="n">
        <v>1286.045</v>
      </c>
      <c r="G35" s="182" t="n">
        <v>441</v>
      </c>
      <c r="H35" s="182" t="inlineStr"/>
      <c r="I35" s="182" t="inlineStr"/>
    </row>
    <row r="36" ht="15" customHeight="1" s="28">
      <c r="A36" s="181" t="n">
        <v>23</v>
      </c>
      <c r="B36" s="181" t="n">
        <v>22</v>
      </c>
      <c r="C36" s="181" t="n">
        <v>4788.68</v>
      </c>
      <c r="D36" s="181" t="n">
        <v>4824.6476</v>
      </c>
      <c r="E36" s="181" t="n">
        <v>-35.9676</v>
      </c>
      <c r="F36" s="181" t="n">
        <v>1293.6664</v>
      </c>
      <c r="G36" s="181" t="n">
        <v>484</v>
      </c>
      <c r="H36" s="181" t="inlineStr"/>
      <c r="I36" s="181" t="inlineStr"/>
    </row>
    <row r="37" ht="15" customHeight="1" s="28">
      <c r="A37" s="182" t="n">
        <v>24</v>
      </c>
      <c r="B37" s="182" t="n">
        <v>23</v>
      </c>
      <c r="C37" s="182" t="n">
        <v>4790.84</v>
      </c>
      <c r="D37" s="182" t="n">
        <v>4824.3937</v>
      </c>
      <c r="E37" s="182" t="n">
        <v>-33.5537</v>
      </c>
      <c r="F37" s="182" t="n">
        <v>1125.8493</v>
      </c>
      <c r="G37" s="182" t="n">
        <v>529</v>
      </c>
      <c r="H37" s="182" t="inlineStr"/>
      <c r="I37" s="182" t="inlineStr"/>
    </row>
    <row r="38" ht="15" customHeight="1" s="28">
      <c r="A38" s="181" t="n">
        <v>25</v>
      </c>
      <c r="B38" s="181" t="n">
        <v>24</v>
      </c>
      <c r="C38" s="181" t="n">
        <v>4795.24</v>
      </c>
      <c r="D38" s="181" t="n">
        <v>4824.1398</v>
      </c>
      <c r="E38" s="181" t="n">
        <v>-28.8998</v>
      </c>
      <c r="F38" s="181" t="n">
        <v>835.1974</v>
      </c>
      <c r="G38" s="181" t="n">
        <v>576</v>
      </c>
      <c r="H38" s="181" t="inlineStr"/>
      <c r="I38" s="181" t="inlineStr"/>
    </row>
    <row r="39" ht="15" customHeight="1" s="28">
      <c r="A39" s="182" t="n">
        <v>26</v>
      </c>
      <c r="B39" s="182" t="n">
        <v>25</v>
      </c>
      <c r="C39" s="182" t="n">
        <v>4794</v>
      </c>
      <c r="D39" s="182" t="n">
        <v>4823.8859</v>
      </c>
      <c r="E39" s="182" t="n">
        <v>-29.8859</v>
      </c>
      <c r="F39" s="182" t="n">
        <v>893.1663</v>
      </c>
      <c r="G39" s="182" t="n">
        <v>625</v>
      </c>
      <c r="H39" s="182" t="inlineStr"/>
      <c r="I39" s="182" t="inlineStr"/>
    </row>
    <row r="40" ht="15" customHeight="1" s="28">
      <c r="A40" s="181" t="n">
        <v>27</v>
      </c>
      <c r="B40" s="181" t="n">
        <v>26</v>
      </c>
      <c r="C40" s="181" t="n">
        <v>4795.5</v>
      </c>
      <c r="D40" s="181" t="n">
        <v>4823.632</v>
      </c>
      <c r="E40" s="181" t="n">
        <v>-28.132</v>
      </c>
      <c r="F40" s="181" t="n">
        <v>791.409</v>
      </c>
      <c r="G40" s="181" t="n">
        <v>676</v>
      </c>
      <c r="H40" s="181" t="inlineStr"/>
      <c r="I40" s="181" t="inlineStr"/>
    </row>
    <row r="41" ht="15" customHeight="1" s="28">
      <c r="A41" s="182" t="n">
        <v>28</v>
      </c>
      <c r="B41" s="182" t="n">
        <v>27</v>
      </c>
      <c r="C41" s="182" t="n">
        <v>4795.41</v>
      </c>
      <c r="D41" s="182" t="n">
        <v>4823.3781</v>
      </c>
      <c r="E41" s="182" t="n">
        <v>-27.9681</v>
      </c>
      <c r="F41" s="182" t="n">
        <v>782.2144</v>
      </c>
      <c r="G41" s="182" t="n">
        <v>729</v>
      </c>
      <c r="H41" s="182" t="inlineStr"/>
      <c r="I41" s="182" t="inlineStr"/>
    </row>
    <row r="42" ht="15" customHeight="1" s="28">
      <c r="A42" s="181" t="n">
        <v>29</v>
      </c>
      <c r="B42" s="181" t="n">
        <v>28</v>
      </c>
      <c r="C42" s="181" t="n">
        <v>4793.16</v>
      </c>
      <c r="D42" s="181" t="n">
        <v>4823.1242</v>
      </c>
      <c r="E42" s="181" t="n">
        <v>-29.9642</v>
      </c>
      <c r="F42" s="181" t="n">
        <v>897.8533</v>
      </c>
      <c r="G42" s="181" t="n">
        <v>784</v>
      </c>
      <c r="H42" s="181" t="inlineStr"/>
      <c r="I42" s="181" t="inlineStr"/>
    </row>
    <row r="43" ht="15" customHeight="1" s="28">
      <c r="A43" s="182" t="n">
        <v>30</v>
      </c>
      <c r="B43" s="182" t="n">
        <v>29</v>
      </c>
      <c r="C43" s="182" t="n">
        <v>4794.46</v>
      </c>
      <c r="D43" s="182" t="n">
        <v>4822.8703</v>
      </c>
      <c r="E43" s="182" t="n">
        <v>-28.4103</v>
      </c>
      <c r="F43" s="182" t="n">
        <v>807.1454</v>
      </c>
      <c r="G43" s="182" t="n">
        <v>841</v>
      </c>
      <c r="H43" s="182" t="inlineStr"/>
      <c r="I43" s="182" t="inlineStr"/>
    </row>
    <row r="44" ht="15" customHeight="1" s="28">
      <c r="A44" s="181" t="n">
        <v>31</v>
      </c>
      <c r="B44" s="181" t="n">
        <v>30</v>
      </c>
      <c r="C44" s="181" t="n">
        <v>4795.82</v>
      </c>
      <c r="D44" s="181" t="n">
        <v>4822.6164</v>
      </c>
      <c r="E44" s="181" t="n">
        <v>-26.7964</v>
      </c>
      <c r="F44" s="181" t="n">
        <v>718.0476</v>
      </c>
      <c r="G44" s="181" t="n">
        <v>900</v>
      </c>
      <c r="H44" s="181" t="inlineStr"/>
      <c r="I44" s="181" t="inlineStr"/>
    </row>
    <row r="45" ht="15" customHeight="1" s="28">
      <c r="A45" s="182" t="n">
        <v>32</v>
      </c>
      <c r="B45" s="182" t="n">
        <v>31</v>
      </c>
      <c r="C45" s="182" t="n">
        <v>4792.13</v>
      </c>
      <c r="D45" s="182" t="n">
        <v>4822.3625</v>
      </c>
      <c r="E45" s="182" t="n">
        <v>-30.2325</v>
      </c>
      <c r="F45" s="182" t="n">
        <v>914.0049</v>
      </c>
      <c r="G45" s="182" t="n">
        <v>961</v>
      </c>
      <c r="H45" s="182" t="inlineStr"/>
      <c r="I45" s="182" t="inlineStr"/>
    </row>
    <row r="46" ht="15" customHeight="1" s="28">
      <c r="A46" s="181" t="n">
        <v>33</v>
      </c>
      <c r="B46" s="181" t="n">
        <v>32</v>
      </c>
      <c r="C46" s="181" t="n">
        <v>4790.4</v>
      </c>
      <c r="D46" s="181" t="n">
        <v>4822.1086</v>
      </c>
      <c r="E46" s="181" t="n">
        <v>-31.7086</v>
      </c>
      <c r="F46" s="181" t="n">
        <v>1005.4365</v>
      </c>
      <c r="G46" s="181" t="n">
        <v>1024</v>
      </c>
      <c r="H46" s="181" t="inlineStr"/>
      <c r="I46" s="181" t="inlineStr"/>
    </row>
    <row r="47" ht="15" customHeight="1" s="28">
      <c r="A47" s="182" t="n">
        <v>34</v>
      </c>
      <c r="B47" s="182" t="n">
        <v>33</v>
      </c>
      <c r="C47" s="182" t="n">
        <v>4792.86</v>
      </c>
      <c r="D47" s="182" t="n">
        <v>4821.8547</v>
      </c>
      <c r="E47" s="182" t="n">
        <v>-28.9947</v>
      </c>
      <c r="F47" s="182" t="n">
        <v>840.694</v>
      </c>
      <c r="G47" s="182" t="n">
        <v>1089</v>
      </c>
      <c r="H47" s="182" t="inlineStr"/>
      <c r="I47" s="182" t="inlineStr"/>
    </row>
    <row r="48" ht="15" customHeight="1" s="28">
      <c r="A48" s="181" t="n">
        <v>35</v>
      </c>
      <c r="B48" s="181" t="n">
        <v>34</v>
      </c>
      <c r="C48" s="181" t="n">
        <v>4798.4</v>
      </c>
      <c r="D48" s="181" t="n">
        <v>4821.6008</v>
      </c>
      <c r="E48" s="181" t="n">
        <v>-23.2008</v>
      </c>
      <c r="F48" s="181" t="n">
        <v>538.2784</v>
      </c>
      <c r="G48" s="181" t="n">
        <v>1156</v>
      </c>
      <c r="H48" s="181" t="inlineStr"/>
      <c r="I48" s="181" t="inlineStr"/>
    </row>
    <row r="49" ht="15" customHeight="1" s="28">
      <c r="A49" s="182" t="n">
        <v>36</v>
      </c>
      <c r="B49" s="182" t="n">
        <v>35</v>
      </c>
      <c r="C49" s="182" t="n">
        <v>4794.9</v>
      </c>
      <c r="D49" s="182" t="n">
        <v>4821.3469</v>
      </c>
      <c r="E49" s="182" t="n">
        <v>-26.4469</v>
      </c>
      <c r="F49" s="182" t="n">
        <v>699.4402</v>
      </c>
      <c r="G49" s="182" t="n">
        <v>1225</v>
      </c>
      <c r="H49" s="182" t="inlineStr"/>
      <c r="I49" s="182" t="inlineStr"/>
    </row>
    <row r="50" ht="15" customHeight="1" s="28">
      <c r="A50" s="181" t="n">
        <v>37</v>
      </c>
      <c r="B50" s="181" t="n">
        <v>36</v>
      </c>
      <c r="C50" s="181" t="n">
        <v>4779.32</v>
      </c>
      <c r="D50" s="181" t="n">
        <v>4821.093</v>
      </c>
      <c r="E50" s="181" t="n">
        <v>-41.773</v>
      </c>
      <c r="F50" s="181" t="n">
        <v>1744.9866</v>
      </c>
      <c r="G50" s="181" t="n">
        <v>1296</v>
      </c>
      <c r="H50" s="181" t="inlineStr"/>
      <c r="I50" s="181" t="inlineStr"/>
    </row>
    <row r="51" ht="15" customHeight="1" s="28">
      <c r="A51" s="182" t="n">
        <v>38</v>
      </c>
      <c r="B51" s="182" t="n">
        <v>37</v>
      </c>
      <c r="C51" s="182" t="n">
        <v>4769.01</v>
      </c>
      <c r="D51" s="182" t="n">
        <v>4820.8391</v>
      </c>
      <c r="E51" s="182" t="n">
        <v>-51.8291</v>
      </c>
      <c r="F51" s="182" t="n">
        <v>2686.2599</v>
      </c>
      <c r="G51" s="182" t="n">
        <v>1369</v>
      </c>
      <c r="H51" s="182" t="inlineStr"/>
      <c r="I51" s="182" t="inlineStr"/>
    </row>
    <row r="52" ht="15" customHeight="1" s="28">
      <c r="A52" s="181" t="n">
        <v>39</v>
      </c>
      <c r="B52" s="181" t="n">
        <v>38</v>
      </c>
      <c r="C52" s="181" t="n">
        <v>4777.87</v>
      </c>
      <c r="D52" s="181" t="n">
        <v>4820.5852</v>
      </c>
      <c r="E52" s="181" t="n">
        <v>-42.7152</v>
      </c>
      <c r="F52" s="181" t="n">
        <v>1824.5922</v>
      </c>
      <c r="G52" s="181" t="n">
        <v>1444</v>
      </c>
      <c r="H52" s="181" t="inlineStr"/>
      <c r="I52" s="181" t="inlineStr"/>
    </row>
    <row r="53" ht="15" customHeight="1" s="28">
      <c r="A53" s="182" t="n">
        <v>40</v>
      </c>
      <c r="B53" s="182" t="n">
        <v>39</v>
      </c>
      <c r="C53" s="182" t="n">
        <v>4789.48</v>
      </c>
      <c r="D53" s="182" t="n">
        <v>4820.3314</v>
      </c>
      <c r="E53" s="182" t="n">
        <v>-30.8514</v>
      </c>
      <c r="F53" s="182" t="n">
        <v>951.8058</v>
      </c>
      <c r="G53" s="182" t="n">
        <v>1521</v>
      </c>
      <c r="H53" s="182" t="inlineStr"/>
      <c r="I53" s="182" t="inlineStr"/>
    </row>
    <row r="54" ht="15" customHeight="1" s="28">
      <c r="A54" s="181" t="n">
        <v>41</v>
      </c>
      <c r="B54" s="181" t="n">
        <v>40</v>
      </c>
      <c r="C54" s="181" t="n">
        <v>4791.35</v>
      </c>
      <c r="D54" s="181" t="n">
        <v>4820.0775</v>
      </c>
      <c r="E54" s="181" t="n">
        <v>-28.7275</v>
      </c>
      <c r="F54" s="181" t="n">
        <v>825.2667</v>
      </c>
      <c r="G54" s="181" t="n">
        <v>1600</v>
      </c>
      <c r="H54" s="181" t="inlineStr"/>
      <c r="I54" s="181" t="inlineStr"/>
    </row>
    <row r="55" ht="15" customHeight="1" s="28">
      <c r="A55" s="182" t="n">
        <v>42</v>
      </c>
      <c r="B55" s="182" t="n">
        <v>41</v>
      </c>
      <c r="C55" s="182" t="n">
        <v>4788.86</v>
      </c>
      <c r="D55" s="182" t="n">
        <v>4819.8236</v>
      </c>
      <c r="E55" s="182" t="n">
        <v>-30.9636</v>
      </c>
      <c r="F55" s="182" t="n">
        <v>958.742</v>
      </c>
      <c r="G55" s="182" t="n">
        <v>1681</v>
      </c>
      <c r="H55" s="182" t="inlineStr"/>
      <c r="I55" s="182" t="inlineStr"/>
    </row>
    <row r="56" ht="15" customHeight="1" s="28">
      <c r="A56" s="181" t="n">
        <v>43</v>
      </c>
      <c r="B56" s="181" t="n">
        <v>42</v>
      </c>
      <c r="C56" s="181" t="n">
        <v>4791.57</v>
      </c>
      <c r="D56" s="181" t="n">
        <v>4819.5697</v>
      </c>
      <c r="E56" s="181" t="n">
        <v>-27.9997</v>
      </c>
      <c r="F56" s="181" t="n">
        <v>783.9811999999999</v>
      </c>
      <c r="G56" s="181" t="n">
        <v>1764</v>
      </c>
      <c r="H56" s="181" t="inlineStr"/>
      <c r="I56" s="181" t="inlineStr"/>
    </row>
    <row r="57" ht="15" customHeight="1" s="28">
      <c r="A57" s="182" t="n">
        <v>44</v>
      </c>
      <c r="B57" s="182" t="n">
        <v>43</v>
      </c>
      <c r="C57" s="182" t="n">
        <v>4784.81</v>
      </c>
      <c r="D57" s="182" t="n">
        <v>4819.3158</v>
      </c>
      <c r="E57" s="182" t="n">
        <v>-34.5058</v>
      </c>
      <c r="F57" s="182" t="n">
        <v>1190.648</v>
      </c>
      <c r="G57" s="182" t="n">
        <v>1849</v>
      </c>
      <c r="H57" s="182" t="inlineStr"/>
      <c r="I57" s="182" t="inlineStr"/>
    </row>
    <row r="58" ht="15" customHeight="1" s="28">
      <c r="A58" s="181" t="n">
        <v>45</v>
      </c>
      <c r="B58" s="181" t="n">
        <v>44</v>
      </c>
      <c r="C58" s="181" t="n">
        <v>4795.86</v>
      </c>
      <c r="D58" s="181" t="n">
        <v>4819.0619</v>
      </c>
      <c r="E58" s="181" t="n">
        <v>-23.2019</v>
      </c>
      <c r="F58" s="181" t="n">
        <v>538.3269</v>
      </c>
      <c r="G58" s="181" t="n">
        <v>1936</v>
      </c>
      <c r="H58" s="181" t="inlineStr"/>
      <c r="I58" s="181" t="inlineStr"/>
    </row>
    <row r="59" ht="15" customHeight="1" s="28">
      <c r="A59" s="182" t="n">
        <v>46</v>
      </c>
      <c r="B59" s="182" t="n">
        <v>45</v>
      </c>
      <c r="C59" s="182" t="n">
        <v>4793.93</v>
      </c>
      <c r="D59" s="182" t="n">
        <v>4818.808</v>
      </c>
      <c r="E59" s="182" t="n">
        <v>-24.878</v>
      </c>
      <c r="F59" s="182" t="n">
        <v>618.9138</v>
      </c>
      <c r="G59" s="182" t="n">
        <v>2025</v>
      </c>
      <c r="H59" s="182" t="inlineStr"/>
      <c r="I59" s="182" t="inlineStr"/>
    </row>
    <row r="60" ht="15" customHeight="1" s="28">
      <c r="A60" s="181" t="n">
        <v>47</v>
      </c>
      <c r="B60" s="181" t="n">
        <v>46</v>
      </c>
      <c r="C60" s="181" t="n">
        <v>4794.26</v>
      </c>
      <c r="D60" s="181" t="n">
        <v>4818.5541</v>
      </c>
      <c r="E60" s="181" t="n">
        <v>-24.2941</v>
      </c>
      <c r="F60" s="181" t="n">
        <v>590.2024</v>
      </c>
      <c r="G60" s="181" t="n">
        <v>2116</v>
      </c>
      <c r="H60" s="181" t="inlineStr"/>
      <c r="I60" s="181" t="inlineStr"/>
    </row>
    <row r="61" ht="15" customHeight="1" s="28">
      <c r="A61" s="182" t="n">
        <v>48</v>
      </c>
      <c r="B61" s="182" t="n">
        <v>47</v>
      </c>
      <c r="C61" s="182" t="n">
        <v>4793.09</v>
      </c>
      <c r="D61" s="182" t="n">
        <v>4818.3002</v>
      </c>
      <c r="E61" s="182" t="n">
        <v>-25.2102</v>
      </c>
      <c r="F61" s="182" t="n">
        <v>635.5535</v>
      </c>
      <c r="G61" s="182" t="n">
        <v>2209</v>
      </c>
      <c r="H61" s="182" t="inlineStr"/>
      <c r="I61" s="182" t="inlineStr"/>
    </row>
    <row r="62" ht="15" customHeight="1" s="28">
      <c r="A62" s="181" t="n">
        <v>49</v>
      </c>
      <c r="B62" s="181" t="n">
        <v>48</v>
      </c>
      <c r="C62" s="181" t="n">
        <v>4795.16</v>
      </c>
      <c r="D62" s="181" t="n">
        <v>4818.0463</v>
      </c>
      <c r="E62" s="181" t="n">
        <v>-22.8863</v>
      </c>
      <c r="F62" s="181" t="n">
        <v>523.7823</v>
      </c>
      <c r="G62" s="181" t="n">
        <v>2304</v>
      </c>
      <c r="H62" s="181" t="inlineStr"/>
      <c r="I62" s="181" t="inlineStr"/>
    </row>
    <row r="63" ht="15" customHeight="1" s="28">
      <c r="A63" s="182" t="n">
        <v>50</v>
      </c>
      <c r="B63" s="182" t="n">
        <v>49</v>
      </c>
      <c r="C63" s="182" t="n">
        <v>4795.87</v>
      </c>
      <c r="D63" s="182" t="n">
        <v>4817.7924</v>
      </c>
      <c r="E63" s="182" t="n">
        <v>-21.9224</v>
      </c>
      <c r="F63" s="182" t="n">
        <v>480.5914</v>
      </c>
      <c r="G63" s="182" t="n">
        <v>2401</v>
      </c>
      <c r="H63" s="182" t="inlineStr"/>
      <c r="I63" s="182" t="inlineStr"/>
    </row>
    <row r="64" ht="15" customHeight="1" s="28">
      <c r="A64" s="181" t="n">
        <v>51</v>
      </c>
      <c r="B64" s="181" t="n">
        <v>50</v>
      </c>
      <c r="C64" s="181" t="n">
        <v>4801.05</v>
      </c>
      <c r="D64" s="181" t="n">
        <v>4817.5385</v>
      </c>
      <c r="E64" s="181" t="n">
        <v>-16.4885</v>
      </c>
      <c r="F64" s="181" t="n">
        <v>271.8706</v>
      </c>
      <c r="G64" s="181" t="n">
        <v>2500</v>
      </c>
      <c r="H64" s="181" t="inlineStr"/>
      <c r="I64" s="181" t="inlineStr"/>
    </row>
    <row r="65" ht="15" customHeight="1" s="28">
      <c r="A65" s="182" t="n">
        <v>52</v>
      </c>
      <c r="B65" s="182" t="n">
        <v>51</v>
      </c>
      <c r="C65" s="182" t="n">
        <v>4803.04</v>
      </c>
      <c r="D65" s="182" t="n">
        <v>4817.2846</v>
      </c>
      <c r="E65" s="182" t="n">
        <v>-14.2446</v>
      </c>
      <c r="F65" s="182" t="n">
        <v>202.9088</v>
      </c>
      <c r="G65" s="182" t="n">
        <v>2601</v>
      </c>
      <c r="H65" s="182" t="inlineStr"/>
      <c r="I65" s="182" t="inlineStr"/>
    </row>
    <row r="66" ht="15" customHeight="1" s="28">
      <c r="A66" s="181" t="n">
        <v>53</v>
      </c>
      <c r="B66" s="181" t="n">
        <v>52</v>
      </c>
      <c r="C66" s="181" t="n">
        <v>4804.78</v>
      </c>
      <c r="D66" s="181" t="n">
        <v>4817.0307</v>
      </c>
      <c r="E66" s="181" t="n">
        <v>-12.2507</v>
      </c>
      <c r="F66" s="181" t="n">
        <v>150.0799</v>
      </c>
      <c r="G66" s="181" t="n">
        <v>2704</v>
      </c>
      <c r="H66" s="181" t="inlineStr"/>
      <c r="I66" s="181" t="inlineStr"/>
    </row>
    <row r="67" ht="15" customHeight="1" s="28">
      <c r="A67" s="182" t="n">
        <v>54</v>
      </c>
      <c r="B67" s="182" t="n">
        <v>53</v>
      </c>
      <c r="C67" s="182" t="n">
        <v>4803.25</v>
      </c>
      <c r="D67" s="182" t="n">
        <v>4816.7768</v>
      </c>
      <c r="E67" s="182" t="n">
        <v>-13.5268</v>
      </c>
      <c r="F67" s="182" t="n">
        <v>182.9747</v>
      </c>
      <c r="G67" s="182" t="n">
        <v>2809</v>
      </c>
      <c r="H67" s="182" t="inlineStr"/>
      <c r="I67" s="182" t="inlineStr"/>
    </row>
    <row r="68" ht="15" customHeight="1" s="28">
      <c r="A68" s="181" t="n">
        <v>55</v>
      </c>
      <c r="B68" s="181" t="n">
        <v>54</v>
      </c>
      <c r="C68" s="181" t="n">
        <v>4796.48</v>
      </c>
      <c r="D68" s="181" t="n">
        <v>4816.5229</v>
      </c>
      <c r="E68" s="181" t="n">
        <v>-20.0429</v>
      </c>
      <c r="F68" s="181" t="n">
        <v>401.7186</v>
      </c>
      <c r="G68" s="181" t="n">
        <v>2916</v>
      </c>
      <c r="H68" s="181" t="inlineStr"/>
      <c r="I68" s="181" t="inlineStr"/>
    </row>
    <row r="69" ht="15" customHeight="1" s="28">
      <c r="A69" s="182" t="n">
        <v>56</v>
      </c>
      <c r="B69" s="182" t="n">
        <v>55</v>
      </c>
      <c r="C69" s="182" t="n">
        <v>4794.41</v>
      </c>
      <c r="D69" s="182" t="n">
        <v>4816.269</v>
      </c>
      <c r="E69" s="182" t="n">
        <v>-21.859</v>
      </c>
      <c r="F69" s="182" t="n">
        <v>477.8169</v>
      </c>
      <c r="G69" s="182" t="n">
        <v>3025</v>
      </c>
      <c r="H69" s="182" t="inlineStr"/>
      <c r="I69" s="182" t="inlineStr"/>
    </row>
    <row r="70" ht="15" customHeight="1" s="28">
      <c r="A70" s="181" t="n">
        <v>57</v>
      </c>
      <c r="B70" s="181" t="n">
        <v>56</v>
      </c>
      <c r="C70" s="181" t="n">
        <v>4787.73</v>
      </c>
      <c r="D70" s="181" t="n">
        <v>4816.0151</v>
      </c>
      <c r="E70" s="181" t="n">
        <v>-28.2851</v>
      </c>
      <c r="F70" s="181" t="n">
        <v>800.0484</v>
      </c>
      <c r="G70" s="181" t="n">
        <v>3136</v>
      </c>
      <c r="H70" s="181" t="inlineStr"/>
      <c r="I70" s="181" t="inlineStr"/>
    </row>
    <row r="71" ht="15" customHeight="1" s="28">
      <c r="A71" s="182" t="n">
        <v>58</v>
      </c>
      <c r="B71" s="182" t="n">
        <v>57</v>
      </c>
      <c r="C71" s="182" t="n">
        <v>4783.78</v>
      </c>
      <c r="D71" s="182" t="n">
        <v>4815.7612</v>
      </c>
      <c r="E71" s="182" t="n">
        <v>-31.9812</v>
      </c>
      <c r="F71" s="182" t="n">
        <v>1022.7992</v>
      </c>
      <c r="G71" s="182" t="n">
        <v>3249</v>
      </c>
      <c r="H71" s="182" t="inlineStr"/>
      <c r="I71" s="182" t="inlineStr"/>
    </row>
    <row r="72" ht="15" customHeight="1" s="28">
      <c r="A72" s="181" t="n">
        <v>59</v>
      </c>
      <c r="B72" s="181" t="n">
        <v>58</v>
      </c>
      <c r="C72" s="181" t="n">
        <v>4785.67</v>
      </c>
      <c r="D72" s="181" t="n">
        <v>4815.5073</v>
      </c>
      <c r="E72" s="181" t="n">
        <v>-29.8373</v>
      </c>
      <c r="F72" s="181" t="n">
        <v>890.2666</v>
      </c>
      <c r="G72" s="181" t="n">
        <v>3364</v>
      </c>
      <c r="H72" s="181" t="inlineStr"/>
      <c r="I72" s="181" t="inlineStr"/>
    </row>
    <row r="73" ht="15" customHeight="1" s="28">
      <c r="A73" s="182" t="n">
        <v>60</v>
      </c>
      <c r="B73" s="182" t="n">
        <v>59</v>
      </c>
      <c r="C73" s="182" t="n">
        <v>4785.07</v>
      </c>
      <c r="D73" s="182" t="n">
        <v>4815.2534</v>
      </c>
      <c r="E73" s="182" t="n">
        <v>-30.1834</v>
      </c>
      <c r="F73" s="182" t="n">
        <v>911.0401000000001</v>
      </c>
      <c r="G73" s="182" t="n">
        <v>3481</v>
      </c>
      <c r="H73" s="182" t="inlineStr"/>
      <c r="I73" s="182" t="inlineStr"/>
    </row>
    <row r="74" ht="15" customHeight="1" s="28">
      <c r="A74" s="181" t="n">
        <v>61</v>
      </c>
      <c r="B74" s="181" t="n">
        <v>60</v>
      </c>
      <c r="C74" s="181" t="n">
        <v>4787.12</v>
      </c>
      <c r="D74" s="181" t="n">
        <v>4814.9995</v>
      </c>
      <c r="E74" s="181" t="n">
        <v>-27.8795</v>
      </c>
      <c r="F74" s="181" t="n">
        <v>777.269</v>
      </c>
      <c r="G74" s="181" t="n">
        <v>3600</v>
      </c>
      <c r="H74" s="181" t="inlineStr"/>
      <c r="I74" s="181" t="inlineStr"/>
    </row>
    <row r="75" ht="15" customHeight="1" s="28">
      <c r="A75" s="182" t="n">
        <v>62</v>
      </c>
      <c r="B75" s="182" t="n">
        <v>61</v>
      </c>
      <c r="C75" s="182" t="n">
        <v>4791.72</v>
      </c>
      <c r="D75" s="182" t="n">
        <v>4814.7456</v>
      </c>
      <c r="E75" s="182" t="n">
        <v>-23.0256</v>
      </c>
      <c r="F75" s="182" t="n">
        <v>530.1805000000001</v>
      </c>
      <c r="G75" s="182" t="n">
        <v>3721</v>
      </c>
      <c r="H75" s="182" t="inlineStr"/>
      <c r="I75" s="182" t="inlineStr"/>
    </row>
    <row r="76" ht="15" customHeight="1" s="28">
      <c r="A76" s="181" t="n">
        <v>63</v>
      </c>
      <c r="B76" s="181" t="n">
        <v>62</v>
      </c>
      <c r="C76" s="181" t="n">
        <v>4785.87</v>
      </c>
      <c r="D76" s="181" t="n">
        <v>4814.4918</v>
      </c>
      <c r="E76" s="181" t="n">
        <v>-28.6218</v>
      </c>
      <c r="F76" s="181" t="n">
        <v>819.2048</v>
      </c>
      <c r="G76" s="181" t="n">
        <v>3844</v>
      </c>
      <c r="H76" s="181" t="inlineStr"/>
      <c r="I76" s="181" t="inlineStr"/>
    </row>
    <row r="77" ht="15" customHeight="1" s="28">
      <c r="A77" s="182" t="n">
        <v>64</v>
      </c>
      <c r="B77" s="182" t="n">
        <v>63</v>
      </c>
      <c r="C77" s="182" t="n">
        <v>4784.38</v>
      </c>
      <c r="D77" s="182" t="n">
        <v>4814.2379</v>
      </c>
      <c r="E77" s="182" t="n">
        <v>-29.8579</v>
      </c>
      <c r="F77" s="182" t="n">
        <v>891.4917</v>
      </c>
      <c r="G77" s="182" t="n">
        <v>3969</v>
      </c>
      <c r="H77" s="182" t="inlineStr"/>
      <c r="I77" s="182" t="inlineStr"/>
    </row>
    <row r="78" ht="15" customHeight="1" s="28">
      <c r="A78" s="181" t="n">
        <v>65</v>
      </c>
      <c r="B78" s="181" t="n">
        <v>64</v>
      </c>
      <c r="C78" s="181" t="n">
        <v>4783.7</v>
      </c>
      <c r="D78" s="181" t="n">
        <v>4813.984</v>
      </c>
      <c r="E78" s="181" t="n">
        <v>-30.284</v>
      </c>
      <c r="F78" s="181" t="n">
        <v>917.1184</v>
      </c>
      <c r="G78" s="181" t="n">
        <v>4096</v>
      </c>
      <c r="H78" s="181" t="inlineStr"/>
      <c r="I78" s="181" t="inlineStr"/>
    </row>
    <row r="79" ht="15" customHeight="1" s="28">
      <c r="A79" s="182" t="n">
        <v>66</v>
      </c>
      <c r="B79" s="182" t="n">
        <v>65</v>
      </c>
      <c r="C79" s="182" t="n">
        <v>4784.58</v>
      </c>
      <c r="D79" s="182" t="n">
        <v>4813.7301</v>
      </c>
      <c r="E79" s="182" t="n">
        <v>-29.1501</v>
      </c>
      <c r="F79" s="182" t="n">
        <v>849.7264</v>
      </c>
      <c r="G79" s="182" t="n">
        <v>4225</v>
      </c>
      <c r="H79" s="182" t="inlineStr"/>
      <c r="I79" s="182" t="inlineStr"/>
    </row>
    <row r="80" ht="15" customHeight="1" s="28">
      <c r="A80" s="181" t="n">
        <v>67</v>
      </c>
      <c r="B80" s="181" t="n">
        <v>66</v>
      </c>
      <c r="C80" s="181" t="n">
        <v>4797.03</v>
      </c>
      <c r="D80" s="181" t="n">
        <v>4813.4762</v>
      </c>
      <c r="E80" s="181" t="n">
        <v>-16.4462</v>
      </c>
      <c r="F80" s="181" t="n">
        <v>270.4766</v>
      </c>
      <c r="G80" s="181" t="n">
        <v>4356</v>
      </c>
      <c r="H80" s="181" t="inlineStr"/>
      <c r="I80" s="181" t="inlineStr"/>
    </row>
    <row r="81" ht="15" customHeight="1" s="28">
      <c r="A81" s="182" t="n">
        <v>68</v>
      </c>
      <c r="B81" s="182" t="n">
        <v>67</v>
      </c>
      <c r="C81" s="182" t="n">
        <v>4796.09</v>
      </c>
      <c r="D81" s="182" t="n">
        <v>4813.2223</v>
      </c>
      <c r="E81" s="182" t="n">
        <v>-17.1323</v>
      </c>
      <c r="F81" s="182" t="n">
        <v>293.5149</v>
      </c>
      <c r="G81" s="182" t="n">
        <v>4489</v>
      </c>
      <c r="H81" s="182" t="inlineStr"/>
      <c r="I81" s="182" t="inlineStr"/>
    </row>
    <row r="82" ht="15" customHeight="1" s="28">
      <c r="A82" s="181" t="n">
        <v>69</v>
      </c>
      <c r="B82" s="181" t="n">
        <v>68</v>
      </c>
      <c r="C82" s="181" t="n">
        <v>4793.1</v>
      </c>
      <c r="D82" s="181" t="n">
        <v>4812.9684</v>
      </c>
      <c r="E82" s="181" t="n">
        <v>-19.8684</v>
      </c>
      <c r="F82" s="181" t="n">
        <v>394.7526</v>
      </c>
      <c r="G82" s="181" t="n">
        <v>4624</v>
      </c>
      <c r="H82" s="181" t="inlineStr"/>
      <c r="I82" s="181" t="inlineStr"/>
    </row>
    <row r="83" ht="15" customHeight="1" s="28">
      <c r="A83" s="182" t="n">
        <v>70</v>
      </c>
      <c r="B83" s="182" t="n">
        <v>69</v>
      </c>
      <c r="C83" s="182" t="n">
        <v>4795.93</v>
      </c>
      <c r="D83" s="182" t="n">
        <v>4812.7145</v>
      </c>
      <c r="E83" s="182" t="n">
        <v>-16.7845</v>
      </c>
      <c r="F83" s="182" t="n">
        <v>281.719</v>
      </c>
      <c r="G83" s="182" t="n">
        <v>4761</v>
      </c>
      <c r="H83" s="182" t="inlineStr"/>
      <c r="I83" s="182" t="inlineStr"/>
    </row>
    <row r="84" ht="15" customHeight="1" s="28">
      <c r="A84" s="181" t="n">
        <v>71</v>
      </c>
      <c r="B84" s="181" t="n">
        <v>70</v>
      </c>
      <c r="C84" s="181" t="n">
        <v>4794.67</v>
      </c>
      <c r="D84" s="181" t="n">
        <v>4812.4606</v>
      </c>
      <c r="E84" s="181" t="n">
        <v>-17.7906</v>
      </c>
      <c r="F84" s="181" t="n">
        <v>316.5051</v>
      </c>
      <c r="G84" s="181" t="n">
        <v>4900</v>
      </c>
      <c r="H84" s="181" t="inlineStr"/>
      <c r="I84" s="181" t="inlineStr"/>
    </row>
    <row r="85" ht="15" customHeight="1" s="28">
      <c r="A85" s="182" t="n">
        <v>72</v>
      </c>
      <c r="B85" s="182" t="n">
        <v>71</v>
      </c>
      <c r="C85" s="182" t="n">
        <v>4790.39</v>
      </c>
      <c r="D85" s="182" t="n">
        <v>4812.2067</v>
      </c>
      <c r="E85" s="182" t="n">
        <v>-21.8167</v>
      </c>
      <c r="F85" s="182" t="n">
        <v>475.9682</v>
      </c>
      <c r="G85" s="182" t="n">
        <v>5041</v>
      </c>
      <c r="H85" s="182" t="inlineStr"/>
      <c r="I85" s="182" t="inlineStr"/>
    </row>
    <row r="86" ht="15" customHeight="1" s="28">
      <c r="A86" s="181" t="n">
        <v>73</v>
      </c>
      <c r="B86" s="181" t="n">
        <v>72</v>
      </c>
      <c r="C86" s="181" t="n">
        <v>4791.33</v>
      </c>
      <c r="D86" s="181" t="n">
        <v>4811.9528</v>
      </c>
      <c r="E86" s="181" t="n">
        <v>-20.6228</v>
      </c>
      <c r="F86" s="181" t="n">
        <v>425.2998</v>
      </c>
      <c r="G86" s="181" t="n">
        <v>5184</v>
      </c>
      <c r="H86" s="181" t="inlineStr"/>
      <c r="I86" s="181" t="inlineStr"/>
    </row>
    <row r="87" ht="15" customHeight="1" s="28">
      <c r="A87" s="182" t="n">
        <v>74</v>
      </c>
      <c r="B87" s="182" t="n">
        <v>73</v>
      </c>
      <c r="C87" s="182" t="n">
        <v>4789.59</v>
      </c>
      <c r="D87" s="182" t="n">
        <v>4811.6989</v>
      </c>
      <c r="E87" s="182" t="n">
        <v>-22.1089</v>
      </c>
      <c r="F87" s="182" t="n">
        <v>488.8036</v>
      </c>
      <c r="G87" s="182" t="n">
        <v>5329</v>
      </c>
      <c r="H87" s="182" t="inlineStr"/>
      <c r="I87" s="182" t="inlineStr"/>
    </row>
    <row r="88" ht="15" customHeight="1" s="28">
      <c r="A88" s="181" t="n">
        <v>75</v>
      </c>
      <c r="B88" s="181" t="n">
        <v>74</v>
      </c>
      <c r="C88" s="181" t="n">
        <v>4784.95</v>
      </c>
      <c r="D88" s="181" t="n">
        <v>4811.445</v>
      </c>
      <c r="E88" s="181" t="n">
        <v>-26.495</v>
      </c>
      <c r="F88" s="181" t="n">
        <v>701.9854</v>
      </c>
      <c r="G88" s="181" t="n">
        <v>5476</v>
      </c>
      <c r="H88" s="181" t="inlineStr"/>
      <c r="I88" s="181" t="inlineStr"/>
    </row>
    <row r="89" ht="15" customHeight="1" s="28">
      <c r="A89" s="182" t="n">
        <v>76</v>
      </c>
      <c r="B89" s="182" t="n">
        <v>75</v>
      </c>
      <c r="C89" s="182" t="n">
        <v>4787.41</v>
      </c>
      <c r="D89" s="182" t="n">
        <v>4811.1911</v>
      </c>
      <c r="E89" s="182" t="n">
        <v>-23.7811</v>
      </c>
      <c r="F89" s="182" t="n">
        <v>565.5413</v>
      </c>
      <c r="G89" s="182" t="n">
        <v>5625</v>
      </c>
      <c r="H89" s="182" t="inlineStr"/>
      <c r="I89" s="182" t="inlineStr"/>
    </row>
    <row r="90" ht="15" customHeight="1" s="28">
      <c r="A90" s="181" t="n">
        <v>77</v>
      </c>
      <c r="B90" s="181" t="n">
        <v>76</v>
      </c>
      <c r="C90" s="181" t="n">
        <v>4786.45</v>
      </c>
      <c r="D90" s="181" t="n">
        <v>4810.9372</v>
      </c>
      <c r="E90" s="181" t="n">
        <v>-24.4872</v>
      </c>
      <c r="F90" s="181" t="n">
        <v>599.6238</v>
      </c>
      <c r="G90" s="181" t="n">
        <v>5776</v>
      </c>
      <c r="H90" s="181" t="inlineStr"/>
      <c r="I90" s="181" t="inlineStr"/>
    </row>
    <row r="91" ht="15" customHeight="1" s="28">
      <c r="A91" s="182" t="n">
        <v>78</v>
      </c>
      <c r="B91" s="182" t="n">
        <v>77</v>
      </c>
      <c r="C91" s="182" t="n">
        <v>4793.07</v>
      </c>
      <c r="D91" s="182" t="n">
        <v>4810.6833</v>
      </c>
      <c r="E91" s="182" t="n">
        <v>-17.6133</v>
      </c>
      <c r="F91" s="182" t="n">
        <v>310.2291</v>
      </c>
      <c r="G91" s="182" t="n">
        <v>5929</v>
      </c>
      <c r="H91" s="182" t="inlineStr"/>
      <c r="I91" s="182" t="inlineStr"/>
    </row>
    <row r="92" ht="15" customHeight="1" s="28">
      <c r="A92" s="181" t="n">
        <v>79</v>
      </c>
      <c r="B92" s="181" t="n">
        <v>78</v>
      </c>
      <c r="C92" s="181" t="n">
        <v>4798.64</v>
      </c>
      <c r="D92" s="181" t="n">
        <v>4810.4294</v>
      </c>
      <c r="E92" s="181" t="n">
        <v>-11.7894</v>
      </c>
      <c r="F92" s="181" t="n">
        <v>138.9906</v>
      </c>
      <c r="G92" s="181" t="n">
        <v>6084</v>
      </c>
      <c r="H92" s="181" t="inlineStr"/>
      <c r="I92" s="181" t="inlineStr"/>
    </row>
    <row r="93" ht="15" customHeight="1" s="28">
      <c r="A93" s="182" t="n">
        <v>80</v>
      </c>
      <c r="B93" s="182" t="n">
        <v>79</v>
      </c>
      <c r="C93" s="182" t="n">
        <v>4799.19</v>
      </c>
      <c r="D93" s="182" t="n">
        <v>4810.1755</v>
      </c>
      <c r="E93" s="182" t="n">
        <v>-10.9855</v>
      </c>
      <c r="F93" s="182" t="n">
        <v>120.6819</v>
      </c>
      <c r="G93" s="182" t="n">
        <v>6241</v>
      </c>
      <c r="H93" s="182" t="inlineStr"/>
      <c r="I93" s="182" t="inlineStr"/>
    </row>
    <row r="94" ht="15" customHeight="1" s="28">
      <c r="A94" s="181" t="n">
        <v>81</v>
      </c>
      <c r="B94" s="181" t="n">
        <v>80</v>
      </c>
      <c r="C94" s="181" t="n">
        <v>4803.86</v>
      </c>
      <c r="D94" s="181" t="n">
        <v>4809.9216</v>
      </c>
      <c r="E94" s="181" t="n">
        <v>-6.0616</v>
      </c>
      <c r="F94" s="181" t="n">
        <v>36.7434</v>
      </c>
      <c r="G94" s="181" t="n">
        <v>6400</v>
      </c>
      <c r="H94" s="181" t="inlineStr"/>
      <c r="I94" s="181" t="inlineStr"/>
    </row>
    <row r="95" ht="15" customHeight="1" s="28">
      <c r="A95" s="182" t="n">
        <v>82</v>
      </c>
      <c r="B95" s="182" t="n">
        <v>81</v>
      </c>
      <c r="C95" s="182" t="n">
        <v>4816.87</v>
      </c>
      <c r="D95" s="182" t="n">
        <v>4809.6677</v>
      </c>
      <c r="E95" s="182" t="n">
        <v>7.2023</v>
      </c>
      <c r="F95" s="182" t="n">
        <v>51.8726</v>
      </c>
      <c r="G95" s="182" t="n">
        <v>6561</v>
      </c>
      <c r="H95" s="182" t="inlineStr"/>
      <c r="I95" s="182" t="inlineStr"/>
    </row>
    <row r="96" ht="15" customHeight="1" s="28">
      <c r="A96" s="181" t="n">
        <v>83</v>
      </c>
      <c r="B96" s="181" t="n">
        <v>82</v>
      </c>
      <c r="C96" s="181" t="n">
        <v>4823.45</v>
      </c>
      <c r="D96" s="181" t="n">
        <v>4809.4138</v>
      </c>
      <c r="E96" s="181" t="n">
        <v>14.0362</v>
      </c>
      <c r="F96" s="181" t="n">
        <v>197.0137</v>
      </c>
      <c r="G96" s="181" t="n">
        <v>6724</v>
      </c>
      <c r="H96" s="181" t="inlineStr"/>
      <c r="I96" s="181" t="inlineStr"/>
    </row>
    <row r="97" ht="15" customHeight="1" s="28">
      <c r="A97" s="182" t="n">
        <v>84</v>
      </c>
      <c r="B97" s="182" t="n">
        <v>83</v>
      </c>
      <c r="C97" s="182" t="n">
        <v>4846.75</v>
      </c>
      <c r="D97" s="182" t="n">
        <v>4809.1599</v>
      </c>
      <c r="E97" s="182" t="n">
        <v>37.5901</v>
      </c>
      <c r="F97" s="182" t="n">
        <v>1413.012</v>
      </c>
      <c r="G97" s="182" t="n">
        <v>6889</v>
      </c>
      <c r="H97" s="182" t="inlineStr"/>
      <c r="I97" s="182" t="inlineStr"/>
    </row>
    <row r="98" ht="15" customHeight="1" s="28">
      <c r="A98" s="181" t="n">
        <v>85</v>
      </c>
      <c r="B98" s="181" t="n">
        <v>84</v>
      </c>
      <c r="C98" s="181" t="n">
        <v>4883.6</v>
      </c>
      <c r="D98" s="181" t="n">
        <v>4808.9061</v>
      </c>
      <c r="E98" s="181" t="n">
        <v>74.6939</v>
      </c>
      <c r="F98" s="181" t="n">
        <v>5579.1857</v>
      </c>
      <c r="G98" s="181" t="n">
        <v>7056</v>
      </c>
      <c r="H98" s="181" t="inlineStr"/>
      <c r="I98" s="181" t="inlineStr"/>
    </row>
    <row r="99" ht="15" customHeight="1" s="28">
      <c r="A99" s="182" t="n">
        <v>86</v>
      </c>
      <c r="B99" s="182" t="n">
        <v>85</v>
      </c>
      <c r="C99" s="182" t="n">
        <v>4851.59</v>
      </c>
      <c r="D99" s="182" t="n">
        <v>4808.6522</v>
      </c>
      <c r="E99" s="182" t="n">
        <v>42.9378</v>
      </c>
      <c r="F99" s="182" t="n">
        <v>1843.6583</v>
      </c>
      <c r="G99" s="182" t="n">
        <v>7225</v>
      </c>
      <c r="H99" s="182" t="inlineStr"/>
      <c r="I99" s="182" t="inlineStr"/>
    </row>
    <row r="100" ht="15" customHeight="1" s="28">
      <c r="A100" s="181" t="n">
        <v>87</v>
      </c>
      <c r="B100" s="181" t="n">
        <v>86</v>
      </c>
      <c r="C100" s="181" t="n">
        <v>4864.42</v>
      </c>
      <c r="D100" s="181" t="n">
        <v>4808.3983</v>
      </c>
      <c r="E100" s="181" t="n">
        <v>56.0217</v>
      </c>
      <c r="F100" s="181" t="n">
        <v>3138.4351</v>
      </c>
      <c r="G100" s="181" t="n">
        <v>7396</v>
      </c>
      <c r="H100" s="181" t="inlineStr"/>
      <c r="I100" s="181" t="inlineStr"/>
    </row>
    <row r="101" ht="15" customHeight="1" s="28">
      <c r="A101" s="182" t="n">
        <v>88</v>
      </c>
      <c r="B101" s="182" t="n">
        <v>87</v>
      </c>
      <c r="C101" s="182" t="n">
        <v>4880.26</v>
      </c>
      <c r="D101" s="182" t="n">
        <v>4808.1444</v>
      </c>
      <c r="E101" s="182" t="n">
        <v>72.1156</v>
      </c>
      <c r="F101" s="182" t="n">
        <v>5200.6646</v>
      </c>
      <c r="G101" s="182" t="n">
        <v>7569</v>
      </c>
      <c r="H101" s="182" t="inlineStr"/>
      <c r="I101" s="182" t="inlineStr"/>
    </row>
    <row r="102" ht="15" customHeight="1" s="28">
      <c r="A102" s="181" t="n">
        <v>89</v>
      </c>
      <c r="B102" s="181" t="n">
        <v>88</v>
      </c>
      <c r="C102" s="181" t="n">
        <v>4867.03</v>
      </c>
      <c r="D102" s="181" t="n">
        <v>4807.8905</v>
      </c>
      <c r="E102" s="181" t="n">
        <v>59.1395</v>
      </c>
      <c r="F102" s="181" t="n">
        <v>3497.4839</v>
      </c>
      <c r="G102" s="181" t="n">
        <v>7744</v>
      </c>
      <c r="H102" s="181" t="inlineStr"/>
      <c r="I102" s="181" t="inlineStr"/>
    </row>
    <row r="103" ht="15" customHeight="1" s="28">
      <c r="A103" s="182" t="n">
        <v>90</v>
      </c>
      <c r="B103" s="182" t="n">
        <v>89</v>
      </c>
      <c r="C103" s="182" t="n">
        <v>4871.43</v>
      </c>
      <c r="D103" s="182" t="n">
        <v>4807.6366</v>
      </c>
      <c r="E103" s="182" t="n">
        <v>63.7934</v>
      </c>
      <c r="F103" s="182" t="n">
        <v>4069.601</v>
      </c>
      <c r="G103" s="182" t="n">
        <v>7921</v>
      </c>
      <c r="H103" s="182" t="inlineStr"/>
      <c r="I103" s="182" t="inlineStr"/>
    </row>
    <row r="104" ht="15" customHeight="1" s="28">
      <c r="A104" s="181" t="n">
        <v>91</v>
      </c>
      <c r="B104" s="181" t="n">
        <v>90</v>
      </c>
      <c r="C104" s="181" t="n">
        <v>4877.31</v>
      </c>
      <c r="D104" s="181" t="n">
        <v>4807.3827</v>
      </c>
      <c r="E104" s="181" t="n">
        <v>69.9273</v>
      </c>
      <c r="F104" s="181" t="n">
        <v>4889.8301</v>
      </c>
      <c r="G104" s="181" t="n">
        <v>8100</v>
      </c>
      <c r="H104" s="181" t="inlineStr"/>
      <c r="I104" s="181" t="inlineStr"/>
    </row>
    <row r="105" ht="15" customHeight="1" s="28">
      <c r="A105" s="182" t="n">
        <v>92</v>
      </c>
      <c r="B105" s="182" t="n">
        <v>91</v>
      </c>
      <c r="C105" s="182" t="n">
        <v>4873.15</v>
      </c>
      <c r="D105" s="182" t="n">
        <v>4807.1288</v>
      </c>
      <c r="E105" s="182" t="n">
        <v>66.02119999999999</v>
      </c>
      <c r="F105" s="182" t="n">
        <v>4358.8009</v>
      </c>
      <c r="G105" s="182" t="n">
        <v>8281</v>
      </c>
      <c r="H105" s="182" t="inlineStr"/>
      <c r="I105" s="182" t="inlineStr"/>
    </row>
    <row r="106" ht="15" customHeight="1" s="28">
      <c r="A106" s="181" t="n">
        <v>93</v>
      </c>
      <c r="B106" s="181" t="n">
        <v>92</v>
      </c>
      <c r="C106" s="181" t="n">
        <v>4867.01</v>
      </c>
      <c r="D106" s="181" t="n">
        <v>4806.8749</v>
      </c>
      <c r="E106" s="181" t="n">
        <v>60.1351</v>
      </c>
      <c r="F106" s="181" t="n">
        <v>3616.2316</v>
      </c>
      <c r="G106" s="181" t="n">
        <v>8464</v>
      </c>
      <c r="H106" s="181" t="inlineStr"/>
      <c r="I106" s="181" t="inlineStr"/>
    </row>
    <row r="107" ht="15" customHeight="1" s="28">
      <c r="A107" s="182" t="n">
        <v>94</v>
      </c>
      <c r="B107" s="182" t="n">
        <v>93</v>
      </c>
      <c r="C107" s="182" t="n">
        <v>4865.86</v>
      </c>
      <c r="D107" s="182" t="n">
        <v>4806.621</v>
      </c>
      <c r="E107" s="182" t="n">
        <v>59.239</v>
      </c>
      <c r="F107" s="182" t="n">
        <v>3509.2599</v>
      </c>
      <c r="G107" s="182" t="n">
        <v>8649</v>
      </c>
      <c r="H107" s="182" t="inlineStr"/>
      <c r="I107" s="182" t="inlineStr"/>
    </row>
    <row r="108" ht="15" customHeight="1" s="28">
      <c r="A108" s="181" t="n">
        <v>95</v>
      </c>
      <c r="B108" s="181" t="n">
        <v>94</v>
      </c>
      <c r="C108" s="181" t="n">
        <v>4858.58</v>
      </c>
      <c r="D108" s="181" t="n">
        <v>4806.3671</v>
      </c>
      <c r="E108" s="181" t="n">
        <v>52.2129</v>
      </c>
      <c r="F108" s="181" t="n">
        <v>2726.1871</v>
      </c>
      <c r="G108" s="181" t="n">
        <v>8836</v>
      </c>
      <c r="H108" s="181" t="inlineStr"/>
      <c r="I108" s="181" t="inlineStr"/>
    </row>
    <row r="109" ht="15" customHeight="1" s="28">
      <c r="A109" s="182" t="n">
        <v>96</v>
      </c>
      <c r="B109" s="182" t="n">
        <v>95</v>
      </c>
      <c r="C109" s="182" t="n">
        <v>4867.57</v>
      </c>
      <c r="D109" s="182" t="n">
        <v>4806.1132</v>
      </c>
      <c r="E109" s="182" t="n">
        <v>61.4568</v>
      </c>
      <c r="F109" s="182" t="n">
        <v>3776.938</v>
      </c>
      <c r="G109" s="182" t="n">
        <v>9025</v>
      </c>
      <c r="H109" s="182" t="inlineStr"/>
      <c r="I109" s="182" t="inlineStr"/>
    </row>
    <row r="110" ht="15" customHeight="1" s="28">
      <c r="A110" s="181" t="n">
        <v>97</v>
      </c>
      <c r="B110" s="181" t="n">
        <v>96</v>
      </c>
      <c r="C110" s="181" t="n">
        <v>4871.66</v>
      </c>
      <c r="D110" s="181" t="n">
        <v>4805.8593</v>
      </c>
      <c r="E110" s="181" t="n">
        <v>65.80070000000001</v>
      </c>
      <c r="F110" s="181" t="n">
        <v>4329.7312</v>
      </c>
      <c r="G110" s="181" t="n">
        <v>9216</v>
      </c>
      <c r="H110" s="181" t="inlineStr"/>
      <c r="I110" s="181" t="inlineStr"/>
    </row>
    <row r="111" ht="15" customHeight="1" s="28">
      <c r="A111" s="182" t="n">
        <v>98</v>
      </c>
      <c r="B111" s="182" t="n">
        <v>97</v>
      </c>
      <c r="C111" s="182" t="n">
        <v>4867.71</v>
      </c>
      <c r="D111" s="182" t="n">
        <v>4805.6054</v>
      </c>
      <c r="E111" s="182" t="n">
        <v>62.1046</v>
      </c>
      <c r="F111" s="182" t="n">
        <v>3856.9799</v>
      </c>
      <c r="G111" s="182" t="n">
        <v>9409</v>
      </c>
      <c r="H111" s="182" t="inlineStr"/>
      <c r="I111" s="182" t="inlineStr"/>
    </row>
    <row r="112" ht="15" customHeight="1" s="28">
      <c r="A112" s="181" t="n">
        <v>99</v>
      </c>
      <c r="B112" s="181" t="n">
        <v>98</v>
      </c>
      <c r="C112" s="181" t="n">
        <v>4868.37</v>
      </c>
      <c r="D112" s="181" t="n">
        <v>4805.3515</v>
      </c>
      <c r="E112" s="181" t="n">
        <v>63.0185</v>
      </c>
      <c r="F112" s="181" t="n">
        <v>3971.3293</v>
      </c>
      <c r="G112" s="181" t="n">
        <v>9604</v>
      </c>
      <c r="H112" s="181" t="inlineStr"/>
      <c r="I112" s="181" t="inlineStr"/>
    </row>
    <row r="113" ht="15" customHeight="1" s="28">
      <c r="A113" s="182" t="n">
        <v>100</v>
      </c>
      <c r="B113" s="182" t="n">
        <v>99</v>
      </c>
      <c r="C113" s="182" t="n">
        <v>4867.12</v>
      </c>
      <c r="D113" s="182" t="n">
        <v>4805.0976</v>
      </c>
      <c r="E113" s="182" t="n">
        <v>62.0224</v>
      </c>
      <c r="F113" s="182" t="n">
        <v>3846.7756</v>
      </c>
      <c r="G113" s="182" t="n">
        <v>9801</v>
      </c>
      <c r="H113" s="182" t="inlineStr"/>
      <c r="I113" s="182" t="inlineStr"/>
    </row>
    <row r="114" ht="15" customHeight="1" s="28">
      <c r="A114" s="181" t="n">
        <v>101</v>
      </c>
      <c r="B114" s="181" t="n">
        <v>100</v>
      </c>
      <c r="C114" s="181" t="n">
        <v>4862.89</v>
      </c>
      <c r="D114" s="181" t="n">
        <v>4804.8437</v>
      </c>
      <c r="E114" s="181" t="n">
        <v>58.0463</v>
      </c>
      <c r="F114" s="181" t="n">
        <v>3369.37</v>
      </c>
      <c r="G114" s="181" t="n">
        <v>10000</v>
      </c>
      <c r="H114" s="181" t="inlineStr"/>
      <c r="I114" s="181" t="inlineStr"/>
    </row>
    <row r="115" ht="15" customHeight="1" s="28">
      <c r="A115" s="182" t="n">
        <v>102</v>
      </c>
      <c r="B115" s="182" t="n">
        <v>101</v>
      </c>
      <c r="C115" s="182" t="n">
        <v>4858.63</v>
      </c>
      <c r="D115" s="182" t="n">
        <v>4804.5898</v>
      </c>
      <c r="E115" s="182" t="n">
        <v>54.0402</v>
      </c>
      <c r="F115" s="182" t="n">
        <v>2920.34</v>
      </c>
      <c r="G115" s="182" t="n">
        <v>10201</v>
      </c>
      <c r="H115" s="182" t="inlineStr"/>
      <c r="I115" s="182" t="inlineStr"/>
    </row>
    <row r="116" ht="15" customHeight="1" s="28">
      <c r="A116" s="181" t="n">
        <v>103</v>
      </c>
      <c r="B116" s="181" t="n">
        <v>102</v>
      </c>
      <c r="C116" s="181" t="n">
        <v>4855.01</v>
      </c>
      <c r="D116" s="181" t="n">
        <v>4804.3359</v>
      </c>
      <c r="E116" s="181" t="n">
        <v>50.6741</v>
      </c>
      <c r="F116" s="181" t="n">
        <v>2567.861</v>
      </c>
      <c r="G116" s="181" t="n">
        <v>10404</v>
      </c>
      <c r="H116" s="181" t="inlineStr"/>
      <c r="I116" s="181" t="inlineStr"/>
    </row>
    <row r="117" ht="15" customHeight="1" s="28">
      <c r="A117" s="182" t="n">
        <v>104</v>
      </c>
      <c r="B117" s="182" t="n">
        <v>103</v>
      </c>
      <c r="C117" s="182" t="n">
        <v>4862.6</v>
      </c>
      <c r="D117" s="182" t="n">
        <v>4804.082</v>
      </c>
      <c r="E117" s="182" t="n">
        <v>58.518</v>
      </c>
      <c r="F117" s="182" t="n">
        <v>3424.3518</v>
      </c>
      <c r="G117" s="182" t="n">
        <v>10609</v>
      </c>
      <c r="H117" s="182" t="inlineStr"/>
      <c r="I117" s="182" t="inlineStr"/>
    </row>
    <row r="118" ht="15" customHeight="1" s="28">
      <c r="A118" s="181" t="n">
        <v>105</v>
      </c>
      <c r="B118" s="181" t="n">
        <v>104</v>
      </c>
      <c r="C118" s="181" t="n">
        <v>4861.17</v>
      </c>
      <c r="D118" s="181" t="n">
        <v>4803.8281</v>
      </c>
      <c r="E118" s="181" t="n">
        <v>57.3419</v>
      </c>
      <c r="F118" s="181" t="n">
        <v>3288.0886</v>
      </c>
      <c r="G118" s="181" t="n">
        <v>10816</v>
      </c>
      <c r="H118" s="181" t="inlineStr"/>
      <c r="I118" s="181" t="inlineStr"/>
    </row>
    <row r="119" ht="15" customHeight="1" s="28">
      <c r="A119" s="182" t="n">
        <v>106</v>
      </c>
      <c r="B119" s="182" t="n">
        <v>105</v>
      </c>
      <c r="C119" s="182" t="n">
        <v>4860.87</v>
      </c>
      <c r="D119" s="182" t="n">
        <v>4803.5742</v>
      </c>
      <c r="E119" s="182" t="n">
        <v>57.2958</v>
      </c>
      <c r="F119" s="182" t="n">
        <v>3282.8032</v>
      </c>
      <c r="G119" s="182" t="n">
        <v>11025</v>
      </c>
      <c r="H119" s="182" t="inlineStr"/>
      <c r="I119" s="182" t="inlineStr"/>
    </row>
    <row r="120" ht="15" customHeight="1" s="28">
      <c r="A120" s="181" t="n">
        <v>107</v>
      </c>
      <c r="B120" s="181" t="n">
        <v>106</v>
      </c>
      <c r="C120" s="181" t="n">
        <v>4862.4</v>
      </c>
      <c r="D120" s="181" t="n">
        <v>4803.3204</v>
      </c>
      <c r="E120" s="181" t="n">
        <v>59.0796</v>
      </c>
      <c r="F120" s="181" t="n">
        <v>3490.4048</v>
      </c>
      <c r="G120" s="181" t="n">
        <v>11236</v>
      </c>
      <c r="H120" s="181" t="inlineStr"/>
      <c r="I120" s="181" t="inlineStr"/>
    </row>
    <row r="121" ht="15" customHeight="1" s="28">
      <c r="A121" s="182" t="n">
        <v>108</v>
      </c>
      <c r="B121" s="182" t="n">
        <v>107</v>
      </c>
      <c r="C121" s="182" t="n">
        <v>4858.16</v>
      </c>
      <c r="D121" s="182" t="n">
        <v>4803.0665</v>
      </c>
      <c r="E121" s="182" t="n">
        <v>55.0935</v>
      </c>
      <c r="F121" s="182" t="n">
        <v>3035.2985</v>
      </c>
      <c r="G121" s="182" t="n">
        <v>11449</v>
      </c>
      <c r="H121" s="182" t="inlineStr"/>
      <c r="I121" s="182" t="inlineStr"/>
    </row>
    <row r="122" ht="15" customHeight="1" s="28">
      <c r="A122" s="181" t="n">
        <v>109</v>
      </c>
      <c r="B122" s="181" t="n">
        <v>108</v>
      </c>
      <c r="C122" s="181" t="n">
        <v>4856.59</v>
      </c>
      <c r="D122" s="181" t="n">
        <v>4802.8126</v>
      </c>
      <c r="E122" s="181" t="n">
        <v>53.7774</v>
      </c>
      <c r="F122" s="181" t="n">
        <v>2892.0129</v>
      </c>
      <c r="G122" s="181" t="n">
        <v>11664</v>
      </c>
      <c r="H122" s="181" t="inlineStr"/>
      <c r="I122" s="181" t="inlineStr"/>
    </row>
    <row r="123" ht="15" customHeight="1" s="28">
      <c r="A123" s="182" t="n">
        <v>110</v>
      </c>
      <c r="B123" s="182" t="n">
        <v>109</v>
      </c>
      <c r="C123" s="182" t="n">
        <v>4856.91</v>
      </c>
      <c r="D123" s="182" t="n">
        <v>4802.5587</v>
      </c>
      <c r="E123" s="182" t="n">
        <v>54.3513</v>
      </c>
      <c r="F123" s="182" t="n">
        <v>2954.0675</v>
      </c>
      <c r="G123" s="182" t="n">
        <v>11881</v>
      </c>
      <c r="H123" s="182" t="inlineStr"/>
      <c r="I123" s="182" t="inlineStr"/>
    </row>
    <row r="124" ht="15" customHeight="1" s="28">
      <c r="A124" s="181" t="n">
        <v>111</v>
      </c>
      <c r="B124" s="181" t="n">
        <v>110</v>
      </c>
      <c r="C124" s="181" t="n">
        <v>4860.34</v>
      </c>
      <c r="D124" s="181" t="n">
        <v>4802.3048</v>
      </c>
      <c r="E124" s="181" t="n">
        <v>58.0352</v>
      </c>
      <c r="F124" s="181" t="n">
        <v>3368.0879</v>
      </c>
      <c r="G124" s="181" t="n">
        <v>12100</v>
      </c>
      <c r="H124" s="181" t="inlineStr"/>
      <c r="I124" s="181" t="inlineStr"/>
    </row>
    <row r="125" ht="15" customHeight="1" s="28">
      <c r="A125" s="182" t="n">
        <v>112</v>
      </c>
      <c r="B125" s="182" t="n">
        <v>111</v>
      </c>
      <c r="C125" s="182" t="n">
        <v>4854.73</v>
      </c>
      <c r="D125" s="182" t="n">
        <v>4802.0509</v>
      </c>
      <c r="E125" s="182" t="n">
        <v>52.6791</v>
      </c>
      <c r="F125" s="182" t="n">
        <v>2775.0903</v>
      </c>
      <c r="G125" s="182" t="n">
        <v>12321</v>
      </c>
      <c r="H125" s="182" t="inlineStr"/>
      <c r="I125" s="182" t="inlineStr"/>
    </row>
    <row r="126" ht="15" customHeight="1" s="28">
      <c r="A126" s="181" t="n">
        <v>113</v>
      </c>
      <c r="B126" s="181" t="n">
        <v>112</v>
      </c>
      <c r="C126" s="181" t="n">
        <v>4845.91</v>
      </c>
      <c r="D126" s="181" t="n">
        <v>4801.797</v>
      </c>
      <c r="E126" s="181" t="n">
        <v>44.113</v>
      </c>
      <c r="F126" s="181" t="n">
        <v>1945.9586</v>
      </c>
      <c r="G126" s="181" t="n">
        <v>12544</v>
      </c>
      <c r="H126" s="181" t="inlineStr"/>
      <c r="I126" s="181" t="inlineStr"/>
    </row>
    <row r="127" ht="15" customHeight="1" s="28">
      <c r="A127" s="182" t="n">
        <v>114</v>
      </c>
      <c r="B127" s="182" t="n">
        <v>113</v>
      </c>
      <c r="C127" s="182" t="n">
        <v>4845.96</v>
      </c>
      <c r="D127" s="182" t="n">
        <v>4801.5431</v>
      </c>
      <c r="E127" s="182" t="n">
        <v>44.4169</v>
      </c>
      <c r="F127" s="182" t="n">
        <v>1972.8625</v>
      </c>
      <c r="G127" s="182" t="n">
        <v>12769</v>
      </c>
      <c r="H127" s="182" t="inlineStr"/>
      <c r="I127" s="182" t="inlineStr"/>
    </row>
    <row r="128" ht="15" customHeight="1" s="28">
      <c r="A128" s="181" t="n">
        <v>115</v>
      </c>
      <c r="B128" s="181" t="n">
        <v>114</v>
      </c>
      <c r="C128" s="181" t="n">
        <v>4835.81</v>
      </c>
      <c r="D128" s="181" t="n">
        <v>4801.2892</v>
      </c>
      <c r="E128" s="181" t="n">
        <v>34.5208</v>
      </c>
      <c r="F128" s="181" t="n">
        <v>1191.6865</v>
      </c>
      <c r="G128" s="181" t="n">
        <v>12996</v>
      </c>
      <c r="H128" s="181" t="inlineStr"/>
      <c r="I128" s="181" t="inlineStr"/>
    </row>
    <row r="129" ht="15" customHeight="1" s="28">
      <c r="A129" s="182" t="n">
        <v>116</v>
      </c>
      <c r="B129" s="182" t="n">
        <v>115</v>
      </c>
      <c r="C129" s="182" t="n">
        <v>4833.02</v>
      </c>
      <c r="D129" s="182" t="n">
        <v>4801.0353</v>
      </c>
      <c r="E129" s="182" t="n">
        <v>31.9847</v>
      </c>
      <c r="F129" s="182" t="n">
        <v>1023.0215</v>
      </c>
      <c r="G129" s="182" t="n">
        <v>13225</v>
      </c>
      <c r="H129" s="182" t="inlineStr"/>
      <c r="I129" s="182" t="inlineStr"/>
    </row>
    <row r="130" ht="15" customHeight="1" s="28">
      <c r="A130" s="181" t="n">
        <v>117</v>
      </c>
      <c r="B130" s="181" t="n">
        <v>116</v>
      </c>
      <c r="C130" s="181" t="n">
        <v>4790.21</v>
      </c>
      <c r="D130" s="181" t="n">
        <v>4800.7814</v>
      </c>
      <c r="E130" s="181" t="n">
        <v>-10.5714</v>
      </c>
      <c r="F130" s="181" t="n">
        <v>111.7544</v>
      </c>
      <c r="G130" s="181" t="n">
        <v>13456</v>
      </c>
      <c r="H130" s="181" t="inlineStr"/>
      <c r="I130" s="181" t="inlineStr"/>
    </row>
    <row r="131" ht="15" customHeight="1" s="28">
      <c r="A131" s="182" t="n">
        <v>118</v>
      </c>
      <c r="B131" s="182" t="n">
        <v>117</v>
      </c>
      <c r="C131" s="182" t="n">
        <v>4784.84</v>
      </c>
      <c r="D131" s="182" t="n">
        <v>4800.5275</v>
      </c>
      <c r="E131" s="182" t="n">
        <v>-15.6875</v>
      </c>
      <c r="F131" s="182" t="n">
        <v>246.0977</v>
      </c>
      <c r="G131" s="182" t="n">
        <v>13689</v>
      </c>
      <c r="H131" s="182" t="inlineStr"/>
      <c r="I131" s="182" t="inlineStr"/>
    </row>
    <row r="132" ht="15" customHeight="1" s="28">
      <c r="A132" s="181" t="n">
        <v>119</v>
      </c>
      <c r="B132" s="181" t="n">
        <v>118</v>
      </c>
      <c r="C132" s="181" t="n">
        <v>4780.29</v>
      </c>
      <c r="D132" s="181" t="n">
        <v>4800.2736</v>
      </c>
      <c r="E132" s="181" t="n">
        <v>-19.9836</v>
      </c>
      <c r="F132" s="181" t="n">
        <v>399.3445</v>
      </c>
      <c r="G132" s="181" t="n">
        <v>13924</v>
      </c>
      <c r="H132" s="181" t="inlineStr"/>
      <c r="I132" s="181" t="inlineStr"/>
    </row>
    <row r="133" ht="15" customHeight="1" s="28">
      <c r="A133" s="182" t="n">
        <v>120</v>
      </c>
      <c r="B133" s="182" t="n">
        <v>119</v>
      </c>
      <c r="C133" s="182" t="n">
        <v>4779.23</v>
      </c>
      <c r="D133" s="182" t="n">
        <v>4800.0197</v>
      </c>
      <c r="E133" s="182" t="n">
        <v>-20.7897</v>
      </c>
      <c r="F133" s="182" t="n">
        <v>432.2121</v>
      </c>
      <c r="G133" s="182" t="n">
        <v>14161</v>
      </c>
      <c r="H133" s="182" t="inlineStr"/>
      <c r="I133" s="182" t="inlineStr"/>
    </row>
    <row r="134" ht="15" customHeight="1" s="28">
      <c r="A134" s="181" t="n">
        <v>121</v>
      </c>
      <c r="B134" s="181" t="n">
        <v>120</v>
      </c>
      <c r="C134" s="181" t="n">
        <v>4772.65</v>
      </c>
      <c r="D134" s="181" t="n">
        <v>4799.7658</v>
      </c>
      <c r="E134" s="181" t="n">
        <v>-27.1158</v>
      </c>
      <c r="F134" s="181" t="n">
        <v>735.2674</v>
      </c>
      <c r="G134" s="181" t="n">
        <v>14400</v>
      </c>
      <c r="H134" s="181" t="inlineStr"/>
      <c r="I134" s="181" t="inlineStr"/>
    </row>
    <row r="135" ht="15" customHeight="1" s="28">
      <c r="A135" s="182" t="n">
        <v>122</v>
      </c>
      <c r="B135" s="182" t="n">
        <v>121</v>
      </c>
      <c r="C135" s="182" t="n">
        <v>4769.43</v>
      </c>
      <c r="D135" s="182" t="n">
        <v>4799.5119</v>
      </c>
      <c r="E135" s="182" t="n">
        <v>-30.0819</v>
      </c>
      <c r="F135" s="182" t="n">
        <v>904.9219000000001</v>
      </c>
      <c r="G135" s="182" t="n">
        <v>14641</v>
      </c>
      <c r="H135" s="182" t="inlineStr"/>
      <c r="I135" s="182" t="inlineStr"/>
    </row>
    <row r="136" ht="15" customHeight="1" s="28">
      <c r="A136" s="181" t="n">
        <v>123</v>
      </c>
      <c r="B136" s="181" t="n">
        <v>122</v>
      </c>
      <c r="C136" s="181" t="n">
        <v>4752.06</v>
      </c>
      <c r="D136" s="181" t="n">
        <v>4799.258</v>
      </c>
      <c r="E136" s="181" t="n">
        <v>-47.198</v>
      </c>
      <c r="F136" s="181" t="n">
        <v>2227.6535</v>
      </c>
      <c r="G136" s="181" t="n">
        <v>14884</v>
      </c>
      <c r="H136" s="181" t="inlineStr"/>
      <c r="I136" s="181" t="inlineStr"/>
    </row>
    <row r="137" ht="15" customHeight="1" s="28">
      <c r="A137" s="182" t="n">
        <v>124</v>
      </c>
      <c r="B137" s="182" t="n">
        <v>123</v>
      </c>
      <c r="C137" s="182" t="n">
        <v>4755.07</v>
      </c>
      <c r="D137" s="182" t="n">
        <v>4799.0041</v>
      </c>
      <c r="E137" s="182" t="n">
        <v>-43.9341</v>
      </c>
      <c r="F137" s="182" t="n">
        <v>1930.2077</v>
      </c>
      <c r="G137" s="182" t="n">
        <v>15129</v>
      </c>
      <c r="H137" s="182" t="inlineStr"/>
      <c r="I137" s="182" t="inlineStr"/>
    </row>
    <row r="138" ht="15" customHeight="1" s="28">
      <c r="A138" s="181" t="n">
        <v>125</v>
      </c>
      <c r="B138" s="181" t="n">
        <v>124</v>
      </c>
      <c r="C138" s="181" t="n">
        <v>4752.17</v>
      </c>
      <c r="D138" s="181" t="n">
        <v>4798.7502</v>
      </c>
      <c r="E138" s="181" t="n">
        <v>-46.5802</v>
      </c>
      <c r="F138" s="181" t="n">
        <v>2169.7181</v>
      </c>
      <c r="G138" s="181" t="n">
        <v>15376</v>
      </c>
      <c r="H138" s="181" t="inlineStr"/>
      <c r="I138" s="181" t="inlineStr"/>
    </row>
    <row r="139" ht="15" customHeight="1" s="28">
      <c r="A139" s="182" t="n">
        <v>126</v>
      </c>
      <c r="B139" s="182" t="n">
        <v>125</v>
      </c>
      <c r="C139" s="182" t="n">
        <v>4765.66</v>
      </c>
      <c r="D139" s="182" t="n">
        <v>4798.4963</v>
      </c>
      <c r="E139" s="182" t="n">
        <v>-32.8363</v>
      </c>
      <c r="F139" s="182" t="n">
        <v>1078.2251</v>
      </c>
      <c r="G139" s="182" t="n">
        <v>15625</v>
      </c>
      <c r="H139" s="182" t="inlineStr"/>
      <c r="I139" s="182" t="inlineStr"/>
    </row>
    <row r="140" ht="15" customHeight="1" s="28">
      <c r="A140" s="181" t="n">
        <v>127</v>
      </c>
      <c r="B140" s="181" t="n">
        <v>126</v>
      </c>
      <c r="C140" s="181" t="n">
        <v>4764.3</v>
      </c>
      <c r="D140" s="181" t="n">
        <v>4798.2424</v>
      </c>
      <c r="E140" s="181" t="n">
        <v>-33.9424</v>
      </c>
      <c r="F140" s="181" t="n">
        <v>1152.0894</v>
      </c>
      <c r="G140" s="181" t="n">
        <v>15876</v>
      </c>
      <c r="H140" s="181" t="inlineStr"/>
      <c r="I140" s="181" t="inlineStr"/>
    </row>
    <row r="141" ht="15" customHeight="1" s="28">
      <c r="A141" s="182" t="n">
        <v>128</v>
      </c>
      <c r="B141" s="182" t="n">
        <v>127</v>
      </c>
      <c r="C141" s="182" t="n">
        <v>4772.93</v>
      </c>
      <c r="D141" s="182" t="n">
        <v>4797.9885</v>
      </c>
      <c r="E141" s="182" t="n">
        <v>-25.0585</v>
      </c>
      <c r="F141" s="182" t="n">
        <v>627.9308</v>
      </c>
      <c r="G141" s="182" t="n">
        <v>16129</v>
      </c>
      <c r="H141" s="182" t="inlineStr"/>
      <c r="I141" s="182" t="inlineStr"/>
    </row>
    <row r="142" ht="15" customHeight="1" s="28">
      <c r="A142" s="181" t="n">
        <v>129</v>
      </c>
      <c r="B142" s="181" t="n">
        <v>128</v>
      </c>
      <c r="C142" s="181" t="n">
        <v>4793.92</v>
      </c>
      <c r="D142" s="181" t="n">
        <v>4797.7347</v>
      </c>
      <c r="E142" s="181" t="n">
        <v>-3.8147</v>
      </c>
      <c r="F142" s="181" t="n">
        <v>14.5516</v>
      </c>
      <c r="G142" s="181" t="n">
        <v>16384</v>
      </c>
      <c r="H142" s="181" t="inlineStr"/>
      <c r="I142" s="181" t="inlineStr"/>
    </row>
    <row r="143" ht="15" customHeight="1" s="28">
      <c r="A143" s="182" t="n">
        <v>130</v>
      </c>
      <c r="B143" s="182" t="n">
        <v>129</v>
      </c>
      <c r="C143" s="182" t="n">
        <v>4802.69</v>
      </c>
      <c r="D143" s="182" t="n">
        <v>4797.4808</v>
      </c>
      <c r="E143" s="182" t="n">
        <v>5.2092</v>
      </c>
      <c r="F143" s="182" t="n">
        <v>27.1362</v>
      </c>
      <c r="G143" s="182" t="n">
        <v>16641</v>
      </c>
      <c r="H143" s="182" t="inlineStr"/>
      <c r="I143" s="182" t="inlineStr"/>
    </row>
    <row r="144" ht="15" customHeight="1" s="28">
      <c r="A144" s="181" t="n">
        <v>131</v>
      </c>
      <c r="B144" s="181" t="n">
        <v>130</v>
      </c>
      <c r="C144" s="181" t="n">
        <v>4807.2</v>
      </c>
      <c r="D144" s="181" t="n">
        <v>4797.2269</v>
      </c>
      <c r="E144" s="181" t="n">
        <v>9.973100000000001</v>
      </c>
      <c r="F144" s="181" t="n">
        <v>99.4635</v>
      </c>
      <c r="G144" s="181" t="n">
        <v>16900</v>
      </c>
      <c r="H144" s="181" t="inlineStr"/>
      <c r="I144" s="181" t="inlineStr"/>
    </row>
    <row r="145" ht="15" customHeight="1" s="28">
      <c r="A145" s="182" t="n">
        <v>132</v>
      </c>
      <c r="B145" s="182" t="n">
        <v>131</v>
      </c>
      <c r="C145" s="182" t="n">
        <v>4807.6</v>
      </c>
      <c r="D145" s="182" t="n">
        <v>4796.973</v>
      </c>
      <c r="E145" s="182" t="n">
        <v>10.627</v>
      </c>
      <c r="F145" s="182" t="n">
        <v>112.9339</v>
      </c>
      <c r="G145" s="182" t="n">
        <v>17161</v>
      </c>
      <c r="H145" s="182" t="inlineStr"/>
      <c r="I145" s="182" t="inlineStr"/>
    </row>
    <row r="146" ht="15" customHeight="1" s="28">
      <c r="A146" s="181" t="n">
        <v>133</v>
      </c>
      <c r="B146" s="181" t="n">
        <v>132</v>
      </c>
      <c r="C146" s="181" t="n">
        <v>4800.99</v>
      </c>
      <c r="D146" s="181" t="n">
        <v>4796.7191</v>
      </c>
      <c r="E146" s="181" t="n">
        <v>4.2709</v>
      </c>
      <c r="F146" s="181" t="n">
        <v>18.2408</v>
      </c>
      <c r="G146" s="181" t="n">
        <v>17424</v>
      </c>
      <c r="H146" s="181" t="inlineStr"/>
      <c r="I146" s="181" t="inlineStr"/>
    </row>
    <row r="147" ht="15" customHeight="1" s="28">
      <c r="A147" s="182" t="n">
        <v>134</v>
      </c>
      <c r="B147" s="182" t="n">
        <v>133</v>
      </c>
      <c r="C147" s="182" t="n">
        <v>4800.46</v>
      </c>
      <c r="D147" s="182" t="n">
        <v>4796.4652</v>
      </c>
      <c r="E147" s="182" t="n">
        <v>3.9948</v>
      </c>
      <c r="F147" s="182" t="n">
        <v>15.9586</v>
      </c>
      <c r="G147" s="182" t="n">
        <v>17689</v>
      </c>
      <c r="H147" s="182" t="inlineStr"/>
      <c r="I147" s="182" t="inlineStr"/>
    </row>
    <row r="148" ht="15" customHeight="1" s="28">
      <c r="A148" s="181" t="n">
        <v>135</v>
      </c>
      <c r="B148" s="181" t="n">
        <v>134</v>
      </c>
      <c r="C148" s="181" t="n">
        <v>4796.33</v>
      </c>
      <c r="D148" s="181" t="n">
        <v>4796.2113</v>
      </c>
      <c r="E148" s="181" t="n">
        <v>0.1187</v>
      </c>
      <c r="F148" s="181" t="n">
        <v>0.0141</v>
      </c>
      <c r="G148" s="181" t="n">
        <v>17956</v>
      </c>
      <c r="H148" s="181" t="inlineStr"/>
      <c r="I148" s="181" t="inlineStr"/>
    </row>
    <row r="149" ht="15" customHeight="1" s="28">
      <c r="A149" s="182" t="n">
        <v>136</v>
      </c>
      <c r="B149" s="182" t="n">
        <v>135</v>
      </c>
      <c r="C149" s="182" t="n">
        <v>4797.41</v>
      </c>
      <c r="D149" s="182" t="n">
        <v>4795.9574</v>
      </c>
      <c r="E149" s="182" t="n">
        <v>1.4526</v>
      </c>
      <c r="F149" s="182" t="n">
        <v>2.1101</v>
      </c>
      <c r="G149" s="182" t="n">
        <v>18225</v>
      </c>
      <c r="H149" s="182" t="inlineStr"/>
      <c r="I149" s="182" t="inlineStr"/>
    </row>
    <row r="150" ht="15" customHeight="1" s="28">
      <c r="A150" s="181" t="n">
        <v>137</v>
      </c>
      <c r="B150" s="181" t="n">
        <v>136</v>
      </c>
      <c r="C150" s="181" t="n">
        <v>4791.47</v>
      </c>
      <c r="D150" s="181" t="n">
        <v>4795.7035</v>
      </c>
      <c r="E150" s="181" t="n">
        <v>-4.2335</v>
      </c>
      <c r="F150" s="181" t="n">
        <v>17.9224</v>
      </c>
      <c r="G150" s="181" t="n">
        <v>18496</v>
      </c>
      <c r="H150" s="181" t="inlineStr"/>
      <c r="I150" s="181" t="inlineStr"/>
    </row>
    <row r="151" ht="15" customHeight="1" s="28">
      <c r="A151" s="182" t="n">
        <v>138</v>
      </c>
      <c r="B151" s="182" t="n">
        <v>137</v>
      </c>
      <c r="C151" s="182" t="n">
        <v>4795.1</v>
      </c>
      <c r="D151" s="182" t="n">
        <v>4795.4496</v>
      </c>
      <c r="E151" s="182" t="n">
        <v>-0.3496</v>
      </c>
      <c r="F151" s="182" t="n">
        <v>0.1222</v>
      </c>
      <c r="G151" s="182" t="n">
        <v>18769</v>
      </c>
      <c r="H151" s="182" t="inlineStr"/>
      <c r="I151" s="182" t="inlineStr"/>
    </row>
    <row r="152" ht="15" customHeight="1" s="28">
      <c r="A152" s="181" t="n">
        <v>139</v>
      </c>
      <c r="B152" s="181" t="n">
        <v>138</v>
      </c>
      <c r="C152" s="181" t="n">
        <v>4793.76</v>
      </c>
      <c r="D152" s="181" t="n">
        <v>4795.1957</v>
      </c>
      <c r="E152" s="181" t="n">
        <v>-1.4357</v>
      </c>
      <c r="F152" s="181" t="n">
        <v>2.0612</v>
      </c>
      <c r="G152" s="181" t="n">
        <v>19044</v>
      </c>
      <c r="H152" s="181" t="inlineStr"/>
      <c r="I152" s="181" t="inlineStr"/>
    </row>
    <row r="153" ht="15" customHeight="1" s="28">
      <c r="A153" s="182" t="n">
        <v>140</v>
      </c>
      <c r="B153" s="182" t="n">
        <v>139</v>
      </c>
      <c r="C153" s="182" t="n">
        <v>4790.91</v>
      </c>
      <c r="D153" s="182" t="n">
        <v>4794.9418</v>
      </c>
      <c r="E153" s="182" t="n">
        <v>-4.0318</v>
      </c>
      <c r="F153" s="182" t="n">
        <v>16.2554</v>
      </c>
      <c r="G153" s="182" t="n">
        <v>19321</v>
      </c>
      <c r="H153" s="182" t="inlineStr"/>
      <c r="I153" s="182" t="inlineStr"/>
    </row>
    <row r="154" ht="15" customHeight="1" s="28">
      <c r="A154" s="181" t="n">
        <v>141</v>
      </c>
      <c r="B154" s="181" t="n">
        <v>140</v>
      </c>
      <c r="C154" s="181" t="n">
        <v>4793.12</v>
      </c>
      <c r="D154" s="181" t="n">
        <v>4794.6879</v>
      </c>
      <c r="E154" s="181" t="n">
        <v>-1.5679</v>
      </c>
      <c r="F154" s="181" t="n">
        <v>2.4583</v>
      </c>
      <c r="G154" s="181" t="n">
        <v>19600</v>
      </c>
      <c r="H154" s="181" t="inlineStr"/>
      <c r="I154" s="181" t="inlineStr"/>
    </row>
    <row r="155" ht="15" customHeight="1" s="28">
      <c r="A155" s="182" t="n">
        <v>142</v>
      </c>
      <c r="B155" s="182" t="n">
        <v>141</v>
      </c>
      <c r="C155" s="182" t="n">
        <v>4794.79</v>
      </c>
      <c r="D155" s="182" t="n">
        <v>4794.434</v>
      </c>
      <c r="E155" s="182" t="n">
        <v>0.356</v>
      </c>
      <c r="F155" s="182" t="n">
        <v>0.1267</v>
      </c>
      <c r="G155" s="182" t="n">
        <v>19881</v>
      </c>
      <c r="H155" s="182" t="inlineStr"/>
      <c r="I155" s="182" t="inlineStr"/>
    </row>
    <row r="156" ht="15" customHeight="1" s="28">
      <c r="A156" s="181" t="n">
        <v>143</v>
      </c>
      <c r="B156" s="181" t="n">
        <v>142</v>
      </c>
      <c r="C156" s="181" t="n">
        <v>4787.34</v>
      </c>
      <c r="D156" s="181" t="n">
        <v>4794.1801</v>
      </c>
      <c r="E156" s="181" t="n">
        <v>-6.8401</v>
      </c>
      <c r="F156" s="181" t="n">
        <v>46.7872</v>
      </c>
      <c r="G156" s="181" t="n">
        <v>20164</v>
      </c>
      <c r="H156" s="181" t="inlineStr"/>
      <c r="I156" s="181" t="inlineStr"/>
    </row>
    <row r="157" ht="15" customHeight="1" s="28">
      <c r="A157" s="182" t="n">
        <v>144</v>
      </c>
      <c r="B157" s="182" t="n">
        <v>143</v>
      </c>
      <c r="C157" s="182" t="n">
        <v>4789.02</v>
      </c>
      <c r="D157" s="182" t="n">
        <v>4793.9262</v>
      </c>
      <c r="E157" s="182" t="n">
        <v>-4.9062</v>
      </c>
      <c r="F157" s="182" t="n">
        <v>24.071</v>
      </c>
      <c r="G157" s="182" t="n">
        <v>20449</v>
      </c>
      <c r="H157" s="182" t="inlineStr"/>
      <c r="I157" s="182" t="inlineStr"/>
    </row>
    <row r="158" ht="15" customHeight="1" s="28">
      <c r="A158" s="181" t="n">
        <v>145</v>
      </c>
      <c r="B158" s="181" t="n">
        <v>144</v>
      </c>
      <c r="C158" s="181" t="n">
        <v>4786.62</v>
      </c>
      <c r="D158" s="181" t="n">
        <v>4793.6723</v>
      </c>
      <c r="E158" s="181" t="n">
        <v>-7.0523</v>
      </c>
      <c r="F158" s="181" t="n">
        <v>49.7353</v>
      </c>
      <c r="G158" s="181" t="n">
        <v>20736</v>
      </c>
      <c r="H158" s="181" t="inlineStr"/>
      <c r="I158" s="181" t="inlineStr"/>
    </row>
    <row r="159" ht="15" customHeight="1" s="28">
      <c r="A159" s="182" t="n">
        <v>146</v>
      </c>
      <c r="B159" s="182" t="n">
        <v>145</v>
      </c>
      <c r="C159" s="182" t="n">
        <v>4788.05</v>
      </c>
      <c r="D159" s="182" t="n">
        <v>4793.4184</v>
      </c>
      <c r="E159" s="182" t="n">
        <v>-5.3684</v>
      </c>
      <c r="F159" s="182" t="n">
        <v>28.82</v>
      </c>
      <c r="G159" s="182" t="n">
        <v>21025</v>
      </c>
      <c r="H159" s="182" t="inlineStr"/>
      <c r="I159" s="182" t="inlineStr"/>
    </row>
    <row r="160" ht="15" customHeight="1" s="28">
      <c r="A160" s="181" t="n">
        <v>147</v>
      </c>
      <c r="B160" s="181" t="n">
        <v>146</v>
      </c>
      <c r="C160" s="181" t="n">
        <v>4780.97</v>
      </c>
      <c r="D160" s="181" t="n">
        <v>4793.1645</v>
      </c>
      <c r="E160" s="181" t="n">
        <v>-12.1945</v>
      </c>
      <c r="F160" s="181" t="n">
        <v>148.7066</v>
      </c>
      <c r="G160" s="181" t="n">
        <v>21316</v>
      </c>
      <c r="H160" s="181" t="inlineStr"/>
      <c r="I160" s="181" t="inlineStr"/>
    </row>
    <row r="161" ht="15" customHeight="1" s="28">
      <c r="A161" s="182" t="n">
        <v>148</v>
      </c>
      <c r="B161" s="182" t="n">
        <v>147</v>
      </c>
      <c r="C161" s="182" t="n">
        <v>4790.87</v>
      </c>
      <c r="D161" s="182" t="n">
        <v>4792.9106</v>
      </c>
      <c r="E161" s="182" t="n">
        <v>-2.0406</v>
      </c>
      <c r="F161" s="182" t="n">
        <v>4.1642</v>
      </c>
      <c r="G161" s="182" t="n">
        <v>21609</v>
      </c>
      <c r="H161" s="182" t="inlineStr"/>
      <c r="I161" s="182" t="inlineStr"/>
    </row>
    <row r="162" ht="15" customHeight="1" s="28">
      <c r="A162" s="181" t="n">
        <v>149</v>
      </c>
      <c r="B162" s="181" t="n">
        <v>148</v>
      </c>
      <c r="C162" s="181" t="n">
        <v>4790.56</v>
      </c>
      <c r="D162" s="181" t="n">
        <v>4792.6567</v>
      </c>
      <c r="E162" s="181" t="n">
        <v>-2.0967</v>
      </c>
      <c r="F162" s="181" t="n">
        <v>4.3963</v>
      </c>
      <c r="G162" s="181" t="n">
        <v>21904</v>
      </c>
      <c r="H162" s="181" t="inlineStr"/>
      <c r="I162" s="181" t="inlineStr"/>
    </row>
    <row r="163" ht="15" customHeight="1" s="28">
      <c r="A163" s="182" t="n">
        <v>150</v>
      </c>
      <c r="B163" s="182" t="n">
        <v>149</v>
      </c>
      <c r="C163" s="182" t="n">
        <v>4786.12</v>
      </c>
      <c r="D163" s="182" t="n">
        <v>4792.4028</v>
      </c>
      <c r="E163" s="182" t="n">
        <v>-6.2828</v>
      </c>
      <c r="F163" s="182" t="n">
        <v>39.4742</v>
      </c>
      <c r="G163" s="182" t="n">
        <v>22201</v>
      </c>
      <c r="H163" s="182" t="inlineStr"/>
      <c r="I163" s="182" t="inlineStr"/>
    </row>
    <row r="164" ht="15" customHeight="1" s="28">
      <c r="A164" s="181" t="n">
        <v>151</v>
      </c>
      <c r="B164" s="181" t="n">
        <v>150</v>
      </c>
      <c r="C164" s="181" t="n">
        <v>4790.24</v>
      </c>
      <c r="D164" s="181" t="n">
        <v>4792.149</v>
      </c>
      <c r="E164" s="181" t="n">
        <v>-1.909</v>
      </c>
      <c r="F164" s="181" t="n">
        <v>3.6441</v>
      </c>
      <c r="G164" s="181" t="n">
        <v>22500</v>
      </c>
      <c r="H164" s="181" t="inlineStr"/>
      <c r="I164" s="181" t="inlineStr"/>
    </row>
    <row r="165" ht="15" customHeight="1" s="28">
      <c r="A165" s="182" t="n">
        <v>152</v>
      </c>
      <c r="B165" s="182" t="n">
        <v>151</v>
      </c>
      <c r="C165" s="182" t="n">
        <v>4795.46</v>
      </c>
      <c r="D165" s="182" t="n">
        <v>4791.8951</v>
      </c>
      <c r="E165" s="182" t="n">
        <v>3.5649</v>
      </c>
      <c r="F165" s="182" t="n">
        <v>12.7088</v>
      </c>
      <c r="G165" s="182" t="n">
        <v>22801</v>
      </c>
      <c r="H165" s="182" t="inlineStr"/>
      <c r="I165" s="182" t="inlineStr"/>
    </row>
    <row r="166" ht="15" customHeight="1" s="28">
      <c r="A166" s="181" t="n">
        <v>153</v>
      </c>
      <c r="B166" s="181" t="n">
        <v>152</v>
      </c>
      <c r="C166" s="181" t="n">
        <v>4797.47</v>
      </c>
      <c r="D166" s="181" t="n">
        <v>4791.6412</v>
      </c>
      <c r="E166" s="181" t="n">
        <v>5.8288</v>
      </c>
      <c r="F166" s="181" t="n">
        <v>33.9754</v>
      </c>
      <c r="G166" s="181" t="n">
        <v>23104</v>
      </c>
      <c r="H166" s="181" t="inlineStr"/>
      <c r="I166" s="181" t="inlineStr"/>
    </row>
    <row r="167" ht="15" customHeight="1" s="28">
      <c r="A167" s="182" t="n">
        <v>154</v>
      </c>
      <c r="B167" s="182" t="n">
        <v>153</v>
      </c>
      <c r="C167" s="182" t="n">
        <v>4797.92</v>
      </c>
      <c r="D167" s="182" t="n">
        <v>4791.3873</v>
      </c>
      <c r="E167" s="182" t="n">
        <v>6.5327</v>
      </c>
      <c r="F167" s="182" t="n">
        <v>42.6766</v>
      </c>
      <c r="G167" s="182" t="n">
        <v>23409</v>
      </c>
      <c r="H167" s="182" t="inlineStr"/>
      <c r="I167" s="182" t="inlineStr"/>
    </row>
    <row r="168" ht="15" customHeight="1" s="28">
      <c r="A168" s="181" t="n">
        <v>155</v>
      </c>
      <c r="B168" s="181" t="n">
        <v>154</v>
      </c>
      <c r="C168" s="181" t="n">
        <v>4797.69</v>
      </c>
      <c r="D168" s="181" t="n">
        <v>4791.1334</v>
      </c>
      <c r="E168" s="181" t="n">
        <v>6.5566</v>
      </c>
      <c r="F168" s="181" t="n">
        <v>42.9894</v>
      </c>
      <c r="G168" s="181" t="n">
        <v>23716</v>
      </c>
      <c r="H168" s="181" t="inlineStr"/>
      <c r="I168" s="181" t="inlineStr"/>
    </row>
    <row r="169" ht="15" customHeight="1" s="28">
      <c r="A169" s="182" t="n">
        <v>156</v>
      </c>
      <c r="B169" s="182" t="n">
        <v>155</v>
      </c>
      <c r="C169" s="182" t="n">
        <v>4789.7</v>
      </c>
      <c r="D169" s="182" t="n">
        <v>4790.8795</v>
      </c>
      <c r="E169" s="182" t="n">
        <v>-1.1795</v>
      </c>
      <c r="F169" s="182" t="n">
        <v>1.3912</v>
      </c>
      <c r="G169" s="182" t="n">
        <v>24025</v>
      </c>
      <c r="H169" s="182" t="inlineStr"/>
      <c r="I169" s="182" t="inlineStr"/>
    </row>
    <row r="170" ht="15" customHeight="1" s="28">
      <c r="A170" s="181" t="n">
        <v>157</v>
      </c>
      <c r="B170" s="181" t="n">
        <v>156</v>
      </c>
      <c r="C170" s="181" t="n">
        <v>4789.48</v>
      </c>
      <c r="D170" s="181" t="n">
        <v>4790.6256</v>
      </c>
      <c r="E170" s="181" t="n">
        <v>-1.1456</v>
      </c>
      <c r="F170" s="181" t="n">
        <v>1.3123</v>
      </c>
      <c r="G170" s="181" t="n">
        <v>24336</v>
      </c>
      <c r="H170" s="181" t="inlineStr"/>
      <c r="I170" s="181" t="inlineStr"/>
    </row>
    <row r="171" ht="15" customHeight="1" s="28">
      <c r="A171" s="182" t="n">
        <v>158</v>
      </c>
      <c r="B171" s="182" t="n">
        <v>157</v>
      </c>
      <c r="C171" s="182" t="n">
        <v>4792.11</v>
      </c>
      <c r="D171" s="182" t="n">
        <v>4790.3717</v>
      </c>
      <c r="E171" s="182" t="n">
        <v>1.7383</v>
      </c>
      <c r="F171" s="182" t="n">
        <v>3.0218</v>
      </c>
      <c r="G171" s="182" t="n">
        <v>24649</v>
      </c>
      <c r="H171" s="182" t="inlineStr"/>
      <c r="I171" s="182" t="inlineStr"/>
    </row>
    <row r="172" ht="15" customHeight="1" s="28">
      <c r="A172" s="181" t="n">
        <v>159</v>
      </c>
      <c r="B172" s="181" t="n">
        <v>158</v>
      </c>
      <c r="C172" s="181" t="n">
        <v>4792.48</v>
      </c>
      <c r="D172" s="181" t="n">
        <v>4790.1178</v>
      </c>
      <c r="E172" s="181" t="n">
        <v>2.3622</v>
      </c>
      <c r="F172" s="181" t="n">
        <v>5.5801</v>
      </c>
      <c r="G172" s="181" t="n">
        <v>24964</v>
      </c>
      <c r="H172" s="181" t="inlineStr"/>
      <c r="I172" s="181" t="inlineStr"/>
    </row>
    <row r="173" ht="15" customHeight="1" s="28">
      <c r="A173" s="182" t="n">
        <v>160</v>
      </c>
      <c r="B173" s="182" t="n">
        <v>159</v>
      </c>
      <c r="C173" s="182" t="n">
        <v>4796.19</v>
      </c>
      <c r="D173" s="182" t="n">
        <v>4789.8639</v>
      </c>
      <c r="E173" s="182" t="n">
        <v>6.3261</v>
      </c>
      <c r="F173" s="182" t="n">
        <v>40.0197</v>
      </c>
      <c r="G173" s="182" t="n">
        <v>25281</v>
      </c>
      <c r="H173" s="182" t="inlineStr"/>
      <c r="I173" s="182" t="inlineStr"/>
    </row>
    <row r="174" ht="15" customHeight="1" s="28">
      <c r="A174" s="181" t="n">
        <v>161</v>
      </c>
      <c r="B174" s="181" t="n">
        <v>160</v>
      </c>
      <c r="C174" s="181" t="n">
        <v>4796.07</v>
      </c>
      <c r="D174" s="181" t="n">
        <v>4789.61</v>
      </c>
      <c r="E174" s="181" t="n">
        <v>6.46</v>
      </c>
      <c r="F174" s="181" t="n">
        <v>41.7317</v>
      </c>
      <c r="G174" s="181" t="n">
        <v>25600</v>
      </c>
      <c r="H174" s="181" t="inlineStr"/>
      <c r="I174" s="181" t="inlineStr"/>
    </row>
    <row r="175" ht="15" customHeight="1" s="28">
      <c r="A175" s="182" t="n">
        <v>162</v>
      </c>
      <c r="B175" s="182" t="n">
        <v>161</v>
      </c>
      <c r="C175" s="182" t="n">
        <v>4792.33</v>
      </c>
      <c r="D175" s="182" t="n">
        <v>4789.3561</v>
      </c>
      <c r="E175" s="182" t="n">
        <v>2.9739</v>
      </c>
      <c r="F175" s="182" t="n">
        <v>8.844099999999999</v>
      </c>
      <c r="G175" s="182" t="n">
        <v>25921</v>
      </c>
      <c r="H175" s="182" t="inlineStr"/>
      <c r="I175" s="182" t="inlineStr"/>
    </row>
    <row r="176" ht="15" customHeight="1" s="28">
      <c r="A176" s="181" t="n">
        <v>163</v>
      </c>
      <c r="B176" s="181" t="n">
        <v>162</v>
      </c>
      <c r="C176" s="181" t="n">
        <v>4791.96</v>
      </c>
      <c r="D176" s="181" t="n">
        <v>4789.1022</v>
      </c>
      <c r="E176" s="181" t="n">
        <v>2.8578</v>
      </c>
      <c r="F176" s="181" t="n">
        <v>8.167</v>
      </c>
      <c r="G176" s="181" t="n">
        <v>26244</v>
      </c>
      <c r="H176" s="181" t="inlineStr"/>
      <c r="I176" s="181" t="inlineStr"/>
    </row>
    <row r="177" ht="15" customHeight="1" s="28">
      <c r="A177" s="182" t="n">
        <v>164</v>
      </c>
      <c r="B177" s="182" t="n">
        <v>163</v>
      </c>
      <c r="C177" s="182" t="n">
        <v>4791.6</v>
      </c>
      <c r="D177" s="182" t="n">
        <v>4788.8483</v>
      </c>
      <c r="E177" s="182" t="n">
        <v>2.7517</v>
      </c>
      <c r="F177" s="182" t="n">
        <v>7.5718</v>
      </c>
      <c r="G177" s="182" t="n">
        <v>26569</v>
      </c>
      <c r="H177" s="182" t="inlineStr"/>
      <c r="I177" s="182" t="inlineStr"/>
    </row>
    <row r="178" ht="15" customHeight="1" s="28">
      <c r="A178" s="181" t="n">
        <v>165</v>
      </c>
      <c r="B178" s="181" t="n">
        <v>164</v>
      </c>
      <c r="C178" s="181" t="n">
        <v>4795.76</v>
      </c>
      <c r="D178" s="181" t="n">
        <v>4788.5944</v>
      </c>
      <c r="E178" s="181" t="n">
        <v>7.1656</v>
      </c>
      <c r="F178" s="181" t="n">
        <v>51.3456</v>
      </c>
      <c r="G178" s="181" t="n">
        <v>26896</v>
      </c>
      <c r="H178" s="181" t="inlineStr"/>
      <c r="I178" s="181" t="inlineStr"/>
    </row>
    <row r="179" ht="15" customHeight="1" s="28">
      <c r="A179" s="182" t="n">
        <v>166</v>
      </c>
      <c r="B179" s="182" t="n">
        <v>165</v>
      </c>
      <c r="C179" s="182" t="n">
        <v>4798.24</v>
      </c>
      <c r="D179" s="182" t="n">
        <v>4788.3405</v>
      </c>
      <c r="E179" s="182" t="n">
        <v>9.8995</v>
      </c>
      <c r="F179" s="182" t="n">
        <v>97.9997</v>
      </c>
      <c r="G179" s="182" t="n">
        <v>27225</v>
      </c>
      <c r="H179" s="182" t="inlineStr"/>
      <c r="I179" s="182" t="inlineStr"/>
    </row>
    <row r="180" ht="15" customHeight="1" s="28">
      <c r="A180" s="181" t="n">
        <v>167</v>
      </c>
      <c r="B180" s="181" t="n">
        <v>166</v>
      </c>
      <c r="C180" s="181" t="n">
        <v>4795.08</v>
      </c>
      <c r="D180" s="181" t="n">
        <v>4788.0866</v>
      </c>
      <c r="E180" s="181" t="n">
        <v>6.9934</v>
      </c>
      <c r="F180" s="181" t="n">
        <v>48.9073</v>
      </c>
      <c r="G180" s="181" t="n">
        <v>27556</v>
      </c>
      <c r="H180" s="181" t="inlineStr"/>
      <c r="I180" s="181" t="inlineStr"/>
    </row>
    <row r="181" ht="15" customHeight="1" s="28">
      <c r="A181" s="182" t="n">
        <v>168</v>
      </c>
      <c r="B181" s="182" t="n">
        <v>167</v>
      </c>
      <c r="C181" s="182" t="n">
        <v>4795.91</v>
      </c>
      <c r="D181" s="182" t="n">
        <v>4787.8327</v>
      </c>
      <c r="E181" s="182" t="n">
        <v>8.077299999999999</v>
      </c>
      <c r="F181" s="182" t="n">
        <v>65.2423</v>
      </c>
      <c r="G181" s="182" t="n">
        <v>27889</v>
      </c>
      <c r="H181" s="182" t="inlineStr"/>
      <c r="I181" s="182" t="inlineStr"/>
    </row>
    <row r="182" ht="15" customHeight="1" s="28">
      <c r="A182" s="181" t="n">
        <v>169</v>
      </c>
      <c r="B182" s="181" t="n">
        <v>168</v>
      </c>
      <c r="C182" s="181" t="n">
        <v>4789.77</v>
      </c>
      <c r="D182" s="181" t="n">
        <v>4787.5788</v>
      </c>
      <c r="E182" s="181" t="n">
        <v>2.1912</v>
      </c>
      <c r="F182" s="181" t="n">
        <v>4.8012</v>
      </c>
      <c r="G182" s="181" t="n">
        <v>28224</v>
      </c>
      <c r="H182" s="181" t="inlineStr"/>
      <c r="I182" s="181" t="inlineStr"/>
    </row>
    <row r="183" ht="15" customHeight="1" s="28">
      <c r="A183" s="182" t="n">
        <v>170</v>
      </c>
      <c r="B183" s="182" t="n">
        <v>169</v>
      </c>
      <c r="C183" s="182" t="n">
        <v>4788.34</v>
      </c>
      <c r="D183" s="182" t="n">
        <v>4787.3249</v>
      </c>
      <c r="E183" s="182" t="n">
        <v>1.0151</v>
      </c>
      <c r="F183" s="182" t="n">
        <v>1.0304</v>
      </c>
      <c r="G183" s="182" t="n">
        <v>28561</v>
      </c>
      <c r="H183" s="182" t="inlineStr"/>
      <c r="I183" s="182" t="inlineStr"/>
    </row>
    <row r="184" ht="15" customHeight="1" s="28">
      <c r="A184" s="181" t="n">
        <v>171</v>
      </c>
      <c r="B184" s="181" t="n">
        <v>170</v>
      </c>
      <c r="C184" s="181" t="n">
        <v>4794.36</v>
      </c>
      <c r="D184" s="181" t="n">
        <v>4787.071</v>
      </c>
      <c r="E184" s="181" t="n">
        <v>7.289</v>
      </c>
      <c r="F184" s="181" t="n">
        <v>53.1289</v>
      </c>
      <c r="G184" s="181" t="n">
        <v>28900</v>
      </c>
      <c r="H184" s="181" t="inlineStr"/>
      <c r="I184" s="181" t="inlineStr"/>
    </row>
    <row r="185" ht="15" customHeight="1" s="28">
      <c r="A185" s="182" t="n">
        <v>172</v>
      </c>
      <c r="B185" s="182" t="n">
        <v>171</v>
      </c>
      <c r="C185" s="182" t="n">
        <v>4810.44</v>
      </c>
      <c r="D185" s="182" t="n">
        <v>4786.8171</v>
      </c>
      <c r="E185" s="182" t="n">
        <v>23.6229</v>
      </c>
      <c r="F185" s="182" t="n">
        <v>558.0393</v>
      </c>
      <c r="G185" s="182" t="n">
        <v>29241</v>
      </c>
      <c r="H185" s="182" t="inlineStr"/>
      <c r="I185" s="182" t="inlineStr"/>
    </row>
    <row r="186" ht="15" customHeight="1" s="28">
      <c r="A186" s="181" t="n">
        <v>173</v>
      </c>
      <c r="B186" s="181" t="n">
        <v>172</v>
      </c>
      <c r="C186" s="181" t="n">
        <v>4811.06</v>
      </c>
      <c r="D186" s="181" t="n">
        <v>4786.5632</v>
      </c>
      <c r="E186" s="181" t="n">
        <v>24.4968</v>
      </c>
      <c r="F186" s="181" t="n">
        <v>600.0907999999999</v>
      </c>
      <c r="G186" s="181" t="n">
        <v>29584</v>
      </c>
      <c r="H186" s="181" t="inlineStr"/>
      <c r="I186" s="181" t="inlineStr"/>
    </row>
    <row r="187" ht="15" customHeight="1" s="28">
      <c r="A187" s="182" t="n">
        <v>174</v>
      </c>
      <c r="B187" s="182" t="n">
        <v>173</v>
      </c>
      <c r="C187" s="182" t="n">
        <v>4805.51</v>
      </c>
      <c r="D187" s="182" t="n">
        <v>4786.3094</v>
      </c>
      <c r="E187" s="182" t="n">
        <v>19.2006</v>
      </c>
      <c r="F187" s="182" t="n">
        <v>368.6648</v>
      </c>
      <c r="G187" s="182" t="n">
        <v>29929</v>
      </c>
      <c r="H187" s="182" t="inlineStr"/>
      <c r="I187" s="182" t="inlineStr"/>
    </row>
    <row r="188" ht="15" customHeight="1" s="28">
      <c r="A188" s="181" t="n">
        <v>175</v>
      </c>
      <c r="B188" s="181" t="n">
        <v>174</v>
      </c>
      <c r="C188" s="181" t="n">
        <v>4806.11</v>
      </c>
      <c r="D188" s="181" t="n">
        <v>4786.0555</v>
      </c>
      <c r="E188" s="181" t="n">
        <v>20.0545</v>
      </c>
      <c r="F188" s="181" t="n">
        <v>402.1846</v>
      </c>
      <c r="G188" s="181" t="n">
        <v>30276</v>
      </c>
      <c r="H188" s="181" t="inlineStr"/>
      <c r="I188" s="181" t="inlineStr"/>
    </row>
    <row r="189" ht="15" customHeight="1" s="28">
      <c r="A189" s="182" t="n">
        <v>176</v>
      </c>
      <c r="B189" s="182" t="n">
        <v>175</v>
      </c>
      <c r="C189" s="182" t="n">
        <v>4803.49</v>
      </c>
      <c r="D189" s="182" t="n">
        <v>4785.8016</v>
      </c>
      <c r="E189" s="182" t="n">
        <v>17.6884</v>
      </c>
      <c r="F189" s="182" t="n">
        <v>312.8808</v>
      </c>
      <c r="G189" s="182" t="n">
        <v>30625</v>
      </c>
      <c r="H189" s="182" t="inlineStr"/>
      <c r="I189" s="182" t="inlineStr"/>
    </row>
    <row r="190" ht="15" customHeight="1" s="28">
      <c r="A190" s="181" t="n">
        <v>177</v>
      </c>
      <c r="B190" s="181" t="n">
        <v>176</v>
      </c>
      <c r="C190" s="181" t="n">
        <v>4815.51</v>
      </c>
      <c r="D190" s="181" t="n">
        <v>4785.5477</v>
      </c>
      <c r="E190" s="181" t="n">
        <v>29.9623</v>
      </c>
      <c r="F190" s="181" t="n">
        <v>897.7414</v>
      </c>
      <c r="G190" s="181" t="n">
        <v>30976</v>
      </c>
      <c r="H190" s="181" t="inlineStr"/>
      <c r="I190" s="181" t="inlineStr"/>
    </row>
    <row r="191" ht="15" customHeight="1" s="28">
      <c r="A191" s="182" t="n">
        <v>178</v>
      </c>
      <c r="B191" s="182" t="n">
        <v>177</v>
      </c>
      <c r="C191" s="182" t="n">
        <v>4824.19</v>
      </c>
      <c r="D191" s="182" t="n">
        <v>4785.2938</v>
      </c>
      <c r="E191" s="182" t="n">
        <v>38.8962</v>
      </c>
      <c r="F191" s="182" t="n">
        <v>1512.9166</v>
      </c>
      <c r="G191" s="182" t="n">
        <v>31329</v>
      </c>
      <c r="H191" s="182" t="inlineStr"/>
      <c r="I191" s="182" t="inlineStr"/>
    </row>
    <row r="192" ht="15" customHeight="1" s="28">
      <c r="A192" s="181" t="n">
        <v>179</v>
      </c>
      <c r="B192" s="181" t="n">
        <v>178</v>
      </c>
      <c r="C192" s="181" t="n">
        <v>4822.18</v>
      </c>
      <c r="D192" s="181" t="n">
        <v>4785.0399</v>
      </c>
      <c r="E192" s="181" t="n">
        <v>37.1401</v>
      </c>
      <c r="F192" s="181" t="n">
        <v>1379.3888</v>
      </c>
      <c r="G192" s="181" t="n">
        <v>31684</v>
      </c>
      <c r="H192" s="181" t="inlineStr"/>
      <c r="I192" s="181" t="inlineStr"/>
    </row>
    <row r="193" ht="15" customHeight="1" s="28">
      <c r="A193" s="182" t="n">
        <v>180</v>
      </c>
      <c r="B193" s="182" t="n">
        <v>179</v>
      </c>
      <c r="C193" s="182" t="n">
        <v>4817.9</v>
      </c>
      <c r="D193" s="182" t="n">
        <v>4784.786</v>
      </c>
      <c r="E193" s="182" t="n">
        <v>33.114</v>
      </c>
      <c r="F193" s="182" t="n">
        <v>1096.5383</v>
      </c>
      <c r="G193" s="182" t="n">
        <v>32041</v>
      </c>
      <c r="H193" s="182" t="inlineStr"/>
      <c r="I193" s="182" t="inlineStr"/>
    </row>
    <row r="194" ht="15" customHeight="1" s="28">
      <c r="A194" s="181" t="n">
        <v>181</v>
      </c>
      <c r="B194" s="181" t="n">
        <v>180</v>
      </c>
      <c r="C194" s="181" t="n">
        <v>4816.39</v>
      </c>
      <c r="D194" s="181" t="n">
        <v>4784.5321</v>
      </c>
      <c r="E194" s="181" t="n">
        <v>31.8579</v>
      </c>
      <c r="F194" s="181" t="n">
        <v>1014.9267</v>
      </c>
      <c r="G194" s="181" t="n">
        <v>32400</v>
      </c>
      <c r="H194" s="181" t="inlineStr"/>
      <c r="I194" s="181" t="inlineStr"/>
    </row>
    <row r="195" ht="15" customHeight="1" s="28">
      <c r="A195" s="182" t="n">
        <v>182</v>
      </c>
      <c r="B195" s="182" t="n">
        <v>181</v>
      </c>
      <c r="C195" s="182" t="n">
        <v>4823.4</v>
      </c>
      <c r="D195" s="182" t="n">
        <v>4784.2782</v>
      </c>
      <c r="E195" s="182" t="n">
        <v>39.1218</v>
      </c>
      <c r="F195" s="182" t="n">
        <v>1530.516</v>
      </c>
      <c r="G195" s="182" t="n">
        <v>32761</v>
      </c>
      <c r="H195" s="182" t="inlineStr"/>
      <c r="I195" s="182" t="inlineStr"/>
    </row>
    <row r="196" ht="15" customHeight="1" s="28">
      <c r="A196" s="181" t="n">
        <v>183</v>
      </c>
      <c r="B196" s="181" t="n">
        <v>182</v>
      </c>
      <c r="C196" s="181" t="n">
        <v>4814.18</v>
      </c>
      <c r="D196" s="181" t="n">
        <v>4784.0243</v>
      </c>
      <c r="E196" s="181" t="n">
        <v>30.1557</v>
      </c>
      <c r="F196" s="181" t="n">
        <v>909.3665999999999</v>
      </c>
      <c r="G196" s="181" t="n">
        <v>33124</v>
      </c>
      <c r="H196" s="181" t="inlineStr"/>
      <c r="I196" s="181" t="inlineStr"/>
    </row>
    <row r="197" ht="15" customHeight="1" s="28">
      <c r="A197" s="182" t="n">
        <v>184</v>
      </c>
      <c r="B197" s="182" t="n">
        <v>183</v>
      </c>
      <c r="C197" s="182" t="n">
        <v>4805.31</v>
      </c>
      <c r="D197" s="182" t="n">
        <v>4783.7704</v>
      </c>
      <c r="E197" s="182" t="n">
        <v>21.5396</v>
      </c>
      <c r="F197" s="182" t="n">
        <v>463.9544</v>
      </c>
      <c r="G197" s="182" t="n">
        <v>33489</v>
      </c>
      <c r="H197" s="182" t="inlineStr"/>
      <c r="I197" s="182" t="inlineStr"/>
    </row>
    <row r="198" ht="15" customHeight="1" s="28">
      <c r="A198" s="181" t="n">
        <v>185</v>
      </c>
      <c r="B198" s="181" t="n">
        <v>184</v>
      </c>
      <c r="C198" s="181" t="n">
        <v>4798.2</v>
      </c>
      <c r="D198" s="181" t="n">
        <v>4783.5165</v>
      </c>
      <c r="E198" s="181" t="n">
        <v>14.6835</v>
      </c>
      <c r="F198" s="181" t="n">
        <v>215.6051</v>
      </c>
      <c r="G198" s="181" t="n">
        <v>33856</v>
      </c>
      <c r="H198" s="181" t="inlineStr"/>
      <c r="I198" s="181" t="inlineStr"/>
    </row>
    <row r="199" ht="15" customHeight="1" s="28">
      <c r="A199" s="182" t="n">
        <v>186</v>
      </c>
      <c r="B199" s="182" t="n">
        <v>185</v>
      </c>
      <c r="C199" s="182" t="n">
        <v>4808.64</v>
      </c>
      <c r="D199" s="182" t="n">
        <v>4783.2626</v>
      </c>
      <c r="E199" s="182" t="n">
        <v>25.3774</v>
      </c>
      <c r="F199" s="182" t="n">
        <v>644.0119999999999</v>
      </c>
      <c r="G199" s="182" t="n">
        <v>34225</v>
      </c>
      <c r="H199" s="182" t="inlineStr"/>
      <c r="I199" s="182" t="inlineStr"/>
    </row>
    <row r="200" ht="15" customHeight="1" s="28">
      <c r="A200" s="181" t="n">
        <v>187</v>
      </c>
      <c r="B200" s="181" t="n">
        <v>186</v>
      </c>
      <c r="C200" s="181" t="n">
        <v>4800.36</v>
      </c>
      <c r="D200" s="181" t="n">
        <v>4783.0087</v>
      </c>
      <c r="E200" s="181" t="n">
        <v>17.3513</v>
      </c>
      <c r="F200" s="181" t="n">
        <v>301.0672</v>
      </c>
      <c r="G200" s="181" t="n">
        <v>34596</v>
      </c>
      <c r="H200" s="181" t="inlineStr"/>
      <c r="I200" s="181" t="inlineStr"/>
    </row>
    <row r="201" ht="15" customHeight="1" s="28">
      <c r="A201" s="182" t="n">
        <v>188</v>
      </c>
      <c r="B201" s="182" t="n">
        <v>187</v>
      </c>
      <c r="C201" s="182" t="n">
        <v>4799.8</v>
      </c>
      <c r="D201" s="182" t="n">
        <v>4782.7548</v>
      </c>
      <c r="E201" s="182" t="n">
        <v>17.0452</v>
      </c>
      <c r="F201" s="182" t="n">
        <v>290.5383</v>
      </c>
      <c r="G201" s="182" t="n">
        <v>34969</v>
      </c>
      <c r="H201" s="182" t="inlineStr"/>
      <c r="I201" s="182" t="inlineStr"/>
    </row>
    <row r="202" ht="15" customHeight="1" s="28">
      <c r="A202" s="181" t="n">
        <v>189</v>
      </c>
      <c r="B202" s="181" t="n">
        <v>188</v>
      </c>
      <c r="C202" s="181" t="n">
        <v>4798.42</v>
      </c>
      <c r="D202" s="181" t="n">
        <v>4782.5009</v>
      </c>
      <c r="E202" s="181" t="n">
        <v>15.9191</v>
      </c>
      <c r="F202" s="181" t="n">
        <v>253.4171</v>
      </c>
      <c r="G202" s="181" t="n">
        <v>35344</v>
      </c>
      <c r="H202" s="181" t="inlineStr"/>
      <c r="I202" s="181" t="inlineStr"/>
    </row>
    <row r="203" ht="15" customHeight="1" s="28">
      <c r="A203" s="182" t="n">
        <v>190</v>
      </c>
      <c r="B203" s="182" t="n">
        <v>189</v>
      </c>
      <c r="C203" s="182" t="n">
        <v>4801.22</v>
      </c>
      <c r="D203" s="182" t="n">
        <v>4782.247</v>
      </c>
      <c r="E203" s="182" t="n">
        <v>18.973</v>
      </c>
      <c r="F203" s="182" t="n">
        <v>359.9737</v>
      </c>
      <c r="G203" s="182" t="n">
        <v>35721</v>
      </c>
      <c r="H203" s="182" t="inlineStr"/>
      <c r="I203" s="182" t="inlineStr"/>
    </row>
    <row r="204" ht="15" customHeight="1" s="28">
      <c r="A204" s="181" t="n">
        <v>191</v>
      </c>
      <c r="B204" s="181" t="n">
        <v>190</v>
      </c>
      <c r="C204" s="181" t="n">
        <v>4801.79</v>
      </c>
      <c r="D204" s="181" t="n">
        <v>4781.9931</v>
      </c>
      <c r="E204" s="181" t="n">
        <v>19.7969</v>
      </c>
      <c r="F204" s="181" t="n">
        <v>391.916</v>
      </c>
      <c r="G204" s="181" t="n">
        <v>36100</v>
      </c>
      <c r="H204" s="181" t="inlineStr"/>
      <c r="I204" s="181" t="inlineStr"/>
    </row>
    <row r="205" ht="15" customHeight="1" s="28">
      <c r="A205" s="182" t="n">
        <v>192</v>
      </c>
      <c r="B205" s="182" t="n">
        <v>191</v>
      </c>
      <c r="C205" s="182" t="n">
        <v>4805.59</v>
      </c>
      <c r="D205" s="182" t="n">
        <v>4781.7392</v>
      </c>
      <c r="E205" s="182" t="n">
        <v>23.8508</v>
      </c>
      <c r="F205" s="182" t="n">
        <v>568.859</v>
      </c>
      <c r="G205" s="182" t="n">
        <v>36481</v>
      </c>
      <c r="H205" s="182" t="inlineStr"/>
      <c r="I205" s="182" t="inlineStr"/>
    </row>
    <row r="206" ht="15" customHeight="1" s="28">
      <c r="A206" s="181" t="n">
        <v>193</v>
      </c>
      <c r="B206" s="181" t="n">
        <v>192</v>
      </c>
      <c r="C206" s="181" t="n">
        <v>4808.86</v>
      </c>
      <c r="D206" s="181" t="n">
        <v>4781.4853</v>
      </c>
      <c r="E206" s="181" t="n">
        <v>27.3747</v>
      </c>
      <c r="F206" s="181" t="n">
        <v>749.372</v>
      </c>
      <c r="G206" s="181" t="n">
        <v>36864</v>
      </c>
      <c r="H206" s="181" t="inlineStr"/>
      <c r="I206" s="181" t="inlineStr"/>
    </row>
    <row r="207" ht="15" customHeight="1" s="28">
      <c r="A207" s="182" t="n">
        <v>194</v>
      </c>
      <c r="B207" s="182" t="n">
        <v>193</v>
      </c>
      <c r="C207" s="182" t="n">
        <v>4810.07</v>
      </c>
      <c r="D207" s="182" t="n">
        <v>4781.2314</v>
      </c>
      <c r="E207" s="182" t="n">
        <v>28.8386</v>
      </c>
      <c r="F207" s="182" t="n">
        <v>831.6623</v>
      </c>
      <c r="G207" s="182" t="n">
        <v>37249</v>
      </c>
      <c r="H207" s="182" t="inlineStr"/>
      <c r="I207" s="182" t="inlineStr"/>
    </row>
    <row r="208" ht="15" customHeight="1" s="28">
      <c r="A208" s="181" t="n">
        <v>195</v>
      </c>
      <c r="B208" s="181" t="n">
        <v>194</v>
      </c>
      <c r="C208" s="181" t="n">
        <v>4809.55</v>
      </c>
      <c r="D208" s="181" t="n">
        <v>4780.9775</v>
      </c>
      <c r="E208" s="181" t="n">
        <v>28.5725</v>
      </c>
      <c r="F208" s="181" t="n">
        <v>816.385</v>
      </c>
      <c r="G208" s="181" t="n">
        <v>37636</v>
      </c>
      <c r="H208" s="181" t="inlineStr"/>
      <c r="I208" s="181" t="inlineStr"/>
    </row>
    <row r="209" ht="15" customHeight="1" s="28">
      <c r="A209" s="182" t="n">
        <v>196</v>
      </c>
      <c r="B209" s="182" t="n">
        <v>195</v>
      </c>
      <c r="C209" s="182" t="n">
        <v>4806.62</v>
      </c>
      <c r="D209" s="182" t="n">
        <v>4780.7237</v>
      </c>
      <c r="E209" s="182" t="n">
        <v>25.8963</v>
      </c>
      <c r="F209" s="182" t="n">
        <v>670.6208</v>
      </c>
      <c r="G209" s="182" t="n">
        <v>38025</v>
      </c>
      <c r="H209" s="182" t="inlineStr"/>
      <c r="I209" s="182" t="inlineStr"/>
    </row>
    <row r="210" ht="15" customHeight="1" s="28">
      <c r="A210" s="181" t="n">
        <v>197</v>
      </c>
      <c r="B210" s="181" t="n">
        <v>196</v>
      </c>
      <c r="C210" s="181" t="n">
        <v>4815.51</v>
      </c>
      <c r="D210" s="181" t="n">
        <v>4780.4698</v>
      </c>
      <c r="E210" s="181" t="n">
        <v>35.0402</v>
      </c>
      <c r="F210" s="181" t="n">
        <v>1227.8186</v>
      </c>
      <c r="G210" s="181" t="n">
        <v>38416</v>
      </c>
      <c r="H210" s="181" t="inlineStr"/>
      <c r="I210" s="181" t="inlineStr"/>
    </row>
    <row r="211" ht="15" customHeight="1" s="28">
      <c r="A211" s="182" t="n">
        <v>198</v>
      </c>
      <c r="B211" s="182" t="n">
        <v>197</v>
      </c>
      <c r="C211" s="182" t="n">
        <v>4813.5</v>
      </c>
      <c r="D211" s="182" t="n">
        <v>4780.2159</v>
      </c>
      <c r="E211" s="182" t="n">
        <v>33.2841</v>
      </c>
      <c r="F211" s="182" t="n">
        <v>1107.8338</v>
      </c>
      <c r="G211" s="182" t="n">
        <v>38809</v>
      </c>
      <c r="H211" s="182" t="inlineStr"/>
      <c r="I211" s="182" t="inlineStr"/>
    </row>
    <row r="212" ht="15" customHeight="1" s="28">
      <c r="A212" s="181" t="n">
        <v>199</v>
      </c>
      <c r="B212" s="181" t="n">
        <v>198</v>
      </c>
      <c r="C212" s="181" t="n">
        <v>4814.44</v>
      </c>
      <c r="D212" s="181" t="n">
        <v>4779.962</v>
      </c>
      <c r="E212" s="181" t="n">
        <v>34.478</v>
      </c>
      <c r="F212" s="181" t="n">
        <v>1188.7348</v>
      </c>
      <c r="G212" s="181" t="n">
        <v>39204</v>
      </c>
      <c r="H212" s="181" t="inlineStr"/>
      <c r="I212" s="181" t="inlineStr"/>
    </row>
    <row r="213" ht="15" customHeight="1" s="28">
      <c r="A213" s="182" t="n">
        <v>200</v>
      </c>
      <c r="B213" s="182" t="n">
        <v>199</v>
      </c>
      <c r="C213" s="182" t="n">
        <v>4814.05</v>
      </c>
      <c r="D213" s="182" t="n">
        <v>4779.7081</v>
      </c>
      <c r="E213" s="182" t="n">
        <v>34.3419</v>
      </c>
      <c r="F213" s="182" t="n">
        <v>1179.3681</v>
      </c>
      <c r="G213" s="182" t="n">
        <v>39601</v>
      </c>
      <c r="H213" s="182" t="inlineStr"/>
      <c r="I213" s="182" t="inlineStr"/>
    </row>
    <row r="214" ht="15" customHeight="1" s="28">
      <c r="A214" s="181" t="n">
        <v>201</v>
      </c>
      <c r="B214" s="181" t="n">
        <v>200</v>
      </c>
      <c r="C214" s="181" t="n">
        <v>4820.26</v>
      </c>
      <c r="D214" s="181" t="n">
        <v>4779.4542</v>
      </c>
      <c r="E214" s="181" t="n">
        <v>40.8058</v>
      </c>
      <c r="F214" s="181" t="n">
        <v>1665.1153</v>
      </c>
      <c r="G214" s="181" t="n">
        <v>40000</v>
      </c>
      <c r="H214" s="181" t="inlineStr"/>
      <c r="I214" s="181" t="inlineStr"/>
    </row>
    <row r="215" ht="15" customHeight="1" s="28">
      <c r="A215" s="182" t="n">
        <v>202</v>
      </c>
      <c r="B215" s="182" t="n">
        <v>201</v>
      </c>
      <c r="C215" s="182" t="n">
        <v>4817.26</v>
      </c>
      <c r="D215" s="182" t="n">
        <v>4779.2003</v>
      </c>
      <c r="E215" s="182" t="n">
        <v>38.0597</v>
      </c>
      <c r="F215" s="182" t="n">
        <v>1448.5423</v>
      </c>
      <c r="G215" s="182" t="n">
        <v>40401</v>
      </c>
      <c r="H215" s="182" t="inlineStr"/>
      <c r="I215" s="182" t="inlineStr"/>
    </row>
    <row r="216" ht="15" customHeight="1" s="28">
      <c r="A216" s="181" t="n">
        <v>203</v>
      </c>
      <c r="B216" s="181" t="n">
        <v>202</v>
      </c>
      <c r="C216" s="181" t="n">
        <v>4811.66</v>
      </c>
      <c r="D216" s="181" t="n">
        <v>4778.9464</v>
      </c>
      <c r="E216" s="181" t="n">
        <v>32.7136</v>
      </c>
      <c r="F216" s="181" t="n">
        <v>1070.1806</v>
      </c>
      <c r="G216" s="181" t="n">
        <v>40804</v>
      </c>
      <c r="H216" s="181" t="inlineStr"/>
      <c r="I216" s="181" t="inlineStr"/>
    </row>
    <row r="217" ht="15" customHeight="1" s="28">
      <c r="A217" s="182" t="n">
        <v>204</v>
      </c>
      <c r="B217" s="182" t="n">
        <v>203</v>
      </c>
      <c r="C217" s="182" t="n">
        <v>4814.24</v>
      </c>
      <c r="D217" s="182" t="n">
        <v>4778.6925</v>
      </c>
      <c r="E217" s="182" t="n">
        <v>35.5475</v>
      </c>
      <c r="F217" s="182" t="n">
        <v>1263.6255</v>
      </c>
      <c r="G217" s="182" t="n">
        <v>41209</v>
      </c>
      <c r="H217" s="182" t="inlineStr"/>
      <c r="I217" s="182" t="inlineStr"/>
    </row>
    <row r="218" ht="15" customHeight="1" s="28">
      <c r="A218" s="181" t="n">
        <v>205</v>
      </c>
      <c r="B218" s="181" t="n">
        <v>204</v>
      </c>
      <c r="C218" s="181" t="n">
        <v>4813.42</v>
      </c>
      <c r="D218" s="181" t="n">
        <v>4778.4386</v>
      </c>
      <c r="E218" s="181" t="n">
        <v>34.9814</v>
      </c>
      <c r="F218" s="181" t="n">
        <v>1223.6988</v>
      </c>
      <c r="G218" s="181" t="n">
        <v>41616</v>
      </c>
      <c r="H218" s="181" t="inlineStr"/>
      <c r="I218" s="181" t="inlineStr"/>
    </row>
    <row r="219" ht="15" customHeight="1" s="28">
      <c r="A219" s="182" t="n">
        <v>206</v>
      </c>
      <c r="B219" s="182" t="n">
        <v>205</v>
      </c>
      <c r="C219" s="182" t="n">
        <v>4815.85</v>
      </c>
      <c r="D219" s="182" t="n">
        <v>4778.1847</v>
      </c>
      <c r="E219" s="182" t="n">
        <v>37.6653</v>
      </c>
      <c r="F219" s="182" t="n">
        <v>1418.675</v>
      </c>
      <c r="G219" s="182" t="n">
        <v>42025</v>
      </c>
      <c r="H219" s="182" t="inlineStr"/>
      <c r="I219" s="182" t="inlineStr"/>
    </row>
    <row r="220" ht="15" customHeight="1" s="28">
      <c r="A220" s="181" t="n">
        <v>207</v>
      </c>
      <c r="B220" s="181" t="n">
        <v>206</v>
      </c>
      <c r="C220" s="181" t="n">
        <v>4816.71</v>
      </c>
      <c r="D220" s="181" t="n">
        <v>4777.9308</v>
      </c>
      <c r="E220" s="181" t="n">
        <v>38.7792</v>
      </c>
      <c r="F220" s="181" t="n">
        <v>1503.8262</v>
      </c>
      <c r="G220" s="181" t="n">
        <v>42436</v>
      </c>
      <c r="H220" s="181" t="inlineStr"/>
      <c r="I220" s="181" t="inlineStr"/>
    </row>
    <row r="221" ht="15" customHeight="1" s="28">
      <c r="A221" s="182" t="n">
        <v>208</v>
      </c>
      <c r="B221" s="182" t="n">
        <v>207</v>
      </c>
      <c r="C221" s="182" t="n">
        <v>4820.81</v>
      </c>
      <c r="D221" s="182" t="n">
        <v>4777.6769</v>
      </c>
      <c r="E221" s="182" t="n">
        <v>43.1331</v>
      </c>
      <c r="F221" s="182" t="n">
        <v>1860.4637</v>
      </c>
      <c r="G221" s="182" t="n">
        <v>42849</v>
      </c>
      <c r="H221" s="182" t="inlineStr"/>
      <c r="I221" s="182" t="inlineStr"/>
    </row>
    <row r="222" ht="15" customHeight="1" s="28">
      <c r="A222" s="181" t="n">
        <v>209</v>
      </c>
      <c r="B222" s="181" t="n">
        <v>208</v>
      </c>
      <c r="C222" s="181" t="n">
        <v>4829.14</v>
      </c>
      <c r="D222" s="181" t="n">
        <v>4777.423</v>
      </c>
      <c r="E222" s="181" t="n">
        <v>51.717</v>
      </c>
      <c r="F222" s="181" t="n">
        <v>2674.6469</v>
      </c>
      <c r="G222" s="181" t="n">
        <v>43264</v>
      </c>
      <c r="H222" s="181" t="inlineStr"/>
      <c r="I222" s="181" t="inlineStr"/>
    </row>
    <row r="223" ht="15" customHeight="1" s="28">
      <c r="A223" s="182" t="n">
        <v>210</v>
      </c>
      <c r="B223" s="182" t="n">
        <v>209</v>
      </c>
      <c r="C223" s="182" t="n">
        <v>4828.53</v>
      </c>
      <c r="D223" s="182" t="n">
        <v>4777.1691</v>
      </c>
      <c r="E223" s="182" t="n">
        <v>51.3609</v>
      </c>
      <c r="F223" s="182" t="n">
        <v>2637.9404</v>
      </c>
      <c r="G223" s="182" t="n">
        <v>43681</v>
      </c>
      <c r="H223" s="182" t="inlineStr"/>
      <c r="I223" s="182" t="inlineStr"/>
    </row>
    <row r="224" ht="15" customHeight="1" s="28">
      <c r="A224" s="181" t="n">
        <v>211</v>
      </c>
      <c r="B224" s="181" t="n">
        <v>210</v>
      </c>
      <c r="C224" s="181" t="n">
        <v>4830.44</v>
      </c>
      <c r="D224" s="181" t="n">
        <v>4776.9152</v>
      </c>
      <c r="E224" s="181" t="n">
        <v>53.5248</v>
      </c>
      <c r="F224" s="181" t="n">
        <v>2864.902</v>
      </c>
      <c r="G224" s="181" t="n">
        <v>44100</v>
      </c>
      <c r="H224" s="181" t="inlineStr"/>
      <c r="I224" s="181" t="inlineStr"/>
    </row>
    <row r="225" ht="15" customHeight="1" s="28">
      <c r="A225" s="182" t="n">
        <v>212</v>
      </c>
      <c r="B225" s="182" t="n">
        <v>211</v>
      </c>
      <c r="C225" s="182" t="n">
        <v>4827.62</v>
      </c>
      <c r="D225" s="182" t="n">
        <v>4776.6613</v>
      </c>
      <c r="E225" s="182" t="n">
        <v>50.9587</v>
      </c>
      <c r="F225" s="182" t="n">
        <v>2596.7866</v>
      </c>
      <c r="G225" s="182" t="n">
        <v>44521</v>
      </c>
      <c r="H225" s="182" t="inlineStr"/>
      <c r="I225" s="182" t="inlineStr"/>
    </row>
    <row r="226" ht="15" customHeight="1" s="28">
      <c r="A226" s="181" t="n">
        <v>213</v>
      </c>
      <c r="B226" s="181" t="n">
        <v>212</v>
      </c>
      <c r="C226" s="181" t="n">
        <v>4825.77</v>
      </c>
      <c r="D226" s="181" t="n">
        <v>4776.4074</v>
      </c>
      <c r="E226" s="181" t="n">
        <v>49.3626</v>
      </c>
      <c r="F226" s="181" t="n">
        <v>2436.6634</v>
      </c>
      <c r="G226" s="181" t="n">
        <v>44944</v>
      </c>
      <c r="H226" s="181" t="inlineStr"/>
      <c r="I226" s="181" t="inlineStr"/>
    </row>
    <row r="227" ht="15" customHeight="1" s="28">
      <c r="A227" s="182" t="n">
        <v>214</v>
      </c>
      <c r="B227" s="182" t="n">
        <v>213</v>
      </c>
      <c r="C227" s="182" t="n">
        <v>4825.84</v>
      </c>
      <c r="D227" s="182" t="n">
        <v>4776.1535</v>
      </c>
      <c r="E227" s="182" t="n">
        <v>49.6865</v>
      </c>
      <c r="F227" s="182" t="n">
        <v>2468.7449</v>
      </c>
      <c r="G227" s="182" t="n">
        <v>45369</v>
      </c>
      <c r="H227" s="182" t="inlineStr"/>
      <c r="I227" s="182" t="inlineStr"/>
    </row>
    <row r="228" ht="15" customHeight="1" s="28">
      <c r="A228" s="181" t="n">
        <v>215</v>
      </c>
      <c r="B228" s="181" t="n">
        <v>214</v>
      </c>
      <c r="C228" s="181" t="n">
        <v>4824.16</v>
      </c>
      <c r="D228" s="181" t="n">
        <v>4775.8996</v>
      </c>
      <c r="E228" s="181" t="n">
        <v>48.2604</v>
      </c>
      <c r="F228" s="181" t="n">
        <v>2329.0625</v>
      </c>
      <c r="G228" s="181" t="n">
        <v>45796</v>
      </c>
      <c r="H228" s="181" t="inlineStr"/>
      <c r="I228" s="181" t="inlineStr"/>
    </row>
    <row r="229" ht="15" customHeight="1" s="28">
      <c r="A229" s="182" t="n">
        <v>216</v>
      </c>
      <c r="B229" s="182" t="n">
        <v>215</v>
      </c>
      <c r="C229" s="182" t="n">
        <v>4821.76</v>
      </c>
      <c r="D229" s="182" t="n">
        <v>4775.6457</v>
      </c>
      <c r="E229" s="182" t="n">
        <v>46.1143</v>
      </c>
      <c r="F229" s="182" t="n">
        <v>2126.5247</v>
      </c>
      <c r="G229" s="182" t="n">
        <v>46225</v>
      </c>
      <c r="H229" s="182" t="inlineStr"/>
      <c r="I229" s="182" t="inlineStr"/>
    </row>
    <row r="230" ht="15" customHeight="1" s="28">
      <c r="A230" s="181" t="n">
        <v>217</v>
      </c>
      <c r="B230" s="181" t="n">
        <v>216</v>
      </c>
      <c r="C230" s="181" t="n">
        <v>4828.53</v>
      </c>
      <c r="D230" s="181" t="n">
        <v>4775.3918</v>
      </c>
      <c r="E230" s="181" t="n">
        <v>53.1382</v>
      </c>
      <c r="F230" s="181" t="n">
        <v>2823.6632</v>
      </c>
      <c r="G230" s="181" t="n">
        <v>46656</v>
      </c>
      <c r="H230" s="181" t="inlineStr"/>
      <c r="I230" s="181" t="inlineStr"/>
    </row>
    <row r="231" ht="15" customHeight="1" s="28">
      <c r="A231" s="182" t="n">
        <v>218</v>
      </c>
      <c r="B231" s="182" t="n">
        <v>217</v>
      </c>
      <c r="C231" s="182" t="n">
        <v>4819.92</v>
      </c>
      <c r="D231" s="182" t="n">
        <v>4775.138</v>
      </c>
      <c r="E231" s="182" t="n">
        <v>44.782</v>
      </c>
      <c r="F231" s="182" t="n">
        <v>2005.4318</v>
      </c>
      <c r="G231" s="182" t="n">
        <v>47089</v>
      </c>
      <c r="H231" s="182" t="inlineStr"/>
      <c r="I231" s="182" t="inlineStr"/>
    </row>
    <row r="232" ht="15" customHeight="1" s="28">
      <c r="A232" s="181" t="n">
        <v>219</v>
      </c>
      <c r="B232" s="181" t="n">
        <v>218</v>
      </c>
      <c r="C232" s="181" t="n">
        <v>4822.66</v>
      </c>
      <c r="D232" s="181" t="n">
        <v>4774.8841</v>
      </c>
      <c r="E232" s="181" t="n">
        <v>47.7759</v>
      </c>
      <c r="F232" s="181" t="n">
        <v>2282.5408</v>
      </c>
      <c r="G232" s="181" t="n">
        <v>47524</v>
      </c>
      <c r="H232" s="181" t="inlineStr"/>
      <c r="I232" s="181" t="inlineStr"/>
    </row>
    <row r="233" ht="15" customHeight="1" s="28">
      <c r="A233" s="182" t="n">
        <v>220</v>
      </c>
      <c r="B233" s="182" t="n">
        <v>219</v>
      </c>
      <c r="C233" s="182" t="n">
        <v>4823.76</v>
      </c>
      <c r="D233" s="182" t="n">
        <v>4774.6302</v>
      </c>
      <c r="E233" s="182" t="n">
        <v>49.1298</v>
      </c>
      <c r="F233" s="182" t="n">
        <v>2413.7411</v>
      </c>
      <c r="G233" s="182" t="n">
        <v>47961</v>
      </c>
      <c r="H233" s="182" t="inlineStr"/>
      <c r="I233" s="182" t="inlineStr"/>
    </row>
    <row r="234" ht="15" customHeight="1" s="28">
      <c r="A234" s="181" t="n">
        <v>221</v>
      </c>
      <c r="B234" s="181" t="n">
        <v>220</v>
      </c>
      <c r="C234" s="181" t="n">
        <v>4814.78</v>
      </c>
      <c r="D234" s="181" t="n">
        <v>4774.3763</v>
      </c>
      <c r="E234" s="181" t="n">
        <v>40.4037</v>
      </c>
      <c r="F234" s="181" t="n">
        <v>1632.4618</v>
      </c>
      <c r="G234" s="181" t="n">
        <v>48400</v>
      </c>
      <c r="H234" s="181" t="inlineStr"/>
      <c r="I234" s="181" t="inlineStr"/>
    </row>
    <row r="235" ht="15" customHeight="1" s="28">
      <c r="A235" s="182" t="n">
        <v>222</v>
      </c>
      <c r="B235" s="182" t="n">
        <v>221</v>
      </c>
      <c r="C235" s="182" t="n">
        <v>4818.7</v>
      </c>
      <c r="D235" s="182" t="n">
        <v>4774.1224</v>
      </c>
      <c r="E235" s="182" t="n">
        <v>44.5776</v>
      </c>
      <c r="F235" s="182" t="n">
        <v>1987.1651</v>
      </c>
      <c r="G235" s="182" t="n">
        <v>48841</v>
      </c>
      <c r="H235" s="182" t="inlineStr"/>
      <c r="I235" s="182" t="inlineStr"/>
    </row>
    <row r="236" ht="15" customHeight="1" s="28">
      <c r="A236" s="181" t="n">
        <v>223</v>
      </c>
      <c r="B236" s="181" t="n">
        <v>222</v>
      </c>
      <c r="C236" s="181" t="n">
        <v>4813.59</v>
      </c>
      <c r="D236" s="181" t="n">
        <v>4773.8685</v>
      </c>
      <c r="E236" s="181" t="n">
        <v>39.7215</v>
      </c>
      <c r="F236" s="181" t="n">
        <v>1577.7996</v>
      </c>
      <c r="G236" s="181" t="n">
        <v>49284</v>
      </c>
      <c r="H236" s="181" t="inlineStr"/>
      <c r="I236" s="181" t="inlineStr"/>
    </row>
    <row r="237" ht="15" customHeight="1" s="28">
      <c r="A237" s="182" t="n">
        <v>224</v>
      </c>
      <c r="B237" s="182" t="n">
        <v>223</v>
      </c>
      <c r="C237" s="182" t="n">
        <v>4810.06</v>
      </c>
      <c r="D237" s="182" t="n">
        <v>4773.6146</v>
      </c>
      <c r="E237" s="182" t="n">
        <v>36.4454</v>
      </c>
      <c r="F237" s="182" t="n">
        <v>1328.2687</v>
      </c>
      <c r="G237" s="182" t="n">
        <v>49729</v>
      </c>
      <c r="H237" s="182" t="inlineStr"/>
      <c r="I237" s="182" t="inlineStr"/>
    </row>
    <row r="238" ht="15" customHeight="1" s="28">
      <c r="A238" s="181" t="n">
        <v>225</v>
      </c>
      <c r="B238" s="181" t="n">
        <v>224</v>
      </c>
      <c r="C238" s="181" t="n">
        <v>4807.3</v>
      </c>
      <c r="D238" s="181" t="n">
        <v>4773.3607</v>
      </c>
      <c r="E238" s="181" t="n">
        <v>33.9393</v>
      </c>
      <c r="F238" s="181" t="n">
        <v>1151.8772</v>
      </c>
      <c r="G238" s="181" t="n">
        <v>50176</v>
      </c>
      <c r="H238" s="181" t="inlineStr"/>
      <c r="I238" s="181" t="inlineStr"/>
    </row>
    <row r="239" ht="15" customHeight="1" s="28">
      <c r="A239" s="182" t="n">
        <v>226</v>
      </c>
      <c r="B239" s="182" t="n">
        <v>225</v>
      </c>
      <c r="C239" s="182" t="n">
        <v>4807.73</v>
      </c>
      <c r="D239" s="182" t="n">
        <v>4773.1068</v>
      </c>
      <c r="E239" s="182" t="n">
        <v>34.6232</v>
      </c>
      <c r="F239" s="182" t="n">
        <v>1198.7668</v>
      </c>
      <c r="G239" s="182" t="n">
        <v>50625</v>
      </c>
      <c r="H239" s="182" t="inlineStr"/>
      <c r="I239" s="182" t="inlineStr"/>
    </row>
    <row r="240" ht="15" customHeight="1" s="28">
      <c r="A240" s="181" t="n">
        <v>227</v>
      </c>
      <c r="B240" s="181" t="n">
        <v>226</v>
      </c>
      <c r="C240" s="181" t="n">
        <v>4806.61</v>
      </c>
      <c r="D240" s="181" t="n">
        <v>4772.8529</v>
      </c>
      <c r="E240" s="181" t="n">
        <v>33.7571</v>
      </c>
      <c r="F240" s="181" t="n">
        <v>1139.5423</v>
      </c>
      <c r="G240" s="181" t="n">
        <v>51076</v>
      </c>
      <c r="H240" s="181" t="inlineStr"/>
      <c r="I240" s="181" t="inlineStr"/>
    </row>
    <row r="241" ht="15" customHeight="1" s="28">
      <c r="A241" s="182" t="n">
        <v>228</v>
      </c>
      <c r="B241" s="182" t="n">
        <v>227</v>
      </c>
      <c r="C241" s="182" t="n">
        <v>4806.9</v>
      </c>
      <c r="D241" s="182" t="n">
        <v>4772.599</v>
      </c>
      <c r="E241" s="182" t="n">
        <v>34.301</v>
      </c>
      <c r="F241" s="182" t="n">
        <v>1176.5588</v>
      </c>
      <c r="G241" s="182" t="n">
        <v>51529</v>
      </c>
      <c r="H241" s="182" t="inlineStr"/>
      <c r="I241" s="182" t="inlineStr"/>
    </row>
    <row r="242" ht="15" customHeight="1" s="28">
      <c r="A242" s="181" t="n">
        <v>229</v>
      </c>
      <c r="B242" s="181" t="n">
        <v>228</v>
      </c>
      <c r="C242" s="181" t="n">
        <v>4800.74</v>
      </c>
      <c r="D242" s="181" t="n">
        <v>4772.3451</v>
      </c>
      <c r="E242" s="181" t="n">
        <v>28.3949</v>
      </c>
      <c r="F242" s="181" t="n">
        <v>806.2703</v>
      </c>
      <c r="G242" s="181" t="n">
        <v>51984</v>
      </c>
      <c r="H242" s="181" t="inlineStr"/>
      <c r="I242" s="181" t="inlineStr"/>
    </row>
    <row r="243" ht="15" customHeight="1" s="28">
      <c r="A243" s="182" t="n">
        <v>230</v>
      </c>
      <c r="B243" s="182" t="n">
        <v>229</v>
      </c>
      <c r="C243" s="182" t="n">
        <v>4798.75</v>
      </c>
      <c r="D243" s="182" t="n">
        <v>4772.0912</v>
      </c>
      <c r="E243" s="182" t="n">
        <v>26.6588</v>
      </c>
      <c r="F243" s="182" t="n">
        <v>710.6913</v>
      </c>
      <c r="G243" s="182" t="n">
        <v>52441</v>
      </c>
      <c r="H243" s="182" t="inlineStr"/>
      <c r="I243" s="182" t="inlineStr"/>
    </row>
    <row r="244" ht="15" customHeight="1" s="28">
      <c r="A244" s="181" t="n">
        <v>231</v>
      </c>
      <c r="B244" s="181" t="n">
        <v>230</v>
      </c>
      <c r="C244" s="181" t="n">
        <v>4795.2</v>
      </c>
      <c r="D244" s="181" t="n">
        <v>4771.8373</v>
      </c>
      <c r="E244" s="181" t="n">
        <v>23.3627</v>
      </c>
      <c r="F244" s="181" t="n">
        <v>545.8153</v>
      </c>
      <c r="G244" s="181" t="n">
        <v>52900</v>
      </c>
      <c r="H244" s="181" t="inlineStr"/>
      <c r="I244" s="181" t="inlineStr"/>
    </row>
    <row r="245" ht="15" customHeight="1" s="28">
      <c r="A245" s="182" t="n">
        <v>232</v>
      </c>
      <c r="B245" s="182" t="n">
        <v>231</v>
      </c>
      <c r="C245" s="182" t="n">
        <v>4797.36</v>
      </c>
      <c r="D245" s="182" t="n">
        <v>4771.5834</v>
      </c>
      <c r="E245" s="182" t="n">
        <v>25.7766</v>
      </c>
      <c r="F245" s="182" t="n">
        <v>664.4323000000001</v>
      </c>
      <c r="G245" s="182" t="n">
        <v>53361</v>
      </c>
      <c r="H245" s="182" t="inlineStr"/>
      <c r="I245" s="182" t="inlineStr"/>
    </row>
    <row r="246" ht="15" customHeight="1" s="28">
      <c r="A246" s="181" t="n">
        <v>233</v>
      </c>
      <c r="B246" s="181" t="n">
        <v>232</v>
      </c>
      <c r="C246" s="181" t="n">
        <v>4794.24</v>
      </c>
      <c r="D246" s="181" t="n">
        <v>4771.3295</v>
      </c>
      <c r="E246" s="181" t="n">
        <v>22.9105</v>
      </c>
      <c r="F246" s="181" t="n">
        <v>524.8901</v>
      </c>
      <c r="G246" s="181" t="n">
        <v>53824</v>
      </c>
      <c r="H246" s="181" t="inlineStr"/>
      <c r="I246" s="181" t="inlineStr"/>
    </row>
    <row r="247" ht="15" customHeight="1" s="28">
      <c r="A247" s="182" t="n">
        <v>234</v>
      </c>
      <c r="B247" s="182" t="n">
        <v>233</v>
      </c>
      <c r="C247" s="182" t="n">
        <v>4792.33</v>
      </c>
      <c r="D247" s="182" t="n">
        <v>4771.0756</v>
      </c>
      <c r="E247" s="182" t="n">
        <v>21.2544</v>
      </c>
      <c r="F247" s="182" t="n">
        <v>451.7485</v>
      </c>
      <c r="G247" s="182" t="n">
        <v>54289</v>
      </c>
      <c r="H247" s="182" t="inlineStr"/>
      <c r="I247" s="182" t="inlineStr"/>
    </row>
    <row r="248" ht="15" customHeight="1" s="28">
      <c r="A248" s="181" t="n">
        <v>235</v>
      </c>
      <c r="B248" s="181" t="n">
        <v>234</v>
      </c>
      <c r="C248" s="181" t="n">
        <v>4791.74</v>
      </c>
      <c r="D248" s="181" t="n">
        <v>4770.8217</v>
      </c>
      <c r="E248" s="181" t="n">
        <v>20.9183</v>
      </c>
      <c r="F248" s="181" t="n">
        <v>437.5741</v>
      </c>
      <c r="G248" s="181" t="n">
        <v>54756</v>
      </c>
      <c r="H248" s="181" t="inlineStr"/>
      <c r="I248" s="181" t="inlineStr"/>
    </row>
    <row r="249" ht="15" customHeight="1" s="28">
      <c r="A249" s="182" t="n">
        <v>236</v>
      </c>
      <c r="B249" s="182" t="n">
        <v>235</v>
      </c>
      <c r="C249" s="182" t="n">
        <v>4789.16</v>
      </c>
      <c r="D249" s="182" t="n">
        <v>4770.5678</v>
      </c>
      <c r="E249" s="182" t="n">
        <v>18.5922</v>
      </c>
      <c r="F249" s="182" t="n">
        <v>345.6687</v>
      </c>
      <c r="G249" s="182" t="n">
        <v>55225</v>
      </c>
      <c r="H249" s="182" t="inlineStr"/>
      <c r="I249" s="182" t="inlineStr"/>
    </row>
    <row r="250" ht="15" customHeight="1" s="28">
      <c r="A250" s="181" t="n">
        <v>237</v>
      </c>
      <c r="B250" s="181" t="n">
        <v>236</v>
      </c>
      <c r="C250" s="181" t="n">
        <v>4789.51</v>
      </c>
      <c r="D250" s="181" t="n">
        <v>4770.3139</v>
      </c>
      <c r="E250" s="181" t="n">
        <v>19.1961</v>
      </c>
      <c r="F250" s="181" t="n">
        <v>368.4888</v>
      </c>
      <c r="G250" s="181" t="n">
        <v>55696</v>
      </c>
      <c r="H250" s="181" t="inlineStr"/>
      <c r="I250" s="181" t="inlineStr"/>
    </row>
    <row r="251" ht="15" customHeight="1" s="28">
      <c r="A251" s="182" t="n">
        <v>238</v>
      </c>
      <c r="B251" s="182" t="n">
        <v>237</v>
      </c>
      <c r="C251" s="182" t="n">
        <v>4787.58</v>
      </c>
      <c r="D251" s="182" t="n">
        <v>4770.06</v>
      </c>
      <c r="E251" s="182" t="n">
        <v>17.52</v>
      </c>
      <c r="F251" s="182" t="n">
        <v>306.9489</v>
      </c>
      <c r="G251" s="182" t="n">
        <v>56169</v>
      </c>
      <c r="H251" s="182" t="inlineStr"/>
      <c r="I251" s="182" t="inlineStr"/>
    </row>
    <row r="252" ht="15" customHeight="1" s="28">
      <c r="A252" s="181" t="n">
        <v>239</v>
      </c>
      <c r="B252" s="181" t="n">
        <v>238</v>
      </c>
      <c r="C252" s="181" t="n">
        <v>4796.37</v>
      </c>
      <c r="D252" s="181" t="n">
        <v>4769.8061</v>
      </c>
      <c r="E252" s="181" t="n">
        <v>26.5639</v>
      </c>
      <c r="F252" s="181" t="n">
        <v>705.6383</v>
      </c>
      <c r="G252" s="181" t="n">
        <v>56644</v>
      </c>
      <c r="H252" s="181" t="inlineStr"/>
      <c r="I252" s="181" t="inlineStr"/>
    </row>
    <row r="253" ht="15" customHeight="1" s="28">
      <c r="A253" s="182" t="n">
        <v>240</v>
      </c>
      <c r="B253" s="182" t="n">
        <v>239</v>
      </c>
      <c r="C253" s="182" t="n">
        <v>4784.33</v>
      </c>
      <c r="D253" s="182" t="n">
        <v>4769.5523</v>
      </c>
      <c r="E253" s="182" t="n">
        <v>14.7777</v>
      </c>
      <c r="F253" s="182" t="n">
        <v>218.3819</v>
      </c>
      <c r="G253" s="182" t="n">
        <v>57121</v>
      </c>
      <c r="H253" s="182" t="inlineStr"/>
      <c r="I253" s="182" t="inlineStr"/>
    </row>
    <row r="254" ht="15" customHeight="1" s="28">
      <c r="A254" s="181" t="n">
        <v>241</v>
      </c>
      <c r="B254" s="181" t="n">
        <v>240</v>
      </c>
      <c r="C254" s="181" t="n">
        <v>4785.01</v>
      </c>
      <c r="D254" s="181" t="n">
        <v>4769.2984</v>
      </c>
      <c r="E254" s="181" t="n">
        <v>15.7116</v>
      </c>
      <c r="F254" s="181" t="n">
        <v>246.8558</v>
      </c>
      <c r="G254" s="181" t="n">
        <v>57600</v>
      </c>
      <c r="H254" s="181" t="inlineStr"/>
      <c r="I254" s="181" t="inlineStr"/>
    </row>
    <row r="255" ht="15" customHeight="1" s="28">
      <c r="A255" s="182" t="n">
        <v>242</v>
      </c>
      <c r="B255" s="182" t="n">
        <v>241</v>
      </c>
      <c r="C255" s="182" t="n">
        <v>4778.93</v>
      </c>
      <c r="D255" s="182" t="n">
        <v>4769.0445</v>
      </c>
      <c r="E255" s="182" t="n">
        <v>9.8855</v>
      </c>
      <c r="F255" s="182" t="n">
        <v>97.7239</v>
      </c>
      <c r="G255" s="182" t="n">
        <v>58081</v>
      </c>
      <c r="H255" s="182" t="inlineStr"/>
      <c r="I255" s="182" t="inlineStr"/>
    </row>
    <row r="256" ht="15" customHeight="1" s="28">
      <c r="A256" s="181" t="n">
        <v>243</v>
      </c>
      <c r="B256" s="181" t="n">
        <v>242</v>
      </c>
      <c r="C256" s="181" t="n">
        <v>4780.6</v>
      </c>
      <c r="D256" s="181" t="n">
        <v>4768.7906</v>
      </c>
      <c r="E256" s="181" t="n">
        <v>11.8094</v>
      </c>
      <c r="F256" s="181" t="n">
        <v>139.4628</v>
      </c>
      <c r="G256" s="181" t="n">
        <v>58564</v>
      </c>
      <c r="H256" s="181" t="inlineStr"/>
      <c r="I256" s="181" t="inlineStr"/>
    </row>
    <row r="257" ht="15" customHeight="1" s="28">
      <c r="A257" s="182" t="n">
        <v>244</v>
      </c>
      <c r="B257" s="182" t="n">
        <v>243</v>
      </c>
      <c r="C257" s="182" t="n">
        <v>4778.73</v>
      </c>
      <c r="D257" s="182" t="n">
        <v>4768.5367</v>
      </c>
      <c r="E257" s="182" t="n">
        <v>10.1933</v>
      </c>
      <c r="F257" s="182" t="n">
        <v>103.904</v>
      </c>
      <c r="G257" s="182" t="n">
        <v>59049</v>
      </c>
      <c r="H257" s="182" t="inlineStr"/>
      <c r="I257" s="182" t="inlineStr"/>
    </row>
    <row r="258" ht="15" customHeight="1" s="28">
      <c r="A258" s="181" t="n">
        <v>245</v>
      </c>
      <c r="B258" s="181" t="n">
        <v>244</v>
      </c>
      <c r="C258" s="181" t="n">
        <v>4782.82</v>
      </c>
      <c r="D258" s="181" t="n">
        <v>4768.2828</v>
      </c>
      <c r="E258" s="181" t="n">
        <v>14.5372</v>
      </c>
      <c r="F258" s="181" t="n">
        <v>211.3309</v>
      </c>
      <c r="G258" s="181" t="n">
        <v>59536</v>
      </c>
      <c r="H258" s="181" t="inlineStr"/>
      <c r="I258" s="181" t="inlineStr"/>
    </row>
    <row r="259" ht="15" customHeight="1" s="28">
      <c r="A259" s="182" t="n">
        <v>246</v>
      </c>
      <c r="B259" s="182" t="n">
        <v>245</v>
      </c>
      <c r="C259" s="182" t="n">
        <v>4783.35</v>
      </c>
      <c r="D259" s="182" t="n">
        <v>4768.0289</v>
      </c>
      <c r="E259" s="182" t="n">
        <v>15.3211</v>
      </c>
      <c r="F259" s="182" t="n">
        <v>234.7368</v>
      </c>
      <c r="G259" s="182" t="n">
        <v>60025</v>
      </c>
      <c r="H259" s="182" t="inlineStr"/>
      <c r="I259" s="182" t="inlineStr"/>
    </row>
    <row r="260" ht="15" customHeight="1" s="28">
      <c r="A260" s="181" t="n">
        <v>247</v>
      </c>
      <c r="B260" s="181" t="n">
        <v>246</v>
      </c>
      <c r="C260" s="181" t="n">
        <v>4786.75</v>
      </c>
      <c r="D260" s="181" t="n">
        <v>4767.775</v>
      </c>
      <c r="E260" s="181" t="n">
        <v>18.975</v>
      </c>
      <c r="F260" s="181" t="n">
        <v>360.0513</v>
      </c>
      <c r="G260" s="181" t="n">
        <v>60516</v>
      </c>
      <c r="H260" s="181" t="inlineStr"/>
      <c r="I260" s="181" t="inlineStr"/>
    </row>
    <row r="261" ht="15" customHeight="1" s="28">
      <c r="A261" s="182" t="n">
        <v>248</v>
      </c>
      <c r="B261" s="182" t="n">
        <v>247</v>
      </c>
      <c r="C261" s="182" t="n">
        <v>4785.87</v>
      </c>
      <c r="D261" s="182" t="n">
        <v>4767.5211</v>
      </c>
      <c r="E261" s="182" t="n">
        <v>18.3489</v>
      </c>
      <c r="F261" s="182" t="n">
        <v>336.6826</v>
      </c>
      <c r="G261" s="182" t="n">
        <v>61009</v>
      </c>
      <c r="H261" s="182" t="inlineStr"/>
      <c r="I261" s="182" t="inlineStr"/>
    </row>
    <row r="262" ht="15" customHeight="1" s="28">
      <c r="A262" s="181" t="n">
        <v>249</v>
      </c>
      <c r="B262" s="181" t="n">
        <v>248</v>
      </c>
      <c r="C262" s="181" t="n">
        <v>4776.03</v>
      </c>
      <c r="D262" s="181" t="n">
        <v>4767.2672</v>
      </c>
      <c r="E262" s="181" t="n">
        <v>8.7628</v>
      </c>
      <c r="F262" s="181" t="n">
        <v>76.7868</v>
      </c>
      <c r="G262" s="181" t="n">
        <v>61504</v>
      </c>
      <c r="H262" s="181" t="inlineStr"/>
      <c r="I262" s="181" t="inlineStr"/>
    </row>
    <row r="263" ht="15" customHeight="1" s="28">
      <c r="A263" s="182" t="n">
        <v>250</v>
      </c>
      <c r="B263" s="182" t="n">
        <v>249</v>
      </c>
      <c r="C263" s="182" t="n">
        <v>4787.2</v>
      </c>
      <c r="D263" s="182" t="n">
        <v>4767.0133</v>
      </c>
      <c r="E263" s="182" t="n">
        <v>20.1867</v>
      </c>
      <c r="F263" s="182" t="n">
        <v>407.503</v>
      </c>
      <c r="G263" s="182" t="n">
        <v>62001</v>
      </c>
      <c r="H263" s="182" t="inlineStr"/>
      <c r="I263" s="182" t="inlineStr"/>
    </row>
    <row r="264" ht="15" customHeight="1" s="28">
      <c r="A264" s="181" t="n">
        <v>251</v>
      </c>
      <c r="B264" s="181" t="n">
        <v>250</v>
      </c>
      <c r="C264" s="181" t="n">
        <v>4791.78</v>
      </c>
      <c r="D264" s="181" t="n">
        <v>4766.7594</v>
      </c>
      <c r="E264" s="181" t="n">
        <v>25.0206</v>
      </c>
      <c r="F264" s="181" t="n">
        <v>626.0304</v>
      </c>
      <c r="G264" s="181" t="n">
        <v>62500</v>
      </c>
      <c r="H264" s="181" t="inlineStr"/>
      <c r="I264" s="181" t="inlineStr"/>
    </row>
    <row r="265" ht="15" customHeight="1" s="28">
      <c r="A265" s="182" t="n">
        <v>252</v>
      </c>
      <c r="B265" s="182" t="n">
        <v>251</v>
      </c>
      <c r="C265" s="182" t="n">
        <v>4786.04</v>
      </c>
      <c r="D265" s="182" t="n">
        <v>4766.5055</v>
      </c>
      <c r="E265" s="182" t="n">
        <v>19.5345</v>
      </c>
      <c r="F265" s="182" t="n">
        <v>381.5965</v>
      </c>
      <c r="G265" s="182" t="n">
        <v>63001</v>
      </c>
      <c r="H265" s="182" t="inlineStr"/>
      <c r="I265" s="182" t="inlineStr"/>
    </row>
    <row r="266" ht="15" customHeight="1" s="28">
      <c r="A266" s="181" t="n">
        <v>253</v>
      </c>
      <c r="B266" s="181" t="n">
        <v>252</v>
      </c>
      <c r="C266" s="181" t="n">
        <v>4784.2</v>
      </c>
      <c r="D266" s="181" t="n">
        <v>4766.2516</v>
      </c>
      <c r="E266" s="181" t="n">
        <v>17.9484</v>
      </c>
      <c r="F266" s="181" t="n">
        <v>322.1447</v>
      </c>
      <c r="G266" s="181" t="n">
        <v>63504</v>
      </c>
      <c r="H266" s="181" t="inlineStr"/>
      <c r="I266" s="181" t="inlineStr"/>
    </row>
    <row r="267" ht="15" customHeight="1" s="28">
      <c r="A267" s="182" t="n">
        <v>254</v>
      </c>
      <c r="B267" s="182" t="n">
        <v>253</v>
      </c>
      <c r="C267" s="182" t="n">
        <v>4782.14</v>
      </c>
      <c r="D267" s="182" t="n">
        <v>4765.9977</v>
      </c>
      <c r="E267" s="182" t="n">
        <v>16.1423</v>
      </c>
      <c r="F267" s="182" t="n">
        <v>260.5734</v>
      </c>
      <c r="G267" s="182" t="n">
        <v>64009</v>
      </c>
      <c r="H267" s="182" t="inlineStr"/>
      <c r="I267" s="182" t="inlineStr"/>
    </row>
    <row r="268" ht="15" customHeight="1" s="28">
      <c r="A268" s="181" t="n">
        <v>255</v>
      </c>
      <c r="B268" s="181" t="n">
        <v>254</v>
      </c>
      <c r="C268" s="181" t="n">
        <v>4787.2</v>
      </c>
      <c r="D268" s="181" t="n">
        <v>4765.7438</v>
      </c>
      <c r="E268" s="181" t="n">
        <v>21.4562</v>
      </c>
      <c r="F268" s="181" t="n">
        <v>460.3677</v>
      </c>
      <c r="G268" s="181" t="n">
        <v>64516</v>
      </c>
      <c r="H268" s="181" t="inlineStr"/>
      <c r="I268" s="181" t="inlineStr"/>
    </row>
    <row r="269" ht="15" customHeight="1" s="28">
      <c r="A269" s="182" t="n">
        <v>256</v>
      </c>
      <c r="B269" s="182" t="n">
        <v>255</v>
      </c>
      <c r="C269" s="182" t="n">
        <v>4783.8</v>
      </c>
      <c r="D269" s="182" t="n">
        <v>4765.4899</v>
      </c>
      <c r="E269" s="182" t="n">
        <v>18.3101</v>
      </c>
      <c r="F269" s="182" t="n">
        <v>335.2589</v>
      </c>
      <c r="G269" s="182" t="n">
        <v>65025</v>
      </c>
      <c r="H269" s="182" t="inlineStr"/>
      <c r="I269" s="182" t="inlineStr"/>
    </row>
    <row r="270" ht="15" customHeight="1" s="28">
      <c r="A270" s="181" t="n">
        <v>257</v>
      </c>
      <c r="B270" s="181" t="n">
        <v>256</v>
      </c>
      <c r="C270" s="181" t="n">
        <v>4783.02</v>
      </c>
      <c r="D270" s="181" t="n">
        <v>4765.236</v>
      </c>
      <c r="E270" s="181" t="n">
        <v>17.784</v>
      </c>
      <c r="F270" s="181" t="n">
        <v>316.2697</v>
      </c>
      <c r="G270" s="181" t="n">
        <v>65536</v>
      </c>
      <c r="H270" s="181" t="inlineStr"/>
      <c r="I270" s="181" t="inlineStr"/>
    </row>
    <row r="271" ht="15" customHeight="1" s="28">
      <c r="A271" s="182" t="n">
        <v>258</v>
      </c>
      <c r="B271" s="182" t="n">
        <v>257</v>
      </c>
      <c r="C271" s="182" t="n">
        <v>4783.07</v>
      </c>
      <c r="D271" s="182" t="n">
        <v>4764.9821</v>
      </c>
      <c r="E271" s="182" t="n">
        <v>18.0879</v>
      </c>
      <c r="F271" s="182" t="n">
        <v>327.171</v>
      </c>
      <c r="G271" s="182" t="n">
        <v>66049</v>
      </c>
      <c r="H271" s="182" t="inlineStr"/>
      <c r="I271" s="182" t="inlineStr"/>
    </row>
    <row r="272" ht="15" customHeight="1" s="28">
      <c r="A272" s="181" t="n">
        <v>259</v>
      </c>
      <c r="B272" s="181" t="n">
        <v>258</v>
      </c>
      <c r="C272" s="181" t="n">
        <v>4786.25</v>
      </c>
      <c r="D272" s="181" t="n">
        <v>4764.7282</v>
      </c>
      <c r="E272" s="181" t="n">
        <v>21.5218</v>
      </c>
      <c r="F272" s="181" t="n">
        <v>463.1863</v>
      </c>
      <c r="G272" s="181" t="n">
        <v>66564</v>
      </c>
      <c r="H272" s="181" t="inlineStr"/>
      <c r="I272" s="181" t="inlineStr"/>
    </row>
    <row r="273" ht="15" customHeight="1" s="28">
      <c r="A273" s="182" t="n">
        <v>260</v>
      </c>
      <c r="B273" s="182" t="n">
        <v>259</v>
      </c>
      <c r="C273" s="182" t="n">
        <v>4789.79</v>
      </c>
      <c r="D273" s="182" t="n">
        <v>4764.4743</v>
      </c>
      <c r="E273" s="182" t="n">
        <v>25.3157</v>
      </c>
      <c r="F273" s="182" t="n">
        <v>640.8826</v>
      </c>
      <c r="G273" s="182" t="n">
        <v>67081</v>
      </c>
      <c r="H273" s="182" t="inlineStr"/>
      <c r="I273" s="182" t="inlineStr"/>
    </row>
    <row r="274" ht="15" customHeight="1" s="28">
      <c r="A274" s="181" t="n">
        <v>261</v>
      </c>
      <c r="B274" s="181" t="n">
        <v>260</v>
      </c>
      <c r="C274" s="181" t="n">
        <v>4781.77</v>
      </c>
      <c r="D274" s="181" t="n">
        <v>4764.2204</v>
      </c>
      <c r="E274" s="181" t="n">
        <v>17.5496</v>
      </c>
      <c r="F274" s="181" t="n">
        <v>307.9869</v>
      </c>
      <c r="G274" s="181" t="n">
        <v>67600</v>
      </c>
      <c r="H274" s="181" t="inlineStr"/>
      <c r="I274" s="181" t="inlineStr"/>
    </row>
    <row r="275" ht="15" customHeight="1" s="28">
      <c r="A275" s="182" t="n">
        <v>262</v>
      </c>
      <c r="B275" s="182" t="n">
        <v>261</v>
      </c>
      <c r="C275" s="182" t="n">
        <v>4783.57</v>
      </c>
      <c r="D275" s="182" t="n">
        <v>4763.9666</v>
      </c>
      <c r="E275" s="182" t="n">
        <v>19.6034</v>
      </c>
      <c r="F275" s="182" t="n">
        <v>384.2952</v>
      </c>
      <c r="G275" s="182" t="n">
        <v>68121</v>
      </c>
      <c r="H275" s="182" t="inlineStr"/>
      <c r="I275" s="182" t="inlineStr"/>
    </row>
    <row r="276" ht="15" customHeight="1" s="28">
      <c r="A276" s="181" t="n">
        <v>263</v>
      </c>
      <c r="B276" s="181" t="n">
        <v>262</v>
      </c>
      <c r="C276" s="181" t="n">
        <v>4793.1</v>
      </c>
      <c r="D276" s="181" t="n">
        <v>4763.7127</v>
      </c>
      <c r="E276" s="181" t="n">
        <v>29.3873</v>
      </c>
      <c r="F276" s="181" t="n">
        <v>863.6161</v>
      </c>
      <c r="G276" s="181" t="n">
        <v>68644</v>
      </c>
      <c r="H276" s="181" t="inlineStr"/>
      <c r="I276" s="181" t="inlineStr"/>
    </row>
    <row r="277" ht="15" customHeight="1" s="28">
      <c r="A277" s="182" t="n">
        <v>264</v>
      </c>
      <c r="B277" s="182" t="n">
        <v>263</v>
      </c>
      <c r="C277" s="182" t="n">
        <v>4794.61</v>
      </c>
      <c r="D277" s="182" t="n">
        <v>4763.4588</v>
      </c>
      <c r="E277" s="182" t="n">
        <v>31.1512</v>
      </c>
      <c r="F277" s="182" t="n">
        <v>970.3998</v>
      </c>
      <c r="G277" s="182" t="n">
        <v>69169</v>
      </c>
      <c r="H277" s="182" t="inlineStr"/>
      <c r="I277" s="182" t="inlineStr"/>
    </row>
    <row r="278" ht="15" customHeight="1" s="28">
      <c r="A278" s="181" t="n">
        <v>265</v>
      </c>
      <c r="B278" s="181" t="n">
        <v>264</v>
      </c>
      <c r="C278" s="181" t="n">
        <v>4791.06</v>
      </c>
      <c r="D278" s="181" t="n">
        <v>4763.2049</v>
      </c>
      <c r="E278" s="181" t="n">
        <v>27.8551</v>
      </c>
      <c r="F278" s="181" t="n">
        <v>775.9086</v>
      </c>
      <c r="G278" s="181" t="n">
        <v>69696</v>
      </c>
      <c r="H278" s="181" t="inlineStr"/>
      <c r="I278" s="181" t="inlineStr"/>
    </row>
    <row r="279" ht="15" customHeight="1" s="28">
      <c r="A279" s="182" t="n">
        <v>266</v>
      </c>
      <c r="B279" s="182" t="n">
        <v>265</v>
      </c>
      <c r="C279" s="182" t="n">
        <v>4780.61</v>
      </c>
      <c r="D279" s="182" t="n">
        <v>4762.951</v>
      </c>
      <c r="E279" s="182" t="n">
        <v>17.659</v>
      </c>
      <c r="F279" s="182" t="n">
        <v>311.8414</v>
      </c>
      <c r="G279" s="182" t="n">
        <v>70225</v>
      </c>
      <c r="H279" s="182" t="inlineStr"/>
      <c r="I279" s="182" t="inlineStr"/>
    </row>
    <row r="280" ht="15" customHeight="1" s="28">
      <c r="A280" s="181" t="n">
        <v>267</v>
      </c>
      <c r="B280" s="181" t="n">
        <v>266</v>
      </c>
      <c r="C280" s="181" t="n">
        <v>4778.89</v>
      </c>
      <c r="D280" s="181" t="n">
        <v>4762.6971</v>
      </c>
      <c r="E280" s="181" t="n">
        <v>16.1929</v>
      </c>
      <c r="F280" s="181" t="n">
        <v>262.2109</v>
      </c>
      <c r="G280" s="181" t="n">
        <v>70756</v>
      </c>
      <c r="H280" s="181" t="inlineStr"/>
      <c r="I280" s="181" t="inlineStr"/>
    </row>
    <row r="281" ht="15" customHeight="1" s="28">
      <c r="A281" s="182" t="n">
        <v>268</v>
      </c>
      <c r="B281" s="182" t="n">
        <v>267</v>
      </c>
      <c r="C281" s="182" t="n">
        <v>4778.78</v>
      </c>
      <c r="D281" s="182" t="n">
        <v>4762.4432</v>
      </c>
      <c r="E281" s="182" t="n">
        <v>16.3368</v>
      </c>
      <c r="F281" s="182" t="n">
        <v>266.8918</v>
      </c>
      <c r="G281" s="182" t="n">
        <v>71289</v>
      </c>
      <c r="H281" s="182" t="inlineStr"/>
      <c r="I281" s="182" t="inlineStr"/>
    </row>
    <row r="282" ht="15" customHeight="1" s="28">
      <c r="A282" s="181" t="n">
        <v>269</v>
      </c>
      <c r="B282" s="181" t="n">
        <v>268</v>
      </c>
      <c r="C282" s="181" t="n">
        <v>4765.33</v>
      </c>
      <c r="D282" s="181" t="n">
        <v>4762.1893</v>
      </c>
      <c r="E282" s="181" t="n">
        <v>3.1407</v>
      </c>
      <c r="F282" s="181" t="n">
        <v>9.864100000000001</v>
      </c>
      <c r="G282" s="181" t="n">
        <v>71824</v>
      </c>
      <c r="H282" s="181" t="inlineStr"/>
      <c r="I282" s="181" t="inlineStr"/>
    </row>
    <row r="283" ht="15" customHeight="1" s="28">
      <c r="A283" s="182" t="n">
        <v>270</v>
      </c>
      <c r="B283" s="182" t="n">
        <v>269</v>
      </c>
      <c r="C283" s="182" t="n">
        <v>4774.96</v>
      </c>
      <c r="D283" s="182" t="n">
        <v>4761.9354</v>
      </c>
      <c r="E283" s="182" t="n">
        <v>13.0246</v>
      </c>
      <c r="F283" s="182" t="n">
        <v>169.6406</v>
      </c>
      <c r="G283" s="182" t="n">
        <v>72361</v>
      </c>
      <c r="H283" s="182" t="inlineStr"/>
      <c r="I283" s="182" t="inlineStr"/>
    </row>
    <row r="284" ht="15" customHeight="1" s="28">
      <c r="A284" s="181" t="n">
        <v>271</v>
      </c>
      <c r="B284" s="181" t="n">
        <v>270</v>
      </c>
      <c r="C284" s="181" t="n">
        <v>4789.04</v>
      </c>
      <c r="D284" s="181" t="n">
        <v>4761.6815</v>
      </c>
      <c r="E284" s="181" t="n">
        <v>27.3585</v>
      </c>
      <c r="F284" s="181" t="n">
        <v>748.4880000000001</v>
      </c>
      <c r="G284" s="181" t="n">
        <v>72900</v>
      </c>
      <c r="H284" s="181" t="inlineStr"/>
      <c r="I284" s="181" t="inlineStr"/>
    </row>
    <row r="285" ht="15" customHeight="1" s="28">
      <c r="A285" s="182" t="n">
        <v>272</v>
      </c>
      <c r="B285" s="182" t="n">
        <v>271</v>
      </c>
      <c r="C285" s="182" t="n">
        <v>4779.16</v>
      </c>
      <c r="D285" s="182" t="n">
        <v>4761.4276</v>
      </c>
      <c r="E285" s="182" t="n">
        <v>17.7324</v>
      </c>
      <c r="F285" s="182" t="n">
        <v>314.4382</v>
      </c>
      <c r="G285" s="182" t="n">
        <v>73441</v>
      </c>
      <c r="H285" s="182" t="inlineStr"/>
      <c r="I285" s="182" t="inlineStr"/>
    </row>
    <row r="286" ht="15" customHeight="1" s="28">
      <c r="A286" s="181" t="n">
        <v>273</v>
      </c>
      <c r="B286" s="181" t="n">
        <v>272</v>
      </c>
      <c r="C286" s="181" t="n">
        <v>4778.53</v>
      </c>
      <c r="D286" s="181" t="n">
        <v>4761.1737</v>
      </c>
      <c r="E286" s="181" t="n">
        <v>17.3563</v>
      </c>
      <c r="F286" s="181" t="n">
        <v>301.2412</v>
      </c>
      <c r="G286" s="181" t="n">
        <v>73984</v>
      </c>
      <c r="H286" s="181" t="inlineStr"/>
      <c r="I286" s="181" t="inlineStr"/>
    </row>
    <row r="287" ht="15" customHeight="1" s="28">
      <c r="A287" s="182" t="n">
        <v>274</v>
      </c>
      <c r="B287" s="182" t="n">
        <v>273</v>
      </c>
      <c r="C287" s="182" t="n">
        <v>4774.24</v>
      </c>
      <c r="D287" s="182" t="n">
        <v>4760.9198</v>
      </c>
      <c r="E287" s="182" t="n">
        <v>13.3202</v>
      </c>
      <c r="F287" s="182" t="n">
        <v>177.4276</v>
      </c>
      <c r="G287" s="182" t="n">
        <v>74529</v>
      </c>
      <c r="H287" s="182" t="inlineStr"/>
      <c r="I287" s="182" t="inlineStr"/>
    </row>
    <row r="288" ht="15" customHeight="1" s="28">
      <c r="A288" s="181" t="n">
        <v>275</v>
      </c>
      <c r="B288" s="181" t="n">
        <v>274</v>
      </c>
      <c r="C288" s="181" t="n">
        <v>4744.7</v>
      </c>
      <c r="D288" s="181" t="n">
        <v>4760.6659</v>
      </c>
      <c r="E288" s="181" t="n">
        <v>-15.9659</v>
      </c>
      <c r="F288" s="181" t="n">
        <v>254.9102</v>
      </c>
      <c r="G288" s="181" t="n">
        <v>75076</v>
      </c>
      <c r="H288" s="181" t="inlineStr"/>
      <c r="I288" s="181" t="inlineStr"/>
    </row>
    <row r="289" ht="15" customHeight="1" s="28">
      <c r="A289" s="182" t="n">
        <v>276</v>
      </c>
      <c r="B289" s="182" t="n">
        <v>275</v>
      </c>
      <c r="C289" s="182" t="n">
        <v>4738.97</v>
      </c>
      <c r="D289" s="182" t="n">
        <v>4760.412</v>
      </c>
      <c r="E289" s="182" t="n">
        <v>-21.442</v>
      </c>
      <c r="F289" s="182" t="n">
        <v>459.7599</v>
      </c>
      <c r="G289" s="182" t="n">
        <v>75625</v>
      </c>
      <c r="H289" s="182" t="inlineStr"/>
      <c r="I289" s="182" t="inlineStr"/>
    </row>
    <row r="290" ht="15" customHeight="1" s="28">
      <c r="A290" s="181" t="n">
        <v>277</v>
      </c>
      <c r="B290" s="181" t="n">
        <v>276</v>
      </c>
      <c r="C290" s="181" t="n">
        <v>4748.21</v>
      </c>
      <c r="D290" s="181" t="n">
        <v>4760.1581</v>
      </c>
      <c r="E290" s="181" t="n">
        <v>-11.9481</v>
      </c>
      <c r="F290" s="181" t="n">
        <v>142.7575</v>
      </c>
      <c r="G290" s="181" t="n">
        <v>76176</v>
      </c>
      <c r="H290" s="181" t="inlineStr"/>
      <c r="I290" s="181" t="inlineStr"/>
    </row>
    <row r="291" ht="15" customHeight="1" s="28">
      <c r="A291" s="182" t="n">
        <v>278</v>
      </c>
      <c r="B291" s="182" t="n">
        <v>277</v>
      </c>
      <c r="C291" s="182" t="n">
        <v>4742.57</v>
      </c>
      <c r="D291" s="182" t="n">
        <v>4759.9042</v>
      </c>
      <c r="E291" s="182" t="n">
        <v>-17.3342</v>
      </c>
      <c r="F291" s="182" t="n">
        <v>300.4753</v>
      </c>
      <c r="G291" s="182" t="n">
        <v>76729</v>
      </c>
      <c r="H291" s="182" t="inlineStr"/>
      <c r="I291" s="182" t="inlineStr"/>
    </row>
    <row r="292" ht="15" customHeight="1" s="28">
      <c r="A292" s="181" t="n">
        <v>279</v>
      </c>
      <c r="B292" s="181" t="n">
        <v>278</v>
      </c>
      <c r="C292" s="181" t="n">
        <v>4745.93</v>
      </c>
      <c r="D292" s="181" t="n">
        <v>4759.6503</v>
      </c>
      <c r="E292" s="181" t="n">
        <v>-13.7203</v>
      </c>
      <c r="F292" s="181" t="n">
        <v>188.2474</v>
      </c>
      <c r="G292" s="181" t="n">
        <v>77284</v>
      </c>
      <c r="H292" s="181" t="inlineStr"/>
      <c r="I292" s="181" t="inlineStr"/>
    </row>
    <row r="293" ht="15" customHeight="1" s="28">
      <c r="A293" s="182" t="n">
        <v>280</v>
      </c>
      <c r="B293" s="182" t="n">
        <v>279</v>
      </c>
      <c r="C293" s="182" t="n">
        <v>4741.81</v>
      </c>
      <c r="D293" s="182" t="n">
        <v>4759.3964</v>
      </c>
      <c r="E293" s="182" t="n">
        <v>-17.5864</v>
      </c>
      <c r="F293" s="182" t="n">
        <v>309.2826</v>
      </c>
      <c r="G293" s="182" t="n">
        <v>77841</v>
      </c>
      <c r="H293" s="182" t="inlineStr"/>
      <c r="I293" s="182" t="inlineStr"/>
    </row>
    <row r="294" ht="15" customHeight="1" s="28">
      <c r="A294" s="181" t="n">
        <v>281</v>
      </c>
      <c r="B294" s="181" t="n">
        <v>280</v>
      </c>
      <c r="C294" s="181" t="n">
        <v>4730.44</v>
      </c>
      <c r="D294" s="181" t="n">
        <v>4759.1425</v>
      </c>
      <c r="E294" s="181" t="n">
        <v>-28.7025</v>
      </c>
      <c r="F294" s="181" t="n">
        <v>823.8356</v>
      </c>
      <c r="G294" s="181" t="n">
        <v>78400</v>
      </c>
      <c r="H294" s="181" t="inlineStr"/>
      <c r="I294" s="181" t="inlineStr"/>
    </row>
    <row r="295" ht="15" customHeight="1" s="28">
      <c r="A295" s="182" t="n">
        <v>282</v>
      </c>
      <c r="B295" s="182" t="n">
        <v>281</v>
      </c>
      <c r="C295" s="182" t="n">
        <v>4720.86</v>
      </c>
      <c r="D295" s="182" t="n">
        <v>4758.8886</v>
      </c>
      <c r="E295" s="182" t="n">
        <v>-38.0286</v>
      </c>
      <c r="F295" s="182" t="n">
        <v>1446.1775</v>
      </c>
      <c r="G295" s="182" t="n">
        <v>78961</v>
      </c>
      <c r="H295" s="182" t="inlineStr"/>
      <c r="I295" s="182" t="inlineStr"/>
    </row>
    <row r="296" ht="15" customHeight="1" s="28">
      <c r="A296" s="181" t="n">
        <v>283</v>
      </c>
      <c r="B296" s="181" t="n">
        <v>282</v>
      </c>
      <c r="C296" s="181" t="n">
        <v>4721.05</v>
      </c>
      <c r="D296" s="181" t="n">
        <v>4758.6347</v>
      </c>
      <c r="E296" s="181" t="n">
        <v>-37.5847</v>
      </c>
      <c r="F296" s="181" t="n">
        <v>1412.613</v>
      </c>
      <c r="G296" s="181" t="n">
        <v>79524</v>
      </c>
      <c r="H296" s="181" t="inlineStr"/>
      <c r="I296" s="181" t="inlineStr"/>
    </row>
    <row r="297" ht="15" customHeight="1" s="28">
      <c r="A297" s="182" t="n">
        <v>284</v>
      </c>
      <c r="B297" s="182" t="n">
        <v>283</v>
      </c>
      <c r="C297" s="182" t="n">
        <v>4711.56</v>
      </c>
      <c r="D297" s="182" t="n">
        <v>4758.3808</v>
      </c>
      <c r="E297" s="182" t="n">
        <v>-46.8208</v>
      </c>
      <c r="F297" s="182" t="n">
        <v>2192.1919</v>
      </c>
      <c r="G297" s="182" t="n">
        <v>80089</v>
      </c>
      <c r="H297" s="182" t="inlineStr"/>
      <c r="I297" s="182" t="inlineStr"/>
    </row>
    <row r="298" ht="15" customHeight="1" s="28">
      <c r="A298" s="181" t="n">
        <v>285</v>
      </c>
      <c r="B298" s="181" t="n">
        <v>284</v>
      </c>
      <c r="C298" s="181" t="n">
        <v>4706.5</v>
      </c>
      <c r="D298" s="181" t="n">
        <v>4758.127</v>
      </c>
      <c r="E298" s="181" t="n">
        <v>-51.627</v>
      </c>
      <c r="F298" s="181" t="n">
        <v>2665.3424</v>
      </c>
      <c r="G298" s="181" t="n">
        <v>80656</v>
      </c>
      <c r="H298" s="181" t="inlineStr"/>
      <c r="I298" s="181" t="inlineStr"/>
    </row>
    <row r="299" ht="15" customHeight="1" s="28">
      <c r="A299" s="182" t="n">
        <v>286</v>
      </c>
      <c r="B299" s="182" t="n">
        <v>285</v>
      </c>
      <c r="C299" s="182" t="n">
        <v>4700.29</v>
      </c>
      <c r="D299" s="182" t="n">
        <v>4757.8731</v>
      </c>
      <c r="E299" s="182" t="n">
        <v>-57.5831</v>
      </c>
      <c r="F299" s="182" t="n">
        <v>3315.8086</v>
      </c>
      <c r="G299" s="182" t="n">
        <v>81225</v>
      </c>
      <c r="H299" s="182" t="inlineStr"/>
      <c r="I299" s="182" t="inlineStr"/>
    </row>
    <row r="300" ht="15" customHeight="1" s="28">
      <c r="A300" s="181" t="n">
        <v>287</v>
      </c>
      <c r="B300" s="181" t="n">
        <v>286</v>
      </c>
      <c r="C300" s="181" t="n">
        <v>4717.89</v>
      </c>
      <c r="D300" s="181" t="n">
        <v>4757.6192</v>
      </c>
      <c r="E300" s="181" t="n">
        <v>-39.7292</v>
      </c>
      <c r="F300" s="181" t="n">
        <v>1578.4064</v>
      </c>
      <c r="G300" s="181" t="n">
        <v>81796</v>
      </c>
      <c r="H300" s="181" t="inlineStr"/>
      <c r="I300" s="181" t="inlineStr"/>
    </row>
    <row r="301" ht="15" customHeight="1" s="28">
      <c r="A301" s="182" t="n">
        <v>288</v>
      </c>
      <c r="B301" s="182" t="n">
        <v>287</v>
      </c>
      <c r="C301" s="182" t="n">
        <v>4711.38</v>
      </c>
      <c r="D301" s="182" t="n">
        <v>4757.3653</v>
      </c>
      <c r="E301" s="182" t="n">
        <v>-45.9853</v>
      </c>
      <c r="F301" s="182" t="n">
        <v>2114.6448</v>
      </c>
      <c r="G301" s="182" t="n">
        <v>82369</v>
      </c>
      <c r="H301" s="182" t="inlineStr"/>
      <c r="I301" s="182" t="inlineStr"/>
    </row>
    <row r="302" ht="15" customHeight="1" s="28">
      <c r="A302" s="181" t="n">
        <v>289</v>
      </c>
      <c r="B302" s="181" t="n">
        <v>288</v>
      </c>
      <c r="C302" s="181" t="n">
        <v>4704.63</v>
      </c>
      <c r="D302" s="181" t="n">
        <v>4757.1114</v>
      </c>
      <c r="E302" s="181" t="n">
        <v>-52.4814</v>
      </c>
      <c r="F302" s="181" t="n">
        <v>2754.2944</v>
      </c>
      <c r="G302" s="181" t="n">
        <v>82944</v>
      </c>
      <c r="H302" s="181" t="inlineStr"/>
      <c r="I302" s="181" t="inlineStr"/>
    </row>
    <row r="303" ht="15" customHeight="1" s="28">
      <c r="A303" s="182" t="n">
        <v>290</v>
      </c>
      <c r="B303" s="182" t="n">
        <v>289</v>
      </c>
      <c r="C303" s="182" t="n">
        <v>4696.62</v>
      </c>
      <c r="D303" s="182" t="n">
        <v>4756.8575</v>
      </c>
      <c r="E303" s="182" t="n">
        <v>-60.2375</v>
      </c>
      <c r="F303" s="182" t="n">
        <v>3628.5536</v>
      </c>
      <c r="G303" s="182" t="n">
        <v>83521</v>
      </c>
      <c r="H303" s="182" t="inlineStr"/>
      <c r="I303" s="182" t="inlineStr"/>
    </row>
    <row r="304" ht="15" customHeight="1" s="28">
      <c r="A304" s="181" t="n">
        <v>291</v>
      </c>
      <c r="B304" s="181" t="n">
        <v>290</v>
      </c>
      <c r="C304" s="181" t="n">
        <v>4703.21</v>
      </c>
      <c r="D304" s="181" t="n">
        <v>4756.6036</v>
      </c>
      <c r="E304" s="181" t="n">
        <v>-53.3936</v>
      </c>
      <c r="F304" s="181" t="n">
        <v>2850.8745</v>
      </c>
      <c r="G304" s="181" t="n">
        <v>84100</v>
      </c>
      <c r="H304" s="181" t="inlineStr"/>
      <c r="I304" s="181" t="inlineStr"/>
    </row>
    <row r="305" ht="15" customHeight="1" s="28">
      <c r="A305" s="182" t="n">
        <v>292</v>
      </c>
      <c r="B305" s="182" t="n">
        <v>291</v>
      </c>
      <c r="C305" s="182" t="n">
        <v>4709.51</v>
      </c>
      <c r="D305" s="182" t="n">
        <v>4756.3497</v>
      </c>
      <c r="E305" s="182" t="n">
        <v>-46.8397</v>
      </c>
      <c r="F305" s="182" t="n">
        <v>2193.9561</v>
      </c>
      <c r="G305" s="182" t="n">
        <v>84681</v>
      </c>
      <c r="H305" s="182" t="inlineStr"/>
      <c r="I305" s="182" t="inlineStr"/>
    </row>
    <row r="306" ht="15" customHeight="1" s="28">
      <c r="A306" s="181" t="n">
        <v>293</v>
      </c>
      <c r="B306" s="181" t="n">
        <v>292</v>
      </c>
      <c r="C306" s="181" t="n">
        <v>4707.33</v>
      </c>
      <c r="D306" s="181" t="n">
        <v>4756.0958</v>
      </c>
      <c r="E306" s="181" t="n">
        <v>-48.7658</v>
      </c>
      <c r="F306" s="181" t="n">
        <v>2378.1023</v>
      </c>
      <c r="G306" s="181" t="n">
        <v>85264</v>
      </c>
      <c r="H306" s="181" t="inlineStr"/>
      <c r="I306" s="181" t="inlineStr"/>
    </row>
    <row r="307" ht="15" customHeight="1" s="28">
      <c r="A307" s="182" t="n">
        <v>294</v>
      </c>
      <c r="B307" s="182" t="n">
        <v>293</v>
      </c>
      <c r="C307" s="182" t="n">
        <v>4714.21</v>
      </c>
      <c r="D307" s="182" t="n">
        <v>4755.8419</v>
      </c>
      <c r="E307" s="182" t="n">
        <v>-41.6319</v>
      </c>
      <c r="F307" s="182" t="n">
        <v>1733.2146</v>
      </c>
      <c r="G307" s="182" t="n">
        <v>85849</v>
      </c>
      <c r="H307" s="182" t="inlineStr"/>
      <c r="I307" s="182" t="inlineStr"/>
    </row>
    <row r="308" ht="15" customHeight="1" s="28">
      <c r="A308" s="181" t="n">
        <v>295</v>
      </c>
      <c r="B308" s="181" t="n">
        <v>294</v>
      </c>
      <c r="C308" s="181" t="n">
        <v>4671.47</v>
      </c>
      <c r="D308" s="181" t="n">
        <v>4755.588</v>
      </c>
      <c r="E308" s="181" t="n">
        <v>-84.11799999999999</v>
      </c>
      <c r="F308" s="181" t="n">
        <v>7075.8377</v>
      </c>
      <c r="G308" s="181" t="n">
        <v>86436</v>
      </c>
      <c r="H308" s="181" t="inlineStr"/>
      <c r="I308" s="181" t="inlineStr"/>
    </row>
    <row r="309" ht="15" customHeight="1" s="28">
      <c r="A309" s="182" t="n">
        <v>296</v>
      </c>
      <c r="B309" s="182" t="n">
        <v>295</v>
      </c>
      <c r="C309" s="182" t="n">
        <v>4679.23</v>
      </c>
      <c r="D309" s="182" t="n">
        <v>4755.3341</v>
      </c>
      <c r="E309" s="182" t="n">
        <v>-76.1041</v>
      </c>
      <c r="F309" s="182" t="n">
        <v>5791.8346</v>
      </c>
      <c r="G309" s="182" t="n">
        <v>87025</v>
      </c>
      <c r="H309" s="182" t="inlineStr"/>
      <c r="I309" s="182" t="inlineStr"/>
    </row>
    <row r="310" ht="15" customHeight="1" s="28">
      <c r="A310" s="181" t="n">
        <v>297</v>
      </c>
      <c r="B310" s="181" t="n">
        <v>296</v>
      </c>
      <c r="C310" s="181" t="n">
        <v>4696.98</v>
      </c>
      <c r="D310" s="181" t="n">
        <v>4755.0802</v>
      </c>
      <c r="E310" s="181" t="n">
        <v>-58.1002</v>
      </c>
      <c r="F310" s="181" t="n">
        <v>3375.6342</v>
      </c>
      <c r="G310" s="181" t="n">
        <v>87616</v>
      </c>
      <c r="H310" s="181" t="inlineStr"/>
      <c r="I310" s="181" t="inlineStr"/>
    </row>
    <row r="311" ht="15" customHeight="1" s="28">
      <c r="A311" s="182" t="n">
        <v>298</v>
      </c>
      <c r="B311" s="182" t="n">
        <v>297</v>
      </c>
      <c r="C311" s="182" t="n">
        <v>4705.65</v>
      </c>
      <c r="D311" s="182" t="n">
        <v>4754.8263</v>
      </c>
      <c r="E311" s="182" t="n">
        <v>-49.1763</v>
      </c>
      <c r="F311" s="182" t="n">
        <v>2418.3097</v>
      </c>
      <c r="G311" s="182" t="n">
        <v>88209</v>
      </c>
      <c r="H311" s="182" t="inlineStr"/>
      <c r="I311" s="182" t="inlineStr"/>
    </row>
    <row r="312" ht="15" customHeight="1" s="28">
      <c r="A312" s="181" t="n">
        <v>299</v>
      </c>
      <c r="B312" s="181" t="n">
        <v>298</v>
      </c>
      <c r="C312" s="181" t="n">
        <v>4711.42</v>
      </c>
      <c r="D312" s="181" t="n">
        <v>4754.5724</v>
      </c>
      <c r="E312" s="181" t="n">
        <v>-43.1524</v>
      </c>
      <c r="F312" s="181" t="n">
        <v>1862.1311</v>
      </c>
      <c r="G312" s="181" t="n">
        <v>88804</v>
      </c>
      <c r="H312" s="181" t="inlineStr"/>
      <c r="I312" s="181" t="inlineStr"/>
    </row>
    <row r="313" ht="15" customHeight="1" s="28">
      <c r="A313" s="182" t="n">
        <v>300</v>
      </c>
      <c r="B313" s="182" t="n">
        <v>299</v>
      </c>
      <c r="C313" s="182" t="n">
        <v>4720.16</v>
      </c>
      <c r="D313" s="182" t="n">
        <v>4754.3185</v>
      </c>
      <c r="E313" s="182" t="n">
        <v>-34.1585</v>
      </c>
      <c r="F313" s="182" t="n">
        <v>1166.8046</v>
      </c>
      <c r="G313" s="182" t="n">
        <v>89401</v>
      </c>
      <c r="H313" s="182" t="inlineStr"/>
      <c r="I313" s="182" t="inlineStr"/>
    </row>
    <row r="314" ht="15" customHeight="1" s="28">
      <c r="A314" s="181" t="n">
        <v>301</v>
      </c>
      <c r="B314" s="181" t="n">
        <v>300</v>
      </c>
      <c r="C314" s="181" t="n">
        <v>4721.88</v>
      </c>
      <c r="D314" s="181" t="n">
        <v>4754.0646</v>
      </c>
      <c r="E314" s="181" t="n">
        <v>-32.1846</v>
      </c>
      <c r="F314" s="181" t="n">
        <v>1035.8501</v>
      </c>
      <c r="G314" s="181" t="n">
        <v>90000</v>
      </c>
      <c r="H314" s="181" t="inlineStr"/>
      <c r="I314" s="181" t="inlineStr"/>
    </row>
    <row r="315" ht="15" customHeight="1" s="28">
      <c r="A315" s="182" t="n">
        <v>302</v>
      </c>
      <c r="B315" s="182" t="n">
        <v>301</v>
      </c>
      <c r="C315" s="182" t="n">
        <v>4719.05</v>
      </c>
      <c r="D315" s="182" t="n">
        <v>4753.8107</v>
      </c>
      <c r="E315" s="182" t="n">
        <v>-34.7607</v>
      </c>
      <c r="F315" s="182" t="n">
        <v>1208.3084</v>
      </c>
      <c r="G315" s="182" t="n">
        <v>90601</v>
      </c>
      <c r="H315" s="182" t="inlineStr"/>
      <c r="I315" s="182" t="inlineStr"/>
    </row>
    <row r="316" ht="15" customHeight="1" s="28">
      <c r="A316" s="181" t="n">
        <v>303</v>
      </c>
      <c r="B316" s="181" t="n">
        <v>302</v>
      </c>
      <c r="C316" s="181" t="n">
        <v>4716.95</v>
      </c>
      <c r="D316" s="181" t="n">
        <v>4753.5568</v>
      </c>
      <c r="E316" s="181" t="n">
        <v>-36.6068</v>
      </c>
      <c r="F316" s="181" t="n">
        <v>1340.0604</v>
      </c>
      <c r="G316" s="181" t="n">
        <v>91204</v>
      </c>
      <c r="H316" s="181" t="inlineStr"/>
      <c r="I316" s="181" t="inlineStr"/>
    </row>
    <row r="317" ht="15" customHeight="1" s="28">
      <c r="A317" s="182" t="n">
        <v>304</v>
      </c>
      <c r="B317" s="182" t="n">
        <v>303</v>
      </c>
      <c r="C317" s="182" t="n">
        <v>4719.51</v>
      </c>
      <c r="D317" s="182" t="n">
        <v>4753.3029</v>
      </c>
      <c r="E317" s="182" t="n">
        <v>-33.7929</v>
      </c>
      <c r="F317" s="182" t="n">
        <v>1141.9628</v>
      </c>
      <c r="G317" s="182" t="n">
        <v>91809</v>
      </c>
      <c r="H317" s="182" t="inlineStr"/>
      <c r="I317" s="182" t="inlineStr"/>
    </row>
    <row r="318" ht="15" customHeight="1" s="28">
      <c r="A318" s="181" t="n">
        <v>305</v>
      </c>
      <c r="B318" s="181" t="n">
        <v>304</v>
      </c>
      <c r="C318" s="181" t="n">
        <v>4727.47</v>
      </c>
      <c r="D318" s="181" t="n">
        <v>4753.049</v>
      </c>
      <c r="E318" s="181" t="n">
        <v>-25.579</v>
      </c>
      <c r="F318" s="181" t="n">
        <v>654.2875</v>
      </c>
      <c r="G318" s="181" t="n">
        <v>92416</v>
      </c>
      <c r="H318" s="181" t="inlineStr"/>
      <c r="I318" s="181" t="inlineStr"/>
    </row>
    <row r="319" ht="15" customHeight="1" s="28">
      <c r="A319" s="182" t="n">
        <v>306</v>
      </c>
      <c r="B319" s="182" t="n">
        <v>305</v>
      </c>
      <c r="C319" s="182" t="n">
        <v>4730</v>
      </c>
      <c r="D319" s="182" t="n">
        <v>4752.7951</v>
      </c>
      <c r="E319" s="182" t="n">
        <v>-22.7951</v>
      </c>
      <c r="F319" s="182" t="n">
        <v>519.6188</v>
      </c>
      <c r="G319" s="182" t="n">
        <v>93025</v>
      </c>
      <c r="H319" s="182" t="inlineStr"/>
      <c r="I319" s="182" t="inlineStr"/>
    </row>
    <row r="320" ht="15" customHeight="1" s="28">
      <c r="A320" s="181" t="n">
        <v>307</v>
      </c>
      <c r="B320" s="181" t="n">
        <v>306</v>
      </c>
      <c r="C320" s="181" t="n">
        <v>4731.94</v>
      </c>
      <c r="D320" s="181" t="n">
        <v>4752.5413</v>
      </c>
      <c r="E320" s="181" t="n">
        <v>-20.6013</v>
      </c>
      <c r="F320" s="181" t="n">
        <v>424.4116</v>
      </c>
      <c r="G320" s="181" t="n">
        <v>93636</v>
      </c>
      <c r="H320" s="181" t="inlineStr"/>
      <c r="I320" s="181" t="inlineStr"/>
    </row>
    <row r="321" ht="15" customHeight="1" s="28">
      <c r="A321" s="182" t="n">
        <v>308</v>
      </c>
      <c r="B321" s="182" t="n">
        <v>307</v>
      </c>
      <c r="C321" s="182" t="n">
        <v>4737.96</v>
      </c>
      <c r="D321" s="182" t="n">
        <v>4752.2874</v>
      </c>
      <c r="E321" s="182" t="n">
        <v>-14.3274</v>
      </c>
      <c r="F321" s="182" t="n">
        <v>205.2732</v>
      </c>
      <c r="G321" s="182" t="n">
        <v>94249</v>
      </c>
      <c r="H321" s="182" t="inlineStr"/>
      <c r="I321" s="182" t="inlineStr"/>
    </row>
    <row r="322" ht="15" customHeight="1" s="28">
      <c r="A322" s="181" t="n">
        <v>309</v>
      </c>
      <c r="B322" s="181" t="n">
        <v>308</v>
      </c>
      <c r="C322" s="181" t="n">
        <v>4742.93</v>
      </c>
      <c r="D322" s="181" t="n">
        <v>4752.0335</v>
      </c>
      <c r="E322" s="181" t="n">
        <v>-9.1035</v>
      </c>
      <c r="F322" s="181" t="n">
        <v>82.873</v>
      </c>
      <c r="G322" s="181" t="n">
        <v>94864</v>
      </c>
      <c r="H322" s="181" t="inlineStr"/>
      <c r="I322" s="181" t="inlineStr"/>
    </row>
    <row r="323" ht="15" customHeight="1" s="28">
      <c r="A323" s="182" t="n">
        <v>310</v>
      </c>
      <c r="B323" s="182" t="n">
        <v>309</v>
      </c>
      <c r="C323" s="182" t="n">
        <v>4742.51</v>
      </c>
      <c r="D323" s="182" t="n">
        <v>4751.7796</v>
      </c>
      <c r="E323" s="182" t="n">
        <v>-9.269600000000001</v>
      </c>
      <c r="F323" s="182" t="n">
        <v>85.92489999999999</v>
      </c>
      <c r="G323" s="182" t="n">
        <v>95481</v>
      </c>
      <c r="H323" s="182" t="inlineStr"/>
      <c r="I323" s="182" t="inlineStr"/>
    </row>
    <row r="324" ht="15" customHeight="1" s="28">
      <c r="A324" s="181" t="n">
        <v>311</v>
      </c>
      <c r="B324" s="181" t="n">
        <v>310</v>
      </c>
      <c r="C324" s="181" t="n">
        <v>4742.11</v>
      </c>
      <c r="D324" s="181" t="n">
        <v>4751.5257</v>
      </c>
      <c r="E324" s="181" t="n">
        <v>-9.415699999999999</v>
      </c>
      <c r="F324" s="181" t="n">
        <v>88.6549</v>
      </c>
      <c r="G324" s="181" t="n">
        <v>96100</v>
      </c>
      <c r="H324" s="181" t="inlineStr"/>
      <c r="I324" s="181" t="inlineStr"/>
    </row>
    <row r="325" ht="15" customHeight="1" s="28">
      <c r="A325" s="182" t="n">
        <v>312</v>
      </c>
      <c r="B325" s="182" t="n">
        <v>311</v>
      </c>
      <c r="C325" s="182" t="n">
        <v>4739.77</v>
      </c>
      <c r="D325" s="182" t="n">
        <v>4751.2718</v>
      </c>
      <c r="E325" s="182" t="n">
        <v>-11.5018</v>
      </c>
      <c r="F325" s="182" t="n">
        <v>132.2908</v>
      </c>
      <c r="G325" s="182" t="n">
        <v>96721</v>
      </c>
      <c r="H325" s="182" t="inlineStr"/>
      <c r="I325" s="182" t="inlineStr"/>
    </row>
    <row r="326" ht="15" customHeight="1" s="28">
      <c r="A326" s="181" t="n">
        <v>313</v>
      </c>
      <c r="B326" s="181" t="n">
        <v>312</v>
      </c>
      <c r="C326" s="181" t="n">
        <v>4738.28</v>
      </c>
      <c r="D326" s="181" t="n">
        <v>4751.0179</v>
      </c>
      <c r="E326" s="181" t="n">
        <v>-12.7379</v>
      </c>
      <c r="F326" s="181" t="n">
        <v>162.2536</v>
      </c>
      <c r="G326" s="181" t="n">
        <v>97344</v>
      </c>
      <c r="H326" s="181" t="inlineStr"/>
      <c r="I326" s="181" t="inlineStr"/>
    </row>
    <row r="327" ht="15" customHeight="1" s="28">
      <c r="A327" s="182" t="n">
        <v>314</v>
      </c>
      <c r="B327" s="182" t="n">
        <v>313</v>
      </c>
      <c r="C327" s="182" t="n">
        <v>4746.52</v>
      </c>
      <c r="D327" s="182" t="n">
        <v>4750.764</v>
      </c>
      <c r="E327" s="182" t="n">
        <v>-4.244</v>
      </c>
      <c r="F327" s="182" t="n">
        <v>18.0114</v>
      </c>
      <c r="G327" s="182" t="n">
        <v>97969</v>
      </c>
      <c r="H327" s="182" t="inlineStr"/>
      <c r="I327" s="182" t="inlineStr"/>
    </row>
    <row r="328" ht="15" customHeight="1" s="28">
      <c r="A328" s="181" t="n">
        <v>315</v>
      </c>
      <c r="B328" s="181" t="n">
        <v>314</v>
      </c>
      <c r="C328" s="181" t="n">
        <v>4749.74</v>
      </c>
      <c r="D328" s="181" t="n">
        <v>4750.5101</v>
      </c>
      <c r="E328" s="181" t="n">
        <v>-0.7701</v>
      </c>
      <c r="F328" s="181" t="n">
        <v>0.593</v>
      </c>
      <c r="G328" s="181" t="n">
        <v>98596</v>
      </c>
      <c r="H328" s="181" t="inlineStr"/>
      <c r="I328" s="181" t="inlineStr"/>
    </row>
    <row r="329" ht="15" customHeight="1" s="28">
      <c r="A329" s="182" t="n">
        <v>316</v>
      </c>
      <c r="B329" s="182" t="n">
        <v>315</v>
      </c>
      <c r="C329" s="182" t="n">
        <v>4752.31</v>
      </c>
      <c r="D329" s="182" t="n">
        <v>4750.2562</v>
      </c>
      <c r="E329" s="182" t="n">
        <v>2.0538</v>
      </c>
      <c r="F329" s="182" t="n">
        <v>4.2181</v>
      </c>
      <c r="G329" s="182" t="n">
        <v>99225</v>
      </c>
      <c r="H329" s="182" t="inlineStr"/>
      <c r="I329" s="182" t="inlineStr"/>
    </row>
    <row r="330" ht="15" customHeight="1" s="28">
      <c r="A330" s="181" t="n">
        <v>317</v>
      </c>
      <c r="B330" s="181" t="n">
        <v>316</v>
      </c>
      <c r="C330" s="181" t="n">
        <v>4755.68</v>
      </c>
      <c r="D330" s="181" t="n">
        <v>4750.0023</v>
      </c>
      <c r="E330" s="181" t="n">
        <v>5.6777</v>
      </c>
      <c r="F330" s="181" t="n">
        <v>32.2363</v>
      </c>
      <c r="G330" s="181" t="n">
        <v>99856</v>
      </c>
      <c r="H330" s="181" t="inlineStr"/>
      <c r="I330" s="181" t="inlineStr"/>
    </row>
    <row r="331" ht="15" customHeight="1" s="28">
      <c r="A331" s="182" t="n">
        <v>318</v>
      </c>
      <c r="B331" s="182" t="n">
        <v>317</v>
      </c>
      <c r="C331" s="182" t="n">
        <v>4755.59</v>
      </c>
      <c r="D331" s="182" t="n">
        <v>4749.7484</v>
      </c>
      <c r="E331" s="182" t="n">
        <v>5.8416</v>
      </c>
      <c r="F331" s="182" t="n">
        <v>34.1243</v>
      </c>
      <c r="G331" s="182" t="n">
        <v>100489</v>
      </c>
      <c r="H331" s="182" t="inlineStr"/>
      <c r="I331" s="182" t="inlineStr"/>
    </row>
    <row r="332" ht="15" customHeight="1" s="28">
      <c r="A332" s="181" t="n">
        <v>319</v>
      </c>
      <c r="B332" s="181" t="n">
        <v>318</v>
      </c>
      <c r="C332" s="181" t="n">
        <v>4751.37</v>
      </c>
      <c r="D332" s="181" t="n">
        <v>4749.4945</v>
      </c>
      <c r="E332" s="181" t="n">
        <v>1.8755</v>
      </c>
      <c r="F332" s="181" t="n">
        <v>3.5175</v>
      </c>
      <c r="G332" s="181" t="n">
        <v>101124</v>
      </c>
      <c r="H332" s="181" t="inlineStr"/>
      <c r="I332" s="181" t="inlineStr"/>
    </row>
    <row r="333" ht="15" customHeight="1" s="28">
      <c r="A333" s="182" t="n">
        <v>320</v>
      </c>
      <c r="B333" s="182" t="n">
        <v>319</v>
      </c>
      <c r="C333" s="182" t="n">
        <v>4755.81</v>
      </c>
      <c r="D333" s="182" t="n">
        <v>4749.2406</v>
      </c>
      <c r="E333" s="182" t="n">
        <v>6.5694</v>
      </c>
      <c r="F333" s="182" t="n">
        <v>43.1569</v>
      </c>
      <c r="G333" s="182" t="n">
        <v>101761</v>
      </c>
      <c r="H333" s="182" t="inlineStr"/>
      <c r="I333" s="182" t="inlineStr"/>
    </row>
    <row r="334" ht="15" customHeight="1" s="28">
      <c r="A334" s="181" t="n">
        <v>321</v>
      </c>
      <c r="B334" s="181" t="n">
        <v>320</v>
      </c>
      <c r="C334" s="181" t="n">
        <v>4757.61</v>
      </c>
      <c r="D334" s="181" t="n">
        <v>4748.9867</v>
      </c>
      <c r="E334" s="181" t="n">
        <v>8.6233</v>
      </c>
      <c r="F334" s="181" t="n">
        <v>74.361</v>
      </c>
      <c r="G334" s="181" t="n">
        <v>102400</v>
      </c>
      <c r="H334" s="181" t="inlineStr"/>
      <c r="I334" s="181" t="inlineStr"/>
    </row>
    <row r="335" ht="15" customHeight="1" s="28">
      <c r="A335" s="182" t="n">
        <v>322</v>
      </c>
      <c r="B335" s="182" t="n">
        <v>321</v>
      </c>
      <c r="C335" s="182" t="n">
        <v>4763.12</v>
      </c>
      <c r="D335" s="182" t="n">
        <v>4748.7328</v>
      </c>
      <c r="E335" s="182" t="n">
        <v>14.3872</v>
      </c>
      <c r="F335" s="182" t="n">
        <v>206.9909</v>
      </c>
      <c r="G335" s="182" t="n">
        <v>103041</v>
      </c>
      <c r="H335" s="182" t="inlineStr"/>
      <c r="I335" s="182" t="inlineStr"/>
    </row>
    <row r="336" ht="15" customHeight="1" s="28">
      <c r="A336" s="181" t="n">
        <v>323</v>
      </c>
      <c r="B336" s="181" t="n">
        <v>322</v>
      </c>
      <c r="C336" s="181" t="n">
        <v>4759.16</v>
      </c>
      <c r="D336" s="181" t="n">
        <v>4748.4789</v>
      </c>
      <c r="E336" s="181" t="n">
        <v>10.6811</v>
      </c>
      <c r="F336" s="181" t="n">
        <v>114.0854</v>
      </c>
      <c r="G336" s="181" t="n">
        <v>103684</v>
      </c>
      <c r="H336" s="181" t="inlineStr"/>
      <c r="I336" s="181" t="inlineStr"/>
    </row>
    <row r="337" ht="15" customHeight="1" s="28">
      <c r="A337" s="182" t="n">
        <v>324</v>
      </c>
      <c r="B337" s="182" t="n">
        <v>323</v>
      </c>
      <c r="C337" s="182" t="n">
        <v>4758.09</v>
      </c>
      <c r="D337" s="182" t="n">
        <v>4748.225</v>
      </c>
      <c r="E337" s="182" t="n">
        <v>9.865</v>
      </c>
      <c r="F337" s="182" t="n">
        <v>97.3176</v>
      </c>
      <c r="G337" s="182" t="n">
        <v>104329</v>
      </c>
      <c r="H337" s="182" t="inlineStr"/>
      <c r="I337" s="182" t="inlineStr"/>
    </row>
    <row r="338" ht="15" customHeight="1" s="28">
      <c r="A338" s="181" t="n">
        <v>325</v>
      </c>
      <c r="B338" s="181" t="n">
        <v>324</v>
      </c>
      <c r="C338" s="181" t="n">
        <v>4757.32</v>
      </c>
      <c r="D338" s="181" t="n">
        <v>4747.9711</v>
      </c>
      <c r="E338" s="181" t="n">
        <v>9.3489</v>
      </c>
      <c r="F338" s="181" t="n">
        <v>87.40130000000001</v>
      </c>
      <c r="G338" s="181" t="n">
        <v>104976</v>
      </c>
      <c r="H338" s="181" t="inlineStr"/>
      <c r="I338" s="181" t="inlineStr"/>
    </row>
    <row r="339" ht="15" customHeight="1" s="28">
      <c r="A339" s="182" t="n">
        <v>326</v>
      </c>
      <c r="B339" s="182" t="n">
        <v>325</v>
      </c>
      <c r="C339" s="182" t="n">
        <v>4755.87</v>
      </c>
      <c r="D339" s="182" t="n">
        <v>4747.7172</v>
      </c>
      <c r="E339" s="182" t="n">
        <v>8.152799999999999</v>
      </c>
      <c r="F339" s="182" t="n">
        <v>66.4675</v>
      </c>
      <c r="G339" s="182" t="n">
        <v>105625</v>
      </c>
      <c r="H339" s="182" t="inlineStr"/>
      <c r="I339" s="182" t="inlineStr"/>
    </row>
    <row r="340" ht="15" customHeight="1" s="28">
      <c r="A340" s="181" t="n">
        <v>327</v>
      </c>
      <c r="B340" s="181" t="n">
        <v>326</v>
      </c>
      <c r="C340" s="181" t="n">
        <v>4756.36</v>
      </c>
      <c r="D340" s="181" t="n">
        <v>4747.4633</v>
      </c>
      <c r="E340" s="181" t="n">
        <v>8.896699999999999</v>
      </c>
      <c r="F340" s="181" t="n">
        <v>79.15049999999999</v>
      </c>
      <c r="G340" s="181" t="n">
        <v>106276</v>
      </c>
      <c r="H340" s="181" t="inlineStr"/>
      <c r="I340" s="181" t="inlineStr"/>
    </row>
    <row r="341" ht="15" customHeight="1" s="28">
      <c r="A341" s="182" t="n">
        <v>328</v>
      </c>
      <c r="B341" s="182" t="n">
        <v>327</v>
      </c>
      <c r="C341" s="182" t="n">
        <v>4754.62</v>
      </c>
      <c r="D341" s="182" t="n">
        <v>4747.2094</v>
      </c>
      <c r="E341" s="182" t="n">
        <v>7.4106</v>
      </c>
      <c r="F341" s="182" t="n">
        <v>54.9163</v>
      </c>
      <c r="G341" s="182" t="n">
        <v>106929</v>
      </c>
      <c r="H341" s="182" t="inlineStr"/>
      <c r="I341" s="182" t="inlineStr"/>
    </row>
    <row r="342" ht="15" customHeight="1" s="28">
      <c r="A342" s="181" t="n">
        <v>329</v>
      </c>
      <c r="B342" s="181" t="n">
        <v>328</v>
      </c>
      <c r="C342" s="181" t="n">
        <v>4756.8</v>
      </c>
      <c r="D342" s="181" t="n">
        <v>4746.9556</v>
      </c>
      <c r="E342" s="181" t="n">
        <v>9.8444</v>
      </c>
      <c r="F342" s="181" t="n">
        <v>96.9132</v>
      </c>
      <c r="G342" s="181" t="n">
        <v>107584</v>
      </c>
      <c r="H342" s="181" t="inlineStr"/>
      <c r="I342" s="181" t="inlineStr"/>
    </row>
    <row r="343" ht="15" customHeight="1" s="28">
      <c r="A343" s="182" t="n">
        <v>330</v>
      </c>
      <c r="B343" s="182" t="n">
        <v>329</v>
      </c>
      <c r="C343" s="182" t="n">
        <v>4766.19</v>
      </c>
      <c r="D343" s="182" t="n">
        <v>4746.7017</v>
      </c>
      <c r="E343" s="182" t="n">
        <v>19.4883</v>
      </c>
      <c r="F343" s="182" t="n">
        <v>379.7955</v>
      </c>
      <c r="G343" s="182" t="n">
        <v>108241</v>
      </c>
      <c r="H343" s="182" t="inlineStr"/>
      <c r="I343" s="182" t="inlineStr"/>
    </row>
    <row r="344" ht="15" customHeight="1" s="28">
      <c r="A344" s="181" t="n">
        <v>331</v>
      </c>
      <c r="B344" s="181" t="n">
        <v>330</v>
      </c>
      <c r="C344" s="181" t="n">
        <v>4767.48</v>
      </c>
      <c r="D344" s="181" t="n">
        <v>4746.4478</v>
      </c>
      <c r="E344" s="181" t="n">
        <v>21.0322</v>
      </c>
      <c r="F344" s="181" t="n">
        <v>442.3551</v>
      </c>
      <c r="G344" s="181" t="n">
        <v>108900</v>
      </c>
      <c r="H344" s="181" t="inlineStr"/>
      <c r="I344" s="181" t="inlineStr"/>
    </row>
    <row r="345" ht="15" customHeight="1" s="28">
      <c r="A345" s="182" t="n">
        <v>332</v>
      </c>
      <c r="B345" s="182" t="n">
        <v>331</v>
      </c>
      <c r="C345" s="182" t="n">
        <v>4767.64</v>
      </c>
      <c r="D345" s="182" t="n">
        <v>4746.1939</v>
      </c>
      <c r="E345" s="182" t="n">
        <v>21.4461</v>
      </c>
      <c r="F345" s="182" t="n">
        <v>459.9367</v>
      </c>
      <c r="G345" s="182" t="n">
        <v>109561</v>
      </c>
      <c r="H345" s="182" t="inlineStr"/>
      <c r="I345" s="182" t="inlineStr"/>
    </row>
    <row r="346" ht="15" customHeight="1" s="28">
      <c r="A346" s="181" t="n">
        <v>333</v>
      </c>
      <c r="B346" s="181" t="n">
        <v>332</v>
      </c>
      <c r="C346" s="181" t="n">
        <v>4762.84</v>
      </c>
      <c r="D346" s="181" t="n">
        <v>4745.94</v>
      </c>
      <c r="E346" s="181" t="n">
        <v>16.9</v>
      </c>
      <c r="F346" s="181" t="n">
        <v>285.611</v>
      </c>
      <c r="G346" s="181" t="n">
        <v>110224</v>
      </c>
      <c r="H346" s="181" t="inlineStr"/>
      <c r="I346" s="181" t="inlineStr"/>
    </row>
    <row r="347" ht="15" customHeight="1" s="28">
      <c r="A347" s="182" t="n">
        <v>334</v>
      </c>
      <c r="B347" s="182" t="n">
        <v>333</v>
      </c>
      <c r="C347" s="182" t="n">
        <v>4767.37</v>
      </c>
      <c r="D347" s="182" t="n">
        <v>4745.6861</v>
      </c>
      <c r="E347" s="182" t="n">
        <v>21.6839</v>
      </c>
      <c r="F347" s="182" t="n">
        <v>470.1926</v>
      </c>
      <c r="G347" s="182" t="n">
        <v>110889</v>
      </c>
      <c r="H347" s="182" t="inlineStr"/>
      <c r="I347" s="182" t="inlineStr"/>
    </row>
    <row r="348" ht="15" customHeight="1" s="28">
      <c r="A348" s="181" t="n">
        <v>335</v>
      </c>
      <c r="B348" s="181" t="n">
        <v>334</v>
      </c>
      <c r="C348" s="181" t="n">
        <v>4763.8</v>
      </c>
      <c r="D348" s="181" t="n">
        <v>4745.4322</v>
      </c>
      <c r="E348" s="181" t="n">
        <v>18.3678</v>
      </c>
      <c r="F348" s="181" t="n">
        <v>337.3768</v>
      </c>
      <c r="G348" s="181" t="n">
        <v>111556</v>
      </c>
      <c r="H348" s="181" t="inlineStr"/>
      <c r="I348" s="181" t="inlineStr"/>
    </row>
    <row r="349" ht="15" customHeight="1" s="28">
      <c r="A349" s="182" t="n">
        <v>336</v>
      </c>
      <c r="B349" s="182" t="n">
        <v>335</v>
      </c>
      <c r="C349" s="182" t="n">
        <v>4767.69</v>
      </c>
      <c r="D349" s="182" t="n">
        <v>4745.1783</v>
      </c>
      <c r="E349" s="182" t="n">
        <v>22.5117</v>
      </c>
      <c r="F349" s="182" t="n">
        <v>506.7774</v>
      </c>
      <c r="G349" s="182" t="n">
        <v>112225</v>
      </c>
      <c r="H349" s="182" t="inlineStr"/>
      <c r="I349" s="182" t="inlineStr"/>
    </row>
    <row r="350" ht="15" customHeight="1" s="28">
      <c r="A350" s="181" t="n">
        <v>337</v>
      </c>
      <c r="B350" s="181" t="n">
        <v>336</v>
      </c>
      <c r="C350" s="181" t="n">
        <v>4765.67</v>
      </c>
      <c r="D350" s="181" t="n">
        <v>4744.9244</v>
      </c>
      <c r="E350" s="181" t="n">
        <v>20.7456</v>
      </c>
      <c r="F350" s="181" t="n">
        <v>430.3804</v>
      </c>
      <c r="G350" s="181" t="n">
        <v>112896</v>
      </c>
      <c r="H350" s="181" t="inlineStr"/>
      <c r="I350" s="181" t="inlineStr"/>
    </row>
    <row r="351" ht="15" customHeight="1" s="28">
      <c r="A351" s="182" t="n">
        <v>338</v>
      </c>
      <c r="B351" s="182" t="n">
        <v>337</v>
      </c>
      <c r="C351" s="182" t="n">
        <v>4766.08</v>
      </c>
      <c r="D351" s="182" t="n">
        <v>4744.6705</v>
      </c>
      <c r="E351" s="182" t="n">
        <v>21.4095</v>
      </c>
      <c r="F351" s="182" t="n">
        <v>458.367</v>
      </c>
      <c r="G351" s="182" t="n">
        <v>113569</v>
      </c>
      <c r="H351" s="182" t="inlineStr"/>
      <c r="I351" s="182" t="inlineStr"/>
    </row>
    <row r="352" ht="15" customHeight="1" s="28">
      <c r="A352" s="181" t="n">
        <v>339</v>
      </c>
      <c r="B352" s="181" t="n">
        <v>338</v>
      </c>
      <c r="C352" s="181" t="n">
        <v>4763.82</v>
      </c>
      <c r="D352" s="181" t="n">
        <v>4744.4166</v>
      </c>
      <c r="E352" s="181" t="n">
        <v>19.4034</v>
      </c>
      <c r="F352" s="181" t="n">
        <v>376.492</v>
      </c>
      <c r="G352" s="181" t="n">
        <v>114244</v>
      </c>
      <c r="H352" s="181" t="inlineStr"/>
      <c r="I352" s="181" t="inlineStr"/>
    </row>
    <row r="353" ht="15" customHeight="1" s="28">
      <c r="A353" s="182" t="n">
        <v>340</v>
      </c>
      <c r="B353" s="182" t="n">
        <v>339</v>
      </c>
      <c r="C353" s="182" t="n">
        <v>4760.46</v>
      </c>
      <c r="D353" s="182" t="n">
        <v>4744.1627</v>
      </c>
      <c r="E353" s="182" t="n">
        <v>16.2973</v>
      </c>
      <c r="F353" s="182" t="n">
        <v>265.6019</v>
      </c>
      <c r="G353" s="182" t="n">
        <v>114921</v>
      </c>
      <c r="H353" s="182" t="inlineStr"/>
      <c r="I353" s="182" t="inlineStr"/>
    </row>
    <row r="354" ht="15" customHeight="1" s="28">
      <c r="A354" s="181" t="n">
        <v>341</v>
      </c>
      <c r="B354" s="181" t="n">
        <v>340</v>
      </c>
      <c r="C354" s="181" t="n">
        <v>4758.02</v>
      </c>
      <c r="D354" s="181" t="n">
        <v>4743.9088</v>
      </c>
      <c r="E354" s="181" t="n">
        <v>14.1112</v>
      </c>
      <c r="F354" s="181" t="n">
        <v>199.1258</v>
      </c>
      <c r="G354" s="181" t="n">
        <v>115600</v>
      </c>
      <c r="H354" s="181" t="inlineStr"/>
      <c r="I354" s="181" t="inlineStr"/>
    </row>
    <row r="355" ht="15" customHeight="1" s="28">
      <c r="A355" s="182" t="n">
        <v>342</v>
      </c>
      <c r="B355" s="182" t="n">
        <v>341</v>
      </c>
      <c r="C355" s="182" t="n">
        <v>4754.37</v>
      </c>
      <c r="D355" s="182" t="n">
        <v>4743.6549</v>
      </c>
      <c r="E355" s="182" t="n">
        <v>10.7151</v>
      </c>
      <c r="F355" s="182" t="n">
        <v>114.8131</v>
      </c>
      <c r="G355" s="182" t="n">
        <v>116281</v>
      </c>
      <c r="H355" s="182" t="inlineStr"/>
      <c r="I355" s="182" t="inlineStr"/>
    </row>
    <row r="356" ht="15" customHeight="1" s="28">
      <c r="A356" s="181" t="n">
        <v>343</v>
      </c>
      <c r="B356" s="181" t="n">
        <v>342</v>
      </c>
      <c r="C356" s="181" t="n">
        <v>4756.15</v>
      </c>
      <c r="D356" s="181" t="n">
        <v>4743.401</v>
      </c>
      <c r="E356" s="181" t="n">
        <v>12.749</v>
      </c>
      <c r="F356" s="181" t="n">
        <v>162.5366</v>
      </c>
      <c r="G356" s="181" t="n">
        <v>116964</v>
      </c>
      <c r="H356" s="181" t="inlineStr"/>
      <c r="I356" s="181" t="inlineStr"/>
    </row>
    <row r="357" ht="15" customHeight="1" s="28">
      <c r="A357" s="182" t="n">
        <v>344</v>
      </c>
      <c r="B357" s="182" t="n">
        <v>343</v>
      </c>
      <c r="C357" s="182" t="n">
        <v>4757.14</v>
      </c>
      <c r="D357" s="182" t="n">
        <v>4743.1471</v>
      </c>
      <c r="E357" s="182" t="n">
        <v>13.9929</v>
      </c>
      <c r="F357" s="182" t="n">
        <v>195.8007</v>
      </c>
      <c r="G357" s="182" t="n">
        <v>117649</v>
      </c>
      <c r="H357" s="182" t="inlineStr"/>
      <c r="I357" s="182" t="inlineStr"/>
    </row>
    <row r="358" ht="15" customHeight="1" s="28">
      <c r="A358" s="181" t="n">
        <v>345</v>
      </c>
      <c r="B358" s="181" t="n">
        <v>344</v>
      </c>
      <c r="C358" s="181" t="n">
        <v>4760.72</v>
      </c>
      <c r="D358" s="181" t="n">
        <v>4742.8932</v>
      </c>
      <c r="E358" s="181" t="n">
        <v>17.8268</v>
      </c>
      <c r="F358" s="181" t="n">
        <v>317.7939</v>
      </c>
      <c r="G358" s="181" t="n">
        <v>118336</v>
      </c>
      <c r="H358" s="181" t="inlineStr"/>
      <c r="I358" s="181" t="inlineStr"/>
    </row>
    <row r="359" ht="15" customHeight="1" s="28">
      <c r="A359" s="182" t="n">
        <v>346</v>
      </c>
      <c r="B359" s="182" t="n">
        <v>345</v>
      </c>
      <c r="C359" s="182" t="n">
        <v>4756.45</v>
      </c>
      <c r="D359" s="182" t="n">
        <v>4742.6393</v>
      </c>
      <c r="E359" s="182" t="n">
        <v>13.8107</v>
      </c>
      <c r="F359" s="182" t="n">
        <v>190.7346</v>
      </c>
      <c r="G359" s="182" t="n">
        <v>119025</v>
      </c>
      <c r="H359" s="182" t="inlineStr"/>
      <c r="I359" s="182" t="inlineStr"/>
    </row>
    <row r="360" ht="15" customHeight="1" s="28">
      <c r="A360" s="181" t="n">
        <v>347</v>
      </c>
      <c r="B360" s="181" t="n">
        <v>346</v>
      </c>
      <c r="C360" s="181" t="n">
        <v>4758.47</v>
      </c>
      <c r="D360" s="181" t="n">
        <v>4742.3854</v>
      </c>
      <c r="E360" s="181" t="n">
        <v>16.0846</v>
      </c>
      <c r="F360" s="181" t="n">
        <v>258.7133</v>
      </c>
      <c r="G360" s="181" t="n">
        <v>119716</v>
      </c>
      <c r="H360" s="181" t="inlineStr"/>
      <c r="I360" s="181" t="inlineStr"/>
    </row>
    <row r="361" ht="15" customHeight="1" s="28">
      <c r="A361" s="182" t="n">
        <v>348</v>
      </c>
      <c r="B361" s="182" t="n">
        <v>347</v>
      </c>
      <c r="C361" s="182" t="n">
        <v>4755.32</v>
      </c>
      <c r="D361" s="182" t="n">
        <v>4742.1315</v>
      </c>
      <c r="E361" s="182" t="n">
        <v>13.1885</v>
      </c>
      <c r="F361" s="182" t="n">
        <v>173.9355</v>
      </c>
      <c r="G361" s="182" t="n">
        <v>120409</v>
      </c>
      <c r="H361" s="182" t="inlineStr"/>
      <c r="I361" s="182" t="inlineStr"/>
    </row>
    <row r="362" ht="15" customHeight="1" s="28">
      <c r="A362" s="181" t="n">
        <v>349</v>
      </c>
      <c r="B362" s="181" t="n">
        <v>348</v>
      </c>
      <c r="C362" s="181" t="n">
        <v>4748.72</v>
      </c>
      <c r="D362" s="181" t="n">
        <v>4741.8776</v>
      </c>
      <c r="E362" s="181" t="n">
        <v>6.8424</v>
      </c>
      <c r="F362" s="181" t="n">
        <v>46.8179</v>
      </c>
      <c r="G362" s="181" t="n">
        <v>121104</v>
      </c>
      <c r="H362" s="181" t="inlineStr"/>
      <c r="I362" s="181" t="inlineStr"/>
    </row>
    <row r="363" ht="15" customHeight="1" s="28">
      <c r="A363" s="182" t="n">
        <v>350</v>
      </c>
      <c r="B363" s="182" t="n">
        <v>349</v>
      </c>
      <c r="C363" s="182" t="n">
        <v>4754.63</v>
      </c>
      <c r="D363" s="182" t="n">
        <v>4741.6237</v>
      </c>
      <c r="E363" s="182" t="n">
        <v>13.0063</v>
      </c>
      <c r="F363" s="182" t="n">
        <v>169.1626</v>
      </c>
      <c r="G363" s="182" t="n">
        <v>121801</v>
      </c>
      <c r="H363" s="182" t="inlineStr"/>
      <c r="I363" s="182" t="inlineStr"/>
    </row>
    <row r="364" ht="15" customHeight="1" s="28">
      <c r="A364" s="181" t="n">
        <v>351</v>
      </c>
      <c r="B364" s="181" t="n">
        <v>350</v>
      </c>
      <c r="C364" s="181" t="n">
        <v>4756.53</v>
      </c>
      <c r="D364" s="181" t="n">
        <v>4741.3699</v>
      </c>
      <c r="E364" s="181" t="n">
        <v>15.1601</v>
      </c>
      <c r="F364" s="181" t="n">
        <v>229.8301</v>
      </c>
      <c r="G364" s="181" t="n">
        <v>122500</v>
      </c>
      <c r="H364" s="181" t="inlineStr"/>
      <c r="I364" s="181" t="inlineStr"/>
    </row>
    <row r="365" ht="15" customHeight="1" s="28">
      <c r="A365" s="182" t="n">
        <v>352</v>
      </c>
      <c r="B365" s="182" t="n">
        <v>351</v>
      </c>
      <c r="C365" s="182" t="n">
        <v>4759.21</v>
      </c>
      <c r="D365" s="182" t="n">
        <v>4741.116</v>
      </c>
      <c r="E365" s="182" t="n">
        <v>18.094</v>
      </c>
      <c r="F365" s="182" t="n">
        <v>327.3944</v>
      </c>
      <c r="G365" s="182" t="n">
        <v>123201</v>
      </c>
      <c r="H365" s="182" t="inlineStr"/>
      <c r="I365" s="182" t="inlineStr"/>
    </row>
    <row r="366" ht="15" customHeight="1" s="28">
      <c r="A366" s="181" t="n">
        <v>353</v>
      </c>
      <c r="B366" s="181" t="n">
        <v>352</v>
      </c>
      <c r="C366" s="181" t="n">
        <v>4757.27</v>
      </c>
      <c r="D366" s="181" t="n">
        <v>4740.8621</v>
      </c>
      <c r="E366" s="181" t="n">
        <v>16.4079</v>
      </c>
      <c r="F366" s="181" t="n">
        <v>269.2205</v>
      </c>
      <c r="G366" s="181" t="n">
        <v>123904</v>
      </c>
      <c r="H366" s="181" t="inlineStr"/>
      <c r="I366" s="181" t="inlineStr"/>
    </row>
    <row r="367" ht="15" customHeight="1" s="28">
      <c r="A367" s="182" t="n">
        <v>354</v>
      </c>
      <c r="B367" s="182" t="n">
        <v>353</v>
      </c>
      <c r="C367" s="182" t="n">
        <v>4757.36</v>
      </c>
      <c r="D367" s="182" t="n">
        <v>4740.6082</v>
      </c>
      <c r="E367" s="182" t="n">
        <v>16.7518</v>
      </c>
      <c r="F367" s="182" t="n">
        <v>280.624</v>
      </c>
      <c r="G367" s="182" t="n">
        <v>124609</v>
      </c>
      <c r="H367" s="182" t="inlineStr"/>
      <c r="I367" s="182" t="inlineStr"/>
    </row>
    <row r="368" ht="15" customHeight="1" s="28">
      <c r="A368" s="181" t="n">
        <v>355</v>
      </c>
      <c r="B368" s="181" t="n">
        <v>354</v>
      </c>
      <c r="C368" s="181" t="n">
        <v>4748.68</v>
      </c>
      <c r="D368" s="181" t="n">
        <v>4740.3543</v>
      </c>
      <c r="E368" s="181" t="n">
        <v>8.325699999999999</v>
      </c>
      <c r="F368" s="181" t="n">
        <v>69.31780000000001</v>
      </c>
      <c r="G368" s="181" t="n">
        <v>125316</v>
      </c>
      <c r="H368" s="181" t="inlineStr"/>
      <c r="I368" s="181" t="inlineStr"/>
    </row>
    <row r="369" ht="15" customHeight="1" s="28">
      <c r="A369" s="182" t="n">
        <v>356</v>
      </c>
      <c r="B369" s="182" t="n">
        <v>355</v>
      </c>
      <c r="C369" s="182" t="n">
        <v>4750.31</v>
      </c>
      <c r="D369" s="182" t="n">
        <v>4740.1004</v>
      </c>
      <c r="E369" s="182" t="n">
        <v>10.2096</v>
      </c>
      <c r="F369" s="182" t="n">
        <v>104.2365</v>
      </c>
      <c r="G369" s="182" t="n">
        <v>126025</v>
      </c>
      <c r="H369" s="182" t="inlineStr"/>
      <c r="I369" s="182" t="inlineStr"/>
    </row>
    <row r="370" ht="15" customHeight="1" s="28">
      <c r="A370" s="181" t="n">
        <v>357</v>
      </c>
      <c r="B370" s="181" t="n">
        <v>356</v>
      </c>
      <c r="C370" s="181" t="n">
        <v>4752.51</v>
      </c>
      <c r="D370" s="181" t="n">
        <v>4739.8465</v>
      </c>
      <c r="E370" s="181" t="n">
        <v>12.6635</v>
      </c>
      <c r="F370" s="181" t="n">
        <v>160.3648</v>
      </c>
      <c r="G370" s="181" t="n">
        <v>126736</v>
      </c>
      <c r="H370" s="181" t="inlineStr"/>
      <c r="I370" s="181" t="inlineStr"/>
    </row>
    <row r="371" ht="15" customHeight="1" s="28">
      <c r="A371" s="182" t="n">
        <v>358</v>
      </c>
      <c r="B371" s="182" t="n">
        <v>357</v>
      </c>
      <c r="C371" s="182" t="n">
        <v>4753.2</v>
      </c>
      <c r="D371" s="182" t="n">
        <v>4739.5926</v>
      </c>
      <c r="E371" s="182" t="n">
        <v>13.6074</v>
      </c>
      <c r="F371" s="182" t="n">
        <v>185.1618</v>
      </c>
      <c r="G371" s="182" t="n">
        <v>127449</v>
      </c>
      <c r="H371" s="182" t="inlineStr"/>
      <c r="I371" s="182" t="inlineStr"/>
    </row>
    <row r="372" ht="15" customHeight="1" s="28">
      <c r="A372" s="181" t="n">
        <v>359</v>
      </c>
      <c r="B372" s="181" t="n">
        <v>358</v>
      </c>
      <c r="C372" s="181" t="n">
        <v>4746.73</v>
      </c>
      <c r="D372" s="181" t="n">
        <v>4739.3387</v>
      </c>
      <c r="E372" s="181" t="n">
        <v>7.3913</v>
      </c>
      <c r="F372" s="181" t="n">
        <v>54.6315</v>
      </c>
      <c r="G372" s="181" t="n">
        <v>128164</v>
      </c>
      <c r="H372" s="181" t="inlineStr"/>
      <c r="I372" s="181" t="inlineStr"/>
    </row>
    <row r="373" ht="15" customHeight="1" s="28">
      <c r="A373" s="182" t="n">
        <v>360</v>
      </c>
      <c r="B373" s="182" t="n">
        <v>359</v>
      </c>
      <c r="C373" s="182" t="n">
        <v>4744.23</v>
      </c>
      <c r="D373" s="182" t="n">
        <v>4739.0848</v>
      </c>
      <c r="E373" s="182" t="n">
        <v>5.1452</v>
      </c>
      <c r="F373" s="182" t="n">
        <v>26.4732</v>
      </c>
      <c r="G373" s="182" t="n">
        <v>128881</v>
      </c>
      <c r="H373" s="182" t="inlineStr"/>
      <c r="I373" s="182" t="inlineStr"/>
    </row>
    <row r="374" ht="15" customHeight="1" s="28">
      <c r="A374" s="181" t="n">
        <v>361</v>
      </c>
      <c r="B374" s="181" t="n">
        <v>360</v>
      </c>
      <c r="C374" s="181" t="n">
        <v>4742.39</v>
      </c>
      <c r="D374" s="181" t="n">
        <v>4738.8309</v>
      </c>
      <c r="E374" s="181" t="n">
        <v>3.5591</v>
      </c>
      <c r="F374" s="181" t="n">
        <v>12.6672</v>
      </c>
      <c r="G374" s="181" t="n">
        <v>129600</v>
      </c>
      <c r="H374" s="181" t="inlineStr"/>
      <c r="I374" s="181" t="inlineStr"/>
    </row>
    <row r="375" ht="15" customHeight="1" s="28">
      <c r="A375" s="182" t="n">
        <v>362</v>
      </c>
      <c r="B375" s="182" t="n">
        <v>361</v>
      </c>
      <c r="C375" s="182" t="n">
        <v>4750.2</v>
      </c>
      <c r="D375" s="182" t="n">
        <v>4738.577</v>
      </c>
      <c r="E375" s="182" t="n">
        <v>11.623</v>
      </c>
      <c r="F375" s="182" t="n">
        <v>135.0941</v>
      </c>
      <c r="G375" s="182" t="n">
        <v>130321</v>
      </c>
      <c r="H375" s="182" t="inlineStr"/>
      <c r="I375" s="182" t="inlineStr"/>
    </row>
    <row r="376" ht="15" customHeight="1" s="28">
      <c r="A376" s="181" t="n">
        <v>363</v>
      </c>
      <c r="B376" s="181" t="n">
        <v>362</v>
      </c>
      <c r="C376" s="181" t="n">
        <v>4755.33</v>
      </c>
      <c r="D376" s="181" t="n">
        <v>4738.3231</v>
      </c>
      <c r="E376" s="181" t="n">
        <v>17.0069</v>
      </c>
      <c r="F376" s="181" t="n">
        <v>289.2345</v>
      </c>
      <c r="G376" s="181" t="n">
        <v>131044</v>
      </c>
      <c r="H376" s="181" t="inlineStr"/>
      <c r="I376" s="181" t="inlineStr"/>
    </row>
    <row r="377" ht="15" customHeight="1" s="28">
      <c r="A377" s="182" t="n">
        <v>364</v>
      </c>
      <c r="B377" s="182" t="n">
        <v>363</v>
      </c>
      <c r="C377" s="182" t="n">
        <v>4752.94</v>
      </c>
      <c r="D377" s="182" t="n">
        <v>4738.0692</v>
      </c>
      <c r="E377" s="182" t="n">
        <v>14.8708</v>
      </c>
      <c r="F377" s="182" t="n">
        <v>221.1404</v>
      </c>
      <c r="G377" s="182" t="n">
        <v>131769</v>
      </c>
      <c r="H377" s="182" t="inlineStr"/>
      <c r="I377" s="182" t="inlineStr"/>
    </row>
    <row r="378" ht="15" customHeight="1" s="28">
      <c r="A378" s="181" t="n">
        <v>365</v>
      </c>
      <c r="B378" s="181" t="n">
        <v>364</v>
      </c>
      <c r="C378" s="181" t="n">
        <v>4745.59</v>
      </c>
      <c r="D378" s="181" t="n">
        <v>4737.8153</v>
      </c>
      <c r="E378" s="181" t="n">
        <v>7.7747</v>
      </c>
      <c r="F378" s="181" t="n">
        <v>60.4457</v>
      </c>
      <c r="G378" s="181" t="n">
        <v>132496</v>
      </c>
      <c r="H378" s="181" t="inlineStr"/>
      <c r="I378" s="181" t="inlineStr"/>
    </row>
    <row r="379" ht="15" customHeight="1" s="28">
      <c r="A379" s="182" t="n">
        <v>366</v>
      </c>
      <c r="B379" s="182" t="n">
        <v>365</v>
      </c>
      <c r="C379" s="182" t="n">
        <v>4743.96</v>
      </c>
      <c r="D379" s="182" t="n">
        <v>4737.5614</v>
      </c>
      <c r="E379" s="182" t="n">
        <v>6.3986</v>
      </c>
      <c r="F379" s="182" t="n">
        <v>40.9418</v>
      </c>
      <c r="G379" s="182" t="n">
        <v>133225</v>
      </c>
      <c r="H379" s="182" t="inlineStr"/>
      <c r="I379" s="182" t="inlineStr"/>
    </row>
    <row r="380" ht="15" customHeight="1" s="28">
      <c r="A380" s="181" t="n">
        <v>367</v>
      </c>
      <c r="B380" s="181" t="n">
        <v>366</v>
      </c>
      <c r="C380" s="181" t="n">
        <v>4733.08</v>
      </c>
      <c r="D380" s="181" t="n">
        <v>4737.3075</v>
      </c>
      <c r="E380" s="181" t="n">
        <v>-4.2275</v>
      </c>
      <c r="F380" s="181" t="n">
        <v>17.872</v>
      </c>
      <c r="G380" s="181" t="n">
        <v>133956</v>
      </c>
      <c r="H380" s="181" t="inlineStr"/>
      <c r="I380" s="181" t="inlineStr"/>
    </row>
    <row r="381" ht="15" customHeight="1" s="28">
      <c r="A381" s="182" t="n">
        <v>368</v>
      </c>
      <c r="B381" s="182" t="n">
        <v>367</v>
      </c>
      <c r="C381" s="182" t="n">
        <v>4736.03</v>
      </c>
      <c r="D381" s="182" t="n">
        <v>4737.0536</v>
      </c>
      <c r="E381" s="182" t="n">
        <v>-1.0236</v>
      </c>
      <c r="F381" s="182" t="n">
        <v>1.0478</v>
      </c>
      <c r="G381" s="182" t="n">
        <v>134689</v>
      </c>
      <c r="H381" s="182" t="inlineStr"/>
      <c r="I381" s="182" t="inlineStr"/>
    </row>
    <row r="382" ht="15" customHeight="1" s="28">
      <c r="A382" s="181" t="n">
        <v>369</v>
      </c>
      <c r="B382" s="181" t="n">
        <v>368</v>
      </c>
      <c r="C382" s="181" t="n">
        <v>4737.74</v>
      </c>
      <c r="D382" s="181" t="n">
        <v>4736.7997</v>
      </c>
      <c r="E382" s="181" t="n">
        <v>0.9403</v>
      </c>
      <c r="F382" s="181" t="n">
        <v>0.8841</v>
      </c>
      <c r="G382" s="181" t="n">
        <v>135424</v>
      </c>
      <c r="H382" s="181" t="inlineStr"/>
      <c r="I382" s="181" t="inlineStr"/>
    </row>
    <row r="383" ht="15" customHeight="1" s="28">
      <c r="A383" s="182" t="n">
        <v>370</v>
      </c>
      <c r="B383" s="182" t="n">
        <v>369</v>
      </c>
      <c r="C383" s="182" t="n">
        <v>4735.09</v>
      </c>
      <c r="D383" s="182" t="n">
        <v>4736.5458</v>
      </c>
      <c r="E383" s="182" t="n">
        <v>-1.4558</v>
      </c>
      <c r="F383" s="182" t="n">
        <v>2.1195</v>
      </c>
      <c r="G383" s="182" t="n">
        <v>136161</v>
      </c>
      <c r="H383" s="182" t="inlineStr"/>
      <c r="I383" s="182" t="inlineStr"/>
    </row>
    <row r="384" ht="15" customHeight="1" s="28">
      <c r="A384" s="181" t="n">
        <v>371</v>
      </c>
      <c r="B384" s="181" t="n">
        <v>370</v>
      </c>
      <c r="C384" s="181" t="n">
        <v>4727.2</v>
      </c>
      <c r="D384" s="181" t="n">
        <v>4736.2919</v>
      </c>
      <c r="E384" s="181" t="n">
        <v>-9.091900000000001</v>
      </c>
      <c r="F384" s="181" t="n">
        <v>82.6634</v>
      </c>
      <c r="G384" s="181" t="n">
        <v>136900</v>
      </c>
      <c r="H384" s="181" t="inlineStr"/>
      <c r="I384" s="181" t="inlineStr"/>
    </row>
    <row r="385" ht="15" customHeight="1" s="28">
      <c r="A385" s="182" t="n">
        <v>372</v>
      </c>
      <c r="B385" s="182" t="n">
        <v>371</v>
      </c>
      <c r="C385" s="182" t="n">
        <v>4727.69</v>
      </c>
      <c r="D385" s="182" t="n">
        <v>4736.038</v>
      </c>
      <c r="E385" s="182" t="n">
        <v>-8.348000000000001</v>
      </c>
      <c r="F385" s="182" t="n">
        <v>69.68989999999999</v>
      </c>
      <c r="G385" s="182" t="n">
        <v>137641</v>
      </c>
      <c r="H385" s="182" t="inlineStr"/>
      <c r="I385" s="182" t="inlineStr"/>
    </row>
    <row r="386" ht="15" customHeight="1" s="28">
      <c r="A386" s="181" t="n">
        <v>373</v>
      </c>
      <c r="B386" s="181" t="n">
        <v>372</v>
      </c>
      <c r="C386" s="181" t="n">
        <v>4730.22</v>
      </c>
      <c r="D386" s="181" t="n">
        <v>4735.7842</v>
      </c>
      <c r="E386" s="181" t="n">
        <v>-5.5642</v>
      </c>
      <c r="F386" s="181" t="n">
        <v>30.9598</v>
      </c>
      <c r="G386" s="181" t="n">
        <v>138384</v>
      </c>
      <c r="H386" s="181" t="inlineStr"/>
      <c r="I386" s="181" t="inlineStr"/>
    </row>
    <row r="387" ht="15" customHeight="1" s="28">
      <c r="A387" s="182" t="n">
        <v>374</v>
      </c>
      <c r="B387" s="182" t="n">
        <v>373</v>
      </c>
      <c r="C387" s="182" t="n">
        <v>4727.08</v>
      </c>
      <c r="D387" s="182" t="n">
        <v>4735.5303</v>
      </c>
      <c r="E387" s="182" t="n">
        <v>-8.4503</v>
      </c>
      <c r="F387" s="182" t="n">
        <v>71.4068</v>
      </c>
      <c r="G387" s="182" t="n">
        <v>139129</v>
      </c>
      <c r="H387" s="182" t="inlineStr"/>
      <c r="I387" s="182" t="inlineStr"/>
    </row>
    <row r="388" ht="15" customHeight="1" s="28">
      <c r="A388" s="181" t="n">
        <v>375</v>
      </c>
      <c r="B388" s="181" t="n">
        <v>374</v>
      </c>
      <c r="C388" s="181" t="n">
        <v>4728.3</v>
      </c>
      <c r="D388" s="181" t="n">
        <v>4735.2764</v>
      </c>
      <c r="E388" s="181" t="n">
        <v>-6.9764</v>
      </c>
      <c r="F388" s="181" t="n">
        <v>48.6696</v>
      </c>
      <c r="G388" s="181" t="n">
        <v>139876</v>
      </c>
      <c r="H388" s="181" t="inlineStr"/>
      <c r="I388" s="181" t="inlineStr"/>
    </row>
    <row r="389" ht="15" customHeight="1" s="28">
      <c r="A389" s="182" t="n">
        <v>376</v>
      </c>
      <c r="B389" s="182" t="n">
        <v>375</v>
      </c>
      <c r="C389" s="182" t="n">
        <v>4728.79</v>
      </c>
      <c r="D389" s="182" t="n">
        <v>4735.0225</v>
      </c>
      <c r="E389" s="182" t="n">
        <v>-6.2325</v>
      </c>
      <c r="F389" s="182" t="n">
        <v>38.8436</v>
      </c>
      <c r="G389" s="182" t="n">
        <v>140625</v>
      </c>
      <c r="H389" s="182" t="inlineStr"/>
      <c r="I389" s="182" t="inlineStr"/>
    </row>
    <row r="390" ht="15" customHeight="1" s="28">
      <c r="A390" s="181" t="n">
        <v>377</v>
      </c>
      <c r="B390" s="181" t="n">
        <v>376</v>
      </c>
      <c r="C390" s="181" t="n">
        <v>4735.49</v>
      </c>
      <c r="D390" s="181" t="n">
        <v>4734.7686</v>
      </c>
      <c r="E390" s="181" t="n">
        <v>0.7214</v>
      </c>
      <c r="F390" s="181" t="n">
        <v>0.5205</v>
      </c>
      <c r="G390" s="181" t="n">
        <v>141376</v>
      </c>
      <c r="H390" s="181" t="inlineStr"/>
      <c r="I390" s="181" t="inlineStr"/>
    </row>
    <row r="391" ht="15" customHeight="1" s="28">
      <c r="A391" s="182" t="n">
        <v>378</v>
      </c>
      <c r="B391" s="182" t="n">
        <v>377</v>
      </c>
      <c r="C391" s="182" t="n">
        <v>4735.05</v>
      </c>
      <c r="D391" s="182" t="n">
        <v>4734.5147</v>
      </c>
      <c r="E391" s="182" t="n">
        <v>0.5353</v>
      </c>
      <c r="F391" s="182" t="n">
        <v>0.2866</v>
      </c>
      <c r="G391" s="182" t="n">
        <v>142129</v>
      </c>
      <c r="H391" s="182" t="inlineStr"/>
      <c r="I391" s="182" t="inlineStr"/>
    </row>
    <row r="392" ht="15" customHeight="1" s="28">
      <c r="A392" s="181" t="n">
        <v>379</v>
      </c>
      <c r="B392" s="181" t="n">
        <v>378</v>
      </c>
      <c r="C392" s="181" t="n">
        <v>4736.17</v>
      </c>
      <c r="D392" s="181" t="n">
        <v>4734.2608</v>
      </c>
      <c r="E392" s="181" t="n">
        <v>1.9092</v>
      </c>
      <c r="F392" s="181" t="n">
        <v>3.6451</v>
      </c>
      <c r="G392" s="181" t="n">
        <v>142884</v>
      </c>
      <c r="H392" s="181" t="inlineStr"/>
      <c r="I392" s="181" t="inlineStr"/>
    </row>
    <row r="393" ht="15" customHeight="1" s="28">
      <c r="A393" s="182" t="n">
        <v>380</v>
      </c>
      <c r="B393" s="182" t="n">
        <v>379</v>
      </c>
      <c r="C393" s="182" t="n">
        <v>4737.15</v>
      </c>
      <c r="D393" s="182" t="n">
        <v>4734.0069</v>
      </c>
      <c r="E393" s="182" t="n">
        <v>3.1431</v>
      </c>
      <c r="F393" s="182" t="n">
        <v>9.879200000000001</v>
      </c>
      <c r="G393" s="182" t="n">
        <v>143641</v>
      </c>
      <c r="H393" s="182" t="inlineStr"/>
      <c r="I393" s="182" t="inlineStr"/>
    </row>
    <row r="394" ht="15" customHeight="1" s="28">
      <c r="A394" s="181" t="n">
        <v>381</v>
      </c>
      <c r="B394" s="181" t="n">
        <v>380</v>
      </c>
      <c r="C394" s="181" t="n">
        <v>4735.94</v>
      </c>
      <c r="D394" s="181" t="n">
        <v>4733.753</v>
      </c>
      <c r="E394" s="181" t="n">
        <v>2.187</v>
      </c>
      <c r="F394" s="181" t="n">
        <v>4.783</v>
      </c>
      <c r="G394" s="181" t="n">
        <v>144400</v>
      </c>
      <c r="H394" s="181" t="inlineStr"/>
      <c r="I394" s="181" t="inlineStr"/>
    </row>
    <row r="395" ht="15" customHeight="1" s="28">
      <c r="A395" s="182" t="n">
        <v>382</v>
      </c>
      <c r="B395" s="182" t="n">
        <v>381</v>
      </c>
      <c r="C395" s="182" t="n">
        <v>4730.43</v>
      </c>
      <c r="D395" s="182" t="n">
        <v>4733.4991</v>
      </c>
      <c r="E395" s="182" t="n">
        <v>-3.0691</v>
      </c>
      <c r="F395" s="182" t="n">
        <v>9.4193</v>
      </c>
      <c r="G395" s="182" t="n">
        <v>145161</v>
      </c>
      <c r="H395" s="182" t="inlineStr"/>
      <c r="I395" s="182" t="inlineStr"/>
    </row>
    <row r="396" ht="15" customHeight="1" s="28">
      <c r="A396" s="181" t="n">
        <v>383</v>
      </c>
      <c r="B396" s="181" t="n">
        <v>382</v>
      </c>
      <c r="C396" s="181" t="n">
        <v>4739.45</v>
      </c>
      <c r="D396" s="181" t="n">
        <v>4733.2452</v>
      </c>
      <c r="E396" s="181" t="n">
        <v>6.2048</v>
      </c>
      <c r="F396" s="181" t="n">
        <v>38.4996</v>
      </c>
      <c r="G396" s="181" t="n">
        <v>145924</v>
      </c>
      <c r="H396" s="181" t="inlineStr"/>
      <c r="I396" s="181" t="inlineStr"/>
    </row>
    <row r="397" ht="15" customHeight="1" s="28">
      <c r="A397" s="182" t="n">
        <v>384</v>
      </c>
      <c r="B397" s="182" t="n">
        <v>383</v>
      </c>
      <c r="C397" s="182" t="n">
        <v>4741.69</v>
      </c>
      <c r="D397" s="182" t="n">
        <v>4732.9913</v>
      </c>
      <c r="E397" s="182" t="n">
        <v>8.698700000000001</v>
      </c>
      <c r="F397" s="182" t="n">
        <v>75.6674</v>
      </c>
      <c r="G397" s="182" t="n">
        <v>146689</v>
      </c>
      <c r="H397" s="182" t="inlineStr"/>
      <c r="I397" s="182" t="inlineStr"/>
    </row>
    <row r="398" ht="15" customHeight="1" s="28">
      <c r="A398" s="181" t="n">
        <v>385</v>
      </c>
      <c r="B398" s="181" t="n">
        <v>384</v>
      </c>
      <c r="C398" s="181" t="n">
        <v>4738.64</v>
      </c>
      <c r="D398" s="181" t="n">
        <v>4732.7374</v>
      </c>
      <c r="E398" s="181" t="n">
        <v>5.9026</v>
      </c>
      <c r="F398" s="181" t="n">
        <v>34.8406</v>
      </c>
      <c r="G398" s="181" t="n">
        <v>147456</v>
      </c>
      <c r="H398" s="181" t="inlineStr"/>
      <c r="I398" s="181" t="inlineStr"/>
    </row>
    <row r="399" ht="15" customHeight="1" s="28">
      <c r="A399" s="182" t="n">
        <v>386</v>
      </c>
      <c r="B399" s="182" t="n">
        <v>385</v>
      </c>
      <c r="C399" s="182" t="n">
        <v>4744.32</v>
      </c>
      <c r="D399" s="182" t="n">
        <v>4732.4835</v>
      </c>
      <c r="E399" s="182" t="n">
        <v>11.8365</v>
      </c>
      <c r="F399" s="182" t="n">
        <v>140.1025</v>
      </c>
      <c r="G399" s="182" t="n">
        <v>148225</v>
      </c>
      <c r="H399" s="182" t="inlineStr"/>
      <c r="I399" s="182" t="inlineStr"/>
    </row>
    <row r="400" ht="15" customHeight="1" s="28">
      <c r="A400" s="181" t="n">
        <v>387</v>
      </c>
      <c r="B400" s="181" t="n">
        <v>386</v>
      </c>
      <c r="C400" s="181" t="n">
        <v>4739.38</v>
      </c>
      <c r="D400" s="181" t="n">
        <v>4732.2296</v>
      </c>
      <c r="E400" s="181" t="n">
        <v>7.1504</v>
      </c>
      <c r="F400" s="181" t="n">
        <v>51.128</v>
      </c>
      <c r="G400" s="181" t="n">
        <v>148996</v>
      </c>
      <c r="H400" s="181" t="inlineStr"/>
      <c r="I400" s="181" t="inlineStr"/>
    </row>
    <row r="401" ht="15" customHeight="1" s="28">
      <c r="A401" s="182" t="n">
        <v>388</v>
      </c>
      <c r="B401" s="182" t="n">
        <v>387</v>
      </c>
      <c r="C401" s="182" t="n">
        <v>4740.36</v>
      </c>
      <c r="D401" s="182" t="n">
        <v>4731.9757</v>
      </c>
      <c r="E401" s="182" t="n">
        <v>8.3843</v>
      </c>
      <c r="F401" s="182" t="n">
        <v>70.2962</v>
      </c>
      <c r="G401" s="182" t="n">
        <v>149769</v>
      </c>
      <c r="H401" s="182" t="inlineStr"/>
      <c r="I401" s="182" t="inlineStr"/>
    </row>
    <row r="402" ht="15" customHeight="1" s="28">
      <c r="A402" s="181" t="n">
        <v>389</v>
      </c>
      <c r="B402" s="181" t="n">
        <v>388</v>
      </c>
      <c r="C402" s="181" t="n">
        <v>4736.16</v>
      </c>
      <c r="D402" s="181" t="n">
        <v>4731.7218</v>
      </c>
      <c r="E402" s="181" t="n">
        <v>4.4382</v>
      </c>
      <c r="F402" s="181" t="n">
        <v>19.6974</v>
      </c>
      <c r="G402" s="181" t="n">
        <v>150544</v>
      </c>
      <c r="H402" s="181" t="inlineStr"/>
      <c r="I402" s="181" t="inlineStr"/>
    </row>
    <row r="403" ht="15" customHeight="1" s="28">
      <c r="A403" s="182" t="n">
        <v>390</v>
      </c>
      <c r="B403" s="182" t="n">
        <v>389</v>
      </c>
      <c r="C403" s="182" t="n">
        <v>4736.99</v>
      </c>
      <c r="D403" s="182" t="n">
        <v>4731.4679</v>
      </c>
      <c r="E403" s="182" t="n">
        <v>5.5221</v>
      </c>
      <c r="F403" s="182" t="n">
        <v>30.4933</v>
      </c>
      <c r="G403" s="182" t="n">
        <v>151321</v>
      </c>
      <c r="H403" s="182" t="inlineStr"/>
      <c r="I403" s="182" t="inlineStr"/>
    </row>
    <row r="404" ht="15" customHeight="1" s="28">
      <c r="A404" s="181" t="n">
        <v>391</v>
      </c>
      <c r="B404" s="181" t="n">
        <v>390</v>
      </c>
      <c r="C404" s="181" t="n">
        <v>4737.48</v>
      </c>
      <c r="D404" s="181" t="n">
        <v>4731.214</v>
      </c>
      <c r="E404" s="181" t="n">
        <v>6.266</v>
      </c>
      <c r="F404" s="181" t="n">
        <v>39.2624</v>
      </c>
      <c r="G404" s="181" t="n">
        <v>152100</v>
      </c>
      <c r="H404" s="181" t="inlineStr"/>
      <c r="I404" s="181" t="inlineStr"/>
    </row>
    <row r="405" ht="15" customHeight="1" s="28">
      <c r="A405" s="182" t="n">
        <v>392</v>
      </c>
      <c r="B405" s="182" t="n">
        <v>391</v>
      </c>
      <c r="C405" s="182" t="n">
        <v>4740.38</v>
      </c>
      <c r="D405" s="182" t="n">
        <v>4730.9601</v>
      </c>
      <c r="E405" s="182" t="n">
        <v>9.4199</v>
      </c>
      <c r="F405" s="182" t="n">
        <v>88.7338</v>
      </c>
      <c r="G405" s="182" t="n">
        <v>152881</v>
      </c>
      <c r="H405" s="182" t="inlineStr"/>
      <c r="I405" s="182" t="inlineStr"/>
    </row>
    <row r="406" ht="15" customHeight="1" s="28">
      <c r="A406" s="181" t="n">
        <v>393</v>
      </c>
      <c r="B406" s="181" t="n">
        <v>392</v>
      </c>
      <c r="C406" s="181" t="n">
        <v>4736.69</v>
      </c>
      <c r="D406" s="181" t="n">
        <v>4730.7062</v>
      </c>
      <c r="E406" s="181" t="n">
        <v>5.9838</v>
      </c>
      <c r="F406" s="181" t="n">
        <v>35.8054</v>
      </c>
      <c r="G406" s="181" t="n">
        <v>153664</v>
      </c>
      <c r="H406" s="181" t="inlineStr"/>
      <c r="I406" s="181" t="inlineStr"/>
    </row>
    <row r="407" ht="15" customHeight="1" s="28">
      <c r="A407" s="182" t="n">
        <v>394</v>
      </c>
      <c r="B407" s="182" t="n">
        <v>393</v>
      </c>
      <c r="C407" s="182" t="n">
        <v>4732.96</v>
      </c>
      <c r="D407" s="182" t="n">
        <v>4730.4523</v>
      </c>
      <c r="E407" s="182" t="n">
        <v>2.5077</v>
      </c>
      <c r="F407" s="182" t="n">
        <v>6.2883</v>
      </c>
      <c r="G407" s="182" t="n">
        <v>154449</v>
      </c>
      <c r="H407" s="182" t="inlineStr"/>
      <c r="I407" s="182" t="inlineStr"/>
    </row>
    <row r="408" ht="15" customHeight="1" s="28">
      <c r="A408" s="181" t="n">
        <v>395</v>
      </c>
      <c r="B408" s="181" t="n">
        <v>394</v>
      </c>
      <c r="C408" s="181" t="n">
        <v>4729.94</v>
      </c>
      <c r="D408" s="181" t="n">
        <v>4730.1984</v>
      </c>
      <c r="E408" s="181" t="n">
        <v>-0.2584</v>
      </c>
      <c r="F408" s="181" t="n">
        <v>0.0668</v>
      </c>
      <c r="G408" s="181" t="n">
        <v>155236</v>
      </c>
      <c r="H408" s="181" t="inlineStr"/>
      <c r="I408" s="181" t="inlineStr"/>
    </row>
    <row r="409" ht="15" customHeight="1" s="28">
      <c r="A409" s="182" t="n">
        <v>396</v>
      </c>
      <c r="B409" s="182" t="n">
        <v>395</v>
      </c>
      <c r="C409" s="182" t="n">
        <v>4725.92</v>
      </c>
      <c r="D409" s="182" t="n">
        <v>4729.9446</v>
      </c>
      <c r="E409" s="182" t="n">
        <v>-4.0246</v>
      </c>
      <c r="F409" s="182" t="n">
        <v>16.197</v>
      </c>
      <c r="G409" s="182" t="n">
        <v>156025</v>
      </c>
      <c r="H409" s="182" t="inlineStr"/>
      <c r="I409" s="182" t="inlineStr"/>
    </row>
    <row r="410" ht="15" customHeight="1" s="28">
      <c r="A410" s="181" t="n">
        <v>397</v>
      </c>
      <c r="B410" s="181" t="n">
        <v>396</v>
      </c>
      <c r="C410" s="181" t="n">
        <v>4725.95</v>
      </c>
      <c r="D410" s="181" t="n">
        <v>4729.6907</v>
      </c>
      <c r="E410" s="181" t="n">
        <v>-3.7407</v>
      </c>
      <c r="F410" s="181" t="n">
        <v>13.9925</v>
      </c>
      <c r="G410" s="181" t="n">
        <v>156816</v>
      </c>
      <c r="H410" s="181" t="inlineStr"/>
      <c r="I410" s="181" t="inlineStr"/>
    </row>
    <row r="411" ht="15" customHeight="1" s="28">
      <c r="A411" s="182" t="n">
        <v>398</v>
      </c>
      <c r="B411" s="182" t="n">
        <v>397</v>
      </c>
      <c r="C411" s="182" t="n">
        <v>4728.14</v>
      </c>
      <c r="D411" s="182" t="n">
        <v>4729.4368</v>
      </c>
      <c r="E411" s="182" t="n">
        <v>-1.2968</v>
      </c>
      <c r="F411" s="182" t="n">
        <v>1.6816</v>
      </c>
      <c r="G411" s="182" t="n">
        <v>157609</v>
      </c>
      <c r="H411" s="182" t="inlineStr"/>
      <c r="I411" s="182" t="inlineStr"/>
    </row>
    <row r="412" ht="15" customHeight="1" s="28">
      <c r="A412" s="181" t="n">
        <v>399</v>
      </c>
      <c r="B412" s="181" t="n">
        <v>398</v>
      </c>
      <c r="C412" s="181" t="n">
        <v>4724.57</v>
      </c>
      <c r="D412" s="181" t="n">
        <v>4729.1829</v>
      </c>
      <c r="E412" s="181" t="n">
        <v>-4.6129</v>
      </c>
      <c r="F412" s="181" t="n">
        <v>21.2785</v>
      </c>
      <c r="G412" s="181" t="n">
        <v>158404</v>
      </c>
      <c r="H412" s="181" t="inlineStr"/>
      <c r="I412" s="181" t="inlineStr"/>
    </row>
    <row r="413" ht="15" customHeight="1" s="28">
      <c r="A413" s="182" t="n">
        <v>400</v>
      </c>
      <c r="B413" s="182" t="n">
        <v>399</v>
      </c>
      <c r="C413" s="182" t="n">
        <v>4727.72</v>
      </c>
      <c r="D413" s="182" t="n">
        <v>4728.929</v>
      </c>
      <c r="E413" s="182" t="n">
        <v>-1.209</v>
      </c>
      <c r="F413" s="182" t="n">
        <v>1.4616</v>
      </c>
      <c r="G413" s="182" t="n">
        <v>159201</v>
      </c>
      <c r="H413" s="182" t="inlineStr"/>
      <c r="I413" s="182" t="inlineStr"/>
    </row>
    <row r="414" ht="15" customHeight="1" s="28">
      <c r="A414" s="181" t="n">
        <v>401</v>
      </c>
      <c r="B414" s="181" t="n">
        <v>400</v>
      </c>
      <c r="C414" s="181" t="n">
        <v>4699.48</v>
      </c>
      <c r="D414" s="181" t="n">
        <v>4728.6751</v>
      </c>
      <c r="E414" s="181" t="n">
        <v>-29.1951</v>
      </c>
      <c r="F414" s="181" t="n">
        <v>852.3525</v>
      </c>
      <c r="G414" s="181" t="n">
        <v>160000</v>
      </c>
      <c r="H414" s="181" t="inlineStr"/>
      <c r="I414" s="181" t="inlineStr"/>
    </row>
    <row r="415" ht="15" customHeight="1" s="28">
      <c r="A415" s="182" t="n">
        <v>402</v>
      </c>
      <c r="B415" s="182" t="n">
        <v>401</v>
      </c>
      <c r="C415" s="182" t="n">
        <v>4741.59</v>
      </c>
      <c r="D415" s="182" t="n">
        <v>4728.4212</v>
      </c>
      <c r="E415" s="182" t="n">
        <v>13.1688</v>
      </c>
      <c r="F415" s="182" t="n">
        <v>173.4178</v>
      </c>
      <c r="G415" s="182" t="n">
        <v>160801</v>
      </c>
      <c r="H415" s="182" t="inlineStr"/>
      <c r="I415" s="182" t="inlineStr"/>
    </row>
    <row r="416" ht="15" customHeight="1" s="28">
      <c r="A416" s="181" t="n">
        <v>403</v>
      </c>
      <c r="B416" s="181" t="n">
        <v>402</v>
      </c>
      <c r="C416" s="181" t="n">
        <v>4744.84</v>
      </c>
      <c r="D416" s="181" t="n">
        <v>4728.1673</v>
      </c>
      <c r="E416" s="181" t="n">
        <v>16.6727</v>
      </c>
      <c r="F416" s="181" t="n">
        <v>277.9794</v>
      </c>
      <c r="G416" s="181" t="n">
        <v>161604</v>
      </c>
      <c r="H416" s="181" t="inlineStr"/>
      <c r="I416" s="181" t="inlineStr"/>
    </row>
    <row r="417" ht="15" customHeight="1" s="28">
      <c r="A417" s="182" t="n">
        <v>404</v>
      </c>
      <c r="B417" s="182" t="n">
        <v>403</v>
      </c>
      <c r="C417" s="182" t="n">
        <v>4748.05</v>
      </c>
      <c r="D417" s="182" t="n">
        <v>4727.9134</v>
      </c>
      <c r="E417" s="182" t="n">
        <v>20.1366</v>
      </c>
      <c r="F417" s="182" t="n">
        <v>405.4831</v>
      </c>
      <c r="G417" s="182" t="n">
        <v>162409</v>
      </c>
      <c r="H417" s="182" t="inlineStr"/>
      <c r="I417" s="182" t="inlineStr"/>
    </row>
    <row r="418" ht="15" customHeight="1" s="28">
      <c r="A418" s="181" t="n">
        <v>405</v>
      </c>
      <c r="B418" s="181" t="n">
        <v>404</v>
      </c>
      <c r="C418" s="181" t="n">
        <v>4737</v>
      </c>
      <c r="D418" s="181" t="n">
        <v>4727.6595</v>
      </c>
      <c r="E418" s="181" t="n">
        <v>9.3405</v>
      </c>
      <c r="F418" s="181" t="n">
        <v>87.245</v>
      </c>
      <c r="G418" s="181" t="n">
        <v>163216</v>
      </c>
      <c r="H418" s="181" t="inlineStr"/>
      <c r="I418" s="181" t="inlineStr"/>
    </row>
    <row r="419" ht="15" customHeight="1" s="28">
      <c r="A419" s="182" t="n">
        <v>406</v>
      </c>
      <c r="B419" s="182" t="n">
        <v>405</v>
      </c>
      <c r="C419" s="182" t="n">
        <v>4728.26</v>
      </c>
      <c r="D419" s="182" t="n">
        <v>4727.4056</v>
      </c>
      <c r="E419" s="182" t="n">
        <v>0.8544</v>
      </c>
      <c r="F419" s="182" t="n">
        <v>0.73</v>
      </c>
      <c r="G419" s="182" t="n">
        <v>164025</v>
      </c>
      <c r="H419" s="182" t="inlineStr"/>
      <c r="I419" s="182" t="inlineStr"/>
    </row>
    <row r="420" ht="15" customHeight="1" s="28">
      <c r="A420" s="181" t="n">
        <v>407</v>
      </c>
      <c r="B420" s="181" t="n">
        <v>406</v>
      </c>
      <c r="C420" s="181" t="n">
        <v>4733.91</v>
      </c>
      <c r="D420" s="181" t="n">
        <v>4727.1517</v>
      </c>
      <c r="E420" s="181" t="n">
        <v>6.7583</v>
      </c>
      <c r="F420" s="181" t="n">
        <v>45.6746</v>
      </c>
      <c r="G420" s="181" t="n">
        <v>164836</v>
      </c>
      <c r="H420" s="181" t="inlineStr"/>
      <c r="I420" s="181" t="inlineStr"/>
    </row>
    <row r="421" ht="15" customHeight="1" s="28">
      <c r="A421" s="182" t="n">
        <v>408</v>
      </c>
      <c r="B421" s="182" t="n">
        <v>407</v>
      </c>
      <c r="C421" s="182" t="n">
        <v>4723.33</v>
      </c>
      <c r="D421" s="182" t="n">
        <v>4726.8978</v>
      </c>
      <c r="E421" s="182" t="n">
        <v>-3.5678</v>
      </c>
      <c r="F421" s="182" t="n">
        <v>12.7293</v>
      </c>
      <c r="G421" s="182" t="n">
        <v>165649</v>
      </c>
      <c r="H421" s="182" t="inlineStr"/>
      <c r="I421" s="182" t="inlineStr"/>
    </row>
    <row r="422" ht="15" customHeight="1" s="28">
      <c r="A422" s="181" t="n">
        <v>409</v>
      </c>
      <c r="B422" s="181" t="n">
        <v>408</v>
      </c>
      <c r="C422" s="181" t="n">
        <v>4707.19</v>
      </c>
      <c r="D422" s="181" t="n">
        <v>4726.6439</v>
      </c>
      <c r="E422" s="181" t="n">
        <v>-19.4539</v>
      </c>
      <c r="F422" s="181" t="n">
        <v>378.4547</v>
      </c>
      <c r="G422" s="181" t="n">
        <v>166464</v>
      </c>
      <c r="H422" s="181" t="inlineStr"/>
      <c r="I422" s="181" t="inlineStr"/>
    </row>
    <row r="423" ht="15" customHeight="1" s="28">
      <c r="A423" s="182" t="n">
        <v>410</v>
      </c>
      <c r="B423" s="182" t="n">
        <v>409</v>
      </c>
      <c r="C423" s="182" t="n">
        <v>4714.1</v>
      </c>
      <c r="D423" s="182" t="n">
        <v>4726.39</v>
      </c>
      <c r="E423" s="182" t="n">
        <v>-12.29</v>
      </c>
      <c r="F423" s="182" t="n">
        <v>151.0445</v>
      </c>
      <c r="G423" s="182" t="n">
        <v>167281</v>
      </c>
      <c r="H423" s="182" t="inlineStr"/>
      <c r="I423" s="182" t="inlineStr"/>
    </row>
    <row r="424" ht="15" customHeight="1" s="28">
      <c r="A424" s="181" t="n">
        <v>411</v>
      </c>
      <c r="B424" s="181" t="n">
        <v>410</v>
      </c>
      <c r="C424" s="181" t="n">
        <v>4701.42</v>
      </c>
      <c r="D424" s="181" t="n">
        <v>4726.1361</v>
      </c>
      <c r="E424" s="181" t="n">
        <v>-24.7161</v>
      </c>
      <c r="F424" s="181" t="n">
        <v>610.8867</v>
      </c>
      <c r="G424" s="181" t="n">
        <v>168100</v>
      </c>
      <c r="H424" s="181" t="inlineStr"/>
      <c r="I424" s="181" t="inlineStr"/>
    </row>
    <row r="425" ht="15" customHeight="1" s="28">
      <c r="A425" s="182" t="n">
        <v>412</v>
      </c>
      <c r="B425" s="182" t="n">
        <v>411</v>
      </c>
      <c r="C425" s="182" t="n">
        <v>4699.23</v>
      </c>
      <c r="D425" s="182" t="n">
        <v>4725.8822</v>
      </c>
      <c r="E425" s="182" t="n">
        <v>-26.6522</v>
      </c>
      <c r="F425" s="182" t="n">
        <v>710.3411</v>
      </c>
      <c r="G425" s="182" t="n">
        <v>168921</v>
      </c>
      <c r="H425" s="182" t="inlineStr"/>
      <c r="I425" s="182" t="inlineStr"/>
    </row>
    <row r="426" ht="15" customHeight="1" s="28">
      <c r="A426" s="181" t="n">
        <v>413</v>
      </c>
      <c r="B426" s="181" t="n">
        <v>412</v>
      </c>
      <c r="C426" s="181" t="n">
        <v>4702.06</v>
      </c>
      <c r="D426" s="181" t="n">
        <v>4725.6283</v>
      </c>
      <c r="E426" s="181" t="n">
        <v>-23.5683</v>
      </c>
      <c r="F426" s="181" t="n">
        <v>555.4662</v>
      </c>
      <c r="G426" s="181" t="n">
        <v>169744</v>
      </c>
      <c r="H426" s="181" t="inlineStr"/>
      <c r="I426" s="181" t="inlineStr"/>
    </row>
    <row r="427" ht="15" customHeight="1" s="28">
      <c r="A427" s="182" t="n">
        <v>414</v>
      </c>
      <c r="B427" s="182" t="n">
        <v>413</v>
      </c>
      <c r="C427" s="182" t="n">
        <v>4703.22</v>
      </c>
      <c r="D427" s="182" t="n">
        <v>4725.3744</v>
      </c>
      <c r="E427" s="182" t="n">
        <v>-22.1544</v>
      </c>
      <c r="F427" s="182" t="n">
        <v>490.819</v>
      </c>
      <c r="G427" s="182" t="n">
        <v>170569</v>
      </c>
      <c r="H427" s="182" t="inlineStr"/>
      <c r="I427" s="182" t="inlineStr"/>
    </row>
    <row r="428" ht="15" customHeight="1" s="28">
      <c r="A428" s="181" t="n">
        <v>415</v>
      </c>
      <c r="B428" s="181" t="n">
        <v>414</v>
      </c>
      <c r="C428" s="181" t="n">
        <v>4704.99</v>
      </c>
      <c r="D428" s="181" t="n">
        <v>4725.1205</v>
      </c>
      <c r="E428" s="181" t="n">
        <v>-20.1305</v>
      </c>
      <c r="F428" s="181" t="n">
        <v>405.2386</v>
      </c>
      <c r="G428" s="181" t="n">
        <v>171396</v>
      </c>
      <c r="H428" s="181" t="inlineStr"/>
      <c r="I428" s="181" t="inlineStr"/>
    </row>
    <row r="429" ht="15" customHeight="1" s="28">
      <c r="A429" s="182" t="n">
        <v>416</v>
      </c>
      <c r="B429" s="182" t="n">
        <v>415</v>
      </c>
      <c r="C429" s="182" t="n">
        <v>4704.1</v>
      </c>
      <c r="D429" s="182" t="n">
        <v>4724.8666</v>
      </c>
      <c r="E429" s="182" t="n">
        <v>-20.7666</v>
      </c>
      <c r="F429" s="182" t="n">
        <v>431.2535</v>
      </c>
      <c r="G429" s="182" t="n">
        <v>172225</v>
      </c>
      <c r="H429" s="182" t="inlineStr"/>
      <c r="I429" s="182" t="inlineStr"/>
    </row>
    <row r="430" ht="15" customHeight="1" s="28">
      <c r="A430" s="181" t="n">
        <v>417</v>
      </c>
      <c r="B430" s="181" t="n">
        <v>416</v>
      </c>
      <c r="C430" s="181" t="n">
        <v>4706.25</v>
      </c>
      <c r="D430" s="181" t="n">
        <v>4724.6127</v>
      </c>
      <c r="E430" s="181" t="n">
        <v>-18.3627</v>
      </c>
      <c r="F430" s="181" t="n">
        <v>337.1905</v>
      </c>
      <c r="G430" s="181" t="n">
        <v>173056</v>
      </c>
      <c r="H430" s="181" t="inlineStr"/>
      <c r="I430" s="181" t="inlineStr"/>
    </row>
    <row r="431" ht="15" customHeight="1" s="28">
      <c r="A431" s="182" t="n">
        <v>418</v>
      </c>
      <c r="B431" s="182" t="n">
        <v>417</v>
      </c>
      <c r="C431" s="182" t="n">
        <v>4705.73</v>
      </c>
      <c r="D431" s="182" t="n">
        <v>4724.3589</v>
      </c>
      <c r="E431" s="182" t="n">
        <v>-18.6289</v>
      </c>
      <c r="F431" s="182" t="n">
        <v>347.0342</v>
      </c>
      <c r="G431" s="182" t="n">
        <v>173889</v>
      </c>
      <c r="H431" s="182" t="inlineStr"/>
      <c r="I431" s="182" t="inlineStr"/>
    </row>
    <row r="432" ht="15" customHeight="1" s="28">
      <c r="A432" s="181" t="n">
        <v>419</v>
      </c>
      <c r="B432" s="181" t="n">
        <v>418</v>
      </c>
      <c r="C432" s="181" t="n">
        <v>4701.88</v>
      </c>
      <c r="D432" s="181" t="n">
        <v>4724.105</v>
      </c>
      <c r="E432" s="181" t="n">
        <v>-22.225</v>
      </c>
      <c r="F432" s="181" t="n">
        <v>493.9487</v>
      </c>
      <c r="G432" s="181" t="n">
        <v>174724</v>
      </c>
      <c r="H432" s="181" t="inlineStr"/>
      <c r="I432" s="181" t="inlineStr"/>
    </row>
    <row r="433" ht="15" customHeight="1" s="28">
      <c r="A433" s="182" t="n">
        <v>420</v>
      </c>
      <c r="B433" s="182" t="n">
        <v>419</v>
      </c>
      <c r="C433" s="182" t="n">
        <v>4704.35</v>
      </c>
      <c r="D433" s="182" t="n">
        <v>4723.8511</v>
      </c>
      <c r="E433" s="182" t="n">
        <v>-19.5011</v>
      </c>
      <c r="F433" s="182" t="n">
        <v>380.2914</v>
      </c>
      <c r="G433" s="182" t="n">
        <v>175561</v>
      </c>
      <c r="H433" s="182" t="inlineStr"/>
      <c r="I433" s="182" t="inlineStr"/>
    </row>
    <row r="434" ht="15" customHeight="1" s="28">
      <c r="A434" s="181" t="n">
        <v>421</v>
      </c>
      <c r="B434" s="181" t="n">
        <v>420</v>
      </c>
      <c r="C434" s="181" t="n">
        <v>4707.71</v>
      </c>
      <c r="D434" s="181" t="n">
        <v>4723.5972</v>
      </c>
      <c r="E434" s="181" t="n">
        <v>-15.8872</v>
      </c>
      <c r="F434" s="181" t="n">
        <v>252.4021</v>
      </c>
      <c r="G434" s="181" t="n">
        <v>176400</v>
      </c>
      <c r="H434" s="181" t="inlineStr"/>
      <c r="I434" s="181" t="inlineStr"/>
    </row>
    <row r="435" ht="15" customHeight="1" s="28">
      <c r="A435" s="182" t="n">
        <v>422</v>
      </c>
      <c r="B435" s="182" t="n">
        <v>421</v>
      </c>
      <c r="C435" s="182" t="n">
        <v>4705.92</v>
      </c>
      <c r="D435" s="182" t="n">
        <v>4723.3433</v>
      </c>
      <c r="E435" s="182" t="n">
        <v>-17.4233</v>
      </c>
      <c r="F435" s="182" t="n">
        <v>303.5704</v>
      </c>
      <c r="G435" s="182" t="n">
        <v>177241</v>
      </c>
      <c r="H435" s="182" t="inlineStr"/>
      <c r="I435" s="182" t="inlineStr"/>
    </row>
    <row r="436" ht="15" customHeight="1" s="28">
      <c r="A436" s="181" t="n">
        <v>423</v>
      </c>
      <c r="B436" s="181" t="n">
        <v>422</v>
      </c>
      <c r="C436" s="181" t="n">
        <v>4701.58</v>
      </c>
      <c r="D436" s="181" t="n">
        <v>4723.0894</v>
      </c>
      <c r="E436" s="181" t="n">
        <v>-21.5094</v>
      </c>
      <c r="F436" s="181" t="n">
        <v>462.6532</v>
      </c>
      <c r="G436" s="181" t="n">
        <v>178084</v>
      </c>
      <c r="H436" s="181" t="inlineStr"/>
      <c r="I436" s="181" t="inlineStr"/>
    </row>
    <row r="437" ht="15" customHeight="1" s="28">
      <c r="A437" s="182" t="n">
        <v>424</v>
      </c>
      <c r="B437" s="182" t="n">
        <v>423</v>
      </c>
      <c r="C437" s="182" t="n">
        <v>4713.6</v>
      </c>
      <c r="D437" s="182" t="n">
        <v>4722.8355</v>
      </c>
      <c r="E437" s="182" t="n">
        <v>-9.2355</v>
      </c>
      <c r="F437" s="182" t="n">
        <v>85.2941</v>
      </c>
      <c r="G437" s="182" t="n">
        <v>178929</v>
      </c>
      <c r="H437" s="182" t="inlineStr"/>
      <c r="I437" s="182" t="inlineStr"/>
    </row>
    <row r="438" ht="15" customHeight="1" s="28">
      <c r="A438" s="181" t="n">
        <v>425</v>
      </c>
      <c r="B438" s="181" t="n">
        <v>424</v>
      </c>
      <c r="C438" s="181" t="n">
        <v>4711.99</v>
      </c>
      <c r="D438" s="181" t="n">
        <v>4722.5816</v>
      </c>
      <c r="E438" s="181" t="n">
        <v>-10.5916</v>
      </c>
      <c r="F438" s="181" t="n">
        <v>112.1817</v>
      </c>
      <c r="G438" s="181" t="n">
        <v>179776</v>
      </c>
      <c r="H438" s="181" t="inlineStr"/>
      <c r="I438" s="181" t="inlineStr"/>
    </row>
    <row r="439" ht="15" customHeight="1" s="28">
      <c r="A439" s="182" t="n">
        <v>426</v>
      </c>
      <c r="B439" s="182" t="n">
        <v>425</v>
      </c>
      <c r="C439" s="182" t="n">
        <v>4712.13</v>
      </c>
      <c r="D439" s="182" t="n">
        <v>4722.3277</v>
      </c>
      <c r="E439" s="182" t="n">
        <v>-10.1977</v>
      </c>
      <c r="F439" s="182" t="n">
        <v>103.9929</v>
      </c>
      <c r="G439" s="182" t="n">
        <v>180625</v>
      </c>
      <c r="H439" s="182" t="inlineStr"/>
      <c r="I439" s="182" t="inlineStr"/>
    </row>
    <row r="440" ht="15" customHeight="1" s="28">
      <c r="A440" s="181" t="n">
        <v>427</v>
      </c>
      <c r="B440" s="181" t="n">
        <v>426</v>
      </c>
      <c r="C440" s="181" t="n">
        <v>4714.98</v>
      </c>
      <c r="D440" s="181" t="n">
        <v>4722.0738</v>
      </c>
      <c r="E440" s="181" t="n">
        <v>-7.0938</v>
      </c>
      <c r="F440" s="181" t="n">
        <v>50.3219</v>
      </c>
      <c r="G440" s="181" t="n">
        <v>181476</v>
      </c>
      <c r="H440" s="181" t="inlineStr"/>
      <c r="I440" s="181" t="inlineStr"/>
    </row>
    <row r="441" ht="15" customHeight="1" s="28">
      <c r="A441" s="182" t="n">
        <v>428</v>
      </c>
      <c r="B441" s="182" t="n">
        <v>427</v>
      </c>
      <c r="C441" s="182" t="n">
        <v>4713.02</v>
      </c>
      <c r="D441" s="182" t="n">
        <v>4721.8199</v>
      </c>
      <c r="E441" s="182" t="n">
        <v>-8.799899999999999</v>
      </c>
      <c r="F441" s="182" t="n">
        <v>77.43819999999999</v>
      </c>
      <c r="G441" s="182" t="n">
        <v>182329</v>
      </c>
      <c r="H441" s="182" t="inlineStr"/>
      <c r="I441" s="182" t="inlineStr"/>
    </row>
    <row r="442" ht="15" customHeight="1" s="28">
      <c r="A442" s="181" t="n">
        <v>429</v>
      </c>
      <c r="B442" s="181" t="n">
        <v>428</v>
      </c>
      <c r="C442" s="181" t="n">
        <v>4712.47</v>
      </c>
      <c r="D442" s="181" t="n">
        <v>4721.566</v>
      </c>
      <c r="E442" s="181" t="n">
        <v>-9.096</v>
      </c>
      <c r="F442" s="181" t="n">
        <v>82.7373</v>
      </c>
      <c r="G442" s="181" t="n">
        <v>183184</v>
      </c>
      <c r="H442" s="181" t="inlineStr"/>
      <c r="I442" s="181" t="inlineStr"/>
    </row>
    <row r="443" ht="15" customHeight="1" s="28">
      <c r="A443" s="182" t="n">
        <v>430</v>
      </c>
      <c r="B443" s="182" t="n">
        <v>429</v>
      </c>
      <c r="C443" s="182" t="n">
        <v>4706.12</v>
      </c>
      <c r="D443" s="182" t="n">
        <v>4721.3121</v>
      </c>
      <c r="E443" s="182" t="n">
        <v>-15.1921</v>
      </c>
      <c r="F443" s="182" t="n">
        <v>230.8001</v>
      </c>
      <c r="G443" s="182" t="n">
        <v>184041</v>
      </c>
      <c r="H443" s="182" t="inlineStr"/>
      <c r="I443" s="182" t="inlineStr"/>
    </row>
    <row r="444" ht="15" customHeight="1" s="28">
      <c r="A444" s="181" t="n">
        <v>431</v>
      </c>
      <c r="B444" s="181" t="n">
        <v>430</v>
      </c>
      <c r="C444" s="181" t="n">
        <v>4713.77</v>
      </c>
      <c r="D444" s="181" t="n">
        <v>4721.0582</v>
      </c>
      <c r="E444" s="181" t="n">
        <v>-7.2882</v>
      </c>
      <c r="F444" s="181" t="n">
        <v>53.118</v>
      </c>
      <c r="G444" s="181" t="n">
        <v>184900</v>
      </c>
      <c r="H444" s="181" t="inlineStr"/>
      <c r="I444" s="181" t="inlineStr"/>
    </row>
    <row r="445" ht="15" customHeight="1" s="28">
      <c r="A445" s="182" t="n">
        <v>432</v>
      </c>
      <c r="B445" s="182" t="n">
        <v>431</v>
      </c>
      <c r="C445" s="182" t="n">
        <v>4719.22</v>
      </c>
      <c r="D445" s="182" t="n">
        <v>4720.8043</v>
      </c>
      <c r="E445" s="182" t="n">
        <v>-1.5843</v>
      </c>
      <c r="F445" s="182" t="n">
        <v>2.5101</v>
      </c>
      <c r="G445" s="182" t="n">
        <v>185761</v>
      </c>
      <c r="H445" s="182" t="inlineStr"/>
      <c r="I445" s="182" t="inlineStr"/>
    </row>
    <row r="446" ht="15" customHeight="1" s="28">
      <c r="A446" s="181" t="n">
        <v>433</v>
      </c>
      <c r="B446" s="181" t="n">
        <v>432</v>
      </c>
      <c r="C446" s="181" t="n">
        <v>4718.21</v>
      </c>
      <c r="D446" s="181" t="n">
        <v>4720.5504</v>
      </c>
      <c r="E446" s="181" t="n">
        <v>-2.3404</v>
      </c>
      <c r="F446" s="181" t="n">
        <v>5.4776</v>
      </c>
      <c r="G446" s="181" t="n">
        <v>186624</v>
      </c>
      <c r="H446" s="181" t="inlineStr"/>
      <c r="I446" s="181" t="inlineStr"/>
    </row>
    <row r="447" ht="15" customHeight="1" s="28">
      <c r="A447" s="182" t="n">
        <v>434</v>
      </c>
      <c r="B447" s="182" t="n">
        <v>433</v>
      </c>
      <c r="C447" s="182" t="n">
        <v>4715.43</v>
      </c>
      <c r="D447" s="182" t="n">
        <v>4720.2965</v>
      </c>
      <c r="E447" s="182" t="n">
        <v>-4.8665</v>
      </c>
      <c r="F447" s="182" t="n">
        <v>23.6831</v>
      </c>
      <c r="G447" s="182" t="n">
        <v>187489</v>
      </c>
      <c r="H447" s="182" t="inlineStr"/>
      <c r="I447" s="182" t="inlineStr"/>
    </row>
    <row r="448" ht="15" customHeight="1" s="28">
      <c r="A448" s="181" t="n">
        <v>435</v>
      </c>
      <c r="B448" s="181" t="n">
        <v>434</v>
      </c>
      <c r="C448" s="181" t="n">
        <v>4703.76</v>
      </c>
      <c r="D448" s="181" t="n">
        <v>4720.0426</v>
      </c>
      <c r="E448" s="181" t="n">
        <v>-16.2826</v>
      </c>
      <c r="F448" s="181" t="n">
        <v>265.124</v>
      </c>
      <c r="G448" s="181" t="n">
        <v>188356</v>
      </c>
      <c r="H448" s="181" t="inlineStr"/>
      <c r="I448" s="181" t="inlineStr"/>
    </row>
    <row r="449" ht="15" customHeight="1" s="28">
      <c r="A449" s="182" t="n">
        <v>436</v>
      </c>
      <c r="B449" s="182" t="n">
        <v>435</v>
      </c>
      <c r="C449" s="182" t="n">
        <v>4703.28</v>
      </c>
      <c r="D449" s="182" t="n">
        <v>4719.7887</v>
      </c>
      <c r="E449" s="182" t="n">
        <v>-16.5087</v>
      </c>
      <c r="F449" s="182" t="n">
        <v>272.5383</v>
      </c>
      <c r="G449" s="182" t="n">
        <v>189225</v>
      </c>
      <c r="H449" s="182" t="inlineStr"/>
      <c r="I449" s="182" t="inlineStr"/>
    </row>
    <row r="450" ht="15" customHeight="1" s="28">
      <c r="A450" s="181" t="n">
        <v>437</v>
      </c>
      <c r="B450" s="181" t="n">
        <v>436</v>
      </c>
      <c r="C450" s="181" t="n">
        <v>4696.92</v>
      </c>
      <c r="D450" s="181" t="n">
        <v>4719.5348</v>
      </c>
      <c r="E450" s="181" t="n">
        <v>-22.6148</v>
      </c>
      <c r="F450" s="181" t="n">
        <v>511.4309</v>
      </c>
      <c r="G450" s="181" t="n">
        <v>190096</v>
      </c>
      <c r="H450" s="181" t="inlineStr"/>
      <c r="I450" s="181" t="inlineStr"/>
    </row>
    <row r="451" ht="15" customHeight="1" s="28">
      <c r="A451" s="182" t="n">
        <v>438</v>
      </c>
      <c r="B451" s="182" t="n">
        <v>437</v>
      </c>
      <c r="C451" s="182" t="n">
        <v>4700.94</v>
      </c>
      <c r="D451" s="182" t="n">
        <v>4719.2809</v>
      </c>
      <c r="E451" s="182" t="n">
        <v>-18.3409</v>
      </c>
      <c r="F451" s="182" t="n">
        <v>336.3902</v>
      </c>
      <c r="G451" s="182" t="n">
        <v>190969</v>
      </c>
      <c r="H451" s="182" t="inlineStr"/>
      <c r="I451" s="182" t="inlineStr"/>
    </row>
    <row r="452" ht="15" customHeight="1" s="28">
      <c r="A452" s="181" t="n">
        <v>439</v>
      </c>
      <c r="B452" s="181" t="n">
        <v>438</v>
      </c>
      <c r="C452" s="181" t="n">
        <v>4700.99</v>
      </c>
      <c r="D452" s="181" t="n">
        <v>4719.027</v>
      </c>
      <c r="E452" s="181" t="n">
        <v>-18.037</v>
      </c>
      <c r="F452" s="181" t="n">
        <v>325.3351</v>
      </c>
      <c r="G452" s="181" t="n">
        <v>191844</v>
      </c>
      <c r="H452" s="181" t="inlineStr"/>
      <c r="I452" s="181" t="inlineStr"/>
    </row>
    <row r="453" ht="15" customHeight="1" s="28">
      <c r="A453" s="182" t="n">
        <v>440</v>
      </c>
      <c r="B453" s="182" t="n">
        <v>439</v>
      </c>
      <c r="C453" s="182" t="n">
        <v>4697.62</v>
      </c>
      <c r="D453" s="182" t="n">
        <v>4718.7732</v>
      </c>
      <c r="E453" s="182" t="n">
        <v>-21.1532</v>
      </c>
      <c r="F453" s="182" t="n">
        <v>447.4558</v>
      </c>
      <c r="G453" s="182" t="n">
        <v>192721</v>
      </c>
      <c r="H453" s="182" t="inlineStr"/>
      <c r="I453" s="182" t="inlineStr"/>
    </row>
    <row r="454" ht="15" customHeight="1" s="28">
      <c r="A454" s="181" t="n">
        <v>441</v>
      </c>
      <c r="B454" s="181" t="n">
        <v>440</v>
      </c>
      <c r="C454" s="181" t="n">
        <v>4689.14</v>
      </c>
      <c r="D454" s="181" t="n">
        <v>4718.5193</v>
      </c>
      <c r="E454" s="181" t="n">
        <v>-29.3793</v>
      </c>
      <c r="F454" s="181" t="n">
        <v>863.1407</v>
      </c>
      <c r="G454" s="181" t="n">
        <v>193600</v>
      </c>
      <c r="H454" s="181" t="inlineStr"/>
      <c r="I454" s="181" t="inlineStr"/>
    </row>
    <row r="455" ht="15" customHeight="1" s="28">
      <c r="A455" s="182" t="n">
        <v>442</v>
      </c>
      <c r="B455" s="182" t="n">
        <v>441</v>
      </c>
      <c r="C455" s="182" t="n">
        <v>4686.7</v>
      </c>
      <c r="D455" s="182" t="n">
        <v>4718.2654</v>
      </c>
      <c r="E455" s="182" t="n">
        <v>-31.5654</v>
      </c>
      <c r="F455" s="182" t="n">
        <v>996.372</v>
      </c>
      <c r="G455" s="182" t="n">
        <v>194481</v>
      </c>
      <c r="H455" s="182" t="inlineStr"/>
      <c r="I455" s="182" t="inlineStr"/>
    </row>
    <row r="456" ht="15" customHeight="1" s="28">
      <c r="A456" s="181" t="n">
        <v>443</v>
      </c>
      <c r="B456" s="181" t="n">
        <v>442</v>
      </c>
      <c r="C456" s="181" t="n">
        <v>4690.77</v>
      </c>
      <c r="D456" s="181" t="n">
        <v>4718.0115</v>
      </c>
      <c r="E456" s="181" t="n">
        <v>-27.2415</v>
      </c>
      <c r="F456" s="181" t="n">
        <v>742.0974</v>
      </c>
      <c r="G456" s="181" t="n">
        <v>195364</v>
      </c>
      <c r="H456" s="181" t="inlineStr"/>
      <c r="I456" s="181" t="inlineStr"/>
    </row>
    <row r="457" ht="15" customHeight="1" s="28">
      <c r="A457" s="182" t="n">
        <v>444</v>
      </c>
      <c r="B457" s="182" t="n">
        <v>443</v>
      </c>
      <c r="C457" s="182" t="n">
        <v>4696.61</v>
      </c>
      <c r="D457" s="182" t="n">
        <v>4717.7576</v>
      </c>
      <c r="E457" s="182" t="n">
        <v>-21.1476</v>
      </c>
      <c r="F457" s="182" t="n">
        <v>447.2197</v>
      </c>
      <c r="G457" s="182" t="n">
        <v>196249</v>
      </c>
      <c r="H457" s="182" t="inlineStr"/>
      <c r="I457" s="182" t="inlineStr"/>
    </row>
    <row r="458" ht="15" customHeight="1" s="28">
      <c r="A458" s="181" t="n">
        <v>445</v>
      </c>
      <c r="B458" s="181" t="n">
        <v>444</v>
      </c>
      <c r="C458" s="181" t="n">
        <v>4697.96</v>
      </c>
      <c r="D458" s="181" t="n">
        <v>4717.5037</v>
      </c>
      <c r="E458" s="181" t="n">
        <v>-19.5437</v>
      </c>
      <c r="F458" s="181" t="n">
        <v>381.9552</v>
      </c>
      <c r="G458" s="181" t="n">
        <v>197136</v>
      </c>
      <c r="H458" s="181" t="inlineStr"/>
      <c r="I458" s="181" t="inlineStr"/>
    </row>
    <row r="459" ht="15" customHeight="1" s="28">
      <c r="A459" s="182" t="n">
        <v>446</v>
      </c>
      <c r="B459" s="182" t="n">
        <v>445</v>
      </c>
      <c r="C459" s="182" t="n">
        <v>4699.27</v>
      </c>
      <c r="D459" s="182" t="n">
        <v>4717.2498</v>
      </c>
      <c r="E459" s="182" t="n">
        <v>-17.9798</v>
      </c>
      <c r="F459" s="182" t="n">
        <v>323.2725</v>
      </c>
      <c r="G459" s="182" t="n">
        <v>198025</v>
      </c>
      <c r="H459" s="182" t="inlineStr"/>
      <c r="I459" s="182" t="inlineStr"/>
    </row>
    <row r="460" ht="15" customHeight="1" s="28">
      <c r="A460" s="181" t="n">
        <v>447</v>
      </c>
      <c r="B460" s="181" t="n">
        <v>446</v>
      </c>
      <c r="C460" s="181" t="n">
        <v>4705.48</v>
      </c>
      <c r="D460" s="181" t="n">
        <v>4716.9959</v>
      </c>
      <c r="E460" s="181" t="n">
        <v>-11.5159</v>
      </c>
      <c r="F460" s="181" t="n">
        <v>132.6156</v>
      </c>
      <c r="G460" s="181" t="n">
        <v>198916</v>
      </c>
      <c r="H460" s="181" t="inlineStr"/>
      <c r="I460" s="181" t="inlineStr"/>
    </row>
    <row r="461" ht="15" customHeight="1" s="28">
      <c r="A461" s="182" t="n">
        <v>448</v>
      </c>
      <c r="B461" s="182" t="n">
        <v>447</v>
      </c>
      <c r="C461" s="182" t="n">
        <v>4720.71</v>
      </c>
      <c r="D461" s="182" t="n">
        <v>4716.742</v>
      </c>
      <c r="E461" s="182" t="n">
        <v>3.968</v>
      </c>
      <c r="F461" s="182" t="n">
        <v>15.7451</v>
      </c>
      <c r="G461" s="182" t="n">
        <v>199809</v>
      </c>
      <c r="H461" s="182" t="inlineStr"/>
      <c r="I461" s="182" t="inlineStr"/>
    </row>
    <row r="462" ht="15" customHeight="1" s="28">
      <c r="A462" s="181" t="n">
        <v>449</v>
      </c>
      <c r="B462" s="181" t="n">
        <v>448</v>
      </c>
      <c r="C462" s="181" t="n">
        <v>4729.21</v>
      </c>
      <c r="D462" s="181" t="n">
        <v>4716.4881</v>
      </c>
      <c r="E462" s="181" t="n">
        <v>12.7219</v>
      </c>
      <c r="F462" s="181" t="n">
        <v>161.8469</v>
      </c>
      <c r="G462" s="181" t="n">
        <v>200704</v>
      </c>
      <c r="H462" s="181" t="inlineStr"/>
      <c r="I462" s="181" t="inlineStr"/>
    </row>
    <row r="463" ht="15" customHeight="1" s="28">
      <c r="A463" s="182" t="n">
        <v>450</v>
      </c>
      <c r="B463" s="182" t="n">
        <v>449</v>
      </c>
      <c r="C463" s="182" t="n">
        <v>4733.39</v>
      </c>
      <c r="D463" s="182" t="n">
        <v>4716.2342</v>
      </c>
      <c r="E463" s="182" t="n">
        <v>17.1558</v>
      </c>
      <c r="F463" s="182" t="n">
        <v>294.3216</v>
      </c>
      <c r="G463" s="182" t="n">
        <v>201601</v>
      </c>
      <c r="H463" s="182" t="inlineStr"/>
      <c r="I463" s="182" t="inlineStr"/>
    </row>
    <row r="464" ht="15" customHeight="1" s="28">
      <c r="A464" s="181" t="n">
        <v>451</v>
      </c>
      <c r="B464" s="181" t="n">
        <v>450</v>
      </c>
      <c r="C464" s="181" t="n">
        <v>4739.41</v>
      </c>
      <c r="D464" s="181" t="n">
        <v>4715.9803</v>
      </c>
      <c r="E464" s="181" t="n">
        <v>23.4297</v>
      </c>
      <c r="F464" s="181" t="n">
        <v>548.9508</v>
      </c>
      <c r="G464" s="181" t="n">
        <v>202500</v>
      </c>
      <c r="H464" s="181" t="inlineStr"/>
      <c r="I464" s="181" t="inlineStr"/>
    </row>
    <row r="465" ht="15" customHeight="1" s="28">
      <c r="A465" s="182" t="n">
        <v>452</v>
      </c>
      <c r="B465" s="182" t="n">
        <v>451</v>
      </c>
      <c r="C465" s="182" t="n">
        <v>4740.04</v>
      </c>
      <c r="D465" s="182" t="n">
        <v>4715.7264</v>
      </c>
      <c r="E465" s="182" t="n">
        <v>24.3136</v>
      </c>
      <c r="F465" s="182" t="n">
        <v>591.1508</v>
      </c>
      <c r="G465" s="182" t="n">
        <v>203401</v>
      </c>
      <c r="H465" s="182" t="inlineStr"/>
      <c r="I465" s="182" t="inlineStr"/>
    </row>
    <row r="466" ht="15" customHeight="1" s="28">
      <c r="A466" s="181" t="n">
        <v>453</v>
      </c>
      <c r="B466" s="181" t="n">
        <v>452</v>
      </c>
      <c r="C466" s="181" t="n">
        <v>4725.95</v>
      </c>
      <c r="D466" s="181" t="n">
        <v>4715.4725</v>
      </c>
      <c r="E466" s="181" t="n">
        <v>10.4775</v>
      </c>
      <c r="F466" s="181" t="n">
        <v>109.7778</v>
      </c>
      <c r="G466" s="181" t="n">
        <v>204304</v>
      </c>
      <c r="H466" s="181" t="inlineStr"/>
      <c r="I466" s="181" t="inlineStr"/>
    </row>
    <row r="467" ht="15" customHeight="1" s="28">
      <c r="A467" s="182" t="n">
        <v>454</v>
      </c>
      <c r="B467" s="182" t="n">
        <v>453</v>
      </c>
      <c r="C467" s="182" t="n">
        <v>4727.53</v>
      </c>
      <c r="D467" s="182" t="n">
        <v>4715.2186</v>
      </c>
      <c r="E467" s="182" t="n">
        <v>12.3114</v>
      </c>
      <c r="F467" s="182" t="n">
        <v>151.5702</v>
      </c>
      <c r="G467" s="182" t="n">
        <v>205209</v>
      </c>
      <c r="H467" s="182" t="inlineStr"/>
      <c r="I467" s="182" t="inlineStr"/>
    </row>
    <row r="468" ht="15" customHeight="1" s="28">
      <c r="A468" s="181" t="n">
        <v>455</v>
      </c>
      <c r="B468" s="181" t="n">
        <v>454</v>
      </c>
      <c r="C468" s="181" t="n">
        <v>4734.55</v>
      </c>
      <c r="D468" s="181" t="n">
        <v>4714.9647</v>
      </c>
      <c r="E468" s="181" t="n">
        <v>19.5853</v>
      </c>
      <c r="F468" s="181" t="n">
        <v>383.5832</v>
      </c>
      <c r="G468" s="181" t="n">
        <v>206116</v>
      </c>
      <c r="H468" s="181" t="inlineStr"/>
      <c r="I468" s="181" t="inlineStr"/>
    </row>
    <row r="469" ht="15" customHeight="1" s="28">
      <c r="A469" s="182" t="n">
        <v>456</v>
      </c>
      <c r="B469" s="182" t="n">
        <v>455</v>
      </c>
      <c r="C469" s="182" t="n">
        <v>4724.46</v>
      </c>
      <c r="D469" s="182" t="n">
        <v>4714.7108</v>
      </c>
      <c r="E469" s="182" t="n">
        <v>9.7492</v>
      </c>
      <c r="F469" s="182" t="n">
        <v>95.04640000000001</v>
      </c>
      <c r="G469" s="182" t="n">
        <v>207025</v>
      </c>
      <c r="H469" s="182" t="inlineStr"/>
      <c r="I469" s="182" t="inlineStr"/>
    </row>
    <row r="470" ht="15" customHeight="1" s="28">
      <c r="A470" s="181" t="n">
        <v>457</v>
      </c>
      <c r="B470" s="181" t="n">
        <v>456</v>
      </c>
      <c r="C470" s="181" t="n">
        <v>4724.31</v>
      </c>
      <c r="D470" s="181" t="n">
        <v>4714.4569</v>
      </c>
      <c r="E470" s="181" t="n">
        <v>9.8531</v>
      </c>
      <c r="F470" s="181" t="n">
        <v>97.083</v>
      </c>
      <c r="G470" s="181" t="n">
        <v>207936</v>
      </c>
      <c r="H470" s="181" t="inlineStr"/>
      <c r="I470" s="181" t="inlineStr"/>
    </row>
    <row r="471" ht="15" customHeight="1" s="28">
      <c r="A471" s="182" t="n">
        <v>458</v>
      </c>
      <c r="B471" s="182" t="n">
        <v>457</v>
      </c>
      <c r="C471" s="182" t="n">
        <v>4731.54</v>
      </c>
      <c r="D471" s="182" t="n">
        <v>4714.203</v>
      </c>
      <c r="E471" s="182" t="n">
        <v>17.337</v>
      </c>
      <c r="F471" s="182" t="n">
        <v>300.5704</v>
      </c>
      <c r="G471" s="182" t="n">
        <v>208849</v>
      </c>
      <c r="H471" s="182" t="inlineStr"/>
      <c r="I471" s="182" t="inlineStr"/>
    </row>
    <row r="472" ht="15" customHeight="1" s="28">
      <c r="A472" s="181" t="n">
        <v>459</v>
      </c>
      <c r="B472" s="181" t="n">
        <v>458</v>
      </c>
      <c r="C472" s="181" t="n">
        <v>4730.97</v>
      </c>
      <c r="D472" s="181" t="n">
        <v>4713.9491</v>
      </c>
      <c r="E472" s="181" t="n">
        <v>17.0209</v>
      </c>
      <c r="F472" s="181" t="n">
        <v>289.7098</v>
      </c>
      <c r="G472" s="181" t="n">
        <v>209764</v>
      </c>
      <c r="H472" s="181" t="inlineStr"/>
      <c r="I472" s="181" t="inlineStr"/>
    </row>
    <row r="473" ht="15" customHeight="1" s="28">
      <c r="A473" s="182" t="n">
        <v>460</v>
      </c>
      <c r="B473" s="182" t="n">
        <v>459</v>
      </c>
      <c r="C473" s="182" t="n">
        <v>4733.72</v>
      </c>
      <c r="D473" s="182" t="n">
        <v>4713.6952</v>
      </c>
      <c r="E473" s="182" t="n">
        <v>20.0248</v>
      </c>
      <c r="F473" s="182" t="n">
        <v>400.9909</v>
      </c>
      <c r="G473" s="182" t="n">
        <v>210681</v>
      </c>
      <c r="H473" s="182" t="inlineStr"/>
      <c r="I473" s="182" t="inlineStr"/>
    </row>
    <row r="474" ht="15" customHeight="1" s="28">
      <c r="A474" s="181" t="n">
        <v>461</v>
      </c>
      <c r="B474" s="181" t="n">
        <v>460</v>
      </c>
      <c r="C474" s="181" t="n">
        <v>4730.76</v>
      </c>
      <c r="D474" s="181" t="n">
        <v>4713.4413</v>
      </c>
      <c r="E474" s="181" t="n">
        <v>17.3187</v>
      </c>
      <c r="F474" s="181" t="n">
        <v>299.9358</v>
      </c>
      <c r="G474" s="181" t="n">
        <v>211600</v>
      </c>
      <c r="H474" s="181" t="inlineStr"/>
      <c r="I474" s="181" t="inlineStr"/>
    </row>
    <row r="475" ht="15" customHeight="1" s="28">
      <c r="A475" s="182" t="n">
        <v>462</v>
      </c>
      <c r="B475" s="182" t="n">
        <v>461</v>
      </c>
      <c r="C475" s="182" t="n">
        <v>4733.6</v>
      </c>
      <c r="D475" s="182" t="n">
        <v>4713.1875</v>
      </c>
      <c r="E475" s="182" t="n">
        <v>20.4125</v>
      </c>
      <c r="F475" s="182" t="n">
        <v>416.6721</v>
      </c>
      <c r="G475" s="182" t="n">
        <v>212521</v>
      </c>
      <c r="H475" s="182" t="inlineStr"/>
      <c r="I475" s="182" t="inlineStr"/>
    </row>
    <row r="476" ht="15" customHeight="1" s="28">
      <c r="A476" s="181" t="n">
        <v>463</v>
      </c>
      <c r="B476" s="181" t="n">
        <v>462</v>
      </c>
      <c r="C476" s="181" t="n">
        <v>4728.34</v>
      </c>
      <c r="D476" s="181" t="n">
        <v>4712.9336</v>
      </c>
      <c r="E476" s="181" t="n">
        <v>15.4064</v>
      </c>
      <c r="F476" s="181" t="n">
        <v>237.3585</v>
      </c>
      <c r="G476" s="181" t="n">
        <v>213444</v>
      </c>
      <c r="H476" s="181" t="inlineStr"/>
      <c r="I476" s="181" t="inlineStr"/>
    </row>
    <row r="477" ht="15" customHeight="1" s="28">
      <c r="A477" s="182" t="n">
        <v>464</v>
      </c>
      <c r="B477" s="182" t="n">
        <v>463</v>
      </c>
      <c r="C477" s="182" t="n">
        <v>4720.42</v>
      </c>
      <c r="D477" s="182" t="n">
        <v>4712.6797</v>
      </c>
      <c r="E477" s="182" t="n">
        <v>7.7403</v>
      </c>
      <c r="F477" s="182" t="n">
        <v>59.9129</v>
      </c>
      <c r="G477" s="182" t="n">
        <v>214369</v>
      </c>
      <c r="H477" s="182" t="inlineStr"/>
      <c r="I477" s="182" t="inlineStr"/>
    </row>
    <row r="478" ht="15" customHeight="1" s="28">
      <c r="A478" s="181" t="n">
        <v>465</v>
      </c>
      <c r="B478" s="181" t="n">
        <v>464</v>
      </c>
      <c r="C478" s="181" t="n">
        <v>4719.39</v>
      </c>
      <c r="D478" s="181" t="n">
        <v>4712.4258</v>
      </c>
      <c r="E478" s="181" t="n">
        <v>6.9642</v>
      </c>
      <c r="F478" s="181" t="n">
        <v>48.5006</v>
      </c>
      <c r="G478" s="181" t="n">
        <v>215296</v>
      </c>
      <c r="H478" s="181" t="inlineStr"/>
      <c r="I478" s="181" t="inlineStr"/>
    </row>
    <row r="479" ht="15" customHeight="1" s="28">
      <c r="A479" s="182" t="n">
        <v>466</v>
      </c>
      <c r="B479" s="182" t="n">
        <v>465</v>
      </c>
      <c r="C479" s="182" t="n">
        <v>4723.22</v>
      </c>
      <c r="D479" s="182" t="n">
        <v>4712.1719</v>
      </c>
      <c r="E479" s="182" t="n">
        <v>11.0481</v>
      </c>
      <c r="F479" s="182" t="n">
        <v>122.0612</v>
      </c>
      <c r="G479" s="182" t="n">
        <v>216225</v>
      </c>
      <c r="H479" s="182" t="inlineStr"/>
      <c r="I479" s="182" t="inlineStr"/>
    </row>
    <row r="480" ht="15" customHeight="1" s="28">
      <c r="A480" s="181" t="n">
        <v>467</v>
      </c>
      <c r="B480" s="181" t="n">
        <v>466</v>
      </c>
      <c r="C480" s="181" t="n">
        <v>4734.05</v>
      </c>
      <c r="D480" s="181" t="n">
        <v>4711.918</v>
      </c>
      <c r="E480" s="181" t="n">
        <v>22.132</v>
      </c>
      <c r="F480" s="181" t="n">
        <v>489.8266</v>
      </c>
      <c r="G480" s="181" t="n">
        <v>217156</v>
      </c>
      <c r="H480" s="181" t="inlineStr"/>
      <c r="I480" s="181" t="inlineStr"/>
    </row>
    <row r="481" ht="15" customHeight="1" s="28">
      <c r="A481" s="182" t="n">
        <v>468</v>
      </c>
      <c r="B481" s="182" t="n">
        <v>467</v>
      </c>
      <c r="C481" s="182" t="n">
        <v>4733.09</v>
      </c>
      <c r="D481" s="182" t="n">
        <v>4711.6641</v>
      </c>
      <c r="E481" s="182" t="n">
        <v>21.4259</v>
      </c>
      <c r="F481" s="182" t="n">
        <v>459.0701</v>
      </c>
      <c r="G481" s="182" t="n">
        <v>218089</v>
      </c>
      <c r="H481" s="182" t="inlineStr"/>
      <c r="I481" s="182" t="inlineStr"/>
    </row>
    <row r="482" ht="15" customHeight="1" s="28">
      <c r="A482" s="181" t="n">
        <v>469</v>
      </c>
      <c r="B482" s="181" t="n">
        <v>468</v>
      </c>
      <c r="C482" s="181" t="n">
        <v>4716.04</v>
      </c>
      <c r="D482" s="181" t="n">
        <v>4711.4102</v>
      </c>
      <c r="E482" s="181" t="n">
        <v>4.6298</v>
      </c>
      <c r="F482" s="181" t="n">
        <v>21.4352</v>
      </c>
      <c r="G482" s="181" t="n">
        <v>219024</v>
      </c>
      <c r="H482" s="181" t="inlineStr"/>
      <c r="I482" s="181" t="inlineStr"/>
    </row>
    <row r="483" ht="15" customHeight="1" s="28">
      <c r="A483" s="182" t="n">
        <v>470</v>
      </c>
      <c r="B483" s="182" t="n">
        <v>469</v>
      </c>
      <c r="C483" s="182" t="n">
        <v>4706.47</v>
      </c>
      <c r="D483" s="182" t="n">
        <v>4711.1563</v>
      </c>
      <c r="E483" s="182" t="n">
        <v>-4.6863</v>
      </c>
      <c r="F483" s="182" t="n">
        <v>21.9613</v>
      </c>
      <c r="G483" s="182" t="n">
        <v>219961</v>
      </c>
      <c r="H483" s="182" t="inlineStr"/>
      <c r="I483" s="182" t="inlineStr"/>
    </row>
    <row r="484" ht="15" customHeight="1" s="28">
      <c r="A484" s="181" t="n">
        <v>471</v>
      </c>
      <c r="B484" s="181" t="n">
        <v>470</v>
      </c>
      <c r="C484" s="181" t="n">
        <v>4677.41</v>
      </c>
      <c r="D484" s="181" t="n">
        <v>4710.9024</v>
      </c>
      <c r="E484" s="181" t="n">
        <v>-33.4924</v>
      </c>
      <c r="F484" s="181" t="n">
        <v>1121.7403</v>
      </c>
      <c r="G484" s="181" t="n">
        <v>220900</v>
      </c>
      <c r="H484" s="181" t="inlineStr"/>
      <c r="I484" s="181" t="inlineStr"/>
    </row>
    <row r="485" ht="15" customHeight="1" s="28">
      <c r="A485" s="182" t="n">
        <v>472</v>
      </c>
      <c r="B485" s="182" t="n">
        <v>471</v>
      </c>
      <c r="C485" s="182" t="n">
        <v>4709.41</v>
      </c>
      <c r="D485" s="182" t="n">
        <v>4710.6485</v>
      </c>
      <c r="E485" s="182" t="n">
        <v>-1.2385</v>
      </c>
      <c r="F485" s="182" t="n">
        <v>1.5339</v>
      </c>
      <c r="G485" s="182" t="n">
        <v>221841</v>
      </c>
      <c r="H485" s="182" t="inlineStr"/>
      <c r="I485" s="182" t="inlineStr"/>
    </row>
    <row r="486" ht="15" customHeight="1" s="28">
      <c r="A486" s="181" t="n">
        <v>473</v>
      </c>
      <c r="B486" s="181" t="n">
        <v>472</v>
      </c>
      <c r="C486" s="181" t="n">
        <v>4713.84</v>
      </c>
      <c r="D486" s="181" t="n">
        <v>4710.3946</v>
      </c>
      <c r="E486" s="181" t="n">
        <v>3.4454</v>
      </c>
      <c r="F486" s="181" t="n">
        <v>11.8708</v>
      </c>
      <c r="G486" s="181" t="n">
        <v>222784</v>
      </c>
      <c r="H486" s="181" t="inlineStr"/>
      <c r="I486" s="181" t="inlineStr"/>
    </row>
    <row r="487" ht="15" customHeight="1" s="28">
      <c r="A487" s="182" t="n">
        <v>474</v>
      </c>
      <c r="B487" s="182" t="n">
        <v>473</v>
      </c>
      <c r="C487" s="182" t="n">
        <v>4716.58</v>
      </c>
      <c r="D487" s="182" t="n">
        <v>4710.1407</v>
      </c>
      <c r="E487" s="182" t="n">
        <v>6.4393</v>
      </c>
      <c r="F487" s="182" t="n">
        <v>41.4645</v>
      </c>
      <c r="G487" s="182" t="n">
        <v>223729</v>
      </c>
      <c r="H487" s="182" t="inlineStr"/>
      <c r="I487" s="182" t="inlineStr"/>
    </row>
    <row r="488" ht="15" customHeight="1" s="28">
      <c r="A488" s="181" t="n">
        <v>475</v>
      </c>
      <c r="B488" s="181" t="n">
        <v>474</v>
      </c>
      <c r="C488" s="181" t="n">
        <v>4711.31</v>
      </c>
      <c r="D488" s="181" t="n">
        <v>4709.8868</v>
      </c>
      <c r="E488" s="181" t="n">
        <v>1.4232</v>
      </c>
      <c r="F488" s="181" t="n">
        <v>2.0255</v>
      </c>
      <c r="G488" s="181" t="n">
        <v>224676</v>
      </c>
      <c r="H488" s="181" t="inlineStr"/>
      <c r="I488" s="181" t="inlineStr"/>
    </row>
    <row r="489" ht="15" customHeight="1" s="28">
      <c r="A489" s="182" t="n">
        <v>476</v>
      </c>
      <c r="B489" s="182" t="n">
        <v>475</v>
      </c>
      <c r="C489" s="182" t="n">
        <v>4700.9</v>
      </c>
      <c r="D489" s="182" t="n">
        <v>4709.6329</v>
      </c>
      <c r="E489" s="182" t="n">
        <v>-8.732900000000001</v>
      </c>
      <c r="F489" s="182" t="n">
        <v>76.2638</v>
      </c>
      <c r="G489" s="182" t="n">
        <v>225625</v>
      </c>
      <c r="H489" s="182" t="inlineStr"/>
      <c r="I489" s="182" t="inlineStr"/>
    </row>
    <row r="490" ht="15" customHeight="1" s="28">
      <c r="A490" s="181" t="n">
        <v>477</v>
      </c>
      <c r="B490" s="181" t="n">
        <v>476</v>
      </c>
      <c r="C490" s="181" t="n">
        <v>4696.41</v>
      </c>
      <c r="D490" s="181" t="n">
        <v>4709.379</v>
      </c>
      <c r="E490" s="181" t="n">
        <v>-12.969</v>
      </c>
      <c r="F490" s="181" t="n">
        <v>168.1954</v>
      </c>
      <c r="G490" s="181" t="n">
        <v>226576</v>
      </c>
      <c r="H490" s="181" t="inlineStr"/>
      <c r="I490" s="181" t="inlineStr"/>
    </row>
    <row r="491" ht="15" customHeight="1" s="28">
      <c r="A491" s="182" t="n">
        <v>478</v>
      </c>
      <c r="B491" s="182" t="n">
        <v>477</v>
      </c>
      <c r="C491" s="182" t="n">
        <v>4700.16</v>
      </c>
      <c r="D491" s="182" t="n">
        <v>4709.1251</v>
      </c>
      <c r="E491" s="182" t="n">
        <v>-8.9651</v>
      </c>
      <c r="F491" s="182" t="n">
        <v>80.3734</v>
      </c>
      <c r="G491" s="182" t="n">
        <v>227529</v>
      </c>
      <c r="H491" s="182" t="inlineStr"/>
      <c r="I491" s="182" t="inlineStr"/>
    </row>
    <row r="492" ht="15" customHeight="1" s="28">
      <c r="A492" s="181" t="n">
        <v>479</v>
      </c>
      <c r="B492" s="181" t="n">
        <v>478</v>
      </c>
      <c r="C492" s="181" t="n">
        <v>4692.49</v>
      </c>
      <c r="D492" s="181" t="n">
        <v>4708.8712</v>
      </c>
      <c r="E492" s="181" t="n">
        <v>-16.3812</v>
      </c>
      <c r="F492" s="181" t="n">
        <v>268.3446</v>
      </c>
      <c r="G492" s="181" t="n">
        <v>228484</v>
      </c>
      <c r="H492" s="181" t="inlineStr"/>
      <c r="I492" s="181" t="inlineStr"/>
    </row>
    <row r="493" ht="15" customHeight="1" s="28">
      <c r="A493" s="182" t="n">
        <v>480</v>
      </c>
      <c r="B493" s="182" t="n">
        <v>479</v>
      </c>
      <c r="C493" s="182" t="n">
        <v>4696.1</v>
      </c>
      <c r="D493" s="182" t="n">
        <v>4708.6173</v>
      </c>
      <c r="E493" s="182" t="n">
        <v>-12.5173</v>
      </c>
      <c r="F493" s="182" t="n">
        <v>156.6836</v>
      </c>
      <c r="G493" s="182" t="n">
        <v>229441</v>
      </c>
      <c r="H493" s="182" t="inlineStr"/>
      <c r="I493" s="182" t="inlineStr"/>
    </row>
    <row r="494" ht="15" customHeight="1" s="28">
      <c r="A494" s="181" t="n">
        <v>481</v>
      </c>
      <c r="B494" s="181" t="n">
        <v>480</v>
      </c>
      <c r="C494" s="181" t="n">
        <v>4690.84</v>
      </c>
      <c r="D494" s="181" t="n">
        <v>4708.3634</v>
      </c>
      <c r="E494" s="181" t="n">
        <v>-17.5234</v>
      </c>
      <c r="F494" s="181" t="n">
        <v>307.0708</v>
      </c>
      <c r="G494" s="181" t="n">
        <v>230400</v>
      </c>
      <c r="H494" s="181" t="inlineStr"/>
      <c r="I494" s="181" t="inlineStr"/>
    </row>
    <row r="495" ht="15" customHeight="1" s="28">
      <c r="A495" s="182" t="n">
        <v>482</v>
      </c>
      <c r="B495" s="182" t="n">
        <v>481</v>
      </c>
      <c r="C495" s="182" t="n">
        <v>4689.41</v>
      </c>
      <c r="D495" s="182" t="n">
        <v>4708.1095</v>
      </c>
      <c r="E495" s="182" t="n">
        <v>-18.6995</v>
      </c>
      <c r="F495" s="182" t="n">
        <v>349.6728</v>
      </c>
      <c r="G495" s="182" t="n">
        <v>231361</v>
      </c>
      <c r="H495" s="182" t="inlineStr"/>
      <c r="I495" s="182" t="inlineStr"/>
    </row>
    <row r="496" ht="15" customHeight="1" s="28">
      <c r="A496" s="181" t="n">
        <v>483</v>
      </c>
      <c r="B496" s="181" t="n">
        <v>482</v>
      </c>
      <c r="C496" s="181" t="n">
        <v>4691.39</v>
      </c>
      <c r="D496" s="181" t="n">
        <v>4707.8556</v>
      </c>
      <c r="E496" s="181" t="n">
        <v>-16.4656</v>
      </c>
      <c r="F496" s="181" t="n">
        <v>271.1175</v>
      </c>
      <c r="G496" s="181" t="n">
        <v>232324</v>
      </c>
      <c r="H496" s="181" t="inlineStr"/>
      <c r="I496" s="181" t="inlineStr"/>
    </row>
    <row r="497" ht="15" customHeight="1" s="28">
      <c r="A497" s="182" t="n">
        <v>484</v>
      </c>
      <c r="B497" s="182" t="n">
        <v>483</v>
      </c>
      <c r="C497" s="182" t="n">
        <v>4694.41</v>
      </c>
      <c r="D497" s="182" t="n">
        <v>4707.6018</v>
      </c>
      <c r="E497" s="182" t="n">
        <v>-13.1918</v>
      </c>
      <c r="F497" s="182" t="n">
        <v>174.0223</v>
      </c>
      <c r="G497" s="182" t="n">
        <v>233289</v>
      </c>
      <c r="H497" s="182" t="inlineStr"/>
      <c r="I497" s="182" t="inlineStr"/>
    </row>
    <row r="498" ht="15" customHeight="1" s="28">
      <c r="A498" s="181" t="n">
        <v>485</v>
      </c>
      <c r="B498" s="181" t="n">
        <v>484</v>
      </c>
      <c r="C498" s="181" t="n">
        <v>4697.43</v>
      </c>
      <c r="D498" s="181" t="n">
        <v>4707.3479</v>
      </c>
      <c r="E498" s="181" t="n">
        <v>-9.917899999999999</v>
      </c>
      <c r="F498" s="181" t="n">
        <v>98.3638</v>
      </c>
      <c r="G498" s="181" t="n">
        <v>234256</v>
      </c>
      <c r="H498" s="181" t="inlineStr"/>
      <c r="I498" s="181" t="inlineStr"/>
    </row>
    <row r="499" ht="15" customHeight="1" s="28">
      <c r="A499" s="182" t="n">
        <v>486</v>
      </c>
      <c r="B499" s="182" t="n">
        <v>485</v>
      </c>
      <c r="C499" s="182" t="n">
        <v>4692.9</v>
      </c>
      <c r="D499" s="182" t="n">
        <v>4707.094</v>
      </c>
      <c r="E499" s="182" t="n">
        <v>-14.194</v>
      </c>
      <c r="F499" s="182" t="n">
        <v>201.4685</v>
      </c>
      <c r="G499" s="182" t="n">
        <v>235225</v>
      </c>
      <c r="H499" s="182" t="inlineStr"/>
      <c r="I499" s="182" t="inlineStr"/>
    </row>
    <row r="500" ht="15" customHeight="1" s="28">
      <c r="A500" s="181" t="n">
        <v>487</v>
      </c>
      <c r="B500" s="181" t="n">
        <v>486</v>
      </c>
      <c r="C500" s="181" t="n">
        <v>4693.76</v>
      </c>
      <c r="D500" s="181" t="n">
        <v>4706.8401</v>
      </c>
      <c r="E500" s="181" t="n">
        <v>-13.0801</v>
      </c>
      <c r="F500" s="181" t="n">
        <v>171.0881</v>
      </c>
      <c r="G500" s="181" t="n">
        <v>236196</v>
      </c>
      <c r="H500" s="181" t="inlineStr"/>
      <c r="I500" s="181" t="inlineStr"/>
    </row>
    <row r="501" ht="15" customHeight="1" s="28">
      <c r="A501" s="182" t="n">
        <v>488</v>
      </c>
      <c r="B501" s="182" t="n">
        <v>487</v>
      </c>
      <c r="C501" s="182" t="n">
        <v>4693.35</v>
      </c>
      <c r="D501" s="182" t="n">
        <v>4706.5862</v>
      </c>
      <c r="E501" s="182" t="n">
        <v>-13.2362</v>
      </c>
      <c r="F501" s="182" t="n">
        <v>175.1962</v>
      </c>
      <c r="G501" s="182" t="n">
        <v>237169</v>
      </c>
      <c r="H501" s="182" t="inlineStr"/>
      <c r="I501" s="182" t="inlineStr"/>
    </row>
    <row r="502" ht="15" customHeight="1" s="28">
      <c r="A502" s="181" t="n">
        <v>489</v>
      </c>
      <c r="B502" s="181" t="n">
        <v>488</v>
      </c>
      <c r="C502" s="181" t="n">
        <v>4689.74</v>
      </c>
      <c r="D502" s="181" t="n">
        <v>4706.3323</v>
      </c>
      <c r="E502" s="181" t="n">
        <v>-16.5923</v>
      </c>
      <c r="F502" s="181" t="n">
        <v>275.3035</v>
      </c>
      <c r="G502" s="181" t="n">
        <v>238144</v>
      </c>
      <c r="H502" s="181" t="inlineStr"/>
      <c r="I502" s="181" t="inlineStr"/>
    </row>
    <row r="503" ht="15" customHeight="1" s="28">
      <c r="A503" s="182" t="n">
        <v>490</v>
      </c>
      <c r="B503" s="182" t="n">
        <v>489</v>
      </c>
      <c r="C503" s="182" t="n">
        <v>4694.54</v>
      </c>
      <c r="D503" s="182" t="n">
        <v>4706.0784</v>
      </c>
      <c r="E503" s="182" t="n">
        <v>-11.5384</v>
      </c>
      <c r="F503" s="182" t="n">
        <v>133.1342</v>
      </c>
      <c r="G503" s="182" t="n">
        <v>239121</v>
      </c>
      <c r="H503" s="182" t="inlineStr"/>
      <c r="I503" s="182" t="inlineStr"/>
    </row>
    <row r="504" ht="15" customHeight="1" s="28">
      <c r="A504" s="181" t="n">
        <v>491</v>
      </c>
      <c r="B504" s="181" t="n">
        <v>490</v>
      </c>
      <c r="C504" s="181" t="n">
        <v>4697.37</v>
      </c>
      <c r="D504" s="181" t="n">
        <v>4705.8245</v>
      </c>
      <c r="E504" s="181" t="n">
        <v>-8.454499999999999</v>
      </c>
      <c r="F504" s="181" t="n">
        <v>71.4783</v>
      </c>
      <c r="G504" s="181" t="n">
        <v>240100</v>
      </c>
      <c r="H504" s="181" t="inlineStr"/>
      <c r="I504" s="181" t="inlineStr"/>
    </row>
    <row r="505" ht="15" customHeight="1" s="28">
      <c r="A505" s="182" t="n">
        <v>492</v>
      </c>
      <c r="B505" s="182" t="n">
        <v>491</v>
      </c>
      <c r="C505" s="182" t="n">
        <v>4695.41</v>
      </c>
      <c r="D505" s="182" t="n">
        <v>4705.5706</v>
      </c>
      <c r="E505" s="182" t="n">
        <v>-10.1606</v>
      </c>
      <c r="F505" s="182" t="n">
        <v>103.2375</v>
      </c>
      <c r="G505" s="182" t="n">
        <v>241081</v>
      </c>
      <c r="H505" s="182" t="inlineStr"/>
      <c r="I505" s="182" t="inlineStr"/>
    </row>
    <row r="506" ht="15" customHeight="1" s="28">
      <c r="A506" s="181" t="n">
        <v>493</v>
      </c>
      <c r="B506" s="181" t="n">
        <v>492</v>
      </c>
      <c r="C506" s="181" t="n">
        <v>4698.34</v>
      </c>
      <c r="D506" s="181" t="n">
        <v>4705.3167</v>
      </c>
      <c r="E506" s="181" t="n">
        <v>-6.9767</v>
      </c>
      <c r="F506" s="181" t="n">
        <v>48.6742</v>
      </c>
      <c r="G506" s="181" t="n">
        <v>242064</v>
      </c>
      <c r="H506" s="181" t="inlineStr"/>
      <c r="I506" s="181" t="inlineStr"/>
    </row>
    <row r="507" ht="15" customHeight="1" s="28">
      <c r="A507" s="182" t="n">
        <v>494</v>
      </c>
      <c r="B507" s="182" t="n">
        <v>493</v>
      </c>
      <c r="C507" s="182" t="n">
        <v>4705.83</v>
      </c>
      <c r="D507" s="182" t="n">
        <v>4705.0628</v>
      </c>
      <c r="E507" s="182" t="n">
        <v>0.7672</v>
      </c>
      <c r="F507" s="182" t="n">
        <v>0.5886</v>
      </c>
      <c r="G507" s="182" t="n">
        <v>243049</v>
      </c>
      <c r="H507" s="182" t="inlineStr"/>
      <c r="I507" s="182" t="inlineStr"/>
    </row>
    <row r="508" ht="15" customHeight="1" s="28">
      <c r="A508" s="181" t="n">
        <v>495</v>
      </c>
      <c r="B508" s="181" t="n">
        <v>494</v>
      </c>
      <c r="C508" s="181" t="n">
        <v>4701.8</v>
      </c>
      <c r="D508" s="181" t="n">
        <v>4704.8089</v>
      </c>
      <c r="E508" s="181" t="n">
        <v>-3.0089</v>
      </c>
      <c r="F508" s="181" t="n">
        <v>9.0535</v>
      </c>
      <c r="G508" s="181" t="n">
        <v>244036</v>
      </c>
      <c r="H508" s="181" t="inlineStr"/>
      <c r="I508" s="181" t="inlineStr"/>
    </row>
    <row r="509" ht="15" customHeight="1" s="28">
      <c r="A509" s="182" t="n">
        <v>496</v>
      </c>
      <c r="B509" s="182" t="n">
        <v>495</v>
      </c>
      <c r="C509" s="182" t="n">
        <v>4704.71</v>
      </c>
      <c r="D509" s="182" t="n">
        <v>4704.555</v>
      </c>
      <c r="E509" s="182" t="n">
        <v>0.155</v>
      </c>
      <c r="F509" s="182" t="n">
        <v>0.024</v>
      </c>
      <c r="G509" s="182" t="n">
        <v>245025</v>
      </c>
      <c r="H509" s="182" t="inlineStr"/>
      <c r="I509" s="182" t="inlineStr"/>
    </row>
    <row r="510" ht="15" customHeight="1" s="28">
      <c r="A510" s="181" t="n">
        <v>497</v>
      </c>
      <c r="B510" s="181" t="n">
        <v>496</v>
      </c>
      <c r="C510" s="181" t="n">
        <v>4709.47</v>
      </c>
      <c r="D510" s="181" t="n">
        <v>4704.3011</v>
      </c>
      <c r="E510" s="181" t="n">
        <v>5.1689</v>
      </c>
      <c r="F510" s="181" t="n">
        <v>26.7174</v>
      </c>
      <c r="G510" s="181" t="n">
        <v>246016</v>
      </c>
      <c r="H510" s="181" t="inlineStr"/>
      <c r="I510" s="181" t="inlineStr"/>
    </row>
    <row r="511" ht="15" customHeight="1" s="28">
      <c r="A511" s="182" t="n">
        <v>498</v>
      </c>
      <c r="B511" s="182" t="n">
        <v>497</v>
      </c>
      <c r="C511" s="182" t="n">
        <v>4698.41</v>
      </c>
      <c r="D511" s="182" t="n">
        <v>4704.0472</v>
      </c>
      <c r="E511" s="182" t="n">
        <v>-5.6372</v>
      </c>
      <c r="F511" s="182" t="n">
        <v>31.7782</v>
      </c>
      <c r="G511" s="182" t="n">
        <v>247009</v>
      </c>
      <c r="H511" s="182" t="inlineStr"/>
      <c r="I511" s="182" t="inlineStr"/>
    </row>
    <row r="512" ht="15" customHeight="1" s="28">
      <c r="A512" s="181" t="n">
        <v>499</v>
      </c>
      <c r="B512" s="181" t="n">
        <v>498</v>
      </c>
      <c r="C512" s="181" t="n">
        <v>4690.81</v>
      </c>
      <c r="D512" s="181" t="n">
        <v>4703.7933</v>
      </c>
      <c r="E512" s="181" t="n">
        <v>-12.9833</v>
      </c>
      <c r="F512" s="181" t="n">
        <v>168.5665</v>
      </c>
      <c r="G512" s="181" t="n">
        <v>248004</v>
      </c>
      <c r="H512" s="181" t="inlineStr"/>
      <c r="I512" s="181" t="inlineStr"/>
    </row>
    <row r="513" ht="15" customHeight="1" s="28">
      <c r="A513" s="182" t="n">
        <v>500</v>
      </c>
      <c r="B513" s="182" t="n">
        <v>499</v>
      </c>
      <c r="C513" s="182" t="n">
        <v>4699.09</v>
      </c>
      <c r="D513" s="182" t="n">
        <v>4703.5394</v>
      </c>
      <c r="E513" s="182" t="n">
        <v>-4.4494</v>
      </c>
      <c r="F513" s="182" t="n">
        <v>19.7974</v>
      </c>
      <c r="G513" s="182" t="n">
        <v>249001</v>
      </c>
      <c r="H513" s="182" t="inlineStr"/>
      <c r="I513" s="182" t="inlineStr"/>
    </row>
    <row r="514" ht="15" customHeight="1" s="28">
      <c r="A514" s="181" t="n">
        <v>501</v>
      </c>
      <c r="B514" s="181" t="n">
        <v>500</v>
      </c>
      <c r="C514" s="181" t="n">
        <v>4693.29</v>
      </c>
      <c r="D514" s="181" t="n">
        <v>4703.2855</v>
      </c>
      <c r="E514" s="181" t="n">
        <v>-9.9955</v>
      </c>
      <c r="F514" s="181" t="n">
        <v>99.9106</v>
      </c>
      <c r="G514" s="181" t="n">
        <v>250000</v>
      </c>
      <c r="H514" s="181" t="inlineStr"/>
      <c r="I514" s="181" t="inlineStr"/>
    </row>
    <row r="515" ht="15" customHeight="1" s="28">
      <c r="A515" s="182" t="n">
        <v>502</v>
      </c>
      <c r="B515" s="182" t="n">
        <v>501</v>
      </c>
      <c r="C515" s="182" t="n">
        <v>4684.14</v>
      </c>
      <c r="D515" s="182" t="n">
        <v>4703.0316</v>
      </c>
      <c r="E515" s="182" t="n">
        <v>-18.8916</v>
      </c>
      <c r="F515" s="182" t="n">
        <v>356.8937</v>
      </c>
      <c r="G515" s="182" t="n">
        <v>251001</v>
      </c>
      <c r="H515" s="182" t="inlineStr"/>
      <c r="I515" s="182" t="inlineStr"/>
    </row>
    <row r="516" ht="15" customHeight="1" s="28">
      <c r="A516" s="181" t="n">
        <v>503</v>
      </c>
      <c r="B516" s="181" t="n">
        <v>502</v>
      </c>
      <c r="C516" s="181" t="n">
        <v>4683.54</v>
      </c>
      <c r="D516" s="181" t="n">
        <v>4702.7777</v>
      </c>
      <c r="E516" s="181" t="n">
        <v>-19.2377</v>
      </c>
      <c r="F516" s="181" t="n">
        <v>370.0905</v>
      </c>
      <c r="G516" s="181" t="n">
        <v>252004</v>
      </c>
      <c r="H516" s="181" t="inlineStr"/>
      <c r="I516" s="181" t="inlineStr"/>
    </row>
    <row r="517" ht="15" customHeight="1" s="28">
      <c r="A517" s="182" t="n">
        <v>504</v>
      </c>
      <c r="B517" s="182" t="n">
        <v>503</v>
      </c>
      <c r="C517" s="182" t="n">
        <v>4676.83</v>
      </c>
      <c r="D517" s="182" t="n">
        <v>4702.5238</v>
      </c>
      <c r="E517" s="182" t="n">
        <v>-25.6938</v>
      </c>
      <c r="F517" s="182" t="n">
        <v>660.1734</v>
      </c>
      <c r="G517" s="182" t="n">
        <v>253009</v>
      </c>
      <c r="H517" s="182" t="inlineStr"/>
      <c r="I517" s="182" t="inlineStr"/>
    </row>
    <row r="518" ht="15" customHeight="1" s="28">
      <c r="A518" s="181" t="n">
        <v>505</v>
      </c>
      <c r="B518" s="181" t="n">
        <v>504</v>
      </c>
      <c r="C518" s="181" t="n">
        <v>4670.5</v>
      </c>
      <c r="D518" s="181" t="n">
        <v>4702.2699</v>
      </c>
      <c r="E518" s="181" t="n">
        <v>-31.7699</v>
      </c>
      <c r="F518" s="181" t="n">
        <v>1009.3294</v>
      </c>
      <c r="G518" s="181" t="n">
        <v>254016</v>
      </c>
      <c r="H518" s="181" t="inlineStr"/>
      <c r="I518" s="181" t="inlineStr"/>
    </row>
    <row r="519" ht="15" customHeight="1" s="28">
      <c r="A519" s="182" t="n">
        <v>506</v>
      </c>
      <c r="B519" s="182" t="n">
        <v>505</v>
      </c>
      <c r="C519" s="182" t="n">
        <v>4674.62</v>
      </c>
      <c r="D519" s="182" t="n">
        <v>4702.016</v>
      </c>
      <c r="E519" s="182" t="n">
        <v>-27.396</v>
      </c>
      <c r="F519" s="182" t="n">
        <v>750.5435</v>
      </c>
      <c r="G519" s="182" t="n">
        <v>255025</v>
      </c>
      <c r="H519" s="182" t="inlineStr"/>
      <c r="I519" s="182" t="inlineStr"/>
    </row>
    <row r="520" ht="15" customHeight="1" s="28">
      <c r="A520" s="181" t="n">
        <v>507</v>
      </c>
      <c r="B520" s="181" t="n">
        <v>506</v>
      </c>
      <c r="C520" s="181" t="n">
        <v>4675.32</v>
      </c>
      <c r="D520" s="181" t="n">
        <v>4701.7622</v>
      </c>
      <c r="E520" s="181" t="n">
        <v>-26.4422</v>
      </c>
      <c r="F520" s="181" t="n">
        <v>699.1875</v>
      </c>
      <c r="G520" s="181" t="n">
        <v>256036</v>
      </c>
      <c r="H520" s="181" t="inlineStr"/>
      <c r="I520" s="181" t="inlineStr"/>
    </row>
    <row r="521" ht="15" customHeight="1" s="28">
      <c r="A521" s="182" t="n">
        <v>508</v>
      </c>
      <c r="B521" s="182" t="n">
        <v>507</v>
      </c>
      <c r="C521" s="182" t="n">
        <v>4672.16</v>
      </c>
      <c r="D521" s="182" t="n">
        <v>4701.5083</v>
      </c>
      <c r="E521" s="182" t="n">
        <v>-29.3483</v>
      </c>
      <c r="F521" s="182" t="n">
        <v>861.3203</v>
      </c>
      <c r="G521" s="182" t="n">
        <v>257049</v>
      </c>
      <c r="H521" s="182" t="inlineStr"/>
      <c r="I521" s="182" t="inlineStr"/>
    </row>
    <row r="522" ht="15" customHeight="1" s="28">
      <c r="A522" s="181" t="n">
        <v>509</v>
      </c>
      <c r="B522" s="181" t="n">
        <v>508</v>
      </c>
      <c r="C522" s="181" t="n">
        <v>4670.01</v>
      </c>
      <c r="D522" s="181" t="n">
        <v>4701.2544</v>
      </c>
      <c r="E522" s="181" t="n">
        <v>-31.2444</v>
      </c>
      <c r="F522" s="181" t="n">
        <v>976.2102</v>
      </c>
      <c r="G522" s="181" t="n">
        <v>258064</v>
      </c>
      <c r="H522" s="181" t="inlineStr"/>
      <c r="I522" s="181" t="inlineStr"/>
    </row>
    <row r="523" ht="15" customHeight="1" s="28">
      <c r="A523" s="182" t="n">
        <v>510</v>
      </c>
      <c r="B523" s="182" t="n">
        <v>509</v>
      </c>
      <c r="C523" s="182" t="n">
        <v>4659.65</v>
      </c>
      <c r="D523" s="182" t="n">
        <v>4701.0005</v>
      </c>
      <c r="E523" s="182" t="n">
        <v>-41.3505</v>
      </c>
      <c r="F523" s="182" t="n">
        <v>1709.8612</v>
      </c>
      <c r="G523" s="182" t="n">
        <v>259081</v>
      </c>
      <c r="H523" s="182" t="inlineStr"/>
      <c r="I523" s="182" t="inlineStr"/>
    </row>
    <row r="524" ht="15" customHeight="1" s="28">
      <c r="A524" s="181" t="n">
        <v>511</v>
      </c>
      <c r="B524" s="181" t="n">
        <v>510</v>
      </c>
      <c r="C524" s="181" t="n">
        <v>4668.58</v>
      </c>
      <c r="D524" s="181" t="n">
        <v>4700.7466</v>
      </c>
      <c r="E524" s="181" t="n">
        <v>-32.1666</v>
      </c>
      <c r="F524" s="181" t="n">
        <v>1034.6883</v>
      </c>
      <c r="G524" s="181" t="n">
        <v>260100</v>
      </c>
      <c r="H524" s="181" t="inlineStr"/>
      <c r="I524" s="181" t="inlineStr"/>
    </row>
    <row r="525" ht="15" customHeight="1" s="28">
      <c r="A525" s="182" t="n">
        <v>512</v>
      </c>
      <c r="B525" s="182" t="n">
        <v>511</v>
      </c>
      <c r="C525" s="182" t="n">
        <v>4674.53</v>
      </c>
      <c r="D525" s="182" t="n">
        <v>4700.4927</v>
      </c>
      <c r="E525" s="182" t="n">
        <v>-25.9627</v>
      </c>
      <c r="F525" s="182" t="n">
        <v>674.0606</v>
      </c>
      <c r="G525" s="182" t="n">
        <v>261121</v>
      </c>
      <c r="H525" s="182" t="inlineStr"/>
      <c r="I525" s="182" t="inlineStr"/>
    </row>
    <row r="526" ht="15" customHeight="1" s="28">
      <c r="A526" s="181" t="n">
        <v>513</v>
      </c>
      <c r="B526" s="181" t="n">
        <v>512</v>
      </c>
      <c r="C526" s="181" t="n">
        <v>4673.44</v>
      </c>
      <c r="D526" s="181" t="n">
        <v>4700.2388</v>
      </c>
      <c r="E526" s="181" t="n">
        <v>-26.7988</v>
      </c>
      <c r="F526" s="181" t="n">
        <v>718.1747</v>
      </c>
      <c r="G526" s="181" t="n">
        <v>262144</v>
      </c>
      <c r="H526" s="181" t="inlineStr"/>
      <c r="I526" s="181" t="inlineStr"/>
    </row>
    <row r="527" ht="15" customHeight="1" s="28">
      <c r="A527" s="182" t="n">
        <v>514</v>
      </c>
      <c r="B527" s="182" t="n">
        <v>513</v>
      </c>
      <c r="C527" s="182" t="n">
        <v>4676.49</v>
      </c>
      <c r="D527" s="182" t="n">
        <v>4699.9849</v>
      </c>
      <c r="E527" s="182" t="n">
        <v>-23.4949</v>
      </c>
      <c r="F527" s="182" t="n">
        <v>552.0096</v>
      </c>
      <c r="G527" s="182" t="n">
        <v>263169</v>
      </c>
      <c r="H527" s="182" t="inlineStr"/>
      <c r="I527" s="182" t="inlineStr"/>
    </row>
    <row r="528" ht="15" customHeight="1" s="28">
      <c r="A528" s="181" t="n">
        <v>515</v>
      </c>
      <c r="B528" s="181" t="n">
        <v>514</v>
      </c>
      <c r="C528" s="181" t="n">
        <v>4682.65</v>
      </c>
      <c r="D528" s="181" t="n">
        <v>4699.731</v>
      </c>
      <c r="E528" s="181" t="n">
        <v>-17.081</v>
      </c>
      <c r="F528" s="181" t="n">
        <v>291.7602</v>
      </c>
      <c r="G528" s="181" t="n">
        <v>264196</v>
      </c>
      <c r="H528" s="181" t="inlineStr"/>
      <c r="I528" s="181" t="inlineStr"/>
    </row>
    <row r="529" ht="15" customHeight="1" s="28">
      <c r="A529" s="182" t="n">
        <v>516</v>
      </c>
      <c r="B529" s="182" t="n">
        <v>515</v>
      </c>
      <c r="C529" s="182" t="n">
        <v>4686.43</v>
      </c>
      <c r="D529" s="182" t="n">
        <v>4699.4771</v>
      </c>
      <c r="E529" s="182" t="n">
        <v>-13.0471</v>
      </c>
      <c r="F529" s="182" t="n">
        <v>170.2267</v>
      </c>
      <c r="G529" s="182" t="n">
        <v>265225</v>
      </c>
      <c r="H529" s="182" t="inlineStr"/>
      <c r="I529" s="182" t="inlineStr"/>
    </row>
    <row r="530" ht="15" customHeight="1" s="28">
      <c r="A530" s="181" t="n">
        <v>517</v>
      </c>
      <c r="B530" s="181" t="n">
        <v>516</v>
      </c>
      <c r="C530" s="181" t="n">
        <v>4681.83</v>
      </c>
      <c r="D530" s="181" t="n">
        <v>4699.2232</v>
      </c>
      <c r="E530" s="181" t="n">
        <v>-17.3932</v>
      </c>
      <c r="F530" s="181" t="n">
        <v>302.5234</v>
      </c>
      <c r="G530" s="181" t="n">
        <v>266256</v>
      </c>
      <c r="H530" s="181" t="inlineStr"/>
      <c r="I530" s="181" t="inlineStr"/>
    </row>
    <row r="531" ht="15" customHeight="1" s="28">
      <c r="A531" s="182" t="n">
        <v>518</v>
      </c>
      <c r="B531" s="182" t="n">
        <v>517</v>
      </c>
      <c r="C531" s="182" t="n">
        <v>4671.45</v>
      </c>
      <c r="D531" s="182" t="n">
        <v>4698.9693</v>
      </c>
      <c r="E531" s="182" t="n">
        <v>-27.5193</v>
      </c>
      <c r="F531" s="182" t="n">
        <v>757.3121</v>
      </c>
      <c r="G531" s="182" t="n">
        <v>267289</v>
      </c>
      <c r="H531" s="182" t="inlineStr"/>
      <c r="I531" s="182" t="inlineStr"/>
    </row>
    <row r="532" ht="15" customHeight="1" s="28">
      <c r="A532" s="181" t="n">
        <v>519</v>
      </c>
      <c r="B532" s="181" t="n">
        <v>518</v>
      </c>
      <c r="C532" s="181" t="n">
        <v>4673.71</v>
      </c>
      <c r="D532" s="181" t="n">
        <v>4698.7154</v>
      </c>
      <c r="E532" s="181" t="n">
        <v>-25.0054</v>
      </c>
      <c r="F532" s="181" t="n">
        <v>625.2704</v>
      </c>
      <c r="G532" s="181" t="n">
        <v>268324</v>
      </c>
      <c r="H532" s="181" t="inlineStr"/>
      <c r="I532" s="181" t="inlineStr"/>
    </row>
    <row r="533" ht="15" customHeight="1" s="28">
      <c r="A533" s="182" t="n">
        <v>520</v>
      </c>
      <c r="B533" s="182" t="n">
        <v>519</v>
      </c>
      <c r="C533" s="182" t="n">
        <v>4671.98</v>
      </c>
      <c r="D533" s="182" t="n">
        <v>4698.4615</v>
      </c>
      <c r="E533" s="182" t="n">
        <v>-26.4815</v>
      </c>
      <c r="F533" s="182" t="n">
        <v>701.2705</v>
      </c>
      <c r="G533" s="182" t="n">
        <v>269361</v>
      </c>
      <c r="H533" s="182" t="inlineStr"/>
      <c r="I533" s="182" t="inlineStr"/>
    </row>
    <row r="534" ht="15" customHeight="1" s="28">
      <c r="A534" s="181" t="n">
        <v>521</v>
      </c>
      <c r="B534" s="181" t="n">
        <v>520</v>
      </c>
      <c r="C534" s="181" t="n">
        <v>4680.61</v>
      </c>
      <c r="D534" s="181" t="n">
        <v>4698.2076</v>
      </c>
      <c r="E534" s="181" t="n">
        <v>-17.5976</v>
      </c>
      <c r="F534" s="181" t="n">
        <v>309.6761</v>
      </c>
      <c r="G534" s="181" t="n">
        <v>270400</v>
      </c>
      <c r="H534" s="181" t="inlineStr"/>
      <c r="I534" s="181" t="inlineStr"/>
    </row>
    <row r="535" ht="15" customHeight="1" s="28">
      <c r="A535" s="182" t="n">
        <v>522</v>
      </c>
      <c r="B535" s="182" t="n">
        <v>521</v>
      </c>
      <c r="C535" s="182" t="n">
        <v>4684.49</v>
      </c>
      <c r="D535" s="182" t="n">
        <v>4697.9537</v>
      </c>
      <c r="E535" s="182" t="n">
        <v>-13.4637</v>
      </c>
      <c r="F535" s="182" t="n">
        <v>181.2718</v>
      </c>
      <c r="G535" s="182" t="n">
        <v>271441</v>
      </c>
      <c r="H535" s="182" t="inlineStr"/>
      <c r="I535" s="182" t="inlineStr"/>
    </row>
    <row r="536" ht="15" customHeight="1" s="28">
      <c r="A536" s="181" t="n">
        <v>523</v>
      </c>
      <c r="B536" s="181" t="n">
        <v>522</v>
      </c>
      <c r="C536" s="181" t="n">
        <v>4685.61</v>
      </c>
      <c r="D536" s="181" t="n">
        <v>4697.6998</v>
      </c>
      <c r="E536" s="181" t="n">
        <v>-12.0898</v>
      </c>
      <c r="F536" s="181" t="n">
        <v>146.1639</v>
      </c>
      <c r="G536" s="181" t="n">
        <v>272484</v>
      </c>
      <c r="H536" s="181" t="inlineStr"/>
      <c r="I536" s="181" t="inlineStr"/>
    </row>
    <row r="537" ht="15" customHeight="1" s="28">
      <c r="A537" s="182" t="n">
        <v>524</v>
      </c>
      <c r="B537" s="182" t="n">
        <v>523</v>
      </c>
      <c r="C537" s="182" t="n">
        <v>4694.57</v>
      </c>
      <c r="D537" s="182" t="n">
        <v>4697.4459</v>
      </c>
      <c r="E537" s="182" t="n">
        <v>-2.8759</v>
      </c>
      <c r="F537" s="182" t="n">
        <v>8.271000000000001</v>
      </c>
      <c r="G537" s="182" t="n">
        <v>273529</v>
      </c>
      <c r="H537" s="182" t="inlineStr"/>
      <c r="I537" s="182" t="inlineStr"/>
    </row>
    <row r="538" ht="15" customHeight="1" s="28">
      <c r="A538" s="181" t="n">
        <v>525</v>
      </c>
      <c r="B538" s="181" t="n">
        <v>524</v>
      </c>
      <c r="C538" s="181" t="n">
        <v>4687.45</v>
      </c>
      <c r="D538" s="181" t="n">
        <v>4697.192</v>
      </c>
      <c r="E538" s="181" t="n">
        <v>-9.742000000000001</v>
      </c>
      <c r="F538" s="181" t="n">
        <v>94.9072</v>
      </c>
      <c r="G538" s="181" t="n">
        <v>274576</v>
      </c>
      <c r="H538" s="181" t="inlineStr"/>
      <c r="I538" s="181" t="inlineStr"/>
    </row>
    <row r="539" ht="15" customHeight="1" s="28">
      <c r="A539" s="182" t="n">
        <v>526</v>
      </c>
      <c r="B539" s="182" t="n">
        <v>525</v>
      </c>
      <c r="C539" s="182" t="n">
        <v>4687.83</v>
      </c>
      <c r="D539" s="182" t="n">
        <v>4696.9381</v>
      </c>
      <c r="E539" s="182" t="n">
        <v>-9.1081</v>
      </c>
      <c r="F539" s="182" t="n">
        <v>82.95820000000001</v>
      </c>
      <c r="G539" s="182" t="n">
        <v>275625</v>
      </c>
      <c r="H539" s="182" t="inlineStr"/>
      <c r="I539" s="182" t="inlineStr"/>
    </row>
    <row r="540" ht="15" customHeight="1" s="28">
      <c r="A540" s="181" t="n">
        <v>527</v>
      </c>
      <c r="B540" s="181" t="n">
        <v>526</v>
      </c>
      <c r="C540" s="181" t="n">
        <v>4688.13</v>
      </c>
      <c r="D540" s="181" t="n">
        <v>4696.6842</v>
      </c>
      <c r="E540" s="181" t="n">
        <v>-8.5542</v>
      </c>
      <c r="F540" s="181" t="n">
        <v>73.1751</v>
      </c>
      <c r="G540" s="181" t="n">
        <v>276676</v>
      </c>
      <c r="H540" s="181" t="inlineStr"/>
      <c r="I540" s="181" t="inlineStr"/>
    </row>
    <row r="541" ht="15" customHeight="1" s="28">
      <c r="A541" s="182" t="n">
        <v>528</v>
      </c>
      <c r="B541" s="182" t="n">
        <v>527</v>
      </c>
      <c r="C541" s="182" t="n">
        <v>4690.84</v>
      </c>
      <c r="D541" s="182" t="n">
        <v>4696.4303</v>
      </c>
      <c r="E541" s="182" t="n">
        <v>-5.5903</v>
      </c>
      <c r="F541" s="182" t="n">
        <v>31.252</v>
      </c>
      <c r="G541" s="182" t="n">
        <v>277729</v>
      </c>
      <c r="H541" s="182" t="inlineStr"/>
      <c r="I541" s="182" t="inlineStr"/>
    </row>
    <row r="542" ht="15" customHeight="1" s="28">
      <c r="A542" s="181" t="n">
        <v>529</v>
      </c>
      <c r="B542" s="181" t="n">
        <v>528</v>
      </c>
      <c r="C542" s="181" t="n">
        <v>4695.33</v>
      </c>
      <c r="D542" s="181" t="n">
        <v>4696.1765</v>
      </c>
      <c r="E542" s="181" t="n">
        <v>-0.8465</v>
      </c>
      <c r="F542" s="181" t="n">
        <v>0.7165</v>
      </c>
      <c r="G542" s="181" t="n">
        <v>278784</v>
      </c>
      <c r="H542" s="181" t="inlineStr"/>
      <c r="I542" s="181" t="inlineStr"/>
    </row>
    <row r="543" ht="15" customHeight="1" s="28">
      <c r="A543" s="182" t="n">
        <v>530</v>
      </c>
      <c r="B543" s="182" t="n">
        <v>529</v>
      </c>
      <c r="C543" s="182" t="n">
        <v>4683.3</v>
      </c>
      <c r="D543" s="182" t="n">
        <v>4695.9226</v>
      </c>
      <c r="E543" s="182" t="n">
        <v>-12.6226</v>
      </c>
      <c r="F543" s="182" t="n">
        <v>159.329</v>
      </c>
      <c r="G543" s="182" t="n">
        <v>279841</v>
      </c>
      <c r="H543" s="182" t="inlineStr"/>
      <c r="I543" s="182" t="inlineStr"/>
    </row>
    <row r="544" ht="15" customHeight="1" s="28">
      <c r="A544" s="181" t="n">
        <v>531</v>
      </c>
      <c r="B544" s="181" t="n">
        <v>530</v>
      </c>
      <c r="C544" s="181" t="n">
        <v>4685.99</v>
      </c>
      <c r="D544" s="181" t="n">
        <v>4695.6687</v>
      </c>
      <c r="E544" s="181" t="n">
        <v>-9.678699999999999</v>
      </c>
      <c r="F544" s="181" t="n">
        <v>93.6765</v>
      </c>
      <c r="G544" s="181" t="n">
        <v>280900</v>
      </c>
      <c r="H544" s="181" t="inlineStr"/>
      <c r="I544" s="181" t="inlineStr"/>
    </row>
    <row r="545" ht="15" customHeight="1" s="28">
      <c r="A545" s="182" t="n">
        <v>532</v>
      </c>
      <c r="B545" s="182" t="n">
        <v>531</v>
      </c>
      <c r="C545" s="182" t="n">
        <v>4682.04</v>
      </c>
      <c r="D545" s="182" t="n">
        <v>4695.4148</v>
      </c>
      <c r="E545" s="182" t="n">
        <v>-13.3748</v>
      </c>
      <c r="F545" s="182" t="n">
        <v>178.8844</v>
      </c>
      <c r="G545" s="182" t="n">
        <v>281961</v>
      </c>
      <c r="H545" s="182" t="inlineStr"/>
      <c r="I545" s="182" t="inlineStr"/>
    </row>
    <row r="546" ht="15" customHeight="1" s="28">
      <c r="A546" s="181" t="n">
        <v>533</v>
      </c>
      <c r="B546" s="181" t="n">
        <v>532</v>
      </c>
      <c r="C546" s="181" t="n">
        <v>4682.45</v>
      </c>
      <c r="D546" s="181" t="n">
        <v>4695.1609</v>
      </c>
      <c r="E546" s="181" t="n">
        <v>-12.7109</v>
      </c>
      <c r="F546" s="181" t="n">
        <v>161.5662</v>
      </c>
      <c r="G546" s="181" t="n">
        <v>283024</v>
      </c>
      <c r="H546" s="181" t="inlineStr"/>
      <c r="I546" s="181" t="inlineStr"/>
    </row>
    <row r="547" ht="15" customHeight="1" s="28">
      <c r="A547" s="182" t="n">
        <v>534</v>
      </c>
      <c r="B547" s="182" t="n">
        <v>533</v>
      </c>
      <c r="C547" s="182" t="n">
        <v>4682.25</v>
      </c>
      <c r="D547" s="182" t="n">
        <v>4694.907</v>
      </c>
      <c r="E547" s="182" t="n">
        <v>-12.657</v>
      </c>
      <c r="F547" s="182" t="n">
        <v>160.199</v>
      </c>
      <c r="G547" s="182" t="n">
        <v>284089</v>
      </c>
      <c r="H547" s="182" t="inlineStr"/>
      <c r="I547" s="182" t="inlineStr"/>
    </row>
    <row r="548" ht="15" customHeight="1" s="28">
      <c r="A548" s="181" t="n">
        <v>535</v>
      </c>
      <c r="B548" s="181" t="n">
        <v>534</v>
      </c>
      <c r="C548" s="181" t="n">
        <v>4679.01</v>
      </c>
      <c r="D548" s="181" t="n">
        <v>4694.6531</v>
      </c>
      <c r="E548" s="181" t="n">
        <v>-15.6431</v>
      </c>
      <c r="F548" s="181" t="n">
        <v>244.706</v>
      </c>
      <c r="G548" s="181" t="n">
        <v>285156</v>
      </c>
      <c r="H548" s="181" t="inlineStr"/>
      <c r="I548" s="181" t="inlineStr"/>
    </row>
    <row r="549" ht="15" customHeight="1" s="28">
      <c r="A549" s="182" t="n">
        <v>536</v>
      </c>
      <c r="B549" s="182" t="n">
        <v>535</v>
      </c>
      <c r="C549" s="182" t="n">
        <v>4678.04</v>
      </c>
      <c r="D549" s="182" t="n">
        <v>4694.3992</v>
      </c>
      <c r="E549" s="182" t="n">
        <v>-16.3592</v>
      </c>
      <c r="F549" s="182" t="n">
        <v>267.6229</v>
      </c>
      <c r="G549" s="182" t="n">
        <v>286225</v>
      </c>
      <c r="H549" s="182" t="inlineStr"/>
      <c r="I549" s="182" t="inlineStr"/>
    </row>
    <row r="550" ht="15" customHeight="1" s="28">
      <c r="A550" s="181" t="n">
        <v>537</v>
      </c>
      <c r="B550" s="181" t="n">
        <v>536</v>
      </c>
      <c r="C550" s="181" t="n">
        <v>4696.78</v>
      </c>
      <c r="D550" s="181" t="n">
        <v>4694.1453</v>
      </c>
      <c r="E550" s="181" t="n">
        <v>2.6347</v>
      </c>
      <c r="F550" s="181" t="n">
        <v>6.9417</v>
      </c>
      <c r="G550" s="181" t="n">
        <v>287296</v>
      </c>
      <c r="H550" s="181" t="inlineStr"/>
      <c r="I550" s="181" t="inlineStr"/>
    </row>
    <row r="551" ht="15" customHeight="1" s="28">
      <c r="A551" s="182" t="n">
        <v>538</v>
      </c>
      <c r="B551" s="182" t="n">
        <v>537</v>
      </c>
      <c r="C551" s="182" t="n">
        <v>4715.3</v>
      </c>
      <c r="D551" s="182" t="n">
        <v>4693.8914</v>
      </c>
      <c r="E551" s="182" t="n">
        <v>21.4086</v>
      </c>
      <c r="F551" s="182" t="n">
        <v>458.3284</v>
      </c>
      <c r="G551" s="182" t="n">
        <v>288369</v>
      </c>
      <c r="H551" s="182" t="inlineStr"/>
      <c r="I551" s="182" t="inlineStr"/>
    </row>
    <row r="552" ht="15" customHeight="1" s="28">
      <c r="A552" s="181" t="n">
        <v>539</v>
      </c>
      <c r="B552" s="181" t="n">
        <v>538</v>
      </c>
      <c r="C552" s="181" t="n">
        <v>4705.4</v>
      </c>
      <c r="D552" s="181" t="n">
        <v>4693.6375</v>
      </c>
      <c r="E552" s="181" t="n">
        <v>11.7625</v>
      </c>
      <c r="F552" s="181" t="n">
        <v>138.3565</v>
      </c>
      <c r="G552" s="181" t="n">
        <v>289444</v>
      </c>
      <c r="H552" s="181" t="inlineStr"/>
      <c r="I552" s="181" t="inlineStr"/>
    </row>
    <row r="553" ht="15" customHeight="1" s="28">
      <c r="A553" s="182" t="n">
        <v>540</v>
      </c>
      <c r="B553" s="182" t="n">
        <v>539</v>
      </c>
      <c r="C553" s="182" t="n">
        <v>4706.76</v>
      </c>
      <c r="D553" s="182" t="n">
        <v>4693.3836</v>
      </c>
      <c r="E553" s="182" t="n">
        <v>13.3764</v>
      </c>
      <c r="F553" s="182" t="n">
        <v>178.928</v>
      </c>
      <c r="G553" s="182" t="n">
        <v>290521</v>
      </c>
      <c r="H553" s="182" t="inlineStr"/>
      <c r="I553" s="182" t="inlineStr"/>
    </row>
    <row r="554" ht="15" customHeight="1" s="28">
      <c r="A554" s="181" t="n">
        <v>541</v>
      </c>
      <c r="B554" s="181" t="n">
        <v>540</v>
      </c>
      <c r="C554" s="181" t="n">
        <v>4708.7</v>
      </c>
      <c r="D554" s="181" t="n">
        <v>4693.1297</v>
      </c>
      <c r="E554" s="181" t="n">
        <v>15.5703</v>
      </c>
      <c r="F554" s="181" t="n">
        <v>242.434</v>
      </c>
      <c r="G554" s="181" t="n">
        <v>291600</v>
      </c>
      <c r="H554" s="181" t="inlineStr"/>
      <c r="I554" s="181" t="inlineStr"/>
    </row>
    <row r="555" ht="15" customHeight="1" s="28">
      <c r="A555" s="182" t="n">
        <v>542</v>
      </c>
      <c r="B555" s="182" t="n">
        <v>541</v>
      </c>
      <c r="C555" s="182" t="n">
        <v>4710.63</v>
      </c>
      <c r="D555" s="182" t="n">
        <v>4692.8758</v>
      </c>
      <c r="E555" s="182" t="n">
        <v>17.7542</v>
      </c>
      <c r="F555" s="182" t="n">
        <v>315.2112</v>
      </c>
      <c r="G555" s="182" t="n">
        <v>292681</v>
      </c>
      <c r="H555" s="182" t="inlineStr"/>
      <c r="I555" s="182" t="inlineStr"/>
    </row>
    <row r="556" ht="15" customHeight="1" s="28">
      <c r="A556" s="181" t="n">
        <v>543</v>
      </c>
      <c r="B556" s="181" t="n">
        <v>542</v>
      </c>
      <c r="C556" s="181" t="n">
        <v>4698.83</v>
      </c>
      <c r="D556" s="181" t="n">
        <v>4692.6219</v>
      </c>
      <c r="E556" s="181" t="n">
        <v>6.2081</v>
      </c>
      <c r="F556" s="181" t="n">
        <v>38.5403</v>
      </c>
      <c r="G556" s="181" t="n">
        <v>293764</v>
      </c>
      <c r="H556" s="181" t="inlineStr"/>
      <c r="I556" s="181" t="inlineStr"/>
    </row>
    <row r="557" ht="15" customHeight="1" s="28">
      <c r="A557" s="182" t="n">
        <v>544</v>
      </c>
      <c r="B557" s="182" t="n">
        <v>543</v>
      </c>
      <c r="C557" s="182" t="n">
        <v>4700.67</v>
      </c>
      <c r="D557" s="182" t="n">
        <v>4692.368</v>
      </c>
      <c r="E557" s="182" t="n">
        <v>8.302</v>
      </c>
      <c r="F557" s="182" t="n">
        <v>68.9229</v>
      </c>
      <c r="G557" s="182" t="n">
        <v>294849</v>
      </c>
      <c r="H557" s="182" t="inlineStr"/>
      <c r="I557" s="182" t="inlineStr"/>
    </row>
    <row r="558" ht="15" customHeight="1" s="28">
      <c r="A558" s="181" t="n">
        <v>545</v>
      </c>
      <c r="B558" s="181" t="n">
        <v>544</v>
      </c>
      <c r="C558" s="181" t="n">
        <v>4702.99</v>
      </c>
      <c r="D558" s="181" t="n">
        <v>4692.1141</v>
      </c>
      <c r="E558" s="181" t="n">
        <v>10.8759</v>
      </c>
      <c r="F558" s="181" t="n">
        <v>118.2847</v>
      </c>
      <c r="G558" s="181" t="n">
        <v>295936</v>
      </c>
      <c r="H558" s="181" t="inlineStr"/>
      <c r="I558" s="181" t="inlineStr"/>
    </row>
    <row r="559" ht="15" customHeight="1" s="28">
      <c r="A559" s="182" t="n">
        <v>546</v>
      </c>
      <c r="B559" s="182" t="n">
        <v>545</v>
      </c>
      <c r="C559" s="182" t="n">
        <v>4697.13</v>
      </c>
      <c r="D559" s="182" t="n">
        <v>4691.8602</v>
      </c>
      <c r="E559" s="182" t="n">
        <v>5.2698</v>
      </c>
      <c r="F559" s="182" t="n">
        <v>27.7705</v>
      </c>
      <c r="G559" s="182" t="n">
        <v>297025</v>
      </c>
      <c r="H559" s="182" t="inlineStr"/>
      <c r="I559" s="182" t="inlineStr"/>
    </row>
    <row r="560" ht="15" customHeight="1" s="28">
      <c r="A560" s="181" t="n">
        <v>547</v>
      </c>
      <c r="B560" s="181" t="n">
        <v>546</v>
      </c>
      <c r="C560" s="181" t="n">
        <v>4708.23</v>
      </c>
      <c r="D560" s="181" t="n">
        <v>4691.6063</v>
      </c>
      <c r="E560" s="181" t="n">
        <v>16.6237</v>
      </c>
      <c r="F560" s="181" t="n">
        <v>276.3463</v>
      </c>
      <c r="G560" s="181" t="n">
        <v>298116</v>
      </c>
      <c r="H560" s="181" t="inlineStr"/>
      <c r="I560" s="181" t="inlineStr"/>
    </row>
    <row r="561" ht="15" customHeight="1" s="28">
      <c r="A561" s="182" t="n">
        <v>548</v>
      </c>
      <c r="B561" s="182" t="n">
        <v>547</v>
      </c>
      <c r="C561" s="182" t="n">
        <v>4711.2</v>
      </c>
      <c r="D561" s="182" t="n">
        <v>4691.3524</v>
      </c>
      <c r="E561" s="182" t="n">
        <v>19.8476</v>
      </c>
      <c r="F561" s="182" t="n">
        <v>393.9257</v>
      </c>
      <c r="G561" s="182" t="n">
        <v>299209</v>
      </c>
      <c r="H561" s="182" t="inlineStr"/>
      <c r="I561" s="182" t="inlineStr"/>
    </row>
    <row r="562" ht="15" customHeight="1" s="28">
      <c r="A562" s="181" t="n">
        <v>549</v>
      </c>
      <c r="B562" s="181" t="n">
        <v>548</v>
      </c>
      <c r="C562" s="181" t="n">
        <v>4731.95</v>
      </c>
      <c r="D562" s="181" t="n">
        <v>4691.0985</v>
      </c>
      <c r="E562" s="181" t="n">
        <v>40.8515</v>
      </c>
      <c r="F562" s="181" t="n">
        <v>1668.8415</v>
      </c>
      <c r="G562" s="181" t="n">
        <v>300304</v>
      </c>
      <c r="H562" s="181" t="inlineStr"/>
      <c r="I562" s="181" t="inlineStr"/>
    </row>
    <row r="563" ht="15" customHeight="1" s="28">
      <c r="A563" s="182" t="n">
        <v>550</v>
      </c>
      <c r="B563" s="182" t="n">
        <v>549</v>
      </c>
      <c r="C563" s="182" t="n">
        <v>4725.46</v>
      </c>
      <c r="D563" s="182" t="n">
        <v>4690.8446</v>
      </c>
      <c r="E563" s="182" t="n">
        <v>34.6154</v>
      </c>
      <c r="F563" s="182" t="n">
        <v>1198.2226</v>
      </c>
      <c r="G563" s="182" t="n">
        <v>301401</v>
      </c>
      <c r="H563" s="182" t="inlineStr"/>
      <c r="I563" s="182" t="inlineStr"/>
    </row>
    <row r="564" ht="15" customHeight="1" s="28">
      <c r="A564" s="181" t="n">
        <v>551</v>
      </c>
      <c r="B564" s="181" t="n">
        <v>550</v>
      </c>
      <c r="C564" s="181" t="n">
        <v>4730.38</v>
      </c>
      <c r="D564" s="181" t="n">
        <v>4690.5908</v>
      </c>
      <c r="E564" s="181" t="n">
        <v>39.7892</v>
      </c>
      <c r="F564" s="181" t="n">
        <v>1583.1843</v>
      </c>
      <c r="G564" s="181" t="n">
        <v>302500</v>
      </c>
      <c r="H564" s="181" t="inlineStr"/>
      <c r="I564" s="181" t="inlineStr"/>
    </row>
    <row r="565" ht="15" customHeight="1" s="28">
      <c r="A565" s="182" t="n">
        <v>552</v>
      </c>
      <c r="B565" s="182" t="n">
        <v>551</v>
      </c>
      <c r="C565" s="182" t="n">
        <v>4726.41</v>
      </c>
      <c r="D565" s="182" t="n">
        <v>4690.3369</v>
      </c>
      <c r="E565" s="182" t="n">
        <v>36.0731</v>
      </c>
      <c r="F565" s="182" t="n">
        <v>1301.2717</v>
      </c>
      <c r="G565" s="182" t="n">
        <v>303601</v>
      </c>
      <c r="H565" s="182" t="inlineStr"/>
      <c r="I565" s="182" t="inlineStr"/>
    </row>
    <row r="566" ht="15" customHeight="1" s="28">
      <c r="A566" s="181" t="n">
        <v>553</v>
      </c>
      <c r="B566" s="181" t="n">
        <v>552</v>
      </c>
      <c r="C566" s="181" t="n">
        <v>4721.97</v>
      </c>
      <c r="D566" s="181" t="n">
        <v>4690.083</v>
      </c>
      <c r="E566" s="181" t="n">
        <v>31.887</v>
      </c>
      <c r="F566" s="181" t="n">
        <v>1016.7833</v>
      </c>
      <c r="G566" s="181" t="n">
        <v>304704</v>
      </c>
      <c r="H566" s="181" t="inlineStr"/>
      <c r="I566" s="181" t="inlineStr"/>
    </row>
    <row r="567" ht="15" customHeight="1" s="28">
      <c r="A567" s="182" t="n">
        <v>554</v>
      </c>
      <c r="B567" s="182" t="n">
        <v>553</v>
      </c>
      <c r="C567" s="182" t="n">
        <v>4721.74</v>
      </c>
      <c r="D567" s="182" t="n">
        <v>4689.8291</v>
      </c>
      <c r="E567" s="182" t="n">
        <v>31.9109</v>
      </c>
      <c r="F567" s="182" t="n">
        <v>1018.3077</v>
      </c>
      <c r="G567" s="182" t="n">
        <v>305809</v>
      </c>
      <c r="H567" s="182" t="inlineStr"/>
      <c r="I567" s="182" t="inlineStr"/>
    </row>
    <row r="568" ht="15" customHeight="1" s="28">
      <c r="A568" s="181" t="n">
        <v>555</v>
      </c>
      <c r="B568" s="181" t="n">
        <v>554</v>
      </c>
      <c r="C568" s="181" t="n">
        <v>4728.12</v>
      </c>
      <c r="D568" s="181" t="n">
        <v>4689.5752</v>
      </c>
      <c r="E568" s="181" t="n">
        <v>38.5448</v>
      </c>
      <c r="F568" s="181" t="n">
        <v>1485.7039</v>
      </c>
      <c r="G568" s="181" t="n">
        <v>306916</v>
      </c>
      <c r="H568" s="181" t="inlineStr"/>
      <c r="I568" s="181" t="inlineStr"/>
    </row>
    <row r="569" ht="15" customHeight="1" s="28">
      <c r="A569" s="182" t="n">
        <v>556</v>
      </c>
      <c r="B569" s="182" t="n">
        <v>555</v>
      </c>
      <c r="C569" s="182" t="n">
        <v>4727.24</v>
      </c>
      <c r="D569" s="182" t="n">
        <v>4689.3213</v>
      </c>
      <c r="E569" s="182" t="n">
        <v>37.9187</v>
      </c>
      <c r="F569" s="182" t="n">
        <v>1437.8297</v>
      </c>
      <c r="G569" s="182" t="n">
        <v>308025</v>
      </c>
      <c r="H569" s="182" t="inlineStr"/>
      <c r="I569" s="182" t="inlineStr"/>
    </row>
    <row r="570" ht="15" customHeight="1" s="28">
      <c r="A570" s="181" t="n">
        <v>557</v>
      </c>
      <c r="B570" s="181" t="n">
        <v>556</v>
      </c>
      <c r="C570" s="181" t="n">
        <v>4720.65</v>
      </c>
      <c r="D570" s="181" t="n">
        <v>4689.0674</v>
      </c>
      <c r="E570" s="181" t="n">
        <v>31.5826</v>
      </c>
      <c r="F570" s="181" t="n">
        <v>997.4619</v>
      </c>
      <c r="G570" s="181" t="n">
        <v>309136</v>
      </c>
      <c r="H570" s="181" t="inlineStr"/>
      <c r="I570" s="181" t="inlineStr"/>
    </row>
    <row r="571" ht="15" customHeight="1" s="28">
      <c r="A571" s="182" t="n">
        <v>558</v>
      </c>
      <c r="B571" s="182" t="n">
        <v>557</v>
      </c>
      <c r="C571" s="182" t="n">
        <v>4723.32</v>
      </c>
      <c r="D571" s="182" t="n">
        <v>4688.8135</v>
      </c>
      <c r="E571" s="182" t="n">
        <v>34.5065</v>
      </c>
      <c r="F571" s="182" t="n">
        <v>1190.6997</v>
      </c>
      <c r="G571" s="182" t="n">
        <v>310249</v>
      </c>
      <c r="H571" s="182" t="inlineStr"/>
      <c r="I571" s="182" t="inlineStr"/>
    </row>
    <row r="572" ht="15" customHeight="1" s="28">
      <c r="A572" s="181" t="n">
        <v>559</v>
      </c>
      <c r="B572" s="181" t="n">
        <v>558</v>
      </c>
      <c r="C572" s="181" t="n">
        <v>4722.58</v>
      </c>
      <c r="D572" s="181" t="n">
        <v>4688.5596</v>
      </c>
      <c r="E572" s="181" t="n">
        <v>34.0204</v>
      </c>
      <c r="F572" s="181" t="n">
        <v>1157.3884</v>
      </c>
      <c r="G572" s="181" t="n">
        <v>311364</v>
      </c>
      <c r="H572" s="181" t="inlineStr"/>
      <c r="I572" s="181" t="inlineStr"/>
    </row>
    <row r="573" ht="15" customHeight="1" s="28">
      <c r="A573" s="182" t="n">
        <v>560</v>
      </c>
      <c r="B573" s="182" t="n">
        <v>559</v>
      </c>
      <c r="C573" s="182" t="n">
        <v>4726.84</v>
      </c>
      <c r="D573" s="182" t="n">
        <v>4688.3057</v>
      </c>
      <c r="E573" s="182" t="n">
        <v>38.5343</v>
      </c>
      <c r="F573" s="182" t="n">
        <v>1484.8928</v>
      </c>
      <c r="G573" s="182" t="n">
        <v>312481</v>
      </c>
      <c r="H573" s="182" t="inlineStr"/>
      <c r="I573" s="182" t="inlineStr"/>
    </row>
    <row r="574" ht="15" customHeight="1" s="28">
      <c r="A574" s="181" t="n">
        <v>561</v>
      </c>
      <c r="B574" s="181" t="n">
        <v>560</v>
      </c>
      <c r="C574" s="181" t="n">
        <v>4727.78</v>
      </c>
      <c r="D574" s="181" t="n">
        <v>4688.0518</v>
      </c>
      <c r="E574" s="181" t="n">
        <v>39.7282</v>
      </c>
      <c r="F574" s="181" t="n">
        <v>1578.3301</v>
      </c>
      <c r="G574" s="181" t="n">
        <v>313600</v>
      </c>
      <c r="H574" s="181" t="inlineStr"/>
      <c r="I574" s="181" t="inlineStr"/>
    </row>
    <row r="575" ht="15" customHeight="1" s="28">
      <c r="A575" s="182" t="n">
        <v>562</v>
      </c>
      <c r="B575" s="182" t="n">
        <v>561</v>
      </c>
      <c r="C575" s="182" t="n">
        <v>4723.06</v>
      </c>
      <c r="D575" s="182" t="n">
        <v>4687.7979</v>
      </c>
      <c r="E575" s="182" t="n">
        <v>35.2621</v>
      </c>
      <c r="F575" s="182" t="n">
        <v>1243.4156</v>
      </c>
      <c r="G575" s="182" t="n">
        <v>314721</v>
      </c>
      <c r="H575" s="182" t="inlineStr"/>
      <c r="I575" s="182" t="inlineStr"/>
    </row>
    <row r="576" ht="15" customHeight="1" s="28">
      <c r="A576" s="181" t="n">
        <v>563</v>
      </c>
      <c r="B576" s="181" t="n">
        <v>562</v>
      </c>
      <c r="C576" s="181" t="n">
        <v>4722.48</v>
      </c>
      <c r="D576" s="181" t="n">
        <v>4687.544</v>
      </c>
      <c r="E576" s="181" t="n">
        <v>34.936</v>
      </c>
      <c r="F576" s="181" t="n">
        <v>1220.5237</v>
      </c>
      <c r="G576" s="181" t="n">
        <v>315844</v>
      </c>
      <c r="H576" s="181" t="inlineStr"/>
      <c r="I576" s="181" t="inlineStr"/>
    </row>
    <row r="577" ht="15" customHeight="1" s="28">
      <c r="A577" s="182" t="n">
        <v>564</v>
      </c>
      <c r="B577" s="182" t="n">
        <v>563</v>
      </c>
      <c r="C577" s="182" t="n">
        <v>4723.38</v>
      </c>
      <c r="D577" s="182" t="n">
        <v>4687.2901</v>
      </c>
      <c r="E577" s="182" t="n">
        <v>36.0899</v>
      </c>
      <c r="F577" s="182" t="n">
        <v>1302.4801</v>
      </c>
      <c r="G577" s="182" t="n">
        <v>316969</v>
      </c>
      <c r="H577" s="182" t="inlineStr"/>
      <c r="I577" s="182" t="inlineStr"/>
    </row>
    <row r="578" ht="15" customHeight="1" s="28">
      <c r="A578" s="181" t="n">
        <v>565</v>
      </c>
      <c r="B578" s="181" t="n">
        <v>564</v>
      </c>
      <c r="C578" s="181" t="n">
        <v>4723.94</v>
      </c>
      <c r="D578" s="181" t="n">
        <v>4687.0362</v>
      </c>
      <c r="E578" s="181" t="n">
        <v>36.9038</v>
      </c>
      <c r="F578" s="181" t="n">
        <v>1361.8893</v>
      </c>
      <c r="G578" s="181" t="n">
        <v>318096</v>
      </c>
      <c r="H578" s="181" t="inlineStr"/>
      <c r="I578" s="181" t="inlineStr"/>
    </row>
    <row r="579" ht="15" customHeight="1" s="28">
      <c r="A579" s="182" t="n">
        <v>566</v>
      </c>
      <c r="B579" s="182" t="n">
        <v>565</v>
      </c>
      <c r="C579" s="182" t="n">
        <v>4717.26</v>
      </c>
      <c r="D579" s="182" t="n">
        <v>4686.7823</v>
      </c>
      <c r="E579" s="182" t="n">
        <v>30.4777</v>
      </c>
      <c r="F579" s="182" t="n">
        <v>928.889</v>
      </c>
      <c r="G579" s="182" t="n">
        <v>319225</v>
      </c>
      <c r="H579" s="182" t="inlineStr"/>
      <c r="I579" s="182" t="inlineStr"/>
    </row>
    <row r="580" ht="15" customHeight="1" s="28">
      <c r="A580" s="181" t="n">
        <v>567</v>
      </c>
      <c r="B580" s="181" t="n">
        <v>566</v>
      </c>
      <c r="C580" s="181" t="n">
        <v>4718.98</v>
      </c>
      <c r="D580" s="181" t="n">
        <v>4686.5284</v>
      </c>
      <c r="E580" s="181" t="n">
        <v>32.4516</v>
      </c>
      <c r="F580" s="181" t="n">
        <v>1053.1048</v>
      </c>
      <c r="G580" s="181" t="n">
        <v>320356</v>
      </c>
      <c r="H580" s="181" t="inlineStr"/>
      <c r="I580" s="181" t="inlineStr"/>
    </row>
    <row r="581" ht="15" customHeight="1" s="28">
      <c r="A581" s="182" t="n">
        <v>568</v>
      </c>
      <c r="B581" s="182" t="n">
        <v>567</v>
      </c>
      <c r="C581" s="182" t="n">
        <v>4722.91</v>
      </c>
      <c r="D581" s="182" t="n">
        <v>4686.2745</v>
      </c>
      <c r="E581" s="182" t="n">
        <v>36.6355</v>
      </c>
      <c r="F581" s="182" t="n">
        <v>1342.1578</v>
      </c>
      <c r="G581" s="182" t="n">
        <v>321489</v>
      </c>
      <c r="H581" s="182" t="inlineStr"/>
      <c r="I581" s="182" t="inlineStr"/>
    </row>
    <row r="582" ht="15" customHeight="1" s="28">
      <c r="A582" s="181" t="n">
        <v>569</v>
      </c>
      <c r="B582" s="181" t="n">
        <v>568</v>
      </c>
      <c r="C582" s="181" t="n">
        <v>4722.47</v>
      </c>
      <c r="D582" s="181" t="n">
        <v>4686.0206</v>
      </c>
      <c r="E582" s="181" t="n">
        <v>36.4494</v>
      </c>
      <c r="F582" s="181" t="n">
        <v>1328.5563</v>
      </c>
      <c r="G582" s="181" t="n">
        <v>322624</v>
      </c>
      <c r="H582" s="181" t="inlineStr"/>
      <c r="I582" s="181" t="inlineStr"/>
    </row>
    <row r="583" ht="15" customHeight="1" s="28">
      <c r="A583" s="182" t="n">
        <v>570</v>
      </c>
      <c r="B583" s="182" t="n">
        <v>569</v>
      </c>
      <c r="C583" s="182" t="n">
        <v>4719.08</v>
      </c>
      <c r="D583" s="182" t="n">
        <v>4685.7667</v>
      </c>
      <c r="E583" s="182" t="n">
        <v>33.3133</v>
      </c>
      <c r="F583" s="182" t="n">
        <v>1109.7734</v>
      </c>
      <c r="G583" s="182" t="n">
        <v>323761</v>
      </c>
      <c r="H583" s="182" t="inlineStr"/>
      <c r="I583" s="182" t="inlineStr"/>
    </row>
    <row r="584" ht="15" customHeight="1" s="28">
      <c r="A584" s="181" t="n">
        <v>571</v>
      </c>
      <c r="B584" s="181" t="n">
        <v>570</v>
      </c>
      <c r="C584" s="181" t="n">
        <v>4716.82</v>
      </c>
      <c r="D584" s="181" t="n">
        <v>4685.5128</v>
      </c>
      <c r="E584" s="181" t="n">
        <v>31.3072</v>
      </c>
      <c r="F584" s="181" t="n">
        <v>980.1381</v>
      </c>
      <c r="G584" s="181" t="n">
        <v>324900</v>
      </c>
      <c r="H584" s="181" t="inlineStr"/>
      <c r="I584" s="181" t="inlineStr"/>
    </row>
    <row r="585" ht="15" customHeight="1" s="28">
      <c r="A585" s="182" t="n">
        <v>572</v>
      </c>
      <c r="B585" s="182" t="n">
        <v>571</v>
      </c>
      <c r="C585" s="182" t="n">
        <v>4717.02</v>
      </c>
      <c r="D585" s="182" t="n">
        <v>4685.2589</v>
      </c>
      <c r="E585" s="182" t="n">
        <v>31.7611</v>
      </c>
      <c r="F585" s="182" t="n">
        <v>1008.7645</v>
      </c>
      <c r="G585" s="182" t="n">
        <v>326041</v>
      </c>
      <c r="H585" s="182" t="inlineStr"/>
      <c r="I585" s="182" t="inlineStr"/>
    </row>
    <row r="586" ht="15" customHeight="1" s="28">
      <c r="A586" s="181" t="n">
        <v>573</v>
      </c>
      <c r="B586" s="181" t="n">
        <v>572</v>
      </c>
      <c r="C586" s="181" t="n">
        <v>4706.56</v>
      </c>
      <c r="D586" s="181" t="n">
        <v>4685.0051</v>
      </c>
      <c r="E586" s="181" t="n">
        <v>21.5549</v>
      </c>
      <c r="F586" s="181" t="n">
        <v>464.6158</v>
      </c>
      <c r="G586" s="181" t="n">
        <v>327184</v>
      </c>
      <c r="H586" s="181" t="inlineStr"/>
      <c r="I586" s="181" t="inlineStr"/>
    </row>
    <row r="587" ht="15" customHeight="1" s="28">
      <c r="A587" s="182" t="n">
        <v>574</v>
      </c>
      <c r="B587" s="182" t="n">
        <v>573</v>
      </c>
      <c r="C587" s="182" t="n">
        <v>4708.18</v>
      </c>
      <c r="D587" s="182" t="n">
        <v>4684.7512</v>
      </c>
      <c r="E587" s="182" t="n">
        <v>23.4288</v>
      </c>
      <c r="F587" s="182" t="n">
        <v>548.9107</v>
      </c>
      <c r="G587" s="182" t="n">
        <v>328329</v>
      </c>
      <c r="H587" s="182" t="inlineStr"/>
      <c r="I587" s="182" t="inlineStr"/>
    </row>
    <row r="588" ht="15" customHeight="1" s="28">
      <c r="A588" s="181" t="n">
        <v>575</v>
      </c>
      <c r="B588" s="181" t="n">
        <v>574</v>
      </c>
      <c r="C588" s="181" t="n">
        <v>4707.61</v>
      </c>
      <c r="D588" s="181" t="n">
        <v>4684.4973</v>
      </c>
      <c r="E588" s="181" t="n">
        <v>23.1127</v>
      </c>
      <c r="F588" s="181" t="n">
        <v>534.1987</v>
      </c>
      <c r="G588" s="181" t="n">
        <v>329476</v>
      </c>
      <c r="H588" s="181" t="inlineStr"/>
      <c r="I588" s="181" t="inlineStr"/>
    </row>
    <row r="589" ht="15" customHeight="1" s="28">
      <c r="A589" s="182" t="n">
        <v>576</v>
      </c>
      <c r="B589" s="182" t="n">
        <v>575</v>
      </c>
      <c r="C589" s="182" t="n">
        <v>4708.24</v>
      </c>
      <c r="D589" s="182" t="n">
        <v>4684.2434</v>
      </c>
      <c r="E589" s="182" t="n">
        <v>23.9966</v>
      </c>
      <c r="F589" s="182" t="n">
        <v>575.8385</v>
      </c>
      <c r="G589" s="182" t="n">
        <v>330625</v>
      </c>
      <c r="H589" s="182" t="inlineStr"/>
      <c r="I589" s="182" t="inlineStr"/>
    </row>
    <row r="590" ht="15" customHeight="1" s="28">
      <c r="A590" s="181" t="n">
        <v>577</v>
      </c>
      <c r="B590" s="181" t="n">
        <v>576</v>
      </c>
      <c r="C590" s="181" t="n">
        <v>4685.5</v>
      </c>
      <c r="D590" s="181" t="n">
        <v>4683.9895</v>
      </c>
      <c r="E590" s="181" t="n">
        <v>1.5105</v>
      </c>
      <c r="F590" s="181" t="n">
        <v>2.2817</v>
      </c>
      <c r="G590" s="181" t="n">
        <v>331776</v>
      </c>
      <c r="H590" s="181" t="inlineStr"/>
      <c r="I590" s="181" t="inlineStr"/>
    </row>
    <row r="591" ht="15" customHeight="1" s="28">
      <c r="A591" s="182" t="n">
        <v>578</v>
      </c>
      <c r="B591" s="182" t="n">
        <v>577</v>
      </c>
      <c r="C591" s="182" t="n">
        <v>4686.88</v>
      </c>
      <c r="D591" s="182" t="n">
        <v>4683.7356</v>
      </c>
      <c r="E591" s="182" t="n">
        <v>3.1444</v>
      </c>
      <c r="F591" s="182" t="n">
        <v>9.8874</v>
      </c>
      <c r="G591" s="182" t="n">
        <v>332929</v>
      </c>
      <c r="H591" s="182" t="inlineStr"/>
      <c r="I591" s="182" t="inlineStr"/>
    </row>
    <row r="592" ht="15" customHeight="1" s="28">
      <c r="A592" s="181" t="n">
        <v>579</v>
      </c>
      <c r="B592" s="181" t="n">
        <v>578</v>
      </c>
      <c r="C592" s="181" t="n">
        <v>4684.48</v>
      </c>
      <c r="D592" s="181" t="n">
        <v>4683.4817</v>
      </c>
      <c r="E592" s="181" t="n">
        <v>0.9983</v>
      </c>
      <c r="F592" s="181" t="n">
        <v>0.9966</v>
      </c>
      <c r="G592" s="181" t="n">
        <v>334084</v>
      </c>
      <c r="H592" s="181" t="inlineStr"/>
      <c r="I592" s="181" t="inlineStr"/>
    </row>
    <row r="593" ht="15" customHeight="1" s="28">
      <c r="A593" s="182" t="n">
        <v>580</v>
      </c>
      <c r="B593" s="182" t="n">
        <v>579</v>
      </c>
      <c r="C593" s="182" t="n">
        <v>4684.52</v>
      </c>
      <c r="D593" s="182" t="n">
        <v>4683.2278</v>
      </c>
      <c r="E593" s="182" t="n">
        <v>1.2922</v>
      </c>
      <c r="F593" s="182" t="n">
        <v>1.6698</v>
      </c>
      <c r="G593" s="182" t="n">
        <v>335241</v>
      </c>
      <c r="H593" s="182" t="inlineStr"/>
      <c r="I593" s="182" t="inlineStr"/>
    </row>
    <row r="594" ht="15" customHeight="1" s="28">
      <c r="A594" s="181" t="n">
        <v>581</v>
      </c>
      <c r="B594" s="181" t="n">
        <v>580</v>
      </c>
      <c r="C594" s="181" t="n">
        <v>4683.71</v>
      </c>
      <c r="D594" s="181" t="n">
        <v>4682.9739</v>
      </c>
      <c r="E594" s="181" t="n">
        <v>0.7361</v>
      </c>
      <c r="F594" s="181" t="n">
        <v>0.5419</v>
      </c>
      <c r="G594" s="181" t="n">
        <v>336400</v>
      </c>
      <c r="H594" s="181" t="inlineStr"/>
      <c r="I594" s="181" t="inlineStr"/>
    </row>
    <row r="595" ht="15" customHeight="1" s="28">
      <c r="A595" s="182" t="n">
        <v>582</v>
      </c>
      <c r="B595" s="182" t="n">
        <v>581</v>
      </c>
      <c r="C595" s="182" t="n">
        <v>4677.41</v>
      </c>
      <c r="D595" s="182" t="n">
        <v>4682.72</v>
      </c>
      <c r="E595" s="182" t="n">
        <v>-5.31</v>
      </c>
      <c r="F595" s="182" t="n">
        <v>28.196</v>
      </c>
      <c r="G595" s="182" t="n">
        <v>337561</v>
      </c>
      <c r="H595" s="182" t="inlineStr"/>
      <c r="I595" s="182" t="inlineStr"/>
    </row>
    <row r="596" ht="15" customHeight="1" s="28">
      <c r="A596" s="181" t="n">
        <v>583</v>
      </c>
      <c r="B596" s="181" t="n">
        <v>582</v>
      </c>
      <c r="C596" s="181" t="n">
        <v>4676.93</v>
      </c>
      <c r="D596" s="181" t="n">
        <v>4682.4661</v>
      </c>
      <c r="E596" s="181" t="n">
        <v>-5.5361</v>
      </c>
      <c r="F596" s="181" t="n">
        <v>30.6484</v>
      </c>
      <c r="G596" s="181" t="n">
        <v>338724</v>
      </c>
      <c r="H596" s="181" t="inlineStr"/>
      <c r="I596" s="181" t="inlineStr"/>
    </row>
    <row r="597" ht="15" customHeight="1" s="28">
      <c r="A597" s="182" t="n">
        <v>584</v>
      </c>
      <c r="B597" s="182" t="n">
        <v>583</v>
      </c>
      <c r="C597" s="182" t="n">
        <v>4680.04</v>
      </c>
      <c r="D597" s="182" t="n">
        <v>4682.2122</v>
      </c>
      <c r="E597" s="182" t="n">
        <v>-2.1722</v>
      </c>
      <c r="F597" s="182" t="n">
        <v>4.7185</v>
      </c>
      <c r="G597" s="182" t="n">
        <v>339889</v>
      </c>
      <c r="H597" s="182" t="inlineStr"/>
      <c r="I597" s="182" t="inlineStr"/>
    </row>
    <row r="598" ht="15" customHeight="1" s="28">
      <c r="A598" s="181" t="n">
        <v>585</v>
      </c>
      <c r="B598" s="181" t="n">
        <v>584</v>
      </c>
      <c r="C598" s="181" t="n">
        <v>4679.86</v>
      </c>
      <c r="D598" s="181" t="n">
        <v>4681.9583</v>
      </c>
      <c r="E598" s="181" t="n">
        <v>-2.0983</v>
      </c>
      <c r="F598" s="181" t="n">
        <v>4.4029</v>
      </c>
      <c r="G598" s="181" t="n">
        <v>341056</v>
      </c>
      <c r="H598" s="181" t="inlineStr"/>
      <c r="I598" s="181" t="inlineStr"/>
    </row>
    <row r="599" ht="15" customHeight="1" s="28">
      <c r="A599" s="182" t="n">
        <v>586</v>
      </c>
      <c r="B599" s="182" t="n">
        <v>585</v>
      </c>
      <c r="C599" s="182" t="n">
        <v>4680.65</v>
      </c>
      <c r="D599" s="182" t="n">
        <v>4681.7044</v>
      </c>
      <c r="E599" s="182" t="n">
        <v>-1.0544</v>
      </c>
      <c r="F599" s="182" t="n">
        <v>1.1118</v>
      </c>
      <c r="G599" s="182" t="n">
        <v>342225</v>
      </c>
      <c r="H599" s="182" t="inlineStr"/>
      <c r="I599" s="182" t="inlineStr"/>
    </row>
    <row r="600" ht="15" customHeight="1" s="28">
      <c r="A600" s="181" t="n">
        <v>587</v>
      </c>
      <c r="B600" s="181" t="n">
        <v>586</v>
      </c>
      <c r="C600" s="181" t="n">
        <v>4680.47</v>
      </c>
      <c r="D600" s="181" t="n">
        <v>4681.4505</v>
      </c>
      <c r="E600" s="181" t="n">
        <v>-0.9805</v>
      </c>
      <c r="F600" s="181" t="n">
        <v>0.9614</v>
      </c>
      <c r="G600" s="181" t="n">
        <v>343396</v>
      </c>
      <c r="H600" s="181" t="inlineStr"/>
      <c r="I600" s="181" t="inlineStr"/>
    </row>
    <row r="601" ht="15" customHeight="1" s="28">
      <c r="A601" s="182" t="n">
        <v>588</v>
      </c>
      <c r="B601" s="182" t="n">
        <v>587</v>
      </c>
      <c r="C601" s="182" t="n">
        <v>4697.98</v>
      </c>
      <c r="D601" s="182" t="n">
        <v>4681.1966</v>
      </c>
      <c r="E601" s="182" t="n">
        <v>16.7834</v>
      </c>
      <c r="F601" s="182" t="n">
        <v>281.6819</v>
      </c>
      <c r="G601" s="182" t="n">
        <v>344569</v>
      </c>
      <c r="H601" s="182" t="inlineStr"/>
      <c r="I601" s="182" t="inlineStr"/>
    </row>
    <row r="602" ht="15" customHeight="1" s="28">
      <c r="A602" s="181" t="n">
        <v>589</v>
      </c>
      <c r="B602" s="181" t="n">
        <v>588</v>
      </c>
      <c r="C602" s="181" t="n">
        <v>4692.94</v>
      </c>
      <c r="D602" s="181" t="n">
        <v>4680.9427</v>
      </c>
      <c r="E602" s="181" t="n">
        <v>11.9973</v>
      </c>
      <c r="F602" s="181" t="n">
        <v>143.9346</v>
      </c>
      <c r="G602" s="181" t="n">
        <v>345744</v>
      </c>
      <c r="H602" s="181" t="inlineStr"/>
      <c r="I602" s="181" t="inlineStr"/>
    </row>
    <row r="603" ht="15" customHeight="1" s="28">
      <c r="A603" s="182" t="n">
        <v>590</v>
      </c>
      <c r="B603" s="182" t="n">
        <v>589</v>
      </c>
      <c r="C603" s="182" t="n">
        <v>4697.97</v>
      </c>
      <c r="D603" s="182" t="n">
        <v>4680.6888</v>
      </c>
      <c r="E603" s="182" t="n">
        <v>17.2812</v>
      </c>
      <c r="F603" s="182" t="n">
        <v>298.6389</v>
      </c>
      <c r="G603" s="182" t="n">
        <v>346921</v>
      </c>
      <c r="H603" s="182" t="inlineStr"/>
      <c r="I603" s="182" t="inlineStr"/>
    </row>
    <row r="604" ht="15" customHeight="1" s="28">
      <c r="A604" s="181" t="n">
        <v>591</v>
      </c>
      <c r="B604" s="181" t="n">
        <v>590</v>
      </c>
      <c r="C604" s="181" t="n">
        <v>4697.87</v>
      </c>
      <c r="D604" s="181" t="n">
        <v>4680.4349</v>
      </c>
      <c r="E604" s="181" t="n">
        <v>17.4351</v>
      </c>
      <c r="F604" s="181" t="n">
        <v>303.9816</v>
      </c>
      <c r="G604" s="181" t="n">
        <v>348100</v>
      </c>
      <c r="H604" s="181" t="inlineStr"/>
      <c r="I604" s="181" t="inlineStr"/>
    </row>
    <row r="605" ht="15" customHeight="1" s="28">
      <c r="A605" s="182" t="n">
        <v>592</v>
      </c>
      <c r="B605" s="182" t="n">
        <v>591</v>
      </c>
      <c r="C605" s="182" t="n">
        <v>4702.74</v>
      </c>
      <c r="D605" s="182" t="n">
        <v>4680.181</v>
      </c>
      <c r="E605" s="182" t="n">
        <v>22.559</v>
      </c>
      <c r="F605" s="182" t="n">
        <v>508.9068</v>
      </c>
      <c r="G605" s="182" t="n">
        <v>349281</v>
      </c>
      <c r="H605" s="182" t="inlineStr"/>
      <c r="I605" s="182" t="inlineStr"/>
    </row>
    <row r="606" ht="15" customHeight="1" s="28">
      <c r="A606" s="181" t="n">
        <v>593</v>
      </c>
      <c r="B606" s="181" t="n">
        <v>592</v>
      </c>
      <c r="C606" s="181" t="n">
        <v>4699.73</v>
      </c>
      <c r="D606" s="181" t="n">
        <v>4679.9271</v>
      </c>
      <c r="E606" s="181" t="n">
        <v>19.8029</v>
      </c>
      <c r="F606" s="181" t="n">
        <v>392.1532</v>
      </c>
      <c r="G606" s="181" t="n">
        <v>350464</v>
      </c>
      <c r="H606" s="181" t="inlineStr"/>
      <c r="I606" s="181" t="inlineStr"/>
    </row>
    <row r="607" ht="15" customHeight="1" s="28">
      <c r="A607" s="182" t="n">
        <v>594</v>
      </c>
      <c r="B607" s="182" t="n">
        <v>593</v>
      </c>
      <c r="C607" s="182" t="n">
        <v>4705.71</v>
      </c>
      <c r="D607" s="182" t="n">
        <v>4679.6732</v>
      </c>
      <c r="E607" s="182" t="n">
        <v>26.0368</v>
      </c>
      <c r="F607" s="182" t="n">
        <v>677.9126</v>
      </c>
      <c r="G607" s="182" t="n">
        <v>351649</v>
      </c>
      <c r="H607" s="182" t="inlineStr"/>
      <c r="I607" s="182" t="inlineStr"/>
    </row>
    <row r="608" ht="15" customHeight="1" s="28">
      <c r="A608" s="181" t="n">
        <v>595</v>
      </c>
      <c r="B608" s="181" t="n">
        <v>594</v>
      </c>
      <c r="C608" s="181" t="n">
        <v>4713.51</v>
      </c>
      <c r="D608" s="181" t="n">
        <v>4679.4194</v>
      </c>
      <c r="E608" s="181" t="n">
        <v>34.0906</v>
      </c>
      <c r="F608" s="181" t="n">
        <v>1162.1724</v>
      </c>
      <c r="G608" s="181" t="n">
        <v>352836</v>
      </c>
      <c r="H608" s="181" t="inlineStr"/>
      <c r="I608" s="181" t="inlineStr"/>
    </row>
    <row r="609" ht="15" customHeight="1" s="28">
      <c r="A609" s="182" t="n">
        <v>596</v>
      </c>
      <c r="B609" s="182" t="n">
        <v>595</v>
      </c>
      <c r="C609" s="182" t="n">
        <v>4718.18</v>
      </c>
      <c r="D609" s="182" t="n">
        <v>4679.1655</v>
      </c>
      <c r="E609" s="182" t="n">
        <v>39.0145</v>
      </c>
      <c r="F609" s="182" t="n">
        <v>1522.1347</v>
      </c>
      <c r="G609" s="182" t="n">
        <v>354025</v>
      </c>
      <c r="H609" s="182" t="inlineStr"/>
      <c r="I609" s="182" t="inlineStr"/>
    </row>
    <row r="610" ht="15" customHeight="1" s="28">
      <c r="A610" s="181" t="n">
        <v>597</v>
      </c>
      <c r="B610" s="181" t="n">
        <v>596</v>
      </c>
      <c r="C610" s="181" t="n">
        <v>4717.72</v>
      </c>
      <c r="D610" s="181" t="n">
        <v>4678.9116</v>
      </c>
      <c r="E610" s="181" t="n">
        <v>38.8084</v>
      </c>
      <c r="F610" s="181" t="n">
        <v>1506.0951</v>
      </c>
      <c r="G610" s="181" t="n">
        <v>355216</v>
      </c>
      <c r="H610" s="181" t="inlineStr"/>
      <c r="I610" s="181" t="inlineStr"/>
    </row>
    <row r="611" ht="15" customHeight="1" s="28">
      <c r="A611" s="182" t="n">
        <v>598</v>
      </c>
      <c r="B611" s="182" t="n">
        <v>597</v>
      </c>
      <c r="C611" s="182" t="n">
        <v>4715.68</v>
      </c>
      <c r="D611" s="182" t="n">
        <v>4678.6577</v>
      </c>
      <c r="E611" s="182" t="n">
        <v>37.0223</v>
      </c>
      <c r="F611" s="182" t="n">
        <v>1370.6534</v>
      </c>
      <c r="G611" s="182" t="n">
        <v>356409</v>
      </c>
      <c r="H611" s="182" t="inlineStr"/>
      <c r="I611" s="182" t="inlineStr"/>
    </row>
    <row r="612" ht="15" customHeight="1" s="28">
      <c r="A612" s="181" t="n">
        <v>599</v>
      </c>
      <c r="B612" s="181" t="n">
        <v>598</v>
      </c>
      <c r="C612" s="181" t="n">
        <v>4728.4</v>
      </c>
      <c r="D612" s="181" t="n">
        <v>4678.4038</v>
      </c>
      <c r="E612" s="181" t="n">
        <v>49.9962</v>
      </c>
      <c r="F612" s="181" t="n">
        <v>2499.6232</v>
      </c>
      <c r="G612" s="181" t="n">
        <v>357604</v>
      </c>
      <c r="H612" s="181" t="inlineStr"/>
      <c r="I612" s="181" t="inlineStr"/>
    </row>
    <row r="613" ht="15" customHeight="1" s="28">
      <c r="A613" s="182" t="n">
        <v>600</v>
      </c>
      <c r="B613" s="182" t="n">
        <v>599</v>
      </c>
      <c r="C613" s="182" t="n">
        <v>4724.1</v>
      </c>
      <c r="D613" s="182" t="n">
        <v>4678.1499</v>
      </c>
      <c r="E613" s="182" t="n">
        <v>45.9501</v>
      </c>
      <c r="F613" s="182" t="n">
        <v>2111.4142</v>
      </c>
      <c r="G613" s="182" t="n">
        <v>358801</v>
      </c>
      <c r="H613" s="182" t="inlineStr"/>
      <c r="I613" s="182" t="inlineStr"/>
    </row>
    <row r="614" ht="15" customHeight="1" s="28">
      <c r="A614" s="181" t="n">
        <v>601</v>
      </c>
      <c r="B614" s="181" t="n">
        <v>600</v>
      </c>
      <c r="C614" s="181" t="n">
        <v>4727.47</v>
      </c>
      <c r="D614" s="181" t="n">
        <v>4677.896</v>
      </c>
      <c r="E614" s="181" t="n">
        <v>49.574</v>
      </c>
      <c r="F614" s="181" t="n">
        <v>2457.5837</v>
      </c>
      <c r="G614" s="181" t="n">
        <v>360000</v>
      </c>
      <c r="H614" s="181" t="inlineStr"/>
      <c r="I614" s="181" t="inlineStr"/>
    </row>
    <row r="615" ht="15" customHeight="1" s="28">
      <c r="A615" s="182" t="n">
        <v>602</v>
      </c>
      <c r="B615" s="182" t="n">
        <v>601</v>
      </c>
      <c r="C615" s="182" t="n">
        <v>4726.85</v>
      </c>
      <c r="D615" s="182" t="n">
        <v>4677.6421</v>
      </c>
      <c r="E615" s="182" t="n">
        <v>49.2079</v>
      </c>
      <c r="F615" s="182" t="n">
        <v>2421.4192</v>
      </c>
      <c r="G615" s="182" t="n">
        <v>361201</v>
      </c>
      <c r="H615" s="182" t="inlineStr"/>
      <c r="I615" s="182" t="inlineStr"/>
    </row>
    <row r="616" ht="15" customHeight="1" s="28">
      <c r="A616" s="181" t="n">
        <v>603</v>
      </c>
      <c r="B616" s="181" t="n">
        <v>602</v>
      </c>
      <c r="C616" s="181" t="n">
        <v>4726.18</v>
      </c>
      <c r="D616" s="181" t="n">
        <v>4677.3882</v>
      </c>
      <c r="E616" s="181" t="n">
        <v>48.7918</v>
      </c>
      <c r="F616" s="181" t="n">
        <v>2380.6411</v>
      </c>
      <c r="G616" s="181" t="n">
        <v>362404</v>
      </c>
      <c r="H616" s="181" t="inlineStr"/>
      <c r="I616" s="181" t="inlineStr"/>
    </row>
    <row r="617" ht="15" customHeight="1" s="28">
      <c r="A617" s="182" t="n">
        <v>604</v>
      </c>
      <c r="B617" s="182" t="n">
        <v>603</v>
      </c>
      <c r="C617" s="182" t="n">
        <v>4724.74</v>
      </c>
      <c r="D617" s="182" t="n">
        <v>4677.1343</v>
      </c>
      <c r="E617" s="182" t="n">
        <v>47.6057</v>
      </c>
      <c r="F617" s="182" t="n">
        <v>2266.3035</v>
      </c>
      <c r="G617" s="182" t="n">
        <v>363609</v>
      </c>
      <c r="H617" s="182" t="inlineStr"/>
      <c r="I617" s="182" t="inlineStr"/>
    </row>
    <row r="618" ht="15" customHeight="1" s="28">
      <c r="A618" s="181" t="n">
        <v>605</v>
      </c>
      <c r="B618" s="181" t="n">
        <v>604</v>
      </c>
      <c r="C618" s="181" t="n">
        <v>4718.21</v>
      </c>
      <c r="D618" s="181" t="n">
        <v>4676.8804</v>
      </c>
      <c r="E618" s="181" t="n">
        <v>41.3296</v>
      </c>
      <c r="F618" s="181" t="n">
        <v>1708.1362</v>
      </c>
      <c r="G618" s="181" t="n">
        <v>364816</v>
      </c>
      <c r="H618" s="181" t="inlineStr"/>
      <c r="I618" s="181" t="inlineStr"/>
    </row>
    <row r="619" ht="15" customHeight="1" s="28">
      <c r="A619" s="182" t="n">
        <v>606</v>
      </c>
      <c r="B619" s="182" t="n">
        <v>605</v>
      </c>
      <c r="C619" s="182" t="n">
        <v>4718.25</v>
      </c>
      <c r="D619" s="182" t="n">
        <v>4676.6265</v>
      </c>
      <c r="E619" s="182" t="n">
        <v>41.6235</v>
      </c>
      <c r="F619" s="182" t="n">
        <v>1732.5158</v>
      </c>
      <c r="G619" s="182" t="n">
        <v>366025</v>
      </c>
      <c r="H619" s="182" t="inlineStr"/>
      <c r="I619" s="182" t="inlineStr"/>
    </row>
    <row r="620" ht="15" customHeight="1" s="28">
      <c r="A620" s="181" t="n">
        <v>607</v>
      </c>
      <c r="B620" s="181" t="n">
        <v>606</v>
      </c>
      <c r="C620" s="181" t="n">
        <v>4711.84</v>
      </c>
      <c r="D620" s="181" t="n">
        <v>4676.3726</v>
      </c>
      <c r="E620" s="181" t="n">
        <v>35.4674</v>
      </c>
      <c r="F620" s="181" t="n">
        <v>1257.9362</v>
      </c>
      <c r="G620" s="181" t="n">
        <v>367236</v>
      </c>
      <c r="H620" s="181" t="inlineStr"/>
      <c r="I620" s="181" t="inlineStr"/>
    </row>
    <row r="621" ht="15" customHeight="1" s="28">
      <c r="A621" s="182" t="n">
        <v>608</v>
      </c>
      <c r="B621" s="182" t="n">
        <v>607</v>
      </c>
      <c r="C621" s="182" t="n">
        <v>4710.13</v>
      </c>
      <c r="D621" s="182" t="n">
        <v>4676.1187</v>
      </c>
      <c r="E621" s="182" t="n">
        <v>34.0113</v>
      </c>
      <c r="F621" s="182" t="n">
        <v>1156.7679</v>
      </c>
      <c r="G621" s="182" t="n">
        <v>368449</v>
      </c>
      <c r="H621" s="182" t="inlineStr"/>
      <c r="I621" s="182" t="inlineStr"/>
    </row>
    <row r="622" ht="15" customHeight="1" s="28">
      <c r="A622" s="181" t="n">
        <v>609</v>
      </c>
      <c r="B622" s="181" t="n">
        <v>608</v>
      </c>
      <c r="C622" s="181" t="n">
        <v>4714.43</v>
      </c>
      <c r="D622" s="181" t="n">
        <v>4675.8648</v>
      </c>
      <c r="E622" s="181" t="n">
        <v>38.5652</v>
      </c>
      <c r="F622" s="181" t="n">
        <v>1487.2736</v>
      </c>
      <c r="G622" s="181" t="n">
        <v>369664</v>
      </c>
      <c r="H622" s="181" t="inlineStr"/>
      <c r="I622" s="181" t="inlineStr"/>
    </row>
    <row r="623" ht="15" customHeight="1" s="28">
      <c r="A623" s="182" t="n">
        <v>610</v>
      </c>
      <c r="B623" s="182" t="n">
        <v>609</v>
      </c>
      <c r="C623" s="182" t="n">
        <v>4714.53</v>
      </c>
      <c r="D623" s="182" t="n">
        <v>4675.6109</v>
      </c>
      <c r="E623" s="182" t="n">
        <v>38.9191</v>
      </c>
      <c r="F623" s="182" t="n">
        <v>1514.695</v>
      </c>
      <c r="G623" s="182" t="n">
        <v>370881</v>
      </c>
      <c r="H623" s="182" t="inlineStr"/>
      <c r="I623" s="182" t="inlineStr"/>
    </row>
    <row r="624" ht="15" customHeight="1" s="28">
      <c r="A624" s="181" t="n">
        <v>611</v>
      </c>
      <c r="B624" s="181" t="n">
        <v>610</v>
      </c>
      <c r="C624" s="181" t="n">
        <v>4710.77</v>
      </c>
      <c r="D624" s="181" t="n">
        <v>4675.357</v>
      </c>
      <c r="E624" s="181" t="n">
        <v>35.413</v>
      </c>
      <c r="F624" s="181" t="n">
        <v>1254.079</v>
      </c>
      <c r="G624" s="181" t="n">
        <v>372100</v>
      </c>
      <c r="H624" s="181" t="inlineStr"/>
      <c r="I624" s="181" t="inlineStr"/>
    </row>
    <row r="625" ht="15" customHeight="1" s="28">
      <c r="A625" s="182" t="n">
        <v>612</v>
      </c>
      <c r="B625" s="182" t="n">
        <v>611</v>
      </c>
      <c r="C625" s="182" t="n">
        <v>4712.84</v>
      </c>
      <c r="D625" s="182" t="n">
        <v>4675.1031</v>
      </c>
      <c r="E625" s="182" t="n">
        <v>37.7369</v>
      </c>
      <c r="F625" s="182" t="n">
        <v>1424.0716</v>
      </c>
      <c r="G625" s="182" t="n">
        <v>373321</v>
      </c>
      <c r="H625" s="182" t="inlineStr"/>
      <c r="I625" s="182" t="inlineStr"/>
    </row>
    <row r="626" ht="15" customHeight="1" s="28">
      <c r="A626" s="181" t="n">
        <v>613</v>
      </c>
      <c r="B626" s="181" t="n">
        <v>612</v>
      </c>
      <c r="C626" s="181" t="n">
        <v>4717.2</v>
      </c>
      <c r="D626" s="181" t="n">
        <v>4674.8492</v>
      </c>
      <c r="E626" s="181" t="n">
        <v>42.3508</v>
      </c>
      <c r="F626" s="181" t="n">
        <v>1793.5876</v>
      </c>
      <c r="G626" s="181" t="n">
        <v>374544</v>
      </c>
      <c r="H626" s="181" t="inlineStr"/>
      <c r="I626" s="181" t="inlineStr"/>
    </row>
    <row r="627" ht="15" customHeight="1" s="28">
      <c r="A627" s="182" t="n">
        <v>614</v>
      </c>
      <c r="B627" s="182" t="n">
        <v>613</v>
      </c>
      <c r="C627" s="182" t="n">
        <v>4716.12</v>
      </c>
      <c r="D627" s="182" t="n">
        <v>4674.5953</v>
      </c>
      <c r="E627" s="182" t="n">
        <v>41.5247</v>
      </c>
      <c r="F627" s="182" t="n">
        <v>1724.2977</v>
      </c>
      <c r="G627" s="182" t="n">
        <v>375769</v>
      </c>
      <c r="H627" s="182" t="inlineStr"/>
      <c r="I627" s="182" t="inlineStr"/>
    </row>
    <row r="628" ht="15" customHeight="1" s="28">
      <c r="A628" s="181" t="n">
        <v>615</v>
      </c>
      <c r="B628" s="181" t="n">
        <v>614</v>
      </c>
      <c r="C628" s="181" t="n">
        <v>4714.85</v>
      </c>
      <c r="D628" s="181" t="n">
        <v>4674.3414</v>
      </c>
      <c r="E628" s="181" t="n">
        <v>40.5086</v>
      </c>
      <c r="F628" s="181" t="n">
        <v>1640.9434</v>
      </c>
      <c r="G628" s="181" t="n">
        <v>376996</v>
      </c>
      <c r="H628" s="181" t="inlineStr"/>
      <c r="I628" s="181" t="inlineStr"/>
    </row>
    <row r="629" ht="15" customHeight="1" s="28">
      <c r="A629" s="182" t="n">
        <v>616</v>
      </c>
      <c r="B629" s="182" t="n">
        <v>615</v>
      </c>
      <c r="C629" s="182" t="n">
        <v>4713.36</v>
      </c>
      <c r="D629" s="182" t="n">
        <v>4674.0875</v>
      </c>
      <c r="E629" s="182" t="n">
        <v>39.2725</v>
      </c>
      <c r="F629" s="182" t="n">
        <v>1542.3257</v>
      </c>
      <c r="G629" s="182" t="n">
        <v>378225</v>
      </c>
      <c r="H629" s="182" t="inlineStr"/>
      <c r="I629" s="182" t="inlineStr"/>
    </row>
    <row r="630" ht="15" customHeight="1" s="28">
      <c r="A630" s="181" t="n">
        <v>617</v>
      </c>
      <c r="B630" s="181" t="n">
        <v>616</v>
      </c>
      <c r="C630" s="181" t="n">
        <v>4710.86</v>
      </c>
      <c r="D630" s="181" t="n">
        <v>4673.8336</v>
      </c>
      <c r="E630" s="181" t="n">
        <v>37.0264</v>
      </c>
      <c r="F630" s="181" t="n">
        <v>1370.9506</v>
      </c>
      <c r="G630" s="181" t="n">
        <v>379456</v>
      </c>
      <c r="H630" s="181" t="inlineStr"/>
      <c r="I630" s="181" t="inlineStr"/>
    </row>
    <row r="631" ht="15" customHeight="1" s="28">
      <c r="A631" s="182" t="n">
        <v>618</v>
      </c>
      <c r="B631" s="182" t="n">
        <v>617</v>
      </c>
      <c r="C631" s="182" t="n">
        <v>4710.86</v>
      </c>
      <c r="D631" s="182" t="n">
        <v>4673.5798</v>
      </c>
      <c r="E631" s="182" t="n">
        <v>37.2802</v>
      </c>
      <c r="F631" s="182" t="n">
        <v>1389.8168</v>
      </c>
      <c r="G631" s="182" t="n">
        <v>380689</v>
      </c>
      <c r="H631" s="182" t="inlineStr"/>
      <c r="I631" s="182" t="inlineStr"/>
    </row>
    <row r="632" ht="15" customHeight="1" s="28">
      <c r="A632" s="181" t="n">
        <v>619</v>
      </c>
      <c r="B632" s="181" t="n">
        <v>618</v>
      </c>
      <c r="C632" s="181" t="n">
        <v>4711.89</v>
      </c>
      <c r="D632" s="181" t="n">
        <v>4673.3259</v>
      </c>
      <c r="E632" s="181" t="n">
        <v>38.5641</v>
      </c>
      <c r="F632" s="181" t="n">
        <v>1487.193</v>
      </c>
      <c r="G632" s="181" t="n">
        <v>381924</v>
      </c>
      <c r="H632" s="181" t="inlineStr"/>
      <c r="I632" s="181" t="inlineStr"/>
    </row>
    <row r="633" ht="15" customHeight="1" s="28">
      <c r="A633" s="182" t="n">
        <v>620</v>
      </c>
      <c r="B633" s="182" t="n">
        <v>619</v>
      </c>
      <c r="C633" s="182" t="n">
        <v>4706.71</v>
      </c>
      <c r="D633" s="182" t="n">
        <v>4673.072</v>
      </c>
      <c r="E633" s="182" t="n">
        <v>33.638</v>
      </c>
      <c r="F633" s="182" t="n">
        <v>1131.5175</v>
      </c>
      <c r="G633" s="182" t="n">
        <v>383161</v>
      </c>
      <c r="H633" s="182" t="inlineStr"/>
      <c r="I633" s="182" t="inlineStr"/>
    </row>
    <row r="634" ht="15" customHeight="1" s="28">
      <c r="A634" s="181" t="n">
        <v>621</v>
      </c>
      <c r="B634" s="181" t="n">
        <v>620</v>
      </c>
      <c r="C634" s="181" t="n">
        <v>4705.12</v>
      </c>
      <c r="D634" s="181" t="n">
        <v>4672.8181</v>
      </c>
      <c r="E634" s="181" t="n">
        <v>32.3019</v>
      </c>
      <c r="F634" s="181" t="n">
        <v>1043.4149</v>
      </c>
      <c r="G634" s="181" t="n">
        <v>384400</v>
      </c>
      <c r="H634" s="181" t="inlineStr"/>
      <c r="I634" s="181" t="inlineStr"/>
    </row>
    <row r="635" ht="15" customHeight="1" s="28">
      <c r="A635" s="182" t="n">
        <v>622</v>
      </c>
      <c r="B635" s="182" t="n">
        <v>621</v>
      </c>
      <c r="C635" s="182" t="n">
        <v>4702.32</v>
      </c>
      <c r="D635" s="182" t="n">
        <v>4672.5642</v>
      </c>
      <c r="E635" s="182" t="n">
        <v>29.7558</v>
      </c>
      <c r="F635" s="182" t="n">
        <v>885.4093</v>
      </c>
      <c r="G635" s="182" t="n">
        <v>385641</v>
      </c>
      <c r="H635" s="182" t="inlineStr"/>
      <c r="I635" s="182" t="inlineStr"/>
    </row>
    <row r="636" ht="15" customHeight="1" s="28">
      <c r="A636" s="181" t="n">
        <v>623</v>
      </c>
      <c r="B636" s="181" t="n">
        <v>622</v>
      </c>
      <c r="C636" s="181" t="n">
        <v>4704.64</v>
      </c>
      <c r="D636" s="181" t="n">
        <v>4672.3103</v>
      </c>
      <c r="E636" s="181" t="n">
        <v>32.3297</v>
      </c>
      <c r="F636" s="181" t="n">
        <v>1045.211</v>
      </c>
      <c r="G636" s="181" t="n">
        <v>386884</v>
      </c>
      <c r="H636" s="181" t="inlineStr"/>
      <c r="I636" s="181" t="inlineStr"/>
    </row>
    <row r="637" ht="15" customHeight="1" s="28">
      <c r="A637" s="182" t="n">
        <v>624</v>
      </c>
      <c r="B637" s="182" t="n">
        <v>623</v>
      </c>
      <c r="C637" s="182" t="n">
        <v>4703.64</v>
      </c>
      <c r="D637" s="182" t="n">
        <v>4672.0564</v>
      </c>
      <c r="E637" s="182" t="n">
        <v>31.5836</v>
      </c>
      <c r="F637" s="182" t="n">
        <v>997.525</v>
      </c>
      <c r="G637" s="182" t="n">
        <v>388129</v>
      </c>
      <c r="H637" s="182" t="inlineStr"/>
      <c r="I637" s="182" t="inlineStr"/>
    </row>
    <row r="638" ht="15" customHeight="1" s="28">
      <c r="A638" s="181" t="n">
        <v>625</v>
      </c>
      <c r="B638" s="181" t="n">
        <v>624</v>
      </c>
      <c r="C638" s="181" t="n">
        <v>4701.91</v>
      </c>
      <c r="D638" s="181" t="n">
        <v>4671.8025</v>
      </c>
      <c r="E638" s="181" t="n">
        <v>30.1075</v>
      </c>
      <c r="F638" s="181" t="n">
        <v>906.4624</v>
      </c>
      <c r="G638" s="181" t="n">
        <v>389376</v>
      </c>
      <c r="H638" s="181" t="inlineStr"/>
      <c r="I638" s="181" t="inlineStr"/>
    </row>
    <row r="639" ht="15" customHeight="1" s="28">
      <c r="A639" s="182" t="n">
        <v>626</v>
      </c>
      <c r="B639" s="182" t="n">
        <v>625</v>
      </c>
      <c r="C639" s="182" t="n">
        <v>4705.08</v>
      </c>
      <c r="D639" s="182" t="n">
        <v>4671.5486</v>
      </c>
      <c r="E639" s="182" t="n">
        <v>33.5314</v>
      </c>
      <c r="F639" s="182" t="n">
        <v>1124.3555</v>
      </c>
      <c r="G639" s="182" t="n">
        <v>390625</v>
      </c>
      <c r="H639" s="182" t="inlineStr"/>
      <c r="I639" s="182" t="inlineStr"/>
    </row>
    <row r="640" ht="15" customHeight="1" s="28">
      <c r="A640" s="181" t="n">
        <v>627</v>
      </c>
      <c r="B640" s="181" t="n">
        <v>626</v>
      </c>
      <c r="C640" s="181" t="n">
        <v>4709.07</v>
      </c>
      <c r="D640" s="181" t="n">
        <v>4671.2947</v>
      </c>
      <c r="E640" s="181" t="n">
        <v>37.7753</v>
      </c>
      <c r="F640" s="181" t="n">
        <v>1426.9737</v>
      </c>
      <c r="G640" s="181" t="n">
        <v>391876</v>
      </c>
      <c r="H640" s="181" t="inlineStr"/>
      <c r="I640" s="181" t="inlineStr"/>
    </row>
    <row r="641" ht="15" customHeight="1" s="28">
      <c r="A641" s="182" t="n">
        <v>628</v>
      </c>
      <c r="B641" s="182" t="n">
        <v>627</v>
      </c>
      <c r="C641" s="182" t="n">
        <v>4708.79</v>
      </c>
      <c r="D641" s="182" t="n">
        <v>4671.0408</v>
      </c>
      <c r="E641" s="182" t="n">
        <v>37.7492</v>
      </c>
      <c r="F641" s="182" t="n">
        <v>1425.0022</v>
      </c>
      <c r="G641" s="182" t="n">
        <v>393129</v>
      </c>
      <c r="H641" s="182" t="inlineStr"/>
      <c r="I641" s="182" t="inlineStr"/>
    </row>
    <row r="642" ht="15" customHeight="1" s="28">
      <c r="A642" s="181" t="n">
        <v>629</v>
      </c>
      <c r="B642" s="181" t="n">
        <v>628</v>
      </c>
      <c r="C642" s="181" t="n">
        <v>4704.04</v>
      </c>
      <c r="D642" s="181" t="n">
        <v>4670.7869</v>
      </c>
      <c r="E642" s="181" t="n">
        <v>33.2531</v>
      </c>
      <c r="F642" s="181" t="n">
        <v>1105.7684</v>
      </c>
      <c r="G642" s="181" t="n">
        <v>394384</v>
      </c>
      <c r="H642" s="181" t="inlineStr"/>
      <c r="I642" s="181" t="inlineStr"/>
    </row>
    <row r="643" ht="15" customHeight="1" s="28">
      <c r="A643" s="182" t="n">
        <v>630</v>
      </c>
      <c r="B643" s="182" t="n">
        <v>629</v>
      </c>
      <c r="C643" s="182" t="n">
        <v>4705.21</v>
      </c>
      <c r="D643" s="182" t="n">
        <v>4670.533</v>
      </c>
      <c r="E643" s="182" t="n">
        <v>34.677</v>
      </c>
      <c r="F643" s="182" t="n">
        <v>1202.4938</v>
      </c>
      <c r="G643" s="182" t="n">
        <v>395641</v>
      </c>
      <c r="H643" s="182" t="inlineStr"/>
      <c r="I643" s="182" t="inlineStr"/>
    </row>
    <row r="644" ht="15" customHeight="1" s="28">
      <c r="A644" s="181" t="n">
        <v>631</v>
      </c>
      <c r="B644" s="181" t="n">
        <v>630</v>
      </c>
      <c r="C644" s="181" t="n">
        <v>4702.72</v>
      </c>
      <c r="D644" s="181" t="n">
        <v>4670.2791</v>
      </c>
      <c r="E644" s="181" t="n">
        <v>32.4409</v>
      </c>
      <c r="F644" s="181" t="n">
        <v>1052.4112</v>
      </c>
      <c r="G644" s="181" t="n">
        <v>396900</v>
      </c>
      <c r="H644" s="181" t="inlineStr"/>
      <c r="I644" s="181" t="inlineStr"/>
    </row>
    <row r="645" ht="15" customHeight="1" s="28">
      <c r="A645" s="182" t="n">
        <v>632</v>
      </c>
      <c r="B645" s="182" t="n">
        <v>631</v>
      </c>
      <c r="C645" s="182" t="n">
        <v>4704.89</v>
      </c>
      <c r="D645" s="182" t="n">
        <v>4670.0252</v>
      </c>
      <c r="E645" s="182" t="n">
        <v>34.8648</v>
      </c>
      <c r="F645" s="182" t="n">
        <v>1215.5531</v>
      </c>
      <c r="G645" s="182" t="n">
        <v>398161</v>
      </c>
      <c r="H645" s="182" t="inlineStr"/>
      <c r="I645" s="182" t="inlineStr"/>
    </row>
    <row r="646" ht="15" customHeight="1" s="28">
      <c r="A646" s="181" t="n">
        <v>633</v>
      </c>
      <c r="B646" s="181" t="n">
        <v>632</v>
      </c>
      <c r="C646" s="181" t="n">
        <v>4708.83</v>
      </c>
      <c r="D646" s="181" t="n">
        <v>4669.7713</v>
      </c>
      <c r="E646" s="181" t="n">
        <v>39.0587</v>
      </c>
      <c r="F646" s="181" t="n">
        <v>1525.5804</v>
      </c>
      <c r="G646" s="181" t="n">
        <v>399424</v>
      </c>
      <c r="H646" s="181" t="inlineStr"/>
      <c r="I646" s="181" t="inlineStr"/>
    </row>
    <row r="647" ht="15" customHeight="1" s="28">
      <c r="A647" s="182" t="n">
        <v>634</v>
      </c>
      <c r="B647" s="182" t="n">
        <v>633</v>
      </c>
      <c r="C647" s="182" t="n">
        <v>4707.09</v>
      </c>
      <c r="D647" s="182" t="n">
        <v>4669.5174</v>
      </c>
      <c r="E647" s="182" t="n">
        <v>37.5726</v>
      </c>
      <c r="F647" s="182" t="n">
        <v>1411.6983</v>
      </c>
      <c r="G647" s="182" t="n">
        <v>400689</v>
      </c>
      <c r="H647" s="182" t="inlineStr"/>
      <c r="I647" s="182" t="inlineStr"/>
    </row>
    <row r="648" ht="15" customHeight="1" s="28">
      <c r="A648" s="181" t="n">
        <v>635</v>
      </c>
      <c r="B648" s="181" t="n">
        <v>634</v>
      </c>
      <c r="C648" s="181" t="n">
        <v>4698.81</v>
      </c>
      <c r="D648" s="181" t="n">
        <v>4669.2635</v>
      </c>
      <c r="E648" s="181" t="n">
        <v>29.5465</v>
      </c>
      <c r="F648" s="181" t="n">
        <v>872.9939000000001</v>
      </c>
      <c r="G648" s="181" t="n">
        <v>401956</v>
      </c>
      <c r="H648" s="181" t="inlineStr"/>
      <c r="I648" s="181" t="inlineStr"/>
    </row>
    <row r="649" ht="15" customHeight="1" s="28">
      <c r="A649" s="182" t="n">
        <v>636</v>
      </c>
      <c r="B649" s="182" t="n">
        <v>635</v>
      </c>
      <c r="C649" s="182" t="n">
        <v>4699.24</v>
      </c>
      <c r="D649" s="182" t="n">
        <v>4669.0096</v>
      </c>
      <c r="E649" s="182" t="n">
        <v>30.2304</v>
      </c>
      <c r="F649" s="182" t="n">
        <v>913.875</v>
      </c>
      <c r="G649" s="182" t="n">
        <v>403225</v>
      </c>
      <c r="H649" s="182" t="inlineStr"/>
      <c r="I649" s="182" t="inlineStr"/>
    </row>
    <row r="650" ht="15" customHeight="1" s="28">
      <c r="A650" s="181" t="n">
        <v>637</v>
      </c>
      <c r="B650" s="181" t="n">
        <v>636</v>
      </c>
      <c r="C650" s="181" t="n">
        <v>4695.99</v>
      </c>
      <c r="D650" s="181" t="n">
        <v>4668.7557</v>
      </c>
      <c r="E650" s="181" t="n">
        <v>27.2343</v>
      </c>
      <c r="F650" s="181" t="n">
        <v>741.7049</v>
      </c>
      <c r="G650" s="181" t="n">
        <v>404496</v>
      </c>
      <c r="H650" s="181" t="inlineStr"/>
      <c r="I650" s="181" t="inlineStr"/>
    </row>
    <row r="651" ht="15" customHeight="1" s="28">
      <c r="A651" s="182" t="n">
        <v>638</v>
      </c>
      <c r="B651" s="182" t="n">
        <v>637</v>
      </c>
      <c r="C651" s="182" t="n">
        <v>4699.95</v>
      </c>
      <c r="D651" s="182" t="n">
        <v>4668.5018</v>
      </c>
      <c r="E651" s="182" t="n">
        <v>31.4482</v>
      </c>
      <c r="F651" s="182" t="n">
        <v>988.9865</v>
      </c>
      <c r="G651" s="182" t="n">
        <v>405769</v>
      </c>
      <c r="H651" s="182" t="inlineStr"/>
      <c r="I651" s="182" t="inlineStr"/>
    </row>
    <row r="652" ht="15" customHeight="1" s="28">
      <c r="A652" s="181" t="n">
        <v>639</v>
      </c>
      <c r="B652" s="181" t="n">
        <v>638</v>
      </c>
      <c r="C652" s="181" t="n">
        <v>4693.29</v>
      </c>
      <c r="D652" s="181" t="n">
        <v>4668.2479</v>
      </c>
      <c r="E652" s="181" t="n">
        <v>25.0421</v>
      </c>
      <c r="F652" s="181" t="n">
        <v>627.1043</v>
      </c>
      <c r="G652" s="181" t="n">
        <v>407044</v>
      </c>
      <c r="H652" s="181" t="inlineStr"/>
      <c r="I652" s="181" t="inlineStr"/>
    </row>
    <row r="653" ht="15" customHeight="1" s="28">
      <c r="A653" s="182" t="n">
        <v>640</v>
      </c>
      <c r="B653" s="182" t="n">
        <v>639</v>
      </c>
      <c r="C653" s="182" t="n">
        <v>4696.1</v>
      </c>
      <c r="D653" s="182" t="n">
        <v>4667.9941</v>
      </c>
      <c r="E653" s="182" t="n">
        <v>28.1059</v>
      </c>
      <c r="F653" s="182" t="n">
        <v>789.9443</v>
      </c>
      <c r="G653" s="182" t="n">
        <v>408321</v>
      </c>
      <c r="H653" s="182" t="inlineStr"/>
      <c r="I653" s="182" t="inlineStr"/>
    </row>
    <row r="654" ht="15" customHeight="1" s="28">
      <c r="A654" s="181" t="n">
        <v>641</v>
      </c>
      <c r="B654" s="181" t="n">
        <v>640</v>
      </c>
      <c r="C654" s="181" t="n">
        <v>4692.58</v>
      </c>
      <c r="D654" s="181" t="n">
        <v>4667.7402</v>
      </c>
      <c r="E654" s="181" t="n">
        <v>24.8398</v>
      </c>
      <c r="F654" s="181" t="n">
        <v>617.0178</v>
      </c>
      <c r="G654" s="181" t="n">
        <v>409600</v>
      </c>
      <c r="H654" s="181" t="inlineStr"/>
      <c r="I654" s="181" t="inlineStr"/>
    </row>
    <row r="655" ht="15" customHeight="1" s="28">
      <c r="A655" s="182" t="n">
        <v>642</v>
      </c>
      <c r="B655" s="182" t="n">
        <v>641</v>
      </c>
      <c r="C655" s="182" t="n">
        <v>4689.03</v>
      </c>
      <c r="D655" s="182" t="n">
        <v>4667.4863</v>
      </c>
      <c r="E655" s="182" t="n">
        <v>21.5437</v>
      </c>
      <c r="F655" s="182" t="n">
        <v>464.1326</v>
      </c>
      <c r="G655" s="182" t="n">
        <v>410881</v>
      </c>
      <c r="H655" s="182" t="inlineStr"/>
      <c r="I655" s="182" t="inlineStr"/>
    </row>
    <row r="656" ht="15" customHeight="1" s="28">
      <c r="A656" s="181" t="n">
        <v>643</v>
      </c>
      <c r="B656" s="181" t="n">
        <v>642</v>
      </c>
      <c r="C656" s="181" t="n">
        <v>4693.62</v>
      </c>
      <c r="D656" s="181" t="n">
        <v>4667.2324</v>
      </c>
      <c r="E656" s="181" t="n">
        <v>26.3876</v>
      </c>
      <c r="F656" s="181" t="n">
        <v>696.3072</v>
      </c>
      <c r="G656" s="181" t="n">
        <v>412164</v>
      </c>
      <c r="H656" s="181" t="inlineStr"/>
      <c r="I656" s="181" t="inlineStr"/>
    </row>
    <row r="657" ht="15" customHeight="1" s="28">
      <c r="A657" s="182" t="n">
        <v>644</v>
      </c>
      <c r="B657" s="182" t="n">
        <v>643</v>
      </c>
      <c r="C657" s="182" t="n">
        <v>4678.21</v>
      </c>
      <c r="D657" s="182" t="n">
        <v>4666.9785</v>
      </c>
      <c r="E657" s="182" t="n">
        <v>11.2315</v>
      </c>
      <c r="F657" s="182" t="n">
        <v>126.1472</v>
      </c>
      <c r="G657" s="182" t="n">
        <v>413449</v>
      </c>
      <c r="H657" s="182" t="inlineStr"/>
      <c r="I657" s="182" t="inlineStr"/>
    </row>
    <row r="658" ht="15" customHeight="1" s="28">
      <c r="A658" s="181" t="n">
        <v>645</v>
      </c>
      <c r="B658" s="181" t="n">
        <v>644</v>
      </c>
      <c r="C658" s="181" t="n">
        <v>4674.65</v>
      </c>
      <c r="D658" s="181" t="n">
        <v>4666.7246</v>
      </c>
      <c r="E658" s="181" t="n">
        <v>7.9254</v>
      </c>
      <c r="F658" s="181" t="n">
        <v>62.8124</v>
      </c>
      <c r="G658" s="181" t="n">
        <v>414736</v>
      </c>
      <c r="H658" s="181" t="inlineStr"/>
      <c r="I658" s="181" t="inlineStr"/>
    </row>
    <row r="659" ht="15" customHeight="1" s="28">
      <c r="A659" s="182" t="n">
        <v>646</v>
      </c>
      <c r="B659" s="182" t="n">
        <v>645</v>
      </c>
      <c r="C659" s="182" t="n">
        <v>4681.21</v>
      </c>
      <c r="D659" s="182" t="n">
        <v>4666.4707</v>
      </c>
      <c r="E659" s="182" t="n">
        <v>14.7393</v>
      </c>
      <c r="F659" s="182" t="n">
        <v>217.2476</v>
      </c>
      <c r="G659" s="182" t="n">
        <v>416025</v>
      </c>
      <c r="H659" s="182" t="inlineStr"/>
      <c r="I659" s="182" t="inlineStr"/>
    </row>
    <row r="660" ht="15" customHeight="1" s="28">
      <c r="A660" s="181" t="n">
        <v>647</v>
      </c>
      <c r="B660" s="181" t="n">
        <v>646</v>
      </c>
      <c r="C660" s="181" t="n">
        <v>4677.6</v>
      </c>
      <c r="D660" s="181" t="n">
        <v>4666.2168</v>
      </c>
      <c r="E660" s="181" t="n">
        <v>11.3832</v>
      </c>
      <c r="F660" s="181" t="n">
        <v>129.5776</v>
      </c>
      <c r="G660" s="181" t="n">
        <v>417316</v>
      </c>
      <c r="H660" s="181" t="inlineStr"/>
      <c r="I660" s="181" t="inlineStr"/>
    </row>
    <row r="661" ht="15" customHeight="1" s="28">
      <c r="A661" s="182" t="n">
        <v>648</v>
      </c>
      <c r="B661" s="182" t="n">
        <v>647</v>
      </c>
      <c r="C661" s="182" t="n">
        <v>4670.04</v>
      </c>
      <c r="D661" s="182" t="n">
        <v>4665.9629</v>
      </c>
      <c r="E661" s="182" t="n">
        <v>4.0771</v>
      </c>
      <c r="F661" s="182" t="n">
        <v>16.6228</v>
      </c>
      <c r="G661" s="182" t="n">
        <v>418609</v>
      </c>
      <c r="H661" s="182" t="inlineStr"/>
      <c r="I661" s="182" t="inlineStr"/>
    </row>
    <row r="662" ht="15" customHeight="1" s="28">
      <c r="A662" s="181" t="n">
        <v>649</v>
      </c>
      <c r="B662" s="181" t="n">
        <v>648</v>
      </c>
      <c r="C662" s="181" t="n">
        <v>4674.71</v>
      </c>
      <c r="D662" s="181" t="n">
        <v>4665.709</v>
      </c>
      <c r="E662" s="181" t="n">
        <v>9.000999999999999</v>
      </c>
      <c r="F662" s="181" t="n">
        <v>81.0181</v>
      </c>
      <c r="G662" s="181" t="n">
        <v>419904</v>
      </c>
      <c r="H662" s="181" t="inlineStr"/>
      <c r="I662" s="181" t="inlineStr"/>
    </row>
    <row r="663" ht="15" customHeight="1" s="28">
      <c r="A663" s="182" t="n">
        <v>650</v>
      </c>
      <c r="B663" s="182" t="n">
        <v>649</v>
      </c>
      <c r="C663" s="182" t="n">
        <v>4676.38</v>
      </c>
      <c r="D663" s="182" t="n">
        <v>4665.4551</v>
      </c>
      <c r="E663" s="182" t="n">
        <v>10.9249</v>
      </c>
      <c r="F663" s="182" t="n">
        <v>119.3535</v>
      </c>
      <c r="G663" s="182" t="n">
        <v>421201</v>
      </c>
      <c r="H663" s="182" t="inlineStr"/>
      <c r="I663" s="182" t="inlineStr"/>
    </row>
    <row r="664" ht="15" customHeight="1" s="28">
      <c r="A664" s="181" t="n">
        <v>651</v>
      </c>
      <c r="B664" s="181" t="n">
        <v>650</v>
      </c>
      <c r="C664" s="181" t="n">
        <v>4674.98</v>
      </c>
      <c r="D664" s="181" t="n">
        <v>4665.2012</v>
      </c>
      <c r="E664" s="181" t="n">
        <v>9.7788</v>
      </c>
      <c r="F664" s="181" t="n">
        <v>95.6249</v>
      </c>
      <c r="G664" s="181" t="n">
        <v>422500</v>
      </c>
      <c r="H664" s="181" t="inlineStr"/>
      <c r="I664" s="181" t="inlineStr"/>
    </row>
    <row r="665" ht="15" customHeight="1" s="28">
      <c r="A665" s="182" t="n">
        <v>652</v>
      </c>
      <c r="B665" s="182" t="n">
        <v>651</v>
      </c>
      <c r="C665" s="182" t="n">
        <v>4676.82</v>
      </c>
      <c r="D665" s="182" t="n">
        <v>4664.9473</v>
      </c>
      <c r="E665" s="182" t="n">
        <v>11.8727</v>
      </c>
      <c r="F665" s="182" t="n">
        <v>140.9608</v>
      </c>
      <c r="G665" s="182" t="n">
        <v>423801</v>
      </c>
      <c r="H665" s="182" t="inlineStr"/>
      <c r="I665" s="182" t="inlineStr"/>
    </row>
    <row r="666" ht="15" customHeight="1" s="28">
      <c r="A666" s="181" t="n">
        <v>653</v>
      </c>
      <c r="B666" s="181" t="n">
        <v>652</v>
      </c>
      <c r="C666" s="181" t="n">
        <v>4673.86</v>
      </c>
      <c r="D666" s="181" t="n">
        <v>4664.6934</v>
      </c>
      <c r="E666" s="181" t="n">
        <v>9.166600000000001</v>
      </c>
      <c r="F666" s="181" t="n">
        <v>84.02630000000001</v>
      </c>
      <c r="G666" s="181" t="n">
        <v>425104</v>
      </c>
      <c r="H666" s="181" t="inlineStr"/>
      <c r="I666" s="181" t="inlineStr"/>
    </row>
    <row r="667" ht="15" customHeight="1" s="28">
      <c r="A667" s="182" t="n">
        <v>654</v>
      </c>
      <c r="B667" s="182" t="n">
        <v>653</v>
      </c>
      <c r="C667" s="182" t="n">
        <v>4679.82</v>
      </c>
      <c r="D667" s="182" t="n">
        <v>4664.4395</v>
      </c>
      <c r="E667" s="182" t="n">
        <v>15.3805</v>
      </c>
      <c r="F667" s="182" t="n">
        <v>236.5593</v>
      </c>
      <c r="G667" s="182" t="n">
        <v>426409</v>
      </c>
      <c r="H667" s="182" t="inlineStr"/>
      <c r="I667" s="182" t="inlineStr"/>
    </row>
    <row r="668" ht="15" customHeight="1" s="28">
      <c r="A668" s="181" t="n">
        <v>655</v>
      </c>
      <c r="B668" s="181" t="n">
        <v>654</v>
      </c>
      <c r="C668" s="181" t="n">
        <v>4683.29</v>
      </c>
      <c r="D668" s="181" t="n">
        <v>4664.1856</v>
      </c>
      <c r="E668" s="181" t="n">
        <v>19.1044</v>
      </c>
      <c r="F668" s="181" t="n">
        <v>364.9773</v>
      </c>
      <c r="G668" s="181" t="n">
        <v>427716</v>
      </c>
      <c r="H668" s="181" t="inlineStr"/>
      <c r="I668" s="181" t="inlineStr"/>
    </row>
    <row r="669" ht="15" customHeight="1" s="28">
      <c r="A669" s="182" t="n">
        <v>656</v>
      </c>
      <c r="B669" s="182" t="n">
        <v>655</v>
      </c>
      <c r="C669" s="182" t="n">
        <v>4682.1</v>
      </c>
      <c r="D669" s="182" t="n">
        <v>4663.9317</v>
      </c>
      <c r="E669" s="182" t="n">
        <v>18.1683</v>
      </c>
      <c r="F669" s="182" t="n">
        <v>330.0862</v>
      </c>
      <c r="G669" s="182" t="n">
        <v>429025</v>
      </c>
      <c r="H669" s="182" t="inlineStr"/>
      <c r="I669" s="182" t="inlineStr"/>
    </row>
    <row r="670" ht="15" customHeight="1" s="28">
      <c r="A670" s="181" t="n">
        <v>657</v>
      </c>
      <c r="B670" s="181" t="n">
        <v>656</v>
      </c>
      <c r="C670" s="181" t="n">
        <v>4681.62</v>
      </c>
      <c r="D670" s="181" t="n">
        <v>4663.6778</v>
      </c>
      <c r="E670" s="181" t="n">
        <v>17.9422</v>
      </c>
      <c r="F670" s="181" t="n">
        <v>321.9215</v>
      </c>
      <c r="G670" s="181" t="n">
        <v>430336</v>
      </c>
      <c r="H670" s="181" t="inlineStr"/>
      <c r="I670" s="181" t="inlineStr"/>
    </row>
    <row r="671" ht="15" customHeight="1" s="28">
      <c r="A671" s="182" t="n">
        <v>658</v>
      </c>
      <c r="B671" s="182" t="n">
        <v>657</v>
      </c>
      <c r="C671" s="182" t="n">
        <v>4684.05</v>
      </c>
      <c r="D671" s="182" t="n">
        <v>4663.4239</v>
      </c>
      <c r="E671" s="182" t="n">
        <v>20.6261</v>
      </c>
      <c r="F671" s="182" t="n">
        <v>425.4346</v>
      </c>
      <c r="G671" s="182" t="n">
        <v>431649</v>
      </c>
      <c r="H671" s="182" t="inlineStr"/>
      <c r="I671" s="182" t="inlineStr"/>
    </row>
    <row r="672" ht="15" customHeight="1" s="28">
      <c r="A672" s="181" t="n">
        <v>659</v>
      </c>
      <c r="B672" s="181" t="n">
        <v>658</v>
      </c>
      <c r="C672" s="181" t="n">
        <v>4682.77</v>
      </c>
      <c r="D672" s="181" t="n">
        <v>4663.17</v>
      </c>
      <c r="E672" s="181" t="n">
        <v>19.6</v>
      </c>
      <c r="F672" s="181" t="n">
        <v>384.1585</v>
      </c>
      <c r="G672" s="181" t="n">
        <v>432964</v>
      </c>
      <c r="H672" s="181" t="inlineStr"/>
      <c r="I672" s="181" t="inlineStr"/>
    </row>
    <row r="673" ht="15" customHeight="1" s="28">
      <c r="A673" s="182" t="n">
        <v>660</v>
      </c>
      <c r="B673" s="182" t="n">
        <v>659</v>
      </c>
      <c r="C673" s="182" t="n">
        <v>4680.74</v>
      </c>
      <c r="D673" s="182" t="n">
        <v>4662.9161</v>
      </c>
      <c r="E673" s="182" t="n">
        <v>17.8239</v>
      </c>
      <c r="F673" s="182" t="n">
        <v>317.6899</v>
      </c>
      <c r="G673" s="182" t="n">
        <v>434281</v>
      </c>
      <c r="H673" s="182" t="inlineStr"/>
      <c r="I673" s="182" t="inlineStr"/>
    </row>
    <row r="674" ht="15" customHeight="1" s="28">
      <c r="A674" s="181" t="n">
        <v>661</v>
      </c>
      <c r="B674" s="181" t="n">
        <v>660</v>
      </c>
      <c r="C674" s="181" t="n">
        <v>4680.36</v>
      </c>
      <c r="D674" s="181" t="n">
        <v>4662.6622</v>
      </c>
      <c r="E674" s="181" t="n">
        <v>17.6978</v>
      </c>
      <c r="F674" s="181" t="n">
        <v>313.2104</v>
      </c>
      <c r="G674" s="181" t="n">
        <v>435600</v>
      </c>
      <c r="H674" s="181" t="inlineStr"/>
      <c r="I674" s="181" t="inlineStr"/>
    </row>
    <row r="675" ht="15" customHeight="1" s="28">
      <c r="A675" s="182" t="n">
        <v>662</v>
      </c>
      <c r="B675" s="182" t="n">
        <v>661</v>
      </c>
      <c r="C675" s="182" t="n">
        <v>4682.18</v>
      </c>
      <c r="D675" s="182" t="n">
        <v>4662.4084</v>
      </c>
      <c r="E675" s="182" t="n">
        <v>19.7716</v>
      </c>
      <c r="F675" s="182" t="n">
        <v>390.9181</v>
      </c>
      <c r="G675" s="182" t="n">
        <v>436921</v>
      </c>
      <c r="H675" s="182" t="inlineStr"/>
      <c r="I675" s="182" t="inlineStr"/>
    </row>
    <row r="676" ht="15" customHeight="1" s="28">
      <c r="A676" s="181" t="n">
        <v>663</v>
      </c>
      <c r="B676" s="181" t="n">
        <v>662</v>
      </c>
      <c r="C676" s="181" t="n">
        <v>4679.98</v>
      </c>
      <c r="D676" s="181" t="n">
        <v>4662.1545</v>
      </c>
      <c r="E676" s="181" t="n">
        <v>17.8255</v>
      </c>
      <c r="F676" s="181" t="n">
        <v>317.75</v>
      </c>
      <c r="G676" s="181" t="n">
        <v>438244</v>
      </c>
      <c r="H676" s="181" t="inlineStr"/>
      <c r="I676" s="181" t="inlineStr"/>
    </row>
    <row r="677" ht="15" customHeight="1" s="28">
      <c r="A677" s="182" t="n">
        <v>664</v>
      </c>
      <c r="B677" s="182" t="n">
        <v>663</v>
      </c>
      <c r="C677" s="182" t="n">
        <v>4680.71</v>
      </c>
      <c r="D677" s="182" t="n">
        <v>4661.9006</v>
      </c>
      <c r="E677" s="182" t="n">
        <v>18.8094</v>
      </c>
      <c r="F677" s="182" t="n">
        <v>353.795</v>
      </c>
      <c r="G677" s="182" t="n">
        <v>439569</v>
      </c>
      <c r="H677" s="182" t="inlineStr"/>
      <c r="I677" s="182" t="inlineStr"/>
    </row>
    <row r="678" ht="15" customHeight="1" s="28">
      <c r="A678" s="181" t="n">
        <v>665</v>
      </c>
      <c r="B678" s="181" t="n">
        <v>664</v>
      </c>
      <c r="C678" s="181" t="n">
        <v>4679.22</v>
      </c>
      <c r="D678" s="181" t="n">
        <v>4661.6467</v>
      </c>
      <c r="E678" s="181" t="n">
        <v>17.5733</v>
      </c>
      <c r="F678" s="181" t="n">
        <v>308.8221</v>
      </c>
      <c r="G678" s="181" t="n">
        <v>440896</v>
      </c>
      <c r="H678" s="181" t="inlineStr"/>
      <c r="I678" s="181" t="inlineStr"/>
    </row>
    <row r="679" ht="15" customHeight="1" s="28">
      <c r="A679" s="182" t="n">
        <v>666</v>
      </c>
      <c r="B679" s="182" t="n">
        <v>665</v>
      </c>
      <c r="C679" s="182" t="n">
        <v>4679.83</v>
      </c>
      <c r="D679" s="182" t="n">
        <v>4661.3928</v>
      </c>
      <c r="E679" s="182" t="n">
        <v>18.4372</v>
      </c>
      <c r="F679" s="182" t="n">
        <v>339.9314</v>
      </c>
      <c r="G679" s="182" t="n">
        <v>442225</v>
      </c>
      <c r="H679" s="182" t="inlineStr"/>
      <c r="I679" s="182" t="inlineStr"/>
    </row>
    <row r="680" ht="15" customHeight="1" s="28">
      <c r="A680" s="181" t="n">
        <v>667</v>
      </c>
      <c r="B680" s="181" t="n">
        <v>666</v>
      </c>
      <c r="C680" s="181" t="n">
        <v>4680.18</v>
      </c>
      <c r="D680" s="181" t="n">
        <v>4661.1389</v>
      </c>
      <c r="E680" s="181" t="n">
        <v>19.0411</v>
      </c>
      <c r="F680" s="181" t="n">
        <v>362.5645</v>
      </c>
      <c r="G680" s="181" t="n">
        <v>443556</v>
      </c>
      <c r="H680" s="181" t="inlineStr"/>
      <c r="I680" s="181" t="inlineStr"/>
    </row>
    <row r="681" ht="15" customHeight="1" s="28">
      <c r="A681" s="182" t="n">
        <v>668</v>
      </c>
      <c r="B681" s="182" t="n">
        <v>667</v>
      </c>
      <c r="C681" s="182" t="n">
        <v>4681.84</v>
      </c>
      <c r="D681" s="182" t="n">
        <v>4660.885</v>
      </c>
      <c r="E681" s="182" t="n">
        <v>20.955</v>
      </c>
      <c r="F681" s="182" t="n">
        <v>439.1129</v>
      </c>
      <c r="G681" s="182" t="n">
        <v>444889</v>
      </c>
      <c r="H681" s="182" t="inlineStr"/>
      <c r="I681" s="182" t="inlineStr"/>
    </row>
    <row r="682" ht="15" customHeight="1" s="28">
      <c r="A682" s="181" t="n">
        <v>669</v>
      </c>
      <c r="B682" s="181" t="n">
        <v>668</v>
      </c>
      <c r="C682" s="181" t="n">
        <v>4689.32</v>
      </c>
      <c r="D682" s="181" t="n">
        <v>4660.6311</v>
      </c>
      <c r="E682" s="181" t="n">
        <v>28.6889</v>
      </c>
      <c r="F682" s="181" t="n">
        <v>823.0539</v>
      </c>
      <c r="G682" s="181" t="n">
        <v>446224</v>
      </c>
      <c r="H682" s="181" t="inlineStr"/>
      <c r="I682" s="181" t="inlineStr"/>
    </row>
    <row r="683" ht="15" customHeight="1" s="28">
      <c r="A683" s="182" t="n">
        <v>670</v>
      </c>
      <c r="B683" s="182" t="n">
        <v>669</v>
      </c>
      <c r="C683" s="182" t="n">
        <v>4689.07</v>
      </c>
      <c r="D683" s="182" t="n">
        <v>4660.3772</v>
      </c>
      <c r="E683" s="182" t="n">
        <v>28.6928</v>
      </c>
      <c r="F683" s="182" t="n">
        <v>823.2775</v>
      </c>
      <c r="G683" s="182" t="n">
        <v>447561</v>
      </c>
      <c r="H683" s="182" t="inlineStr"/>
      <c r="I683" s="182" t="inlineStr"/>
    </row>
    <row r="684" ht="15" customHeight="1" s="28">
      <c r="A684" s="181" t="n">
        <v>671</v>
      </c>
      <c r="B684" s="181" t="n">
        <v>670</v>
      </c>
      <c r="C684" s="181" t="n">
        <v>4687.28</v>
      </c>
      <c r="D684" s="181" t="n">
        <v>4660.1233</v>
      </c>
      <c r="E684" s="181" t="n">
        <v>27.1567</v>
      </c>
      <c r="F684" s="181" t="n">
        <v>737.4868</v>
      </c>
      <c r="G684" s="181" t="n">
        <v>448900</v>
      </c>
      <c r="H684" s="181" t="inlineStr"/>
      <c r="I684" s="181" t="inlineStr"/>
    </row>
    <row r="685" ht="15" customHeight="1" s="28">
      <c r="A685" s="182" t="n">
        <v>672</v>
      </c>
      <c r="B685" s="182" t="n">
        <v>671</v>
      </c>
      <c r="C685" s="182" t="n">
        <v>4687.93</v>
      </c>
      <c r="D685" s="182" t="n">
        <v>4659.8694</v>
      </c>
      <c r="E685" s="182" t="n">
        <v>28.0606</v>
      </c>
      <c r="F685" s="182" t="n">
        <v>787.3973999999999</v>
      </c>
      <c r="G685" s="182" t="n">
        <v>450241</v>
      </c>
      <c r="H685" s="182" t="inlineStr"/>
      <c r="I685" s="182" t="inlineStr"/>
    </row>
    <row r="686" ht="15" customHeight="1" s="28">
      <c r="A686" s="181" t="n">
        <v>673</v>
      </c>
      <c r="B686" s="181" t="n">
        <v>672</v>
      </c>
      <c r="C686" s="181" t="n">
        <v>4689.83</v>
      </c>
      <c r="D686" s="181" t="n">
        <v>4659.6155</v>
      </c>
      <c r="E686" s="181" t="n">
        <v>30.2145</v>
      </c>
      <c r="F686" s="181" t="n">
        <v>912.9159</v>
      </c>
      <c r="G686" s="181" t="n">
        <v>451584</v>
      </c>
      <c r="H686" s="181" t="inlineStr"/>
      <c r="I686" s="181" t="inlineStr"/>
    </row>
    <row r="687" ht="15" customHeight="1" s="28">
      <c r="A687" s="182" t="n">
        <v>674</v>
      </c>
      <c r="B687" s="182" t="n">
        <v>673</v>
      </c>
      <c r="C687" s="182" t="n">
        <v>4690.82</v>
      </c>
      <c r="D687" s="182" t="n">
        <v>4659.3616</v>
      </c>
      <c r="E687" s="182" t="n">
        <v>31.4584</v>
      </c>
      <c r="F687" s="182" t="n">
        <v>989.6305</v>
      </c>
      <c r="G687" s="182" t="n">
        <v>452929</v>
      </c>
      <c r="H687" s="182" t="inlineStr"/>
      <c r="I687" s="182" t="inlineStr"/>
    </row>
    <row r="688" ht="15" customHeight="1" s="28">
      <c r="A688" s="181" t="n">
        <v>675</v>
      </c>
      <c r="B688" s="181" t="n">
        <v>674</v>
      </c>
      <c r="C688" s="181" t="n">
        <v>4694.41</v>
      </c>
      <c r="D688" s="181" t="n">
        <v>4659.1077</v>
      </c>
      <c r="E688" s="181" t="n">
        <v>35.3023</v>
      </c>
      <c r="F688" s="181" t="n">
        <v>1246.2516</v>
      </c>
      <c r="G688" s="181" t="n">
        <v>454276</v>
      </c>
      <c r="H688" s="181" t="inlineStr"/>
      <c r="I688" s="181" t="inlineStr"/>
    </row>
    <row r="689" ht="15" customHeight="1" s="28">
      <c r="A689" s="182" t="n">
        <v>676</v>
      </c>
      <c r="B689" s="182" t="n">
        <v>675</v>
      </c>
      <c r="C689" s="182" t="n">
        <v>4691.85</v>
      </c>
      <c r="D689" s="182" t="n">
        <v>4658.8538</v>
      </c>
      <c r="E689" s="182" t="n">
        <v>32.9962</v>
      </c>
      <c r="F689" s="182" t="n">
        <v>1088.7482</v>
      </c>
      <c r="G689" s="182" t="n">
        <v>455625</v>
      </c>
      <c r="H689" s="182" t="inlineStr"/>
      <c r="I689" s="182" t="inlineStr"/>
    </row>
    <row r="690" ht="15" customHeight="1" s="28">
      <c r="A690" s="181" t="n">
        <v>677</v>
      </c>
      <c r="B690" s="181" t="n">
        <v>676</v>
      </c>
      <c r="C690" s="181" t="n">
        <v>4697.91</v>
      </c>
      <c r="D690" s="181" t="n">
        <v>4658.5999</v>
      </c>
      <c r="E690" s="181" t="n">
        <v>39.3101</v>
      </c>
      <c r="F690" s="181" t="n">
        <v>1545.2824</v>
      </c>
      <c r="G690" s="181" t="n">
        <v>456976</v>
      </c>
      <c r="H690" s="181" t="inlineStr"/>
      <c r="I690" s="181" t="inlineStr"/>
    </row>
    <row r="691" ht="15" customHeight="1" s="28">
      <c r="A691" s="182" t="n">
        <v>678</v>
      </c>
      <c r="B691" s="182" t="n">
        <v>677</v>
      </c>
      <c r="C691" s="182" t="n">
        <v>4695.01</v>
      </c>
      <c r="D691" s="182" t="n">
        <v>4658.346</v>
      </c>
      <c r="E691" s="182" t="n">
        <v>36.664</v>
      </c>
      <c r="F691" s="182" t="n">
        <v>1344.2471</v>
      </c>
      <c r="G691" s="182" t="n">
        <v>458329</v>
      </c>
      <c r="H691" s="182" t="inlineStr"/>
      <c r="I691" s="182" t="inlineStr"/>
    </row>
    <row r="692" ht="15" customHeight="1" s="28">
      <c r="A692" s="181" t="n">
        <v>679</v>
      </c>
      <c r="B692" s="181" t="n">
        <v>678</v>
      </c>
      <c r="C692" s="181" t="n">
        <v>4693.71</v>
      </c>
      <c r="D692" s="181" t="n">
        <v>4658.0921</v>
      </c>
      <c r="E692" s="181" t="n">
        <v>35.6179</v>
      </c>
      <c r="F692" s="181" t="n">
        <v>1268.6328</v>
      </c>
      <c r="G692" s="181" t="n">
        <v>459684</v>
      </c>
      <c r="H692" s="181" t="inlineStr"/>
      <c r="I692" s="181" t="inlineStr"/>
    </row>
    <row r="693" ht="15" customHeight="1" s="28">
      <c r="A693" s="182" t="n">
        <v>680</v>
      </c>
      <c r="B693" s="182" t="n">
        <v>679</v>
      </c>
      <c r="C693" s="182" t="n">
        <v>4690.53</v>
      </c>
      <c r="D693" s="182" t="n">
        <v>4657.8382</v>
      </c>
      <c r="E693" s="182" t="n">
        <v>32.6918</v>
      </c>
      <c r="F693" s="182" t="n">
        <v>1068.7516</v>
      </c>
      <c r="G693" s="182" t="n">
        <v>461041</v>
      </c>
      <c r="H693" s="182" t="inlineStr"/>
      <c r="I693" s="182" t="inlineStr"/>
    </row>
    <row r="694" ht="15" customHeight="1" s="28">
      <c r="A694" s="181" t="n">
        <v>681</v>
      </c>
      <c r="B694" s="181" t="n">
        <v>680</v>
      </c>
      <c r="C694" s="181" t="n">
        <v>4688.24</v>
      </c>
      <c r="D694" s="181" t="n">
        <v>4657.5843</v>
      </c>
      <c r="E694" s="181" t="n">
        <v>30.6557</v>
      </c>
      <c r="F694" s="181" t="n">
        <v>939.7696</v>
      </c>
      <c r="G694" s="181" t="n">
        <v>462400</v>
      </c>
      <c r="H694" s="181" t="inlineStr"/>
      <c r="I694" s="181" t="inlineStr"/>
    </row>
    <row r="695" ht="15" customHeight="1" s="28">
      <c r="A695" s="182" t="n">
        <v>682</v>
      </c>
      <c r="B695" s="182" t="n">
        <v>681</v>
      </c>
      <c r="C695" s="182" t="n">
        <v>4687.7</v>
      </c>
      <c r="D695" s="182" t="n">
        <v>4657.3304</v>
      </c>
      <c r="E695" s="182" t="n">
        <v>30.3696</v>
      </c>
      <c r="F695" s="182" t="n">
        <v>922.3099999999999</v>
      </c>
      <c r="G695" s="182" t="n">
        <v>463761</v>
      </c>
      <c r="H695" s="182" t="inlineStr"/>
      <c r="I695" s="182" t="inlineStr"/>
    </row>
    <row r="696" ht="15" customHeight="1" s="28">
      <c r="A696" s="181" t="n">
        <v>683</v>
      </c>
      <c r="B696" s="181" t="n">
        <v>682</v>
      </c>
      <c r="C696" s="181" t="n">
        <v>4687.37</v>
      </c>
      <c r="D696" s="181" t="n">
        <v>4657.0765</v>
      </c>
      <c r="E696" s="181" t="n">
        <v>30.2935</v>
      </c>
      <c r="F696" s="181" t="n">
        <v>917.6933</v>
      </c>
      <c r="G696" s="181" t="n">
        <v>465124</v>
      </c>
      <c r="H696" s="181" t="inlineStr"/>
      <c r="I696" s="181" t="inlineStr"/>
    </row>
    <row r="697" ht="15" customHeight="1" s="28">
      <c r="A697" s="182" t="n">
        <v>684</v>
      </c>
      <c r="B697" s="182" t="n">
        <v>683</v>
      </c>
      <c r="C697" s="182" t="n">
        <v>4670.88</v>
      </c>
      <c r="D697" s="182" t="n">
        <v>4656.8227</v>
      </c>
      <c r="E697" s="182" t="n">
        <v>14.0573</v>
      </c>
      <c r="F697" s="182" t="n">
        <v>197.6091</v>
      </c>
      <c r="G697" s="182" t="n">
        <v>466489</v>
      </c>
      <c r="H697" s="182" t="inlineStr"/>
      <c r="I697" s="182" t="inlineStr"/>
    </row>
    <row r="698" ht="15" customHeight="1" s="28">
      <c r="A698" s="181" t="n">
        <v>685</v>
      </c>
      <c r="B698" s="181" t="n">
        <v>684</v>
      </c>
      <c r="C698" s="181" t="n">
        <v>4677.52</v>
      </c>
      <c r="D698" s="181" t="n">
        <v>4656.5688</v>
      </c>
      <c r="E698" s="181" t="n">
        <v>20.9512</v>
      </c>
      <c r="F698" s="181" t="n">
        <v>438.9546</v>
      </c>
      <c r="G698" s="181" t="n">
        <v>467856</v>
      </c>
      <c r="H698" s="181" t="inlineStr"/>
      <c r="I698" s="181" t="inlineStr"/>
    </row>
    <row r="699" ht="15" customHeight="1" s="28">
      <c r="A699" s="182" t="n">
        <v>686</v>
      </c>
      <c r="B699" s="182" t="n">
        <v>685</v>
      </c>
      <c r="C699" s="182" t="n">
        <v>4675.58</v>
      </c>
      <c r="D699" s="182" t="n">
        <v>4656.3149</v>
      </c>
      <c r="E699" s="182" t="n">
        <v>19.2651</v>
      </c>
      <c r="F699" s="182" t="n">
        <v>371.1456</v>
      </c>
      <c r="G699" s="182" t="n">
        <v>469225</v>
      </c>
      <c r="H699" s="182" t="inlineStr"/>
      <c r="I699" s="182" t="inlineStr"/>
    </row>
    <row r="700" ht="15" customHeight="1" s="28">
      <c r="A700" s="181" t="n">
        <v>687</v>
      </c>
      <c r="B700" s="181" t="n">
        <v>686</v>
      </c>
      <c r="C700" s="181" t="n">
        <v>4671.15</v>
      </c>
      <c r="D700" s="181" t="n">
        <v>4656.061</v>
      </c>
      <c r="E700" s="181" t="n">
        <v>15.089</v>
      </c>
      <c r="F700" s="181" t="n">
        <v>227.679</v>
      </c>
      <c r="G700" s="181" t="n">
        <v>470596</v>
      </c>
      <c r="H700" s="181" t="inlineStr"/>
      <c r="I700" s="181" t="inlineStr"/>
    </row>
    <row r="701" ht="15" customHeight="1" s="28">
      <c r="A701" s="182" t="n">
        <v>688</v>
      </c>
      <c r="B701" s="182" t="n">
        <v>687</v>
      </c>
      <c r="C701" s="182" t="n">
        <v>4669.14</v>
      </c>
      <c r="D701" s="182" t="n">
        <v>4655.8071</v>
      </c>
      <c r="E701" s="182" t="n">
        <v>13.3329</v>
      </c>
      <c r="F701" s="182" t="n">
        <v>177.767</v>
      </c>
      <c r="G701" s="182" t="n">
        <v>471969</v>
      </c>
      <c r="H701" s="182" t="inlineStr"/>
      <c r="I701" s="182" t="inlineStr"/>
    </row>
    <row r="702" ht="15" customHeight="1" s="28">
      <c r="A702" s="181" t="n">
        <v>689</v>
      </c>
      <c r="B702" s="181" t="n">
        <v>688</v>
      </c>
      <c r="C702" s="181" t="n">
        <v>4672.91</v>
      </c>
      <c r="D702" s="181" t="n">
        <v>4655.5532</v>
      </c>
      <c r="E702" s="181" t="n">
        <v>17.3568</v>
      </c>
      <c r="F702" s="181" t="n">
        <v>301.2594</v>
      </c>
      <c r="G702" s="181" t="n">
        <v>473344</v>
      </c>
      <c r="H702" s="181" t="inlineStr"/>
      <c r="I702" s="181" t="inlineStr"/>
    </row>
    <row r="703" ht="15" customHeight="1" s="28">
      <c r="A703" s="182" t="n">
        <v>690</v>
      </c>
      <c r="B703" s="182" t="n">
        <v>689</v>
      </c>
      <c r="C703" s="182" t="n">
        <v>4674.86</v>
      </c>
      <c r="D703" s="182" t="n">
        <v>4655.2993</v>
      </c>
      <c r="E703" s="182" t="n">
        <v>19.5607</v>
      </c>
      <c r="F703" s="182" t="n">
        <v>382.6218</v>
      </c>
      <c r="G703" s="182" t="n">
        <v>474721</v>
      </c>
      <c r="H703" s="182" t="inlineStr"/>
      <c r="I703" s="182" t="inlineStr"/>
    </row>
    <row r="704" ht="15" customHeight="1" s="28">
      <c r="A704" s="181" t="n">
        <v>691</v>
      </c>
      <c r="B704" s="181" t="n">
        <v>690</v>
      </c>
      <c r="C704" s="181" t="n">
        <v>4672.11</v>
      </c>
      <c r="D704" s="181" t="n">
        <v>4655.0454</v>
      </c>
      <c r="E704" s="181" t="n">
        <v>17.0646</v>
      </c>
      <c r="F704" s="181" t="n">
        <v>291.2012</v>
      </c>
      <c r="G704" s="181" t="n">
        <v>476100</v>
      </c>
      <c r="H704" s="181" t="inlineStr"/>
      <c r="I704" s="181" t="inlineStr"/>
    </row>
    <row r="705" ht="15" customHeight="1" s="28">
      <c r="A705" s="182" t="n">
        <v>692</v>
      </c>
      <c r="B705" s="182" t="n">
        <v>691</v>
      </c>
      <c r="C705" s="182" t="n">
        <v>4671.02</v>
      </c>
      <c r="D705" s="182" t="n">
        <v>4654.7915</v>
      </c>
      <c r="E705" s="182" t="n">
        <v>16.2285</v>
      </c>
      <c r="F705" s="182" t="n">
        <v>263.3646</v>
      </c>
      <c r="G705" s="182" t="n">
        <v>477481</v>
      </c>
      <c r="H705" s="182" t="inlineStr"/>
      <c r="I705" s="182" t="inlineStr"/>
    </row>
    <row r="706" ht="15" customHeight="1" s="28">
      <c r="A706" s="181" t="n">
        <v>693</v>
      </c>
      <c r="B706" s="181" t="n">
        <v>692</v>
      </c>
      <c r="C706" s="181" t="n">
        <v>4669.93</v>
      </c>
      <c r="D706" s="181" t="n">
        <v>4654.5376</v>
      </c>
      <c r="E706" s="181" t="n">
        <v>15.3924</v>
      </c>
      <c r="F706" s="181" t="n">
        <v>236.9262</v>
      </c>
      <c r="G706" s="181" t="n">
        <v>478864</v>
      </c>
      <c r="H706" s="181" t="inlineStr"/>
      <c r="I706" s="181" t="inlineStr"/>
    </row>
    <row r="707" ht="15" customHeight="1" s="28">
      <c r="A707" s="182" t="n">
        <v>694</v>
      </c>
      <c r="B707" s="182" t="n">
        <v>693</v>
      </c>
      <c r="C707" s="182" t="n">
        <v>4667.66</v>
      </c>
      <c r="D707" s="182" t="n">
        <v>4654.2837</v>
      </c>
      <c r="E707" s="182" t="n">
        <v>13.3763</v>
      </c>
      <c r="F707" s="182" t="n">
        <v>178.9255</v>
      </c>
      <c r="G707" s="182" t="n">
        <v>480249</v>
      </c>
      <c r="H707" s="182" t="inlineStr"/>
      <c r="I707" s="182" t="inlineStr"/>
    </row>
    <row r="708" ht="15" customHeight="1" s="28">
      <c r="A708" s="181" t="n">
        <v>695</v>
      </c>
      <c r="B708" s="181" t="n">
        <v>694</v>
      </c>
      <c r="C708" s="181" t="n">
        <v>4669.92</v>
      </c>
      <c r="D708" s="181" t="n">
        <v>4654.0298</v>
      </c>
      <c r="E708" s="181" t="n">
        <v>15.8902</v>
      </c>
      <c r="F708" s="181" t="n">
        <v>252.4984</v>
      </c>
      <c r="G708" s="181" t="n">
        <v>481636</v>
      </c>
      <c r="H708" s="181" t="inlineStr"/>
      <c r="I708" s="181" t="inlineStr"/>
    </row>
    <row r="709" ht="15" customHeight="1" s="28">
      <c r="A709" s="182" t="n">
        <v>696</v>
      </c>
      <c r="B709" s="182" t="n">
        <v>695</v>
      </c>
      <c r="C709" s="182" t="n">
        <v>4667.71</v>
      </c>
      <c r="D709" s="182" t="n">
        <v>4653.7759</v>
      </c>
      <c r="E709" s="182" t="n">
        <v>13.9341</v>
      </c>
      <c r="F709" s="182" t="n">
        <v>194.159</v>
      </c>
      <c r="G709" s="182" t="n">
        <v>483025</v>
      </c>
      <c r="H709" s="182" t="inlineStr"/>
      <c r="I709" s="182" t="inlineStr"/>
    </row>
    <row r="710" ht="15" customHeight="1" s="28">
      <c r="A710" s="181" t="n">
        <v>697</v>
      </c>
      <c r="B710" s="181" t="n">
        <v>696</v>
      </c>
      <c r="C710" s="181" t="n">
        <v>4652.57</v>
      </c>
      <c r="D710" s="181" t="n">
        <v>4653.522</v>
      </c>
      <c r="E710" s="181" t="n">
        <v>-0.952</v>
      </c>
      <c r="F710" s="181" t="n">
        <v>0.9063</v>
      </c>
      <c r="G710" s="181" t="n">
        <v>484416</v>
      </c>
      <c r="H710" s="181" t="inlineStr"/>
      <c r="I710" s="181" t="inlineStr"/>
    </row>
    <row r="711" ht="15" customHeight="1" s="28">
      <c r="A711" s="182" t="n">
        <v>698</v>
      </c>
      <c r="B711" s="182" t="n">
        <v>697</v>
      </c>
      <c r="C711" s="182" t="n">
        <v>4658.38</v>
      </c>
      <c r="D711" s="182" t="n">
        <v>4653.2681</v>
      </c>
      <c r="E711" s="182" t="n">
        <v>5.1119</v>
      </c>
      <c r="F711" s="182" t="n">
        <v>26.1314</v>
      </c>
      <c r="G711" s="182" t="n">
        <v>485809</v>
      </c>
      <c r="H711" s="182" t="inlineStr"/>
      <c r="I711" s="182" t="inlineStr"/>
    </row>
    <row r="712" ht="15" customHeight="1" s="28">
      <c r="A712" s="181" t="n">
        <v>699</v>
      </c>
      <c r="B712" s="181" t="n">
        <v>698</v>
      </c>
      <c r="C712" s="181" t="n">
        <v>4624.58</v>
      </c>
      <c r="D712" s="181" t="n">
        <v>4653.0142</v>
      </c>
      <c r="E712" s="181" t="n">
        <v>-28.4342</v>
      </c>
      <c r="F712" s="181" t="n">
        <v>808.5048</v>
      </c>
      <c r="G712" s="181" t="n">
        <v>487204</v>
      </c>
      <c r="H712" s="181" t="inlineStr"/>
      <c r="I712" s="181" t="inlineStr"/>
    </row>
    <row r="713" ht="15" customHeight="1" s="28">
      <c r="A713" s="182" t="n">
        <v>700</v>
      </c>
      <c r="B713" s="182" t="n">
        <v>699</v>
      </c>
      <c r="C713" s="182" t="n">
        <v>4632.23</v>
      </c>
      <c r="D713" s="182" t="n">
        <v>4652.7603</v>
      </c>
      <c r="E713" s="182" t="n">
        <v>-20.5303</v>
      </c>
      <c r="F713" s="182" t="n">
        <v>421.4942</v>
      </c>
      <c r="G713" s="182" t="n">
        <v>488601</v>
      </c>
      <c r="H713" s="182" t="inlineStr"/>
      <c r="I713" s="182" t="inlineStr"/>
    </row>
    <row r="714" ht="15" customHeight="1" s="28">
      <c r="A714" s="181" t="n">
        <v>701</v>
      </c>
      <c r="B714" s="181" t="n">
        <v>700</v>
      </c>
      <c r="C714" s="181" t="n">
        <v>4640.69</v>
      </c>
      <c r="D714" s="181" t="n">
        <v>4652.5064</v>
      </c>
      <c r="E714" s="181" t="n">
        <v>-11.8164</v>
      </c>
      <c r="F714" s="181" t="n">
        <v>139.628</v>
      </c>
      <c r="G714" s="181" t="n">
        <v>490000</v>
      </c>
      <c r="H714" s="181" t="inlineStr"/>
      <c r="I714" s="181" t="inlineStr"/>
    </row>
    <row r="715" ht="15" customHeight="1" s="28">
      <c r="A715" s="182" t="n">
        <v>702</v>
      </c>
      <c r="B715" s="182" t="n">
        <v>701</v>
      </c>
      <c r="C715" s="182" t="n">
        <v>4631.64</v>
      </c>
      <c r="D715" s="182" t="n">
        <v>4652.2525</v>
      </c>
      <c r="E715" s="182" t="n">
        <v>-20.6125</v>
      </c>
      <c r="F715" s="182" t="n">
        <v>424.8765</v>
      </c>
      <c r="G715" s="182" t="n">
        <v>491401</v>
      </c>
      <c r="H715" s="182" t="inlineStr"/>
      <c r="I715" s="182" t="inlineStr"/>
    </row>
    <row r="716" ht="15" customHeight="1" s="28">
      <c r="A716" s="181" t="n">
        <v>703</v>
      </c>
      <c r="B716" s="181" t="n">
        <v>702</v>
      </c>
      <c r="C716" s="181" t="n">
        <v>4629.83</v>
      </c>
      <c r="D716" s="181" t="n">
        <v>4651.9986</v>
      </c>
      <c r="E716" s="181" t="n">
        <v>-22.1686</v>
      </c>
      <c r="F716" s="181" t="n">
        <v>491.4485</v>
      </c>
      <c r="G716" s="181" t="n">
        <v>492804</v>
      </c>
      <c r="H716" s="181" t="inlineStr"/>
      <c r="I716" s="181" t="inlineStr"/>
    </row>
    <row r="717" ht="15" customHeight="1" s="28">
      <c r="A717" s="182" t="n">
        <v>704</v>
      </c>
      <c r="B717" s="182" t="n">
        <v>703</v>
      </c>
      <c r="C717" s="182" t="n">
        <v>4628.99</v>
      </c>
      <c r="D717" s="182" t="n">
        <v>4651.7447</v>
      </c>
      <c r="E717" s="182" t="n">
        <v>-22.7547</v>
      </c>
      <c r="F717" s="182" t="n">
        <v>517.7782</v>
      </c>
      <c r="G717" s="182" t="n">
        <v>494209</v>
      </c>
      <c r="H717" s="182" t="inlineStr"/>
      <c r="I717" s="182" t="inlineStr"/>
    </row>
    <row r="718" ht="15" customHeight="1" s="28">
      <c r="A718" s="181" t="n">
        <v>705</v>
      </c>
      <c r="B718" s="181" t="n">
        <v>704</v>
      </c>
      <c r="C718" s="181" t="n">
        <v>4634.3</v>
      </c>
      <c r="D718" s="181" t="n">
        <v>4651.4908</v>
      </c>
      <c r="E718" s="181" t="n">
        <v>-17.1908</v>
      </c>
      <c r="F718" s="181" t="n">
        <v>295.5252</v>
      </c>
      <c r="G718" s="181" t="n">
        <v>495616</v>
      </c>
      <c r="H718" s="181" t="inlineStr"/>
      <c r="I718" s="181" t="inlineStr"/>
    </row>
    <row r="719" ht="15" customHeight="1" s="28">
      <c r="A719" s="182" t="n">
        <v>706</v>
      </c>
      <c r="B719" s="182" t="n">
        <v>705</v>
      </c>
      <c r="C719" s="182" t="n">
        <v>4629.79</v>
      </c>
      <c r="D719" s="182" t="n">
        <v>4651.237</v>
      </c>
      <c r="E719" s="182" t="n">
        <v>-21.447</v>
      </c>
      <c r="F719" s="182" t="n">
        <v>459.9717</v>
      </c>
      <c r="G719" s="182" t="n">
        <v>497025</v>
      </c>
      <c r="H719" s="182" t="inlineStr"/>
      <c r="I719" s="182" t="inlineStr"/>
    </row>
    <row r="720" ht="15" customHeight="1" s="28">
      <c r="A720" s="181" t="n">
        <v>707</v>
      </c>
      <c r="B720" s="181" t="n">
        <v>706</v>
      </c>
      <c r="C720" s="181" t="n">
        <v>4629.38</v>
      </c>
      <c r="D720" s="181" t="n">
        <v>4650.9831</v>
      </c>
      <c r="E720" s="181" t="n">
        <v>-21.6031</v>
      </c>
      <c r="F720" s="181" t="n">
        <v>466.692</v>
      </c>
      <c r="G720" s="181" t="n">
        <v>498436</v>
      </c>
      <c r="H720" s="181" t="inlineStr"/>
      <c r="I720" s="181" t="inlineStr"/>
    </row>
    <row r="721" ht="15" customHeight="1" s="28">
      <c r="A721" s="182" t="n">
        <v>708</v>
      </c>
      <c r="B721" s="182" t="n">
        <v>707</v>
      </c>
      <c r="C721" s="182" t="n">
        <v>4633.24</v>
      </c>
      <c r="D721" s="182" t="n">
        <v>4650.7292</v>
      </c>
      <c r="E721" s="182" t="n">
        <v>-17.4892</v>
      </c>
      <c r="F721" s="182" t="n">
        <v>305.8707</v>
      </c>
      <c r="G721" s="182" t="n">
        <v>499849</v>
      </c>
      <c r="H721" s="182" t="inlineStr"/>
      <c r="I721" s="182" t="inlineStr"/>
    </row>
    <row r="722" ht="15" customHeight="1" s="28">
      <c r="A722" s="181" t="n">
        <v>709</v>
      </c>
      <c r="B722" s="181" t="n">
        <v>708</v>
      </c>
      <c r="C722" s="181" t="n">
        <v>4620.29</v>
      </c>
      <c r="D722" s="181" t="n">
        <v>4650.4753</v>
      </c>
      <c r="E722" s="181" t="n">
        <v>-30.1853</v>
      </c>
      <c r="F722" s="181" t="n">
        <v>911.1501</v>
      </c>
      <c r="G722" s="181" t="n">
        <v>501264</v>
      </c>
      <c r="H722" s="181" t="inlineStr"/>
      <c r="I722" s="181" t="inlineStr"/>
    </row>
    <row r="723" ht="15" customHeight="1" s="28">
      <c r="A723" s="182" t="n">
        <v>710</v>
      </c>
      <c r="B723" s="182" t="n">
        <v>709</v>
      </c>
      <c r="C723" s="182" t="n">
        <v>4626.98</v>
      </c>
      <c r="D723" s="182" t="n">
        <v>4650.2214</v>
      </c>
      <c r="E723" s="182" t="n">
        <v>-23.2414</v>
      </c>
      <c r="F723" s="182" t="n">
        <v>540.1612</v>
      </c>
      <c r="G723" s="182" t="n">
        <v>502681</v>
      </c>
      <c r="H723" s="182" t="inlineStr"/>
      <c r="I723" s="182" t="inlineStr"/>
    </row>
    <row r="724" ht="15" customHeight="1" s="28">
      <c r="A724" s="181" t="n">
        <v>711</v>
      </c>
      <c r="B724" s="181" t="n">
        <v>710</v>
      </c>
      <c r="C724" s="181" t="n">
        <v>4628.21</v>
      </c>
      <c r="D724" s="181" t="n">
        <v>4649.9675</v>
      </c>
      <c r="E724" s="181" t="n">
        <v>-21.7575</v>
      </c>
      <c r="F724" s="181" t="n">
        <v>473.3876</v>
      </c>
      <c r="G724" s="181" t="n">
        <v>504100</v>
      </c>
      <c r="H724" s="181" t="inlineStr"/>
      <c r="I724" s="181" t="inlineStr"/>
    </row>
    <row r="725" ht="15" customHeight="1" s="28">
      <c r="A725" s="182" t="n">
        <v>712</v>
      </c>
      <c r="B725" s="182" t="n">
        <v>711</v>
      </c>
      <c r="C725" s="182" t="n">
        <v>4629.62</v>
      </c>
      <c r="D725" s="182" t="n">
        <v>4649.7136</v>
      </c>
      <c r="E725" s="182" t="n">
        <v>-20.0936</v>
      </c>
      <c r="F725" s="182" t="n">
        <v>403.7518</v>
      </c>
      <c r="G725" s="182" t="n">
        <v>505521</v>
      </c>
      <c r="H725" s="182" t="inlineStr"/>
      <c r="I725" s="182" t="inlineStr"/>
    </row>
    <row r="726" ht="15" customHeight="1" s="28">
      <c r="A726" s="181" t="n">
        <v>713</v>
      </c>
      <c r="B726" s="181" t="n">
        <v>712</v>
      </c>
      <c r="C726" s="181" t="n">
        <v>4625.52</v>
      </c>
      <c r="D726" s="181" t="n">
        <v>4649.4597</v>
      </c>
      <c r="E726" s="181" t="n">
        <v>-23.9397</v>
      </c>
      <c r="F726" s="181" t="n">
        <v>573.1084</v>
      </c>
      <c r="G726" s="181" t="n">
        <v>506944</v>
      </c>
      <c r="H726" s="181" t="inlineStr"/>
      <c r="I726" s="181" t="inlineStr"/>
    </row>
    <row r="727" ht="15" customHeight="1" s="28">
      <c r="A727" s="182" t="n">
        <v>714</v>
      </c>
      <c r="B727" s="182" t="n">
        <v>713</v>
      </c>
      <c r="C727" s="182" t="n">
        <v>4618.31</v>
      </c>
      <c r="D727" s="182" t="n">
        <v>4649.2058</v>
      </c>
      <c r="E727" s="182" t="n">
        <v>-30.8958</v>
      </c>
      <c r="F727" s="182" t="n">
        <v>954.5496000000001</v>
      </c>
      <c r="G727" s="182" t="n">
        <v>508369</v>
      </c>
      <c r="H727" s="182" t="inlineStr"/>
      <c r="I727" s="182" t="inlineStr"/>
    </row>
    <row r="728" ht="15" customHeight="1" s="28">
      <c r="A728" s="181" t="n">
        <v>715</v>
      </c>
      <c r="B728" s="181" t="n">
        <v>714</v>
      </c>
      <c r="C728" s="181" t="n">
        <v>4613.05</v>
      </c>
      <c r="D728" s="181" t="n">
        <v>4648.9519</v>
      </c>
      <c r="E728" s="181" t="n">
        <v>-35.9019</v>
      </c>
      <c r="F728" s="181" t="n">
        <v>1288.9458</v>
      </c>
      <c r="G728" s="181" t="n">
        <v>509796</v>
      </c>
      <c r="H728" s="181" t="inlineStr"/>
      <c r="I728" s="181" t="inlineStr"/>
    </row>
    <row r="729" ht="15" customHeight="1" s="28">
      <c r="A729" s="182" t="n">
        <v>716</v>
      </c>
      <c r="B729" s="182" t="n">
        <v>715</v>
      </c>
      <c r="C729" s="182" t="n">
        <v>4604.84</v>
      </c>
      <c r="D729" s="182" t="n">
        <v>4648.698</v>
      </c>
      <c r="E729" s="182" t="n">
        <v>-43.858</v>
      </c>
      <c r="F729" s="182" t="n">
        <v>1923.5238</v>
      </c>
      <c r="G729" s="182" t="n">
        <v>511225</v>
      </c>
      <c r="H729" s="182" t="inlineStr"/>
      <c r="I729" s="182" t="inlineStr"/>
    </row>
    <row r="730" ht="15" customHeight="1" s="28">
      <c r="A730" s="181" t="n">
        <v>717</v>
      </c>
      <c r="B730" s="181" t="n">
        <v>716</v>
      </c>
      <c r="C730" s="181" t="n">
        <v>4612.7</v>
      </c>
      <c r="D730" s="181" t="n">
        <v>4648.4441</v>
      </c>
      <c r="E730" s="181" t="n">
        <v>-35.7441</v>
      </c>
      <c r="F730" s="181" t="n">
        <v>1277.6407</v>
      </c>
      <c r="G730" s="181" t="n">
        <v>512656</v>
      </c>
      <c r="H730" s="181" t="inlineStr"/>
      <c r="I730" s="181" t="inlineStr"/>
    </row>
    <row r="731" ht="15" customHeight="1" s="28">
      <c r="A731" s="182" t="n">
        <v>718</v>
      </c>
      <c r="B731" s="182" t="n">
        <v>717</v>
      </c>
      <c r="C731" s="182" t="n">
        <v>4611.77</v>
      </c>
      <c r="D731" s="182" t="n">
        <v>4648.1902</v>
      </c>
      <c r="E731" s="182" t="n">
        <v>-36.4202</v>
      </c>
      <c r="F731" s="182" t="n">
        <v>1326.4313</v>
      </c>
      <c r="G731" s="182" t="n">
        <v>514089</v>
      </c>
      <c r="H731" s="182" t="inlineStr"/>
      <c r="I731" s="182" t="inlineStr"/>
    </row>
    <row r="732" ht="15" customHeight="1" s="28">
      <c r="A732" s="181" t="n">
        <v>719</v>
      </c>
      <c r="B732" s="181" t="n">
        <v>718</v>
      </c>
      <c r="C732" s="181" t="n">
        <v>4613.29</v>
      </c>
      <c r="D732" s="181" t="n">
        <v>4647.9363</v>
      </c>
      <c r="E732" s="181" t="n">
        <v>-34.6463</v>
      </c>
      <c r="F732" s="181" t="n">
        <v>1200.3667</v>
      </c>
      <c r="G732" s="181" t="n">
        <v>515524</v>
      </c>
      <c r="H732" s="181" t="inlineStr"/>
      <c r="I732" s="181" t="inlineStr"/>
    </row>
    <row r="733" ht="15" customHeight="1" s="28">
      <c r="A733" s="182" t="n">
        <v>720</v>
      </c>
      <c r="B733" s="182" t="n">
        <v>719</v>
      </c>
      <c r="C733" s="182" t="n">
        <v>4603.3</v>
      </c>
      <c r="D733" s="182" t="n">
        <v>4647.6824</v>
      </c>
      <c r="E733" s="182" t="n">
        <v>-44.3824</v>
      </c>
      <c r="F733" s="182" t="n">
        <v>1969.7986</v>
      </c>
      <c r="G733" s="182" t="n">
        <v>516961</v>
      </c>
      <c r="H733" s="182" t="inlineStr"/>
      <c r="I733" s="182" t="inlineStr"/>
    </row>
    <row r="734" ht="15" customHeight="1" s="28">
      <c r="A734" s="181" t="n">
        <v>721</v>
      </c>
      <c r="B734" s="181" t="n">
        <v>720</v>
      </c>
      <c r="C734" s="181" t="n">
        <v>4598.69</v>
      </c>
      <c r="D734" s="181" t="n">
        <v>4647.4285</v>
      </c>
      <c r="E734" s="181" t="n">
        <v>-48.7385</v>
      </c>
      <c r="F734" s="181" t="n">
        <v>2375.4431</v>
      </c>
      <c r="G734" s="181" t="n">
        <v>518400</v>
      </c>
      <c r="H734" s="181" t="inlineStr"/>
      <c r="I734" s="181" t="inlineStr"/>
    </row>
    <row r="735" ht="15" customHeight="1" s="28">
      <c r="A735" s="182" t="n">
        <v>722</v>
      </c>
      <c r="B735" s="182" t="n">
        <v>721</v>
      </c>
      <c r="C735" s="182" t="n">
        <v>4599.45</v>
      </c>
      <c r="D735" s="182" t="n">
        <v>4647.1746</v>
      </c>
      <c r="E735" s="182" t="n">
        <v>-47.7246</v>
      </c>
      <c r="F735" s="182" t="n">
        <v>2277.6396</v>
      </c>
      <c r="G735" s="182" t="n">
        <v>519841</v>
      </c>
      <c r="H735" s="182" t="inlineStr"/>
      <c r="I735" s="182" t="inlineStr"/>
    </row>
    <row r="736" ht="15" customHeight="1" s="28">
      <c r="A736" s="181" t="n">
        <v>723</v>
      </c>
      <c r="B736" s="181" t="n">
        <v>722</v>
      </c>
      <c r="C736" s="181" t="n">
        <v>4572.22</v>
      </c>
      <c r="D736" s="181" t="n">
        <v>4646.9207</v>
      </c>
      <c r="E736" s="181" t="n">
        <v>-74.7007</v>
      </c>
      <c r="F736" s="181" t="n">
        <v>5580.1986</v>
      </c>
      <c r="G736" s="181" t="n">
        <v>521284</v>
      </c>
      <c r="H736" s="181" t="inlineStr"/>
      <c r="I736" s="181" t="inlineStr"/>
    </row>
    <row r="737" ht="15" customHeight="1" s="28">
      <c r="A737" s="182" t="n">
        <v>724</v>
      </c>
      <c r="B737" s="182" t="n">
        <v>723</v>
      </c>
      <c r="C737" s="182" t="n">
        <v>4562.88</v>
      </c>
      <c r="D737" s="182" t="n">
        <v>4646.6668</v>
      </c>
      <c r="E737" s="182" t="n">
        <v>-83.7868</v>
      </c>
      <c r="F737" s="182" t="n">
        <v>7020.2331</v>
      </c>
      <c r="G737" s="182" t="n">
        <v>522729</v>
      </c>
      <c r="H737" s="182" t="inlineStr"/>
      <c r="I737" s="182" t="inlineStr"/>
    </row>
    <row r="738" ht="15" customHeight="1" s="28">
      <c r="A738" s="181" t="n">
        <v>725</v>
      </c>
      <c r="B738" s="181" t="n">
        <v>724</v>
      </c>
      <c r="C738" s="181" t="n">
        <v>4581.73</v>
      </c>
      <c r="D738" s="181" t="n">
        <v>4646.4129</v>
      </c>
      <c r="E738" s="181" t="n">
        <v>-64.6829</v>
      </c>
      <c r="F738" s="181" t="n">
        <v>4183.8822</v>
      </c>
      <c r="G738" s="181" t="n">
        <v>524176</v>
      </c>
      <c r="H738" s="181" t="inlineStr"/>
      <c r="I738" s="181" t="inlineStr"/>
    </row>
    <row r="739" ht="15" customHeight="1" s="28">
      <c r="A739" s="182" t="n">
        <v>726</v>
      </c>
      <c r="B739" s="182" t="n">
        <v>725</v>
      </c>
      <c r="C739" s="182" t="n">
        <v>4580.32</v>
      </c>
      <c r="D739" s="182" t="n">
        <v>4646.159</v>
      </c>
      <c r="E739" s="182" t="n">
        <v>-65.839</v>
      </c>
      <c r="F739" s="182" t="n">
        <v>4334.7792</v>
      </c>
      <c r="G739" s="182" t="n">
        <v>525625</v>
      </c>
      <c r="H739" s="182" t="inlineStr"/>
      <c r="I739" s="182" t="inlineStr"/>
    </row>
    <row r="740" ht="15" customHeight="1" s="28">
      <c r="A740" s="181" t="n">
        <v>727</v>
      </c>
      <c r="B740" s="181" t="n">
        <v>726</v>
      </c>
      <c r="C740" s="181" t="n">
        <v>4586.96</v>
      </c>
      <c r="D740" s="181" t="n">
        <v>4645.9051</v>
      </c>
      <c r="E740" s="181" t="n">
        <v>-58.9451</v>
      </c>
      <c r="F740" s="181" t="n">
        <v>3474.5301</v>
      </c>
      <c r="G740" s="181" t="n">
        <v>527076</v>
      </c>
      <c r="H740" s="181" t="inlineStr"/>
      <c r="I740" s="181" t="inlineStr"/>
    </row>
    <row r="741" ht="15" customHeight="1" s="28">
      <c r="A741" s="182" t="n">
        <v>728</v>
      </c>
      <c r="B741" s="182" t="n">
        <v>727</v>
      </c>
      <c r="C741" s="182" t="n">
        <v>4593.98</v>
      </c>
      <c r="D741" s="182" t="n">
        <v>4645.6512</v>
      </c>
      <c r="E741" s="182" t="n">
        <v>-51.6712</v>
      </c>
      <c r="F741" s="182" t="n">
        <v>2669.918</v>
      </c>
      <c r="G741" s="182" t="n">
        <v>528529</v>
      </c>
      <c r="H741" s="182" t="inlineStr"/>
      <c r="I741" s="182" t="inlineStr"/>
    </row>
    <row r="742" ht="15" customHeight="1" s="28">
      <c r="A742" s="181" t="n">
        <v>729</v>
      </c>
      <c r="B742" s="181" t="n">
        <v>728</v>
      </c>
      <c r="C742" s="181" t="n">
        <v>4576.38</v>
      </c>
      <c r="D742" s="181" t="n">
        <v>4645.3974</v>
      </c>
      <c r="E742" s="181" t="n">
        <v>-69.01739999999999</v>
      </c>
      <c r="F742" s="181" t="n">
        <v>4763.3951</v>
      </c>
      <c r="G742" s="181" t="n">
        <v>529984</v>
      </c>
      <c r="H742" s="181" t="inlineStr"/>
      <c r="I742" s="181" t="inlineStr"/>
    </row>
    <row r="743" ht="15" customHeight="1" s="28">
      <c r="A743" s="182" t="n">
        <v>730</v>
      </c>
      <c r="B743" s="182" t="n">
        <v>729</v>
      </c>
      <c r="C743" s="182" t="n">
        <v>4581.88</v>
      </c>
      <c r="D743" s="182" t="n">
        <v>4645.1435</v>
      </c>
      <c r="E743" s="182" t="n">
        <v>-63.2635</v>
      </c>
      <c r="F743" s="182" t="n">
        <v>4002.2652</v>
      </c>
      <c r="G743" s="182" t="n">
        <v>531441</v>
      </c>
      <c r="H743" s="182" t="inlineStr"/>
      <c r="I743" s="182" t="inlineStr"/>
    </row>
    <row r="744" ht="15" customHeight="1" s="28">
      <c r="A744" s="181" t="n">
        <v>731</v>
      </c>
      <c r="B744" s="181" t="n">
        <v>730</v>
      </c>
      <c r="C744" s="181" t="n">
        <v>4581.73</v>
      </c>
      <c r="D744" s="181" t="n">
        <v>4644.8896</v>
      </c>
      <c r="E744" s="181" t="n">
        <v>-63.1596</v>
      </c>
      <c r="F744" s="181" t="n">
        <v>3989.1304</v>
      </c>
      <c r="G744" s="181" t="n">
        <v>532900</v>
      </c>
      <c r="H744" s="181" t="inlineStr"/>
      <c r="I744" s="181" t="inlineStr"/>
    </row>
    <row r="745" ht="15" customHeight="1" s="28">
      <c r="A745" s="182" t="n">
        <v>732</v>
      </c>
      <c r="B745" s="182" t="n">
        <v>731</v>
      </c>
      <c r="C745" s="182" t="n">
        <v>4580.32</v>
      </c>
      <c r="D745" s="182" t="n">
        <v>4644.6357</v>
      </c>
      <c r="E745" s="182" t="n">
        <v>-64.31570000000001</v>
      </c>
      <c r="F745" s="182" t="n">
        <v>4136.5051</v>
      </c>
      <c r="G745" s="182" t="n">
        <v>534361</v>
      </c>
      <c r="H745" s="182" t="inlineStr"/>
      <c r="I745" s="182" t="inlineStr"/>
    </row>
    <row r="746" ht="15" customHeight="1" s="28">
      <c r="A746" s="181" t="n">
        <v>733</v>
      </c>
      <c r="B746" s="181" t="n">
        <v>732</v>
      </c>
      <c r="C746" s="181" t="n">
        <v>4568.29</v>
      </c>
      <c r="D746" s="181" t="n">
        <v>4644.3818</v>
      </c>
      <c r="E746" s="181" t="n">
        <v>-76.09180000000001</v>
      </c>
      <c r="F746" s="181" t="n">
        <v>5789.9577</v>
      </c>
      <c r="G746" s="181" t="n">
        <v>535824</v>
      </c>
      <c r="H746" s="181" t="inlineStr"/>
      <c r="I746" s="181" t="inlineStr"/>
    </row>
    <row r="747" ht="15" customHeight="1" s="28">
      <c r="A747" s="182" t="n">
        <v>734</v>
      </c>
      <c r="B747" s="182" t="n">
        <v>733</v>
      </c>
      <c r="C747" s="182" t="n">
        <v>4571.47</v>
      </c>
      <c r="D747" s="182" t="n">
        <v>4644.1279</v>
      </c>
      <c r="E747" s="182" t="n">
        <v>-72.6579</v>
      </c>
      <c r="F747" s="182" t="n">
        <v>5279.167</v>
      </c>
      <c r="G747" s="182" t="n">
        <v>537289</v>
      </c>
      <c r="H747" s="182" t="inlineStr"/>
      <c r="I747" s="182" t="inlineStr"/>
    </row>
    <row r="748" ht="15" customHeight="1" s="28">
      <c r="A748" s="181" t="n">
        <v>735</v>
      </c>
      <c r="B748" s="181" t="n">
        <v>734</v>
      </c>
      <c r="C748" s="181" t="n">
        <v>4564.18</v>
      </c>
      <c r="D748" s="181" t="n">
        <v>4643.874</v>
      </c>
      <c r="E748" s="181" t="n">
        <v>-79.694</v>
      </c>
      <c r="F748" s="181" t="n">
        <v>6351.1306</v>
      </c>
      <c r="G748" s="181" t="n">
        <v>538756</v>
      </c>
      <c r="H748" s="181" t="inlineStr"/>
      <c r="I748" s="181" t="inlineStr"/>
    </row>
    <row r="749" ht="15" customHeight="1" s="28">
      <c r="A749" s="182" t="n">
        <v>736</v>
      </c>
      <c r="B749" s="182" t="n">
        <v>735</v>
      </c>
      <c r="C749" s="182" t="n">
        <v>4574.6</v>
      </c>
      <c r="D749" s="182" t="n">
        <v>4643.6201</v>
      </c>
      <c r="E749" s="182" t="n">
        <v>-69.0201</v>
      </c>
      <c r="F749" s="182" t="n">
        <v>4763.7722</v>
      </c>
      <c r="G749" s="182" t="n">
        <v>540225</v>
      </c>
      <c r="H749" s="182" t="inlineStr"/>
      <c r="I749" s="182" t="inlineStr"/>
    </row>
    <row r="750" ht="15" customHeight="1" s="28">
      <c r="A750" s="181" t="n">
        <v>737</v>
      </c>
      <c r="B750" s="181" t="n">
        <v>736</v>
      </c>
      <c r="C750" s="181" t="n">
        <v>4572.73</v>
      </c>
      <c r="D750" s="181" t="n">
        <v>4643.3662</v>
      </c>
      <c r="E750" s="181" t="n">
        <v>-70.6362</v>
      </c>
      <c r="F750" s="181" t="n">
        <v>4989.4713</v>
      </c>
      <c r="G750" s="181" t="n">
        <v>541696</v>
      </c>
      <c r="H750" s="181" t="inlineStr"/>
      <c r="I750" s="181" t="inlineStr"/>
    </row>
    <row r="751" ht="15" customHeight="1" s="28">
      <c r="A751" s="182" t="n">
        <v>738</v>
      </c>
      <c r="B751" s="182" t="n">
        <v>737</v>
      </c>
      <c r="C751" s="182" t="n">
        <v>4577.09</v>
      </c>
      <c r="D751" s="182" t="n">
        <v>4643.1123</v>
      </c>
      <c r="E751" s="182" t="n">
        <v>-66.0223</v>
      </c>
      <c r="F751" s="182" t="n">
        <v>4358.9434</v>
      </c>
      <c r="G751" s="182" t="n">
        <v>543169</v>
      </c>
      <c r="H751" s="182" t="inlineStr"/>
      <c r="I751" s="182" t="inlineStr"/>
    </row>
    <row r="752" ht="15" customHeight="1" s="28">
      <c r="A752" s="181" t="n">
        <v>739</v>
      </c>
      <c r="B752" s="181" t="n">
        <v>738</v>
      </c>
      <c r="C752" s="181" t="n">
        <v>4577.82</v>
      </c>
      <c r="D752" s="181" t="n">
        <v>4642.8584</v>
      </c>
      <c r="E752" s="181" t="n">
        <v>-65.0384</v>
      </c>
      <c r="F752" s="181" t="n">
        <v>4229.9933</v>
      </c>
      <c r="G752" s="181" t="n">
        <v>544644</v>
      </c>
      <c r="H752" s="181" t="inlineStr"/>
      <c r="I752" s="181" t="inlineStr"/>
    </row>
    <row r="753" ht="15" customHeight="1" s="28">
      <c r="A753" s="182" t="n">
        <v>740</v>
      </c>
      <c r="B753" s="182" t="n">
        <v>739</v>
      </c>
      <c r="C753" s="182" t="n">
        <v>4586.48</v>
      </c>
      <c r="D753" s="182" t="n">
        <v>4642.6045</v>
      </c>
      <c r="E753" s="182" t="n">
        <v>-56.1245</v>
      </c>
      <c r="F753" s="182" t="n">
        <v>3149.9599</v>
      </c>
      <c r="G753" s="182" t="n">
        <v>546121</v>
      </c>
      <c r="H753" s="182" t="inlineStr"/>
      <c r="I753" s="182" t="inlineStr"/>
    </row>
    <row r="754" ht="15" customHeight="1" s="28">
      <c r="A754" s="181" t="n">
        <v>741</v>
      </c>
      <c r="B754" s="181" t="n">
        <v>740</v>
      </c>
      <c r="C754" s="181" t="n">
        <v>4585.4</v>
      </c>
      <c r="D754" s="181" t="n">
        <v>4642.3506</v>
      </c>
      <c r="E754" s="181" t="n">
        <v>-56.9506</v>
      </c>
      <c r="F754" s="181" t="n">
        <v>3243.3717</v>
      </c>
      <c r="G754" s="181" t="n">
        <v>547600</v>
      </c>
      <c r="H754" s="181" t="inlineStr"/>
      <c r="I754" s="181" t="inlineStr"/>
    </row>
    <row r="755" ht="15" customHeight="1" s="28">
      <c r="A755" s="182" t="n">
        <v>742</v>
      </c>
      <c r="B755" s="182" t="n">
        <v>741</v>
      </c>
      <c r="C755" s="182" t="n">
        <v>4582.74</v>
      </c>
      <c r="D755" s="182" t="n">
        <v>4642.0967</v>
      </c>
      <c r="E755" s="182" t="n">
        <v>-59.3567</v>
      </c>
      <c r="F755" s="182" t="n">
        <v>3523.2193</v>
      </c>
      <c r="G755" s="182" t="n">
        <v>549081</v>
      </c>
      <c r="H755" s="182" t="inlineStr"/>
      <c r="I755" s="182" t="inlineStr"/>
    </row>
    <row r="756" ht="15" customHeight="1" s="28">
      <c r="A756" s="181" t="n">
        <v>743</v>
      </c>
      <c r="B756" s="181" t="n">
        <v>742</v>
      </c>
      <c r="C756" s="181" t="n">
        <v>4585.06</v>
      </c>
      <c r="D756" s="181" t="n">
        <v>4641.8428</v>
      </c>
      <c r="E756" s="181" t="n">
        <v>-56.7828</v>
      </c>
      <c r="F756" s="181" t="n">
        <v>3224.2883</v>
      </c>
      <c r="G756" s="181" t="n">
        <v>550564</v>
      </c>
      <c r="H756" s="181" t="inlineStr"/>
      <c r="I756" s="181" t="inlineStr"/>
    </row>
    <row r="757" ht="15" customHeight="1" s="28">
      <c r="A757" s="182" t="n">
        <v>744</v>
      </c>
      <c r="B757" s="182" t="n">
        <v>743</v>
      </c>
      <c r="C757" s="182" t="n">
        <v>4592.2</v>
      </c>
      <c r="D757" s="182" t="n">
        <v>4641.5889</v>
      </c>
      <c r="E757" s="182" t="n">
        <v>-49.3889</v>
      </c>
      <c r="F757" s="182" t="n">
        <v>2439.2656</v>
      </c>
      <c r="G757" s="182" t="n">
        <v>552049</v>
      </c>
      <c r="H757" s="182" t="inlineStr"/>
      <c r="I757" s="182" t="inlineStr"/>
    </row>
    <row r="758" ht="15" customHeight="1" s="28">
      <c r="A758" s="181" t="n">
        <v>745</v>
      </c>
      <c r="B758" s="181" t="n">
        <v>744</v>
      </c>
      <c r="C758" s="181" t="n">
        <v>4593.67</v>
      </c>
      <c r="D758" s="181" t="n">
        <v>4641.335</v>
      </c>
      <c r="E758" s="181" t="n">
        <v>-47.665</v>
      </c>
      <c r="F758" s="181" t="n">
        <v>2271.9547</v>
      </c>
      <c r="G758" s="181" t="n">
        <v>553536</v>
      </c>
      <c r="H758" s="181" t="inlineStr"/>
      <c r="I758" s="181" t="inlineStr"/>
    </row>
    <row r="759" ht="15" customHeight="1" s="28">
      <c r="A759" s="182" t="n">
        <v>746</v>
      </c>
      <c r="B759" s="182" t="n">
        <v>745</v>
      </c>
      <c r="C759" s="182" t="n">
        <v>4593.49</v>
      </c>
      <c r="D759" s="182" t="n">
        <v>4641.0811</v>
      </c>
      <c r="E759" s="182" t="n">
        <v>-47.5911</v>
      </c>
      <c r="F759" s="182" t="n">
        <v>2264.9157</v>
      </c>
      <c r="G759" s="182" t="n">
        <v>555025</v>
      </c>
      <c r="H759" s="182" t="inlineStr"/>
      <c r="I759" s="182" t="inlineStr"/>
    </row>
    <row r="760" ht="15" customHeight="1" s="28">
      <c r="A760" s="181" t="n">
        <v>747</v>
      </c>
      <c r="B760" s="181" t="n">
        <v>746</v>
      </c>
      <c r="C760" s="181" t="n">
        <v>4599.02</v>
      </c>
      <c r="D760" s="181" t="n">
        <v>4640.8272</v>
      </c>
      <c r="E760" s="181" t="n">
        <v>-41.8072</v>
      </c>
      <c r="F760" s="181" t="n">
        <v>1747.8449</v>
      </c>
      <c r="G760" s="181" t="n">
        <v>556516</v>
      </c>
      <c r="H760" s="181" t="inlineStr"/>
      <c r="I760" s="181" t="inlineStr"/>
    </row>
    <row r="761" ht="15" customHeight="1" s="28">
      <c r="A761" s="182" t="n">
        <v>748</v>
      </c>
      <c r="B761" s="182" t="n">
        <v>747</v>
      </c>
      <c r="C761" s="182" t="n">
        <v>4594.77</v>
      </c>
      <c r="D761" s="182" t="n">
        <v>4640.5733</v>
      </c>
      <c r="E761" s="182" t="n">
        <v>-45.8033</v>
      </c>
      <c r="F761" s="182" t="n">
        <v>2097.9459</v>
      </c>
      <c r="G761" s="182" t="n">
        <v>558009</v>
      </c>
      <c r="H761" s="182" t="inlineStr"/>
      <c r="I761" s="182" t="inlineStr"/>
    </row>
    <row r="762" ht="15" customHeight="1" s="28">
      <c r="A762" s="181" t="n">
        <v>749</v>
      </c>
      <c r="B762" s="181" t="n">
        <v>748</v>
      </c>
      <c r="C762" s="181" t="n">
        <v>4596.1</v>
      </c>
      <c r="D762" s="181" t="n">
        <v>4640.3194</v>
      </c>
      <c r="E762" s="181" t="n">
        <v>-44.2194</v>
      </c>
      <c r="F762" s="181" t="n">
        <v>1955.3592</v>
      </c>
      <c r="G762" s="181" t="n">
        <v>559504</v>
      </c>
      <c r="H762" s="181" t="inlineStr"/>
      <c r="I762" s="181" t="inlineStr"/>
    </row>
    <row r="763" ht="15" customHeight="1" s="28">
      <c r="A763" s="182" t="n">
        <v>750</v>
      </c>
      <c r="B763" s="182" t="n">
        <v>749</v>
      </c>
      <c r="C763" s="182" t="n">
        <v>4598.91</v>
      </c>
      <c r="D763" s="182" t="n">
        <v>4640.0655</v>
      </c>
      <c r="E763" s="182" t="n">
        <v>-41.1555</v>
      </c>
      <c r="F763" s="182" t="n">
        <v>1693.7792</v>
      </c>
      <c r="G763" s="182" t="n">
        <v>561001</v>
      </c>
      <c r="H763" s="182" t="inlineStr"/>
      <c r="I763" s="182" t="inlineStr"/>
    </row>
    <row r="764" ht="15" customHeight="1" s="28">
      <c r="A764" s="181" t="n">
        <v>751</v>
      </c>
      <c r="B764" s="181" t="n">
        <v>750</v>
      </c>
      <c r="C764" s="181" t="n">
        <v>4597.74</v>
      </c>
      <c r="D764" s="181" t="n">
        <v>4639.8117</v>
      </c>
      <c r="E764" s="181" t="n">
        <v>-42.0717</v>
      </c>
      <c r="F764" s="181" t="n">
        <v>1770.024</v>
      </c>
      <c r="G764" s="181" t="n">
        <v>562500</v>
      </c>
      <c r="H764" s="181" t="inlineStr"/>
      <c r="I764" s="181" t="inlineStr"/>
    </row>
    <row r="765" ht="15" customHeight="1" s="28">
      <c r="A765" s="182" t="n">
        <v>752</v>
      </c>
      <c r="B765" s="182" t="n">
        <v>751</v>
      </c>
      <c r="C765" s="182" t="n">
        <v>4594.2</v>
      </c>
      <c r="D765" s="182" t="n">
        <v>4639.5578</v>
      </c>
      <c r="E765" s="182" t="n">
        <v>-45.3578</v>
      </c>
      <c r="F765" s="182" t="n">
        <v>2057.3262</v>
      </c>
      <c r="G765" s="182" t="n">
        <v>564001</v>
      </c>
      <c r="H765" s="182" t="inlineStr"/>
      <c r="I765" s="182" t="inlineStr"/>
    </row>
    <row r="766" ht="15" customHeight="1" s="28">
      <c r="A766" s="181" t="n">
        <v>753</v>
      </c>
      <c r="B766" s="181" t="n">
        <v>752</v>
      </c>
      <c r="C766" s="181" t="n">
        <v>4595.75</v>
      </c>
      <c r="D766" s="181" t="n">
        <v>4639.3039</v>
      </c>
      <c r="E766" s="181" t="n">
        <v>-43.5539</v>
      </c>
      <c r="F766" s="181" t="n">
        <v>1896.9389</v>
      </c>
      <c r="G766" s="181" t="n">
        <v>565504</v>
      </c>
      <c r="H766" s="181" t="inlineStr"/>
      <c r="I766" s="181" t="inlineStr"/>
    </row>
    <row r="767" ht="15" customHeight="1" s="28">
      <c r="A767" s="182" t="n">
        <v>754</v>
      </c>
      <c r="B767" s="182" t="n">
        <v>753</v>
      </c>
      <c r="C767" s="182" t="n">
        <v>4596.22</v>
      </c>
      <c r="D767" s="182" t="n">
        <v>4639.05</v>
      </c>
      <c r="E767" s="182" t="n">
        <v>-42.83</v>
      </c>
      <c r="F767" s="182" t="n">
        <v>1834.406</v>
      </c>
      <c r="G767" s="182" t="n">
        <v>567009</v>
      </c>
      <c r="H767" s="182" t="inlineStr"/>
      <c r="I767" s="182" t="inlineStr"/>
    </row>
    <row r="768" ht="15" customHeight="1" s="28">
      <c r="A768" s="181" t="n">
        <v>755</v>
      </c>
      <c r="B768" s="181" t="n">
        <v>754</v>
      </c>
      <c r="C768" s="181" t="n">
        <v>4598.52</v>
      </c>
      <c r="D768" s="181" t="n">
        <v>4638.7961</v>
      </c>
      <c r="E768" s="181" t="n">
        <v>-40.2761</v>
      </c>
      <c r="F768" s="181" t="n">
        <v>1622.1619</v>
      </c>
      <c r="G768" s="181" t="n">
        <v>568516</v>
      </c>
      <c r="H768" s="181" t="inlineStr"/>
      <c r="I768" s="181" t="inlineStr"/>
    </row>
    <row r="769" ht="15" customHeight="1" s="28">
      <c r="A769" s="182" t="n">
        <v>756</v>
      </c>
      <c r="B769" s="182" t="n">
        <v>755</v>
      </c>
      <c r="C769" s="182" t="n">
        <v>4595.7</v>
      </c>
      <c r="D769" s="182" t="n">
        <v>4638.5422</v>
      </c>
      <c r="E769" s="182" t="n">
        <v>-42.8422</v>
      </c>
      <c r="F769" s="182" t="n">
        <v>1835.452</v>
      </c>
      <c r="G769" s="182" t="n">
        <v>570025</v>
      </c>
      <c r="H769" s="182" t="inlineStr"/>
      <c r="I769" s="182" t="inlineStr"/>
    </row>
    <row r="770" ht="15" customHeight="1" s="28">
      <c r="A770" s="181" t="n">
        <v>757</v>
      </c>
      <c r="B770" s="181" t="n">
        <v>756</v>
      </c>
      <c r="C770" s="181" t="n">
        <v>4597.28</v>
      </c>
      <c r="D770" s="181" t="n">
        <v>4638.2883</v>
      </c>
      <c r="E770" s="181" t="n">
        <v>-41.0083</v>
      </c>
      <c r="F770" s="181" t="n">
        <v>1681.679</v>
      </c>
      <c r="G770" s="181" t="n">
        <v>571536</v>
      </c>
      <c r="H770" s="181" t="inlineStr"/>
      <c r="I770" s="181" t="inlineStr"/>
    </row>
    <row r="771" ht="15" customHeight="1" s="28">
      <c r="A771" s="182" t="n">
        <v>758</v>
      </c>
      <c r="B771" s="182" t="n">
        <v>757</v>
      </c>
      <c r="C771" s="182" t="n">
        <v>4592.85</v>
      </c>
      <c r="D771" s="182" t="n">
        <v>4638.0344</v>
      </c>
      <c r="E771" s="182" t="n">
        <v>-45.1844</v>
      </c>
      <c r="F771" s="182" t="n">
        <v>2041.6286</v>
      </c>
      <c r="G771" s="182" t="n">
        <v>573049</v>
      </c>
      <c r="H771" s="182" t="inlineStr"/>
      <c r="I771" s="182" t="inlineStr"/>
    </row>
    <row r="772" ht="15" customHeight="1" s="28">
      <c r="A772" s="181" t="n">
        <v>759</v>
      </c>
      <c r="B772" s="181" t="n">
        <v>758</v>
      </c>
      <c r="C772" s="181" t="n">
        <v>4593.44</v>
      </c>
      <c r="D772" s="181" t="n">
        <v>4637.7805</v>
      </c>
      <c r="E772" s="181" t="n">
        <v>-44.3405</v>
      </c>
      <c r="F772" s="181" t="n">
        <v>1966.079</v>
      </c>
      <c r="G772" s="181" t="n">
        <v>574564</v>
      </c>
      <c r="H772" s="181" t="inlineStr"/>
      <c r="I772" s="181" t="inlineStr"/>
    </row>
    <row r="773" ht="15" customHeight="1" s="28">
      <c r="A773" s="182" t="n">
        <v>760</v>
      </c>
      <c r="B773" s="182" t="n">
        <v>759</v>
      </c>
      <c r="C773" s="182" t="n">
        <v>4597.18</v>
      </c>
      <c r="D773" s="182" t="n">
        <v>4637.5266</v>
      </c>
      <c r="E773" s="182" t="n">
        <v>-40.3466</v>
      </c>
      <c r="F773" s="182" t="n">
        <v>1627.8476</v>
      </c>
      <c r="G773" s="182" t="n">
        <v>576081</v>
      </c>
      <c r="H773" s="182" t="inlineStr"/>
      <c r="I773" s="182" t="inlineStr"/>
    </row>
    <row r="774" ht="15" customHeight="1" s="28">
      <c r="A774" s="181" t="n">
        <v>761</v>
      </c>
      <c r="B774" s="181" t="n">
        <v>760</v>
      </c>
      <c r="C774" s="181" t="n">
        <v>4596.42</v>
      </c>
      <c r="D774" s="181" t="n">
        <v>4637.2727</v>
      </c>
      <c r="E774" s="181" t="n">
        <v>-40.8527</v>
      </c>
      <c r="F774" s="181" t="n">
        <v>1668.9429</v>
      </c>
      <c r="G774" s="181" t="n">
        <v>577600</v>
      </c>
      <c r="H774" s="181" t="inlineStr"/>
      <c r="I774" s="181" t="inlineStr"/>
    </row>
    <row r="775" ht="15" customHeight="1" s="28">
      <c r="A775" s="182" t="n">
        <v>762</v>
      </c>
      <c r="B775" s="182" t="n">
        <v>761</v>
      </c>
      <c r="C775" s="182" t="n">
        <v>4595.82</v>
      </c>
      <c r="D775" s="182" t="n">
        <v>4637.0188</v>
      </c>
      <c r="E775" s="182" t="n">
        <v>-41.1988</v>
      </c>
      <c r="F775" s="182" t="n">
        <v>1697.3413</v>
      </c>
      <c r="G775" s="182" t="n">
        <v>579121</v>
      </c>
      <c r="H775" s="182" t="inlineStr"/>
      <c r="I775" s="182" t="inlineStr"/>
    </row>
    <row r="776" ht="15" customHeight="1" s="28">
      <c r="A776" s="181" t="n">
        <v>763</v>
      </c>
      <c r="B776" s="181" t="n">
        <v>762</v>
      </c>
      <c r="C776" s="181" t="n">
        <v>4593.71</v>
      </c>
      <c r="D776" s="181" t="n">
        <v>4636.7649</v>
      </c>
      <c r="E776" s="181" t="n">
        <v>-43.0549</v>
      </c>
      <c r="F776" s="181" t="n">
        <v>1853.725</v>
      </c>
      <c r="G776" s="181" t="n">
        <v>580644</v>
      </c>
      <c r="H776" s="181" t="inlineStr"/>
      <c r="I776" s="181" t="inlineStr"/>
    </row>
    <row r="777" ht="15" customHeight="1" s="28">
      <c r="A777" s="182" t="n">
        <v>764</v>
      </c>
      <c r="B777" s="182" t="n">
        <v>763</v>
      </c>
      <c r="C777" s="182" t="n">
        <v>4594.16</v>
      </c>
      <c r="D777" s="182" t="n">
        <v>4636.511</v>
      </c>
      <c r="E777" s="182" t="n">
        <v>-42.351</v>
      </c>
      <c r="F777" s="182" t="n">
        <v>1793.6082</v>
      </c>
      <c r="G777" s="182" t="n">
        <v>582169</v>
      </c>
      <c r="H777" s="182" t="inlineStr"/>
      <c r="I777" s="182" t="inlineStr"/>
    </row>
    <row r="778" ht="15" customHeight="1" s="28">
      <c r="A778" s="181" t="n">
        <v>765</v>
      </c>
      <c r="B778" s="181" t="n">
        <v>764</v>
      </c>
      <c r="C778" s="181" t="n">
        <v>4590.84</v>
      </c>
      <c r="D778" s="181" t="n">
        <v>4636.2571</v>
      </c>
      <c r="E778" s="181" t="n">
        <v>-45.4171</v>
      </c>
      <c r="F778" s="181" t="n">
        <v>2062.7144</v>
      </c>
      <c r="G778" s="181" t="n">
        <v>583696</v>
      </c>
      <c r="H778" s="181" t="inlineStr"/>
      <c r="I778" s="181" t="inlineStr"/>
    </row>
    <row r="779" ht="15" customHeight="1" s="28">
      <c r="A779" s="182" t="n">
        <v>766</v>
      </c>
      <c r="B779" s="182" t="n">
        <v>765</v>
      </c>
      <c r="C779" s="182" t="n">
        <v>4592.2</v>
      </c>
      <c r="D779" s="182" t="n">
        <v>4636.0032</v>
      </c>
      <c r="E779" s="182" t="n">
        <v>-43.8032</v>
      </c>
      <c r="F779" s="182" t="n">
        <v>1918.7221</v>
      </c>
      <c r="G779" s="182" t="n">
        <v>585225</v>
      </c>
      <c r="H779" s="182" t="inlineStr"/>
      <c r="I779" s="182" t="inlineStr"/>
    </row>
    <row r="780" ht="15" customHeight="1" s="28">
      <c r="A780" s="181" t="n">
        <v>767</v>
      </c>
      <c r="B780" s="181" t="n">
        <v>766</v>
      </c>
      <c r="C780" s="181" t="n">
        <v>4589.91</v>
      </c>
      <c r="D780" s="181" t="n">
        <v>4635.7493</v>
      </c>
      <c r="E780" s="181" t="n">
        <v>-45.8393</v>
      </c>
      <c r="F780" s="181" t="n">
        <v>2101.2437</v>
      </c>
      <c r="G780" s="181" t="n">
        <v>586756</v>
      </c>
      <c r="H780" s="181" t="inlineStr"/>
      <c r="I780" s="181" t="inlineStr"/>
    </row>
    <row r="781" ht="15" customHeight="1" s="28">
      <c r="A781" s="182" t="n">
        <v>768</v>
      </c>
      <c r="B781" s="182" t="n">
        <v>767</v>
      </c>
      <c r="C781" s="182" t="n">
        <v>4595.51</v>
      </c>
      <c r="D781" s="182" t="n">
        <v>4635.4954</v>
      </c>
      <c r="E781" s="182" t="n">
        <v>-39.9854</v>
      </c>
      <c r="F781" s="182" t="n">
        <v>1598.8346</v>
      </c>
      <c r="G781" s="182" t="n">
        <v>588289</v>
      </c>
      <c r="H781" s="182" t="inlineStr"/>
      <c r="I781" s="182" t="inlineStr"/>
    </row>
    <row r="782" ht="15" customHeight="1" s="28">
      <c r="A782" s="181" t="n">
        <v>769</v>
      </c>
      <c r="B782" s="181" t="n">
        <v>768</v>
      </c>
      <c r="C782" s="181" t="n">
        <v>4607.37</v>
      </c>
      <c r="D782" s="181" t="n">
        <v>4635.2415</v>
      </c>
      <c r="E782" s="181" t="n">
        <v>-27.8715</v>
      </c>
      <c r="F782" s="181" t="n">
        <v>776.8224</v>
      </c>
      <c r="G782" s="181" t="n">
        <v>589824</v>
      </c>
      <c r="H782" s="181" t="inlineStr"/>
      <c r="I782" s="181" t="inlineStr"/>
    </row>
    <row r="783" ht="15" customHeight="1" s="28">
      <c r="A783" s="182" t="n">
        <v>770</v>
      </c>
      <c r="B783" s="182" t="n">
        <v>769</v>
      </c>
      <c r="C783" s="182" t="n">
        <v>4600.13</v>
      </c>
      <c r="D783" s="182" t="n">
        <v>4634.9876</v>
      </c>
      <c r="E783" s="182" t="n">
        <v>-34.8576</v>
      </c>
      <c r="F783" s="182" t="n">
        <v>1215.055</v>
      </c>
      <c r="G783" s="182" t="n">
        <v>591361</v>
      </c>
      <c r="H783" s="182" t="inlineStr"/>
      <c r="I783" s="182" t="inlineStr"/>
    </row>
    <row r="784" ht="15" customHeight="1" s="28">
      <c r="A784" s="181" t="n">
        <v>771</v>
      </c>
      <c r="B784" s="181" t="n">
        <v>770</v>
      </c>
      <c r="C784" s="181" t="n">
        <v>4603.88</v>
      </c>
      <c r="D784" s="181" t="n">
        <v>4634.7337</v>
      </c>
      <c r="E784" s="181" t="n">
        <v>-30.8537</v>
      </c>
      <c r="F784" s="181" t="n">
        <v>951.9535</v>
      </c>
      <c r="G784" s="181" t="n">
        <v>592900</v>
      </c>
      <c r="H784" s="181" t="inlineStr"/>
      <c r="I784" s="181" t="inlineStr"/>
    </row>
    <row r="785" ht="15" customHeight="1" s="28">
      <c r="A785" s="182" t="n">
        <v>772</v>
      </c>
      <c r="B785" s="182" t="n">
        <v>771</v>
      </c>
      <c r="C785" s="182" t="n">
        <v>4600.27</v>
      </c>
      <c r="D785" s="182" t="n">
        <v>4634.4798</v>
      </c>
      <c r="E785" s="182" t="n">
        <v>-34.2098</v>
      </c>
      <c r="F785" s="182" t="n">
        <v>1170.3137</v>
      </c>
      <c r="G785" s="182" t="n">
        <v>594441</v>
      </c>
      <c r="H785" s="182" t="inlineStr"/>
      <c r="I785" s="182" t="inlineStr"/>
    </row>
    <row r="786" ht="15" customHeight="1" s="28">
      <c r="A786" s="181" t="n">
        <v>773</v>
      </c>
      <c r="B786" s="181" t="n">
        <v>772</v>
      </c>
      <c r="C786" s="181" t="n">
        <v>4582.65</v>
      </c>
      <c r="D786" s="181" t="n">
        <v>4634.226</v>
      </c>
      <c r="E786" s="181" t="n">
        <v>-51.576</v>
      </c>
      <c r="F786" s="181" t="n">
        <v>2660.0788</v>
      </c>
      <c r="G786" s="181" t="n">
        <v>595984</v>
      </c>
      <c r="H786" s="181" t="inlineStr"/>
      <c r="I786" s="181" t="inlineStr"/>
    </row>
    <row r="787" ht="15" customHeight="1" s="28">
      <c r="A787" s="182" t="n">
        <v>774</v>
      </c>
      <c r="B787" s="182" t="n">
        <v>773</v>
      </c>
      <c r="C787" s="182" t="n">
        <v>4580.48</v>
      </c>
      <c r="D787" s="182" t="n">
        <v>4633.9721</v>
      </c>
      <c r="E787" s="182" t="n">
        <v>-53.4921</v>
      </c>
      <c r="F787" s="182" t="n">
        <v>2861.4001</v>
      </c>
      <c r="G787" s="182" t="n">
        <v>597529</v>
      </c>
      <c r="H787" s="182" t="inlineStr"/>
      <c r="I787" s="182" t="inlineStr"/>
    </row>
    <row r="788" ht="15" customHeight="1" s="28">
      <c r="A788" s="181" t="n">
        <v>775</v>
      </c>
      <c r="B788" s="181" t="n">
        <v>774</v>
      </c>
      <c r="C788" s="181" t="n">
        <v>4590.56</v>
      </c>
      <c r="D788" s="181" t="n">
        <v>4633.7182</v>
      </c>
      <c r="E788" s="181" t="n">
        <v>-43.1582</v>
      </c>
      <c r="F788" s="181" t="n">
        <v>1862.6269</v>
      </c>
      <c r="G788" s="181" t="n">
        <v>599076</v>
      </c>
      <c r="H788" s="181" t="inlineStr"/>
      <c r="I788" s="181" t="inlineStr"/>
    </row>
    <row r="789" ht="15" customHeight="1" s="28">
      <c r="A789" s="182" t="n">
        <v>776</v>
      </c>
      <c r="B789" s="182" t="n">
        <v>775</v>
      </c>
      <c r="C789" s="182" t="n">
        <v>4584.98</v>
      </c>
      <c r="D789" s="182" t="n">
        <v>4633.4643</v>
      </c>
      <c r="E789" s="182" t="n">
        <v>-48.4843</v>
      </c>
      <c r="F789" s="182" t="n">
        <v>2350.724</v>
      </c>
      <c r="G789" s="182" t="n">
        <v>600625</v>
      </c>
      <c r="H789" s="182" t="inlineStr"/>
      <c r="I789" s="182" t="inlineStr"/>
    </row>
    <row r="790" ht="15" customHeight="1" s="28">
      <c r="A790" s="181" t="n">
        <v>777</v>
      </c>
      <c r="B790" s="181" t="n">
        <v>776</v>
      </c>
      <c r="C790" s="181" t="n">
        <v>4600.87</v>
      </c>
      <c r="D790" s="181" t="n">
        <v>4633.2104</v>
      </c>
      <c r="E790" s="181" t="n">
        <v>-32.3404</v>
      </c>
      <c r="F790" s="181" t="n">
        <v>1045.8995</v>
      </c>
      <c r="G790" s="181" t="n">
        <v>602176</v>
      </c>
      <c r="H790" s="181" t="inlineStr"/>
      <c r="I790" s="181" t="inlineStr"/>
    </row>
    <row r="791" ht="15" customHeight="1" s="28">
      <c r="A791" s="182" t="n">
        <v>778</v>
      </c>
      <c r="B791" s="182" t="n">
        <v>777</v>
      </c>
      <c r="C791" s="182" t="n">
        <v>4598.93</v>
      </c>
      <c r="D791" s="182" t="n">
        <v>4632.9565</v>
      </c>
      <c r="E791" s="182" t="n">
        <v>-34.0265</v>
      </c>
      <c r="F791" s="182" t="n">
        <v>1157.801</v>
      </c>
      <c r="G791" s="182" t="n">
        <v>603729</v>
      </c>
      <c r="H791" s="182" t="inlineStr"/>
      <c r="I791" s="182" t="inlineStr"/>
    </row>
    <row r="792" ht="15" customHeight="1" s="28">
      <c r="A792" s="181" t="n">
        <v>779</v>
      </c>
      <c r="B792" s="181" t="n">
        <v>778</v>
      </c>
      <c r="C792" s="181" t="n">
        <v>4596.92</v>
      </c>
      <c r="D792" s="181" t="n">
        <v>4632.7026</v>
      </c>
      <c r="E792" s="181" t="n">
        <v>-35.7826</v>
      </c>
      <c r="F792" s="181" t="n">
        <v>1280.393</v>
      </c>
      <c r="G792" s="181" t="n">
        <v>605284</v>
      </c>
      <c r="H792" s="181" t="inlineStr"/>
      <c r="I792" s="181" t="inlineStr"/>
    </row>
    <row r="793" ht="15" customHeight="1" s="28">
      <c r="A793" s="182" t="n">
        <v>780</v>
      </c>
      <c r="B793" s="182" t="n">
        <v>779</v>
      </c>
      <c r="C793" s="182" t="n">
        <v>4593.75</v>
      </c>
      <c r="D793" s="182" t="n">
        <v>4632.4487</v>
      </c>
      <c r="E793" s="182" t="n">
        <v>-38.6987</v>
      </c>
      <c r="F793" s="182" t="n">
        <v>1497.5881</v>
      </c>
      <c r="G793" s="182" t="n">
        <v>606841</v>
      </c>
      <c r="H793" s="182" t="inlineStr"/>
      <c r="I793" s="182" t="inlineStr"/>
    </row>
    <row r="794" ht="15" customHeight="1" s="28">
      <c r="A794" s="181" t="n">
        <v>781</v>
      </c>
      <c r="B794" s="181" t="n">
        <v>780</v>
      </c>
      <c r="C794" s="181" t="n">
        <v>4601.89</v>
      </c>
      <c r="D794" s="181" t="n">
        <v>4632.1948</v>
      </c>
      <c r="E794" s="181" t="n">
        <v>-30.3048</v>
      </c>
      <c r="F794" s="181" t="n">
        <v>918.3801999999999</v>
      </c>
      <c r="G794" s="181" t="n">
        <v>608400</v>
      </c>
      <c r="H794" s="181" t="inlineStr"/>
      <c r="I794" s="181" t="inlineStr"/>
    </row>
    <row r="795" ht="15" customHeight="1" s="28">
      <c r="A795" s="182" t="n">
        <v>782</v>
      </c>
      <c r="B795" s="182" t="n">
        <v>781</v>
      </c>
      <c r="C795" s="182" t="n">
        <v>4598.67</v>
      </c>
      <c r="D795" s="182" t="n">
        <v>4631.9409</v>
      </c>
      <c r="E795" s="182" t="n">
        <v>-33.2709</v>
      </c>
      <c r="F795" s="182" t="n">
        <v>1106.9523</v>
      </c>
      <c r="G795" s="182" t="n">
        <v>609961</v>
      </c>
      <c r="H795" s="182" t="inlineStr"/>
      <c r="I795" s="182" t="inlineStr"/>
    </row>
    <row r="796" ht="15" customHeight="1" s="28">
      <c r="A796" s="181" t="n">
        <v>783</v>
      </c>
      <c r="B796" s="181" t="n">
        <v>782</v>
      </c>
      <c r="C796" s="181" t="n">
        <v>4593.91</v>
      </c>
      <c r="D796" s="181" t="n">
        <v>4631.687</v>
      </c>
      <c r="E796" s="181" t="n">
        <v>-37.777</v>
      </c>
      <c r="F796" s="181" t="n">
        <v>1427.1015</v>
      </c>
      <c r="G796" s="181" t="n">
        <v>611524</v>
      </c>
      <c r="H796" s="181" t="inlineStr"/>
      <c r="I796" s="181" t="inlineStr"/>
    </row>
    <row r="797" ht="15" customHeight="1" s="28">
      <c r="A797" s="182" t="n">
        <v>784</v>
      </c>
      <c r="B797" s="182" t="n">
        <v>783</v>
      </c>
      <c r="C797" s="182" t="n">
        <v>4595.48</v>
      </c>
      <c r="D797" s="182" t="n">
        <v>4631.4331</v>
      </c>
      <c r="E797" s="182" t="n">
        <v>-35.9531</v>
      </c>
      <c r="F797" s="182" t="n">
        <v>1292.6255</v>
      </c>
      <c r="G797" s="182" t="n">
        <v>613089</v>
      </c>
      <c r="H797" s="182" t="inlineStr"/>
      <c r="I797" s="182" t="inlineStr"/>
    </row>
    <row r="798" ht="15" customHeight="1" s="28">
      <c r="A798" s="181" t="n">
        <v>785</v>
      </c>
      <c r="B798" s="181" t="n">
        <v>784</v>
      </c>
      <c r="C798" s="181" t="n">
        <v>4600.68</v>
      </c>
      <c r="D798" s="181" t="n">
        <v>4631.1792</v>
      </c>
      <c r="E798" s="181" t="n">
        <v>-30.4992</v>
      </c>
      <c r="F798" s="181" t="n">
        <v>930.2016</v>
      </c>
      <c r="G798" s="181" t="n">
        <v>614656</v>
      </c>
      <c r="H798" s="181" t="inlineStr"/>
      <c r="I798" s="181" t="inlineStr"/>
    </row>
    <row r="799" ht="15" customHeight="1" s="28">
      <c r="A799" s="182" t="n">
        <v>786</v>
      </c>
      <c r="B799" s="182" t="n">
        <v>785</v>
      </c>
      <c r="C799" s="182" t="n">
        <v>4601.86</v>
      </c>
      <c r="D799" s="182" t="n">
        <v>4630.9253</v>
      </c>
      <c r="E799" s="182" t="n">
        <v>-29.0653</v>
      </c>
      <c r="F799" s="182" t="n">
        <v>844.7923</v>
      </c>
      <c r="G799" s="182" t="n">
        <v>616225</v>
      </c>
      <c r="H799" s="182" t="inlineStr"/>
      <c r="I799" s="182" t="inlineStr"/>
    </row>
    <row r="800" ht="15" customHeight="1" s="28">
      <c r="A800" s="181" t="n">
        <v>787</v>
      </c>
      <c r="B800" s="181" t="n">
        <v>786</v>
      </c>
      <c r="C800" s="181" t="n">
        <v>4602.15</v>
      </c>
      <c r="D800" s="181" t="n">
        <v>4630.6714</v>
      </c>
      <c r="E800" s="181" t="n">
        <v>-28.5214</v>
      </c>
      <c r="F800" s="181" t="n">
        <v>813.4711</v>
      </c>
      <c r="G800" s="181" t="n">
        <v>617796</v>
      </c>
      <c r="H800" s="181" t="inlineStr"/>
      <c r="I800" s="181" t="inlineStr"/>
    </row>
    <row r="801" ht="15" customHeight="1" s="28">
      <c r="A801" s="182" t="n">
        <v>788</v>
      </c>
      <c r="B801" s="182" t="n">
        <v>787</v>
      </c>
      <c r="C801" s="182" t="n">
        <v>4604.85</v>
      </c>
      <c r="D801" s="182" t="n">
        <v>4630.4175</v>
      </c>
      <c r="E801" s="182" t="n">
        <v>-25.5675</v>
      </c>
      <c r="F801" s="182" t="n">
        <v>653.6981</v>
      </c>
      <c r="G801" s="182" t="n">
        <v>619369</v>
      </c>
      <c r="H801" s="182" t="inlineStr"/>
      <c r="I801" s="182" t="inlineStr"/>
    </row>
    <row r="802" ht="15" customHeight="1" s="28">
      <c r="A802" s="181" t="n">
        <v>789</v>
      </c>
      <c r="B802" s="181" t="n">
        <v>788</v>
      </c>
      <c r="C802" s="181" t="n">
        <v>4601.15</v>
      </c>
      <c r="D802" s="181" t="n">
        <v>4630.1636</v>
      </c>
      <c r="E802" s="181" t="n">
        <v>-29.0136</v>
      </c>
      <c r="F802" s="181" t="n">
        <v>841.7904</v>
      </c>
      <c r="G802" s="181" t="n">
        <v>620944</v>
      </c>
      <c r="H802" s="181" t="inlineStr"/>
      <c r="I802" s="181" t="inlineStr"/>
    </row>
    <row r="803" ht="15" customHeight="1" s="28">
      <c r="A803" s="182" t="n">
        <v>790</v>
      </c>
      <c r="B803" s="182" t="n">
        <v>789</v>
      </c>
      <c r="C803" s="182" t="n">
        <v>4600.72</v>
      </c>
      <c r="D803" s="182" t="n">
        <v>4629.9097</v>
      </c>
      <c r="E803" s="182" t="n">
        <v>-29.1897</v>
      </c>
      <c r="F803" s="182" t="n">
        <v>852.0403</v>
      </c>
      <c r="G803" s="182" t="n">
        <v>622521</v>
      </c>
      <c r="H803" s="182" t="inlineStr"/>
      <c r="I803" s="182" t="inlineStr"/>
    </row>
    <row r="804" ht="15" customHeight="1" s="28">
      <c r="A804" s="181" t="n">
        <v>791</v>
      </c>
      <c r="B804" s="181" t="n">
        <v>790</v>
      </c>
      <c r="C804" s="181" t="n">
        <v>4599.05</v>
      </c>
      <c r="D804" s="181" t="n">
        <v>4629.6558</v>
      </c>
      <c r="E804" s="181" t="n">
        <v>-30.6058</v>
      </c>
      <c r="F804" s="181" t="n">
        <v>936.717</v>
      </c>
      <c r="G804" s="181" t="n">
        <v>624100</v>
      </c>
      <c r="H804" s="181" t="inlineStr"/>
      <c r="I804" s="181" t="inlineStr"/>
    </row>
    <row r="805" ht="15" customHeight="1" s="28">
      <c r="A805" s="182" t="n">
        <v>792</v>
      </c>
      <c r="B805" s="182" t="n">
        <v>791</v>
      </c>
      <c r="C805" s="182" t="n">
        <v>4590.9</v>
      </c>
      <c r="D805" s="182" t="n">
        <v>4629.4019</v>
      </c>
      <c r="E805" s="182" t="n">
        <v>-38.5019</v>
      </c>
      <c r="F805" s="182" t="n">
        <v>1482.3992</v>
      </c>
      <c r="G805" s="182" t="n">
        <v>625681</v>
      </c>
      <c r="H805" s="182" t="inlineStr"/>
      <c r="I805" s="182" t="inlineStr"/>
    </row>
    <row r="806" ht="15" customHeight="1" s="28">
      <c r="A806" s="181" t="n">
        <v>793</v>
      </c>
      <c r="B806" s="181" t="n">
        <v>792</v>
      </c>
      <c r="C806" s="181" t="n">
        <v>4588.73</v>
      </c>
      <c r="D806" s="181" t="n">
        <v>4629.148</v>
      </c>
      <c r="E806" s="181" t="n">
        <v>-40.418</v>
      </c>
      <c r="F806" s="181" t="n">
        <v>1633.6181</v>
      </c>
      <c r="G806" s="181" t="n">
        <v>627264</v>
      </c>
      <c r="H806" s="181" t="inlineStr"/>
      <c r="I806" s="181" t="inlineStr"/>
    </row>
    <row r="807" ht="15" customHeight="1" s="28">
      <c r="A807" s="182" t="n">
        <v>794</v>
      </c>
      <c r="B807" s="182" t="n">
        <v>793</v>
      </c>
      <c r="C807" s="182" t="n">
        <v>4585.04</v>
      </c>
      <c r="D807" s="182" t="n">
        <v>4628.8941</v>
      </c>
      <c r="E807" s="182" t="n">
        <v>-43.8541</v>
      </c>
      <c r="F807" s="182" t="n">
        <v>1923.1862</v>
      </c>
      <c r="G807" s="182" t="n">
        <v>628849</v>
      </c>
      <c r="H807" s="182" t="inlineStr"/>
      <c r="I807" s="182" t="inlineStr"/>
    </row>
    <row r="808" ht="15" customHeight="1" s="28">
      <c r="A808" s="181" t="n">
        <v>795</v>
      </c>
      <c r="B808" s="181" t="n">
        <v>794</v>
      </c>
      <c r="C808" s="181" t="n">
        <v>4585.03</v>
      </c>
      <c r="D808" s="181" t="n">
        <v>4628.6403</v>
      </c>
      <c r="E808" s="181" t="n">
        <v>-43.6103</v>
      </c>
      <c r="F808" s="181" t="n">
        <v>1901.854</v>
      </c>
      <c r="G808" s="181" t="n">
        <v>630436</v>
      </c>
      <c r="H808" s="181" t="inlineStr"/>
      <c r="I808" s="181" t="inlineStr"/>
    </row>
    <row r="809" ht="15" customHeight="1" s="28">
      <c r="A809" s="182" t="n">
        <v>796</v>
      </c>
      <c r="B809" s="182" t="n">
        <v>795</v>
      </c>
      <c r="C809" s="182" t="n">
        <v>4584.52</v>
      </c>
      <c r="D809" s="182" t="n">
        <v>4628.3864</v>
      </c>
      <c r="E809" s="182" t="n">
        <v>-43.8664</v>
      </c>
      <c r="F809" s="182" t="n">
        <v>1924.2572</v>
      </c>
      <c r="G809" s="182" t="n">
        <v>632025</v>
      </c>
      <c r="H809" s="182" t="inlineStr"/>
      <c r="I809" s="182" t="inlineStr"/>
    </row>
    <row r="810" ht="15" customHeight="1" s="28">
      <c r="A810" s="181" t="n">
        <v>797</v>
      </c>
      <c r="B810" s="181" t="n">
        <v>796</v>
      </c>
      <c r="C810" s="181" t="n">
        <v>4578.72</v>
      </c>
      <c r="D810" s="181" t="n">
        <v>4628.1325</v>
      </c>
      <c r="E810" s="181" t="n">
        <v>-49.4125</v>
      </c>
      <c r="F810" s="181" t="n">
        <v>2441.5912</v>
      </c>
      <c r="G810" s="181" t="n">
        <v>633616</v>
      </c>
      <c r="H810" s="181" t="inlineStr"/>
      <c r="I810" s="181" t="inlineStr"/>
    </row>
    <row r="811" ht="15" customHeight="1" s="28">
      <c r="A811" s="182" t="n">
        <v>798</v>
      </c>
      <c r="B811" s="182" t="n">
        <v>797</v>
      </c>
      <c r="C811" s="182" t="n">
        <v>4575.11</v>
      </c>
      <c r="D811" s="182" t="n">
        <v>4627.8786</v>
      </c>
      <c r="E811" s="182" t="n">
        <v>-52.7686</v>
      </c>
      <c r="F811" s="182" t="n">
        <v>2784.5214</v>
      </c>
      <c r="G811" s="182" t="n">
        <v>635209</v>
      </c>
      <c r="H811" s="182" t="inlineStr"/>
      <c r="I811" s="182" t="inlineStr"/>
    </row>
    <row r="812" ht="15" customHeight="1" s="28">
      <c r="A812" s="181" t="n">
        <v>799</v>
      </c>
      <c r="B812" s="181" t="n">
        <v>798</v>
      </c>
      <c r="C812" s="181" t="n">
        <v>4570.56</v>
      </c>
      <c r="D812" s="181" t="n">
        <v>4627.6247</v>
      </c>
      <c r="E812" s="181" t="n">
        <v>-57.0647</v>
      </c>
      <c r="F812" s="181" t="n">
        <v>3256.3765</v>
      </c>
      <c r="G812" s="181" t="n">
        <v>636804</v>
      </c>
      <c r="H812" s="181" t="inlineStr"/>
      <c r="I812" s="181" t="inlineStr"/>
    </row>
    <row r="813" ht="15" customHeight="1" s="28">
      <c r="A813" s="182" t="n">
        <v>800</v>
      </c>
      <c r="B813" s="182" t="n">
        <v>799</v>
      </c>
      <c r="C813" s="182" t="n">
        <v>4567.92</v>
      </c>
      <c r="D813" s="182" t="n">
        <v>4627.3708</v>
      </c>
      <c r="E813" s="182" t="n">
        <v>-59.4508</v>
      </c>
      <c r="F813" s="182" t="n">
        <v>3534.3945</v>
      </c>
      <c r="G813" s="182" t="n">
        <v>638401</v>
      </c>
      <c r="H813" s="182" t="inlineStr"/>
      <c r="I813" s="182" t="inlineStr"/>
    </row>
    <row r="814" ht="15" customHeight="1" s="28">
      <c r="A814" s="181" t="n">
        <v>801</v>
      </c>
      <c r="B814" s="181" t="n">
        <v>800</v>
      </c>
      <c r="C814" s="181" t="n">
        <v>4565.44</v>
      </c>
      <c r="D814" s="181" t="n">
        <v>4627.1169</v>
      </c>
      <c r="E814" s="181" t="n">
        <v>-61.6769</v>
      </c>
      <c r="F814" s="181" t="n">
        <v>3804.0373</v>
      </c>
      <c r="G814" s="181" t="n">
        <v>640000</v>
      </c>
      <c r="H814" s="181" t="inlineStr"/>
      <c r="I814" s="181" t="inlineStr"/>
    </row>
    <row r="815" ht="15" customHeight="1" s="28">
      <c r="A815" s="182" t="n">
        <v>802</v>
      </c>
      <c r="B815" s="182" t="n">
        <v>801</v>
      </c>
      <c r="C815" s="182" t="n">
        <v>4566.65</v>
      </c>
      <c r="D815" s="182" t="n">
        <v>4626.863</v>
      </c>
      <c r="E815" s="182" t="n">
        <v>-60.213</v>
      </c>
      <c r="F815" s="182" t="n">
        <v>3625.6033</v>
      </c>
      <c r="G815" s="182" t="n">
        <v>641601</v>
      </c>
      <c r="H815" s="182" t="inlineStr"/>
      <c r="I815" s="182" t="inlineStr"/>
    </row>
    <row r="816" ht="15" customHeight="1" s="28">
      <c r="A816" s="181" t="n">
        <v>803</v>
      </c>
      <c r="B816" s="181" t="n">
        <v>802</v>
      </c>
      <c r="C816" s="181" t="n">
        <v>4568.37</v>
      </c>
      <c r="D816" s="181" t="n">
        <v>4626.6091</v>
      </c>
      <c r="E816" s="181" t="n">
        <v>-58.2391</v>
      </c>
      <c r="F816" s="181" t="n">
        <v>3391.7913</v>
      </c>
      <c r="G816" s="181" t="n">
        <v>643204</v>
      </c>
      <c r="H816" s="181" t="inlineStr"/>
      <c r="I816" s="181" t="inlineStr"/>
    </row>
    <row r="817" ht="15" customHeight="1" s="28">
      <c r="A817" s="182" t="n">
        <v>804</v>
      </c>
      <c r="B817" s="182" t="n">
        <v>803</v>
      </c>
      <c r="C817" s="182" t="n">
        <v>4573.2</v>
      </c>
      <c r="D817" s="182" t="n">
        <v>4626.3552</v>
      </c>
      <c r="E817" s="182" t="n">
        <v>-53.1552</v>
      </c>
      <c r="F817" s="182" t="n">
        <v>2825.4744</v>
      </c>
      <c r="G817" s="182" t="n">
        <v>644809</v>
      </c>
      <c r="H817" s="182" t="inlineStr"/>
      <c r="I817" s="182" t="inlineStr"/>
    </row>
    <row r="818" ht="15" customHeight="1" s="28">
      <c r="A818" s="181" t="n">
        <v>805</v>
      </c>
      <c r="B818" s="181" t="n">
        <v>804</v>
      </c>
      <c r="C818" s="181" t="n">
        <v>4574.2</v>
      </c>
      <c r="D818" s="181" t="n">
        <v>4626.1013</v>
      </c>
      <c r="E818" s="181" t="n">
        <v>-51.9013</v>
      </c>
      <c r="F818" s="181" t="n">
        <v>2693.7445</v>
      </c>
      <c r="G818" s="181" t="n">
        <v>646416</v>
      </c>
      <c r="H818" s="181" t="inlineStr"/>
      <c r="I818" s="181" t="inlineStr"/>
    </row>
    <row r="819" ht="15" customHeight="1" s="28">
      <c r="A819" s="182" t="n">
        <v>806</v>
      </c>
      <c r="B819" s="182" t="n">
        <v>805</v>
      </c>
      <c r="C819" s="182" t="n">
        <v>4565.69</v>
      </c>
      <c r="D819" s="182" t="n">
        <v>4625.8474</v>
      </c>
      <c r="E819" s="182" t="n">
        <v>-60.1574</v>
      </c>
      <c r="F819" s="182" t="n">
        <v>3618.9129</v>
      </c>
      <c r="G819" s="182" t="n">
        <v>648025</v>
      </c>
      <c r="H819" s="182" t="inlineStr"/>
      <c r="I819" s="182" t="inlineStr"/>
    </row>
    <row r="820" ht="15" customHeight="1" s="28">
      <c r="A820" s="181" t="n">
        <v>807</v>
      </c>
      <c r="B820" s="181" t="n">
        <v>806</v>
      </c>
      <c r="C820" s="181" t="n">
        <v>4558.86</v>
      </c>
      <c r="D820" s="181" t="n">
        <v>4625.5935</v>
      </c>
      <c r="E820" s="181" t="n">
        <v>-66.73350000000001</v>
      </c>
      <c r="F820" s="181" t="n">
        <v>4453.3607</v>
      </c>
      <c r="G820" s="181" t="n">
        <v>649636</v>
      </c>
      <c r="H820" s="181" t="inlineStr"/>
      <c r="I820" s="181" t="inlineStr"/>
    </row>
    <row r="821" ht="15" customHeight="1" s="28">
      <c r="A821" s="182" t="n">
        <v>808</v>
      </c>
      <c r="B821" s="182" t="n">
        <v>807</v>
      </c>
      <c r="C821" s="182" t="n">
        <v>4555.94</v>
      </c>
      <c r="D821" s="182" t="n">
        <v>4625.3396</v>
      </c>
      <c r="E821" s="182" t="n">
        <v>-69.39960000000001</v>
      </c>
      <c r="F821" s="182" t="n">
        <v>4816.3058</v>
      </c>
      <c r="G821" s="182" t="n">
        <v>651249</v>
      </c>
      <c r="H821" s="182" t="inlineStr"/>
      <c r="I821" s="182" t="inlineStr"/>
    </row>
    <row r="822" ht="15" customHeight="1" s="28">
      <c r="A822" s="181" t="n">
        <v>809</v>
      </c>
      <c r="B822" s="181" t="n">
        <v>808</v>
      </c>
      <c r="C822" s="181" t="n">
        <v>4568.04</v>
      </c>
      <c r="D822" s="181" t="n">
        <v>4625.0857</v>
      </c>
      <c r="E822" s="181" t="n">
        <v>-57.0457</v>
      </c>
      <c r="F822" s="181" t="n">
        <v>3254.2135</v>
      </c>
      <c r="G822" s="181" t="n">
        <v>652864</v>
      </c>
      <c r="H822" s="181" t="inlineStr"/>
      <c r="I822" s="181" t="inlineStr"/>
    </row>
    <row r="823" ht="15" customHeight="1" s="28">
      <c r="A823" s="182" t="n">
        <v>810</v>
      </c>
      <c r="B823" s="182" t="n">
        <v>809</v>
      </c>
      <c r="C823" s="182" t="n">
        <v>4571.78</v>
      </c>
      <c r="D823" s="182" t="n">
        <v>4624.8318</v>
      </c>
      <c r="E823" s="182" t="n">
        <v>-53.0518</v>
      </c>
      <c r="F823" s="182" t="n">
        <v>2814.4955</v>
      </c>
      <c r="G823" s="182" t="n">
        <v>654481</v>
      </c>
      <c r="H823" s="182" t="inlineStr"/>
      <c r="I823" s="182" t="inlineStr"/>
    </row>
    <row r="824" ht="15" customHeight="1" s="28">
      <c r="A824" s="181" t="n">
        <v>811</v>
      </c>
      <c r="B824" s="181" t="n">
        <v>810</v>
      </c>
      <c r="C824" s="181" t="n">
        <v>4566.36</v>
      </c>
      <c r="D824" s="181" t="n">
        <v>4624.5779</v>
      </c>
      <c r="E824" s="181" t="n">
        <v>-58.2179</v>
      </c>
      <c r="F824" s="181" t="n">
        <v>3389.3266</v>
      </c>
      <c r="G824" s="181" t="n">
        <v>656100</v>
      </c>
      <c r="H824" s="181" t="inlineStr"/>
      <c r="I824" s="181" t="inlineStr"/>
    </row>
    <row r="825" ht="15" customHeight="1" s="28">
      <c r="A825" s="182" t="n">
        <v>812</v>
      </c>
      <c r="B825" s="182" t="n">
        <v>811</v>
      </c>
      <c r="C825" s="182" t="n">
        <v>4569.98</v>
      </c>
      <c r="D825" s="182" t="n">
        <v>4624.324</v>
      </c>
      <c r="E825" s="182" t="n">
        <v>-54.344</v>
      </c>
      <c r="F825" s="182" t="n">
        <v>2953.2733</v>
      </c>
      <c r="G825" s="182" t="n">
        <v>657721</v>
      </c>
      <c r="H825" s="182" t="inlineStr"/>
      <c r="I825" s="182" t="inlineStr"/>
    </row>
    <row r="826" ht="15" customHeight="1" s="28">
      <c r="A826" s="181" t="n">
        <v>813</v>
      </c>
      <c r="B826" s="181" t="n">
        <v>812</v>
      </c>
      <c r="C826" s="181" t="n">
        <v>4568.02</v>
      </c>
      <c r="D826" s="181" t="n">
        <v>4624.0701</v>
      </c>
      <c r="E826" s="181" t="n">
        <v>-56.0501</v>
      </c>
      <c r="F826" s="181" t="n">
        <v>3141.6173</v>
      </c>
      <c r="G826" s="181" t="n">
        <v>659344</v>
      </c>
      <c r="H826" s="181" t="inlineStr"/>
      <c r="I826" s="181" t="inlineStr"/>
    </row>
    <row r="827" ht="15" customHeight="1" s="28">
      <c r="A827" s="182" t="n">
        <v>814</v>
      </c>
      <c r="B827" s="182" t="n">
        <v>813</v>
      </c>
      <c r="C827" s="182" t="n">
        <v>4564.76</v>
      </c>
      <c r="D827" s="182" t="n">
        <v>4623.8162</v>
      </c>
      <c r="E827" s="182" t="n">
        <v>-59.0562</v>
      </c>
      <c r="F827" s="182" t="n">
        <v>3487.6391</v>
      </c>
      <c r="G827" s="182" t="n">
        <v>660969</v>
      </c>
      <c r="H827" s="182" t="inlineStr"/>
      <c r="I827" s="182" t="inlineStr"/>
    </row>
    <row r="828" ht="15" customHeight="1" s="28">
      <c r="A828" s="181" t="n">
        <v>815</v>
      </c>
      <c r="B828" s="181" t="n">
        <v>814</v>
      </c>
      <c r="C828" s="181" t="n">
        <v>4567.03</v>
      </c>
      <c r="D828" s="181" t="n">
        <v>4623.5623</v>
      </c>
      <c r="E828" s="181" t="n">
        <v>-56.5323</v>
      </c>
      <c r="F828" s="181" t="n">
        <v>3195.9056</v>
      </c>
      <c r="G828" s="181" t="n">
        <v>662596</v>
      </c>
      <c r="H828" s="181" t="inlineStr"/>
      <c r="I828" s="181" t="inlineStr"/>
    </row>
    <row r="829" ht="15" customHeight="1" s="28">
      <c r="A829" s="182" t="n">
        <v>816</v>
      </c>
      <c r="B829" s="182" t="n">
        <v>815</v>
      </c>
      <c r="C829" s="182" t="n">
        <v>4561.87</v>
      </c>
      <c r="D829" s="182" t="n">
        <v>4623.3084</v>
      </c>
      <c r="E829" s="182" t="n">
        <v>-61.4384</v>
      </c>
      <c r="F829" s="182" t="n">
        <v>3774.6826</v>
      </c>
      <c r="G829" s="182" t="n">
        <v>664225</v>
      </c>
      <c r="H829" s="182" t="inlineStr"/>
      <c r="I829" s="182" t="inlineStr"/>
    </row>
    <row r="830" ht="15" customHeight="1" s="28">
      <c r="A830" s="181" t="n">
        <v>817</v>
      </c>
      <c r="B830" s="181" t="n">
        <v>816</v>
      </c>
      <c r="C830" s="181" t="n">
        <v>4564.41</v>
      </c>
      <c r="D830" s="181" t="n">
        <v>4623.0546</v>
      </c>
      <c r="E830" s="181" t="n">
        <v>-58.6446</v>
      </c>
      <c r="F830" s="181" t="n">
        <v>3439.1833</v>
      </c>
      <c r="G830" s="181" t="n">
        <v>665856</v>
      </c>
      <c r="H830" s="181" t="inlineStr"/>
      <c r="I830" s="181" t="inlineStr"/>
    </row>
    <row r="831" ht="15" customHeight="1" s="28">
      <c r="A831" s="182" t="n">
        <v>818</v>
      </c>
      <c r="B831" s="182" t="n">
        <v>817</v>
      </c>
      <c r="C831" s="182" t="n">
        <v>4559.4</v>
      </c>
      <c r="D831" s="182" t="n">
        <v>4622.8007</v>
      </c>
      <c r="E831" s="182" t="n">
        <v>-63.4007</v>
      </c>
      <c r="F831" s="182" t="n">
        <v>4019.643</v>
      </c>
      <c r="G831" s="182" t="n">
        <v>667489</v>
      </c>
      <c r="H831" s="182" t="inlineStr"/>
      <c r="I831" s="182" t="inlineStr"/>
    </row>
    <row r="832" ht="15" customHeight="1" s="28">
      <c r="A832" s="181" t="n">
        <v>819</v>
      </c>
      <c r="B832" s="181" t="n">
        <v>818</v>
      </c>
      <c r="C832" s="181" t="n">
        <v>4557.62</v>
      </c>
      <c r="D832" s="181" t="n">
        <v>4622.5468</v>
      </c>
      <c r="E832" s="181" t="n">
        <v>-64.9268</v>
      </c>
      <c r="F832" s="181" t="n">
        <v>4215.4841</v>
      </c>
      <c r="G832" s="181" t="n">
        <v>669124</v>
      </c>
      <c r="H832" s="181" t="inlineStr"/>
      <c r="I832" s="181" t="inlineStr"/>
    </row>
    <row r="833" ht="15" customHeight="1" s="28">
      <c r="A833" s="182" t="n">
        <v>820</v>
      </c>
      <c r="B833" s="182" t="n">
        <v>819</v>
      </c>
      <c r="C833" s="182" t="n">
        <v>4544.9</v>
      </c>
      <c r="D833" s="182" t="n">
        <v>4622.2929</v>
      </c>
      <c r="E833" s="182" t="n">
        <v>-77.3929</v>
      </c>
      <c r="F833" s="182" t="n">
        <v>5989.6554</v>
      </c>
      <c r="G833" s="182" t="n">
        <v>670761</v>
      </c>
      <c r="H833" s="182" t="inlineStr"/>
      <c r="I833" s="182" t="inlineStr"/>
    </row>
    <row r="834" ht="15" customHeight="1" s="28">
      <c r="A834" s="181" t="n">
        <v>821</v>
      </c>
      <c r="B834" s="181" t="n">
        <v>820</v>
      </c>
      <c r="C834" s="181" t="n">
        <v>4549.8</v>
      </c>
      <c r="D834" s="181" t="n">
        <v>4622.039</v>
      </c>
      <c r="E834" s="181" t="n">
        <v>-72.239</v>
      </c>
      <c r="F834" s="181" t="n">
        <v>5218.4685</v>
      </c>
      <c r="G834" s="181" t="n">
        <v>672400</v>
      </c>
      <c r="H834" s="181" t="inlineStr"/>
      <c r="I834" s="181" t="inlineStr"/>
    </row>
    <row r="835" ht="15" customHeight="1" s="28">
      <c r="A835" s="182" t="n">
        <v>822</v>
      </c>
      <c r="B835" s="182" t="n">
        <v>821</v>
      </c>
      <c r="C835" s="182" t="n">
        <v>4537.82</v>
      </c>
      <c r="D835" s="182" t="n">
        <v>4621.7851</v>
      </c>
      <c r="E835" s="182" t="n">
        <v>-83.96510000000001</v>
      </c>
      <c r="F835" s="182" t="n">
        <v>7050.1334</v>
      </c>
      <c r="G835" s="182" t="n">
        <v>674041</v>
      </c>
      <c r="H835" s="182" t="inlineStr"/>
      <c r="I835" s="182" t="inlineStr"/>
    </row>
    <row r="836" ht="15" customHeight="1" s="28">
      <c r="A836" s="181" t="n">
        <v>823</v>
      </c>
      <c r="B836" s="181" t="n">
        <v>822</v>
      </c>
      <c r="C836" s="181" t="n">
        <v>4514.81</v>
      </c>
      <c r="D836" s="181" t="n">
        <v>4621.5312</v>
      </c>
      <c r="E836" s="181" t="n">
        <v>-106.7212</v>
      </c>
      <c r="F836" s="181" t="n">
        <v>11389.4097</v>
      </c>
      <c r="G836" s="181" t="n">
        <v>675684</v>
      </c>
      <c r="H836" s="181" t="inlineStr"/>
      <c r="I836" s="181" t="inlineStr"/>
    </row>
    <row r="837" ht="15" customHeight="1" s="28">
      <c r="A837" s="182" t="n">
        <v>824</v>
      </c>
      <c r="B837" s="182" t="n">
        <v>823</v>
      </c>
      <c r="C837" s="182" t="n">
        <v>4521.71</v>
      </c>
      <c r="D837" s="182" t="n">
        <v>4621.2773</v>
      </c>
      <c r="E837" s="182" t="n">
        <v>-99.5673</v>
      </c>
      <c r="F837" s="182" t="n">
        <v>9913.643599999999</v>
      </c>
      <c r="G837" s="182" t="n">
        <v>677329</v>
      </c>
      <c r="H837" s="182" t="inlineStr"/>
      <c r="I837" s="182" t="inlineStr"/>
    </row>
    <row r="838" ht="15" customHeight="1" s="28">
      <c r="A838" s="181" t="n">
        <v>825</v>
      </c>
      <c r="B838" s="181" t="n">
        <v>824</v>
      </c>
      <c r="C838" s="181" t="n">
        <v>4526.15</v>
      </c>
      <c r="D838" s="181" t="n">
        <v>4621.0234</v>
      </c>
      <c r="E838" s="181" t="n">
        <v>-94.8734</v>
      </c>
      <c r="F838" s="181" t="n">
        <v>9000.9594</v>
      </c>
      <c r="G838" s="181" t="n">
        <v>678976</v>
      </c>
      <c r="H838" s="181" t="inlineStr"/>
      <c r="I838" s="181" t="inlineStr"/>
    </row>
    <row r="839" ht="15" customHeight="1" s="28">
      <c r="A839" s="182" t="n">
        <v>826</v>
      </c>
      <c r="B839" s="182" t="n">
        <v>825</v>
      </c>
      <c r="C839" s="182" t="n">
        <v>4533.2</v>
      </c>
      <c r="D839" s="182" t="n">
        <v>4620.7695</v>
      </c>
      <c r="E839" s="182" t="n">
        <v>-87.56950000000001</v>
      </c>
      <c r="F839" s="182" t="n">
        <v>7668.4157</v>
      </c>
      <c r="G839" s="182" t="n">
        <v>680625</v>
      </c>
      <c r="H839" s="182" t="inlineStr"/>
      <c r="I839" s="182" t="inlineStr"/>
    </row>
    <row r="840" ht="15" customHeight="1" s="28">
      <c r="A840" s="181" t="n">
        <v>827</v>
      </c>
      <c r="B840" s="181" t="n">
        <v>826</v>
      </c>
      <c r="C840" s="181" t="n">
        <v>4538.69</v>
      </c>
      <c r="D840" s="181" t="n">
        <v>4620.5156</v>
      </c>
      <c r="E840" s="181" t="n">
        <v>-81.82559999999999</v>
      </c>
      <c r="F840" s="181" t="n">
        <v>6695.428</v>
      </c>
      <c r="G840" s="181" t="n">
        <v>682276</v>
      </c>
      <c r="H840" s="181" t="inlineStr"/>
      <c r="I840" s="181" t="inlineStr"/>
    </row>
    <row r="841" ht="15" customHeight="1" s="28">
      <c r="A841" s="182" t="n">
        <v>828</v>
      </c>
      <c r="B841" s="182" t="n">
        <v>827</v>
      </c>
      <c r="C841" s="182" t="n">
        <v>4539.25</v>
      </c>
      <c r="D841" s="182" t="n">
        <v>4620.2617</v>
      </c>
      <c r="E841" s="182" t="n">
        <v>-81.0117</v>
      </c>
      <c r="F841" s="182" t="n">
        <v>6562.8955</v>
      </c>
      <c r="G841" s="182" t="n">
        <v>683929</v>
      </c>
      <c r="H841" s="182" t="inlineStr"/>
      <c r="I841" s="182" t="inlineStr"/>
    </row>
    <row r="842" ht="15" customHeight="1" s="28">
      <c r="A842" s="181" t="n">
        <v>829</v>
      </c>
      <c r="B842" s="181" t="n">
        <v>828</v>
      </c>
      <c r="C842" s="181" t="n">
        <v>4538.08</v>
      </c>
      <c r="D842" s="181" t="n">
        <v>4620.0078</v>
      </c>
      <c r="E842" s="181" t="n">
        <v>-81.9278</v>
      </c>
      <c r="F842" s="181" t="n">
        <v>6712.1651</v>
      </c>
      <c r="G842" s="181" t="n">
        <v>685584</v>
      </c>
      <c r="H842" s="181" t="inlineStr"/>
      <c r="I842" s="181" t="inlineStr"/>
    </row>
    <row r="843" ht="15" customHeight="1" s="28">
      <c r="A843" s="182" t="n">
        <v>830</v>
      </c>
      <c r="B843" s="182" t="n">
        <v>829</v>
      </c>
      <c r="C843" s="182" t="n">
        <v>4543.61</v>
      </c>
      <c r="D843" s="182" t="n">
        <v>4619.7539</v>
      </c>
      <c r="E843" s="182" t="n">
        <v>-76.1439</v>
      </c>
      <c r="F843" s="182" t="n">
        <v>5797.8948</v>
      </c>
      <c r="G843" s="182" t="n">
        <v>687241</v>
      </c>
      <c r="H843" s="182" t="inlineStr"/>
      <c r="I843" s="182" t="inlineStr"/>
    </row>
    <row r="844" ht="15" customHeight="1" s="28">
      <c r="A844" s="181" t="n">
        <v>831</v>
      </c>
      <c r="B844" s="181" t="n">
        <v>830</v>
      </c>
      <c r="C844" s="181" t="n">
        <v>4553.17</v>
      </c>
      <c r="D844" s="181" t="n">
        <v>4619.5</v>
      </c>
      <c r="E844" s="181" t="n">
        <v>-66.33</v>
      </c>
      <c r="F844" s="181" t="n">
        <v>4399.6707</v>
      </c>
      <c r="G844" s="181" t="n">
        <v>688900</v>
      </c>
      <c r="H844" s="181" t="inlineStr"/>
      <c r="I844" s="181" t="inlineStr"/>
    </row>
    <row r="845" ht="15" customHeight="1" s="28">
      <c r="A845" s="182" t="n">
        <v>832</v>
      </c>
      <c r="B845" s="182" t="n">
        <v>831</v>
      </c>
      <c r="C845" s="182" t="n">
        <v>4547.48</v>
      </c>
      <c r="D845" s="182" t="n">
        <v>4619.2461</v>
      </c>
      <c r="E845" s="182" t="n">
        <v>-71.76609999999999</v>
      </c>
      <c r="F845" s="182" t="n">
        <v>5150.3757</v>
      </c>
      <c r="G845" s="182" t="n">
        <v>690561</v>
      </c>
      <c r="H845" s="182" t="inlineStr"/>
      <c r="I845" s="182" t="inlineStr"/>
    </row>
    <row r="846" ht="15" customHeight="1" s="28">
      <c r="A846" s="181" t="n">
        <v>833</v>
      </c>
      <c r="B846" s="181" t="n">
        <v>832</v>
      </c>
      <c r="C846" s="181" t="n">
        <v>4559.1</v>
      </c>
      <c r="D846" s="181" t="n">
        <v>4618.9922</v>
      </c>
      <c r="E846" s="181" t="n">
        <v>-59.8922</v>
      </c>
      <c r="F846" s="181" t="n">
        <v>3587.0783</v>
      </c>
      <c r="G846" s="181" t="n">
        <v>692224</v>
      </c>
      <c r="H846" s="181" t="inlineStr"/>
      <c r="I846" s="181" t="inlineStr"/>
    </row>
    <row r="847" ht="15" customHeight="1" s="28">
      <c r="A847" s="182" t="n">
        <v>834</v>
      </c>
      <c r="B847" s="182" t="n">
        <v>833</v>
      </c>
      <c r="C847" s="182" t="n">
        <v>4560.23</v>
      </c>
      <c r="D847" s="182" t="n">
        <v>4618.7383</v>
      </c>
      <c r="E847" s="182" t="n">
        <v>-58.5083</v>
      </c>
      <c r="F847" s="182" t="n">
        <v>3423.2243</v>
      </c>
      <c r="G847" s="182" t="n">
        <v>693889</v>
      </c>
      <c r="H847" s="182" t="inlineStr"/>
      <c r="I847" s="182" t="inlineStr"/>
    </row>
    <row r="848" ht="15" customHeight="1" s="28">
      <c r="A848" s="181" t="n">
        <v>835</v>
      </c>
      <c r="B848" s="181" t="n">
        <v>834</v>
      </c>
      <c r="C848" s="181" t="n">
        <v>4550.51</v>
      </c>
      <c r="D848" s="181" t="n">
        <v>4618.4844</v>
      </c>
      <c r="E848" s="181" t="n">
        <v>-67.9744</v>
      </c>
      <c r="F848" s="181" t="n">
        <v>4620.5233</v>
      </c>
      <c r="G848" s="181" t="n">
        <v>695556</v>
      </c>
      <c r="H848" s="181" t="inlineStr"/>
      <c r="I848" s="181" t="inlineStr"/>
    </row>
    <row r="849" ht="15" customHeight="1" s="28">
      <c r="A849" s="182" t="n">
        <v>836</v>
      </c>
      <c r="B849" s="182" t="n">
        <v>835</v>
      </c>
      <c r="C849" s="182" t="n">
        <v>4545.36</v>
      </c>
      <c r="D849" s="182" t="n">
        <v>4618.2305</v>
      </c>
      <c r="E849" s="182" t="n">
        <v>-72.87050000000001</v>
      </c>
      <c r="F849" s="182" t="n">
        <v>5310.115</v>
      </c>
      <c r="G849" s="182" t="n">
        <v>697225</v>
      </c>
      <c r="H849" s="182" t="inlineStr"/>
      <c r="I849" s="182" t="inlineStr"/>
    </row>
    <row r="850" ht="15" customHeight="1" s="28">
      <c r="A850" s="181" t="n">
        <v>837</v>
      </c>
      <c r="B850" s="181" t="n">
        <v>836</v>
      </c>
      <c r="C850" s="181" t="n">
        <v>4550.68</v>
      </c>
      <c r="D850" s="181" t="n">
        <v>4617.9766</v>
      </c>
      <c r="E850" s="181" t="n">
        <v>-67.2966</v>
      </c>
      <c r="F850" s="181" t="n">
        <v>4528.8378</v>
      </c>
      <c r="G850" s="181" t="n">
        <v>698896</v>
      </c>
      <c r="H850" s="181" t="inlineStr"/>
      <c r="I850" s="181" t="inlineStr"/>
    </row>
    <row r="851" ht="15" customHeight="1" s="28">
      <c r="A851" s="182" t="n">
        <v>838</v>
      </c>
      <c r="B851" s="182" t="n">
        <v>837</v>
      </c>
      <c r="C851" s="182" t="n">
        <v>4547.23</v>
      </c>
      <c r="D851" s="182" t="n">
        <v>4617.7227</v>
      </c>
      <c r="E851" s="182" t="n">
        <v>-70.4927</v>
      </c>
      <c r="F851" s="182" t="n">
        <v>4969.2271</v>
      </c>
      <c r="G851" s="182" t="n">
        <v>700569</v>
      </c>
      <c r="H851" s="182" t="inlineStr"/>
      <c r="I851" s="182" t="inlineStr"/>
    </row>
    <row r="852" ht="15" customHeight="1" s="28">
      <c r="A852" s="181" t="n">
        <v>839</v>
      </c>
      <c r="B852" s="181" t="n">
        <v>838</v>
      </c>
      <c r="C852" s="181" t="n">
        <v>4544.75</v>
      </c>
      <c r="D852" s="181" t="n">
        <v>4617.4688</v>
      </c>
      <c r="E852" s="181" t="n">
        <v>-72.7188</v>
      </c>
      <c r="F852" s="181" t="n">
        <v>5288.031</v>
      </c>
      <c r="G852" s="181" t="n">
        <v>702244</v>
      </c>
      <c r="H852" s="181" t="inlineStr"/>
      <c r="I852" s="181" t="inlineStr"/>
    </row>
    <row r="853" ht="15" customHeight="1" s="28">
      <c r="A853" s="182" t="n">
        <v>840</v>
      </c>
      <c r="B853" s="182" t="n">
        <v>839</v>
      </c>
      <c r="C853" s="182" t="n">
        <v>4547.33</v>
      </c>
      <c r="D853" s="182" t="n">
        <v>4617.215</v>
      </c>
      <c r="E853" s="182" t="n">
        <v>-69.88500000000001</v>
      </c>
      <c r="F853" s="182" t="n">
        <v>4883.9068</v>
      </c>
      <c r="G853" s="182" t="n">
        <v>703921</v>
      </c>
      <c r="H853" s="182" t="inlineStr"/>
      <c r="I853" s="182" t="inlineStr"/>
    </row>
    <row r="854" ht="15" customHeight="1" s="28">
      <c r="A854" s="181" t="n">
        <v>841</v>
      </c>
      <c r="B854" s="181" t="n">
        <v>840</v>
      </c>
      <c r="C854" s="181" t="n">
        <v>4525.75</v>
      </c>
      <c r="D854" s="181" t="n">
        <v>4616.9611</v>
      </c>
      <c r="E854" s="181" t="n">
        <v>-91.2111</v>
      </c>
      <c r="F854" s="181" t="n">
        <v>8319.457200000001</v>
      </c>
      <c r="G854" s="181" t="n">
        <v>705600</v>
      </c>
      <c r="H854" s="181" t="inlineStr"/>
      <c r="I854" s="181" t="inlineStr"/>
    </row>
    <row r="855" ht="15" customHeight="1" s="28">
      <c r="A855" s="182" t="n">
        <v>842</v>
      </c>
      <c r="B855" s="182" t="n">
        <v>841</v>
      </c>
      <c r="C855" s="182" t="n">
        <v>4532.95</v>
      </c>
      <c r="D855" s="182" t="n">
        <v>4616.7072</v>
      </c>
      <c r="E855" s="182" t="n">
        <v>-83.7572</v>
      </c>
      <c r="F855" s="182" t="n">
        <v>7015.2623</v>
      </c>
      <c r="G855" s="182" t="n">
        <v>707281</v>
      </c>
      <c r="H855" s="182" t="inlineStr"/>
      <c r="I855" s="182" t="inlineStr"/>
    </row>
    <row r="856" ht="15" customHeight="1" s="28">
      <c r="A856" s="181" t="n">
        <v>843</v>
      </c>
      <c r="B856" s="181" t="n">
        <v>842</v>
      </c>
      <c r="C856" s="181" t="n">
        <v>4520.81</v>
      </c>
      <c r="D856" s="181" t="n">
        <v>4616.4533</v>
      </c>
      <c r="E856" s="181" t="n">
        <v>-95.6433</v>
      </c>
      <c r="F856" s="181" t="n">
        <v>9147.634599999999</v>
      </c>
      <c r="G856" s="181" t="n">
        <v>708964</v>
      </c>
      <c r="H856" s="181" t="inlineStr"/>
      <c r="I856" s="181" t="inlineStr"/>
    </row>
    <row r="857" ht="15" customHeight="1" s="28">
      <c r="A857" s="182" t="n">
        <v>844</v>
      </c>
      <c r="B857" s="182" t="n">
        <v>843</v>
      </c>
      <c r="C857" s="182" t="n">
        <v>4538.19</v>
      </c>
      <c r="D857" s="182" t="n">
        <v>4616.1994</v>
      </c>
      <c r="E857" s="182" t="n">
        <v>-78.0094</v>
      </c>
      <c r="F857" s="182" t="n">
        <v>6085.4621</v>
      </c>
      <c r="G857" s="182" t="n">
        <v>710649</v>
      </c>
      <c r="H857" s="182" t="inlineStr"/>
      <c r="I857" s="182" t="inlineStr"/>
    </row>
    <row r="858" ht="15" customHeight="1" s="28">
      <c r="A858" s="181" t="n">
        <v>845</v>
      </c>
      <c r="B858" s="181" t="n">
        <v>844</v>
      </c>
      <c r="C858" s="181" t="n">
        <v>4547.72</v>
      </c>
      <c r="D858" s="181" t="n">
        <v>4615.9455</v>
      </c>
      <c r="E858" s="181" t="n">
        <v>-68.2255</v>
      </c>
      <c r="F858" s="181" t="n">
        <v>4654.7156</v>
      </c>
      <c r="G858" s="181" t="n">
        <v>712336</v>
      </c>
      <c r="H858" s="181" t="inlineStr"/>
      <c r="I858" s="181" t="inlineStr"/>
    </row>
    <row r="859" ht="15" customHeight="1" s="28">
      <c r="A859" s="182" t="n">
        <v>846</v>
      </c>
      <c r="B859" s="182" t="n">
        <v>845</v>
      </c>
      <c r="C859" s="182" t="n">
        <v>4542.84</v>
      </c>
      <c r="D859" s="182" t="n">
        <v>4615.6916</v>
      </c>
      <c r="E859" s="182" t="n">
        <v>-72.8516</v>
      </c>
      <c r="F859" s="182" t="n">
        <v>5307.3528</v>
      </c>
      <c r="G859" s="182" t="n">
        <v>714025</v>
      </c>
      <c r="H859" s="182" t="inlineStr"/>
      <c r="I859" s="182" t="inlineStr"/>
    </row>
    <row r="860" ht="15" customHeight="1" s="28">
      <c r="A860" s="181" t="n">
        <v>847</v>
      </c>
      <c r="B860" s="181" t="n">
        <v>846</v>
      </c>
      <c r="C860" s="181" t="n">
        <v>4539.61</v>
      </c>
      <c r="D860" s="181" t="n">
        <v>4615.4377</v>
      </c>
      <c r="E860" s="181" t="n">
        <v>-75.82769999999999</v>
      </c>
      <c r="F860" s="181" t="n">
        <v>5749.8379</v>
      </c>
      <c r="G860" s="181" t="n">
        <v>715716</v>
      </c>
      <c r="H860" s="181" t="inlineStr"/>
      <c r="I860" s="181" t="inlineStr"/>
    </row>
    <row r="861" ht="15" customHeight="1" s="28">
      <c r="A861" s="182" t="n">
        <v>848</v>
      </c>
      <c r="B861" s="182" t="n">
        <v>847</v>
      </c>
      <c r="C861" s="182" t="n">
        <v>4547.05</v>
      </c>
      <c r="D861" s="182" t="n">
        <v>4615.1838</v>
      </c>
      <c r="E861" s="182" t="n">
        <v>-68.13379999999999</v>
      </c>
      <c r="F861" s="182" t="n">
        <v>4642.2133</v>
      </c>
      <c r="G861" s="182" t="n">
        <v>717409</v>
      </c>
      <c r="H861" s="182" t="inlineStr"/>
      <c r="I861" s="182" t="inlineStr"/>
    </row>
    <row r="862" ht="15" customHeight="1" s="28">
      <c r="A862" s="181" t="n">
        <v>849</v>
      </c>
      <c r="B862" s="181" t="n">
        <v>848</v>
      </c>
      <c r="C862" s="181" t="n">
        <v>4546.25</v>
      </c>
      <c r="D862" s="181" t="n">
        <v>4614.9299</v>
      </c>
      <c r="E862" s="181" t="n">
        <v>-68.6799</v>
      </c>
      <c r="F862" s="181" t="n">
        <v>4716.9279</v>
      </c>
      <c r="G862" s="181" t="n">
        <v>719104</v>
      </c>
      <c r="H862" s="181" t="inlineStr"/>
      <c r="I862" s="181" t="inlineStr"/>
    </row>
    <row r="863" ht="15" customHeight="1" s="28">
      <c r="A863" s="182" t="n">
        <v>850</v>
      </c>
      <c r="B863" s="182" t="n">
        <v>849</v>
      </c>
      <c r="C863" s="182" t="n">
        <v>4543.25</v>
      </c>
      <c r="D863" s="182" t="n">
        <v>4614.676</v>
      </c>
      <c r="E863" s="182" t="n">
        <v>-71.426</v>
      </c>
      <c r="F863" s="182" t="n">
        <v>5101.6733</v>
      </c>
      <c r="G863" s="182" t="n">
        <v>720801</v>
      </c>
      <c r="H863" s="182" t="inlineStr"/>
      <c r="I863" s="182" t="inlineStr"/>
    </row>
    <row r="864" ht="15" customHeight="1" s="28">
      <c r="A864" s="181" t="n">
        <v>851</v>
      </c>
      <c r="B864" s="181" t="n">
        <v>850</v>
      </c>
      <c r="C864" s="181" t="n">
        <v>4543.79</v>
      </c>
      <c r="D864" s="181" t="n">
        <v>4614.4221</v>
      </c>
      <c r="E864" s="181" t="n">
        <v>-70.63209999999999</v>
      </c>
      <c r="F864" s="181" t="n">
        <v>4988.894</v>
      </c>
      <c r="G864" s="181" t="n">
        <v>722500</v>
      </c>
      <c r="H864" s="181" t="inlineStr"/>
      <c r="I864" s="181" t="inlineStr"/>
    </row>
    <row r="865" ht="15" customHeight="1" s="28">
      <c r="A865" s="182" t="n">
        <v>852</v>
      </c>
      <c r="B865" s="182" t="n">
        <v>851</v>
      </c>
      <c r="C865" s="182" t="n">
        <v>4543.57</v>
      </c>
      <c r="D865" s="182" t="n">
        <v>4614.1682</v>
      </c>
      <c r="E865" s="182" t="n">
        <v>-70.59820000000001</v>
      </c>
      <c r="F865" s="182" t="n">
        <v>4984.107</v>
      </c>
      <c r="G865" s="182" t="n">
        <v>724201</v>
      </c>
      <c r="H865" s="182" t="inlineStr"/>
      <c r="I865" s="182" t="inlineStr"/>
    </row>
    <row r="866" ht="15" customHeight="1" s="28">
      <c r="A866" s="181" t="n">
        <v>853</v>
      </c>
      <c r="B866" s="181" t="n">
        <v>852</v>
      </c>
      <c r="C866" s="181" t="n">
        <v>4546.4</v>
      </c>
      <c r="D866" s="181" t="n">
        <v>4613.9143</v>
      </c>
      <c r="E866" s="181" t="n">
        <v>-67.51430000000001</v>
      </c>
      <c r="F866" s="181" t="n">
        <v>4558.1824</v>
      </c>
      <c r="G866" s="181" t="n">
        <v>725904</v>
      </c>
      <c r="H866" s="181" t="inlineStr"/>
      <c r="I866" s="181" t="inlineStr"/>
    </row>
    <row r="867" ht="15" customHeight="1" s="28">
      <c r="A867" s="182" t="n">
        <v>854</v>
      </c>
      <c r="B867" s="182" t="n">
        <v>853</v>
      </c>
      <c r="C867" s="182" t="n">
        <v>4549.14</v>
      </c>
      <c r="D867" s="182" t="n">
        <v>4613.6604</v>
      </c>
      <c r="E867" s="182" t="n">
        <v>-64.5204</v>
      </c>
      <c r="F867" s="182" t="n">
        <v>4162.8842</v>
      </c>
      <c r="G867" s="182" t="n">
        <v>727609</v>
      </c>
      <c r="H867" s="182" t="inlineStr"/>
      <c r="I867" s="182" t="inlineStr"/>
    </row>
    <row r="868" ht="15" customHeight="1" s="28">
      <c r="A868" s="181" t="n">
        <v>855</v>
      </c>
      <c r="B868" s="181" t="n">
        <v>854</v>
      </c>
      <c r="C868" s="181" t="n">
        <v>4548.51</v>
      </c>
      <c r="D868" s="181" t="n">
        <v>4613.4065</v>
      </c>
      <c r="E868" s="181" t="n">
        <v>-64.8965</v>
      </c>
      <c r="F868" s="181" t="n">
        <v>4211.5585</v>
      </c>
      <c r="G868" s="181" t="n">
        <v>729316</v>
      </c>
      <c r="H868" s="181" t="inlineStr"/>
      <c r="I868" s="181" t="inlineStr"/>
    </row>
    <row r="869" ht="15" customHeight="1" s="28">
      <c r="A869" s="182" t="n">
        <v>856</v>
      </c>
      <c r="B869" s="182" t="n">
        <v>855</v>
      </c>
      <c r="C869" s="182" t="n">
        <v>4552.08</v>
      </c>
      <c r="D869" s="182" t="n">
        <v>4613.1526</v>
      </c>
      <c r="E869" s="182" t="n">
        <v>-61.0726</v>
      </c>
      <c r="F869" s="182" t="n">
        <v>3729.8656</v>
      </c>
      <c r="G869" s="182" t="n">
        <v>731025</v>
      </c>
      <c r="H869" s="182" t="inlineStr"/>
      <c r="I869" s="182" t="inlineStr"/>
    </row>
    <row r="870" ht="15" customHeight="1" s="28">
      <c r="A870" s="181" t="n">
        <v>857</v>
      </c>
      <c r="B870" s="181" t="n">
        <v>856</v>
      </c>
      <c r="C870" s="181" t="n">
        <v>4553.33</v>
      </c>
      <c r="D870" s="181" t="n">
        <v>4612.8987</v>
      </c>
      <c r="E870" s="181" t="n">
        <v>-59.5687</v>
      </c>
      <c r="F870" s="181" t="n">
        <v>3548.4336</v>
      </c>
      <c r="G870" s="181" t="n">
        <v>732736</v>
      </c>
      <c r="H870" s="181" t="inlineStr"/>
      <c r="I870" s="181" t="inlineStr"/>
    </row>
    <row r="871" ht="15" customHeight="1" s="28">
      <c r="A871" s="182" t="n">
        <v>858</v>
      </c>
      <c r="B871" s="182" t="n">
        <v>857</v>
      </c>
      <c r="C871" s="182" t="n">
        <v>4551.63</v>
      </c>
      <c r="D871" s="182" t="n">
        <v>4612.6448</v>
      </c>
      <c r="E871" s="182" t="n">
        <v>-61.0148</v>
      </c>
      <c r="F871" s="182" t="n">
        <v>3722.8101</v>
      </c>
      <c r="G871" s="182" t="n">
        <v>734449</v>
      </c>
      <c r="H871" s="182" t="inlineStr"/>
      <c r="I871" s="182" t="inlineStr"/>
    </row>
    <row r="872" ht="15" customHeight="1" s="28">
      <c r="A872" s="181" t="n">
        <v>859</v>
      </c>
      <c r="B872" s="181" t="n">
        <v>858</v>
      </c>
      <c r="C872" s="181" t="n">
        <v>4554.44</v>
      </c>
      <c r="D872" s="181" t="n">
        <v>4612.3909</v>
      </c>
      <c r="E872" s="181" t="n">
        <v>-57.9509</v>
      </c>
      <c r="F872" s="181" t="n">
        <v>3358.3114</v>
      </c>
      <c r="G872" s="181" t="n">
        <v>736164</v>
      </c>
      <c r="H872" s="181" t="inlineStr"/>
      <c r="I872" s="181" t="inlineStr"/>
    </row>
    <row r="873" ht="15" customHeight="1" s="28">
      <c r="A873" s="182" t="n">
        <v>860</v>
      </c>
      <c r="B873" s="182" t="n">
        <v>859</v>
      </c>
      <c r="C873" s="182" t="n">
        <v>4561.66</v>
      </c>
      <c r="D873" s="182" t="n">
        <v>4612.137</v>
      </c>
      <c r="E873" s="182" t="n">
        <v>-50.477</v>
      </c>
      <c r="F873" s="182" t="n">
        <v>2547.932</v>
      </c>
      <c r="G873" s="182" t="n">
        <v>737881</v>
      </c>
      <c r="H873" s="182" t="inlineStr"/>
      <c r="I873" s="182" t="inlineStr"/>
    </row>
    <row r="874" ht="15" customHeight="1" s="28">
      <c r="A874" s="181" t="n">
        <v>861</v>
      </c>
      <c r="B874" s="181" t="n">
        <v>860</v>
      </c>
      <c r="C874" s="181" t="n">
        <v>4557.93</v>
      </c>
      <c r="D874" s="181" t="n">
        <v>4611.8831</v>
      </c>
      <c r="E874" s="181" t="n">
        <v>-53.9531</v>
      </c>
      <c r="F874" s="181" t="n">
        <v>2910.9422</v>
      </c>
      <c r="G874" s="181" t="n">
        <v>739600</v>
      </c>
      <c r="H874" s="181" t="inlineStr"/>
      <c r="I874" s="181" t="inlineStr"/>
    </row>
    <row r="875" ht="15" customHeight="1" s="28">
      <c r="A875" s="182" t="n">
        <v>862</v>
      </c>
      <c r="B875" s="182" t="n">
        <v>861</v>
      </c>
      <c r="C875" s="182" t="n">
        <v>4563.57</v>
      </c>
      <c r="D875" s="182" t="n">
        <v>4611.6293</v>
      </c>
      <c r="E875" s="182" t="n">
        <v>-48.0593</v>
      </c>
      <c r="F875" s="182" t="n">
        <v>2309.6918</v>
      </c>
      <c r="G875" s="182" t="n">
        <v>741321</v>
      </c>
      <c r="H875" s="182" t="inlineStr"/>
      <c r="I875" s="182" t="inlineStr"/>
    </row>
    <row r="876" ht="15" customHeight="1" s="28">
      <c r="A876" s="181" t="n">
        <v>863</v>
      </c>
      <c r="B876" s="181" t="n">
        <v>862</v>
      </c>
      <c r="C876" s="181" t="n">
        <v>4567.11</v>
      </c>
      <c r="D876" s="181" t="n">
        <v>4611.3754</v>
      </c>
      <c r="E876" s="181" t="n">
        <v>-44.2654</v>
      </c>
      <c r="F876" s="181" t="n">
        <v>1959.4219</v>
      </c>
      <c r="G876" s="181" t="n">
        <v>743044</v>
      </c>
      <c r="H876" s="181" t="inlineStr"/>
      <c r="I876" s="181" t="inlineStr"/>
    </row>
    <row r="877" ht="15" customHeight="1" s="28">
      <c r="A877" s="182" t="n">
        <v>864</v>
      </c>
      <c r="B877" s="182" t="n">
        <v>863</v>
      </c>
      <c r="C877" s="182" t="n">
        <v>4569.83</v>
      </c>
      <c r="D877" s="182" t="n">
        <v>4611.1215</v>
      </c>
      <c r="E877" s="182" t="n">
        <v>-41.2915</v>
      </c>
      <c r="F877" s="182" t="n">
        <v>1704.9848</v>
      </c>
      <c r="G877" s="182" t="n">
        <v>744769</v>
      </c>
      <c r="H877" s="182" t="inlineStr"/>
      <c r="I877" s="182" t="inlineStr"/>
    </row>
    <row r="878" ht="15" customHeight="1" s="28">
      <c r="A878" s="181" t="n">
        <v>865</v>
      </c>
      <c r="B878" s="181" t="n">
        <v>864</v>
      </c>
      <c r="C878" s="181" t="n">
        <v>4568.52</v>
      </c>
      <c r="D878" s="181" t="n">
        <v>4610.8676</v>
      </c>
      <c r="E878" s="181" t="n">
        <v>-42.3476</v>
      </c>
      <c r="F878" s="181" t="n">
        <v>1793.3164</v>
      </c>
      <c r="G878" s="181" t="n">
        <v>746496</v>
      </c>
      <c r="H878" s="181" t="inlineStr"/>
      <c r="I878" s="181" t="inlineStr"/>
    </row>
    <row r="879" ht="15" customHeight="1" s="28">
      <c r="A879" s="182" t="n">
        <v>866</v>
      </c>
      <c r="B879" s="182" t="n">
        <v>865</v>
      </c>
      <c r="C879" s="182" t="n">
        <v>4579.79</v>
      </c>
      <c r="D879" s="182" t="n">
        <v>4610.6137</v>
      </c>
      <c r="E879" s="182" t="n">
        <v>-30.8237</v>
      </c>
      <c r="F879" s="182" t="n">
        <v>950.0987</v>
      </c>
      <c r="G879" s="182" t="n">
        <v>748225</v>
      </c>
      <c r="H879" s="182" t="inlineStr"/>
      <c r="I879" s="182" t="inlineStr"/>
    </row>
    <row r="880" ht="15" customHeight="1" s="28">
      <c r="A880" s="181" t="n">
        <v>867</v>
      </c>
      <c r="B880" s="181" t="n">
        <v>866</v>
      </c>
      <c r="C880" s="181" t="n">
        <v>4576.31</v>
      </c>
      <c r="D880" s="181" t="n">
        <v>4610.3598</v>
      </c>
      <c r="E880" s="181" t="n">
        <v>-34.0498</v>
      </c>
      <c r="F880" s="181" t="n">
        <v>1159.3872</v>
      </c>
      <c r="G880" s="181" t="n">
        <v>749956</v>
      </c>
      <c r="H880" s="181" t="inlineStr"/>
      <c r="I880" s="181" t="inlineStr"/>
    </row>
    <row r="881" ht="15" customHeight="1" s="28">
      <c r="A881" s="182" t="n">
        <v>868</v>
      </c>
      <c r="B881" s="182" t="n">
        <v>867</v>
      </c>
      <c r="C881" s="182" t="n">
        <v>4579.13</v>
      </c>
      <c r="D881" s="182" t="n">
        <v>4610.1059</v>
      </c>
      <c r="E881" s="182" t="n">
        <v>-30.9759</v>
      </c>
      <c r="F881" s="182" t="n">
        <v>959.5051</v>
      </c>
      <c r="G881" s="182" t="n">
        <v>751689</v>
      </c>
      <c r="H881" s="182" t="inlineStr"/>
      <c r="I881" s="182" t="inlineStr"/>
    </row>
    <row r="882" ht="15" customHeight="1" s="28">
      <c r="A882" s="181" t="n">
        <v>869</v>
      </c>
      <c r="B882" s="181" t="n">
        <v>868</v>
      </c>
      <c r="C882" s="181" t="n">
        <v>4579.74</v>
      </c>
      <c r="D882" s="181" t="n">
        <v>4609.852</v>
      </c>
      <c r="E882" s="181" t="n">
        <v>-30.112</v>
      </c>
      <c r="F882" s="181" t="n">
        <v>906.7316</v>
      </c>
      <c r="G882" s="181" t="n">
        <v>753424</v>
      </c>
      <c r="H882" s="181" t="inlineStr"/>
      <c r="I882" s="181" t="inlineStr"/>
    </row>
    <row r="883" ht="15" customHeight="1" s="28">
      <c r="A883" s="182" t="n">
        <v>870</v>
      </c>
      <c r="B883" s="182" t="n">
        <v>869</v>
      </c>
      <c r="C883" s="182" t="n">
        <v>4573.13</v>
      </c>
      <c r="D883" s="182" t="n">
        <v>4609.5981</v>
      </c>
      <c r="E883" s="182" t="n">
        <v>-36.4681</v>
      </c>
      <c r="F883" s="182" t="n">
        <v>1329.9215</v>
      </c>
      <c r="G883" s="182" t="n">
        <v>755161</v>
      </c>
      <c r="H883" s="182" t="inlineStr"/>
      <c r="I883" s="182" t="inlineStr"/>
    </row>
    <row r="884" ht="15" customHeight="1" s="28">
      <c r="A884" s="181" t="n">
        <v>871</v>
      </c>
      <c r="B884" s="181" t="n">
        <v>870</v>
      </c>
      <c r="C884" s="181" t="n">
        <v>4562.53</v>
      </c>
      <c r="D884" s="181" t="n">
        <v>4609.3442</v>
      </c>
      <c r="E884" s="181" t="n">
        <v>-46.8142</v>
      </c>
      <c r="F884" s="181" t="n">
        <v>2191.5687</v>
      </c>
      <c r="G884" s="181" t="n">
        <v>756900</v>
      </c>
      <c r="H884" s="181" t="inlineStr"/>
      <c r="I884" s="181" t="inlineStr"/>
    </row>
    <row r="885" ht="15" customHeight="1" s="28">
      <c r="A885" s="182" t="n">
        <v>872</v>
      </c>
      <c r="B885" s="182" t="n">
        <v>871</v>
      </c>
      <c r="C885" s="182" t="n">
        <v>4565.02</v>
      </c>
      <c r="D885" s="182" t="n">
        <v>4609.0903</v>
      </c>
      <c r="E885" s="182" t="n">
        <v>-44.0703</v>
      </c>
      <c r="F885" s="182" t="n">
        <v>1942.1912</v>
      </c>
      <c r="G885" s="182" t="n">
        <v>758641</v>
      </c>
      <c r="H885" s="182" t="inlineStr"/>
      <c r="I885" s="182" t="inlineStr"/>
    </row>
    <row r="886" ht="15" customHeight="1" s="28">
      <c r="A886" s="181" t="n">
        <v>873</v>
      </c>
      <c r="B886" s="181" t="n">
        <v>872</v>
      </c>
      <c r="C886" s="181" t="n">
        <v>4564.98</v>
      </c>
      <c r="D886" s="181" t="n">
        <v>4608.8364</v>
      </c>
      <c r="E886" s="181" t="n">
        <v>-43.8564</v>
      </c>
      <c r="F886" s="181" t="n">
        <v>1923.384</v>
      </c>
      <c r="G886" s="181" t="n">
        <v>760384</v>
      </c>
      <c r="H886" s="181" t="inlineStr"/>
      <c r="I886" s="181" t="inlineStr"/>
    </row>
    <row r="887" ht="15" customHeight="1" s="28">
      <c r="A887" s="182" t="n">
        <v>874</v>
      </c>
      <c r="B887" s="182" t="n">
        <v>873</v>
      </c>
      <c r="C887" s="182" t="n">
        <v>4563.32</v>
      </c>
      <c r="D887" s="182" t="n">
        <v>4608.5825</v>
      </c>
      <c r="E887" s="182" t="n">
        <v>-45.2625</v>
      </c>
      <c r="F887" s="182" t="n">
        <v>2048.6945</v>
      </c>
      <c r="G887" s="182" t="n">
        <v>762129</v>
      </c>
      <c r="H887" s="182" t="inlineStr"/>
      <c r="I887" s="182" t="inlineStr"/>
    </row>
    <row r="888" ht="15" customHeight="1" s="28">
      <c r="A888" s="181" t="n">
        <v>875</v>
      </c>
      <c r="B888" s="181" t="n">
        <v>874</v>
      </c>
      <c r="C888" s="181" t="n">
        <v>4561.66</v>
      </c>
      <c r="D888" s="181" t="n">
        <v>4608.3286</v>
      </c>
      <c r="E888" s="181" t="n">
        <v>-46.6686</v>
      </c>
      <c r="F888" s="181" t="n">
        <v>2177.9593</v>
      </c>
      <c r="G888" s="181" t="n">
        <v>763876</v>
      </c>
      <c r="H888" s="181" t="inlineStr"/>
      <c r="I888" s="181" t="inlineStr"/>
    </row>
    <row r="889" ht="15" customHeight="1" s="28">
      <c r="A889" s="182" t="n">
        <v>876</v>
      </c>
      <c r="B889" s="182" t="n">
        <v>875</v>
      </c>
      <c r="C889" s="182" t="n">
        <v>4556.09</v>
      </c>
      <c r="D889" s="182" t="n">
        <v>4608.0747</v>
      </c>
      <c r="E889" s="182" t="n">
        <v>-51.9847</v>
      </c>
      <c r="F889" s="182" t="n">
        <v>2702.4107</v>
      </c>
      <c r="G889" s="182" t="n">
        <v>765625</v>
      </c>
      <c r="H889" s="182" t="inlineStr"/>
      <c r="I889" s="182" t="inlineStr"/>
    </row>
    <row r="890" ht="15" customHeight="1" s="28">
      <c r="A890" s="181" t="n">
        <v>877</v>
      </c>
      <c r="B890" s="181" t="n">
        <v>876</v>
      </c>
      <c r="C890" s="181" t="n">
        <v>4555.41</v>
      </c>
      <c r="D890" s="181" t="n">
        <v>4607.8208</v>
      </c>
      <c r="E890" s="181" t="n">
        <v>-52.4108</v>
      </c>
      <c r="F890" s="181" t="n">
        <v>2746.8941</v>
      </c>
      <c r="G890" s="181" t="n">
        <v>767376</v>
      </c>
      <c r="H890" s="181" t="inlineStr"/>
      <c r="I890" s="181" t="inlineStr"/>
    </row>
    <row r="891" ht="15" customHeight="1" s="28">
      <c r="A891" s="182" t="n">
        <v>878</v>
      </c>
      <c r="B891" s="182" t="n">
        <v>877</v>
      </c>
      <c r="C891" s="182" t="n">
        <v>4547.28</v>
      </c>
      <c r="D891" s="182" t="n">
        <v>4607.5669</v>
      </c>
      <c r="E891" s="182" t="n">
        <v>-60.2869</v>
      </c>
      <c r="F891" s="182" t="n">
        <v>3634.5133</v>
      </c>
      <c r="G891" s="182" t="n">
        <v>769129</v>
      </c>
      <c r="H891" s="182" t="inlineStr"/>
      <c r="I891" s="182" t="inlineStr"/>
    </row>
    <row r="892" ht="15" customHeight="1" s="28">
      <c r="A892" s="181" t="n">
        <v>879</v>
      </c>
      <c r="B892" s="181" t="n">
        <v>878</v>
      </c>
      <c r="C892" s="181" t="n">
        <v>4544.74</v>
      </c>
      <c r="D892" s="181" t="n">
        <v>4607.313</v>
      </c>
      <c r="E892" s="181" t="n">
        <v>-62.573</v>
      </c>
      <c r="F892" s="181" t="n">
        <v>3915.384</v>
      </c>
      <c r="G892" s="181" t="n">
        <v>770884</v>
      </c>
      <c r="H892" s="181" t="inlineStr"/>
      <c r="I892" s="181" t="inlineStr"/>
    </row>
    <row r="893" ht="15" customHeight="1" s="28">
      <c r="A893" s="182" t="n">
        <v>880</v>
      </c>
      <c r="B893" s="182" t="n">
        <v>879</v>
      </c>
      <c r="C893" s="182" t="n">
        <v>4541.91</v>
      </c>
      <c r="D893" s="182" t="n">
        <v>4607.0591</v>
      </c>
      <c r="E893" s="182" t="n">
        <v>-65.1491</v>
      </c>
      <c r="F893" s="182" t="n">
        <v>4244.4097</v>
      </c>
      <c r="G893" s="182" t="n">
        <v>772641</v>
      </c>
      <c r="H893" s="182" t="inlineStr"/>
      <c r="I893" s="182" t="inlineStr"/>
    </row>
    <row r="894" ht="15" customHeight="1" s="28">
      <c r="A894" s="181" t="n">
        <v>881</v>
      </c>
      <c r="B894" s="181" t="n">
        <v>880</v>
      </c>
      <c r="C894" s="181" t="n">
        <v>4553.22</v>
      </c>
      <c r="D894" s="181" t="n">
        <v>4606.8052</v>
      </c>
      <c r="E894" s="181" t="n">
        <v>-53.5852</v>
      </c>
      <c r="F894" s="181" t="n">
        <v>2871.3778</v>
      </c>
      <c r="G894" s="181" t="n">
        <v>774400</v>
      </c>
      <c r="H894" s="181" t="inlineStr"/>
      <c r="I894" s="181" t="inlineStr"/>
    </row>
    <row r="895" ht="15" customHeight="1" s="28">
      <c r="A895" s="182" t="n">
        <v>882</v>
      </c>
      <c r="B895" s="182" t="n">
        <v>881</v>
      </c>
      <c r="C895" s="182" t="n">
        <v>4555.73</v>
      </c>
      <c r="D895" s="182" t="n">
        <v>4606.5513</v>
      </c>
      <c r="E895" s="182" t="n">
        <v>-50.8213</v>
      </c>
      <c r="F895" s="182" t="n">
        <v>2582.8089</v>
      </c>
      <c r="G895" s="182" t="n">
        <v>776161</v>
      </c>
      <c r="H895" s="182" t="inlineStr"/>
      <c r="I895" s="182" t="inlineStr"/>
    </row>
    <row r="896" ht="15" customHeight="1" s="28">
      <c r="A896" s="181" t="n">
        <v>883</v>
      </c>
      <c r="B896" s="181" t="n">
        <v>882</v>
      </c>
      <c r="C896" s="181" t="n">
        <v>4564.04</v>
      </c>
      <c r="D896" s="181" t="n">
        <v>4606.2974</v>
      </c>
      <c r="E896" s="181" t="n">
        <v>-42.2574</v>
      </c>
      <c r="F896" s="181" t="n">
        <v>1785.6919</v>
      </c>
      <c r="G896" s="181" t="n">
        <v>777924</v>
      </c>
      <c r="H896" s="181" t="inlineStr"/>
      <c r="I896" s="181" t="inlineStr"/>
    </row>
    <row r="897" ht="15" customHeight="1" s="28">
      <c r="A897" s="182" t="n">
        <v>884</v>
      </c>
      <c r="B897" s="182" t="n">
        <v>883</v>
      </c>
      <c r="C897" s="182" t="n">
        <v>4562.71</v>
      </c>
      <c r="D897" s="182" t="n">
        <v>4606.0436</v>
      </c>
      <c r="E897" s="182" t="n">
        <v>-43.3336</v>
      </c>
      <c r="F897" s="182" t="n">
        <v>1877.7967</v>
      </c>
      <c r="G897" s="182" t="n">
        <v>779689</v>
      </c>
      <c r="H897" s="182" t="inlineStr"/>
      <c r="I897" s="182" t="inlineStr"/>
    </row>
    <row r="898" ht="15" customHeight="1" s="28">
      <c r="A898" s="181" t="n">
        <v>885</v>
      </c>
      <c r="B898" s="181" t="n">
        <v>884</v>
      </c>
      <c r="C898" s="181" t="n">
        <v>4566.21</v>
      </c>
      <c r="D898" s="181" t="n">
        <v>4605.7897</v>
      </c>
      <c r="E898" s="181" t="n">
        <v>-39.5797</v>
      </c>
      <c r="F898" s="181" t="n">
        <v>1566.5492</v>
      </c>
      <c r="G898" s="181" t="n">
        <v>781456</v>
      </c>
      <c r="H898" s="181" t="inlineStr"/>
      <c r="I898" s="181" t="inlineStr"/>
    </row>
    <row r="899" ht="15" customHeight="1" s="28">
      <c r="A899" s="182" t="n">
        <v>886</v>
      </c>
      <c r="B899" s="182" t="n">
        <v>885</v>
      </c>
      <c r="C899" s="182" t="n">
        <v>4569.57</v>
      </c>
      <c r="D899" s="182" t="n">
        <v>4605.5358</v>
      </c>
      <c r="E899" s="182" t="n">
        <v>-35.9658</v>
      </c>
      <c r="F899" s="182" t="n">
        <v>1293.536</v>
      </c>
      <c r="G899" s="182" t="n">
        <v>783225</v>
      </c>
      <c r="H899" s="182" t="inlineStr"/>
      <c r="I899" s="182" t="inlineStr"/>
    </row>
    <row r="900" ht="15" customHeight="1" s="28">
      <c r="A900" s="181" t="n">
        <v>887</v>
      </c>
      <c r="B900" s="181" t="n">
        <v>886</v>
      </c>
      <c r="C900" s="181" t="n">
        <v>4575.23</v>
      </c>
      <c r="D900" s="181" t="n">
        <v>4605.2819</v>
      </c>
      <c r="E900" s="181" t="n">
        <v>-30.0519</v>
      </c>
      <c r="F900" s="181" t="n">
        <v>903.1146</v>
      </c>
      <c r="G900" s="181" t="n">
        <v>784996</v>
      </c>
      <c r="H900" s="181" t="inlineStr"/>
      <c r="I900" s="181" t="inlineStr"/>
    </row>
    <row r="901" ht="15" customHeight="1" s="28">
      <c r="A901" s="182" t="n">
        <v>888</v>
      </c>
      <c r="B901" s="182" t="n">
        <v>887</v>
      </c>
      <c r="C901" s="182" t="n">
        <v>4589.44</v>
      </c>
      <c r="D901" s="182" t="n">
        <v>4605.028</v>
      </c>
      <c r="E901" s="182" t="n">
        <v>-15.588</v>
      </c>
      <c r="F901" s="182" t="n">
        <v>242.9848</v>
      </c>
      <c r="G901" s="182" t="n">
        <v>786769</v>
      </c>
      <c r="H901" s="182" t="inlineStr"/>
      <c r="I901" s="182" t="inlineStr"/>
    </row>
    <row r="902" ht="15" customHeight="1" s="28">
      <c r="A902" s="181" t="n">
        <v>889</v>
      </c>
      <c r="B902" s="181" t="n">
        <v>888</v>
      </c>
      <c r="C902" s="181" t="n">
        <v>4591.59</v>
      </c>
      <c r="D902" s="181" t="n">
        <v>4604.7741</v>
      </c>
      <c r="E902" s="181" t="n">
        <v>-13.1841</v>
      </c>
      <c r="F902" s="181" t="n">
        <v>173.8198</v>
      </c>
      <c r="G902" s="181" t="n">
        <v>788544</v>
      </c>
      <c r="H902" s="181" t="inlineStr"/>
      <c r="I902" s="181" t="inlineStr"/>
    </row>
    <row r="903" ht="15" customHeight="1" s="28">
      <c r="A903" s="182" t="n">
        <v>890</v>
      </c>
      <c r="B903" s="182" t="n">
        <v>889</v>
      </c>
      <c r="C903" s="182" t="n">
        <v>4591.59</v>
      </c>
      <c r="D903" s="182" t="n">
        <v>4604.5202</v>
      </c>
      <c r="E903" s="182" t="n">
        <v>-12.9302</v>
      </c>
      <c r="F903" s="182" t="n">
        <v>167.1895</v>
      </c>
      <c r="G903" s="182" t="n">
        <v>790321</v>
      </c>
      <c r="H903" s="182" t="inlineStr"/>
      <c r="I903" s="182" t="inlineStr"/>
    </row>
    <row r="904" ht="15" customHeight="1" s="28">
      <c r="A904" s="181" t="n">
        <v>891</v>
      </c>
      <c r="B904" s="181" t="n">
        <v>890</v>
      </c>
      <c r="C904" s="181" t="n">
        <v>4596.69</v>
      </c>
      <c r="D904" s="181" t="n">
        <v>4604.2663</v>
      </c>
      <c r="E904" s="181" t="n">
        <v>-7.5763</v>
      </c>
      <c r="F904" s="181" t="n">
        <v>57.4001</v>
      </c>
      <c r="G904" s="181" t="n">
        <v>792100</v>
      </c>
      <c r="H904" s="181" t="inlineStr"/>
      <c r="I904" s="181" t="inlineStr"/>
    </row>
    <row r="905" ht="15" customHeight="1" s="28">
      <c r="A905" s="182" t="n">
        <v>892</v>
      </c>
      <c r="B905" s="182" t="n">
        <v>891</v>
      </c>
      <c r="C905" s="182" t="n">
        <v>4598.44</v>
      </c>
      <c r="D905" s="182" t="n">
        <v>4604.0124</v>
      </c>
      <c r="E905" s="182" t="n">
        <v>-5.5724</v>
      </c>
      <c r="F905" s="182" t="n">
        <v>31.0515</v>
      </c>
      <c r="G905" s="182" t="n">
        <v>793881</v>
      </c>
      <c r="H905" s="182" t="inlineStr"/>
      <c r="I905" s="182" t="inlineStr"/>
    </row>
    <row r="906" ht="15" customHeight="1" s="28">
      <c r="A906" s="181" t="n">
        <v>893</v>
      </c>
      <c r="B906" s="181" t="n">
        <v>892</v>
      </c>
      <c r="C906" s="181" t="n">
        <v>4618.7</v>
      </c>
      <c r="D906" s="181" t="n">
        <v>4603.7585</v>
      </c>
      <c r="E906" s="181" t="n">
        <v>14.9415</v>
      </c>
      <c r="F906" s="181" t="n">
        <v>223.2486</v>
      </c>
      <c r="G906" s="181" t="n">
        <v>795664</v>
      </c>
      <c r="H906" s="181" t="inlineStr"/>
      <c r="I906" s="181" t="inlineStr"/>
    </row>
    <row r="907" ht="15" customHeight="1" s="28">
      <c r="A907" s="182" t="n">
        <v>894</v>
      </c>
      <c r="B907" s="182" t="n">
        <v>893</v>
      </c>
      <c r="C907" s="182" t="n">
        <v>4617.35</v>
      </c>
      <c r="D907" s="182" t="n">
        <v>4603.5046</v>
      </c>
      <c r="E907" s="182" t="n">
        <v>13.8454</v>
      </c>
      <c r="F907" s="182" t="n">
        <v>191.6952</v>
      </c>
      <c r="G907" s="182" t="n">
        <v>797449</v>
      </c>
      <c r="H907" s="182" t="inlineStr"/>
      <c r="I907" s="182" t="inlineStr"/>
    </row>
    <row r="908" ht="15" customHeight="1" s="28">
      <c r="A908" s="181" t="n">
        <v>895</v>
      </c>
      <c r="B908" s="181" t="n">
        <v>894</v>
      </c>
      <c r="C908" s="181" t="n">
        <v>4614.82</v>
      </c>
      <c r="D908" s="181" t="n">
        <v>4603.2507</v>
      </c>
      <c r="E908" s="181" t="n">
        <v>11.5693</v>
      </c>
      <c r="F908" s="181" t="n">
        <v>133.8487</v>
      </c>
      <c r="G908" s="181" t="n">
        <v>799236</v>
      </c>
      <c r="H908" s="181" t="inlineStr"/>
      <c r="I908" s="181" t="inlineStr"/>
    </row>
    <row r="909" ht="15" customHeight="1" s="28">
      <c r="A909" s="182" t="n">
        <v>896</v>
      </c>
      <c r="B909" s="182" t="n">
        <v>895</v>
      </c>
      <c r="C909" s="182" t="n">
        <v>4616</v>
      </c>
      <c r="D909" s="182" t="n">
        <v>4602.9968</v>
      </c>
      <c r="E909" s="182" t="n">
        <v>13.0032</v>
      </c>
      <c r="F909" s="182" t="n">
        <v>169.0831</v>
      </c>
      <c r="G909" s="182" t="n">
        <v>801025</v>
      </c>
      <c r="H909" s="182" t="inlineStr"/>
      <c r="I909" s="182" t="inlineStr"/>
    </row>
    <row r="910" ht="15" customHeight="1" s="28">
      <c r="A910" s="181" t="n">
        <v>897</v>
      </c>
      <c r="B910" s="181" t="n">
        <v>896</v>
      </c>
      <c r="C910" s="181" t="n">
        <v>4618.96</v>
      </c>
      <c r="D910" s="181" t="n">
        <v>4602.7429</v>
      </c>
      <c r="E910" s="181" t="n">
        <v>16.2171</v>
      </c>
      <c r="F910" s="181" t="n">
        <v>262.994</v>
      </c>
      <c r="G910" s="181" t="n">
        <v>802816</v>
      </c>
      <c r="H910" s="181" t="inlineStr"/>
      <c r="I910" s="181" t="inlineStr"/>
    </row>
    <row r="911" ht="15" customHeight="1" s="28">
      <c r="A911" s="182" t="n">
        <v>898</v>
      </c>
      <c r="B911" s="182" t="n">
        <v>897</v>
      </c>
      <c r="C911" s="182" t="n">
        <v>4625.41</v>
      </c>
      <c r="D911" s="182" t="n">
        <v>4602.489</v>
      </c>
      <c r="E911" s="182" t="n">
        <v>22.921</v>
      </c>
      <c r="F911" s="182" t="n">
        <v>525.3715</v>
      </c>
      <c r="G911" s="182" t="n">
        <v>804609</v>
      </c>
      <c r="H911" s="182" t="inlineStr"/>
      <c r="I911" s="182" t="inlineStr"/>
    </row>
    <row r="912" ht="15" customHeight="1" s="28">
      <c r="A912" s="181" t="n">
        <v>899</v>
      </c>
      <c r="B912" s="181" t="n">
        <v>898</v>
      </c>
      <c r="C912" s="181" t="n">
        <v>4619.35</v>
      </c>
      <c r="D912" s="181" t="n">
        <v>4602.2351</v>
      </c>
      <c r="E912" s="181" t="n">
        <v>17.1149</v>
      </c>
      <c r="F912" s="181" t="n">
        <v>292.9191</v>
      </c>
      <c r="G912" s="181" t="n">
        <v>806404</v>
      </c>
      <c r="H912" s="181" t="inlineStr"/>
      <c r="I912" s="181" t="inlineStr"/>
    </row>
    <row r="913" ht="15" customHeight="1" s="28">
      <c r="A913" s="182" t="n">
        <v>900</v>
      </c>
      <c r="B913" s="182" t="n">
        <v>899</v>
      </c>
      <c r="C913" s="182" t="n">
        <v>4624.91</v>
      </c>
      <c r="D913" s="182" t="n">
        <v>4601.9812</v>
      </c>
      <c r="E913" s="182" t="n">
        <v>22.9288</v>
      </c>
      <c r="F913" s="182" t="n">
        <v>525.7288</v>
      </c>
      <c r="G913" s="182" t="n">
        <v>808201</v>
      </c>
      <c r="H913" s="182" t="inlineStr"/>
      <c r="I913" s="182" t="inlineStr"/>
    </row>
    <row r="914" ht="15" customHeight="1" s="28">
      <c r="A914" s="181" t="n">
        <v>901</v>
      </c>
      <c r="B914" s="181" t="n">
        <v>900</v>
      </c>
      <c r="C914" s="181" t="n">
        <v>4626.92</v>
      </c>
      <c r="D914" s="181" t="n">
        <v>4601.7273</v>
      </c>
      <c r="E914" s="181" t="n">
        <v>25.1927</v>
      </c>
      <c r="F914" s="181" t="n">
        <v>634.6707</v>
      </c>
      <c r="G914" s="181" t="n">
        <v>810000</v>
      </c>
      <c r="H914" s="181" t="inlineStr"/>
      <c r="I914" s="181" t="inlineStr"/>
    </row>
    <row r="915" ht="15" customHeight="1" s="28">
      <c r="A915" s="182" t="n">
        <v>902</v>
      </c>
      <c r="B915" s="182" t="n">
        <v>901</v>
      </c>
      <c r="C915" s="182" t="n">
        <v>4643.78</v>
      </c>
      <c r="D915" s="182" t="n">
        <v>4601.4734</v>
      </c>
      <c r="E915" s="182" t="n">
        <v>42.3066</v>
      </c>
      <c r="F915" s="182" t="n">
        <v>1789.8456</v>
      </c>
      <c r="G915" s="182" t="n">
        <v>811801</v>
      </c>
      <c r="H915" s="182" t="inlineStr"/>
      <c r="I915" s="182" t="inlineStr"/>
    </row>
    <row r="916" ht="15" customHeight="1" s="28">
      <c r="A916" s="181" t="n">
        <v>903</v>
      </c>
      <c r="B916" s="181" t="n">
        <v>902</v>
      </c>
      <c r="C916" s="181" t="n">
        <v>4636.62</v>
      </c>
      <c r="D916" s="181" t="n">
        <v>4601.2195</v>
      </c>
      <c r="E916" s="181" t="n">
        <v>35.4005</v>
      </c>
      <c r="F916" s="181" t="n">
        <v>1253.1927</v>
      </c>
      <c r="G916" s="181" t="n">
        <v>813604</v>
      </c>
      <c r="H916" s="181" t="inlineStr"/>
      <c r="I916" s="181" t="inlineStr"/>
    </row>
    <row r="917" ht="15" customHeight="1" s="28">
      <c r="A917" s="182" t="n">
        <v>904</v>
      </c>
      <c r="B917" s="182" t="n">
        <v>903</v>
      </c>
      <c r="C917" s="182" t="n">
        <v>4639.68</v>
      </c>
      <c r="D917" s="182" t="n">
        <v>4600.9656</v>
      </c>
      <c r="E917" s="182" t="n">
        <v>38.7144</v>
      </c>
      <c r="F917" s="182" t="n">
        <v>1498.8015</v>
      </c>
      <c r="G917" s="182" t="n">
        <v>815409</v>
      </c>
      <c r="H917" s="182" t="inlineStr"/>
      <c r="I917" s="182" t="inlineStr"/>
    </row>
    <row r="918" ht="15" customHeight="1" s="28">
      <c r="A918" s="181" t="n">
        <v>905</v>
      </c>
      <c r="B918" s="181" t="n">
        <v>904</v>
      </c>
      <c r="C918" s="181" t="n">
        <v>4635.99</v>
      </c>
      <c r="D918" s="181" t="n">
        <v>4600.7117</v>
      </c>
      <c r="E918" s="181" t="n">
        <v>35.2783</v>
      </c>
      <c r="F918" s="181" t="n">
        <v>1244.5552</v>
      </c>
      <c r="G918" s="181" t="n">
        <v>817216</v>
      </c>
      <c r="H918" s="181" t="inlineStr"/>
      <c r="I918" s="181" t="inlineStr"/>
    </row>
    <row r="919" ht="15" customHeight="1" s="28">
      <c r="A919" s="182" t="n">
        <v>906</v>
      </c>
      <c r="B919" s="182" t="n">
        <v>905</v>
      </c>
      <c r="C919" s="182" t="n">
        <v>4637.7</v>
      </c>
      <c r="D919" s="182" t="n">
        <v>4600.4579</v>
      </c>
      <c r="E919" s="182" t="n">
        <v>37.2421</v>
      </c>
      <c r="F919" s="182" t="n">
        <v>1386.9777</v>
      </c>
      <c r="G919" s="182" t="n">
        <v>819025</v>
      </c>
      <c r="H919" s="182" t="inlineStr"/>
      <c r="I919" s="182" t="inlineStr"/>
    </row>
    <row r="920" ht="15" customHeight="1" s="28">
      <c r="A920" s="181" t="n">
        <v>907</v>
      </c>
      <c r="B920" s="181" t="n">
        <v>906</v>
      </c>
      <c r="C920" s="181" t="n">
        <v>4629.82</v>
      </c>
      <c r="D920" s="181" t="n">
        <v>4600.204</v>
      </c>
      <c r="E920" s="181" t="n">
        <v>29.616</v>
      </c>
      <c r="F920" s="181" t="n">
        <v>877.1101</v>
      </c>
      <c r="G920" s="181" t="n">
        <v>820836</v>
      </c>
      <c r="H920" s="181" t="inlineStr"/>
      <c r="I920" s="181" t="inlineStr"/>
    </row>
    <row r="921" ht="15" customHeight="1" s="28">
      <c r="A921" s="182" t="n">
        <v>908</v>
      </c>
      <c r="B921" s="182" t="n">
        <v>907</v>
      </c>
      <c r="C921" s="182" t="n">
        <v>4630.21</v>
      </c>
      <c r="D921" s="182" t="n">
        <v>4599.9501</v>
      </c>
      <c r="E921" s="182" t="n">
        <v>30.2599</v>
      </c>
      <c r="F921" s="182" t="n">
        <v>915.664</v>
      </c>
      <c r="G921" s="182" t="n">
        <v>822649</v>
      </c>
      <c r="H921" s="182" t="inlineStr"/>
      <c r="I921" s="182" t="inlineStr"/>
    </row>
    <row r="922" ht="15" customHeight="1" s="28">
      <c r="A922" s="181" t="n">
        <v>909</v>
      </c>
      <c r="B922" s="181" t="n">
        <v>908</v>
      </c>
      <c r="C922" s="181" t="n">
        <v>4635.81</v>
      </c>
      <c r="D922" s="181" t="n">
        <v>4599.6962</v>
      </c>
      <c r="E922" s="181" t="n">
        <v>36.1138</v>
      </c>
      <c r="F922" s="181" t="n">
        <v>1304.2091</v>
      </c>
      <c r="G922" s="181" t="n">
        <v>824464</v>
      </c>
      <c r="H922" s="181" t="inlineStr"/>
      <c r="I922" s="181" t="inlineStr"/>
    </row>
    <row r="923" ht="15" customHeight="1" s="28">
      <c r="A923" s="182" t="n">
        <v>910</v>
      </c>
      <c r="B923" s="182" t="n">
        <v>909</v>
      </c>
      <c r="C923" s="182" t="n">
        <v>4630.51</v>
      </c>
      <c r="D923" s="182" t="n">
        <v>4599.4423</v>
      </c>
      <c r="E923" s="182" t="n">
        <v>31.0677</v>
      </c>
      <c r="F923" s="182" t="n">
        <v>965.2039</v>
      </c>
      <c r="G923" s="182" t="n">
        <v>826281</v>
      </c>
      <c r="H923" s="182" t="inlineStr"/>
      <c r="I923" s="182" t="inlineStr"/>
    </row>
    <row r="924" ht="15" customHeight="1" s="28">
      <c r="A924" s="181" t="n">
        <v>911</v>
      </c>
      <c r="B924" s="181" t="n">
        <v>910</v>
      </c>
      <c r="C924" s="181" t="n">
        <v>4625.92</v>
      </c>
      <c r="D924" s="181" t="n">
        <v>4599.1884</v>
      </c>
      <c r="E924" s="181" t="n">
        <v>26.7316</v>
      </c>
      <c r="F924" s="181" t="n">
        <v>714.5798</v>
      </c>
      <c r="G924" s="181" t="n">
        <v>828100</v>
      </c>
      <c r="H924" s="181" t="inlineStr"/>
      <c r="I924" s="181" t="inlineStr"/>
    </row>
    <row r="925" ht="15" customHeight="1" s="28">
      <c r="A925" s="182" t="n">
        <v>912</v>
      </c>
      <c r="B925" s="182" t="n">
        <v>911</v>
      </c>
      <c r="C925" s="182" t="n">
        <v>4639.57</v>
      </c>
      <c r="D925" s="182" t="n">
        <v>4598.9345</v>
      </c>
      <c r="E925" s="182" t="n">
        <v>40.6355</v>
      </c>
      <c r="F925" s="182" t="n">
        <v>1651.2456</v>
      </c>
      <c r="G925" s="182" t="n">
        <v>829921</v>
      </c>
      <c r="H925" s="182" t="inlineStr"/>
      <c r="I925" s="182" t="inlineStr"/>
    </row>
    <row r="926" ht="15" customHeight="1" s="28">
      <c r="A926" s="181" t="n">
        <v>913</v>
      </c>
      <c r="B926" s="181" t="n">
        <v>912</v>
      </c>
      <c r="C926" s="181" t="n">
        <v>4641.5</v>
      </c>
      <c r="D926" s="181" t="n">
        <v>4598.6806</v>
      </c>
      <c r="E926" s="181" t="n">
        <v>42.8194</v>
      </c>
      <c r="F926" s="181" t="n">
        <v>1833.5025</v>
      </c>
      <c r="G926" s="181" t="n">
        <v>831744</v>
      </c>
      <c r="H926" s="181" t="inlineStr"/>
      <c r="I926" s="181" t="inlineStr"/>
    </row>
    <row r="927" ht="15" customHeight="1" s="28">
      <c r="A927" s="182" t="n">
        <v>914</v>
      </c>
      <c r="B927" s="182" t="n">
        <v>913</v>
      </c>
      <c r="C927" s="182" t="n">
        <v>4633.5</v>
      </c>
      <c r="D927" s="182" t="n">
        <v>4598.4267</v>
      </c>
      <c r="E927" s="182" t="n">
        <v>35.0733</v>
      </c>
      <c r="F927" s="182" t="n">
        <v>1230.1373</v>
      </c>
      <c r="G927" s="182" t="n">
        <v>833569</v>
      </c>
      <c r="H927" s="182" t="inlineStr"/>
      <c r="I927" s="182" t="inlineStr"/>
    </row>
    <row r="928" ht="15" customHeight="1" s="28">
      <c r="A928" s="181" t="n">
        <v>915</v>
      </c>
      <c r="B928" s="181" t="n">
        <v>914</v>
      </c>
      <c r="C928" s="181" t="n">
        <v>4625.44</v>
      </c>
      <c r="D928" s="181" t="n">
        <v>4598.1728</v>
      </c>
      <c r="E928" s="181" t="n">
        <v>27.2672</v>
      </c>
      <c r="F928" s="181" t="n">
        <v>743.5007000000001</v>
      </c>
      <c r="G928" s="181" t="n">
        <v>835396</v>
      </c>
      <c r="H928" s="181" t="inlineStr"/>
      <c r="I928" s="181" t="inlineStr"/>
    </row>
    <row r="929" ht="15" customHeight="1" s="28">
      <c r="A929" s="182" t="n">
        <v>916</v>
      </c>
      <c r="B929" s="182" t="n">
        <v>915</v>
      </c>
      <c r="C929" s="182" t="n">
        <v>4610.99</v>
      </c>
      <c r="D929" s="182" t="n">
        <v>4597.9189</v>
      </c>
      <c r="E929" s="182" t="n">
        <v>13.0711</v>
      </c>
      <c r="F929" s="182" t="n">
        <v>170.8538</v>
      </c>
      <c r="G929" s="182" t="n">
        <v>837225</v>
      </c>
      <c r="H929" s="182" t="inlineStr"/>
      <c r="I929" s="182" t="inlineStr"/>
    </row>
    <row r="930" ht="15" customHeight="1" s="28">
      <c r="A930" s="181" t="n">
        <v>917</v>
      </c>
      <c r="B930" s="181" t="n">
        <v>916</v>
      </c>
      <c r="C930" s="181" t="n">
        <v>4620.39</v>
      </c>
      <c r="D930" s="181" t="n">
        <v>4597.665</v>
      </c>
      <c r="E930" s="181" t="n">
        <v>22.725</v>
      </c>
      <c r="F930" s="181" t="n">
        <v>516.4256</v>
      </c>
      <c r="G930" s="181" t="n">
        <v>839056</v>
      </c>
      <c r="H930" s="181" t="inlineStr"/>
      <c r="I930" s="181" t="inlineStr"/>
    </row>
    <row r="931" ht="15" customHeight="1" s="28">
      <c r="A931" s="182" t="n">
        <v>918</v>
      </c>
      <c r="B931" s="182" t="n">
        <v>917</v>
      </c>
      <c r="C931" s="182" t="n">
        <v>4622.81</v>
      </c>
      <c r="D931" s="182" t="n">
        <v>4597.4111</v>
      </c>
      <c r="E931" s="182" t="n">
        <v>25.3989</v>
      </c>
      <c r="F931" s="182" t="n">
        <v>645.1039</v>
      </c>
      <c r="G931" s="182" t="n">
        <v>840889</v>
      </c>
      <c r="H931" s="182" t="inlineStr"/>
      <c r="I931" s="182" t="inlineStr"/>
    </row>
    <row r="932" ht="15" customHeight="1" s="28">
      <c r="A932" s="181" t="n">
        <v>919</v>
      </c>
      <c r="B932" s="181" t="n">
        <v>918</v>
      </c>
      <c r="C932" s="181" t="n">
        <v>4617.7</v>
      </c>
      <c r="D932" s="181" t="n">
        <v>4597.1572</v>
      </c>
      <c r="E932" s="181" t="n">
        <v>20.5428</v>
      </c>
      <c r="F932" s="181" t="n">
        <v>422.0062</v>
      </c>
      <c r="G932" s="181" t="n">
        <v>842724</v>
      </c>
      <c r="H932" s="181" t="inlineStr"/>
      <c r="I932" s="181" t="inlineStr"/>
    </row>
    <row r="933" ht="15" customHeight="1" s="28">
      <c r="A933" s="182" t="n">
        <v>920</v>
      </c>
      <c r="B933" s="182" t="n">
        <v>919</v>
      </c>
      <c r="C933" s="182" t="n">
        <v>4619.59</v>
      </c>
      <c r="D933" s="182" t="n">
        <v>4596.9033</v>
      </c>
      <c r="E933" s="182" t="n">
        <v>22.6867</v>
      </c>
      <c r="F933" s="182" t="n">
        <v>514.6857</v>
      </c>
      <c r="G933" s="182" t="n">
        <v>844561</v>
      </c>
      <c r="H933" s="182" t="inlineStr"/>
      <c r="I933" s="182" t="inlineStr"/>
    </row>
    <row r="934" ht="15" customHeight="1" s="28">
      <c r="A934" s="181" t="n">
        <v>921</v>
      </c>
      <c r="B934" s="181" t="n">
        <v>920</v>
      </c>
      <c r="C934" s="181" t="n">
        <v>4620.13</v>
      </c>
      <c r="D934" s="181" t="n">
        <v>4596.6494</v>
      </c>
      <c r="E934" s="181" t="n">
        <v>23.4806</v>
      </c>
      <c r="F934" s="181" t="n">
        <v>551.3377</v>
      </c>
      <c r="G934" s="181" t="n">
        <v>846400</v>
      </c>
      <c r="H934" s="181" t="inlineStr"/>
      <c r="I934" s="181" t="inlineStr"/>
    </row>
    <row r="935" ht="15" customHeight="1" s="28">
      <c r="A935" s="182" t="n">
        <v>922</v>
      </c>
      <c r="B935" s="182" t="n">
        <v>921</v>
      </c>
      <c r="C935" s="182" t="n">
        <v>4623.09</v>
      </c>
      <c r="D935" s="182" t="n">
        <v>4596.3955</v>
      </c>
      <c r="E935" s="182" t="n">
        <v>26.6945</v>
      </c>
      <c r="F935" s="182" t="n">
        <v>712.5951</v>
      </c>
      <c r="G935" s="182" t="n">
        <v>848241</v>
      </c>
      <c r="H935" s="182" t="inlineStr"/>
      <c r="I935" s="182" t="inlineStr"/>
    </row>
    <row r="936" ht="15" customHeight="1" s="28">
      <c r="A936" s="181" t="n">
        <v>923</v>
      </c>
      <c r="B936" s="181" t="n">
        <v>922</v>
      </c>
      <c r="C936" s="181" t="n">
        <v>4615.65</v>
      </c>
      <c r="D936" s="181" t="n">
        <v>4596.1416</v>
      </c>
      <c r="E936" s="181" t="n">
        <v>19.5084</v>
      </c>
      <c r="F936" s="181" t="n">
        <v>380.5766</v>
      </c>
      <c r="G936" s="181" t="n">
        <v>850084</v>
      </c>
      <c r="H936" s="181" t="inlineStr"/>
      <c r="I936" s="181" t="inlineStr"/>
    </row>
    <row r="937" ht="15" customHeight="1" s="28">
      <c r="A937" s="182" t="n">
        <v>924</v>
      </c>
      <c r="B937" s="182" t="n">
        <v>923</v>
      </c>
      <c r="C937" s="182" t="n">
        <v>4615.35</v>
      </c>
      <c r="D937" s="182" t="n">
        <v>4595.8877</v>
      </c>
      <c r="E937" s="182" t="n">
        <v>19.4623</v>
      </c>
      <c r="F937" s="182" t="n">
        <v>378.7799</v>
      </c>
      <c r="G937" s="182" t="n">
        <v>851929</v>
      </c>
      <c r="H937" s="182" t="inlineStr"/>
      <c r="I937" s="182" t="inlineStr"/>
    </row>
    <row r="938" ht="15" customHeight="1" s="28">
      <c r="A938" s="181" t="n">
        <v>925</v>
      </c>
      <c r="B938" s="181" t="n">
        <v>924</v>
      </c>
      <c r="C938" s="181" t="n">
        <v>4611.63</v>
      </c>
      <c r="D938" s="181" t="n">
        <v>4595.6338</v>
      </c>
      <c r="E938" s="181" t="n">
        <v>15.9962</v>
      </c>
      <c r="F938" s="181" t="n">
        <v>255.8772</v>
      </c>
      <c r="G938" s="181" t="n">
        <v>853776</v>
      </c>
      <c r="H938" s="181" t="inlineStr"/>
      <c r="I938" s="181" t="inlineStr"/>
    </row>
    <row r="939" ht="15" customHeight="1" s="28">
      <c r="A939" s="182" t="n">
        <v>926</v>
      </c>
      <c r="B939" s="182" t="n">
        <v>925</v>
      </c>
      <c r="C939" s="182" t="n">
        <v>4608.08</v>
      </c>
      <c r="D939" s="182" t="n">
        <v>4595.3799</v>
      </c>
      <c r="E939" s="182" t="n">
        <v>12.7001</v>
      </c>
      <c r="F939" s="182" t="n">
        <v>161.2915</v>
      </c>
      <c r="G939" s="182" t="n">
        <v>855625</v>
      </c>
      <c r="H939" s="182" t="inlineStr"/>
      <c r="I939" s="182" t="inlineStr"/>
    </row>
    <row r="940" ht="15" customHeight="1" s="28">
      <c r="A940" s="181" t="n">
        <v>927</v>
      </c>
      <c r="B940" s="181" t="n">
        <v>926</v>
      </c>
      <c r="C940" s="181" t="n">
        <v>4609.12</v>
      </c>
      <c r="D940" s="181" t="n">
        <v>4595.126</v>
      </c>
      <c r="E940" s="181" t="n">
        <v>13.994</v>
      </c>
      <c r="F940" s="181" t="n">
        <v>195.8308</v>
      </c>
      <c r="G940" s="181" t="n">
        <v>857476</v>
      </c>
      <c r="H940" s="181" t="inlineStr"/>
      <c r="I940" s="181" t="inlineStr"/>
    </row>
    <row r="941" ht="15" customHeight="1" s="28">
      <c r="A941" s="182" t="n">
        <v>928</v>
      </c>
      <c r="B941" s="182" t="n">
        <v>927</v>
      </c>
      <c r="C941" s="182" t="n">
        <v>4607.62</v>
      </c>
      <c r="D941" s="182" t="n">
        <v>4594.8722</v>
      </c>
      <c r="E941" s="182" t="n">
        <v>12.7478</v>
      </c>
      <c r="F941" s="182" t="n">
        <v>162.5077</v>
      </c>
      <c r="G941" s="182" t="n">
        <v>859329</v>
      </c>
      <c r="H941" s="182" t="inlineStr"/>
      <c r="I941" s="182" t="inlineStr"/>
    </row>
    <row r="942" ht="15" customHeight="1" s="28">
      <c r="A942" s="181" t="n">
        <v>929</v>
      </c>
      <c r="B942" s="181" t="n">
        <v>928</v>
      </c>
      <c r="C942" s="181" t="n">
        <v>4615.95</v>
      </c>
      <c r="D942" s="181" t="n">
        <v>4594.6183</v>
      </c>
      <c r="E942" s="181" t="n">
        <v>21.3317</v>
      </c>
      <c r="F942" s="181" t="n">
        <v>455.0434</v>
      </c>
      <c r="G942" s="181" t="n">
        <v>861184</v>
      </c>
      <c r="H942" s="181" t="inlineStr"/>
      <c r="I942" s="181" t="inlineStr"/>
    </row>
    <row r="943" ht="15" customHeight="1" s="28">
      <c r="A943" s="182" t="n">
        <v>930</v>
      </c>
      <c r="B943" s="182" t="n">
        <v>929</v>
      </c>
      <c r="C943" s="182" t="n">
        <v>4618</v>
      </c>
      <c r="D943" s="182" t="n">
        <v>4594.3644</v>
      </c>
      <c r="E943" s="182" t="n">
        <v>23.6356</v>
      </c>
      <c r="F943" s="182" t="n">
        <v>558.6435</v>
      </c>
      <c r="G943" s="182" t="n">
        <v>863041</v>
      </c>
      <c r="H943" s="182" t="inlineStr"/>
      <c r="I943" s="182" t="inlineStr"/>
    </row>
    <row r="944" ht="15" customHeight="1" s="28">
      <c r="A944" s="181" t="n">
        <v>931</v>
      </c>
      <c r="B944" s="181" t="n">
        <v>930</v>
      </c>
      <c r="C944" s="181" t="n">
        <v>4617.86</v>
      </c>
      <c r="D944" s="181" t="n">
        <v>4594.1105</v>
      </c>
      <c r="E944" s="181" t="n">
        <v>23.7495</v>
      </c>
      <c r="F944" s="181" t="n">
        <v>564.0405</v>
      </c>
      <c r="G944" s="181" t="n">
        <v>864900</v>
      </c>
      <c r="H944" s="181" t="inlineStr"/>
      <c r="I944" s="181" t="inlineStr"/>
    </row>
    <row r="945" ht="15" customHeight="1" s="28">
      <c r="A945" s="182" t="n">
        <v>932</v>
      </c>
      <c r="B945" s="182" t="n">
        <v>931</v>
      </c>
      <c r="C945" s="182" t="n">
        <v>4616.86</v>
      </c>
      <c r="D945" s="182" t="n">
        <v>4593.8566</v>
      </c>
      <c r="E945" s="182" t="n">
        <v>23.0034</v>
      </c>
      <c r="F945" s="182" t="n">
        <v>529.1579</v>
      </c>
      <c r="G945" s="182" t="n">
        <v>866761</v>
      </c>
      <c r="H945" s="182" t="inlineStr"/>
      <c r="I945" s="182" t="inlineStr"/>
    </row>
    <row r="946" ht="15" customHeight="1" s="28">
      <c r="A946" s="181" t="n">
        <v>933</v>
      </c>
      <c r="B946" s="181" t="n">
        <v>932</v>
      </c>
      <c r="C946" s="181" t="n">
        <v>4620.57</v>
      </c>
      <c r="D946" s="181" t="n">
        <v>4593.6027</v>
      </c>
      <c r="E946" s="181" t="n">
        <v>26.9673</v>
      </c>
      <c r="F946" s="181" t="n">
        <v>727.2367</v>
      </c>
      <c r="G946" s="181" t="n">
        <v>868624</v>
      </c>
      <c r="H946" s="181" t="inlineStr"/>
      <c r="I946" s="181" t="inlineStr"/>
    </row>
    <row r="947" ht="15" customHeight="1" s="28">
      <c r="A947" s="182" t="n">
        <v>934</v>
      </c>
      <c r="B947" s="182" t="n">
        <v>933</v>
      </c>
      <c r="C947" s="182" t="n">
        <v>4620.79</v>
      </c>
      <c r="D947" s="182" t="n">
        <v>4593.3488</v>
      </c>
      <c r="E947" s="182" t="n">
        <v>27.4412</v>
      </c>
      <c r="F947" s="182" t="n">
        <v>753.0207</v>
      </c>
      <c r="G947" s="182" t="n">
        <v>870489</v>
      </c>
      <c r="H947" s="182" t="inlineStr"/>
      <c r="I947" s="182" t="inlineStr"/>
    </row>
    <row r="948" ht="15" customHeight="1" s="28">
      <c r="A948" s="181" t="n">
        <v>935</v>
      </c>
      <c r="B948" s="181" t="n">
        <v>934</v>
      </c>
      <c r="C948" s="181" t="n">
        <v>4620.7</v>
      </c>
      <c r="D948" s="181" t="n">
        <v>4593.0949</v>
      </c>
      <c r="E948" s="181" t="n">
        <v>27.6051</v>
      </c>
      <c r="F948" s="181" t="n">
        <v>762.0426</v>
      </c>
      <c r="G948" s="181" t="n">
        <v>872356</v>
      </c>
      <c r="H948" s="181" t="inlineStr"/>
      <c r="I948" s="181" t="inlineStr"/>
    </row>
    <row r="949" ht="15" customHeight="1" s="28">
      <c r="A949" s="182" t="n">
        <v>936</v>
      </c>
      <c r="B949" s="182" t="n">
        <v>935</v>
      </c>
      <c r="C949" s="182" t="n">
        <v>4622.48</v>
      </c>
      <c r="D949" s="182" t="n">
        <v>4592.841</v>
      </c>
      <c r="E949" s="182" t="n">
        <v>29.639</v>
      </c>
      <c r="F949" s="182" t="n">
        <v>878.4711</v>
      </c>
      <c r="G949" s="182" t="n">
        <v>874225</v>
      </c>
      <c r="H949" s="182" t="inlineStr"/>
      <c r="I949" s="182" t="inlineStr"/>
    </row>
    <row r="950" ht="15" customHeight="1" s="28">
      <c r="A950" s="181" t="n">
        <v>937</v>
      </c>
      <c r="B950" s="181" t="n">
        <v>936</v>
      </c>
      <c r="C950" s="181" t="n">
        <v>4624.33</v>
      </c>
      <c r="D950" s="181" t="n">
        <v>4592.5871</v>
      </c>
      <c r="E950" s="181" t="n">
        <v>31.7429</v>
      </c>
      <c r="F950" s="181" t="n">
        <v>1007.6123</v>
      </c>
      <c r="G950" s="181" t="n">
        <v>876096</v>
      </c>
      <c r="H950" s="181" t="inlineStr"/>
      <c r="I950" s="181" t="inlineStr"/>
    </row>
    <row r="951" ht="15" customHeight="1" s="28">
      <c r="A951" s="182" t="n">
        <v>938</v>
      </c>
      <c r="B951" s="182" t="n">
        <v>937</v>
      </c>
      <c r="C951" s="182" t="n">
        <v>4617.77</v>
      </c>
      <c r="D951" s="182" t="n">
        <v>4592.3332</v>
      </c>
      <c r="E951" s="182" t="n">
        <v>25.4368</v>
      </c>
      <c r="F951" s="182" t="n">
        <v>647.0309999999999</v>
      </c>
      <c r="G951" s="182" t="n">
        <v>877969</v>
      </c>
      <c r="H951" s="182" t="inlineStr"/>
      <c r="I951" s="182" t="inlineStr"/>
    </row>
    <row r="952" ht="15" customHeight="1" s="28">
      <c r="A952" s="181" t="n">
        <v>939</v>
      </c>
      <c r="B952" s="181" t="n">
        <v>938</v>
      </c>
      <c r="C952" s="181" t="n">
        <v>4622.49</v>
      </c>
      <c r="D952" s="181" t="n">
        <v>4592.0793</v>
      </c>
      <c r="E952" s="181" t="n">
        <v>30.4107</v>
      </c>
      <c r="F952" s="181" t="n">
        <v>924.8107</v>
      </c>
      <c r="G952" s="181" t="n">
        <v>879844</v>
      </c>
      <c r="H952" s="181" t="inlineStr"/>
      <c r="I952" s="181" t="inlineStr"/>
    </row>
    <row r="953" ht="15" customHeight="1" s="28">
      <c r="A953" s="182" t="n">
        <v>940</v>
      </c>
      <c r="B953" s="182" t="n">
        <v>939</v>
      </c>
      <c r="C953" s="182" t="n">
        <v>4617.07</v>
      </c>
      <c r="D953" s="182" t="n">
        <v>4591.8254</v>
      </c>
      <c r="E953" s="182" t="n">
        <v>25.2446</v>
      </c>
      <c r="F953" s="182" t="n">
        <v>637.2896</v>
      </c>
      <c r="G953" s="182" t="n">
        <v>881721</v>
      </c>
      <c r="H953" s="182" t="inlineStr"/>
      <c r="I953" s="182" t="inlineStr"/>
    </row>
    <row r="954" ht="15" customHeight="1" s="28">
      <c r="A954" s="181" t="n">
        <v>941</v>
      </c>
      <c r="B954" s="181" t="n">
        <v>940</v>
      </c>
      <c r="C954" s="181" t="n">
        <v>4616.16</v>
      </c>
      <c r="D954" s="181" t="n">
        <v>4591.5715</v>
      </c>
      <c r="E954" s="181" t="n">
        <v>24.5885</v>
      </c>
      <c r="F954" s="181" t="n">
        <v>604.5939</v>
      </c>
      <c r="G954" s="181" t="n">
        <v>883600</v>
      </c>
      <c r="H954" s="181" t="inlineStr"/>
      <c r="I954" s="181" t="inlineStr"/>
    </row>
    <row r="955" ht="15" customHeight="1" s="28">
      <c r="A955" s="182" t="n">
        <v>942</v>
      </c>
      <c r="B955" s="182" t="n">
        <v>941</v>
      </c>
      <c r="C955" s="182" t="n">
        <v>4616.72</v>
      </c>
      <c r="D955" s="182" t="n">
        <v>4591.3176</v>
      </c>
      <c r="E955" s="182" t="n">
        <v>25.4024</v>
      </c>
      <c r="F955" s="182" t="n">
        <v>645.2813</v>
      </c>
      <c r="G955" s="182" t="n">
        <v>885481</v>
      </c>
      <c r="H955" s="182" t="inlineStr"/>
      <c r="I955" s="182" t="inlineStr"/>
    </row>
    <row r="956" ht="15" customHeight="1" s="28">
      <c r="A956" s="181" t="n">
        <v>943</v>
      </c>
      <c r="B956" s="181" t="n">
        <v>942</v>
      </c>
      <c r="C956" s="181" t="n">
        <v>4617.33</v>
      </c>
      <c r="D956" s="181" t="n">
        <v>4591.0637</v>
      </c>
      <c r="E956" s="181" t="n">
        <v>26.2663</v>
      </c>
      <c r="F956" s="181" t="n">
        <v>689.9176</v>
      </c>
      <c r="G956" s="181" t="n">
        <v>887364</v>
      </c>
      <c r="H956" s="181" t="inlineStr"/>
      <c r="I956" s="181" t="inlineStr"/>
    </row>
    <row r="957" ht="15" customHeight="1" s="28">
      <c r="A957" s="182" t="n">
        <v>944</v>
      </c>
      <c r="B957" s="182" t="n">
        <v>943</v>
      </c>
      <c r="C957" s="182" t="n">
        <v>4621.81</v>
      </c>
      <c r="D957" s="182" t="n">
        <v>4590.8098</v>
      </c>
      <c r="E957" s="182" t="n">
        <v>31.0002</v>
      </c>
      <c r="F957" s="182" t="n">
        <v>961.011</v>
      </c>
      <c r="G957" s="182" t="n">
        <v>889249</v>
      </c>
      <c r="H957" s="182" t="inlineStr"/>
      <c r="I957" s="182" t="inlineStr"/>
    </row>
    <row r="958" ht="15" customHeight="1" s="28">
      <c r="A958" s="181" t="n">
        <v>945</v>
      </c>
      <c r="B958" s="181" t="n">
        <v>944</v>
      </c>
      <c r="C958" s="181" t="n">
        <v>4631.38</v>
      </c>
      <c r="D958" s="181" t="n">
        <v>4590.5559</v>
      </c>
      <c r="E958" s="181" t="n">
        <v>40.8241</v>
      </c>
      <c r="F958" s="181" t="n">
        <v>1666.605</v>
      </c>
      <c r="G958" s="181" t="n">
        <v>891136</v>
      </c>
      <c r="H958" s="181" t="inlineStr"/>
      <c r="I958" s="181" t="inlineStr"/>
    </row>
    <row r="959" ht="15" customHeight="1" s="28">
      <c r="A959" s="182" t="n">
        <v>946</v>
      </c>
      <c r="B959" s="182" t="n">
        <v>945</v>
      </c>
      <c r="C959" s="182" t="n">
        <v>4631.38</v>
      </c>
      <c r="D959" s="182" t="n">
        <v>4590.302</v>
      </c>
      <c r="E959" s="182" t="n">
        <v>41.078</v>
      </c>
      <c r="F959" s="182" t="n">
        <v>1687.3995</v>
      </c>
      <c r="G959" s="182" t="n">
        <v>893025</v>
      </c>
      <c r="H959" s="182" t="inlineStr"/>
      <c r="I959" s="182" t="inlineStr"/>
    </row>
    <row r="960" ht="15" customHeight="1" s="28">
      <c r="A960" s="181" t="n">
        <v>947</v>
      </c>
      <c r="B960" s="181" t="n">
        <v>946</v>
      </c>
      <c r="C960" s="181" t="n">
        <v>4631.75</v>
      </c>
      <c r="D960" s="181" t="n">
        <v>4590.0481</v>
      </c>
      <c r="E960" s="181" t="n">
        <v>41.7019</v>
      </c>
      <c r="F960" s="181" t="n">
        <v>1739.0455</v>
      </c>
      <c r="G960" s="181" t="n">
        <v>894916</v>
      </c>
      <c r="H960" s="181" t="inlineStr"/>
      <c r="I960" s="181" t="inlineStr"/>
    </row>
    <row r="961" ht="15" customHeight="1" s="28">
      <c r="A961" s="182" t="n">
        <v>948</v>
      </c>
      <c r="B961" s="182" t="n">
        <v>947</v>
      </c>
      <c r="C961" s="182" t="n">
        <v>4630.51</v>
      </c>
      <c r="D961" s="182" t="n">
        <v>4589.7942</v>
      </c>
      <c r="E961" s="182" t="n">
        <v>40.7158</v>
      </c>
      <c r="F961" s="182" t="n">
        <v>1657.7731</v>
      </c>
      <c r="G961" s="182" t="n">
        <v>896809</v>
      </c>
      <c r="H961" s="182" t="inlineStr"/>
      <c r="I961" s="182" t="inlineStr"/>
    </row>
    <row r="962" ht="15" customHeight="1" s="28">
      <c r="A962" s="181" t="n">
        <v>949</v>
      </c>
      <c r="B962" s="181" t="n">
        <v>948</v>
      </c>
      <c r="C962" s="181" t="n">
        <v>4630.26</v>
      </c>
      <c r="D962" s="181" t="n">
        <v>4589.5403</v>
      </c>
      <c r="E962" s="181" t="n">
        <v>40.7197</v>
      </c>
      <c r="F962" s="181" t="n">
        <v>1658.0903</v>
      </c>
      <c r="G962" s="181" t="n">
        <v>898704</v>
      </c>
      <c r="H962" s="181" t="inlineStr"/>
      <c r="I962" s="181" t="inlineStr"/>
    </row>
    <row r="963" ht="15" customHeight="1" s="28">
      <c r="A963" s="182" t="n">
        <v>950</v>
      </c>
      <c r="B963" s="182" t="n">
        <v>949</v>
      </c>
      <c r="C963" s="182" t="n">
        <v>4630.75</v>
      </c>
      <c r="D963" s="182" t="n">
        <v>4589.2864</v>
      </c>
      <c r="E963" s="182" t="n">
        <v>41.4636</v>
      </c>
      <c r="F963" s="182" t="n">
        <v>1719.226</v>
      </c>
      <c r="G963" s="182" t="n">
        <v>900601</v>
      </c>
      <c r="H963" s="182" t="inlineStr"/>
      <c r="I963" s="182" t="inlineStr"/>
    </row>
    <row r="964" ht="15" customHeight="1" s="28">
      <c r="A964" s="181" t="n">
        <v>951</v>
      </c>
      <c r="B964" s="181" t="n">
        <v>950</v>
      </c>
      <c r="C964" s="181" t="n">
        <v>4631.31</v>
      </c>
      <c r="D964" s="181" t="n">
        <v>4589.0326</v>
      </c>
      <c r="E964" s="181" t="n">
        <v>42.2774</v>
      </c>
      <c r="F964" s="181" t="n">
        <v>1787.3825</v>
      </c>
      <c r="G964" s="181" t="n">
        <v>902500</v>
      </c>
      <c r="H964" s="181" t="inlineStr"/>
      <c r="I964" s="181" t="inlineStr"/>
    </row>
    <row r="965" ht="15" customHeight="1" s="28">
      <c r="A965" s="182" t="n">
        <v>952</v>
      </c>
      <c r="B965" s="182" t="n">
        <v>951</v>
      </c>
      <c r="C965" s="182" t="n">
        <v>4626.71</v>
      </c>
      <c r="D965" s="182" t="n">
        <v>4588.7787</v>
      </c>
      <c r="E965" s="182" t="n">
        <v>37.9313</v>
      </c>
      <c r="F965" s="182" t="n">
        <v>1438.7867</v>
      </c>
      <c r="G965" s="182" t="n">
        <v>904401</v>
      </c>
      <c r="H965" s="182" t="inlineStr"/>
      <c r="I965" s="182" t="inlineStr"/>
    </row>
    <row r="966" ht="15" customHeight="1" s="28">
      <c r="A966" s="181" t="n">
        <v>953</v>
      </c>
      <c r="B966" s="181" t="n">
        <v>952</v>
      </c>
      <c r="C966" s="181" t="n">
        <v>4622.55</v>
      </c>
      <c r="D966" s="181" t="n">
        <v>4588.5248</v>
      </c>
      <c r="E966" s="181" t="n">
        <v>34.0252</v>
      </c>
      <c r="F966" s="181" t="n">
        <v>1157.7168</v>
      </c>
      <c r="G966" s="181" t="n">
        <v>906304</v>
      </c>
      <c r="H966" s="181" t="inlineStr"/>
      <c r="I966" s="181" t="inlineStr"/>
    </row>
    <row r="967" ht="15" customHeight="1" s="28">
      <c r="A967" s="182" t="n">
        <v>954</v>
      </c>
      <c r="B967" s="182" t="n">
        <v>953</v>
      </c>
      <c r="C967" s="182" t="n">
        <v>4623.65</v>
      </c>
      <c r="D967" s="182" t="n">
        <v>4588.2709</v>
      </c>
      <c r="E967" s="182" t="n">
        <v>35.3791</v>
      </c>
      <c r="F967" s="182" t="n">
        <v>1251.683</v>
      </c>
      <c r="G967" s="182" t="n">
        <v>908209</v>
      </c>
      <c r="H967" s="182" t="inlineStr"/>
      <c r="I967" s="182" t="inlineStr"/>
    </row>
    <row r="968" ht="15" customHeight="1" s="28">
      <c r="A968" s="181" t="n">
        <v>955</v>
      </c>
      <c r="B968" s="181" t="n">
        <v>954</v>
      </c>
      <c r="C968" s="181" t="n">
        <v>4620.9</v>
      </c>
      <c r="D968" s="181" t="n">
        <v>4588.017</v>
      </c>
      <c r="E968" s="181" t="n">
        <v>32.883</v>
      </c>
      <c r="F968" s="181" t="n">
        <v>1081.2935</v>
      </c>
      <c r="G968" s="181" t="n">
        <v>910116</v>
      </c>
      <c r="H968" s="181" t="inlineStr"/>
      <c r="I968" s="181" t="inlineStr"/>
    </row>
    <row r="969" ht="15" customHeight="1" s="28">
      <c r="A969" s="182" t="n">
        <v>956</v>
      </c>
      <c r="B969" s="182" t="n">
        <v>955</v>
      </c>
      <c r="C969" s="182" t="n">
        <v>4620.02</v>
      </c>
      <c r="D969" s="182" t="n">
        <v>4587.7631</v>
      </c>
      <c r="E969" s="182" t="n">
        <v>32.2569</v>
      </c>
      <c r="F969" s="182" t="n">
        <v>1040.5091</v>
      </c>
      <c r="G969" s="182" t="n">
        <v>912025</v>
      </c>
      <c r="H969" s="182" t="inlineStr"/>
      <c r="I969" s="182" t="inlineStr"/>
    </row>
    <row r="970" ht="15" customHeight="1" s="28">
      <c r="A970" s="181" t="n">
        <v>957</v>
      </c>
      <c r="B970" s="181" t="n">
        <v>956</v>
      </c>
      <c r="C970" s="181" t="n">
        <v>4618.7</v>
      </c>
      <c r="D970" s="181" t="n">
        <v>4587.5092</v>
      </c>
      <c r="E970" s="181" t="n">
        <v>31.1908</v>
      </c>
      <c r="F970" s="181" t="n">
        <v>972.8672</v>
      </c>
      <c r="G970" s="181" t="n">
        <v>913936</v>
      </c>
      <c r="H970" s="181" t="inlineStr"/>
      <c r="I970" s="181" t="inlineStr"/>
    </row>
    <row r="971" ht="15" customHeight="1" s="28">
      <c r="A971" s="182" t="n">
        <v>958</v>
      </c>
      <c r="B971" s="182" t="n">
        <v>957</v>
      </c>
      <c r="C971" s="182" t="n">
        <v>4616.68</v>
      </c>
      <c r="D971" s="182" t="n">
        <v>4587.2553</v>
      </c>
      <c r="E971" s="182" t="n">
        <v>29.4247</v>
      </c>
      <c r="F971" s="182" t="n">
        <v>865.8138</v>
      </c>
      <c r="G971" s="182" t="n">
        <v>915849</v>
      </c>
      <c r="H971" s="182" t="inlineStr"/>
      <c r="I971" s="182" t="inlineStr"/>
    </row>
    <row r="972" ht="15" customHeight="1" s="28">
      <c r="A972" s="181" t="n">
        <v>959</v>
      </c>
      <c r="B972" s="181" t="n">
        <v>958</v>
      </c>
      <c r="C972" s="181" t="n">
        <v>4620.2</v>
      </c>
      <c r="D972" s="181" t="n">
        <v>4587.0014</v>
      </c>
      <c r="E972" s="181" t="n">
        <v>33.1986</v>
      </c>
      <c r="F972" s="181" t="n">
        <v>1102.1477</v>
      </c>
      <c r="G972" s="181" t="n">
        <v>917764</v>
      </c>
      <c r="H972" s="181" t="inlineStr"/>
      <c r="I972" s="181" t="inlineStr"/>
    </row>
    <row r="973" ht="15" customHeight="1" s="28">
      <c r="A973" s="182" t="n">
        <v>960</v>
      </c>
      <c r="B973" s="182" t="n">
        <v>959</v>
      </c>
      <c r="C973" s="182" t="n">
        <v>4621.05</v>
      </c>
      <c r="D973" s="182" t="n">
        <v>4586.7475</v>
      </c>
      <c r="E973" s="182" t="n">
        <v>34.3025</v>
      </c>
      <c r="F973" s="182" t="n">
        <v>1176.6619</v>
      </c>
      <c r="G973" s="182" t="n">
        <v>919681</v>
      </c>
      <c r="H973" s="182" t="inlineStr"/>
      <c r="I973" s="182" t="inlineStr"/>
    </row>
    <row r="974" ht="15" customHeight="1" s="28">
      <c r="A974" s="181" t="n">
        <v>961</v>
      </c>
      <c r="B974" s="181" t="n">
        <v>960</v>
      </c>
      <c r="C974" s="181" t="n">
        <v>4630.89</v>
      </c>
      <c r="D974" s="181" t="n">
        <v>4586.4936</v>
      </c>
      <c r="E974" s="181" t="n">
        <v>44.3964</v>
      </c>
      <c r="F974" s="181" t="n">
        <v>1971.0404</v>
      </c>
      <c r="G974" s="181" t="n">
        <v>921600</v>
      </c>
      <c r="H974" s="181" t="inlineStr"/>
      <c r="I974" s="181" t="inlineStr"/>
    </row>
    <row r="975" ht="15" customHeight="1" s="28">
      <c r="A975" s="182" t="n">
        <v>962</v>
      </c>
      <c r="B975" s="182" t="n">
        <v>961</v>
      </c>
      <c r="C975" s="182" t="n">
        <v>4629.39</v>
      </c>
      <c r="D975" s="182" t="n">
        <v>4586.2397</v>
      </c>
      <c r="E975" s="182" t="n">
        <v>43.1503</v>
      </c>
      <c r="F975" s="182" t="n">
        <v>1861.9481</v>
      </c>
      <c r="G975" s="182" t="n">
        <v>923521</v>
      </c>
      <c r="H975" s="182" t="inlineStr"/>
      <c r="I975" s="182" t="inlineStr"/>
    </row>
    <row r="976" ht="15" customHeight="1" s="28">
      <c r="A976" s="181" t="n">
        <v>963</v>
      </c>
      <c r="B976" s="181" t="n">
        <v>962</v>
      </c>
      <c r="C976" s="181" t="n">
        <v>4624.38</v>
      </c>
      <c r="D976" s="181" t="n">
        <v>4585.9858</v>
      </c>
      <c r="E976" s="181" t="n">
        <v>38.3942</v>
      </c>
      <c r="F976" s="181" t="n">
        <v>1474.114</v>
      </c>
      <c r="G976" s="181" t="n">
        <v>925444</v>
      </c>
      <c r="H976" s="181" t="inlineStr"/>
      <c r="I976" s="181" t="inlineStr"/>
    </row>
    <row r="977" ht="15" customHeight="1" s="28">
      <c r="A977" s="182" t="n">
        <v>964</v>
      </c>
      <c r="B977" s="182" t="n">
        <v>963</v>
      </c>
      <c r="C977" s="182" t="n">
        <v>4619.15</v>
      </c>
      <c r="D977" s="182" t="n">
        <v>4585.7319</v>
      </c>
      <c r="E977" s="182" t="n">
        <v>33.4181</v>
      </c>
      <c r="F977" s="182" t="n">
        <v>1116.7686</v>
      </c>
      <c r="G977" s="182" t="n">
        <v>927369</v>
      </c>
      <c r="H977" s="182" t="inlineStr"/>
      <c r="I977" s="182" t="inlineStr"/>
    </row>
    <row r="978" ht="15" customHeight="1" s="28">
      <c r="A978" s="181" t="n">
        <v>965</v>
      </c>
      <c r="B978" s="181" t="n">
        <v>964</v>
      </c>
      <c r="C978" s="181" t="n">
        <v>4620.85</v>
      </c>
      <c r="D978" s="181" t="n">
        <v>4585.478</v>
      </c>
      <c r="E978" s="181" t="n">
        <v>35.372</v>
      </c>
      <c r="F978" s="181" t="n">
        <v>1251.1772</v>
      </c>
      <c r="G978" s="181" t="n">
        <v>929296</v>
      </c>
      <c r="H978" s="181" t="inlineStr"/>
      <c r="I978" s="181" t="inlineStr"/>
    </row>
    <row r="979" ht="15" customHeight="1" s="28">
      <c r="A979" s="182" t="n">
        <v>966</v>
      </c>
      <c r="B979" s="182" t="n">
        <v>965</v>
      </c>
      <c r="C979" s="182" t="n">
        <v>4626.13</v>
      </c>
      <c r="D979" s="182" t="n">
        <v>4585.2241</v>
      </c>
      <c r="E979" s="182" t="n">
        <v>40.9059</v>
      </c>
      <c r="F979" s="182" t="n">
        <v>1673.2909</v>
      </c>
      <c r="G979" s="182" t="n">
        <v>931225</v>
      </c>
      <c r="H979" s="182" t="inlineStr"/>
      <c r="I979" s="182" t="inlineStr"/>
    </row>
    <row r="980" ht="15" customHeight="1" s="28">
      <c r="A980" s="181" t="n">
        <v>967</v>
      </c>
      <c r="B980" s="181" t="n">
        <v>966</v>
      </c>
      <c r="C980" s="181" t="n">
        <v>4626.21</v>
      </c>
      <c r="D980" s="181" t="n">
        <v>4584.9702</v>
      </c>
      <c r="E980" s="181" t="n">
        <v>41.2398</v>
      </c>
      <c r="F980" s="181" t="n">
        <v>1700.719</v>
      </c>
      <c r="G980" s="181" t="n">
        <v>933156</v>
      </c>
      <c r="H980" s="181" t="inlineStr"/>
      <c r="I980" s="181" t="inlineStr"/>
    </row>
    <row r="981" ht="15" customHeight="1" s="28">
      <c r="A981" s="182" t="n">
        <v>968</v>
      </c>
      <c r="B981" s="182" t="n">
        <v>967</v>
      </c>
      <c r="C981" s="182" t="n">
        <v>4626.67</v>
      </c>
      <c r="D981" s="182" t="n">
        <v>4584.7163</v>
      </c>
      <c r="E981" s="182" t="n">
        <v>41.9537</v>
      </c>
      <c r="F981" s="182" t="n">
        <v>1760.1104</v>
      </c>
      <c r="G981" s="182" t="n">
        <v>935089</v>
      </c>
      <c r="H981" s="182" t="inlineStr"/>
      <c r="I981" s="182" t="inlineStr"/>
    </row>
    <row r="982" ht="15" customHeight="1" s="28">
      <c r="A982" s="181" t="n">
        <v>969</v>
      </c>
      <c r="B982" s="181" t="n">
        <v>968</v>
      </c>
      <c r="C982" s="181" t="n">
        <v>4621.93</v>
      </c>
      <c r="D982" s="181" t="n">
        <v>4584.4624</v>
      </c>
      <c r="E982" s="181" t="n">
        <v>37.4676</v>
      </c>
      <c r="F982" s="181" t="n">
        <v>1403.8184</v>
      </c>
      <c r="G982" s="181" t="n">
        <v>937024</v>
      </c>
      <c r="H982" s="181" t="inlineStr"/>
      <c r="I982" s="181" t="inlineStr"/>
    </row>
    <row r="983" ht="15" customHeight="1" s="28">
      <c r="A983" s="182" t="n">
        <v>970</v>
      </c>
      <c r="B983" s="182" t="n">
        <v>969</v>
      </c>
      <c r="C983" s="182" t="n">
        <v>4617.53</v>
      </c>
      <c r="D983" s="182" t="n">
        <v>4584.2085</v>
      </c>
      <c r="E983" s="182" t="n">
        <v>33.3215</v>
      </c>
      <c r="F983" s="182" t="n">
        <v>1110.3197</v>
      </c>
      <c r="G983" s="182" t="n">
        <v>938961</v>
      </c>
      <c r="H983" s="182" t="inlineStr"/>
      <c r="I983" s="182" t="inlineStr"/>
    </row>
    <row r="984" ht="15" customHeight="1" s="28">
      <c r="A984" s="181" t="n">
        <v>971</v>
      </c>
      <c r="B984" s="181" t="n">
        <v>970</v>
      </c>
      <c r="C984" s="181" t="n">
        <v>4613.51</v>
      </c>
      <c r="D984" s="181" t="n">
        <v>4583.9546</v>
      </c>
      <c r="E984" s="181" t="n">
        <v>29.5554</v>
      </c>
      <c r="F984" s="181" t="n">
        <v>873.5191</v>
      </c>
      <c r="G984" s="181" t="n">
        <v>940900</v>
      </c>
      <c r="H984" s="181" t="inlineStr"/>
      <c r="I984" s="181" t="inlineStr"/>
    </row>
    <row r="985" ht="15" customHeight="1" s="28">
      <c r="A985" s="182" t="n">
        <v>972</v>
      </c>
      <c r="B985" s="182" t="n">
        <v>971</v>
      </c>
      <c r="C985" s="182" t="n">
        <v>4609.18</v>
      </c>
      <c r="D985" s="182" t="n">
        <v>4583.7007</v>
      </c>
      <c r="E985" s="182" t="n">
        <v>25.4793</v>
      </c>
      <c r="F985" s="182" t="n">
        <v>649.1923</v>
      </c>
      <c r="G985" s="182" t="n">
        <v>942841</v>
      </c>
      <c r="H985" s="182" t="inlineStr"/>
      <c r="I985" s="182" t="inlineStr"/>
    </row>
    <row r="986" ht="15" customHeight="1" s="28">
      <c r="A986" s="181" t="n">
        <v>973</v>
      </c>
      <c r="B986" s="181" t="n">
        <v>972</v>
      </c>
      <c r="C986" s="181" t="n">
        <v>4614.29</v>
      </c>
      <c r="D986" s="181" t="n">
        <v>4583.4469</v>
      </c>
      <c r="E986" s="181" t="n">
        <v>30.8431</v>
      </c>
      <c r="F986" s="181" t="n">
        <v>951.2997</v>
      </c>
      <c r="G986" s="181" t="n">
        <v>944784</v>
      </c>
      <c r="H986" s="181" t="inlineStr"/>
      <c r="I986" s="181" t="inlineStr"/>
    </row>
    <row r="987" ht="15" customHeight="1" s="28">
      <c r="A987" s="182" t="n">
        <v>974</v>
      </c>
      <c r="B987" s="182" t="n">
        <v>973</v>
      </c>
      <c r="C987" s="182" t="n">
        <v>4614.64</v>
      </c>
      <c r="D987" s="182" t="n">
        <v>4583.193</v>
      </c>
      <c r="E987" s="182" t="n">
        <v>31.447</v>
      </c>
      <c r="F987" s="182" t="n">
        <v>988.9165</v>
      </c>
      <c r="G987" s="182" t="n">
        <v>946729</v>
      </c>
      <c r="H987" s="182" t="inlineStr"/>
      <c r="I987" s="182" t="inlineStr"/>
    </row>
    <row r="988" ht="15" customHeight="1" s="28">
      <c r="A988" s="181" t="n">
        <v>975</v>
      </c>
      <c r="B988" s="181" t="n">
        <v>974</v>
      </c>
      <c r="C988" s="181" t="n">
        <v>4610</v>
      </c>
      <c r="D988" s="181" t="n">
        <v>4582.9391</v>
      </c>
      <c r="E988" s="181" t="n">
        <v>27.0609</v>
      </c>
      <c r="F988" s="181" t="n">
        <v>732.2944</v>
      </c>
      <c r="G988" s="181" t="n">
        <v>948676</v>
      </c>
      <c r="H988" s="181" t="inlineStr"/>
      <c r="I988" s="181" t="inlineStr"/>
    </row>
    <row r="989" ht="15" customHeight="1" s="28">
      <c r="A989" s="182" t="n">
        <v>976</v>
      </c>
      <c r="B989" s="182" t="n">
        <v>975</v>
      </c>
      <c r="C989" s="182" t="n">
        <v>4605.03</v>
      </c>
      <c r="D989" s="182" t="n">
        <v>4582.6852</v>
      </c>
      <c r="E989" s="182" t="n">
        <v>22.3448</v>
      </c>
      <c r="F989" s="182" t="n">
        <v>499.2916</v>
      </c>
      <c r="G989" s="182" t="n">
        <v>950625</v>
      </c>
      <c r="H989" s="182" t="inlineStr"/>
      <c r="I989" s="182" t="inlineStr"/>
    </row>
    <row r="990" ht="15" customHeight="1" s="28">
      <c r="A990" s="181" t="n">
        <v>977</v>
      </c>
      <c r="B990" s="181" t="n">
        <v>976</v>
      </c>
      <c r="C990" s="181" t="n">
        <v>4601.49</v>
      </c>
      <c r="D990" s="181" t="n">
        <v>4582.4313</v>
      </c>
      <c r="E990" s="181" t="n">
        <v>19.0587</v>
      </c>
      <c r="F990" s="181" t="n">
        <v>363.2352</v>
      </c>
      <c r="G990" s="181" t="n">
        <v>952576</v>
      </c>
      <c r="H990" s="181" t="inlineStr"/>
      <c r="I990" s="181" t="inlineStr"/>
    </row>
    <row r="991" ht="15" customHeight="1" s="28">
      <c r="A991" s="182" t="n">
        <v>978</v>
      </c>
      <c r="B991" s="182" t="n">
        <v>977</v>
      </c>
      <c r="C991" s="182" t="n">
        <v>4593.44</v>
      </c>
      <c r="D991" s="182" t="n">
        <v>4582.1774</v>
      </c>
      <c r="E991" s="182" t="n">
        <v>11.2626</v>
      </c>
      <c r="F991" s="182" t="n">
        <v>126.8467</v>
      </c>
      <c r="G991" s="182" t="n">
        <v>954529</v>
      </c>
      <c r="H991" s="182" t="inlineStr"/>
      <c r="I991" s="182" t="inlineStr"/>
    </row>
    <row r="992" ht="15" customHeight="1" s="28">
      <c r="A992" s="181" t="n">
        <v>979</v>
      </c>
      <c r="B992" s="181" t="n">
        <v>978</v>
      </c>
      <c r="C992" s="181" t="n">
        <v>4593.36</v>
      </c>
      <c r="D992" s="181" t="n">
        <v>4581.9235</v>
      </c>
      <c r="E992" s="181" t="n">
        <v>11.4365</v>
      </c>
      <c r="F992" s="181" t="n">
        <v>130.794</v>
      </c>
      <c r="G992" s="181" t="n">
        <v>956484</v>
      </c>
      <c r="H992" s="181" t="inlineStr"/>
      <c r="I992" s="181" t="inlineStr"/>
    </row>
    <row r="993" ht="15" customHeight="1" s="28">
      <c r="A993" s="182" t="n">
        <v>980</v>
      </c>
      <c r="B993" s="182" t="n">
        <v>979</v>
      </c>
      <c r="C993" s="182" t="n">
        <v>4594.77</v>
      </c>
      <c r="D993" s="182" t="n">
        <v>4581.6696</v>
      </c>
      <c r="E993" s="182" t="n">
        <v>13.1004</v>
      </c>
      <c r="F993" s="182" t="n">
        <v>171.6209</v>
      </c>
      <c r="G993" s="182" t="n">
        <v>958441</v>
      </c>
      <c r="H993" s="182" t="inlineStr"/>
      <c r="I993" s="182" t="inlineStr"/>
    </row>
    <row r="994" ht="15" customHeight="1" s="28">
      <c r="A994" s="181" t="n">
        <v>981</v>
      </c>
      <c r="B994" s="181" t="n">
        <v>980</v>
      </c>
      <c r="C994" s="181" t="n">
        <v>4595.97</v>
      </c>
      <c r="D994" s="181" t="n">
        <v>4581.4157</v>
      </c>
      <c r="E994" s="181" t="n">
        <v>14.5543</v>
      </c>
      <c r="F994" s="181" t="n">
        <v>211.828</v>
      </c>
      <c r="G994" s="181" t="n">
        <v>960400</v>
      </c>
      <c r="H994" s="181" t="inlineStr"/>
      <c r="I994" s="181" t="inlineStr"/>
    </row>
    <row r="995" ht="15" customHeight="1" s="28">
      <c r="A995" s="182" t="n">
        <v>982</v>
      </c>
      <c r="B995" s="182" t="n">
        <v>981</v>
      </c>
      <c r="C995" s="182" t="n">
        <v>4592.32</v>
      </c>
      <c r="D995" s="182" t="n">
        <v>4581.1618</v>
      </c>
      <c r="E995" s="182" t="n">
        <v>11.1582</v>
      </c>
      <c r="F995" s="182" t="n">
        <v>124.5056</v>
      </c>
      <c r="G995" s="182" t="n">
        <v>962361</v>
      </c>
      <c r="H995" s="182" t="inlineStr"/>
      <c r="I995" s="182" t="inlineStr"/>
    </row>
    <row r="996" ht="15" customHeight="1" s="28">
      <c r="A996" s="181" t="n">
        <v>983</v>
      </c>
      <c r="B996" s="181" t="n">
        <v>982</v>
      </c>
      <c r="C996" s="181" t="n">
        <v>4585.41</v>
      </c>
      <c r="D996" s="181" t="n">
        <v>4580.9079</v>
      </c>
      <c r="E996" s="181" t="n">
        <v>4.5021</v>
      </c>
      <c r="F996" s="181" t="n">
        <v>20.2689</v>
      </c>
      <c r="G996" s="181" t="n">
        <v>964324</v>
      </c>
      <c r="H996" s="181" t="inlineStr"/>
      <c r="I996" s="181" t="inlineStr"/>
    </row>
    <row r="997" ht="15" customHeight="1" s="28">
      <c r="A997" s="182" t="n">
        <v>984</v>
      </c>
      <c r="B997" s="182" t="n">
        <v>983</v>
      </c>
      <c r="C997" s="182" t="n">
        <v>4578.16</v>
      </c>
      <c r="D997" s="182" t="n">
        <v>4580.654</v>
      </c>
      <c r="E997" s="182" t="n">
        <v>-2.494</v>
      </c>
      <c r="F997" s="182" t="n">
        <v>6.22</v>
      </c>
      <c r="G997" s="182" t="n">
        <v>966289</v>
      </c>
      <c r="H997" s="182" t="inlineStr"/>
      <c r="I997" s="182" t="inlineStr"/>
    </row>
    <row r="998" ht="15" customHeight="1" s="28">
      <c r="A998" s="181" t="n">
        <v>985</v>
      </c>
      <c r="B998" s="181" t="n">
        <v>984</v>
      </c>
      <c r="C998" s="181" t="n">
        <v>4574.06</v>
      </c>
      <c r="D998" s="181" t="n">
        <v>4580.4001</v>
      </c>
      <c r="E998" s="181" t="n">
        <v>-6.3401</v>
      </c>
      <c r="F998" s="181" t="n">
        <v>40.197</v>
      </c>
      <c r="G998" s="181" t="n">
        <v>968256</v>
      </c>
      <c r="H998" s="181" t="inlineStr"/>
      <c r="I998" s="181" t="inlineStr"/>
    </row>
    <row r="999" ht="15" customHeight="1" s="28">
      <c r="A999" s="182" t="n">
        <v>986</v>
      </c>
      <c r="B999" s="182" t="n">
        <v>985</v>
      </c>
      <c r="C999" s="182" t="n">
        <v>4567.37</v>
      </c>
      <c r="D999" s="182" t="n">
        <v>4580.1462</v>
      </c>
      <c r="E999" s="182" t="n">
        <v>-12.7762</v>
      </c>
      <c r="F999" s="182" t="n">
        <v>163.2316</v>
      </c>
      <c r="G999" s="182" t="n">
        <v>970225</v>
      </c>
      <c r="H999" s="182" t="inlineStr"/>
      <c r="I999" s="182" t="inlineStr"/>
    </row>
    <row r="1000" ht="15" customHeight="1" s="28">
      <c r="A1000" s="181" t="n">
        <v>987</v>
      </c>
      <c r="B1000" s="181" t="n">
        <v>986</v>
      </c>
      <c r="C1000" s="181" t="n">
        <v>4571.29</v>
      </c>
      <c r="D1000" s="181" t="n">
        <v>4579.8923</v>
      </c>
      <c r="E1000" s="181" t="n">
        <v>-8.6023</v>
      </c>
      <c r="F1000" s="181" t="n">
        <v>73.99979999999999</v>
      </c>
      <c r="G1000" s="181" t="n">
        <v>972196</v>
      </c>
      <c r="H1000" s="181" t="inlineStr"/>
      <c r="I1000" s="181" t="inlineStr"/>
    </row>
    <row r="1001" ht="15" customHeight="1" s="28">
      <c r="A1001" s="182" t="n">
        <v>988</v>
      </c>
      <c r="B1001" s="182" t="n">
        <v>987</v>
      </c>
      <c r="C1001" s="182" t="n">
        <v>4568.51</v>
      </c>
      <c r="D1001" s="182" t="n">
        <v>4579.6384</v>
      </c>
      <c r="E1001" s="182" t="n">
        <v>-11.1284</v>
      </c>
      <c r="F1001" s="182" t="n">
        <v>123.8417</v>
      </c>
      <c r="G1001" s="182" t="n">
        <v>974169</v>
      </c>
      <c r="H1001" s="182" t="inlineStr"/>
      <c r="I1001" s="182" t="inlineStr"/>
    </row>
    <row r="1002" ht="15" customHeight="1" s="28">
      <c r="A1002" s="181" t="n">
        <v>989</v>
      </c>
      <c r="B1002" s="181" t="n">
        <v>988</v>
      </c>
      <c r="C1002" s="181" t="n">
        <v>4565.87</v>
      </c>
      <c r="D1002" s="181" t="n">
        <v>4579.3845</v>
      </c>
      <c r="E1002" s="181" t="n">
        <v>-13.5145</v>
      </c>
      <c r="F1002" s="181" t="n">
        <v>182.6424</v>
      </c>
      <c r="G1002" s="181" t="n">
        <v>976144</v>
      </c>
      <c r="H1002" s="181" t="inlineStr"/>
      <c r="I1002" s="181" t="inlineStr"/>
    </row>
    <row r="1003" ht="15" customHeight="1" s="28">
      <c r="A1003" s="182" t="n">
        <v>990</v>
      </c>
      <c r="B1003" s="182" t="n">
        <v>989</v>
      </c>
      <c r="C1003" s="182" t="n">
        <v>4569.29</v>
      </c>
      <c r="D1003" s="182" t="n">
        <v>4579.1306</v>
      </c>
      <c r="E1003" s="182" t="n">
        <v>-9.8406</v>
      </c>
      <c r="F1003" s="182" t="n">
        <v>96.83799999999999</v>
      </c>
      <c r="G1003" s="182" t="n">
        <v>978121</v>
      </c>
      <c r="H1003" s="182" t="inlineStr"/>
      <c r="I1003" s="182" t="inlineStr"/>
    </row>
    <row r="1004" ht="15" customHeight="1" s="28">
      <c r="A1004" s="181" t="n">
        <v>991</v>
      </c>
      <c r="B1004" s="181" t="n">
        <v>990</v>
      </c>
      <c r="C1004" s="181" t="n">
        <v>4570.62</v>
      </c>
      <c r="D1004" s="181" t="n">
        <v>4578.8767</v>
      </c>
      <c r="E1004" s="181" t="n">
        <v>-8.2567</v>
      </c>
      <c r="F1004" s="181" t="n">
        <v>68.1737</v>
      </c>
      <c r="G1004" s="181" t="n">
        <v>980100</v>
      </c>
      <c r="H1004" s="181" t="inlineStr"/>
      <c r="I1004" s="181" t="inlineStr"/>
    </row>
    <row r="1005" ht="15" customHeight="1" s="28">
      <c r="A1005" s="182" t="n">
        <v>992</v>
      </c>
      <c r="B1005" s="182" t="n">
        <v>991</v>
      </c>
      <c r="C1005" s="182" t="n">
        <v>4563.12</v>
      </c>
      <c r="D1005" s="182" t="n">
        <v>4578.6228</v>
      </c>
      <c r="E1005" s="182" t="n">
        <v>-15.5028</v>
      </c>
      <c r="F1005" s="182" t="n">
        <v>240.338</v>
      </c>
      <c r="G1005" s="182" t="n">
        <v>982081</v>
      </c>
      <c r="H1005" s="182" t="inlineStr"/>
      <c r="I1005" s="182" t="inlineStr"/>
    </row>
    <row r="1006" ht="15" customHeight="1" s="28">
      <c r="A1006" s="181" t="n">
        <v>993</v>
      </c>
      <c r="B1006" s="181" t="n">
        <v>992</v>
      </c>
      <c r="C1006" s="181" t="n">
        <v>4566.78</v>
      </c>
      <c r="D1006" s="181" t="n">
        <v>4578.3689</v>
      </c>
      <c r="E1006" s="181" t="n">
        <v>-11.5889</v>
      </c>
      <c r="F1006" s="181" t="n">
        <v>134.3036</v>
      </c>
      <c r="G1006" s="181" t="n">
        <v>984064</v>
      </c>
      <c r="H1006" s="181" t="inlineStr"/>
      <c r="I1006" s="181" t="inlineStr"/>
    </row>
    <row r="1007" ht="15" customHeight="1" s="28">
      <c r="A1007" s="182" t="n">
        <v>994</v>
      </c>
      <c r="B1007" s="182" t="n">
        <v>993</v>
      </c>
      <c r="C1007" s="182" t="n">
        <v>4572.18</v>
      </c>
      <c r="D1007" s="182" t="n">
        <v>4578.115</v>
      </c>
      <c r="E1007" s="182" t="n">
        <v>-5.935</v>
      </c>
      <c r="F1007" s="182" t="n">
        <v>35.2248</v>
      </c>
      <c r="G1007" s="182" t="n">
        <v>986049</v>
      </c>
      <c r="H1007" s="182" t="inlineStr"/>
      <c r="I1007" s="182" t="inlineStr"/>
    </row>
    <row r="1008" ht="15" customHeight="1" s="28">
      <c r="A1008" s="181" t="n">
        <v>995</v>
      </c>
      <c r="B1008" s="181" t="n">
        <v>994</v>
      </c>
      <c r="C1008" s="181" t="n">
        <v>4570.49</v>
      </c>
      <c r="D1008" s="181" t="n">
        <v>4577.8612</v>
      </c>
      <c r="E1008" s="181" t="n">
        <v>-7.3712</v>
      </c>
      <c r="F1008" s="181" t="n">
        <v>54.3339</v>
      </c>
      <c r="G1008" s="181" t="n">
        <v>988036</v>
      </c>
      <c r="H1008" s="181" t="inlineStr"/>
      <c r="I1008" s="181" t="inlineStr"/>
    </row>
    <row r="1009" ht="15" customHeight="1" s="28">
      <c r="A1009" s="182" t="n">
        <v>996</v>
      </c>
      <c r="B1009" s="182" t="n">
        <v>995</v>
      </c>
      <c r="C1009" s="182" t="n">
        <v>4566.67</v>
      </c>
      <c r="D1009" s="182" t="n">
        <v>4577.6073</v>
      </c>
      <c r="E1009" s="182" t="n">
        <v>-10.9373</v>
      </c>
      <c r="F1009" s="182" t="n">
        <v>119.6236</v>
      </c>
      <c r="G1009" s="182" t="n">
        <v>990025</v>
      </c>
      <c r="H1009" s="182" t="inlineStr"/>
      <c r="I1009" s="182" t="inlineStr"/>
    </row>
    <row r="1010" ht="15" customHeight="1" s="28">
      <c r="A1010" s="181" t="n">
        <v>997</v>
      </c>
      <c r="B1010" s="181" t="n">
        <v>996</v>
      </c>
      <c r="C1010" s="181" t="n">
        <v>4565.94</v>
      </c>
      <c r="D1010" s="181" t="n">
        <v>4577.3534</v>
      </c>
      <c r="E1010" s="181" t="n">
        <v>-11.4134</v>
      </c>
      <c r="F1010" s="181" t="n">
        <v>130.2648</v>
      </c>
      <c r="G1010" s="181" t="n">
        <v>992016</v>
      </c>
      <c r="H1010" s="181" t="inlineStr"/>
      <c r="I1010" s="181" t="inlineStr"/>
    </row>
    <row r="1011" ht="15" customHeight="1" s="28">
      <c r="A1011" s="182" t="n">
        <v>998</v>
      </c>
      <c r="B1011" s="182" t="n">
        <v>997</v>
      </c>
      <c r="C1011" s="182" t="n">
        <v>4572.03</v>
      </c>
      <c r="D1011" s="182" t="n">
        <v>4577.0995</v>
      </c>
      <c r="E1011" s="182" t="n">
        <v>-5.0695</v>
      </c>
      <c r="F1011" s="182" t="n">
        <v>25.6995</v>
      </c>
      <c r="G1011" s="182" t="n">
        <v>994009</v>
      </c>
      <c r="H1011" s="182" t="inlineStr"/>
      <c r="I1011" s="182" t="inlineStr"/>
    </row>
    <row r="1012" ht="15" customHeight="1" s="28">
      <c r="A1012" s="181" t="n">
        <v>999</v>
      </c>
      <c r="B1012" s="181" t="n">
        <v>998</v>
      </c>
      <c r="C1012" s="181" t="n">
        <v>4575.75</v>
      </c>
      <c r="D1012" s="181" t="n">
        <v>4576.8456</v>
      </c>
      <c r="E1012" s="181" t="n">
        <v>-1.0956</v>
      </c>
      <c r="F1012" s="181" t="n">
        <v>1.2003</v>
      </c>
      <c r="G1012" s="181" t="n">
        <v>996004</v>
      </c>
      <c r="H1012" s="181" t="inlineStr"/>
      <c r="I1012" s="181" t="inlineStr"/>
    </row>
    <row r="1013" ht="15" customHeight="1" s="28">
      <c r="A1013" s="182" t="n">
        <v>1000</v>
      </c>
      <c r="B1013" s="182" t="n">
        <v>999</v>
      </c>
      <c r="C1013" s="182" t="n">
        <v>4578.84</v>
      </c>
      <c r="D1013" s="182" t="n">
        <v>4576.5917</v>
      </c>
      <c r="E1013" s="182" t="n">
        <v>2.2483</v>
      </c>
      <c r="F1013" s="182" t="n">
        <v>5.055</v>
      </c>
      <c r="G1013" s="182" t="n">
        <v>998001</v>
      </c>
      <c r="H1013" s="182" t="inlineStr"/>
      <c r="I1013" s="182" t="inlineStr"/>
    </row>
    <row r="1014" ht="15" customHeight="1" s="28">
      <c r="A1014" s="181" t="n">
        <v>1001</v>
      </c>
      <c r="B1014" s="181" t="n">
        <v>1000</v>
      </c>
      <c r="C1014" s="181" t="n">
        <v>4584.86</v>
      </c>
      <c r="D1014" s="181" t="n">
        <v>4576.3378</v>
      </c>
      <c r="E1014" s="181" t="n">
        <v>8.5222</v>
      </c>
      <c r="F1014" s="181" t="n">
        <v>72.6283</v>
      </c>
      <c r="G1014" s="181" t="n">
        <v>1000000</v>
      </c>
      <c r="H1014" s="181" t="inlineStr"/>
      <c r="I1014" s="181" t="inlineStr"/>
    </row>
    <row r="1015" ht="15" customHeight="1" s="28">
      <c r="A1015" s="182" t="n">
        <v>1002</v>
      </c>
      <c r="B1015" s="182" t="n">
        <v>1001</v>
      </c>
      <c r="C1015" s="182" t="n">
        <v>4602.95</v>
      </c>
      <c r="D1015" s="182" t="n">
        <v>4576.0839</v>
      </c>
      <c r="E1015" s="182" t="n">
        <v>26.8661</v>
      </c>
      <c r="F1015" s="182" t="n">
        <v>721.7882</v>
      </c>
      <c r="G1015" s="182" t="n">
        <v>1002001</v>
      </c>
      <c r="H1015" s="182" t="inlineStr"/>
      <c r="I1015" s="182" t="inlineStr"/>
    </row>
    <row r="1016" ht="15" customHeight="1" s="28">
      <c r="A1016" s="181" t="n">
        <v>1003</v>
      </c>
      <c r="B1016" s="181" t="n">
        <v>1002</v>
      </c>
      <c r="C1016" s="181" t="n">
        <v>4591.95</v>
      </c>
      <c r="D1016" s="181" t="n">
        <v>4575.83</v>
      </c>
      <c r="E1016" s="181" t="n">
        <v>16.12</v>
      </c>
      <c r="F1016" s="181" t="n">
        <v>259.8548</v>
      </c>
      <c r="G1016" s="181" t="n">
        <v>1004004</v>
      </c>
      <c r="H1016" s="181" t="inlineStr"/>
      <c r="I1016" s="181" t="inlineStr"/>
    </row>
    <row r="1017" ht="15" customHeight="1" s="28">
      <c r="A1017" s="182" t="n">
        <v>1004</v>
      </c>
      <c r="B1017" s="182" t="n">
        <v>1003</v>
      </c>
      <c r="C1017" s="182" t="n">
        <v>4591.18</v>
      </c>
      <c r="D1017" s="182" t="n">
        <v>4575.5761</v>
      </c>
      <c r="E1017" s="182" t="n">
        <v>15.6039</v>
      </c>
      <c r="F1017" s="182" t="n">
        <v>243.4819</v>
      </c>
      <c r="G1017" s="182" t="n">
        <v>1006009</v>
      </c>
      <c r="H1017" s="182" t="inlineStr"/>
      <c r="I1017" s="182" t="inlineStr"/>
    </row>
    <row r="1018" ht="15" customHeight="1" s="28">
      <c r="A1018" s="181" t="n">
        <v>1005</v>
      </c>
      <c r="B1018" s="181" t="n">
        <v>1004</v>
      </c>
      <c r="C1018" s="181" t="n">
        <v>4591.32</v>
      </c>
      <c r="D1018" s="181" t="n">
        <v>4575.3222</v>
      </c>
      <c r="E1018" s="181" t="n">
        <v>15.9978</v>
      </c>
      <c r="F1018" s="181" t="n">
        <v>255.9297</v>
      </c>
      <c r="G1018" s="181" t="n">
        <v>1008016</v>
      </c>
      <c r="H1018" s="181" t="inlineStr"/>
      <c r="I1018" s="181" t="inlineStr"/>
    </row>
    <row r="1019" ht="15" customHeight="1" s="28">
      <c r="A1019" s="182" t="n">
        <v>1006</v>
      </c>
      <c r="B1019" s="182" t="n">
        <v>1005</v>
      </c>
      <c r="C1019" s="182" t="n">
        <v>4589.2</v>
      </c>
      <c r="D1019" s="182" t="n">
        <v>4575.0683</v>
      </c>
      <c r="E1019" s="182" t="n">
        <v>14.1317</v>
      </c>
      <c r="F1019" s="182" t="n">
        <v>199.7049</v>
      </c>
      <c r="G1019" s="182" t="n">
        <v>1010025</v>
      </c>
      <c r="H1019" s="182" t="inlineStr"/>
      <c r="I1019" s="182" t="inlineStr"/>
    </row>
    <row r="1020" ht="15" customHeight="1" s="28">
      <c r="A1020" s="181" t="n">
        <v>1007</v>
      </c>
      <c r="B1020" s="181" t="n">
        <v>1006</v>
      </c>
      <c r="C1020" s="181" t="n">
        <v>4608.07</v>
      </c>
      <c r="D1020" s="181" t="n">
        <v>4574.8144</v>
      </c>
      <c r="E1020" s="181" t="n">
        <v>33.2556</v>
      </c>
      <c r="F1020" s="181" t="n">
        <v>1105.9345</v>
      </c>
      <c r="G1020" s="181" t="n">
        <v>1012036</v>
      </c>
      <c r="H1020" s="181" t="inlineStr"/>
      <c r="I1020" s="181" t="inlineStr"/>
    </row>
    <row r="1021" ht="15" customHeight="1" s="28">
      <c r="A1021" s="182" t="n">
        <v>1008</v>
      </c>
      <c r="B1021" s="182" t="n">
        <v>1007</v>
      </c>
      <c r="C1021" s="182" t="n">
        <v>4625.7</v>
      </c>
      <c r="D1021" s="182" t="n">
        <v>4574.5605</v>
      </c>
      <c r="E1021" s="182" t="n">
        <v>51.1395</v>
      </c>
      <c r="F1021" s="182" t="n">
        <v>2615.2474</v>
      </c>
      <c r="G1021" s="182" t="n">
        <v>1014049</v>
      </c>
      <c r="H1021" s="182" t="inlineStr"/>
      <c r="I1021" s="182" t="inlineStr"/>
    </row>
    <row r="1022" ht="15" customHeight="1" s="28">
      <c r="A1022" s="181" t="n">
        <v>1009</v>
      </c>
      <c r="B1022" s="181" t="n">
        <v>1008</v>
      </c>
      <c r="C1022" s="181" t="n">
        <v>4656.06</v>
      </c>
      <c r="D1022" s="181" t="n">
        <v>4574.3066</v>
      </c>
      <c r="E1022" s="181" t="n">
        <v>81.7534</v>
      </c>
      <c r="F1022" s="181" t="n">
        <v>6683.6159</v>
      </c>
      <c r="G1022" s="181" t="n">
        <v>1016064</v>
      </c>
      <c r="H1022" s="181" t="inlineStr"/>
      <c r="I1022" s="181" t="inlineStr"/>
    </row>
    <row r="1023" ht="15" customHeight="1" s="28">
      <c r="A1023" s="182" t="n">
        <v>1010</v>
      </c>
      <c r="B1023" s="182" t="n">
        <v>1009</v>
      </c>
      <c r="C1023" s="182" t="n">
        <v>4644.67</v>
      </c>
      <c r="D1023" s="182" t="n">
        <v>4574.0527</v>
      </c>
      <c r="E1023" s="182" t="n">
        <v>70.6173</v>
      </c>
      <c r="F1023" s="182" t="n">
        <v>4986.8003</v>
      </c>
      <c r="G1023" s="182" t="n">
        <v>1018081</v>
      </c>
      <c r="H1023" s="182" t="inlineStr"/>
      <c r="I1023" s="182" t="inlineStr"/>
    </row>
    <row r="1024" ht="15" customHeight="1" s="28">
      <c r="A1024" s="181" t="n">
        <v>1011</v>
      </c>
      <c r="B1024" s="181" t="n">
        <v>1010</v>
      </c>
      <c r="C1024" s="181" t="n">
        <v>4633.23</v>
      </c>
      <c r="D1024" s="181" t="n">
        <v>4573.7988</v>
      </c>
      <c r="E1024" s="181" t="n">
        <v>59.4312</v>
      </c>
      <c r="F1024" s="181" t="n">
        <v>3532.0647</v>
      </c>
      <c r="G1024" s="181" t="n">
        <v>1020100</v>
      </c>
      <c r="H1024" s="181" t="inlineStr"/>
      <c r="I1024" s="181" t="inlineStr"/>
    </row>
    <row r="1025" ht="15" customHeight="1" s="28">
      <c r="A1025" s="182" t="n">
        <v>1012</v>
      </c>
      <c r="B1025" s="182" t="n">
        <v>1011</v>
      </c>
      <c r="C1025" s="182" t="n">
        <v>4632.21</v>
      </c>
      <c r="D1025" s="182" t="n">
        <v>4573.5449</v>
      </c>
      <c r="E1025" s="182" t="n">
        <v>58.6651</v>
      </c>
      <c r="F1025" s="182" t="n">
        <v>3441.5906</v>
      </c>
      <c r="G1025" s="182" t="n">
        <v>1022121</v>
      </c>
      <c r="H1025" s="182" t="inlineStr"/>
      <c r="I1025" s="182" t="inlineStr"/>
    </row>
    <row r="1026" ht="15" customHeight="1" s="28">
      <c r="A1026" s="181" t="n">
        <v>1013</v>
      </c>
      <c r="B1026" s="181" t="n">
        <v>1012</v>
      </c>
      <c r="C1026" s="181" t="n">
        <v>4636.58</v>
      </c>
      <c r="D1026" s="181" t="n">
        <v>4573.291</v>
      </c>
      <c r="E1026" s="181" t="n">
        <v>63.289</v>
      </c>
      <c r="F1026" s="181" t="n">
        <v>4005.4933</v>
      </c>
      <c r="G1026" s="181" t="n">
        <v>1024144</v>
      </c>
      <c r="H1026" s="181" t="inlineStr"/>
      <c r="I1026" s="181" t="inlineStr"/>
    </row>
    <row r="1027" ht="15" customHeight="1" s="28">
      <c r="A1027" s="182" t="n">
        <v>1014</v>
      </c>
      <c r="B1027" s="182" t="n">
        <v>1013</v>
      </c>
      <c r="C1027" s="182" t="n">
        <v>4636.46</v>
      </c>
      <c r="D1027" s="182" t="n">
        <v>4573.0371</v>
      </c>
      <c r="E1027" s="182" t="n">
        <v>63.4229</v>
      </c>
      <c r="F1027" s="182" t="n">
        <v>4022.4595</v>
      </c>
      <c r="G1027" s="182" t="n">
        <v>1026169</v>
      </c>
      <c r="H1027" s="182" t="inlineStr"/>
      <c r="I1027" s="182" t="inlineStr"/>
    </row>
    <row r="1028" ht="15" customHeight="1" s="28">
      <c r="A1028" s="181" t="n">
        <v>1015</v>
      </c>
      <c r="B1028" s="181" t="n">
        <v>1014</v>
      </c>
      <c r="C1028" s="181" t="n">
        <v>4643.6</v>
      </c>
      <c r="D1028" s="181" t="n">
        <v>4572.7832</v>
      </c>
      <c r="E1028" s="181" t="n">
        <v>70.8168</v>
      </c>
      <c r="F1028" s="181" t="n">
        <v>5015.0132</v>
      </c>
      <c r="G1028" s="181" t="n">
        <v>1028196</v>
      </c>
      <c r="H1028" s="181" t="inlineStr"/>
      <c r="I1028" s="181" t="inlineStr"/>
    </row>
    <row r="1029" ht="15" customHeight="1" s="28">
      <c r="A1029" s="182" t="n">
        <v>1016</v>
      </c>
      <c r="B1029" s="182" t="n">
        <v>1015</v>
      </c>
      <c r="C1029" s="182" t="n">
        <v>4643.3</v>
      </c>
      <c r="D1029" s="182" t="n">
        <v>4572.5293</v>
      </c>
      <c r="E1029" s="182" t="n">
        <v>70.77070000000001</v>
      </c>
      <c r="F1029" s="182" t="n">
        <v>5008.4854</v>
      </c>
      <c r="G1029" s="182" t="n">
        <v>1030225</v>
      </c>
      <c r="H1029" s="182" t="inlineStr"/>
      <c r="I1029" s="182" t="inlineStr"/>
    </row>
    <row r="1030" ht="15" customHeight="1" s="28">
      <c r="A1030" s="181" t="n">
        <v>1017</v>
      </c>
      <c r="B1030" s="181" t="n">
        <v>1016</v>
      </c>
      <c r="C1030" s="181" t="n">
        <v>4642.75</v>
      </c>
      <c r="D1030" s="181" t="n">
        <v>4572.2755</v>
      </c>
      <c r="E1030" s="181" t="n">
        <v>70.47450000000001</v>
      </c>
      <c r="F1030" s="181" t="n">
        <v>4966.662</v>
      </c>
      <c r="G1030" s="181" t="n">
        <v>1032256</v>
      </c>
      <c r="H1030" s="181" t="inlineStr"/>
      <c r="I1030" s="181" t="inlineStr"/>
    </row>
    <row r="1031" ht="15" customHeight="1" s="28">
      <c r="A1031" s="182" t="n">
        <v>1018</v>
      </c>
      <c r="B1031" s="182" t="n">
        <v>1017</v>
      </c>
      <c r="C1031" s="182" t="n">
        <v>4637.96</v>
      </c>
      <c r="D1031" s="182" t="n">
        <v>4572.0216</v>
      </c>
      <c r="E1031" s="182" t="n">
        <v>65.9384</v>
      </c>
      <c r="F1031" s="182" t="n">
        <v>4347.8784</v>
      </c>
      <c r="G1031" s="182" t="n">
        <v>1034289</v>
      </c>
      <c r="H1031" s="182" t="inlineStr"/>
      <c r="I1031" s="182" t="inlineStr"/>
    </row>
    <row r="1032" ht="15" customHeight="1" s="28">
      <c r="A1032" s="181" t="n">
        <v>1019</v>
      </c>
      <c r="B1032" s="181" t="n">
        <v>1018</v>
      </c>
      <c r="C1032" s="181" t="n">
        <v>4638.86</v>
      </c>
      <c r="D1032" s="181" t="n">
        <v>4571.7677</v>
      </c>
      <c r="E1032" s="181" t="n">
        <v>67.09229999999999</v>
      </c>
      <c r="F1032" s="181" t="n">
        <v>4501.3821</v>
      </c>
      <c r="G1032" s="181" t="n">
        <v>1036324</v>
      </c>
      <c r="H1032" s="181" t="inlineStr"/>
      <c r="I1032" s="181" t="inlineStr"/>
    </row>
    <row r="1033" ht="15" customHeight="1" s="28">
      <c r="A1033" s="182" t="n">
        <v>1020</v>
      </c>
      <c r="B1033" s="182" t="n">
        <v>1019</v>
      </c>
      <c r="C1033" s="182" t="n">
        <v>4638.72</v>
      </c>
      <c r="D1033" s="182" t="n">
        <v>4571.5138</v>
      </c>
      <c r="E1033" s="182" t="n">
        <v>67.2062</v>
      </c>
      <c r="F1033" s="182" t="n">
        <v>4516.6781</v>
      </c>
      <c r="G1033" s="182" t="n">
        <v>1038361</v>
      </c>
      <c r="H1033" s="182" t="inlineStr"/>
      <c r="I1033" s="182" t="inlineStr"/>
    </row>
    <row r="1034" ht="15" customHeight="1" s="28">
      <c r="A1034" s="181" t="n">
        <v>1021</v>
      </c>
      <c r="B1034" s="181" t="n">
        <v>1020</v>
      </c>
      <c r="C1034" s="181" t="n">
        <v>4639.73</v>
      </c>
      <c r="D1034" s="181" t="n">
        <v>4571.2599</v>
      </c>
      <c r="E1034" s="181" t="n">
        <v>68.4701</v>
      </c>
      <c r="F1034" s="181" t="n">
        <v>4688.1588</v>
      </c>
      <c r="G1034" s="181" t="n">
        <v>1040400</v>
      </c>
      <c r="H1034" s="181" t="inlineStr"/>
      <c r="I1034" s="181" t="inlineStr"/>
    </row>
    <row r="1035" ht="15" customHeight="1" s="28">
      <c r="A1035" s="182" t="n">
        <v>1022</v>
      </c>
      <c r="B1035" s="182" t="n">
        <v>1021</v>
      </c>
      <c r="C1035" s="182" t="n">
        <v>4631.67</v>
      </c>
      <c r="D1035" s="182" t="n">
        <v>4571.006</v>
      </c>
      <c r="E1035" s="182" t="n">
        <v>60.664</v>
      </c>
      <c r="F1035" s="182" t="n">
        <v>3680.1241</v>
      </c>
      <c r="G1035" s="182" t="n">
        <v>1042441</v>
      </c>
      <c r="H1035" s="182" t="inlineStr"/>
      <c r="I1035" s="182" t="inlineStr"/>
    </row>
    <row r="1036" ht="15" customHeight="1" s="28">
      <c r="A1036" s="181" t="n">
        <v>1023</v>
      </c>
      <c r="B1036" s="181" t="n">
        <v>1022</v>
      </c>
      <c r="C1036" s="181" t="n">
        <v>4628</v>
      </c>
      <c r="D1036" s="181" t="n">
        <v>4570.7521</v>
      </c>
      <c r="E1036" s="181" t="n">
        <v>57.2479</v>
      </c>
      <c r="F1036" s="181" t="n">
        <v>3277.3246</v>
      </c>
      <c r="G1036" s="181" t="n">
        <v>1044484</v>
      </c>
      <c r="H1036" s="181" t="inlineStr"/>
      <c r="I1036" s="181" t="inlineStr"/>
    </row>
    <row r="1037" ht="15" customHeight="1" s="28">
      <c r="A1037" s="182" t="n">
        <v>1024</v>
      </c>
      <c r="B1037" s="182" t="n">
        <v>1023</v>
      </c>
      <c r="C1037" s="182" t="n">
        <v>4629.43</v>
      </c>
      <c r="D1037" s="182" t="n">
        <v>4570.4982</v>
      </c>
      <c r="E1037" s="182" t="n">
        <v>58.9318</v>
      </c>
      <c r="F1037" s="182" t="n">
        <v>3472.9591</v>
      </c>
      <c r="G1037" s="182" t="n">
        <v>1046529</v>
      </c>
      <c r="H1037" s="182" t="inlineStr"/>
      <c r="I1037" s="182" t="inlineStr"/>
    </row>
    <row r="1038" ht="15" customHeight="1" s="28">
      <c r="A1038" s="181" t="n">
        <v>1025</v>
      </c>
      <c r="B1038" s="181" t="n">
        <v>1024</v>
      </c>
      <c r="C1038" s="181" t="n">
        <v>4615.72</v>
      </c>
      <c r="D1038" s="181" t="n">
        <v>4570.2443</v>
      </c>
      <c r="E1038" s="181" t="n">
        <v>45.4757</v>
      </c>
      <c r="F1038" s="181" t="n">
        <v>2068.0405</v>
      </c>
      <c r="G1038" s="181" t="n">
        <v>1048576</v>
      </c>
      <c r="H1038" s="181" t="inlineStr"/>
      <c r="I1038" s="181" t="inlineStr"/>
    </row>
    <row r="1039" ht="15" customHeight="1" s="28">
      <c r="A1039" s="182" t="n">
        <v>1026</v>
      </c>
      <c r="B1039" s="182" t="n">
        <v>1025</v>
      </c>
      <c r="C1039" s="182" t="n">
        <v>4623.48</v>
      </c>
      <c r="D1039" s="182" t="n">
        <v>4569.9904</v>
      </c>
      <c r="E1039" s="182" t="n">
        <v>53.4896</v>
      </c>
      <c r="F1039" s="182" t="n">
        <v>2861.1382</v>
      </c>
      <c r="G1039" s="182" t="n">
        <v>1050625</v>
      </c>
      <c r="H1039" s="182" t="inlineStr"/>
      <c r="I1039" s="182" t="inlineStr"/>
    </row>
    <row r="1040" ht="15" customHeight="1" s="28">
      <c r="A1040" s="181" t="n">
        <v>1027</v>
      </c>
      <c r="B1040" s="181" t="n">
        <v>1026</v>
      </c>
      <c r="C1040" s="181" t="n">
        <v>4622.32</v>
      </c>
      <c r="D1040" s="181" t="n">
        <v>4569.7365</v>
      </c>
      <c r="E1040" s="181" t="n">
        <v>52.5835</v>
      </c>
      <c r="F1040" s="181" t="n">
        <v>2765.0249</v>
      </c>
      <c r="G1040" s="181" t="n">
        <v>1052676</v>
      </c>
      <c r="H1040" s="181" t="inlineStr"/>
      <c r="I1040" s="181" t="inlineStr"/>
    </row>
    <row r="1041" ht="15" customHeight="1" s="28">
      <c r="A1041" s="182" t="n">
        <v>1028</v>
      </c>
      <c r="B1041" s="182" t="n">
        <v>1027</v>
      </c>
      <c r="C1041" s="182" t="n">
        <v>4624.35</v>
      </c>
      <c r="D1041" s="182" t="n">
        <v>4569.4826</v>
      </c>
      <c r="E1041" s="182" t="n">
        <v>54.8674</v>
      </c>
      <c r="F1041" s="182" t="n">
        <v>3010.4315</v>
      </c>
      <c r="G1041" s="182" t="n">
        <v>1054729</v>
      </c>
      <c r="H1041" s="182" t="inlineStr"/>
      <c r="I1041" s="182" t="inlineStr"/>
    </row>
    <row r="1042" ht="15" customHeight="1" s="28">
      <c r="A1042" s="181" t="n">
        <v>1029</v>
      </c>
      <c r="B1042" s="181" t="n">
        <v>1028</v>
      </c>
      <c r="C1042" s="181" t="n">
        <v>4626.3</v>
      </c>
      <c r="D1042" s="181" t="n">
        <v>4569.2287</v>
      </c>
      <c r="E1042" s="181" t="n">
        <v>57.0713</v>
      </c>
      <c r="F1042" s="181" t="n">
        <v>3257.1327</v>
      </c>
      <c r="G1042" s="181" t="n">
        <v>1056784</v>
      </c>
      <c r="H1042" s="181" t="inlineStr"/>
      <c r="I1042" s="181" t="inlineStr"/>
    </row>
    <row r="1043" ht="15" customHeight="1" s="28">
      <c r="A1043" s="182" t="n">
        <v>1030</v>
      </c>
      <c r="B1043" s="182" t="n">
        <v>1029</v>
      </c>
      <c r="C1043" s="182" t="n">
        <v>4624.4</v>
      </c>
      <c r="D1043" s="182" t="n">
        <v>4568.9748</v>
      </c>
      <c r="E1043" s="182" t="n">
        <v>55.4252</v>
      </c>
      <c r="F1043" s="182" t="n">
        <v>3071.9517</v>
      </c>
      <c r="G1043" s="182" t="n">
        <v>1058841</v>
      </c>
      <c r="H1043" s="182" t="inlineStr"/>
      <c r="I1043" s="182" t="inlineStr"/>
    </row>
    <row r="1044" ht="15" customHeight="1" s="28">
      <c r="A1044" s="181" t="n">
        <v>1031</v>
      </c>
      <c r="B1044" s="181" t="n">
        <v>1030</v>
      </c>
      <c r="C1044" s="181" t="n">
        <v>4611.78</v>
      </c>
      <c r="D1044" s="181" t="n">
        <v>4568.7209</v>
      </c>
      <c r="E1044" s="181" t="n">
        <v>43.0591</v>
      </c>
      <c r="F1044" s="181" t="n">
        <v>1854.0849</v>
      </c>
      <c r="G1044" s="181" t="n">
        <v>1060900</v>
      </c>
      <c r="H1044" s="181" t="inlineStr"/>
      <c r="I1044" s="181" t="inlineStr"/>
    </row>
    <row r="1045" ht="15" customHeight="1" s="28">
      <c r="A1045" s="182" t="n">
        <v>1032</v>
      </c>
      <c r="B1045" s="182" t="n">
        <v>1031</v>
      </c>
      <c r="C1045" s="182" t="n">
        <v>4610.06</v>
      </c>
      <c r="D1045" s="182" t="n">
        <v>4568.467</v>
      </c>
      <c r="E1045" s="182" t="n">
        <v>41.593</v>
      </c>
      <c r="F1045" s="182" t="n">
        <v>1729.9761</v>
      </c>
      <c r="G1045" s="182" t="n">
        <v>1062961</v>
      </c>
      <c r="H1045" s="182" t="inlineStr"/>
      <c r="I1045" s="182" t="inlineStr"/>
    </row>
    <row r="1046" ht="15" customHeight="1" s="28">
      <c r="A1046" s="181" t="n">
        <v>1033</v>
      </c>
      <c r="B1046" s="181" t="n">
        <v>1032</v>
      </c>
      <c r="C1046" s="181" t="n">
        <v>4611.41</v>
      </c>
      <c r="D1046" s="181" t="n">
        <v>4568.2131</v>
      </c>
      <c r="E1046" s="181" t="n">
        <v>43.1969</v>
      </c>
      <c r="F1046" s="181" t="n">
        <v>1865.9702</v>
      </c>
      <c r="G1046" s="181" t="n">
        <v>1065024</v>
      </c>
      <c r="H1046" s="181" t="inlineStr"/>
      <c r="I1046" s="181" t="inlineStr"/>
    </row>
    <row r="1047" ht="15" customHeight="1" s="28">
      <c r="A1047" s="182" t="n">
        <v>1034</v>
      </c>
      <c r="B1047" s="182" t="n">
        <v>1033</v>
      </c>
      <c r="C1047" s="182" t="n">
        <v>4613.3</v>
      </c>
      <c r="D1047" s="182" t="n">
        <v>4567.9592</v>
      </c>
      <c r="E1047" s="182" t="n">
        <v>45.3408</v>
      </c>
      <c r="F1047" s="182" t="n">
        <v>2055.7856</v>
      </c>
      <c r="G1047" s="182" t="n">
        <v>1067089</v>
      </c>
      <c r="H1047" s="182" t="inlineStr"/>
      <c r="I1047" s="182" t="inlineStr"/>
    </row>
    <row r="1048" ht="15" customHeight="1" s="28">
      <c r="A1048" s="181" t="n">
        <v>1035</v>
      </c>
      <c r="B1048" s="181" t="n">
        <v>1034</v>
      </c>
      <c r="C1048" s="181" t="n">
        <v>4613.77</v>
      </c>
      <c r="D1048" s="181" t="n">
        <v>4567.7053</v>
      </c>
      <c r="E1048" s="181" t="n">
        <v>46.0647</v>
      </c>
      <c r="F1048" s="181" t="n">
        <v>2121.9536</v>
      </c>
      <c r="G1048" s="181" t="n">
        <v>1069156</v>
      </c>
      <c r="H1048" s="181" t="inlineStr"/>
      <c r="I1048" s="181" t="inlineStr"/>
    </row>
    <row r="1049" ht="15" customHeight="1" s="28">
      <c r="A1049" s="182" t="n">
        <v>1036</v>
      </c>
      <c r="B1049" s="182" t="n">
        <v>1035</v>
      </c>
      <c r="C1049" s="182" t="n">
        <v>4613.98</v>
      </c>
      <c r="D1049" s="182" t="n">
        <v>4567.4514</v>
      </c>
      <c r="E1049" s="182" t="n">
        <v>46.5286</v>
      </c>
      <c r="F1049" s="182" t="n">
        <v>2164.9072</v>
      </c>
      <c r="G1049" s="182" t="n">
        <v>1071225</v>
      </c>
      <c r="H1049" s="182" t="inlineStr"/>
      <c r="I1049" s="182" t="inlineStr"/>
    </row>
    <row r="1050" ht="15" customHeight="1" s="28">
      <c r="A1050" s="181" t="n">
        <v>1037</v>
      </c>
      <c r="B1050" s="181" t="n">
        <v>1036</v>
      </c>
      <c r="C1050" s="181" t="n">
        <v>4623.11</v>
      </c>
      <c r="D1050" s="181" t="n">
        <v>4567.1975</v>
      </c>
      <c r="E1050" s="181" t="n">
        <v>55.9125</v>
      </c>
      <c r="F1050" s="181" t="n">
        <v>3126.203</v>
      </c>
      <c r="G1050" s="181" t="n">
        <v>1073296</v>
      </c>
      <c r="H1050" s="181" t="inlineStr"/>
      <c r="I1050" s="181" t="inlineStr"/>
    </row>
    <row r="1051" ht="15" customHeight="1" s="28">
      <c r="A1051" s="182" t="n">
        <v>1038</v>
      </c>
      <c r="B1051" s="182" t="n">
        <v>1037</v>
      </c>
      <c r="C1051" s="182" t="n">
        <v>4620.91</v>
      </c>
      <c r="D1051" s="182" t="n">
        <v>4566.9436</v>
      </c>
      <c r="E1051" s="182" t="n">
        <v>53.9664</v>
      </c>
      <c r="F1051" s="182" t="n">
        <v>2912.3674</v>
      </c>
      <c r="G1051" s="182" t="n">
        <v>1075369</v>
      </c>
      <c r="H1051" s="182" t="inlineStr"/>
      <c r="I1051" s="182" t="inlineStr"/>
    </row>
    <row r="1052" ht="15" customHeight="1" s="28">
      <c r="A1052" s="181" t="n">
        <v>1039</v>
      </c>
      <c r="B1052" s="181" t="n">
        <v>1038</v>
      </c>
      <c r="C1052" s="181" t="n">
        <v>4628.2</v>
      </c>
      <c r="D1052" s="181" t="n">
        <v>4566.6898</v>
      </c>
      <c r="E1052" s="181" t="n">
        <v>61.5102</v>
      </c>
      <c r="F1052" s="181" t="n">
        <v>3783.5108</v>
      </c>
      <c r="G1052" s="181" t="n">
        <v>1077444</v>
      </c>
      <c r="H1052" s="181" t="inlineStr"/>
      <c r="I1052" s="181" t="inlineStr"/>
    </row>
    <row r="1053" ht="15" customHeight="1" s="28">
      <c r="A1053" s="182" t="n">
        <v>1040</v>
      </c>
      <c r="B1053" s="182" t="n">
        <v>1039</v>
      </c>
      <c r="C1053" s="182" t="n">
        <v>4618.95</v>
      </c>
      <c r="D1053" s="182" t="n">
        <v>4566.4359</v>
      </c>
      <c r="E1053" s="182" t="n">
        <v>52.5141</v>
      </c>
      <c r="F1053" s="182" t="n">
        <v>2757.7355</v>
      </c>
      <c r="G1053" s="182" t="n">
        <v>1079521</v>
      </c>
      <c r="H1053" s="182" t="inlineStr"/>
      <c r="I1053" s="182" t="inlineStr"/>
    </row>
    <row r="1054" ht="15" customHeight="1" s="28">
      <c r="A1054" s="181" t="n">
        <v>1041</v>
      </c>
      <c r="B1054" s="181" t="n">
        <v>1040</v>
      </c>
      <c r="C1054" s="181" t="n">
        <v>4615.08</v>
      </c>
      <c r="D1054" s="181" t="n">
        <v>4566.182</v>
      </c>
      <c r="E1054" s="181" t="n">
        <v>48.898</v>
      </c>
      <c r="F1054" s="181" t="n">
        <v>2391.0184</v>
      </c>
      <c r="G1054" s="181" t="n">
        <v>1081600</v>
      </c>
      <c r="H1054" s="181" t="inlineStr"/>
      <c r="I1054" s="181" t="inlineStr"/>
    </row>
    <row r="1055" ht="15" customHeight="1" s="28">
      <c r="A1055" s="182" t="n">
        <v>1042</v>
      </c>
      <c r="B1055" s="182" t="n">
        <v>1041</v>
      </c>
      <c r="C1055" s="182" t="n">
        <v>4617.09</v>
      </c>
      <c r="D1055" s="182" t="n">
        <v>4565.9281</v>
      </c>
      <c r="E1055" s="182" t="n">
        <v>51.1619</v>
      </c>
      <c r="F1055" s="182" t="n">
        <v>2617.5437</v>
      </c>
      <c r="G1055" s="182" t="n">
        <v>1083681</v>
      </c>
      <c r="H1055" s="182" t="inlineStr"/>
      <c r="I1055" s="182" t="inlineStr"/>
    </row>
    <row r="1056" ht="15" customHeight="1" s="28">
      <c r="A1056" s="181" t="n">
        <v>1043</v>
      </c>
      <c r="B1056" s="181" t="n">
        <v>1042</v>
      </c>
      <c r="C1056" s="181" t="n">
        <v>4613.63</v>
      </c>
      <c r="D1056" s="181" t="n">
        <v>4565.6742</v>
      </c>
      <c r="E1056" s="181" t="n">
        <v>47.9558</v>
      </c>
      <c r="F1056" s="181" t="n">
        <v>2299.7618</v>
      </c>
      <c r="G1056" s="181" t="n">
        <v>1085764</v>
      </c>
      <c r="H1056" s="181" t="inlineStr"/>
      <c r="I1056" s="181" t="inlineStr"/>
    </row>
    <row r="1057" ht="15" customHeight="1" s="28">
      <c r="A1057" s="182" t="n">
        <v>1044</v>
      </c>
      <c r="B1057" s="182" t="n">
        <v>1043</v>
      </c>
      <c r="C1057" s="182" t="n">
        <v>4613.86</v>
      </c>
      <c r="D1057" s="182" t="n">
        <v>4565.4203</v>
      </c>
      <c r="E1057" s="182" t="n">
        <v>48.4397</v>
      </c>
      <c r="F1057" s="182" t="n">
        <v>2346.4072</v>
      </c>
      <c r="G1057" s="182" t="n">
        <v>1087849</v>
      </c>
      <c r="H1057" s="182" t="inlineStr"/>
      <c r="I1057" s="182" t="inlineStr"/>
    </row>
    <row r="1058" ht="15" customHeight="1" s="28">
      <c r="A1058" s="181" t="n">
        <v>1045</v>
      </c>
      <c r="B1058" s="181" t="n">
        <v>1044</v>
      </c>
      <c r="C1058" s="181" t="n">
        <v>4612.3</v>
      </c>
      <c r="D1058" s="181" t="n">
        <v>4565.1664</v>
      </c>
      <c r="E1058" s="181" t="n">
        <v>47.1336</v>
      </c>
      <c r="F1058" s="181" t="n">
        <v>2221.5784</v>
      </c>
      <c r="G1058" s="181" t="n">
        <v>1089936</v>
      </c>
      <c r="H1058" s="181" t="inlineStr"/>
      <c r="I1058" s="181" t="inlineStr"/>
    </row>
    <row r="1059" ht="15" customHeight="1" s="28">
      <c r="A1059" s="182" t="n">
        <v>1046</v>
      </c>
      <c r="B1059" s="182" t="n">
        <v>1045</v>
      </c>
      <c r="C1059" s="182" t="n">
        <v>4606.13</v>
      </c>
      <c r="D1059" s="182" t="n">
        <v>4564.9125</v>
      </c>
      <c r="E1059" s="182" t="n">
        <v>41.2175</v>
      </c>
      <c r="F1059" s="182" t="n">
        <v>1698.8838</v>
      </c>
      <c r="G1059" s="182" t="n">
        <v>1092025</v>
      </c>
      <c r="H1059" s="182" t="inlineStr"/>
      <c r="I1059" s="182" t="inlineStr"/>
    </row>
    <row r="1060" ht="15" customHeight="1" s="28">
      <c r="A1060" s="181" t="n">
        <v>1047</v>
      </c>
      <c r="B1060" s="181" t="n">
        <v>1046</v>
      </c>
      <c r="C1060" s="181" t="n">
        <v>4605.86</v>
      </c>
      <c r="D1060" s="181" t="n">
        <v>4564.6586</v>
      </c>
      <c r="E1060" s="181" t="n">
        <v>41.2014</v>
      </c>
      <c r="F1060" s="181" t="n">
        <v>1697.5565</v>
      </c>
      <c r="G1060" s="181" t="n">
        <v>1094116</v>
      </c>
      <c r="H1060" s="181" t="inlineStr"/>
      <c r="I1060" s="181" t="inlineStr"/>
    </row>
    <row r="1061" ht="15" customHeight="1" s="28">
      <c r="A1061" s="182" t="n">
        <v>1048</v>
      </c>
      <c r="B1061" s="182" t="n">
        <v>1047</v>
      </c>
      <c r="C1061" s="182" t="n">
        <v>4613.01</v>
      </c>
      <c r="D1061" s="182" t="n">
        <v>4564.4047</v>
      </c>
      <c r="E1061" s="182" t="n">
        <v>48.6053</v>
      </c>
      <c r="F1061" s="182" t="n">
        <v>2362.4761</v>
      </c>
      <c r="G1061" s="182" t="n">
        <v>1096209</v>
      </c>
      <c r="H1061" s="182" t="inlineStr"/>
      <c r="I1061" s="182" t="inlineStr"/>
    </row>
    <row r="1062" ht="15" customHeight="1" s="28">
      <c r="A1062" s="181" t="n">
        <v>1049</v>
      </c>
      <c r="B1062" s="181" t="n">
        <v>1048</v>
      </c>
      <c r="C1062" s="181" t="n">
        <v>4600.58</v>
      </c>
      <c r="D1062" s="181" t="n">
        <v>4564.1508</v>
      </c>
      <c r="E1062" s="181" t="n">
        <v>36.4292</v>
      </c>
      <c r="F1062" s="181" t="n">
        <v>1327.087</v>
      </c>
      <c r="G1062" s="181" t="n">
        <v>1098304</v>
      </c>
      <c r="H1062" s="181" t="inlineStr"/>
      <c r="I1062" s="181" t="inlineStr"/>
    </row>
    <row r="1063" ht="15" customHeight="1" s="28">
      <c r="A1063" s="182" t="n">
        <v>1050</v>
      </c>
      <c r="B1063" s="182" t="n">
        <v>1049</v>
      </c>
      <c r="C1063" s="182" t="n">
        <v>4594.65</v>
      </c>
      <c r="D1063" s="182" t="n">
        <v>4563.8969</v>
      </c>
      <c r="E1063" s="182" t="n">
        <v>30.7531</v>
      </c>
      <c r="F1063" s="182" t="n">
        <v>945.7532</v>
      </c>
      <c r="G1063" s="182" t="n">
        <v>1100401</v>
      </c>
      <c r="H1063" s="182" t="inlineStr"/>
      <c r="I1063" s="182" t="inlineStr"/>
    </row>
    <row r="1064" ht="15" customHeight="1" s="28">
      <c r="A1064" s="181" t="n">
        <v>1051</v>
      </c>
      <c r="B1064" s="181" t="n">
        <v>1050</v>
      </c>
      <c r="C1064" s="181" t="n">
        <v>4601.59</v>
      </c>
      <c r="D1064" s="181" t="n">
        <v>4563.643</v>
      </c>
      <c r="E1064" s="181" t="n">
        <v>37.947</v>
      </c>
      <c r="F1064" s="181" t="n">
        <v>1439.9745</v>
      </c>
      <c r="G1064" s="181" t="n">
        <v>1102500</v>
      </c>
      <c r="H1064" s="181" t="inlineStr"/>
      <c r="I1064" s="181" t="inlineStr"/>
    </row>
    <row r="1065" ht="15" customHeight="1" s="28">
      <c r="A1065" s="182" t="n">
        <v>1052</v>
      </c>
      <c r="B1065" s="182" t="n">
        <v>1051</v>
      </c>
      <c r="C1065" s="182" t="n">
        <v>4613.14</v>
      </c>
      <c r="D1065" s="182" t="n">
        <v>4563.3891</v>
      </c>
      <c r="E1065" s="182" t="n">
        <v>49.7509</v>
      </c>
      <c r="F1065" s="182" t="n">
        <v>2475.1512</v>
      </c>
      <c r="G1065" s="182" t="n">
        <v>1104601</v>
      </c>
      <c r="H1065" s="182" t="inlineStr"/>
      <c r="I1065" s="182" t="inlineStr"/>
    </row>
    <row r="1066" ht="15" customHeight="1" s="28">
      <c r="A1066" s="181" t="n">
        <v>1053</v>
      </c>
      <c r="B1066" s="181" t="n">
        <v>1052</v>
      </c>
      <c r="C1066" s="181" t="n">
        <v>4608.34</v>
      </c>
      <c r="D1066" s="181" t="n">
        <v>4563.1352</v>
      </c>
      <c r="E1066" s="181" t="n">
        <v>45.2048</v>
      </c>
      <c r="F1066" s="181" t="n">
        <v>2043.4727</v>
      </c>
      <c r="G1066" s="181" t="n">
        <v>1106704</v>
      </c>
      <c r="H1066" s="181" t="inlineStr"/>
      <c r="I1066" s="181" t="inlineStr"/>
    </row>
    <row r="1067" ht="15" customHeight="1" s="28">
      <c r="A1067" s="182" t="n">
        <v>1054</v>
      </c>
      <c r="B1067" s="182" t="n">
        <v>1053</v>
      </c>
      <c r="C1067" s="182" t="n">
        <v>4593.09</v>
      </c>
      <c r="D1067" s="182" t="n">
        <v>4562.8813</v>
      </c>
      <c r="E1067" s="182" t="n">
        <v>30.2087</v>
      </c>
      <c r="F1067" s="182" t="n">
        <v>912.5645</v>
      </c>
      <c r="G1067" s="182" t="n">
        <v>1108809</v>
      </c>
      <c r="H1067" s="182" t="inlineStr"/>
      <c r="I1067" s="182" t="inlineStr"/>
    </row>
    <row r="1068" ht="15" customHeight="1" s="28">
      <c r="A1068" s="181" t="n">
        <v>1055</v>
      </c>
      <c r="B1068" s="181" t="n">
        <v>1054</v>
      </c>
      <c r="C1068" s="181" t="n">
        <v>4603.32</v>
      </c>
      <c r="D1068" s="181" t="n">
        <v>4562.6274</v>
      </c>
      <c r="E1068" s="181" t="n">
        <v>40.6926</v>
      </c>
      <c r="F1068" s="181" t="n">
        <v>1655.8859</v>
      </c>
      <c r="G1068" s="181" t="n">
        <v>1110916</v>
      </c>
      <c r="H1068" s="181" t="inlineStr"/>
      <c r="I1068" s="181" t="inlineStr"/>
    </row>
    <row r="1069" ht="15" customHeight="1" s="28">
      <c r="A1069" s="182" t="n">
        <v>1056</v>
      </c>
      <c r="B1069" s="182" t="n">
        <v>1055</v>
      </c>
      <c r="C1069" s="182" t="n">
        <v>4605.77</v>
      </c>
      <c r="D1069" s="182" t="n">
        <v>4562.3735</v>
      </c>
      <c r="E1069" s="182" t="n">
        <v>43.3965</v>
      </c>
      <c r="F1069" s="182" t="n">
        <v>1883.2539</v>
      </c>
      <c r="G1069" s="182" t="n">
        <v>1113025</v>
      </c>
      <c r="H1069" s="182" t="inlineStr"/>
      <c r="I1069" s="182" t="inlineStr"/>
    </row>
    <row r="1070" ht="15" customHeight="1" s="28">
      <c r="A1070" s="181" t="n">
        <v>1057</v>
      </c>
      <c r="B1070" s="181" t="n">
        <v>1056</v>
      </c>
      <c r="C1070" s="181" t="n">
        <v>4610.07</v>
      </c>
      <c r="D1070" s="181" t="n">
        <v>4562.1196</v>
      </c>
      <c r="E1070" s="181" t="n">
        <v>47.9504</v>
      </c>
      <c r="F1070" s="181" t="n">
        <v>2299.2379</v>
      </c>
      <c r="G1070" s="181" t="n">
        <v>1115136</v>
      </c>
      <c r="H1070" s="181" t="inlineStr"/>
      <c r="I1070" s="181" t="inlineStr"/>
    </row>
    <row r="1071" ht="15" customHeight="1" s="28">
      <c r="A1071" s="182" t="n">
        <v>1058</v>
      </c>
      <c r="B1071" s="182" t="n">
        <v>1057</v>
      </c>
      <c r="C1071" s="182" t="n">
        <v>4610.27</v>
      </c>
      <c r="D1071" s="182" t="n">
        <v>4561.8657</v>
      </c>
      <c r="E1071" s="182" t="n">
        <v>48.4043</v>
      </c>
      <c r="F1071" s="182" t="n">
        <v>2342.9728</v>
      </c>
      <c r="G1071" s="182" t="n">
        <v>1117249</v>
      </c>
      <c r="H1071" s="182" t="inlineStr"/>
      <c r="I1071" s="182" t="inlineStr"/>
    </row>
    <row r="1072" ht="15" customHeight="1" s="28">
      <c r="A1072" s="181" t="n">
        <v>1059</v>
      </c>
      <c r="B1072" s="181" t="n">
        <v>1058</v>
      </c>
      <c r="C1072" s="181" t="n">
        <v>4605.07</v>
      </c>
      <c r="D1072" s="181" t="n">
        <v>4561.6118</v>
      </c>
      <c r="E1072" s="181" t="n">
        <v>43.4582</v>
      </c>
      <c r="F1072" s="181" t="n">
        <v>1888.6116</v>
      </c>
      <c r="G1072" s="181" t="n">
        <v>1119364</v>
      </c>
      <c r="H1072" s="181" t="inlineStr"/>
      <c r="I1072" s="181" t="inlineStr"/>
    </row>
    <row r="1073" ht="15" customHeight="1" s="28">
      <c r="A1073" s="182" t="n">
        <v>1060</v>
      </c>
      <c r="B1073" s="182" t="n">
        <v>1059</v>
      </c>
      <c r="C1073" s="182" t="n">
        <v>4615.09</v>
      </c>
      <c r="D1073" s="182" t="n">
        <v>4561.3579</v>
      </c>
      <c r="E1073" s="182" t="n">
        <v>53.7321</v>
      </c>
      <c r="F1073" s="182" t="n">
        <v>2887.1338</v>
      </c>
      <c r="G1073" s="182" t="n">
        <v>1121481</v>
      </c>
      <c r="H1073" s="182" t="inlineStr"/>
      <c r="I1073" s="182" t="inlineStr"/>
    </row>
    <row r="1074" ht="15" customHeight="1" s="28">
      <c r="A1074" s="181" t="n">
        <v>1061</v>
      </c>
      <c r="B1074" s="181" t="n">
        <v>1060</v>
      </c>
      <c r="C1074" s="181" t="n">
        <v>4611.19</v>
      </c>
      <c r="D1074" s="181" t="n">
        <v>4561.104</v>
      </c>
      <c r="E1074" s="181" t="n">
        <v>50.086</v>
      </c>
      <c r="F1074" s="181" t="n">
        <v>2508.6025</v>
      </c>
      <c r="G1074" s="181" t="n">
        <v>1123600</v>
      </c>
      <c r="H1074" s="181" t="inlineStr"/>
      <c r="I1074" s="181" t="inlineStr"/>
    </row>
    <row r="1075" ht="15" customHeight="1" s="28">
      <c r="A1075" s="182" t="n">
        <v>1062</v>
      </c>
      <c r="B1075" s="182" t="n">
        <v>1061</v>
      </c>
      <c r="C1075" s="182" t="n">
        <v>4608.12</v>
      </c>
      <c r="D1075" s="182" t="n">
        <v>4560.8502</v>
      </c>
      <c r="E1075" s="182" t="n">
        <v>47.2698</v>
      </c>
      <c r="F1075" s="182" t="n">
        <v>2234.4384</v>
      </c>
      <c r="G1075" s="182" t="n">
        <v>1125721</v>
      </c>
      <c r="H1075" s="182" t="inlineStr"/>
      <c r="I1075" s="182" t="inlineStr"/>
    </row>
    <row r="1076" ht="15" customHeight="1" s="28">
      <c r="A1076" s="181" t="n">
        <v>1063</v>
      </c>
      <c r="B1076" s="181" t="n">
        <v>1062</v>
      </c>
      <c r="C1076" s="181" t="n">
        <v>4609.32</v>
      </c>
      <c r="D1076" s="181" t="n">
        <v>4560.5963</v>
      </c>
      <c r="E1076" s="181" t="n">
        <v>48.7237</v>
      </c>
      <c r="F1076" s="181" t="n">
        <v>2374.003</v>
      </c>
      <c r="G1076" s="181" t="n">
        <v>1127844</v>
      </c>
      <c r="H1076" s="181" t="inlineStr"/>
      <c r="I1076" s="181" t="inlineStr"/>
    </row>
    <row r="1077" ht="15" customHeight="1" s="28">
      <c r="A1077" s="182" t="n">
        <v>1064</v>
      </c>
      <c r="B1077" s="182" t="n">
        <v>1063</v>
      </c>
      <c r="C1077" s="182" t="n">
        <v>4606</v>
      </c>
      <c r="D1077" s="182" t="n">
        <v>4560.3424</v>
      </c>
      <c r="E1077" s="182" t="n">
        <v>45.6576</v>
      </c>
      <c r="F1077" s="182" t="n">
        <v>2084.6198</v>
      </c>
      <c r="G1077" s="182" t="n">
        <v>1129969</v>
      </c>
      <c r="H1077" s="182" t="inlineStr"/>
      <c r="I1077" s="182" t="inlineStr"/>
    </row>
    <row r="1078" ht="15" customHeight="1" s="28">
      <c r="A1078" s="181" t="n">
        <v>1065</v>
      </c>
      <c r="B1078" s="181" t="n">
        <v>1064</v>
      </c>
      <c r="C1078" s="181" t="n">
        <v>4603.74</v>
      </c>
      <c r="D1078" s="181" t="n">
        <v>4560.0885</v>
      </c>
      <c r="E1078" s="181" t="n">
        <v>43.6515</v>
      </c>
      <c r="F1078" s="181" t="n">
        <v>1905.4563</v>
      </c>
      <c r="G1078" s="181" t="n">
        <v>1132096</v>
      </c>
      <c r="H1078" s="181" t="inlineStr"/>
      <c r="I1078" s="181" t="inlineStr"/>
    </row>
    <row r="1079" ht="15" customHeight="1" s="28">
      <c r="A1079" s="182" t="n">
        <v>1066</v>
      </c>
      <c r="B1079" s="182" t="n">
        <v>1065</v>
      </c>
      <c r="C1079" s="182" t="n">
        <v>4596.32</v>
      </c>
      <c r="D1079" s="182" t="n">
        <v>4559.8346</v>
      </c>
      <c r="E1079" s="182" t="n">
        <v>36.4854</v>
      </c>
      <c r="F1079" s="182" t="n">
        <v>1331.1865</v>
      </c>
      <c r="G1079" s="182" t="n">
        <v>1134225</v>
      </c>
      <c r="H1079" s="182" t="inlineStr"/>
      <c r="I1079" s="182" t="inlineStr"/>
    </row>
    <row r="1080" ht="15" customHeight="1" s="28">
      <c r="A1080" s="181" t="n">
        <v>1067</v>
      </c>
      <c r="B1080" s="181" t="n">
        <v>1066</v>
      </c>
      <c r="C1080" s="181" t="n">
        <v>4598.85</v>
      </c>
      <c r="D1080" s="181" t="n">
        <v>4559.5807</v>
      </c>
      <c r="E1080" s="181" t="n">
        <v>39.2693</v>
      </c>
      <c r="F1080" s="181" t="n">
        <v>1542.0798</v>
      </c>
      <c r="G1080" s="181" t="n">
        <v>1136356</v>
      </c>
      <c r="H1080" s="181" t="inlineStr"/>
      <c r="I1080" s="181" t="inlineStr"/>
    </row>
    <row r="1081" ht="15" customHeight="1" s="28">
      <c r="A1081" s="182" t="n">
        <v>1068</v>
      </c>
      <c r="B1081" s="182" t="n">
        <v>1067</v>
      </c>
      <c r="C1081" s="182" t="n">
        <v>4599.12</v>
      </c>
      <c r="D1081" s="182" t="n">
        <v>4559.3268</v>
      </c>
      <c r="E1081" s="182" t="n">
        <v>39.7932</v>
      </c>
      <c r="F1081" s="182" t="n">
        <v>1583.5003</v>
      </c>
      <c r="G1081" s="182" t="n">
        <v>1138489</v>
      </c>
      <c r="H1081" s="182" t="inlineStr"/>
      <c r="I1081" s="182" t="inlineStr"/>
    </row>
    <row r="1082" ht="15" customHeight="1" s="28">
      <c r="A1082" s="181" t="n">
        <v>1069</v>
      </c>
      <c r="B1082" s="181" t="n">
        <v>1068</v>
      </c>
      <c r="C1082" s="181" t="n">
        <v>4597.44</v>
      </c>
      <c r="D1082" s="181" t="n">
        <v>4559.0729</v>
      </c>
      <c r="E1082" s="181" t="n">
        <v>38.3671</v>
      </c>
      <c r="F1082" s="181" t="n">
        <v>1472.0355</v>
      </c>
      <c r="G1082" s="181" t="n">
        <v>1140624</v>
      </c>
      <c r="H1082" s="181" t="inlineStr"/>
      <c r="I1082" s="181" t="inlineStr"/>
    </row>
    <row r="1083" ht="15" customHeight="1" s="28">
      <c r="A1083" s="182" t="n">
        <v>1070</v>
      </c>
      <c r="B1083" s="182" t="n">
        <v>1069</v>
      </c>
      <c r="C1083" s="182" t="n">
        <v>4594.08</v>
      </c>
      <c r="D1083" s="182" t="n">
        <v>4558.819</v>
      </c>
      <c r="E1083" s="182" t="n">
        <v>35.261</v>
      </c>
      <c r="F1083" s="182" t="n">
        <v>1243.3388</v>
      </c>
      <c r="G1083" s="182" t="n">
        <v>1142761</v>
      </c>
      <c r="H1083" s="182" t="inlineStr"/>
      <c r="I1083" s="182" t="inlineStr"/>
    </row>
    <row r="1084" ht="15" customHeight="1" s="28">
      <c r="A1084" s="181" t="n">
        <v>1071</v>
      </c>
      <c r="B1084" s="181" t="n">
        <v>1070</v>
      </c>
      <c r="C1084" s="181" t="n">
        <v>4585.46</v>
      </c>
      <c r="D1084" s="181" t="n">
        <v>4558.5651</v>
      </c>
      <c r="E1084" s="181" t="n">
        <v>26.8949</v>
      </c>
      <c r="F1084" s="181" t="n">
        <v>723.3359</v>
      </c>
      <c r="G1084" s="181" t="n">
        <v>1144900</v>
      </c>
      <c r="H1084" s="181" t="inlineStr"/>
      <c r="I1084" s="181" t="inlineStr"/>
    </row>
    <row r="1085" ht="15" customHeight="1" s="28">
      <c r="A1085" s="182" t="n">
        <v>1072</v>
      </c>
      <c r="B1085" s="182" t="n">
        <v>1071</v>
      </c>
      <c r="C1085" s="182" t="n">
        <v>4588.54</v>
      </c>
      <c r="D1085" s="182" t="n">
        <v>4558.3112</v>
      </c>
      <c r="E1085" s="182" t="n">
        <v>30.2288</v>
      </c>
      <c r="F1085" s="182" t="n">
        <v>913.7804</v>
      </c>
      <c r="G1085" s="182" t="n">
        <v>1147041</v>
      </c>
      <c r="H1085" s="182" t="inlineStr"/>
      <c r="I1085" s="182" t="inlineStr"/>
    </row>
    <row r="1086" ht="15" customHeight="1" s="28">
      <c r="A1086" s="181" t="n">
        <v>1073</v>
      </c>
      <c r="B1086" s="181" t="n">
        <v>1072</v>
      </c>
      <c r="C1086" s="181" t="n">
        <v>4592.16</v>
      </c>
      <c r="D1086" s="181" t="n">
        <v>4558.0573</v>
      </c>
      <c r="E1086" s="181" t="n">
        <v>34.1027</v>
      </c>
      <c r="F1086" s="181" t="n">
        <v>1162.9939</v>
      </c>
      <c r="G1086" s="181" t="n">
        <v>1149184</v>
      </c>
      <c r="H1086" s="181" t="inlineStr"/>
      <c r="I1086" s="181" t="inlineStr"/>
    </row>
    <row r="1087" ht="15" customHeight="1" s="28">
      <c r="A1087" s="182" t="n">
        <v>1074</v>
      </c>
      <c r="B1087" s="182" t="n">
        <v>1073</v>
      </c>
      <c r="C1087" s="182" t="n">
        <v>4585.82</v>
      </c>
      <c r="D1087" s="182" t="n">
        <v>4557.8034</v>
      </c>
      <c r="E1087" s="182" t="n">
        <v>28.0166</v>
      </c>
      <c r="F1087" s="182" t="n">
        <v>784.9294</v>
      </c>
      <c r="G1087" s="182" t="n">
        <v>1151329</v>
      </c>
      <c r="H1087" s="182" t="inlineStr"/>
      <c r="I1087" s="182" t="inlineStr"/>
    </row>
    <row r="1088" ht="15" customHeight="1" s="28">
      <c r="A1088" s="181" t="n">
        <v>1075</v>
      </c>
      <c r="B1088" s="181" t="n">
        <v>1074</v>
      </c>
      <c r="C1088" s="181" t="n">
        <v>4587.99</v>
      </c>
      <c r="D1088" s="181" t="n">
        <v>4557.5495</v>
      </c>
      <c r="E1088" s="181" t="n">
        <v>30.4405</v>
      </c>
      <c r="F1088" s="181" t="n">
        <v>926.6233</v>
      </c>
      <c r="G1088" s="181" t="n">
        <v>1153476</v>
      </c>
      <c r="H1088" s="181" t="inlineStr"/>
      <c r="I1088" s="181" t="inlineStr"/>
    </row>
    <row r="1089" ht="15" customHeight="1" s="28">
      <c r="A1089" s="182" t="n">
        <v>1076</v>
      </c>
      <c r="B1089" s="182" t="n">
        <v>1075</v>
      </c>
      <c r="C1089" s="182" t="n">
        <v>4579.06</v>
      </c>
      <c r="D1089" s="182" t="n">
        <v>4557.2956</v>
      </c>
      <c r="E1089" s="182" t="n">
        <v>21.7644</v>
      </c>
      <c r="F1089" s="182" t="n">
        <v>473.6884</v>
      </c>
      <c r="G1089" s="182" t="n">
        <v>1155625</v>
      </c>
      <c r="H1089" s="182" t="inlineStr"/>
      <c r="I1089" s="182" t="inlineStr"/>
    </row>
    <row r="1090" ht="15" customHeight="1" s="28">
      <c r="A1090" s="181" t="n">
        <v>1077</v>
      </c>
      <c r="B1090" s="181" t="n">
        <v>1076</v>
      </c>
      <c r="C1090" s="181" t="n">
        <v>4580.25</v>
      </c>
      <c r="D1090" s="181" t="n">
        <v>4557.0417</v>
      </c>
      <c r="E1090" s="181" t="n">
        <v>23.2083</v>
      </c>
      <c r="F1090" s="181" t="n">
        <v>538.6242</v>
      </c>
      <c r="G1090" s="181" t="n">
        <v>1157776</v>
      </c>
      <c r="H1090" s="181" t="inlineStr"/>
      <c r="I1090" s="181" t="inlineStr"/>
    </row>
    <row r="1091" ht="15" customHeight="1" s="28">
      <c r="A1091" s="182" t="n">
        <v>1078</v>
      </c>
      <c r="B1091" s="182" t="n">
        <v>1077</v>
      </c>
      <c r="C1091" s="182" t="n">
        <v>4575.07</v>
      </c>
      <c r="D1091" s="182" t="n">
        <v>4556.7878</v>
      </c>
      <c r="E1091" s="182" t="n">
        <v>18.2822</v>
      </c>
      <c r="F1091" s="182" t="n">
        <v>334.2379</v>
      </c>
      <c r="G1091" s="182" t="n">
        <v>1159929</v>
      </c>
      <c r="H1091" s="182" t="inlineStr"/>
      <c r="I1091" s="182" t="inlineStr"/>
    </row>
    <row r="1092" ht="15" customHeight="1" s="28">
      <c r="A1092" s="181" t="n">
        <v>1079</v>
      </c>
      <c r="B1092" s="181" t="n">
        <v>1078</v>
      </c>
      <c r="C1092" s="181" t="n">
        <v>4578.09</v>
      </c>
      <c r="D1092" s="181" t="n">
        <v>4556.5339</v>
      </c>
      <c r="E1092" s="181" t="n">
        <v>21.5561</v>
      </c>
      <c r="F1092" s="181" t="n">
        <v>464.6641</v>
      </c>
      <c r="G1092" s="181" t="n">
        <v>1162084</v>
      </c>
      <c r="H1092" s="181" t="inlineStr"/>
      <c r="I1092" s="181" t="inlineStr"/>
    </row>
    <row r="1093" ht="15" customHeight="1" s="28">
      <c r="A1093" s="182" t="n">
        <v>1080</v>
      </c>
      <c r="B1093" s="182" t="n">
        <v>1079</v>
      </c>
      <c r="C1093" s="182" t="n">
        <v>4577.11</v>
      </c>
      <c r="D1093" s="182" t="n">
        <v>4556.28</v>
      </c>
      <c r="E1093" s="182" t="n">
        <v>20.83</v>
      </c>
      <c r="F1093" s="182" t="n">
        <v>433.8874</v>
      </c>
      <c r="G1093" s="182" t="n">
        <v>1164241</v>
      </c>
      <c r="H1093" s="182" t="inlineStr"/>
      <c r="I1093" s="182" t="inlineStr"/>
    </row>
    <row r="1094" ht="15" customHeight="1" s="28">
      <c r="A1094" s="181" t="n">
        <v>1081</v>
      </c>
      <c r="B1094" s="181" t="n">
        <v>1080</v>
      </c>
      <c r="C1094" s="181" t="n">
        <v>4584.21</v>
      </c>
      <c r="D1094" s="181" t="n">
        <v>4556.0261</v>
      </c>
      <c r="E1094" s="181" t="n">
        <v>28.1839</v>
      </c>
      <c r="F1094" s="181" t="n">
        <v>794.33</v>
      </c>
      <c r="G1094" s="181" t="n">
        <v>1166400</v>
      </c>
      <c r="H1094" s="181" t="inlineStr"/>
      <c r="I1094" s="181" t="inlineStr"/>
    </row>
    <row r="1095" ht="15" customHeight="1" s="28">
      <c r="A1095" s="182" t="n">
        <v>1082</v>
      </c>
      <c r="B1095" s="182" t="n">
        <v>1081</v>
      </c>
      <c r="C1095" s="182" t="n">
        <v>4581.15</v>
      </c>
      <c r="D1095" s="182" t="n">
        <v>4555.7722</v>
      </c>
      <c r="E1095" s="182" t="n">
        <v>25.3778</v>
      </c>
      <c r="F1095" s="182" t="n">
        <v>644.0305</v>
      </c>
      <c r="G1095" s="182" t="n">
        <v>1168561</v>
      </c>
      <c r="H1095" s="182" t="inlineStr"/>
      <c r="I1095" s="182" t="inlineStr"/>
    </row>
    <row r="1096" ht="15" customHeight="1" s="28">
      <c r="A1096" s="181" t="n">
        <v>1083</v>
      </c>
      <c r="B1096" s="181" t="n">
        <v>1082</v>
      </c>
      <c r="C1096" s="181" t="n">
        <v>4581.26</v>
      </c>
      <c r="D1096" s="181" t="n">
        <v>4555.5183</v>
      </c>
      <c r="E1096" s="181" t="n">
        <v>25.7417</v>
      </c>
      <c r="F1096" s="181" t="n">
        <v>662.6326</v>
      </c>
      <c r="G1096" s="181" t="n">
        <v>1170724</v>
      </c>
      <c r="H1096" s="181" t="inlineStr"/>
      <c r="I1096" s="181" t="inlineStr"/>
    </row>
    <row r="1097" ht="15" customHeight="1" s="28">
      <c r="A1097" s="182" t="n">
        <v>1084</v>
      </c>
      <c r="B1097" s="182" t="n">
        <v>1083</v>
      </c>
      <c r="C1097" s="182" t="n">
        <v>4575.47</v>
      </c>
      <c r="D1097" s="182" t="n">
        <v>4555.2645</v>
      </c>
      <c r="E1097" s="182" t="n">
        <v>20.2055</v>
      </c>
      <c r="F1097" s="182" t="n">
        <v>408.2641</v>
      </c>
      <c r="G1097" s="182" t="n">
        <v>1172889</v>
      </c>
      <c r="H1097" s="182" t="inlineStr"/>
      <c r="I1097" s="182" t="inlineStr"/>
    </row>
    <row r="1098" ht="15" customHeight="1" s="28">
      <c r="A1098" s="181" t="n">
        <v>1085</v>
      </c>
      <c r="B1098" s="181" t="n">
        <v>1084</v>
      </c>
      <c r="C1098" s="181" t="n">
        <v>4541.79</v>
      </c>
      <c r="D1098" s="181" t="n">
        <v>4555.0106</v>
      </c>
      <c r="E1098" s="181" t="n">
        <v>-13.2206</v>
      </c>
      <c r="F1098" s="181" t="n">
        <v>174.7831</v>
      </c>
      <c r="G1098" s="181" t="n">
        <v>1175056</v>
      </c>
      <c r="H1098" s="181" t="inlineStr"/>
      <c r="I1098" s="181" t="inlineStr"/>
    </row>
    <row r="1099" ht="15" customHeight="1" s="28">
      <c r="A1099" s="182" t="n">
        <v>1086</v>
      </c>
      <c r="B1099" s="182" t="n">
        <v>1085</v>
      </c>
      <c r="C1099" s="182" t="n">
        <v>4545</v>
      </c>
      <c r="D1099" s="182" t="n">
        <v>4554.7567</v>
      </c>
      <c r="E1099" s="182" t="n">
        <v>-9.7567</v>
      </c>
      <c r="F1099" s="182" t="n">
        <v>95.1925</v>
      </c>
      <c r="G1099" s="182" t="n">
        <v>1177225</v>
      </c>
      <c r="H1099" s="182" t="inlineStr"/>
      <c r="I1099" s="182" t="inlineStr"/>
    </row>
    <row r="1100" ht="15" customHeight="1" s="28">
      <c r="A1100" s="181" t="n">
        <v>1087</v>
      </c>
      <c r="B1100" s="181" t="n">
        <v>1086</v>
      </c>
      <c r="C1100" s="181" t="n">
        <v>4558.64</v>
      </c>
      <c r="D1100" s="181" t="n">
        <v>4554.5028</v>
      </c>
      <c r="E1100" s="181" t="n">
        <v>4.1372</v>
      </c>
      <c r="F1100" s="181" t="n">
        <v>17.1167</v>
      </c>
      <c r="G1100" s="181" t="n">
        <v>1179396</v>
      </c>
      <c r="H1100" s="181" t="inlineStr"/>
      <c r="I1100" s="181" t="inlineStr"/>
    </row>
    <row r="1101" ht="15" customHeight="1" s="28">
      <c r="A1101" s="182" t="n">
        <v>1088</v>
      </c>
      <c r="B1101" s="182" t="n">
        <v>1087</v>
      </c>
      <c r="C1101" s="182" t="n">
        <v>4562.67</v>
      </c>
      <c r="D1101" s="182" t="n">
        <v>4554.2489</v>
      </c>
      <c r="E1101" s="182" t="n">
        <v>8.421099999999999</v>
      </c>
      <c r="F1101" s="182" t="n">
        <v>70.91540000000001</v>
      </c>
      <c r="G1101" s="182" t="n">
        <v>1181569</v>
      </c>
      <c r="H1101" s="182" t="inlineStr"/>
      <c r="I1101" s="182" t="inlineStr"/>
    </row>
    <row r="1102" ht="15" customHeight="1" s="28">
      <c r="A1102" s="181" t="n">
        <v>1089</v>
      </c>
      <c r="B1102" s="181" t="n">
        <v>1088</v>
      </c>
      <c r="C1102" s="181" t="n">
        <v>4565.34</v>
      </c>
      <c r="D1102" s="181" t="n">
        <v>4553.995</v>
      </c>
      <c r="E1102" s="181" t="n">
        <v>11.345</v>
      </c>
      <c r="F1102" s="181" t="n">
        <v>128.7096</v>
      </c>
      <c r="G1102" s="181" t="n">
        <v>1183744</v>
      </c>
      <c r="H1102" s="181" t="inlineStr"/>
      <c r="I1102" s="181" t="inlineStr"/>
    </row>
    <row r="1103" ht="15" customHeight="1" s="28">
      <c r="A1103" s="182" t="n">
        <v>1090</v>
      </c>
      <c r="B1103" s="182" t="n">
        <v>1089</v>
      </c>
      <c r="C1103" s="182" t="n">
        <v>4562.26</v>
      </c>
      <c r="D1103" s="182" t="n">
        <v>4553.7411</v>
      </c>
      <c r="E1103" s="182" t="n">
        <v>8.5189</v>
      </c>
      <c r="F1103" s="182" t="n">
        <v>72.572</v>
      </c>
      <c r="G1103" s="182" t="n">
        <v>1185921</v>
      </c>
      <c r="H1103" s="182" t="inlineStr"/>
      <c r="I1103" s="182" t="inlineStr"/>
    </row>
    <row r="1104" ht="15" customHeight="1" s="28">
      <c r="A1104" s="181" t="n">
        <v>1091</v>
      </c>
      <c r="B1104" s="181" t="n">
        <v>1090</v>
      </c>
      <c r="C1104" s="181" t="n">
        <v>4553.65</v>
      </c>
      <c r="D1104" s="181" t="n">
        <v>4553.4872</v>
      </c>
      <c r="E1104" s="181" t="n">
        <v>0.1628</v>
      </c>
      <c r="F1104" s="181" t="n">
        <v>0.0265</v>
      </c>
      <c r="G1104" s="181" t="n">
        <v>1188100</v>
      </c>
      <c r="H1104" s="181" t="inlineStr"/>
      <c r="I1104" s="181" t="inlineStr"/>
    </row>
    <row r="1105" ht="15" customHeight="1" s="28">
      <c r="A1105" s="182" t="n">
        <v>1092</v>
      </c>
      <c r="B1105" s="182" t="n">
        <v>1091</v>
      </c>
      <c r="C1105" s="182" t="n">
        <v>4559.94</v>
      </c>
      <c r="D1105" s="182" t="n">
        <v>4553.2333</v>
      </c>
      <c r="E1105" s="182" t="n">
        <v>6.7067</v>
      </c>
      <c r="F1105" s="182" t="n">
        <v>44.98</v>
      </c>
      <c r="G1105" s="182" t="n">
        <v>1190281</v>
      </c>
      <c r="H1105" s="182" t="inlineStr"/>
      <c r="I1105" s="182" t="inlineStr"/>
    </row>
    <row r="1106" ht="15" customHeight="1" s="28">
      <c r="A1106" s="181" t="n">
        <v>1093</v>
      </c>
      <c r="B1106" s="181" t="n">
        <v>1092</v>
      </c>
      <c r="C1106" s="181" t="n">
        <v>4563.67</v>
      </c>
      <c r="D1106" s="181" t="n">
        <v>4552.9794</v>
      </c>
      <c r="E1106" s="181" t="n">
        <v>10.6906</v>
      </c>
      <c r="F1106" s="181" t="n">
        <v>114.2891</v>
      </c>
      <c r="G1106" s="181" t="n">
        <v>1192464</v>
      </c>
      <c r="H1106" s="181" t="inlineStr"/>
      <c r="I1106" s="181" t="inlineStr"/>
    </row>
    <row r="1107" ht="15" customHeight="1" s="28">
      <c r="A1107" s="182" t="n">
        <v>1094</v>
      </c>
      <c r="B1107" s="182" t="n">
        <v>1093</v>
      </c>
      <c r="C1107" s="182" t="n">
        <v>4568.68</v>
      </c>
      <c r="D1107" s="182" t="n">
        <v>4552.7255</v>
      </c>
      <c r="E1107" s="182" t="n">
        <v>15.9545</v>
      </c>
      <c r="F1107" s="182" t="n">
        <v>254.5461</v>
      </c>
      <c r="G1107" s="182" t="n">
        <v>1194649</v>
      </c>
      <c r="H1107" s="182" t="inlineStr"/>
      <c r="I1107" s="182" t="inlineStr"/>
    </row>
    <row r="1108" ht="15" customHeight="1" s="28">
      <c r="A1108" s="181" t="n">
        <v>1095</v>
      </c>
      <c r="B1108" s="181" t="n">
        <v>1094</v>
      </c>
      <c r="C1108" s="181" t="n">
        <v>4570.1</v>
      </c>
      <c r="D1108" s="181" t="n">
        <v>4552.4716</v>
      </c>
      <c r="E1108" s="181" t="n">
        <v>17.6284</v>
      </c>
      <c r="F1108" s="181" t="n">
        <v>310.7604</v>
      </c>
      <c r="G1108" s="181" t="n">
        <v>1196836</v>
      </c>
      <c r="H1108" s="181" t="inlineStr"/>
      <c r="I1108" s="181" t="inlineStr"/>
    </row>
    <row r="1109" ht="15" customHeight="1" s="28">
      <c r="A1109" s="182" t="n">
        <v>1096</v>
      </c>
      <c r="B1109" s="182" t="n">
        <v>1095</v>
      </c>
      <c r="C1109" s="182" t="n">
        <v>4568.79</v>
      </c>
      <c r="D1109" s="182" t="n">
        <v>4552.2177</v>
      </c>
      <c r="E1109" s="182" t="n">
        <v>16.5723</v>
      </c>
      <c r="F1109" s="182" t="n">
        <v>274.6409</v>
      </c>
      <c r="G1109" s="182" t="n">
        <v>1199025</v>
      </c>
      <c r="H1109" s="182" t="inlineStr"/>
      <c r="I1109" s="182" t="inlineStr"/>
    </row>
    <row r="1110" ht="15" customHeight="1" s="28">
      <c r="A1110" s="181" t="n">
        <v>1097</v>
      </c>
      <c r="B1110" s="181" t="n">
        <v>1096</v>
      </c>
      <c r="C1110" s="181" t="n">
        <v>4565.98</v>
      </c>
      <c r="D1110" s="181" t="n">
        <v>4551.9638</v>
      </c>
      <c r="E1110" s="181" t="n">
        <v>14.0162</v>
      </c>
      <c r="F1110" s="181" t="n">
        <v>196.4535</v>
      </c>
      <c r="G1110" s="181" t="n">
        <v>1201216</v>
      </c>
      <c r="H1110" s="181" t="inlineStr"/>
      <c r="I1110" s="181" t="inlineStr"/>
    </row>
    <row r="1111" ht="15" customHeight="1" s="28">
      <c r="A1111" s="182" t="n">
        <v>1098</v>
      </c>
      <c r="B1111" s="182" t="n">
        <v>1097</v>
      </c>
      <c r="C1111" s="182" t="n">
        <v>4561.09</v>
      </c>
      <c r="D1111" s="182" t="n">
        <v>4551.7099</v>
      </c>
      <c r="E1111" s="182" t="n">
        <v>9.380100000000001</v>
      </c>
      <c r="F1111" s="182" t="n">
        <v>87.986</v>
      </c>
      <c r="G1111" s="182" t="n">
        <v>1203409</v>
      </c>
      <c r="H1111" s="182" t="inlineStr"/>
      <c r="I1111" s="182" t="inlineStr"/>
    </row>
    <row r="1112" ht="15" customHeight="1" s="28">
      <c r="A1112" s="181" t="n">
        <v>1099</v>
      </c>
      <c r="B1112" s="181" t="n">
        <v>1098</v>
      </c>
      <c r="C1112" s="181" t="n">
        <v>4565.51</v>
      </c>
      <c r="D1112" s="181" t="n">
        <v>4551.456</v>
      </c>
      <c r="E1112" s="181" t="n">
        <v>14.054</v>
      </c>
      <c r="F1112" s="181" t="n">
        <v>197.5143</v>
      </c>
      <c r="G1112" s="181" t="n">
        <v>1205604</v>
      </c>
      <c r="H1112" s="181" t="inlineStr"/>
      <c r="I1112" s="181" t="inlineStr"/>
    </row>
    <row r="1113" ht="15" customHeight="1" s="28">
      <c r="A1113" s="182" t="n">
        <v>1100</v>
      </c>
      <c r="B1113" s="182" t="n">
        <v>1099</v>
      </c>
      <c r="C1113" s="182" t="n">
        <v>4563.85</v>
      </c>
      <c r="D1113" s="182" t="n">
        <v>4551.2021</v>
      </c>
      <c r="E1113" s="182" t="n">
        <v>12.6479</v>
      </c>
      <c r="F1113" s="182" t="n">
        <v>159.9687</v>
      </c>
      <c r="G1113" s="182" t="n">
        <v>1207801</v>
      </c>
      <c r="H1113" s="182" t="inlineStr"/>
      <c r="I1113" s="182" t="inlineStr"/>
    </row>
    <row r="1114" ht="15" customHeight="1" s="28">
      <c r="A1114" s="181" t="n">
        <v>1101</v>
      </c>
      <c r="B1114" s="181" t="n">
        <v>1100</v>
      </c>
      <c r="C1114" s="181" t="n">
        <v>4560.18</v>
      </c>
      <c r="D1114" s="181" t="n">
        <v>4550.9482</v>
      </c>
      <c r="E1114" s="181" t="n">
        <v>9.2318</v>
      </c>
      <c r="F1114" s="181" t="n">
        <v>85.2256</v>
      </c>
      <c r="G1114" s="181" t="n">
        <v>1210000</v>
      </c>
      <c r="H1114" s="181" t="inlineStr"/>
      <c r="I1114" s="181" t="inlineStr"/>
    </row>
    <row r="1115" ht="15" customHeight="1" s="28">
      <c r="A1115" s="182" t="n">
        <v>1102</v>
      </c>
      <c r="B1115" s="182" t="n">
        <v>1101</v>
      </c>
      <c r="C1115" s="182" t="n">
        <v>4571.2</v>
      </c>
      <c r="D1115" s="182" t="n">
        <v>4550.6943</v>
      </c>
      <c r="E1115" s="182" t="n">
        <v>20.5057</v>
      </c>
      <c r="F1115" s="182" t="n">
        <v>420.4823</v>
      </c>
      <c r="G1115" s="182" t="n">
        <v>1212201</v>
      </c>
      <c r="H1115" s="182" t="inlineStr"/>
      <c r="I1115" s="182" t="inlineStr"/>
    </row>
    <row r="1116" ht="15" customHeight="1" s="28">
      <c r="A1116" s="181" t="n">
        <v>1103</v>
      </c>
      <c r="B1116" s="181" t="n">
        <v>1102</v>
      </c>
      <c r="C1116" s="181" t="n">
        <v>4574.38</v>
      </c>
      <c r="D1116" s="181" t="n">
        <v>4550.4404</v>
      </c>
      <c r="E1116" s="181" t="n">
        <v>23.9396</v>
      </c>
      <c r="F1116" s="181" t="n">
        <v>573.1026000000001</v>
      </c>
      <c r="G1116" s="181" t="n">
        <v>1214404</v>
      </c>
      <c r="H1116" s="181" t="inlineStr"/>
      <c r="I1116" s="181" t="inlineStr"/>
    </row>
    <row r="1117" ht="15" customHeight="1" s="28">
      <c r="A1117" s="182" t="n">
        <v>1104</v>
      </c>
      <c r="B1117" s="182" t="n">
        <v>1103</v>
      </c>
      <c r="C1117" s="182" t="n">
        <v>4561.26</v>
      </c>
      <c r="D1117" s="182" t="n">
        <v>4550.1865</v>
      </c>
      <c r="E1117" s="182" t="n">
        <v>11.0735</v>
      </c>
      <c r="F1117" s="182" t="n">
        <v>122.6214</v>
      </c>
      <c r="G1117" s="182" t="n">
        <v>1216609</v>
      </c>
      <c r="H1117" s="182" t="inlineStr"/>
      <c r="I1117" s="182" t="inlineStr"/>
    </row>
    <row r="1118" ht="15" customHeight="1" s="28">
      <c r="A1118" s="181" t="n">
        <v>1105</v>
      </c>
      <c r="B1118" s="181" t="n">
        <v>1104</v>
      </c>
      <c r="C1118" s="181" t="n">
        <v>4548.46</v>
      </c>
      <c r="D1118" s="181" t="n">
        <v>4549.9326</v>
      </c>
      <c r="E1118" s="181" t="n">
        <v>-1.4726</v>
      </c>
      <c r="F1118" s="181" t="n">
        <v>2.1687</v>
      </c>
      <c r="G1118" s="181" t="n">
        <v>1218816</v>
      </c>
      <c r="H1118" s="181" t="inlineStr"/>
      <c r="I1118" s="181" t="inlineStr"/>
    </row>
    <row r="1119" ht="15" customHeight="1" s="28">
      <c r="A1119" s="182" t="n">
        <v>1106</v>
      </c>
      <c r="B1119" s="182" t="n">
        <v>1105</v>
      </c>
      <c r="C1119" s="182" t="n">
        <v>4537.95</v>
      </c>
      <c r="D1119" s="182" t="n">
        <v>4549.6788</v>
      </c>
      <c r="E1119" s="182" t="n">
        <v>-11.7288</v>
      </c>
      <c r="F1119" s="182" t="n">
        <v>137.5636</v>
      </c>
      <c r="G1119" s="182" t="n">
        <v>1221025</v>
      </c>
      <c r="H1119" s="182" t="inlineStr"/>
      <c r="I1119" s="182" t="inlineStr"/>
    </row>
    <row r="1120" ht="15" customHeight="1" s="28">
      <c r="A1120" s="181" t="n">
        <v>1107</v>
      </c>
      <c r="B1120" s="181" t="n">
        <v>1106</v>
      </c>
      <c r="C1120" s="181" t="n">
        <v>4535.1</v>
      </c>
      <c r="D1120" s="181" t="n">
        <v>4549.4249</v>
      </c>
      <c r="E1120" s="181" t="n">
        <v>-14.3249</v>
      </c>
      <c r="F1120" s="181" t="n">
        <v>205.2015</v>
      </c>
      <c r="G1120" s="181" t="n">
        <v>1223236</v>
      </c>
      <c r="H1120" s="181" t="inlineStr"/>
      <c r="I1120" s="181" t="inlineStr"/>
    </row>
    <row r="1121" ht="15" customHeight="1" s="28">
      <c r="A1121" s="182" t="n">
        <v>1108</v>
      </c>
      <c r="B1121" s="182" t="n">
        <v>1107</v>
      </c>
      <c r="C1121" s="182" t="n">
        <v>4521.33</v>
      </c>
      <c r="D1121" s="182" t="n">
        <v>4549.171</v>
      </c>
      <c r="E1121" s="182" t="n">
        <v>-27.841</v>
      </c>
      <c r="F1121" s="182" t="n">
        <v>775.1191</v>
      </c>
      <c r="G1121" s="182" t="n">
        <v>1225449</v>
      </c>
      <c r="H1121" s="182" t="inlineStr"/>
      <c r="I1121" s="182" t="inlineStr"/>
    </row>
    <row r="1122" ht="15" customHeight="1" s="28">
      <c r="A1122" s="181" t="n">
        <v>1109</v>
      </c>
      <c r="B1122" s="181" t="n">
        <v>1108</v>
      </c>
      <c r="C1122" s="181" t="n">
        <v>4509.88</v>
      </c>
      <c r="D1122" s="181" t="n">
        <v>4548.9171</v>
      </c>
      <c r="E1122" s="181" t="n">
        <v>-39.0371</v>
      </c>
      <c r="F1122" s="181" t="n">
        <v>1523.8925</v>
      </c>
      <c r="G1122" s="181" t="n">
        <v>1227664</v>
      </c>
      <c r="H1122" s="181" t="inlineStr"/>
      <c r="I1122" s="181" t="inlineStr"/>
    </row>
    <row r="1123" ht="15" customHeight="1" s="28">
      <c r="A1123" s="182" t="n">
        <v>1110</v>
      </c>
      <c r="B1123" s="182" t="n">
        <v>1109</v>
      </c>
      <c r="C1123" s="182" t="n">
        <v>4515.03</v>
      </c>
      <c r="D1123" s="182" t="n">
        <v>4548.6632</v>
      </c>
      <c r="E1123" s="182" t="n">
        <v>-33.6332</v>
      </c>
      <c r="F1123" s="182" t="n">
        <v>1131.1901</v>
      </c>
      <c r="G1123" s="182" t="n">
        <v>1229881</v>
      </c>
      <c r="H1123" s="182" t="inlineStr"/>
      <c r="I1123" s="182" t="inlineStr"/>
    </row>
    <row r="1124" ht="15" customHeight="1" s="28">
      <c r="A1124" s="181" t="n">
        <v>1111</v>
      </c>
      <c r="B1124" s="181" t="n">
        <v>1110</v>
      </c>
      <c r="C1124" s="181" t="n">
        <v>4512.59</v>
      </c>
      <c r="D1124" s="181" t="n">
        <v>4548.4093</v>
      </c>
      <c r="E1124" s="181" t="n">
        <v>-35.8193</v>
      </c>
      <c r="F1124" s="181" t="n">
        <v>1283.0204</v>
      </c>
      <c r="G1124" s="181" t="n">
        <v>1232100</v>
      </c>
      <c r="H1124" s="181" t="inlineStr"/>
      <c r="I1124" s="181" t="inlineStr"/>
    </row>
    <row r="1125" ht="15" customHeight="1" s="28">
      <c r="A1125" s="182" t="n">
        <v>1112</v>
      </c>
      <c r="B1125" s="182" t="n">
        <v>1111</v>
      </c>
      <c r="C1125" s="182" t="n">
        <v>4510.69</v>
      </c>
      <c r="D1125" s="182" t="n">
        <v>4548.1554</v>
      </c>
      <c r="E1125" s="182" t="n">
        <v>-37.4654</v>
      </c>
      <c r="F1125" s="182" t="n">
        <v>1403.6546</v>
      </c>
      <c r="G1125" s="182" t="n">
        <v>1234321</v>
      </c>
      <c r="H1125" s="182" t="inlineStr"/>
      <c r="I1125" s="182" t="inlineStr"/>
    </row>
    <row r="1126" ht="15" customHeight="1" s="28">
      <c r="A1126" s="181" t="n">
        <v>1113</v>
      </c>
      <c r="B1126" s="181" t="n">
        <v>1112</v>
      </c>
      <c r="C1126" s="181" t="n">
        <v>4522.39</v>
      </c>
      <c r="D1126" s="181" t="n">
        <v>4547.9015</v>
      </c>
      <c r="E1126" s="181" t="n">
        <v>-25.5115</v>
      </c>
      <c r="F1126" s="181" t="n">
        <v>650.8357999999999</v>
      </c>
      <c r="G1126" s="181" t="n">
        <v>1236544</v>
      </c>
      <c r="H1126" s="181" t="inlineStr"/>
      <c r="I1126" s="181" t="inlineStr"/>
    </row>
    <row r="1127" ht="15" customHeight="1" s="28">
      <c r="A1127" s="182" t="n">
        <v>1114</v>
      </c>
      <c r="B1127" s="182" t="n">
        <v>1113</v>
      </c>
      <c r="C1127" s="182" t="n">
        <v>4524.38</v>
      </c>
      <c r="D1127" s="182" t="n">
        <v>4547.6476</v>
      </c>
      <c r="E1127" s="182" t="n">
        <v>-23.2676</v>
      </c>
      <c r="F1127" s="182" t="n">
        <v>541.3807</v>
      </c>
      <c r="G1127" s="182" t="n">
        <v>1238769</v>
      </c>
      <c r="H1127" s="182" t="inlineStr"/>
      <c r="I1127" s="182" t="inlineStr"/>
    </row>
    <row r="1128" ht="15" customHeight="1" s="28">
      <c r="A1128" s="181" t="n">
        <v>1115</v>
      </c>
      <c r="B1128" s="181" t="n">
        <v>1114</v>
      </c>
      <c r="C1128" s="181" t="n">
        <v>4526.1</v>
      </c>
      <c r="D1128" s="181" t="n">
        <v>4547.3937</v>
      </c>
      <c r="E1128" s="181" t="n">
        <v>-21.2937</v>
      </c>
      <c r="F1128" s="181" t="n">
        <v>453.4213</v>
      </c>
      <c r="G1128" s="181" t="n">
        <v>1240996</v>
      </c>
      <c r="H1128" s="181" t="inlineStr"/>
      <c r="I1128" s="181" t="inlineStr"/>
    </row>
    <row r="1129" ht="15" customHeight="1" s="28">
      <c r="A1129" s="182" t="n">
        <v>1116</v>
      </c>
      <c r="B1129" s="182" t="n">
        <v>1115</v>
      </c>
      <c r="C1129" s="182" t="n">
        <v>4522.35</v>
      </c>
      <c r="D1129" s="182" t="n">
        <v>4547.1398</v>
      </c>
      <c r="E1129" s="182" t="n">
        <v>-24.7898</v>
      </c>
      <c r="F1129" s="182" t="n">
        <v>614.534</v>
      </c>
      <c r="G1129" s="182" t="n">
        <v>1243225</v>
      </c>
      <c r="H1129" s="182" t="inlineStr"/>
      <c r="I1129" s="182" t="inlineStr"/>
    </row>
    <row r="1130" ht="15" customHeight="1" s="28">
      <c r="A1130" s="181" t="n">
        <v>1117</v>
      </c>
      <c r="B1130" s="181" t="n">
        <v>1116</v>
      </c>
      <c r="C1130" s="181" t="n">
        <v>4520.01</v>
      </c>
      <c r="D1130" s="181" t="n">
        <v>4546.8859</v>
      </c>
      <c r="E1130" s="181" t="n">
        <v>-26.8759</v>
      </c>
      <c r="F1130" s="181" t="n">
        <v>722.3141000000001</v>
      </c>
      <c r="G1130" s="181" t="n">
        <v>1245456</v>
      </c>
      <c r="H1130" s="181" t="inlineStr"/>
      <c r="I1130" s="181" t="inlineStr"/>
    </row>
    <row r="1131" ht="15" customHeight="1" s="28">
      <c r="A1131" s="182" t="n">
        <v>1118</v>
      </c>
      <c r="B1131" s="182" t="n">
        <v>1117</v>
      </c>
      <c r="C1131" s="182" t="n">
        <v>4511.95</v>
      </c>
      <c r="D1131" s="182" t="n">
        <v>4546.632</v>
      </c>
      <c r="E1131" s="182" t="n">
        <v>-34.682</v>
      </c>
      <c r="F1131" s="182" t="n">
        <v>1202.8415</v>
      </c>
      <c r="G1131" s="182" t="n">
        <v>1247689</v>
      </c>
      <c r="H1131" s="182" t="inlineStr"/>
      <c r="I1131" s="182" t="inlineStr"/>
    </row>
    <row r="1132" ht="15" customHeight="1" s="28">
      <c r="A1132" s="181" t="n">
        <v>1119</v>
      </c>
      <c r="B1132" s="181" t="n">
        <v>1118</v>
      </c>
      <c r="C1132" s="181" t="n">
        <v>4511.86</v>
      </c>
      <c r="D1132" s="181" t="n">
        <v>4546.3781</v>
      </c>
      <c r="E1132" s="181" t="n">
        <v>-34.5181</v>
      </c>
      <c r="F1132" s="181" t="n">
        <v>1191.5</v>
      </c>
      <c r="G1132" s="181" t="n">
        <v>1249924</v>
      </c>
      <c r="H1132" s="181" t="inlineStr"/>
      <c r="I1132" s="181" t="inlineStr"/>
    </row>
    <row r="1133" ht="15" customHeight="1" s="28">
      <c r="A1133" s="182" t="n">
        <v>1120</v>
      </c>
      <c r="B1133" s="182" t="n">
        <v>1119</v>
      </c>
      <c r="C1133" s="182" t="n">
        <v>4516.4</v>
      </c>
      <c r="D1133" s="182" t="n">
        <v>4546.1242</v>
      </c>
      <c r="E1133" s="182" t="n">
        <v>-29.7242</v>
      </c>
      <c r="F1133" s="182" t="n">
        <v>883.529</v>
      </c>
      <c r="G1133" s="182" t="n">
        <v>1252161</v>
      </c>
      <c r="H1133" s="182" t="inlineStr"/>
      <c r="I1133" s="182" t="inlineStr"/>
    </row>
    <row r="1134" ht="15" customHeight="1" s="28">
      <c r="A1134" s="181" t="n">
        <v>1121</v>
      </c>
      <c r="B1134" s="181" t="n">
        <v>1120</v>
      </c>
      <c r="C1134" s="181" t="n">
        <v>4519.05</v>
      </c>
      <c r="D1134" s="181" t="n">
        <v>4545.8703</v>
      </c>
      <c r="E1134" s="181" t="n">
        <v>-26.8203</v>
      </c>
      <c r="F1134" s="181" t="n">
        <v>719.3295000000001</v>
      </c>
      <c r="G1134" s="181" t="n">
        <v>1254400</v>
      </c>
      <c r="H1134" s="181" t="inlineStr"/>
      <c r="I1134" s="181" t="inlineStr"/>
    </row>
    <row r="1135" ht="15" customHeight="1" s="28">
      <c r="A1135" s="182" t="n">
        <v>1122</v>
      </c>
      <c r="B1135" s="182" t="n">
        <v>1121</v>
      </c>
      <c r="C1135" s="182" t="n">
        <v>4522.42</v>
      </c>
      <c r="D1135" s="182" t="n">
        <v>4545.6164</v>
      </c>
      <c r="E1135" s="182" t="n">
        <v>-23.1964</v>
      </c>
      <c r="F1135" s="182" t="n">
        <v>538.0741</v>
      </c>
      <c r="G1135" s="182" t="n">
        <v>1256641</v>
      </c>
      <c r="H1135" s="182" t="inlineStr"/>
      <c r="I1135" s="182" t="inlineStr"/>
    </row>
    <row r="1136" ht="15" customHeight="1" s="28">
      <c r="A1136" s="181" t="n">
        <v>1123</v>
      </c>
      <c r="B1136" s="181" t="n">
        <v>1122</v>
      </c>
      <c r="C1136" s="181" t="n">
        <v>4521.16</v>
      </c>
      <c r="D1136" s="181" t="n">
        <v>4545.3625</v>
      </c>
      <c r="E1136" s="181" t="n">
        <v>-24.2025</v>
      </c>
      <c r="F1136" s="181" t="n">
        <v>585.7624</v>
      </c>
      <c r="G1136" s="181" t="n">
        <v>1258884</v>
      </c>
      <c r="H1136" s="181" t="inlineStr"/>
      <c r="I1136" s="181" t="inlineStr"/>
    </row>
    <row r="1137" ht="15" customHeight="1" s="28">
      <c r="A1137" s="182" t="n">
        <v>1124</v>
      </c>
      <c r="B1137" s="182" t="n">
        <v>1123</v>
      </c>
      <c r="C1137" s="182" t="n">
        <v>4517.46</v>
      </c>
      <c r="D1137" s="182" t="n">
        <v>4545.1086</v>
      </c>
      <c r="E1137" s="182" t="n">
        <v>-27.6486</v>
      </c>
      <c r="F1137" s="182" t="n">
        <v>764.4469</v>
      </c>
      <c r="G1137" s="182" t="n">
        <v>1261129</v>
      </c>
      <c r="H1137" s="182" t="inlineStr"/>
      <c r="I1137" s="182" t="inlineStr"/>
    </row>
    <row r="1138" ht="15" customHeight="1" s="28">
      <c r="A1138" s="181" t="n">
        <v>1125</v>
      </c>
      <c r="B1138" s="181" t="n">
        <v>1124</v>
      </c>
      <c r="C1138" s="181" t="n">
        <v>4514.74</v>
      </c>
      <c r="D1138" s="181" t="n">
        <v>4544.8547</v>
      </c>
      <c r="E1138" s="181" t="n">
        <v>-30.1147</v>
      </c>
      <c r="F1138" s="181" t="n">
        <v>906.8973999999999</v>
      </c>
      <c r="G1138" s="181" t="n">
        <v>1263376</v>
      </c>
      <c r="H1138" s="181" t="inlineStr"/>
      <c r="I1138" s="181" t="inlineStr"/>
    </row>
    <row r="1139" ht="15" customHeight="1" s="28">
      <c r="A1139" s="182" t="n">
        <v>1126</v>
      </c>
      <c r="B1139" s="182" t="n">
        <v>1125</v>
      </c>
      <c r="C1139" s="182" t="n">
        <v>4515.21</v>
      </c>
      <c r="D1139" s="182" t="n">
        <v>4544.6008</v>
      </c>
      <c r="E1139" s="182" t="n">
        <v>-29.3908</v>
      </c>
      <c r="F1139" s="182" t="n">
        <v>863.8216</v>
      </c>
      <c r="G1139" s="182" t="n">
        <v>1265625</v>
      </c>
      <c r="H1139" s="182" t="inlineStr"/>
      <c r="I1139" s="182" t="inlineStr"/>
    </row>
    <row r="1140" ht="15" customHeight="1" s="28">
      <c r="A1140" s="181" t="n">
        <v>1127</v>
      </c>
      <c r="B1140" s="181" t="n">
        <v>1126</v>
      </c>
      <c r="C1140" s="181" t="n">
        <v>4518.75</v>
      </c>
      <c r="D1140" s="181" t="n">
        <v>4544.3469</v>
      </c>
      <c r="E1140" s="181" t="n">
        <v>-25.5969</v>
      </c>
      <c r="F1140" s="181" t="n">
        <v>655.2037</v>
      </c>
      <c r="G1140" s="181" t="n">
        <v>1267876</v>
      </c>
      <c r="H1140" s="181" t="inlineStr"/>
      <c r="I1140" s="181" t="inlineStr"/>
    </row>
    <row r="1141" ht="15" customHeight="1" s="28">
      <c r="A1141" s="182" t="n">
        <v>1128</v>
      </c>
      <c r="B1141" s="182" t="n">
        <v>1127</v>
      </c>
      <c r="C1141" s="182" t="n">
        <v>4523.84</v>
      </c>
      <c r="D1141" s="182" t="n">
        <v>4544.0931</v>
      </c>
      <c r="E1141" s="182" t="n">
        <v>-20.2531</v>
      </c>
      <c r="F1141" s="182" t="n">
        <v>410.1861</v>
      </c>
      <c r="G1141" s="182" t="n">
        <v>1270129</v>
      </c>
      <c r="H1141" s="182" t="inlineStr"/>
      <c r="I1141" s="182" t="inlineStr"/>
    </row>
    <row r="1142" ht="15" customHeight="1" s="28">
      <c r="A1142" s="181" t="n">
        <v>1129</v>
      </c>
      <c r="B1142" s="181" t="n">
        <v>1128</v>
      </c>
      <c r="C1142" s="181" t="n">
        <v>4521.1</v>
      </c>
      <c r="D1142" s="181" t="n">
        <v>4543.8392</v>
      </c>
      <c r="E1142" s="181" t="n">
        <v>-22.7392</v>
      </c>
      <c r="F1142" s="181" t="n">
        <v>517.0692</v>
      </c>
      <c r="G1142" s="181" t="n">
        <v>1272384</v>
      </c>
      <c r="H1142" s="181" t="inlineStr"/>
      <c r="I1142" s="181" t="inlineStr"/>
    </row>
    <row r="1143" ht="15" customHeight="1" s="28">
      <c r="A1143" s="182" t="n">
        <v>1130</v>
      </c>
      <c r="B1143" s="182" t="n">
        <v>1129</v>
      </c>
      <c r="C1143" s="182" t="n">
        <v>4519.66</v>
      </c>
      <c r="D1143" s="182" t="n">
        <v>4543.5853</v>
      </c>
      <c r="E1143" s="182" t="n">
        <v>-23.9253</v>
      </c>
      <c r="F1143" s="182" t="n">
        <v>572.4181</v>
      </c>
      <c r="G1143" s="182" t="n">
        <v>1274641</v>
      </c>
      <c r="H1143" s="182" t="inlineStr"/>
      <c r="I1143" s="182" t="inlineStr"/>
    </row>
    <row r="1144" ht="15" customHeight="1" s="28">
      <c r="A1144" s="181" t="n">
        <v>1131</v>
      </c>
      <c r="B1144" s="181" t="n">
        <v>1130</v>
      </c>
      <c r="C1144" s="181" t="n">
        <v>4519.02</v>
      </c>
      <c r="D1144" s="181" t="n">
        <v>4543.3314</v>
      </c>
      <c r="E1144" s="181" t="n">
        <v>-24.3114</v>
      </c>
      <c r="F1144" s="181" t="n">
        <v>591.0424</v>
      </c>
      <c r="G1144" s="181" t="n">
        <v>1276900</v>
      </c>
      <c r="H1144" s="181" t="inlineStr"/>
      <c r="I1144" s="181" t="inlineStr"/>
    </row>
    <row r="1145" ht="15" customHeight="1" s="28">
      <c r="A1145" s="182" t="n">
        <v>1132</v>
      </c>
      <c r="B1145" s="182" t="n">
        <v>1131</v>
      </c>
      <c r="C1145" s="182" t="n">
        <v>4517.52</v>
      </c>
      <c r="D1145" s="182" t="n">
        <v>4543.0775</v>
      </c>
      <c r="E1145" s="182" t="n">
        <v>-25.5575</v>
      </c>
      <c r="F1145" s="182" t="n">
        <v>653.1842</v>
      </c>
      <c r="G1145" s="182" t="n">
        <v>1279161</v>
      </c>
      <c r="H1145" s="182" t="inlineStr"/>
      <c r="I1145" s="182" t="inlineStr"/>
    </row>
    <row r="1146" ht="15" customHeight="1" s="28">
      <c r="A1146" s="181" t="n">
        <v>1133</v>
      </c>
      <c r="B1146" s="181" t="n">
        <v>1132</v>
      </c>
      <c r="C1146" s="181" t="n">
        <v>4520.44</v>
      </c>
      <c r="D1146" s="181" t="n">
        <v>4542.8236</v>
      </c>
      <c r="E1146" s="181" t="n">
        <v>-22.3836</v>
      </c>
      <c r="F1146" s="181" t="n">
        <v>501.0244</v>
      </c>
      <c r="G1146" s="181" t="n">
        <v>1281424</v>
      </c>
      <c r="H1146" s="181" t="inlineStr"/>
      <c r="I1146" s="181" t="inlineStr"/>
    </row>
    <row r="1147" ht="15" customHeight="1" s="28">
      <c r="A1147" s="182" t="n">
        <v>1134</v>
      </c>
      <c r="B1147" s="182" t="n">
        <v>1133</v>
      </c>
      <c r="C1147" s="182" t="n">
        <v>4521.13</v>
      </c>
      <c r="D1147" s="182" t="n">
        <v>4542.5697</v>
      </c>
      <c r="E1147" s="182" t="n">
        <v>-21.4397</v>
      </c>
      <c r="F1147" s="182" t="n">
        <v>459.6598</v>
      </c>
      <c r="G1147" s="182" t="n">
        <v>1283689</v>
      </c>
      <c r="H1147" s="182" t="inlineStr"/>
      <c r="I1147" s="182" t="inlineStr"/>
    </row>
    <row r="1148" ht="15" customHeight="1" s="28">
      <c r="A1148" s="181" t="n">
        <v>1135</v>
      </c>
      <c r="B1148" s="181" t="n">
        <v>1134</v>
      </c>
      <c r="C1148" s="181" t="n">
        <v>4518.52</v>
      </c>
      <c r="D1148" s="181" t="n">
        <v>4542.3158</v>
      </c>
      <c r="E1148" s="181" t="n">
        <v>-23.7958</v>
      </c>
      <c r="F1148" s="181" t="n">
        <v>566.2393</v>
      </c>
      <c r="G1148" s="181" t="n">
        <v>1285956</v>
      </c>
      <c r="H1148" s="181" t="inlineStr"/>
      <c r="I1148" s="181" t="inlineStr"/>
    </row>
    <row r="1150" ht="18" customHeight="1" s="28">
      <c r="A1150" s="172" t="inlineStr">
        <is>
          <t>STEP 2 — White LM statistic (eᵢ² ~ X + X²)</t>
        </is>
      </c>
    </row>
    <row r="1151" ht="16" customHeight="1" s="28">
      <c r="A1151" s="186" t="inlineStr">
        <is>
          <t>n</t>
        </is>
      </c>
      <c r="E1151" s="187" t="inlineStr">
        <is>
          <t>1135</t>
        </is>
      </c>
    </row>
    <row r="1152" ht="16" customHeight="1" s="28">
      <c r="A1152" s="186" t="inlineStr">
        <is>
          <t>White LM = n × R²_aux</t>
        </is>
      </c>
      <c r="E1152" s="187" t="inlineStr">
        <is>
          <t>58.3479</t>
        </is>
      </c>
    </row>
    <row r="1153" ht="16" customHeight="1" s="28">
      <c r="A1153" s="186" t="inlineStr">
        <is>
          <t>p-value (chi-sq, df=2)</t>
        </is>
      </c>
      <c r="E1153" s="187" t="inlineStr">
        <is>
          <t>2.137557e-13</t>
        </is>
      </c>
    </row>
    <row r="1154" ht="16" customHeight="1" s="28">
      <c r="A1154" s="186" t="inlineStr">
        <is>
          <t>Critical χ²(2, α=0.05)</t>
        </is>
      </c>
      <c r="E1154" s="187" t="inlineStr">
        <is>
          <t>5.991</t>
        </is>
      </c>
    </row>
    <row r="1155" ht="22" customHeight="1" s="28">
      <c r="A1155" s="189" t="inlineStr">
        <is>
          <t>DECISION:  LM = 58.3479, p = 2.1376e-13 &lt; α (0.05)  ⟹  REJECT H₀  →  OLS residuals are HETEROSCEDASTIC</t>
        </is>
      </c>
    </row>
  </sheetData>
  <mergeCells count="20">
    <mergeCell ref="B7:I7"/>
    <mergeCell ref="E1152:I1152"/>
    <mergeCell ref="A1154:D1154"/>
    <mergeCell ref="A1153:D1153"/>
    <mergeCell ref="A12:I12"/>
    <mergeCell ref="E1154:I1154"/>
    <mergeCell ref="A2:I2"/>
    <mergeCell ref="A1155:I1155"/>
    <mergeCell ref="E1153:I1153"/>
    <mergeCell ref="A4:I4"/>
    <mergeCell ref="B8:I8"/>
    <mergeCell ref="A1151:D1151"/>
    <mergeCell ref="B10:I10"/>
    <mergeCell ref="E1151:I1151"/>
    <mergeCell ref="B9:I9"/>
    <mergeCell ref="B6:I6"/>
    <mergeCell ref="A1:I1"/>
    <mergeCell ref="B5:I5"/>
    <mergeCell ref="A1152:D1152"/>
    <mergeCell ref="A1150:I115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6" customWidth="1" style="28" min="7" max="7"/>
    <col width="6" customWidth="1" style="28" min="8" max="8"/>
  </cols>
  <sheetData>
    <row r="1" ht="26" customHeight="1" s="28">
      <c r="A1" s="190" t="inlineStr">
        <is>
          <t>SHAPIRO-WILK TEST  |  MODEL A2  |  n=107  |  Residual = ssa − Base_FL</t>
        </is>
      </c>
    </row>
    <row r="2" ht="20" customHeight="1" s="28">
      <c r="A2" s="183" t="inlineStr">
        <is>
          <t>H₀: (ssa − Base_FL) residuals are normally distributed  |  Dataset: V3894</t>
        </is>
      </c>
    </row>
    <row r="4" ht="18" customHeight="1" s="28">
      <c r="A4" s="172" t="inlineStr">
        <is>
          <t>Context: Base_FL as Fitted Line (no OLS needed)</t>
        </is>
      </c>
    </row>
    <row r="5" ht="16" customHeight="1" s="28">
      <c r="A5" s="184" t="inlineStr">
        <is>
          <t>RESIDUAL:</t>
        </is>
      </c>
      <c r="B5" s="185" t="inlineStr">
        <is>
          <t>eᵢ = ssaᵢ − Base_FLᵢ  (Base_FL IS the regression baseline from MQL5)</t>
        </is>
      </c>
    </row>
    <row r="6" ht="16" customHeight="1" s="28">
      <c r="A6" s="184" t="inlineStr">
        <is>
          <t>MODEL A2:</t>
        </is>
      </c>
      <c r="B6" s="185" t="inlineStr">
        <is>
          <t>SSA at crossing events, n=107</t>
        </is>
      </c>
    </row>
    <row r="7" ht="16" customHeight="1" s="28">
      <c r="A7" s="184" t="inlineStr">
        <is>
          <t>α:</t>
        </is>
      </c>
      <c r="B7" s="185" t="inlineStr">
        <is>
          <t>0.05</t>
        </is>
      </c>
    </row>
    <row r="9" ht="18" customHeight="1" s="28">
      <c r="A9" s="172" t="inlineStr">
        <is>
          <t>STEP 1 — Residuals: eᵢ = ssaᵢ − Base_FLᵢ  (crossing bars only)</t>
        </is>
      </c>
    </row>
    <row r="10" ht="28" customHeight="1" s="28">
      <c r="A10" s="62" t="inlineStr">
        <is>
          <t>i</t>
        </is>
      </c>
      <c r="B10" s="62" t="inlineStr">
        <is>
          <t>Bar Index</t>
        </is>
      </c>
      <c r="C10" s="62" t="inlineStr">
        <is>
          <t>SSA</t>
        </is>
      </c>
      <c r="D10" s="62" t="inlineStr">
        <is>
          <t>Base_FL (MQL5)</t>
        </is>
      </c>
      <c r="E10" s="62" t="inlineStr">
        <is>
          <t>Residual eᵢ</t>
        </is>
      </c>
      <c r="F10" s="62" t="inlineStr">
        <is>
          <t>eᵢ²</t>
        </is>
      </c>
      <c r="G10" s="62" t="inlineStr"/>
      <c r="H10" s="62" t="inlineStr"/>
    </row>
    <row r="11" ht="15" customHeight="1" s="28">
      <c r="A11" s="181" t="n">
        <v>1</v>
      </c>
      <c r="B11" s="181" t="n">
        <v>0</v>
      </c>
      <c r="C11" s="181" t="n">
        <v>4798.9749</v>
      </c>
      <c r="D11" s="181" t="n">
        <v>4817.3701</v>
      </c>
      <c r="E11" s="181" t="n">
        <v>-18.3952</v>
      </c>
      <c r="F11" s="181" t="n">
        <v>338.3841</v>
      </c>
      <c r="G11" s="181" t="inlineStr"/>
      <c r="H11" s="181" t="inlineStr"/>
    </row>
    <row r="12" ht="15" customHeight="1" s="28">
      <c r="A12" s="182" t="n">
        <v>2</v>
      </c>
      <c r="B12" s="182" t="n">
        <v>4</v>
      </c>
      <c r="C12" s="182" t="n">
        <v>4801.7586</v>
      </c>
      <c r="D12" s="182" t="n">
        <v>4816.2997</v>
      </c>
      <c r="E12" s="182" t="n">
        <v>-14.5411</v>
      </c>
      <c r="F12" s="182" t="n">
        <v>211.4448</v>
      </c>
      <c r="G12" s="182" t="inlineStr"/>
      <c r="H12" s="182" t="inlineStr"/>
    </row>
    <row r="13" ht="15" customHeight="1" s="28">
      <c r="A13" s="181" t="n">
        <v>3</v>
      </c>
      <c r="B13" s="181" t="n">
        <v>13</v>
      </c>
      <c r="C13" s="181" t="n">
        <v>4788.1799</v>
      </c>
      <c r="D13" s="181" t="n">
        <v>4813.8913</v>
      </c>
      <c r="E13" s="181" t="n">
        <v>-25.7114</v>
      </c>
      <c r="F13" s="181" t="n">
        <v>661.0761</v>
      </c>
      <c r="G13" s="181" t="inlineStr"/>
      <c r="H13" s="181" t="inlineStr"/>
    </row>
    <row r="14" ht="15" customHeight="1" s="28">
      <c r="A14" s="182" t="n">
        <v>4</v>
      </c>
      <c r="B14" s="182" t="n">
        <v>20</v>
      </c>
      <c r="C14" s="182" t="n">
        <v>4791.7372</v>
      </c>
      <c r="D14" s="182" t="n">
        <v>4812.018</v>
      </c>
      <c r="E14" s="182" t="n">
        <v>-20.2809</v>
      </c>
      <c r="F14" s="182" t="n">
        <v>411.3137</v>
      </c>
      <c r="G14" s="182" t="inlineStr"/>
      <c r="H14" s="182" t="inlineStr"/>
    </row>
    <row r="15" ht="15" customHeight="1" s="28">
      <c r="A15" s="181" t="n">
        <v>5</v>
      </c>
      <c r="B15" s="181" t="n">
        <v>24</v>
      </c>
      <c r="C15" s="181" t="n">
        <v>4791.9693</v>
      </c>
      <c r="D15" s="181" t="n">
        <v>4810.9476</v>
      </c>
      <c r="E15" s="181" t="n">
        <v>-18.9783</v>
      </c>
      <c r="F15" s="181" t="n">
        <v>360.1766</v>
      </c>
      <c r="G15" s="181" t="inlineStr"/>
      <c r="H15" s="181" t="inlineStr"/>
    </row>
    <row r="16" ht="15" customHeight="1" s="28">
      <c r="A16" s="182" t="n">
        <v>6</v>
      </c>
      <c r="B16" s="182" t="n">
        <v>31</v>
      </c>
      <c r="C16" s="182" t="n">
        <v>4794.635</v>
      </c>
      <c r="D16" s="182" t="n">
        <v>4809.0744</v>
      </c>
      <c r="E16" s="182" t="n">
        <v>-14.4394</v>
      </c>
      <c r="F16" s="182" t="n">
        <v>208.4963</v>
      </c>
      <c r="G16" s="182" t="inlineStr"/>
      <c r="H16" s="182" t="inlineStr"/>
    </row>
    <row r="17" ht="15" customHeight="1" s="28">
      <c r="A17" s="181" t="n">
        <v>7</v>
      </c>
      <c r="B17" s="181" t="n">
        <v>39</v>
      </c>
      <c r="C17" s="181" t="n">
        <v>4784.2445</v>
      </c>
      <c r="D17" s="181" t="n">
        <v>4806.9336</v>
      </c>
      <c r="E17" s="181" t="n">
        <v>-22.689</v>
      </c>
      <c r="F17" s="181" t="n">
        <v>514.7925</v>
      </c>
      <c r="G17" s="181" t="inlineStr"/>
      <c r="H17" s="181" t="inlineStr"/>
    </row>
    <row r="18" ht="15" customHeight="1" s="28">
      <c r="A18" s="182" t="n">
        <v>8</v>
      </c>
      <c r="B18" s="182" t="n">
        <v>53</v>
      </c>
      <c r="C18" s="182" t="n">
        <v>4799.4912</v>
      </c>
      <c r="D18" s="182" t="n">
        <v>4803.1871</v>
      </c>
      <c r="E18" s="182" t="n">
        <v>-3.696</v>
      </c>
      <c r="F18" s="182" t="n">
        <v>13.66</v>
      </c>
      <c r="G18" s="182" t="inlineStr"/>
      <c r="H18" s="182" t="inlineStr"/>
    </row>
    <row r="19" ht="15" customHeight="1" s="28">
      <c r="A19" s="181" t="n">
        <v>9</v>
      </c>
      <c r="B19" s="181" t="n">
        <v>62</v>
      </c>
      <c r="C19" s="181" t="n">
        <v>4785.2155</v>
      </c>
      <c r="D19" s="181" t="n">
        <v>4800.7787</v>
      </c>
      <c r="E19" s="181" t="n">
        <v>-15.5631</v>
      </c>
      <c r="F19" s="181" t="n">
        <v>242.211</v>
      </c>
      <c r="G19" s="181" t="inlineStr"/>
      <c r="H19" s="181" t="inlineStr"/>
    </row>
    <row r="20" ht="15" customHeight="1" s="28">
      <c r="A20" s="182" t="n">
        <v>10</v>
      </c>
      <c r="B20" s="182" t="n">
        <v>71</v>
      </c>
      <c r="C20" s="182" t="n">
        <v>4792.9258</v>
      </c>
      <c r="D20" s="182" t="n">
        <v>4798.3702</v>
      </c>
      <c r="E20" s="182" t="n">
        <v>-5.4444</v>
      </c>
      <c r="F20" s="182" t="n">
        <v>29.6418</v>
      </c>
      <c r="G20" s="182" t="inlineStr"/>
      <c r="H20" s="182" t="inlineStr"/>
    </row>
    <row r="21" ht="15" customHeight="1" s="28">
      <c r="A21" s="181" t="n">
        <v>11</v>
      </c>
      <c r="B21" s="181" t="n">
        <v>77</v>
      </c>
      <c r="C21" s="181" t="n">
        <v>4789.136</v>
      </c>
      <c r="D21" s="181" t="n">
        <v>4796.7646</v>
      </c>
      <c r="E21" s="181" t="n">
        <v>-7.6286</v>
      </c>
      <c r="F21" s="181" t="n">
        <v>58.196</v>
      </c>
      <c r="G21" s="181" t="inlineStr"/>
      <c r="H21" s="181" t="inlineStr"/>
    </row>
    <row r="22" ht="15" customHeight="1" s="28">
      <c r="A22" s="182" t="n">
        <v>12</v>
      </c>
      <c r="B22" s="182" t="n">
        <v>90</v>
      </c>
      <c r="C22" s="182" t="n">
        <v>4872.1414</v>
      </c>
      <c r="D22" s="182" t="n">
        <v>4793.2858</v>
      </c>
      <c r="E22" s="182" t="n">
        <v>78.8557</v>
      </c>
      <c r="F22" s="182" t="n">
        <v>6218.2183</v>
      </c>
      <c r="G22" s="182" t="inlineStr"/>
      <c r="H22" s="182" t="inlineStr"/>
    </row>
    <row r="23" ht="15" customHeight="1" s="28">
      <c r="A23" s="181" t="n">
        <v>13</v>
      </c>
      <c r="B23" s="181" t="n">
        <v>96</v>
      </c>
      <c r="C23" s="181" t="n">
        <v>4866.7911</v>
      </c>
      <c r="D23" s="181" t="n">
        <v>4791.6801</v>
      </c>
      <c r="E23" s="181" t="n">
        <v>75.111</v>
      </c>
      <c r="F23" s="181" t="n">
        <v>5641.6563</v>
      </c>
      <c r="G23" s="181" t="inlineStr"/>
      <c r="H23" s="181" t="inlineStr"/>
    </row>
    <row r="24" ht="15" customHeight="1" s="28">
      <c r="A24" s="182" t="n">
        <v>14</v>
      </c>
      <c r="B24" s="182" t="n">
        <v>98</v>
      </c>
      <c r="C24" s="182" t="n">
        <v>4866.6882</v>
      </c>
      <c r="D24" s="182" t="n">
        <v>4791.1449</v>
      </c>
      <c r="E24" s="182" t="n">
        <v>75.5433</v>
      </c>
      <c r="F24" s="182" t="n">
        <v>5706.7887</v>
      </c>
      <c r="G24" s="182" t="inlineStr"/>
      <c r="H24" s="182" t="inlineStr"/>
    </row>
    <row r="25" ht="15" customHeight="1" s="28">
      <c r="A25" s="181" t="n">
        <v>15</v>
      </c>
      <c r="B25" s="181" t="n">
        <v>106</v>
      </c>
      <c r="C25" s="181" t="n">
        <v>4859.3727</v>
      </c>
      <c r="D25" s="181" t="n">
        <v>4789.0041</v>
      </c>
      <c r="E25" s="181" t="n">
        <v>70.3686</v>
      </c>
      <c r="F25" s="181" t="n">
        <v>4951.7441</v>
      </c>
      <c r="G25" s="181" t="inlineStr"/>
      <c r="H25" s="181" t="inlineStr"/>
    </row>
    <row r="26" ht="15" customHeight="1" s="28">
      <c r="A26" s="182" t="n">
        <v>16</v>
      </c>
      <c r="B26" s="182" t="n">
        <v>109</v>
      </c>
      <c r="C26" s="182" t="n">
        <v>4859.671</v>
      </c>
      <c r="D26" s="182" t="n">
        <v>4788.2013</v>
      </c>
      <c r="E26" s="182" t="n">
        <v>71.46980000000001</v>
      </c>
      <c r="F26" s="182" t="n">
        <v>5107.9266</v>
      </c>
      <c r="G26" s="182" t="inlineStr"/>
      <c r="H26" s="182" t="inlineStr"/>
    </row>
    <row r="27" ht="15" customHeight="1" s="28">
      <c r="A27" s="181" t="n">
        <v>17</v>
      </c>
      <c r="B27" s="181" t="n">
        <v>125</v>
      </c>
      <c r="C27" s="181" t="n">
        <v>4763.9122</v>
      </c>
      <c r="D27" s="181" t="n">
        <v>4783.9196</v>
      </c>
      <c r="E27" s="181" t="n">
        <v>-20.0074</v>
      </c>
      <c r="F27" s="181" t="n">
        <v>400.2973</v>
      </c>
      <c r="G27" s="181" t="inlineStr"/>
      <c r="H27" s="181" t="inlineStr"/>
    </row>
    <row r="28" ht="15" customHeight="1" s="28">
      <c r="A28" s="182" t="n">
        <v>18</v>
      </c>
      <c r="B28" s="182" t="n">
        <v>134</v>
      </c>
      <c r="C28" s="182" t="n">
        <v>4800.2768</v>
      </c>
      <c r="D28" s="182" t="n">
        <v>4781.5112</v>
      </c>
      <c r="E28" s="182" t="n">
        <v>18.7656</v>
      </c>
      <c r="F28" s="182" t="n">
        <v>352.1474</v>
      </c>
      <c r="G28" s="182" t="inlineStr"/>
      <c r="H28" s="182" t="inlineStr"/>
    </row>
    <row r="29" ht="15" customHeight="1" s="28">
      <c r="A29" s="181" t="n">
        <v>19</v>
      </c>
      <c r="B29" s="181" t="n">
        <v>148</v>
      </c>
      <c r="C29" s="181" t="n">
        <v>4788.4819</v>
      </c>
      <c r="D29" s="181" t="n">
        <v>4777.7647</v>
      </c>
      <c r="E29" s="181" t="n">
        <v>10.7172</v>
      </c>
      <c r="F29" s="181" t="n">
        <v>114.8575</v>
      </c>
      <c r="G29" s="181" t="inlineStr"/>
      <c r="H29" s="181" t="inlineStr"/>
    </row>
    <row r="30" ht="15" customHeight="1" s="28">
      <c r="A30" s="182" t="n">
        <v>20</v>
      </c>
      <c r="B30" s="182" t="n">
        <v>155</v>
      </c>
      <c r="C30" s="182" t="n">
        <v>4794.2746</v>
      </c>
      <c r="D30" s="182" t="n">
        <v>4775.8915</v>
      </c>
      <c r="E30" s="182" t="n">
        <v>18.3831</v>
      </c>
      <c r="F30" s="182" t="n">
        <v>337.9391</v>
      </c>
      <c r="G30" s="182" t="inlineStr"/>
      <c r="H30" s="182" t="inlineStr"/>
    </row>
    <row r="31" ht="15" customHeight="1" s="28">
      <c r="A31" s="181" t="n">
        <v>21</v>
      </c>
      <c r="B31" s="181" t="n">
        <v>160</v>
      </c>
      <c r="C31" s="181" t="n">
        <v>4793.1611</v>
      </c>
      <c r="D31" s="181" t="n">
        <v>4774.5535</v>
      </c>
      <c r="E31" s="181" t="n">
        <v>18.6076</v>
      </c>
      <c r="F31" s="181" t="n">
        <v>346.2443</v>
      </c>
      <c r="G31" s="181" t="inlineStr"/>
      <c r="H31" s="181" t="inlineStr"/>
    </row>
    <row r="32" ht="15" customHeight="1" s="28">
      <c r="A32" s="182" t="n">
        <v>22</v>
      </c>
      <c r="B32" s="182" t="n">
        <v>180</v>
      </c>
      <c r="C32" s="182" t="n">
        <v>4818.5417</v>
      </c>
      <c r="D32" s="182" t="n">
        <v>4769.2014</v>
      </c>
      <c r="E32" s="182" t="n">
        <v>49.3403</v>
      </c>
      <c r="F32" s="182" t="n">
        <v>2434.4682</v>
      </c>
      <c r="G32" s="182" t="inlineStr"/>
      <c r="H32" s="182" t="inlineStr"/>
    </row>
    <row r="33" ht="15" customHeight="1" s="28">
      <c r="A33" s="181" t="n">
        <v>23</v>
      </c>
      <c r="B33" s="181" t="n">
        <v>190</v>
      </c>
      <c r="C33" s="181" t="n">
        <v>4802.2072</v>
      </c>
      <c r="D33" s="181" t="n">
        <v>4766.5253</v>
      </c>
      <c r="E33" s="181" t="n">
        <v>35.6819</v>
      </c>
      <c r="F33" s="181" t="n">
        <v>1273.1966</v>
      </c>
      <c r="G33" s="181" t="inlineStr"/>
      <c r="H33" s="181" t="inlineStr"/>
    </row>
    <row r="34" ht="15" customHeight="1" s="28">
      <c r="A34" s="182" t="n">
        <v>24</v>
      </c>
      <c r="B34" s="182" t="n">
        <v>201</v>
      </c>
      <c r="C34" s="182" t="n">
        <v>4814.364</v>
      </c>
      <c r="D34" s="182" t="n">
        <v>4763.5817</v>
      </c>
      <c r="E34" s="182" t="n">
        <v>50.7823</v>
      </c>
      <c r="F34" s="182" t="n">
        <v>2578.842</v>
      </c>
      <c r="G34" s="182" t="inlineStr"/>
      <c r="H34" s="182" t="inlineStr"/>
    </row>
    <row r="35" ht="15" customHeight="1" s="28">
      <c r="A35" s="181" t="n">
        <v>25</v>
      </c>
      <c r="B35" s="181" t="n">
        <v>203</v>
      </c>
      <c r="C35" s="181" t="n">
        <v>4814.6371</v>
      </c>
      <c r="D35" s="181" t="n">
        <v>4763.0465</v>
      </c>
      <c r="E35" s="181" t="n">
        <v>51.5906</v>
      </c>
      <c r="F35" s="181" t="n">
        <v>2661.5869</v>
      </c>
      <c r="G35" s="181" t="inlineStr"/>
      <c r="H35" s="181" t="inlineStr"/>
    </row>
    <row r="36" ht="15" customHeight="1" s="28">
      <c r="A36" s="182" t="n">
        <v>26</v>
      </c>
      <c r="B36" s="182" t="n">
        <v>213</v>
      </c>
      <c r="C36" s="182" t="n">
        <v>4827.0749</v>
      </c>
      <c r="D36" s="182" t="n">
        <v>4760.3705</v>
      </c>
      <c r="E36" s="182" t="n">
        <v>66.7045</v>
      </c>
      <c r="F36" s="182" t="n">
        <v>4449.4836</v>
      </c>
      <c r="G36" s="182" t="inlineStr"/>
      <c r="H36" s="182" t="inlineStr"/>
    </row>
    <row r="37" ht="15" customHeight="1" s="28">
      <c r="A37" s="181" t="n">
        <v>27</v>
      </c>
      <c r="B37" s="181" t="n">
        <v>245</v>
      </c>
      <c r="C37" s="181" t="n">
        <v>4782.0763</v>
      </c>
      <c r="D37" s="181" t="n">
        <v>4751.8071</v>
      </c>
      <c r="E37" s="181" t="n">
        <v>30.2692</v>
      </c>
      <c r="F37" s="181" t="n">
        <v>916.2239</v>
      </c>
      <c r="G37" s="181" t="inlineStr"/>
      <c r="H37" s="181" t="inlineStr"/>
    </row>
    <row r="38" ht="15" customHeight="1" s="28">
      <c r="A38" s="182" t="n">
        <v>28</v>
      </c>
      <c r="B38" s="182" t="n">
        <v>252</v>
      </c>
      <c r="C38" s="182" t="n">
        <v>4785.1929</v>
      </c>
      <c r="D38" s="182" t="n">
        <v>4749.9339</v>
      </c>
      <c r="E38" s="182" t="n">
        <v>35.259</v>
      </c>
      <c r="F38" s="182" t="n">
        <v>1243.1943</v>
      </c>
      <c r="G38" s="182" t="inlineStr"/>
      <c r="H38" s="182" t="inlineStr"/>
    </row>
    <row r="39" ht="15" customHeight="1" s="28">
      <c r="A39" s="181" t="n">
        <v>29</v>
      </c>
      <c r="B39" s="181" t="n">
        <v>257</v>
      </c>
      <c r="C39" s="181" t="n">
        <v>4784.8373</v>
      </c>
      <c r="D39" s="181" t="n">
        <v>4748.5959</v>
      </c>
      <c r="E39" s="181" t="n">
        <v>36.2414</v>
      </c>
      <c r="F39" s="181" t="n">
        <v>1313.442</v>
      </c>
      <c r="G39" s="181" t="inlineStr"/>
      <c r="H39" s="181" t="inlineStr"/>
    </row>
    <row r="40" ht="15" customHeight="1" s="28">
      <c r="A40" s="182" t="n">
        <v>30</v>
      </c>
      <c r="B40" s="182" t="n">
        <v>263</v>
      </c>
      <c r="C40" s="182" t="n">
        <v>4787.2112</v>
      </c>
      <c r="D40" s="182" t="n">
        <v>4746.9902</v>
      </c>
      <c r="E40" s="182" t="n">
        <v>40.221</v>
      </c>
      <c r="F40" s="182" t="n">
        <v>1617.728</v>
      </c>
      <c r="G40" s="182" t="inlineStr"/>
      <c r="H40" s="182" t="inlineStr"/>
    </row>
    <row r="41" ht="15" customHeight="1" s="28">
      <c r="A41" s="181" t="n">
        <v>31</v>
      </c>
      <c r="B41" s="181" t="n">
        <v>296</v>
      </c>
      <c r="C41" s="181" t="n">
        <v>4697.7102</v>
      </c>
      <c r="D41" s="181" t="n">
        <v>4738.1593</v>
      </c>
      <c r="E41" s="181" t="n">
        <v>-40.4491</v>
      </c>
      <c r="F41" s="181" t="n">
        <v>1636.1289</v>
      </c>
      <c r="G41" s="181" t="inlineStr"/>
      <c r="H41" s="181" t="inlineStr"/>
    </row>
    <row r="42" ht="15" customHeight="1" s="28">
      <c r="A42" s="182" t="n">
        <v>32</v>
      </c>
      <c r="B42" s="182" t="n">
        <v>323</v>
      </c>
      <c r="C42" s="182" t="n">
        <v>4757.8093</v>
      </c>
      <c r="D42" s="182" t="n">
        <v>4730.934</v>
      </c>
      <c r="E42" s="182" t="n">
        <v>26.8753</v>
      </c>
      <c r="F42" s="182" t="n">
        <v>722.2791</v>
      </c>
      <c r="G42" s="182" t="inlineStr"/>
      <c r="H42" s="182" t="inlineStr"/>
    </row>
    <row r="43" ht="15" customHeight="1" s="28">
      <c r="A43" s="181" t="n">
        <v>33</v>
      </c>
      <c r="B43" s="181" t="n">
        <v>327</v>
      </c>
      <c r="C43" s="181" t="n">
        <v>4758.0106</v>
      </c>
      <c r="D43" s="181" t="n">
        <v>4729.8636</v>
      </c>
      <c r="E43" s="181" t="n">
        <v>28.147</v>
      </c>
      <c r="F43" s="181" t="n">
        <v>792.2547</v>
      </c>
      <c r="G43" s="181" t="inlineStr"/>
      <c r="H43" s="181" t="inlineStr"/>
    </row>
    <row r="44" ht="15" customHeight="1" s="28">
      <c r="A44" s="182" t="n">
        <v>34</v>
      </c>
      <c r="B44" s="182" t="n">
        <v>335</v>
      </c>
      <c r="C44" s="182" t="n">
        <v>4766.5311</v>
      </c>
      <c r="D44" s="182" t="n">
        <v>4727.7228</v>
      </c>
      <c r="E44" s="182" t="n">
        <v>38.8084</v>
      </c>
      <c r="F44" s="182" t="n">
        <v>1506.0888</v>
      </c>
      <c r="G44" s="182" t="inlineStr"/>
      <c r="H44" s="182" t="inlineStr"/>
    </row>
    <row r="45" ht="15" customHeight="1" s="28">
      <c r="A45" s="181" t="n">
        <v>35</v>
      </c>
      <c r="B45" s="181" t="n">
        <v>349</v>
      </c>
      <c r="C45" s="181" t="n">
        <v>4756.1254</v>
      </c>
      <c r="D45" s="181" t="n">
        <v>4723.9763</v>
      </c>
      <c r="E45" s="181" t="n">
        <v>32.1491</v>
      </c>
      <c r="F45" s="181" t="n">
        <v>1033.5666</v>
      </c>
      <c r="G45" s="181" t="inlineStr"/>
      <c r="H45" s="181" t="inlineStr"/>
    </row>
    <row r="46" ht="15" customHeight="1" s="28">
      <c r="A46" s="182" t="n">
        <v>36</v>
      </c>
      <c r="B46" s="182" t="n">
        <v>351</v>
      </c>
      <c r="C46" s="182" t="n">
        <v>4756.0877</v>
      </c>
      <c r="D46" s="182" t="n">
        <v>4723.4411</v>
      </c>
      <c r="E46" s="182" t="n">
        <v>32.6467</v>
      </c>
      <c r="F46" s="182" t="n">
        <v>1065.8044</v>
      </c>
      <c r="G46" s="182" t="inlineStr"/>
      <c r="H46" s="182" t="inlineStr"/>
    </row>
    <row r="47" ht="15" customHeight="1" s="28">
      <c r="A47" s="181" t="n">
        <v>37</v>
      </c>
      <c r="B47" s="181" t="n">
        <v>361</v>
      </c>
      <c r="C47" s="181" t="n">
        <v>4748.9847</v>
      </c>
      <c r="D47" s="181" t="n">
        <v>4720.765</v>
      </c>
      <c r="E47" s="181" t="n">
        <v>28.2197</v>
      </c>
      <c r="F47" s="181" t="n">
        <v>796.3486</v>
      </c>
      <c r="G47" s="181" t="inlineStr"/>
      <c r="H47" s="181" t="inlineStr"/>
    </row>
    <row r="48" ht="15" customHeight="1" s="28">
      <c r="A48" s="182" t="n">
        <v>38</v>
      </c>
      <c r="B48" s="182" t="n">
        <v>363</v>
      </c>
      <c r="C48" s="182" t="n">
        <v>4748.0625</v>
      </c>
      <c r="D48" s="182" t="n">
        <v>4720.2298</v>
      </c>
      <c r="E48" s="182" t="n">
        <v>27.8327</v>
      </c>
      <c r="F48" s="182" t="n">
        <v>774.6581</v>
      </c>
      <c r="G48" s="182" t="inlineStr"/>
      <c r="H48" s="182" t="inlineStr"/>
    </row>
    <row r="49" ht="15" customHeight="1" s="28">
      <c r="A49" s="181" t="n">
        <v>39</v>
      </c>
      <c r="B49" s="181" t="n">
        <v>374</v>
      </c>
      <c r="C49" s="181" t="n">
        <v>4729.4164</v>
      </c>
      <c r="D49" s="181" t="n">
        <v>4717.2862</v>
      </c>
      <c r="E49" s="181" t="n">
        <v>12.1302</v>
      </c>
      <c r="F49" s="181" t="n">
        <v>147.1415</v>
      </c>
      <c r="G49" s="181" t="inlineStr"/>
      <c r="H49" s="181" t="inlineStr"/>
    </row>
    <row r="50" ht="15" customHeight="1" s="28">
      <c r="A50" s="182" t="n">
        <v>40</v>
      </c>
      <c r="B50" s="182" t="n">
        <v>390</v>
      </c>
      <c r="C50" s="182" t="n">
        <v>4739.1687</v>
      </c>
      <c r="D50" s="182" t="n">
        <v>4713.0045</v>
      </c>
      <c r="E50" s="182" t="n">
        <v>26.1642</v>
      </c>
      <c r="F50" s="182" t="n">
        <v>684.5643</v>
      </c>
      <c r="G50" s="182" t="inlineStr"/>
      <c r="H50" s="182" t="inlineStr"/>
    </row>
    <row r="51" ht="15" customHeight="1" s="28">
      <c r="A51" s="181" t="n">
        <v>41</v>
      </c>
      <c r="B51" s="181" t="n">
        <v>399</v>
      </c>
      <c r="C51" s="181" t="n">
        <v>4725.8976</v>
      </c>
      <c r="D51" s="181" t="n">
        <v>4710.5961</v>
      </c>
      <c r="E51" s="181" t="n">
        <v>15.3015</v>
      </c>
      <c r="F51" s="181" t="n">
        <v>234.135</v>
      </c>
      <c r="G51" s="181" t="inlineStr"/>
      <c r="H51" s="181" t="inlineStr"/>
    </row>
    <row r="52" ht="15" customHeight="1" s="28">
      <c r="A52" s="182" t="n">
        <v>42</v>
      </c>
      <c r="B52" s="182" t="n">
        <v>405</v>
      </c>
      <c r="C52" s="182" t="n">
        <v>4733.9721</v>
      </c>
      <c r="D52" s="182" t="n">
        <v>4708.9905</v>
      </c>
      <c r="E52" s="182" t="n">
        <v>24.9816</v>
      </c>
      <c r="F52" s="182" t="n">
        <v>624.0823</v>
      </c>
      <c r="G52" s="182" t="inlineStr"/>
      <c r="H52" s="182" t="inlineStr"/>
    </row>
    <row r="53" ht="15" customHeight="1" s="28">
      <c r="A53" s="181" t="n">
        <v>43</v>
      </c>
      <c r="B53" s="181" t="n">
        <v>415</v>
      </c>
      <c r="C53" s="181" t="n">
        <v>4703.263</v>
      </c>
      <c r="D53" s="181" t="n">
        <v>4706.3144</v>
      </c>
      <c r="E53" s="181" t="n">
        <v>-3.0514</v>
      </c>
      <c r="F53" s="181" t="n">
        <v>9.311299999999999</v>
      </c>
      <c r="G53" s="181" t="inlineStr"/>
      <c r="H53" s="181" t="inlineStr"/>
    </row>
    <row r="54" ht="15" customHeight="1" s="28">
      <c r="A54" s="182" t="n">
        <v>44</v>
      </c>
      <c r="B54" s="182" t="n">
        <v>432</v>
      </c>
      <c r="C54" s="182" t="n">
        <v>4713.1717</v>
      </c>
      <c r="D54" s="182" t="n">
        <v>4701.7652</v>
      </c>
      <c r="E54" s="182" t="n">
        <v>11.4066</v>
      </c>
      <c r="F54" s="182" t="n">
        <v>130.1096</v>
      </c>
      <c r="G54" s="182" t="inlineStr"/>
      <c r="H54" s="182" t="inlineStr"/>
    </row>
    <row r="55" ht="15" customHeight="1" s="28">
      <c r="A55" s="181" t="n">
        <v>45</v>
      </c>
      <c r="B55" s="181" t="n">
        <v>443</v>
      </c>
      <c r="C55" s="181" t="n">
        <v>4693.4593</v>
      </c>
      <c r="D55" s="181" t="n">
        <v>4698.8215</v>
      </c>
      <c r="E55" s="181" t="n">
        <v>-5.3623</v>
      </c>
      <c r="F55" s="181" t="n">
        <v>28.7537</v>
      </c>
      <c r="G55" s="181" t="inlineStr"/>
      <c r="H55" s="181" t="inlineStr"/>
    </row>
    <row r="56" ht="15" customHeight="1" s="28">
      <c r="A56" s="182" t="n">
        <v>46</v>
      </c>
      <c r="B56" s="182" t="n">
        <v>453</v>
      </c>
      <c r="C56" s="182" t="n">
        <v>4732.4203</v>
      </c>
      <c r="D56" s="182" t="n">
        <v>4696.1455</v>
      </c>
      <c r="E56" s="182" t="n">
        <v>36.2748</v>
      </c>
      <c r="F56" s="182" t="n">
        <v>1315.8626</v>
      </c>
      <c r="G56" s="182" t="inlineStr"/>
      <c r="H56" s="182" t="inlineStr"/>
    </row>
    <row r="57" ht="15" customHeight="1" s="28">
      <c r="A57" s="181" t="n">
        <v>47</v>
      </c>
      <c r="B57" s="181" t="n">
        <v>458</v>
      </c>
      <c r="C57" s="181" t="n">
        <v>4728.4898</v>
      </c>
      <c r="D57" s="181" t="n">
        <v>4694.8075</v>
      </c>
      <c r="E57" s="181" t="n">
        <v>33.6823</v>
      </c>
      <c r="F57" s="181" t="n">
        <v>1134.4987</v>
      </c>
      <c r="G57" s="181" t="inlineStr"/>
      <c r="H57" s="181" t="inlineStr"/>
    </row>
    <row r="58" ht="15" customHeight="1" s="28">
      <c r="A58" s="182" t="n">
        <v>48</v>
      </c>
      <c r="B58" s="182" t="n">
        <v>463</v>
      </c>
      <c r="C58" s="182" t="n">
        <v>4729.1198</v>
      </c>
      <c r="D58" s="182" t="n">
        <v>4693.4694</v>
      </c>
      <c r="E58" s="182" t="n">
        <v>35.6504</v>
      </c>
      <c r="F58" s="182" t="n">
        <v>1270.9517</v>
      </c>
      <c r="G58" s="182" t="inlineStr"/>
      <c r="H58" s="182" t="inlineStr"/>
    </row>
    <row r="59" ht="15" customHeight="1" s="28">
      <c r="A59" s="181" t="n">
        <v>49</v>
      </c>
      <c r="B59" s="181" t="n">
        <v>485</v>
      </c>
      <c r="C59" s="181" t="n">
        <v>4692.6568</v>
      </c>
      <c r="D59" s="181" t="n">
        <v>4687.5821</v>
      </c>
      <c r="E59" s="181" t="n">
        <v>5.0747</v>
      </c>
      <c r="F59" s="181" t="n">
        <v>25.7523</v>
      </c>
      <c r="G59" s="181" t="inlineStr"/>
      <c r="H59" s="181" t="inlineStr"/>
    </row>
    <row r="60" ht="15" customHeight="1" s="28">
      <c r="A60" s="182" t="n">
        <v>50</v>
      </c>
      <c r="B60" s="182" t="n">
        <v>497</v>
      </c>
      <c r="C60" s="182" t="n">
        <v>4701.3644</v>
      </c>
      <c r="D60" s="182" t="n">
        <v>4684.3709</v>
      </c>
      <c r="E60" s="182" t="n">
        <v>16.9935</v>
      </c>
      <c r="F60" s="182" t="n">
        <v>288.7794</v>
      </c>
      <c r="G60" s="182" t="inlineStr"/>
      <c r="H60" s="182" t="inlineStr"/>
    </row>
    <row r="61" ht="15" customHeight="1" s="28">
      <c r="A61" s="181" t="n">
        <v>51</v>
      </c>
      <c r="B61" s="181" t="n">
        <v>510</v>
      </c>
      <c r="C61" s="181" t="n">
        <v>4671.0085</v>
      </c>
      <c r="D61" s="181" t="n">
        <v>4680.892</v>
      </c>
      <c r="E61" s="181" t="n">
        <v>-9.8835</v>
      </c>
      <c r="F61" s="181" t="n">
        <v>97.684</v>
      </c>
      <c r="G61" s="181" t="inlineStr"/>
      <c r="H61" s="181" t="inlineStr"/>
    </row>
    <row r="62" ht="15" customHeight="1" s="28">
      <c r="A62" s="182" t="n">
        <v>52</v>
      </c>
      <c r="B62" s="182" t="n">
        <v>517</v>
      </c>
      <c r="C62" s="182" t="n">
        <v>4677.5968</v>
      </c>
      <c r="D62" s="182" t="n">
        <v>4679.0188</v>
      </c>
      <c r="E62" s="182" t="n">
        <v>-1.422</v>
      </c>
      <c r="F62" s="182" t="n">
        <v>2.0221</v>
      </c>
      <c r="G62" s="182" t="inlineStr"/>
      <c r="H62" s="182" t="inlineStr"/>
    </row>
    <row r="63" ht="15" customHeight="1" s="28">
      <c r="A63" s="181" t="n">
        <v>53</v>
      </c>
      <c r="B63" s="181" t="n">
        <v>519</v>
      </c>
      <c r="C63" s="181" t="n">
        <v>4677.6687</v>
      </c>
      <c r="D63" s="181" t="n">
        <v>4678.4836</v>
      </c>
      <c r="E63" s="181" t="n">
        <v>-0.8149</v>
      </c>
      <c r="F63" s="181" t="n">
        <v>0.664</v>
      </c>
      <c r="G63" s="181" t="inlineStr"/>
      <c r="H63" s="181" t="inlineStr"/>
    </row>
    <row r="64" ht="15" customHeight="1" s="28">
      <c r="A64" s="182" t="n">
        <v>54</v>
      </c>
      <c r="B64" s="182" t="n">
        <v>528</v>
      </c>
      <c r="C64" s="182" t="n">
        <v>4688.6921</v>
      </c>
      <c r="D64" s="182" t="n">
        <v>4676.0752</v>
      </c>
      <c r="E64" s="182" t="n">
        <v>12.617</v>
      </c>
      <c r="F64" s="182" t="n">
        <v>159.1882</v>
      </c>
      <c r="G64" s="182" t="inlineStr"/>
      <c r="H64" s="182" t="inlineStr"/>
    </row>
    <row r="65" ht="15" customHeight="1" s="28">
      <c r="A65" s="181" t="n">
        <v>55</v>
      </c>
      <c r="B65" s="181" t="n">
        <v>533</v>
      </c>
      <c r="C65" s="181" t="n">
        <v>4682.0741</v>
      </c>
      <c r="D65" s="181" t="n">
        <v>4674.7371</v>
      </c>
      <c r="E65" s="181" t="n">
        <v>7.337</v>
      </c>
      <c r="F65" s="181" t="n">
        <v>53.8311</v>
      </c>
      <c r="G65" s="181" t="inlineStr"/>
      <c r="H65" s="181" t="inlineStr"/>
    </row>
    <row r="66" ht="15" customHeight="1" s="28">
      <c r="A66" s="182" t="n">
        <v>56</v>
      </c>
      <c r="B66" s="182" t="n">
        <v>542</v>
      </c>
      <c r="C66" s="182" t="n">
        <v>4703.9862</v>
      </c>
      <c r="D66" s="182" t="n">
        <v>4672.3287</v>
      </c>
      <c r="E66" s="182" t="n">
        <v>31.6575</v>
      </c>
      <c r="F66" s="182" t="n">
        <v>1002.1979</v>
      </c>
      <c r="G66" s="182" t="inlineStr"/>
      <c r="H66" s="182" t="inlineStr"/>
    </row>
    <row r="67" ht="15" customHeight="1" s="28">
      <c r="A67" s="181" t="n">
        <v>57</v>
      </c>
      <c r="B67" s="181" t="n">
        <v>545</v>
      </c>
      <c r="C67" s="181" t="n">
        <v>4705.476</v>
      </c>
      <c r="D67" s="181" t="n">
        <v>4671.5259</v>
      </c>
      <c r="E67" s="181" t="n">
        <v>33.9501</v>
      </c>
      <c r="F67" s="181" t="n">
        <v>1152.6093</v>
      </c>
      <c r="G67" s="181" t="inlineStr"/>
      <c r="H67" s="181" t="inlineStr"/>
    </row>
    <row r="68" ht="15" customHeight="1" s="28">
      <c r="A68" s="182" t="n">
        <v>58</v>
      </c>
      <c r="B68" s="182" t="n">
        <v>554</v>
      </c>
      <c r="C68" s="182" t="n">
        <v>4725.9997</v>
      </c>
      <c r="D68" s="182" t="n">
        <v>4669.1175</v>
      </c>
      <c r="E68" s="182" t="n">
        <v>56.8823</v>
      </c>
      <c r="F68" s="182" t="n">
        <v>3235.5938</v>
      </c>
      <c r="G68" s="182" t="inlineStr"/>
      <c r="H68" s="182" t="inlineStr"/>
    </row>
    <row r="69" ht="15" customHeight="1" s="28">
      <c r="A69" s="181" t="n">
        <v>59</v>
      </c>
      <c r="B69" s="181" t="n">
        <v>559</v>
      </c>
      <c r="C69" s="181" t="n">
        <v>4723.6963</v>
      </c>
      <c r="D69" s="181" t="n">
        <v>4667.7794</v>
      </c>
      <c r="E69" s="181" t="n">
        <v>55.9168</v>
      </c>
      <c r="F69" s="181" t="n">
        <v>3126.6908</v>
      </c>
      <c r="G69" s="181" t="inlineStr"/>
      <c r="H69" s="181" t="inlineStr"/>
    </row>
    <row r="70" ht="15" customHeight="1" s="28">
      <c r="A70" s="182" t="n">
        <v>60</v>
      </c>
      <c r="B70" s="182" t="n">
        <v>562</v>
      </c>
      <c r="C70" s="182" t="n">
        <v>4723.8595</v>
      </c>
      <c r="D70" s="182" t="n">
        <v>4666.9766</v>
      </c>
      <c r="E70" s="182" t="n">
        <v>56.8829</v>
      </c>
      <c r="F70" s="182" t="n">
        <v>3235.6655</v>
      </c>
      <c r="G70" s="182" t="inlineStr"/>
      <c r="H70" s="182" t="inlineStr"/>
    </row>
    <row r="71" ht="15" customHeight="1" s="28">
      <c r="A71" s="181" t="n">
        <v>61</v>
      </c>
      <c r="B71" s="181" t="n">
        <v>584</v>
      </c>
      <c r="C71" s="181" t="n">
        <v>4680.7626</v>
      </c>
      <c r="D71" s="181" t="n">
        <v>4661.0893</v>
      </c>
      <c r="E71" s="181" t="n">
        <v>19.6733</v>
      </c>
      <c r="F71" s="181" t="n">
        <v>387.0379</v>
      </c>
      <c r="G71" s="181" t="inlineStr"/>
      <c r="H71" s="181" t="inlineStr"/>
    </row>
    <row r="72" ht="15" customHeight="1" s="28">
      <c r="A72" s="182" t="n">
        <v>62</v>
      </c>
      <c r="B72" s="182" t="n">
        <v>602</v>
      </c>
      <c r="C72" s="182" t="n">
        <v>4725.1237</v>
      </c>
      <c r="D72" s="182" t="n">
        <v>4656.2725</v>
      </c>
      <c r="E72" s="182" t="n">
        <v>68.85129999999999</v>
      </c>
      <c r="F72" s="182" t="n">
        <v>4740.4974</v>
      </c>
      <c r="G72" s="182" t="inlineStr"/>
      <c r="H72" s="182" t="inlineStr"/>
    </row>
    <row r="73" ht="15" customHeight="1" s="28">
      <c r="A73" s="181" t="n">
        <v>63</v>
      </c>
      <c r="B73" s="181" t="n">
        <v>611</v>
      </c>
      <c r="C73" s="181" t="n">
        <v>4713.8471</v>
      </c>
      <c r="D73" s="181" t="n">
        <v>4653.864</v>
      </c>
      <c r="E73" s="181" t="n">
        <v>59.983</v>
      </c>
      <c r="F73" s="181" t="n">
        <v>3597.9651</v>
      </c>
      <c r="G73" s="181" t="inlineStr"/>
      <c r="H73" s="181" t="inlineStr"/>
    </row>
    <row r="74" ht="15" customHeight="1" s="28">
      <c r="A74" s="182" t="n">
        <v>64</v>
      </c>
      <c r="B74" s="182" t="n">
        <v>615</v>
      </c>
      <c r="C74" s="182" t="n">
        <v>4714.2374</v>
      </c>
      <c r="D74" s="182" t="n">
        <v>4652.7936</v>
      </c>
      <c r="E74" s="182" t="n">
        <v>61.4438</v>
      </c>
      <c r="F74" s="182" t="n">
        <v>3775.343</v>
      </c>
      <c r="G74" s="182" t="inlineStr"/>
      <c r="H74" s="182" t="inlineStr"/>
    </row>
    <row r="75" ht="15" customHeight="1" s="28">
      <c r="A75" s="181" t="n">
        <v>65</v>
      </c>
      <c r="B75" s="181" t="n">
        <v>624</v>
      </c>
      <c r="C75" s="181" t="n">
        <v>4704.1656</v>
      </c>
      <c r="D75" s="181" t="n">
        <v>4650.3852</v>
      </c>
      <c r="E75" s="181" t="n">
        <v>53.7804</v>
      </c>
      <c r="F75" s="181" t="n">
        <v>2892.3347</v>
      </c>
      <c r="G75" s="181" t="inlineStr"/>
      <c r="H75" s="181" t="inlineStr"/>
    </row>
    <row r="76" ht="15" customHeight="1" s="28">
      <c r="A76" s="182" t="n">
        <v>66</v>
      </c>
      <c r="B76" s="182" t="n">
        <v>630</v>
      </c>
      <c r="C76" s="182" t="n">
        <v>4705.993</v>
      </c>
      <c r="D76" s="182" t="n">
        <v>4648.7796</v>
      </c>
      <c r="E76" s="182" t="n">
        <v>57.2135</v>
      </c>
      <c r="F76" s="182" t="n">
        <v>3273.3834</v>
      </c>
      <c r="G76" s="182" t="inlineStr"/>
      <c r="H76" s="182" t="inlineStr"/>
    </row>
    <row r="77" ht="15" customHeight="1" s="28">
      <c r="A77" s="181" t="n">
        <v>67</v>
      </c>
      <c r="B77" s="181" t="n">
        <v>650</v>
      </c>
      <c r="C77" s="181" t="n">
        <v>4674.7766</v>
      </c>
      <c r="D77" s="181" t="n">
        <v>4643.4275</v>
      </c>
      <c r="E77" s="181" t="n">
        <v>31.3491</v>
      </c>
      <c r="F77" s="181" t="n">
        <v>982.7667</v>
      </c>
      <c r="G77" s="181" t="inlineStr"/>
      <c r="H77" s="181" t="inlineStr"/>
    </row>
    <row r="78" ht="15" customHeight="1" s="28">
      <c r="A78" s="182" t="n">
        <v>68</v>
      </c>
      <c r="B78" s="182" t="n">
        <v>659</v>
      </c>
      <c r="C78" s="182" t="n">
        <v>4681.7926</v>
      </c>
      <c r="D78" s="182" t="n">
        <v>4641.019</v>
      </c>
      <c r="E78" s="182" t="n">
        <v>40.7735</v>
      </c>
      <c r="F78" s="182" t="n">
        <v>1662.4816</v>
      </c>
      <c r="G78" s="182" t="inlineStr"/>
      <c r="H78" s="182" t="inlineStr"/>
    </row>
    <row r="79" ht="15" customHeight="1" s="28">
      <c r="A79" s="181" t="n">
        <v>69</v>
      </c>
      <c r="B79" s="181" t="n">
        <v>664</v>
      </c>
      <c r="C79" s="181" t="n">
        <v>4680.2319</v>
      </c>
      <c r="D79" s="181" t="n">
        <v>4639.681</v>
      </c>
      <c r="E79" s="181" t="n">
        <v>40.5509</v>
      </c>
      <c r="F79" s="181" t="n">
        <v>1644.3731</v>
      </c>
      <c r="G79" s="181" t="inlineStr"/>
      <c r="H79" s="181" t="inlineStr"/>
    </row>
    <row r="80" ht="15" customHeight="1" s="28">
      <c r="A80" s="182" t="n">
        <v>70</v>
      </c>
      <c r="B80" s="182" t="n">
        <v>678</v>
      </c>
      <c r="C80" s="182" t="n">
        <v>4693.6994</v>
      </c>
      <c r="D80" s="182" t="n">
        <v>4635.9345</v>
      </c>
      <c r="E80" s="182" t="n">
        <v>57.7648</v>
      </c>
      <c r="F80" s="182" t="n">
        <v>3336.7756</v>
      </c>
      <c r="G80" s="182" t="inlineStr"/>
      <c r="H80" s="182" t="inlineStr"/>
    </row>
    <row r="81" ht="15" customHeight="1" s="28">
      <c r="A81" s="181" t="n">
        <v>71</v>
      </c>
      <c r="B81" s="181" t="n">
        <v>689</v>
      </c>
      <c r="C81" s="181" t="n">
        <v>4672.4743</v>
      </c>
      <c r="D81" s="181" t="n">
        <v>4632.9909</v>
      </c>
      <c r="E81" s="181" t="n">
        <v>39.4834</v>
      </c>
      <c r="F81" s="181" t="n">
        <v>1558.9397</v>
      </c>
      <c r="G81" s="181" t="inlineStr"/>
      <c r="H81" s="181" t="inlineStr"/>
    </row>
    <row r="82" ht="15" customHeight="1" s="28">
      <c r="A82" s="182" t="n">
        <v>72</v>
      </c>
      <c r="B82" s="182" t="n">
        <v>692</v>
      </c>
      <c r="C82" s="182" t="n">
        <v>4672.133</v>
      </c>
      <c r="D82" s="182" t="n">
        <v>4632.1881</v>
      </c>
      <c r="E82" s="182" t="n">
        <v>39.9449</v>
      </c>
      <c r="F82" s="182" t="n">
        <v>1595.5934</v>
      </c>
      <c r="G82" s="182" t="inlineStr"/>
      <c r="H82" s="182" t="inlineStr"/>
    </row>
    <row r="83" ht="15" customHeight="1" s="28">
      <c r="A83" s="181" t="n">
        <v>73</v>
      </c>
      <c r="B83" s="181" t="n">
        <v>727</v>
      </c>
      <c r="C83" s="181" t="n">
        <v>4582.2172</v>
      </c>
      <c r="D83" s="181" t="n">
        <v>4622.8219</v>
      </c>
      <c r="E83" s="181" t="n">
        <v>-40.6047</v>
      </c>
      <c r="F83" s="181" t="n">
        <v>1648.7433</v>
      </c>
      <c r="G83" s="181" t="inlineStr"/>
      <c r="H83" s="181" t="inlineStr"/>
    </row>
    <row r="84" ht="15" customHeight="1" s="28">
      <c r="A84" s="182" t="n">
        <v>74</v>
      </c>
      <c r="B84" s="182" t="n">
        <v>729</v>
      </c>
      <c r="C84" s="182" t="n">
        <v>4581.4012</v>
      </c>
      <c r="D84" s="182" t="n">
        <v>4622.2868</v>
      </c>
      <c r="E84" s="182" t="n">
        <v>-40.8855</v>
      </c>
      <c r="F84" s="182" t="n">
        <v>1671.6241</v>
      </c>
      <c r="G84" s="182" t="inlineStr"/>
      <c r="H84" s="182" t="inlineStr"/>
    </row>
    <row r="85" ht="15" customHeight="1" s="28">
      <c r="A85" s="181" t="n">
        <v>75</v>
      </c>
      <c r="B85" s="181" t="n">
        <v>736</v>
      </c>
      <c r="C85" s="181" t="n">
        <v>4572.3875</v>
      </c>
      <c r="D85" s="181" t="n">
        <v>4620.4135</v>
      </c>
      <c r="E85" s="181" t="n">
        <v>-48.026</v>
      </c>
      <c r="F85" s="181" t="n">
        <v>2306.4996</v>
      </c>
      <c r="G85" s="181" t="inlineStr"/>
      <c r="H85" s="181" t="inlineStr"/>
    </row>
    <row r="86" ht="15" customHeight="1" s="28">
      <c r="A86" s="182" t="n">
        <v>76</v>
      </c>
      <c r="B86" s="182" t="n">
        <v>755</v>
      </c>
      <c r="C86" s="182" t="n">
        <v>4596.5934</v>
      </c>
      <c r="D86" s="182" t="n">
        <v>4615.329</v>
      </c>
      <c r="E86" s="182" t="n">
        <v>-18.7356</v>
      </c>
      <c r="F86" s="182" t="n">
        <v>351.0246</v>
      </c>
      <c r="G86" s="182" t="inlineStr"/>
      <c r="H86" s="182" t="inlineStr"/>
    </row>
    <row r="87" ht="15" customHeight="1" s="28">
      <c r="A87" s="181" t="n">
        <v>77</v>
      </c>
      <c r="B87" s="181" t="n">
        <v>764</v>
      </c>
      <c r="C87" s="181" t="n">
        <v>4594.1765</v>
      </c>
      <c r="D87" s="181" t="n">
        <v>4612.9206</v>
      </c>
      <c r="E87" s="181" t="n">
        <v>-18.7441</v>
      </c>
      <c r="F87" s="181" t="n">
        <v>351.3402</v>
      </c>
      <c r="G87" s="181" t="inlineStr"/>
      <c r="H87" s="181" t="inlineStr"/>
    </row>
    <row r="88" ht="15" customHeight="1" s="28">
      <c r="A88" s="182" t="n">
        <v>78</v>
      </c>
      <c r="B88" s="182" t="n">
        <v>770</v>
      </c>
      <c r="C88" s="182" t="n">
        <v>4596.4324</v>
      </c>
      <c r="D88" s="182" t="n">
        <v>4611.315</v>
      </c>
      <c r="E88" s="182" t="n">
        <v>-14.8826</v>
      </c>
      <c r="F88" s="182" t="n">
        <v>221.4909</v>
      </c>
      <c r="G88" s="182" t="inlineStr"/>
      <c r="H88" s="182" t="inlineStr"/>
    </row>
    <row r="89" ht="15" customHeight="1" s="28">
      <c r="A89" s="181" t="n">
        <v>79</v>
      </c>
      <c r="B89" s="181" t="n">
        <v>776</v>
      </c>
      <c r="C89" s="181" t="n">
        <v>4592.2323</v>
      </c>
      <c r="D89" s="181" t="n">
        <v>4609.7094</v>
      </c>
      <c r="E89" s="181" t="n">
        <v>-17.4771</v>
      </c>
      <c r="F89" s="181" t="n">
        <v>305.4483</v>
      </c>
      <c r="G89" s="181" t="inlineStr"/>
      <c r="H89" s="181" t="inlineStr"/>
    </row>
    <row r="90" ht="15" customHeight="1" s="28">
      <c r="A90" s="182" t="n">
        <v>80</v>
      </c>
      <c r="B90" s="182" t="n">
        <v>788</v>
      </c>
      <c r="C90" s="182" t="n">
        <v>4600.8452</v>
      </c>
      <c r="D90" s="182" t="n">
        <v>4606.4981</v>
      </c>
      <c r="E90" s="182" t="n">
        <v>-5.6529</v>
      </c>
      <c r="F90" s="182" t="n">
        <v>31.9557</v>
      </c>
      <c r="G90" s="182" t="inlineStr"/>
      <c r="H90" s="182" t="inlineStr"/>
    </row>
    <row r="91" ht="15" customHeight="1" s="28">
      <c r="A91" s="181" t="n">
        <v>81</v>
      </c>
      <c r="B91" s="181" t="n">
        <v>809</v>
      </c>
      <c r="C91" s="181" t="n">
        <v>4565.6079</v>
      </c>
      <c r="D91" s="181" t="n">
        <v>4600.8784</v>
      </c>
      <c r="E91" s="181" t="n">
        <v>-35.2705</v>
      </c>
      <c r="F91" s="181" t="n">
        <v>1244.0103</v>
      </c>
      <c r="G91" s="181" t="inlineStr"/>
      <c r="H91" s="181" t="inlineStr"/>
    </row>
    <row r="92" ht="15" customHeight="1" s="28">
      <c r="A92" s="182" t="n">
        <v>82</v>
      </c>
      <c r="B92" s="182" t="n">
        <v>815</v>
      </c>
      <c r="C92" s="182" t="n">
        <v>4566.1015</v>
      </c>
      <c r="D92" s="182" t="n">
        <v>4599.2728</v>
      </c>
      <c r="E92" s="182" t="n">
        <v>-33.1713</v>
      </c>
      <c r="F92" s="182" t="n">
        <v>1100.3378</v>
      </c>
      <c r="G92" s="182" t="inlineStr"/>
      <c r="H92" s="182" t="inlineStr"/>
    </row>
    <row r="93" ht="15" customHeight="1" s="28">
      <c r="A93" s="181" t="n">
        <v>83</v>
      </c>
      <c r="B93" s="181" t="n">
        <v>826</v>
      </c>
      <c r="C93" s="181" t="n">
        <v>4532.0678</v>
      </c>
      <c r="D93" s="181" t="n">
        <v>4596.3291</v>
      </c>
      <c r="E93" s="181" t="n">
        <v>-64.26139999999999</v>
      </c>
      <c r="F93" s="181" t="n">
        <v>4129.5262</v>
      </c>
      <c r="G93" s="181" t="inlineStr"/>
      <c r="H93" s="181" t="inlineStr"/>
    </row>
    <row r="94" ht="15" customHeight="1" s="28">
      <c r="A94" s="182" t="n">
        <v>84</v>
      </c>
      <c r="B94" s="182" t="n">
        <v>835</v>
      </c>
      <c r="C94" s="182" t="n">
        <v>4551.6611</v>
      </c>
      <c r="D94" s="182" t="n">
        <v>4593.9207</v>
      </c>
      <c r="E94" s="182" t="n">
        <v>-42.2596</v>
      </c>
      <c r="F94" s="182" t="n">
        <v>1785.8746</v>
      </c>
      <c r="G94" s="182" t="inlineStr"/>
      <c r="H94" s="182" t="inlineStr"/>
    </row>
    <row r="95" ht="15" customHeight="1" s="28">
      <c r="A95" s="181" t="n">
        <v>85</v>
      </c>
      <c r="B95" s="181" t="n">
        <v>843</v>
      </c>
      <c r="C95" s="181" t="n">
        <v>4535.9611</v>
      </c>
      <c r="D95" s="181" t="n">
        <v>4591.7799</v>
      </c>
      <c r="E95" s="181" t="n">
        <v>-55.8188</v>
      </c>
      <c r="F95" s="181" t="n">
        <v>3115.7329</v>
      </c>
      <c r="G95" s="181" t="inlineStr"/>
      <c r="H95" s="181" t="inlineStr"/>
    </row>
    <row r="96" ht="15" customHeight="1" s="28">
      <c r="A96" s="182" t="n">
        <v>86</v>
      </c>
      <c r="B96" s="182" t="n">
        <v>869</v>
      </c>
      <c r="C96" s="182" t="n">
        <v>4573.7037</v>
      </c>
      <c r="D96" s="182" t="n">
        <v>4584.8222</v>
      </c>
      <c r="E96" s="182" t="n">
        <v>-11.1184</v>
      </c>
      <c r="F96" s="182" t="n">
        <v>123.6199</v>
      </c>
      <c r="G96" s="182" t="inlineStr"/>
      <c r="H96" s="182" t="inlineStr"/>
    </row>
    <row r="97" ht="15" customHeight="1" s="28">
      <c r="A97" s="181" t="n">
        <v>87</v>
      </c>
      <c r="B97" s="181" t="n">
        <v>880</v>
      </c>
      <c r="C97" s="181" t="n">
        <v>4551.2341</v>
      </c>
      <c r="D97" s="181" t="n">
        <v>4581.8785</v>
      </c>
      <c r="E97" s="181" t="n">
        <v>-30.6444</v>
      </c>
      <c r="F97" s="181" t="n">
        <v>939.0805</v>
      </c>
      <c r="G97" s="181" t="inlineStr"/>
      <c r="H97" s="181" t="inlineStr"/>
    </row>
    <row r="98" ht="15" customHeight="1" s="28">
      <c r="A98" s="182" t="n">
        <v>88</v>
      </c>
      <c r="B98" s="182" t="n">
        <v>906</v>
      </c>
      <c r="C98" s="182" t="n">
        <v>4635.2304</v>
      </c>
      <c r="D98" s="182" t="n">
        <v>4574.9208</v>
      </c>
      <c r="E98" s="182" t="n">
        <v>60.3096</v>
      </c>
      <c r="F98" s="182" t="n">
        <v>3637.2442</v>
      </c>
      <c r="G98" s="182" t="inlineStr"/>
      <c r="H98" s="182" t="inlineStr"/>
    </row>
    <row r="99" ht="15" customHeight="1" s="28">
      <c r="A99" s="181" t="n">
        <v>89</v>
      </c>
      <c r="B99" s="181" t="n">
        <v>928</v>
      </c>
      <c r="C99" s="181" t="n">
        <v>4612.4703</v>
      </c>
      <c r="D99" s="181" t="n">
        <v>4569.0335</v>
      </c>
      <c r="E99" s="181" t="n">
        <v>43.4367</v>
      </c>
      <c r="F99" s="181" t="n">
        <v>1886.7495</v>
      </c>
      <c r="G99" s="181" t="inlineStr"/>
      <c r="H99" s="181" t="inlineStr"/>
    </row>
    <row r="100" ht="15" customHeight="1" s="28">
      <c r="A100" s="182" t="n">
        <v>90</v>
      </c>
      <c r="B100" s="182" t="n">
        <v>936</v>
      </c>
      <c r="C100" s="182" t="n">
        <v>4621.3179</v>
      </c>
      <c r="D100" s="182" t="n">
        <v>4566.8927</v>
      </c>
      <c r="E100" s="182" t="n">
        <v>54.4252</v>
      </c>
      <c r="F100" s="182" t="n">
        <v>2962.1024</v>
      </c>
      <c r="G100" s="182" t="inlineStr"/>
      <c r="H100" s="182" t="inlineStr"/>
    </row>
    <row r="101" ht="15" customHeight="1" s="28">
      <c r="A101" s="181" t="n">
        <v>91</v>
      </c>
      <c r="B101" s="181" t="n">
        <v>941</v>
      </c>
      <c r="C101" s="181" t="n">
        <v>4618.4207</v>
      </c>
      <c r="D101" s="181" t="n">
        <v>4565.5547</v>
      </c>
      <c r="E101" s="181" t="n">
        <v>52.866</v>
      </c>
      <c r="F101" s="181" t="n">
        <v>2794.8118</v>
      </c>
      <c r="G101" s="181" t="inlineStr"/>
      <c r="H101" s="181" t="inlineStr"/>
    </row>
    <row r="102" ht="15" customHeight="1" s="28">
      <c r="A102" s="182" t="n">
        <v>92</v>
      </c>
      <c r="B102" s="182" t="n">
        <v>949</v>
      </c>
      <c r="C102" s="182" t="n">
        <v>4631.1862</v>
      </c>
      <c r="D102" s="182" t="n">
        <v>4563.4138</v>
      </c>
      <c r="E102" s="182" t="n">
        <v>67.7724</v>
      </c>
      <c r="F102" s="182" t="n">
        <v>4593.0955</v>
      </c>
      <c r="G102" s="182" t="inlineStr"/>
      <c r="H102" s="182" t="inlineStr"/>
    </row>
    <row r="103" ht="15" customHeight="1" s="28">
      <c r="A103" s="181" t="n">
        <v>93</v>
      </c>
      <c r="B103" s="181" t="n">
        <v>958</v>
      </c>
      <c r="C103" s="181" t="n">
        <v>4621.1766</v>
      </c>
      <c r="D103" s="181" t="n">
        <v>4561.0054</v>
      </c>
      <c r="E103" s="181" t="n">
        <v>60.1712</v>
      </c>
      <c r="F103" s="181" t="n">
        <v>3620.5769</v>
      </c>
      <c r="G103" s="181" t="inlineStr"/>
      <c r="H103" s="181" t="inlineStr"/>
    </row>
    <row r="104" ht="15" customHeight="1" s="28">
      <c r="A104" s="182" t="n">
        <v>94</v>
      </c>
      <c r="B104" s="182" t="n">
        <v>965</v>
      </c>
      <c r="C104" s="182" t="n">
        <v>4624.7019</v>
      </c>
      <c r="D104" s="182" t="n">
        <v>4559.1322</v>
      </c>
      <c r="E104" s="182" t="n">
        <v>65.5697</v>
      </c>
      <c r="F104" s="182" t="n">
        <v>4299.3842</v>
      </c>
      <c r="G104" s="182" t="inlineStr"/>
      <c r="H104" s="182" t="inlineStr"/>
    </row>
    <row r="105" ht="15" customHeight="1" s="28">
      <c r="A105" s="181" t="n">
        <v>95</v>
      </c>
      <c r="B105" s="181" t="n">
        <v>992</v>
      </c>
      <c r="C105" s="181" t="n">
        <v>4566.9336</v>
      </c>
      <c r="D105" s="181" t="n">
        <v>4551.9069</v>
      </c>
      <c r="E105" s="181" t="n">
        <v>15.0268</v>
      </c>
      <c r="F105" s="181" t="n">
        <v>225.8035</v>
      </c>
      <c r="G105" s="181" t="inlineStr"/>
      <c r="H105" s="181" t="inlineStr"/>
    </row>
    <row r="106" ht="15" customHeight="1" s="28">
      <c r="A106" s="182" t="n">
        <v>96</v>
      </c>
      <c r="B106" s="182" t="n">
        <v>1016</v>
      </c>
      <c r="C106" s="182" t="n">
        <v>4640.4135</v>
      </c>
      <c r="D106" s="182" t="n">
        <v>4545.4844</v>
      </c>
      <c r="E106" s="182" t="n">
        <v>94.92910000000001</v>
      </c>
      <c r="F106" s="182" t="n">
        <v>9011.5321</v>
      </c>
      <c r="G106" s="182" t="inlineStr"/>
      <c r="H106" s="182" t="inlineStr"/>
    </row>
    <row r="107" ht="15" customHeight="1" s="28">
      <c r="A107" s="181" t="n">
        <v>97</v>
      </c>
      <c r="B107" s="181" t="n">
        <v>1034</v>
      </c>
      <c r="C107" s="181" t="n">
        <v>4615.1934</v>
      </c>
      <c r="D107" s="181" t="n">
        <v>4540.6675</v>
      </c>
      <c r="E107" s="181" t="n">
        <v>74.52589999999999</v>
      </c>
      <c r="F107" s="181" t="n">
        <v>5554.1142</v>
      </c>
      <c r="G107" s="181" t="inlineStr"/>
      <c r="H107" s="181" t="inlineStr"/>
    </row>
    <row r="108" ht="15" customHeight="1" s="28">
      <c r="A108" s="182" t="n">
        <v>98</v>
      </c>
      <c r="B108" s="182" t="n">
        <v>1040</v>
      </c>
      <c r="C108" s="182" t="n">
        <v>4619.5298</v>
      </c>
      <c r="D108" s="182" t="n">
        <v>4539.0619</v>
      </c>
      <c r="E108" s="182" t="n">
        <v>80.468</v>
      </c>
      <c r="F108" s="182" t="n">
        <v>6475.0926</v>
      </c>
      <c r="G108" s="182" t="inlineStr"/>
      <c r="H108" s="182" t="inlineStr"/>
    </row>
    <row r="109" ht="15" customHeight="1" s="28">
      <c r="A109" s="181" t="n">
        <v>99</v>
      </c>
      <c r="B109" s="181" t="n">
        <v>1053</v>
      </c>
      <c r="C109" s="181" t="n">
        <v>4603.4631</v>
      </c>
      <c r="D109" s="181" t="n">
        <v>4535.583</v>
      </c>
      <c r="E109" s="181" t="n">
        <v>67.8801</v>
      </c>
      <c r="F109" s="181" t="n">
        <v>4607.7093</v>
      </c>
      <c r="G109" s="181" t="inlineStr"/>
      <c r="H109" s="181" t="inlineStr"/>
    </row>
    <row r="110" ht="15" customHeight="1" s="28">
      <c r="A110" s="182" t="n">
        <v>100</v>
      </c>
      <c r="B110" s="182" t="n">
        <v>1061</v>
      </c>
      <c r="C110" s="182" t="n">
        <v>4609.1787</v>
      </c>
      <c r="D110" s="182" t="n">
        <v>4533.4422</v>
      </c>
      <c r="E110" s="182" t="n">
        <v>75.73650000000001</v>
      </c>
      <c r="F110" s="182" t="n">
        <v>5736.0174</v>
      </c>
      <c r="G110" s="182" t="inlineStr"/>
      <c r="H110" s="182" t="inlineStr"/>
    </row>
    <row r="111" ht="15" customHeight="1" s="28">
      <c r="A111" s="181" t="n">
        <v>101</v>
      </c>
      <c r="B111" s="181" t="n">
        <v>1089</v>
      </c>
      <c r="C111" s="181" t="n">
        <v>4559.2624</v>
      </c>
      <c r="D111" s="181" t="n">
        <v>4525.9493</v>
      </c>
      <c r="E111" s="181" t="n">
        <v>33.3131</v>
      </c>
      <c r="F111" s="181" t="n">
        <v>1109.7626</v>
      </c>
      <c r="G111" s="181" t="inlineStr"/>
      <c r="H111" s="181" t="inlineStr"/>
    </row>
    <row r="112" ht="15" customHeight="1" s="28">
      <c r="A112" s="182" t="n">
        <v>102</v>
      </c>
      <c r="B112" s="182" t="n">
        <v>1101</v>
      </c>
      <c r="C112" s="182" t="n">
        <v>4566.5537</v>
      </c>
      <c r="D112" s="182" t="n">
        <v>4522.738</v>
      </c>
      <c r="E112" s="182" t="n">
        <v>43.8157</v>
      </c>
      <c r="F112" s="182" t="n">
        <v>1919.8156</v>
      </c>
      <c r="G112" s="182" t="inlineStr"/>
      <c r="H112" s="182" t="inlineStr"/>
    </row>
    <row r="113" ht="15" customHeight="1" s="28">
      <c r="A113" s="181" t="n">
        <v>103</v>
      </c>
      <c r="B113" s="181" t="n">
        <v>1112</v>
      </c>
      <c r="C113" s="181" t="n">
        <v>4516.7968</v>
      </c>
      <c r="D113" s="181" t="n">
        <v>4519.7944</v>
      </c>
      <c r="E113" s="181" t="n">
        <v>-2.9976</v>
      </c>
      <c r="F113" s="181" t="n">
        <v>8.9855</v>
      </c>
      <c r="G113" s="181" t="inlineStr"/>
      <c r="H113" s="181" t="inlineStr"/>
    </row>
    <row r="114" ht="15" customHeight="1" s="28">
      <c r="A114" s="182" t="n">
        <v>104</v>
      </c>
      <c r="B114" s="182" t="n">
        <v>1117</v>
      </c>
      <c r="C114" s="182" t="n">
        <v>4519.7938</v>
      </c>
      <c r="D114" s="182" t="n">
        <v>4518.4564</v>
      </c>
      <c r="E114" s="182" t="n">
        <v>1.3374</v>
      </c>
      <c r="F114" s="182" t="n">
        <v>1.7888</v>
      </c>
      <c r="G114" s="182" t="inlineStr"/>
      <c r="H114" s="182" t="inlineStr"/>
    </row>
    <row r="115" ht="15" customHeight="1" s="28">
      <c r="A115" s="181" t="n">
        <v>105</v>
      </c>
      <c r="B115" s="181" t="n">
        <v>1123</v>
      </c>
      <c r="C115" s="181" t="n">
        <v>4517.1665</v>
      </c>
      <c r="D115" s="181" t="n">
        <v>4516.8507</v>
      </c>
      <c r="E115" s="181" t="n">
        <v>0.3158</v>
      </c>
      <c r="F115" s="181" t="n">
        <v>0.0997</v>
      </c>
      <c r="G115" s="181" t="inlineStr"/>
      <c r="H115" s="181" t="inlineStr"/>
    </row>
    <row r="116" ht="15" customHeight="1" s="28">
      <c r="A116" s="182" t="n">
        <v>106</v>
      </c>
      <c r="B116" s="182" t="n">
        <v>1130</v>
      </c>
      <c r="C116" s="182" t="n">
        <v>4519.7573</v>
      </c>
      <c r="D116" s="182" t="n">
        <v>4514.9775</v>
      </c>
      <c r="E116" s="182" t="n">
        <v>4.7798</v>
      </c>
      <c r="F116" s="182" t="n">
        <v>22.8464</v>
      </c>
      <c r="G116" s="182" t="inlineStr"/>
      <c r="H116" s="182" t="inlineStr"/>
    </row>
    <row r="117" ht="15" customHeight="1" s="28">
      <c r="A117" s="181" t="n">
        <v>107</v>
      </c>
      <c r="B117" s="181" t="n">
        <v>1134</v>
      </c>
      <c r="C117" s="181" t="n">
        <v>4519.4497</v>
      </c>
      <c r="D117" s="181" t="n">
        <v>4513.9071</v>
      </c>
      <c r="E117" s="181" t="n">
        <v>5.5426</v>
      </c>
      <c r="F117" s="181" t="n">
        <v>30.7201</v>
      </c>
      <c r="G117" s="181" t="inlineStr"/>
      <c r="H117" s="181" t="inlineStr"/>
    </row>
    <row r="119" ht="18" customHeight="1" s="28">
      <c r="A119" s="172" t="inlineStr">
        <is>
          <t>STEP 2 — Shapiro-Wilk Test Result (ssa − Base_FL)</t>
        </is>
      </c>
    </row>
    <row r="120" ht="16" customHeight="1" s="28">
      <c r="A120" s="186" t="inlineStr">
        <is>
          <t>n</t>
        </is>
      </c>
      <c r="E120" s="187" t="inlineStr">
        <is>
          <t>107</t>
        </is>
      </c>
    </row>
    <row r="121" ht="16" customHeight="1" s="28">
      <c r="A121" s="186" t="inlineStr">
        <is>
          <t>SW statistic W</t>
        </is>
      </c>
      <c r="E121" s="187" t="inlineStr">
        <is>
          <t>0.978948</t>
        </is>
      </c>
    </row>
    <row r="122" ht="16" customHeight="1" s="28">
      <c r="A122" s="186" t="inlineStr">
        <is>
          <t>p-value</t>
        </is>
      </c>
      <c r="E122" s="187" t="inlineStr">
        <is>
          <t>8.740004e-02</t>
        </is>
      </c>
    </row>
    <row r="123" ht="16" customHeight="1" s="28">
      <c r="A123" s="186" t="inlineStr">
        <is>
          <t>α</t>
        </is>
      </c>
      <c r="E123" s="187" t="inlineStr">
        <is>
          <t>0.05</t>
        </is>
      </c>
    </row>
    <row r="124" ht="22" customHeight="1" s="28">
      <c r="A124" s="188" t="inlineStr">
        <is>
          <t>DECISION:  p = 8.7400e-02 &gt; α (0.05)  ⟹  FAIL TO REJECT H₀  →  Base_FL residuals are NORMALLY distributed  [W=0.978948]</t>
        </is>
      </c>
    </row>
  </sheetData>
  <mergeCells count="17">
    <mergeCell ref="A9:H9"/>
    <mergeCell ref="A4:H4"/>
    <mergeCell ref="E123:H123"/>
    <mergeCell ref="A124:H124"/>
    <mergeCell ref="A120:D120"/>
    <mergeCell ref="A122:D122"/>
    <mergeCell ref="E122:H122"/>
    <mergeCell ref="A2:H2"/>
    <mergeCell ref="E121:H121"/>
    <mergeCell ref="A123:D123"/>
    <mergeCell ref="B6:H6"/>
    <mergeCell ref="E120:H120"/>
    <mergeCell ref="B7:H7"/>
    <mergeCell ref="A1:H1"/>
    <mergeCell ref="A121:D121"/>
    <mergeCell ref="B5:H5"/>
    <mergeCell ref="A119:H1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14" customWidth="1" style="28" min="7" max="7"/>
    <col width="14" customWidth="1" style="28" min="8" max="8"/>
    <col width="6" customWidth="1" style="28" min="9" max="9"/>
  </cols>
  <sheetData>
    <row r="1" ht="26" customHeight="1" s="28">
      <c r="A1" s="190" t="inlineStr">
        <is>
          <t>JARQUE-BERA TEST  |  MODEL B2  |  n=1135  |  Residual = close − Base_FL</t>
        </is>
      </c>
    </row>
    <row r="2" ht="20" customHeight="1" s="28">
      <c r="A2" s="183" t="inlineStr">
        <is>
          <t>H₀: (close − Base_FL) residuals are normally distributed  |  Dataset: V3894</t>
        </is>
      </c>
    </row>
    <row r="4" ht="18" customHeight="1" s="28">
      <c r="A4" s="172" t="inlineStr">
        <is>
          <t>Context</t>
        </is>
      </c>
    </row>
    <row r="5" ht="16" customHeight="1" s="28">
      <c r="A5" s="184" t="inlineStr">
        <is>
          <t>RESIDUAL:</t>
        </is>
      </c>
      <c r="B5" s="185" t="inlineStr">
        <is>
          <t>eᵢ = closeᵢ − Base_FLᵢ  (Base_FL = MQL5 regression baseline)</t>
        </is>
      </c>
    </row>
    <row r="6" ht="16" customHeight="1" s="28">
      <c r="A6" s="184" t="inlineStr">
        <is>
          <t>MODEL B2:</t>
        </is>
      </c>
      <c r="B6" s="185" t="inlineStr">
        <is>
          <t>All 1135 bars, close price</t>
        </is>
      </c>
    </row>
    <row r="7" ht="16" customHeight="1" s="28">
      <c r="A7" s="184" t="inlineStr">
        <is>
          <t>α:</t>
        </is>
      </c>
      <c r="B7" s="185" t="inlineStr">
        <is>
          <t>0.05</t>
        </is>
      </c>
    </row>
    <row r="9" ht="18" customHeight="1" s="28">
      <c r="A9" s="172" t="inlineStr">
        <is>
          <t>STEP 1 — Residuals &amp; Moments (eᵢ = closeᵢ − Base_FLᵢ, all 1135 bars)</t>
        </is>
      </c>
    </row>
    <row r="10" ht="28" customHeight="1" s="28">
      <c r="A10" s="62" t="inlineStr">
        <is>
          <t>i</t>
        </is>
      </c>
      <c r="B10" s="62" t="inlineStr">
        <is>
          <t>Bar Index</t>
        </is>
      </c>
      <c r="C10" s="62" t="inlineStr">
        <is>
          <t>Close</t>
        </is>
      </c>
      <c r="D10" s="62" t="inlineStr">
        <is>
          <t>Base_FL (MQL5)</t>
        </is>
      </c>
      <c r="E10" s="62" t="inlineStr">
        <is>
          <t>eᵢ</t>
        </is>
      </c>
      <c r="F10" s="62" t="inlineStr">
        <is>
          <t>eᵢ²</t>
        </is>
      </c>
      <c r="G10" s="62" t="inlineStr">
        <is>
          <t>(eᵢ/σ)³</t>
        </is>
      </c>
      <c r="H10" s="62" t="inlineStr">
        <is>
          <t>(eᵢ/σ)⁴</t>
        </is>
      </c>
      <c r="I10" s="62" t="inlineStr"/>
    </row>
    <row r="11" ht="15" customHeight="1" s="28">
      <c r="A11" s="181" t="n">
        <v>1</v>
      </c>
      <c r="B11" s="181" t="n">
        <v>0</v>
      </c>
      <c r="C11" s="181" t="n">
        <v>4806.71</v>
      </c>
      <c r="D11" s="181" t="n">
        <v>4817.3701</v>
      </c>
      <c r="E11" s="181" t="n">
        <v>-10.6601</v>
      </c>
      <c r="F11" s="181" t="n">
        <v>113.6384</v>
      </c>
      <c r="G11" s="181" t="n">
        <v>-0.027868</v>
      </c>
      <c r="H11" s="181" t="n">
        <v>0.008449</v>
      </c>
      <c r="I11" s="181" t="inlineStr"/>
    </row>
    <row r="12" ht="15" customHeight="1" s="28">
      <c r="A12" s="182" t="n">
        <v>2</v>
      </c>
      <c r="B12" s="182" t="n">
        <v>1</v>
      </c>
      <c r="C12" s="182" t="n">
        <v>4802.1</v>
      </c>
      <c r="D12" s="182" t="n">
        <v>4817.1025</v>
      </c>
      <c r="E12" s="182" t="n">
        <v>-15.0025</v>
      </c>
      <c r="F12" s="182" t="n">
        <v>225.0756</v>
      </c>
      <c r="G12" s="182" t="n">
        <v>-0.07768</v>
      </c>
      <c r="H12" s="182" t="n">
        <v>0.033144</v>
      </c>
      <c r="I12" s="182" t="inlineStr"/>
    </row>
    <row r="13" ht="15" customHeight="1" s="28">
      <c r="A13" s="181" t="n">
        <v>3</v>
      </c>
      <c r="B13" s="181" t="n">
        <v>2</v>
      </c>
      <c r="C13" s="181" t="n">
        <v>4802.98</v>
      </c>
      <c r="D13" s="181" t="n">
        <v>4816.8349</v>
      </c>
      <c r="E13" s="181" t="n">
        <v>-13.8549</v>
      </c>
      <c r="F13" s="181" t="n">
        <v>191.9588</v>
      </c>
      <c r="G13" s="181" t="n">
        <v>-0.061183</v>
      </c>
      <c r="H13" s="181" t="n">
        <v>0.024109</v>
      </c>
      <c r="I13" s="181" t="inlineStr"/>
    </row>
    <row r="14" ht="15" customHeight="1" s="28">
      <c r="A14" s="182" t="n">
        <v>4</v>
      </c>
      <c r="B14" s="182" t="n">
        <v>3</v>
      </c>
      <c r="C14" s="182" t="n">
        <v>4807.09</v>
      </c>
      <c r="D14" s="182" t="n">
        <v>4816.5673</v>
      </c>
      <c r="E14" s="182" t="n">
        <v>-9.4773</v>
      </c>
      <c r="F14" s="182" t="n">
        <v>89.8194</v>
      </c>
      <c r="G14" s="182" t="n">
        <v>-0.019583</v>
      </c>
      <c r="H14" s="182" t="n">
        <v>0.005278</v>
      </c>
      <c r="I14" s="182" t="inlineStr"/>
    </row>
    <row r="15" ht="15" customHeight="1" s="28">
      <c r="A15" s="181" t="n">
        <v>5</v>
      </c>
      <c r="B15" s="181" t="n">
        <v>4</v>
      </c>
      <c r="C15" s="181" t="n">
        <v>4805.02</v>
      </c>
      <c r="D15" s="181" t="n">
        <v>4816.2997</v>
      </c>
      <c r="E15" s="181" t="n">
        <v>-11.2797</v>
      </c>
      <c r="F15" s="181" t="n">
        <v>127.2319</v>
      </c>
      <c r="G15" s="181" t="n">
        <v>-0.033015</v>
      </c>
      <c r="H15" s="181" t="n">
        <v>0.010591</v>
      </c>
      <c r="I15" s="181" t="inlineStr"/>
    </row>
    <row r="16" ht="15" customHeight="1" s="28">
      <c r="A16" s="182" t="n">
        <v>6</v>
      </c>
      <c r="B16" s="182" t="n">
        <v>5</v>
      </c>
      <c r="C16" s="182" t="n">
        <v>4799.31</v>
      </c>
      <c r="D16" s="182" t="n">
        <v>4816.0321</v>
      </c>
      <c r="E16" s="182" t="n">
        <v>-16.7221</v>
      </c>
      <c r="F16" s="182" t="n">
        <v>279.629</v>
      </c>
      <c r="G16" s="182" t="n">
        <v>-0.107569</v>
      </c>
      <c r="H16" s="182" t="n">
        <v>0.051159</v>
      </c>
      <c r="I16" s="182" t="inlineStr"/>
    </row>
    <row r="17" ht="15" customHeight="1" s="28">
      <c r="A17" s="181" t="n">
        <v>7</v>
      </c>
      <c r="B17" s="181" t="n">
        <v>6</v>
      </c>
      <c r="C17" s="181" t="n">
        <v>4790.11</v>
      </c>
      <c r="D17" s="181" t="n">
        <v>4815.7645</v>
      </c>
      <c r="E17" s="181" t="n">
        <v>-25.6545</v>
      </c>
      <c r="F17" s="181" t="n">
        <v>658.1534</v>
      </c>
      <c r="G17" s="181" t="n">
        <v>-0.388424</v>
      </c>
      <c r="H17" s="181" t="n">
        <v>0.283406</v>
      </c>
      <c r="I17" s="181" t="inlineStr"/>
    </row>
    <row r="18" ht="15" customHeight="1" s="28">
      <c r="A18" s="182" t="n">
        <v>8</v>
      </c>
      <c r="B18" s="182" t="n">
        <v>7</v>
      </c>
      <c r="C18" s="182" t="n">
        <v>4791.99</v>
      </c>
      <c r="D18" s="182" t="n">
        <v>4815.4969</v>
      </c>
      <c r="E18" s="182" t="n">
        <v>-23.5069</v>
      </c>
      <c r="F18" s="182" t="n">
        <v>552.5743</v>
      </c>
      <c r="G18" s="182" t="n">
        <v>-0.298814</v>
      </c>
      <c r="H18" s="182" t="n">
        <v>0.199772</v>
      </c>
      <c r="I18" s="182" t="inlineStr"/>
    </row>
    <row r="19" ht="15" customHeight="1" s="28">
      <c r="A19" s="181" t="n">
        <v>9</v>
      </c>
      <c r="B19" s="181" t="n">
        <v>8</v>
      </c>
      <c r="C19" s="181" t="n">
        <v>4791.41</v>
      </c>
      <c r="D19" s="181" t="n">
        <v>4815.2293</v>
      </c>
      <c r="E19" s="181" t="n">
        <v>-23.8193</v>
      </c>
      <c r="F19" s="181" t="n">
        <v>567.3586</v>
      </c>
      <c r="G19" s="181" t="n">
        <v>-0.310887</v>
      </c>
      <c r="H19" s="181" t="n">
        <v>0.210605</v>
      </c>
      <c r="I19" s="181" t="inlineStr"/>
    </row>
    <row r="20" ht="15" customHeight="1" s="28">
      <c r="A20" s="182" t="n">
        <v>10</v>
      </c>
      <c r="B20" s="182" t="n">
        <v>9</v>
      </c>
      <c r="C20" s="182" t="n">
        <v>4785.04</v>
      </c>
      <c r="D20" s="182" t="n">
        <v>4814.9617</v>
      </c>
      <c r="E20" s="182" t="n">
        <v>-29.9217</v>
      </c>
      <c r="F20" s="182" t="n">
        <v>895.3075</v>
      </c>
      <c r="G20" s="182" t="n">
        <v>-0.616274</v>
      </c>
      <c r="H20" s="182" t="n">
        <v>0.524443</v>
      </c>
      <c r="I20" s="182" t="inlineStr"/>
    </row>
    <row r="21" ht="15" customHeight="1" s="28">
      <c r="A21" s="181" t="n">
        <v>11</v>
      </c>
      <c r="B21" s="181" t="n">
        <v>10</v>
      </c>
      <c r="C21" s="181" t="n">
        <v>4787.16</v>
      </c>
      <c r="D21" s="181" t="n">
        <v>4814.6941</v>
      </c>
      <c r="E21" s="181" t="n">
        <v>-27.5341</v>
      </c>
      <c r="F21" s="181" t="n">
        <v>758.1261</v>
      </c>
      <c r="G21" s="181" t="n">
        <v>-0.480206</v>
      </c>
      <c r="H21" s="181" t="n">
        <v>0.376043</v>
      </c>
      <c r="I21" s="181" t="inlineStr"/>
    </row>
    <row r="22" ht="15" customHeight="1" s="28">
      <c r="A22" s="182" t="n">
        <v>12</v>
      </c>
      <c r="B22" s="182" t="n">
        <v>11</v>
      </c>
      <c r="C22" s="182" t="n">
        <v>4789.22</v>
      </c>
      <c r="D22" s="182" t="n">
        <v>4814.4265</v>
      </c>
      <c r="E22" s="182" t="n">
        <v>-25.2065</v>
      </c>
      <c r="F22" s="182" t="n">
        <v>635.3665999999999</v>
      </c>
      <c r="G22" s="182" t="n">
        <v>-0.368428</v>
      </c>
      <c r="H22" s="182" t="n">
        <v>0.264121</v>
      </c>
      <c r="I22" s="182" t="inlineStr"/>
    </row>
    <row r="23" ht="15" customHeight="1" s="28">
      <c r="A23" s="181" t="n">
        <v>13</v>
      </c>
      <c r="B23" s="181" t="n">
        <v>12</v>
      </c>
      <c r="C23" s="181" t="n">
        <v>4790.1</v>
      </c>
      <c r="D23" s="181" t="n">
        <v>4814.1589</v>
      </c>
      <c r="E23" s="181" t="n">
        <v>-24.0589</v>
      </c>
      <c r="F23" s="181" t="n">
        <v>578.8297</v>
      </c>
      <c r="G23" s="181" t="n">
        <v>-0.320363</v>
      </c>
      <c r="H23" s="181" t="n">
        <v>0.219208</v>
      </c>
      <c r="I23" s="181" t="inlineStr"/>
    </row>
    <row r="24" ht="15" customHeight="1" s="28">
      <c r="A24" s="182" t="n">
        <v>14</v>
      </c>
      <c r="B24" s="182" t="n">
        <v>13</v>
      </c>
      <c r="C24" s="182" t="n">
        <v>4786.98</v>
      </c>
      <c r="D24" s="182" t="n">
        <v>4813.8913</v>
      </c>
      <c r="E24" s="182" t="n">
        <v>-26.9113</v>
      </c>
      <c r="F24" s="182" t="n">
        <v>724.2165</v>
      </c>
      <c r="G24" s="182" t="n">
        <v>-0.448351</v>
      </c>
      <c r="H24" s="182" t="n">
        <v>0.343155</v>
      </c>
      <c r="I24" s="182" t="inlineStr"/>
    </row>
    <row r="25" ht="15" customHeight="1" s="28">
      <c r="A25" s="181" t="n">
        <v>15</v>
      </c>
      <c r="B25" s="181" t="n">
        <v>14</v>
      </c>
      <c r="C25" s="181" t="n">
        <v>4790.43</v>
      </c>
      <c r="D25" s="181" t="n">
        <v>4813.6237</v>
      </c>
      <c r="E25" s="181" t="n">
        <v>-23.1937</v>
      </c>
      <c r="F25" s="181" t="n">
        <v>537.9463</v>
      </c>
      <c r="G25" s="181" t="n">
        <v>-0.287028</v>
      </c>
      <c r="H25" s="181" t="n">
        <v>0.189335</v>
      </c>
      <c r="I25" s="181" t="inlineStr"/>
    </row>
    <row r="26" ht="15" customHeight="1" s="28">
      <c r="A26" s="182" t="n">
        <v>16</v>
      </c>
      <c r="B26" s="182" t="n">
        <v>15</v>
      </c>
      <c r="C26" s="182" t="n">
        <v>4789.64</v>
      </c>
      <c r="D26" s="182" t="n">
        <v>4813.3561</v>
      </c>
      <c r="E26" s="182" t="n">
        <v>-23.7161</v>
      </c>
      <c r="F26" s="182" t="n">
        <v>562.452</v>
      </c>
      <c r="G26" s="182" t="n">
        <v>-0.306862</v>
      </c>
      <c r="H26" s="182" t="n">
        <v>0.206978</v>
      </c>
      <c r="I26" s="182" t="inlineStr"/>
    </row>
    <row r="27" ht="15" customHeight="1" s="28">
      <c r="A27" s="181" t="n">
        <v>17</v>
      </c>
      <c r="B27" s="181" t="n">
        <v>16</v>
      </c>
      <c r="C27" s="181" t="n">
        <v>4790.03</v>
      </c>
      <c r="D27" s="181" t="n">
        <v>4813.0885</v>
      </c>
      <c r="E27" s="181" t="n">
        <v>-23.0585</v>
      </c>
      <c r="F27" s="181" t="n">
        <v>531.6926</v>
      </c>
      <c r="G27" s="181" t="n">
        <v>-0.282037</v>
      </c>
      <c r="H27" s="181" t="n">
        <v>0.184959</v>
      </c>
      <c r="I27" s="181" t="inlineStr"/>
    </row>
    <row r="28" ht="15" customHeight="1" s="28">
      <c r="A28" s="182" t="n">
        <v>18</v>
      </c>
      <c r="B28" s="182" t="n">
        <v>17</v>
      </c>
      <c r="C28" s="182" t="n">
        <v>4790.76</v>
      </c>
      <c r="D28" s="182" t="n">
        <v>4812.8209</v>
      </c>
      <c r="E28" s="182" t="n">
        <v>-22.0609</v>
      </c>
      <c r="F28" s="182" t="n">
        <v>486.6815</v>
      </c>
      <c r="G28" s="182" t="n">
        <v>-0.246992</v>
      </c>
      <c r="H28" s="182" t="n">
        <v>0.154969</v>
      </c>
      <c r="I28" s="182" t="inlineStr"/>
    </row>
    <row r="29" ht="15" customHeight="1" s="28">
      <c r="A29" s="181" t="n">
        <v>19</v>
      </c>
      <c r="B29" s="181" t="n">
        <v>18</v>
      </c>
      <c r="C29" s="181" t="n">
        <v>4797.59</v>
      </c>
      <c r="D29" s="181" t="n">
        <v>4812.5532</v>
      </c>
      <c r="E29" s="181" t="n">
        <v>-14.9632</v>
      </c>
      <c r="F29" s="181" t="n">
        <v>223.8989</v>
      </c>
      <c r="G29" s="181" t="n">
        <v>-0.077071</v>
      </c>
      <c r="H29" s="181" t="n">
        <v>0.032799</v>
      </c>
      <c r="I29" s="181" t="inlineStr"/>
    </row>
    <row r="30" ht="15" customHeight="1" s="28">
      <c r="A30" s="182" t="n">
        <v>20</v>
      </c>
      <c r="B30" s="182" t="n">
        <v>19</v>
      </c>
      <c r="C30" s="182" t="n">
        <v>4793.52</v>
      </c>
      <c r="D30" s="182" t="n">
        <v>4812.2856</v>
      </c>
      <c r="E30" s="182" t="n">
        <v>-18.7656</v>
      </c>
      <c r="F30" s="182" t="n">
        <v>352.1496</v>
      </c>
      <c r="G30" s="182" t="n">
        <v>-0.152022</v>
      </c>
      <c r="H30" s="182" t="n">
        <v>0.081135</v>
      </c>
      <c r="I30" s="182" t="inlineStr"/>
    </row>
    <row r="31" ht="15" customHeight="1" s="28">
      <c r="A31" s="181" t="n">
        <v>21</v>
      </c>
      <c r="B31" s="181" t="n">
        <v>20</v>
      </c>
      <c r="C31" s="181" t="n">
        <v>4790.59</v>
      </c>
      <c r="D31" s="181" t="n">
        <v>4812.018</v>
      </c>
      <c r="E31" s="181" t="n">
        <v>-21.428</v>
      </c>
      <c r="F31" s="181" t="n">
        <v>459.1609</v>
      </c>
      <c r="G31" s="181" t="n">
        <v>-0.226341</v>
      </c>
      <c r="H31" s="181" t="n">
        <v>0.137938</v>
      </c>
      <c r="I31" s="181" t="inlineStr"/>
    </row>
    <row r="32" ht="15" customHeight="1" s="28">
      <c r="A32" s="182" t="n">
        <v>22</v>
      </c>
      <c r="B32" s="182" t="n">
        <v>21</v>
      </c>
      <c r="C32" s="182" t="n">
        <v>4789.04</v>
      </c>
      <c r="D32" s="182" t="n">
        <v>4811.7504</v>
      </c>
      <c r="E32" s="182" t="n">
        <v>-22.7104</v>
      </c>
      <c r="F32" s="182" t="n">
        <v>515.7641</v>
      </c>
      <c r="G32" s="182" t="n">
        <v>-0.269459</v>
      </c>
      <c r="H32" s="182" t="n">
        <v>0.174043</v>
      </c>
      <c r="I32" s="182" t="inlineStr"/>
    </row>
    <row r="33" ht="15" customHeight="1" s="28">
      <c r="A33" s="181" t="n">
        <v>23</v>
      </c>
      <c r="B33" s="181" t="n">
        <v>22</v>
      </c>
      <c r="C33" s="181" t="n">
        <v>4788.68</v>
      </c>
      <c r="D33" s="181" t="n">
        <v>4811.4828</v>
      </c>
      <c r="E33" s="181" t="n">
        <v>-22.8028</v>
      </c>
      <c r="F33" s="181" t="n">
        <v>519.9695</v>
      </c>
      <c r="G33" s="181" t="n">
        <v>-0.272761</v>
      </c>
      <c r="H33" s="181" t="n">
        <v>0.176893</v>
      </c>
      <c r="I33" s="181" t="inlineStr"/>
    </row>
    <row r="34" ht="15" customHeight="1" s="28">
      <c r="A34" s="182" t="n">
        <v>24</v>
      </c>
      <c r="B34" s="182" t="n">
        <v>23</v>
      </c>
      <c r="C34" s="182" t="n">
        <v>4790.84</v>
      </c>
      <c r="D34" s="182" t="n">
        <v>4811.2152</v>
      </c>
      <c r="E34" s="182" t="n">
        <v>-20.3752</v>
      </c>
      <c r="F34" s="182" t="n">
        <v>415.15</v>
      </c>
      <c r="G34" s="182" t="n">
        <v>-0.194591</v>
      </c>
      <c r="H34" s="182" t="n">
        <v>0.112762</v>
      </c>
      <c r="I34" s="182" t="inlineStr"/>
    </row>
    <row r="35" ht="15" customHeight="1" s="28">
      <c r="A35" s="181" t="n">
        <v>25</v>
      </c>
      <c r="B35" s="181" t="n">
        <v>24</v>
      </c>
      <c r="C35" s="181" t="n">
        <v>4795.24</v>
      </c>
      <c r="D35" s="181" t="n">
        <v>4810.9476</v>
      </c>
      <c r="E35" s="181" t="n">
        <v>-15.7076</v>
      </c>
      <c r="F35" s="181" t="n">
        <v>246.7296</v>
      </c>
      <c r="G35" s="181" t="n">
        <v>-0.089155</v>
      </c>
      <c r="H35" s="181" t="n">
        <v>0.039829</v>
      </c>
      <c r="I35" s="181" t="inlineStr"/>
    </row>
    <row r="36" ht="15" customHeight="1" s="28">
      <c r="A36" s="182" t="n">
        <v>26</v>
      </c>
      <c r="B36" s="182" t="n">
        <v>25</v>
      </c>
      <c r="C36" s="182" t="n">
        <v>4794</v>
      </c>
      <c r="D36" s="182" t="n">
        <v>4810.68</v>
      </c>
      <c r="E36" s="182" t="n">
        <v>-16.68</v>
      </c>
      <c r="F36" s="182" t="n">
        <v>278.2231</v>
      </c>
      <c r="G36" s="182" t="n">
        <v>-0.106759</v>
      </c>
      <c r="H36" s="182" t="n">
        <v>0.050645</v>
      </c>
      <c r="I36" s="182" t="inlineStr"/>
    </row>
    <row r="37" ht="15" customHeight="1" s="28">
      <c r="A37" s="181" t="n">
        <v>27</v>
      </c>
      <c r="B37" s="181" t="n">
        <v>26</v>
      </c>
      <c r="C37" s="181" t="n">
        <v>4795.5</v>
      </c>
      <c r="D37" s="181" t="n">
        <v>4810.4124</v>
      </c>
      <c r="E37" s="181" t="n">
        <v>-14.9124</v>
      </c>
      <c r="F37" s="181" t="n">
        <v>222.3803</v>
      </c>
      <c r="G37" s="181" t="n">
        <v>-0.076289</v>
      </c>
      <c r="H37" s="181" t="n">
        <v>0.032355</v>
      </c>
      <c r="I37" s="181" t="inlineStr"/>
    </row>
    <row r="38" ht="15" customHeight="1" s="28">
      <c r="A38" s="182" t="n">
        <v>28</v>
      </c>
      <c r="B38" s="182" t="n">
        <v>27</v>
      </c>
      <c r="C38" s="182" t="n">
        <v>4795.41</v>
      </c>
      <c r="D38" s="182" t="n">
        <v>4810.1448</v>
      </c>
      <c r="E38" s="182" t="n">
        <v>-14.7348</v>
      </c>
      <c r="F38" s="182" t="n">
        <v>217.1149</v>
      </c>
      <c r="G38" s="182" t="n">
        <v>-0.07359499999999999</v>
      </c>
      <c r="H38" s="182" t="n">
        <v>0.030841</v>
      </c>
      <c r="I38" s="182" t="inlineStr"/>
    </row>
    <row r="39" ht="15" customHeight="1" s="28">
      <c r="A39" s="181" t="n">
        <v>29</v>
      </c>
      <c r="B39" s="181" t="n">
        <v>28</v>
      </c>
      <c r="C39" s="181" t="n">
        <v>4793.16</v>
      </c>
      <c r="D39" s="181" t="n">
        <v>4809.8772</v>
      </c>
      <c r="E39" s="181" t="n">
        <v>-16.7172</v>
      </c>
      <c r="F39" s="181" t="n">
        <v>279.4651</v>
      </c>
      <c r="G39" s="181" t="n">
        <v>-0.107475</v>
      </c>
      <c r="H39" s="181" t="n">
        <v>0.051099</v>
      </c>
      <c r="I39" s="181" t="inlineStr"/>
    </row>
    <row r="40" ht="15" customHeight="1" s="28">
      <c r="A40" s="182" t="n">
        <v>30</v>
      </c>
      <c r="B40" s="182" t="n">
        <v>29</v>
      </c>
      <c r="C40" s="182" t="n">
        <v>4794.46</v>
      </c>
      <c r="D40" s="182" t="n">
        <v>4809.6096</v>
      </c>
      <c r="E40" s="182" t="n">
        <v>-15.1496</v>
      </c>
      <c r="F40" s="182" t="n">
        <v>229.5107</v>
      </c>
      <c r="G40" s="182" t="n">
        <v>-0.079987</v>
      </c>
      <c r="H40" s="182" t="n">
        <v>0.034464</v>
      </c>
      <c r="I40" s="182" t="inlineStr"/>
    </row>
    <row r="41" ht="15" customHeight="1" s="28">
      <c r="A41" s="181" t="n">
        <v>31</v>
      </c>
      <c r="B41" s="181" t="n">
        <v>30</v>
      </c>
      <c r="C41" s="181" t="n">
        <v>4795.82</v>
      </c>
      <c r="D41" s="181" t="n">
        <v>4809.342</v>
      </c>
      <c r="E41" s="181" t="n">
        <v>-13.522</v>
      </c>
      <c r="F41" s="181" t="n">
        <v>182.8445</v>
      </c>
      <c r="G41" s="181" t="n">
        <v>-0.056877</v>
      </c>
      <c r="H41" s="181" t="n">
        <v>0.021873</v>
      </c>
      <c r="I41" s="181" t="inlineStr"/>
    </row>
    <row r="42" ht="15" customHeight="1" s="28">
      <c r="A42" s="182" t="n">
        <v>32</v>
      </c>
      <c r="B42" s="182" t="n">
        <v>31</v>
      </c>
      <c r="C42" s="182" t="n">
        <v>4792.13</v>
      </c>
      <c r="D42" s="182" t="n">
        <v>4809.0744</v>
      </c>
      <c r="E42" s="182" t="n">
        <v>-16.9444</v>
      </c>
      <c r="F42" s="182" t="n">
        <v>287.1127</v>
      </c>
      <c r="G42" s="182" t="n">
        <v>-0.111917</v>
      </c>
      <c r="H42" s="182" t="n">
        <v>0.053934</v>
      </c>
      <c r="I42" s="182" t="inlineStr"/>
    </row>
    <row r="43" ht="15" customHeight="1" s="28">
      <c r="A43" s="181" t="n">
        <v>33</v>
      </c>
      <c r="B43" s="181" t="n">
        <v>32</v>
      </c>
      <c r="C43" s="181" t="n">
        <v>4790.4</v>
      </c>
      <c r="D43" s="181" t="n">
        <v>4808.8068</v>
      </c>
      <c r="E43" s="181" t="n">
        <v>-18.4068</v>
      </c>
      <c r="F43" s="181" t="n">
        <v>338.8103</v>
      </c>
      <c r="G43" s="181" t="n">
        <v>-0.143466</v>
      </c>
      <c r="H43" s="181" t="n">
        <v>0.07510500000000001</v>
      </c>
      <c r="I43" s="181" t="inlineStr"/>
    </row>
    <row r="44" ht="15" customHeight="1" s="28">
      <c r="A44" s="182" t="n">
        <v>34</v>
      </c>
      <c r="B44" s="182" t="n">
        <v>33</v>
      </c>
      <c r="C44" s="182" t="n">
        <v>4792.86</v>
      </c>
      <c r="D44" s="182" t="n">
        <v>4808.5392</v>
      </c>
      <c r="E44" s="182" t="n">
        <v>-15.6792</v>
      </c>
      <c r="F44" s="182" t="n">
        <v>245.837</v>
      </c>
      <c r="G44" s="182" t="n">
        <v>-0.088672</v>
      </c>
      <c r="H44" s="182" t="n">
        <v>0.039541</v>
      </c>
      <c r="I44" s="182" t="inlineStr"/>
    </row>
    <row r="45" ht="15" customHeight="1" s="28">
      <c r="A45" s="181" t="n">
        <v>35</v>
      </c>
      <c r="B45" s="181" t="n">
        <v>34</v>
      </c>
      <c r="C45" s="181" t="n">
        <v>4798.4</v>
      </c>
      <c r="D45" s="181" t="n">
        <v>4808.2716</v>
      </c>
      <c r="E45" s="181" t="n">
        <v>-9.871600000000001</v>
      </c>
      <c r="F45" s="181" t="n">
        <v>97.4483</v>
      </c>
      <c r="G45" s="181" t="n">
        <v>-0.02213</v>
      </c>
      <c r="H45" s="181" t="n">
        <v>0.006213</v>
      </c>
      <c r="I45" s="181" t="inlineStr"/>
    </row>
    <row r="46" ht="15" customHeight="1" s="28">
      <c r="A46" s="182" t="n">
        <v>36</v>
      </c>
      <c r="B46" s="182" t="n">
        <v>35</v>
      </c>
      <c r="C46" s="182" t="n">
        <v>4794.9</v>
      </c>
      <c r="D46" s="182" t="n">
        <v>4808.004</v>
      </c>
      <c r="E46" s="182" t="n">
        <v>-13.104</v>
      </c>
      <c r="F46" s="182" t="n">
        <v>171.7143</v>
      </c>
      <c r="G46" s="182" t="n">
        <v>-0.051764</v>
      </c>
      <c r="H46" s="182" t="n">
        <v>0.019292</v>
      </c>
      <c r="I46" s="182" t="inlineStr"/>
    </row>
    <row r="47" ht="15" customHeight="1" s="28">
      <c r="A47" s="181" t="n">
        <v>37</v>
      </c>
      <c r="B47" s="181" t="n">
        <v>36</v>
      </c>
      <c r="C47" s="181" t="n">
        <v>4779.32</v>
      </c>
      <c r="D47" s="181" t="n">
        <v>4807.7364</v>
      </c>
      <c r="E47" s="181" t="n">
        <v>-28.4164</v>
      </c>
      <c r="F47" s="181" t="n">
        <v>807.4906999999999</v>
      </c>
      <c r="G47" s="181" t="n">
        <v>-0.527864</v>
      </c>
      <c r="H47" s="181" t="n">
        <v>0.426608</v>
      </c>
      <c r="I47" s="181" t="inlineStr"/>
    </row>
    <row r="48" ht="15" customHeight="1" s="28">
      <c r="A48" s="182" t="n">
        <v>38</v>
      </c>
      <c r="B48" s="182" t="n">
        <v>37</v>
      </c>
      <c r="C48" s="182" t="n">
        <v>4769.01</v>
      </c>
      <c r="D48" s="182" t="n">
        <v>4807.4688</v>
      </c>
      <c r="E48" s="182" t="n">
        <v>-38.4588</v>
      </c>
      <c r="F48" s="182" t="n">
        <v>1479.0778</v>
      </c>
      <c r="G48" s="182" t="n">
        <v>-1.308585</v>
      </c>
      <c r="H48" s="182" t="n">
        <v>1.431318</v>
      </c>
      <c r="I48" s="182" t="inlineStr"/>
    </row>
    <row r="49" ht="15" customHeight="1" s="28">
      <c r="A49" s="181" t="n">
        <v>39</v>
      </c>
      <c r="B49" s="181" t="n">
        <v>38</v>
      </c>
      <c r="C49" s="181" t="n">
        <v>4777.87</v>
      </c>
      <c r="D49" s="181" t="n">
        <v>4807.2012</v>
      </c>
      <c r="E49" s="181" t="n">
        <v>-29.3312</v>
      </c>
      <c r="F49" s="181" t="n">
        <v>860.3175</v>
      </c>
      <c r="G49" s="181" t="n">
        <v>-0.580502</v>
      </c>
      <c r="H49" s="181" t="n">
        <v>0.484252</v>
      </c>
      <c r="I49" s="181" t="inlineStr"/>
    </row>
    <row r="50" ht="15" customHeight="1" s="28">
      <c r="A50" s="182" t="n">
        <v>40</v>
      </c>
      <c r="B50" s="182" t="n">
        <v>39</v>
      </c>
      <c r="C50" s="182" t="n">
        <v>4789.48</v>
      </c>
      <c r="D50" s="182" t="n">
        <v>4806.9336</v>
      </c>
      <c r="E50" s="182" t="n">
        <v>-17.4536</v>
      </c>
      <c r="F50" s="182" t="n">
        <v>304.6271</v>
      </c>
      <c r="G50" s="182" t="n">
        <v>-0.122312</v>
      </c>
      <c r="H50" s="182" t="n">
        <v>0.060714</v>
      </c>
      <c r="I50" s="182" t="inlineStr"/>
    </row>
    <row r="51" ht="15" customHeight="1" s="28">
      <c r="A51" s="181" t="n">
        <v>41</v>
      </c>
      <c r="B51" s="181" t="n">
        <v>40</v>
      </c>
      <c r="C51" s="181" t="n">
        <v>4791.35</v>
      </c>
      <c r="D51" s="181" t="n">
        <v>4806.666</v>
      </c>
      <c r="E51" s="181" t="n">
        <v>-15.316</v>
      </c>
      <c r="F51" s="181" t="n">
        <v>234.5786</v>
      </c>
      <c r="G51" s="181" t="n">
        <v>-0.082651</v>
      </c>
      <c r="H51" s="181" t="n">
        <v>0.036002</v>
      </c>
      <c r="I51" s="181" t="inlineStr"/>
    </row>
    <row r="52" ht="15" customHeight="1" s="28">
      <c r="A52" s="182" t="n">
        <v>42</v>
      </c>
      <c r="B52" s="182" t="n">
        <v>41</v>
      </c>
      <c r="C52" s="182" t="n">
        <v>4788.86</v>
      </c>
      <c r="D52" s="182" t="n">
        <v>4806.3984</v>
      </c>
      <c r="E52" s="182" t="n">
        <v>-17.5384</v>
      </c>
      <c r="F52" s="182" t="n">
        <v>307.5941</v>
      </c>
      <c r="G52" s="182" t="n">
        <v>-0.124103</v>
      </c>
      <c r="H52" s="182" t="n">
        <v>0.061903</v>
      </c>
      <c r="I52" s="182" t="inlineStr"/>
    </row>
    <row r="53" ht="15" customHeight="1" s="28">
      <c r="A53" s="181" t="n">
        <v>43</v>
      </c>
      <c r="B53" s="181" t="n">
        <v>42</v>
      </c>
      <c r="C53" s="181" t="n">
        <v>4791.57</v>
      </c>
      <c r="D53" s="181" t="n">
        <v>4806.1308</v>
      </c>
      <c r="E53" s="181" t="n">
        <v>-14.5608</v>
      </c>
      <c r="F53" s="181" t="n">
        <v>212.0154</v>
      </c>
      <c r="G53" s="181" t="n">
        <v>-0.071018</v>
      </c>
      <c r="H53" s="181" t="n">
        <v>0.02941</v>
      </c>
      <c r="I53" s="181" t="inlineStr"/>
    </row>
    <row r="54" ht="15" customHeight="1" s="28">
      <c r="A54" s="182" t="n">
        <v>44</v>
      </c>
      <c r="B54" s="182" t="n">
        <v>43</v>
      </c>
      <c r="C54" s="182" t="n">
        <v>4784.81</v>
      </c>
      <c r="D54" s="182" t="n">
        <v>4805.8632</v>
      </c>
      <c r="E54" s="182" t="n">
        <v>-21.0531</v>
      </c>
      <c r="F54" s="182" t="n">
        <v>443.2351</v>
      </c>
      <c r="G54" s="182" t="n">
        <v>-0.214668</v>
      </c>
      <c r="H54" s="182" t="n">
        <v>0.128535</v>
      </c>
      <c r="I54" s="182" t="inlineStr"/>
    </row>
    <row r="55" ht="15" customHeight="1" s="28">
      <c r="A55" s="181" t="n">
        <v>45</v>
      </c>
      <c r="B55" s="181" t="n">
        <v>44</v>
      </c>
      <c r="C55" s="181" t="n">
        <v>4795.86</v>
      </c>
      <c r="D55" s="181" t="n">
        <v>4805.5956</v>
      </c>
      <c r="E55" s="181" t="n">
        <v>-9.7356</v>
      </c>
      <c r="F55" s="181" t="n">
        <v>94.7809</v>
      </c>
      <c r="G55" s="181" t="n">
        <v>-0.021227</v>
      </c>
      <c r="H55" s="181" t="n">
        <v>0.005878</v>
      </c>
      <c r="I55" s="181" t="inlineStr"/>
    </row>
    <row r="56" ht="15" customHeight="1" s="28">
      <c r="A56" s="182" t="n">
        <v>46</v>
      </c>
      <c r="B56" s="182" t="n">
        <v>45</v>
      </c>
      <c r="C56" s="182" t="n">
        <v>4793.93</v>
      </c>
      <c r="D56" s="182" t="n">
        <v>4805.3279</v>
      </c>
      <c r="E56" s="182" t="n">
        <v>-11.3979</v>
      </c>
      <c r="F56" s="182" t="n">
        <v>129.913</v>
      </c>
      <c r="G56" s="182" t="n">
        <v>-0.034064</v>
      </c>
      <c r="H56" s="182" t="n">
        <v>0.011042</v>
      </c>
      <c r="I56" s="182" t="inlineStr"/>
    </row>
    <row r="57" ht="15" customHeight="1" s="28">
      <c r="A57" s="181" t="n">
        <v>47</v>
      </c>
      <c r="B57" s="181" t="n">
        <v>46</v>
      </c>
      <c r="C57" s="181" t="n">
        <v>4794.26</v>
      </c>
      <c r="D57" s="181" t="n">
        <v>4805.0603</v>
      </c>
      <c r="E57" s="181" t="n">
        <v>-10.8003</v>
      </c>
      <c r="F57" s="181" t="n">
        <v>116.6473</v>
      </c>
      <c r="G57" s="181" t="n">
        <v>-0.028982</v>
      </c>
      <c r="H57" s="181" t="n">
        <v>0.008902</v>
      </c>
      <c r="I57" s="181" t="inlineStr"/>
    </row>
    <row r="58" ht="15" customHeight="1" s="28">
      <c r="A58" s="182" t="n">
        <v>48</v>
      </c>
      <c r="B58" s="182" t="n">
        <v>47</v>
      </c>
      <c r="C58" s="182" t="n">
        <v>4793.09</v>
      </c>
      <c r="D58" s="182" t="n">
        <v>4804.7927</v>
      </c>
      <c r="E58" s="182" t="n">
        <v>-11.7027</v>
      </c>
      <c r="F58" s="182" t="n">
        <v>136.9539</v>
      </c>
      <c r="G58" s="182" t="n">
        <v>-0.03687</v>
      </c>
      <c r="H58" s="182" t="n">
        <v>0.012272</v>
      </c>
      <c r="I58" s="182" t="inlineStr"/>
    </row>
    <row r="59" ht="15" customHeight="1" s="28">
      <c r="A59" s="181" t="n">
        <v>49</v>
      </c>
      <c r="B59" s="181" t="n">
        <v>48</v>
      </c>
      <c r="C59" s="181" t="n">
        <v>4795.16</v>
      </c>
      <c r="D59" s="181" t="n">
        <v>4804.5251</v>
      </c>
      <c r="E59" s="181" t="n">
        <v>-9.3651</v>
      </c>
      <c r="F59" s="181" t="n">
        <v>87.70569999999999</v>
      </c>
      <c r="G59" s="181" t="n">
        <v>-0.018895</v>
      </c>
      <c r="H59" s="181" t="n">
        <v>0.005033</v>
      </c>
      <c r="I59" s="181" t="inlineStr"/>
    </row>
    <row r="60" ht="15" customHeight="1" s="28">
      <c r="A60" s="182" t="n">
        <v>50</v>
      </c>
      <c r="B60" s="182" t="n">
        <v>49</v>
      </c>
      <c r="C60" s="182" t="n">
        <v>4795.87</v>
      </c>
      <c r="D60" s="182" t="n">
        <v>4804.2575</v>
      </c>
      <c r="E60" s="182" t="n">
        <v>-8.387499999999999</v>
      </c>
      <c r="F60" s="182" t="n">
        <v>70.3507</v>
      </c>
      <c r="G60" s="182" t="n">
        <v>-0.013574</v>
      </c>
      <c r="H60" s="182" t="n">
        <v>0.003238</v>
      </c>
      <c r="I60" s="182" t="inlineStr"/>
    </row>
    <row r="61" ht="15" customHeight="1" s="28">
      <c r="A61" s="181" t="n">
        <v>51</v>
      </c>
      <c r="B61" s="181" t="n">
        <v>50</v>
      </c>
      <c r="C61" s="181" t="n">
        <v>4801.05</v>
      </c>
      <c r="D61" s="181" t="n">
        <v>4803.9899</v>
      </c>
      <c r="E61" s="181" t="n">
        <v>-2.9399</v>
      </c>
      <c r="F61" s="181" t="n">
        <v>8.6431</v>
      </c>
      <c r="G61" s="181" t="n">
        <v>-0.000585</v>
      </c>
      <c r="H61" s="181" t="n">
        <v>4.9e-05</v>
      </c>
      <c r="I61" s="181" t="inlineStr"/>
    </row>
    <row r="62" ht="15" customHeight="1" s="28">
      <c r="A62" s="182" t="n">
        <v>52</v>
      </c>
      <c r="B62" s="182" t="n">
        <v>51</v>
      </c>
      <c r="C62" s="182" t="n">
        <v>4803.04</v>
      </c>
      <c r="D62" s="182" t="n">
        <v>4803.7223</v>
      </c>
      <c r="E62" s="182" t="n">
        <v>-0.6823</v>
      </c>
      <c r="F62" s="182" t="n">
        <v>0.4656</v>
      </c>
      <c r="G62" s="182" t="n">
        <v>-7e-06</v>
      </c>
      <c r="H62" s="182" t="n">
        <v>0</v>
      </c>
      <c r="I62" s="182" t="inlineStr"/>
    </row>
    <row r="63" ht="15" customHeight="1" s="28">
      <c r="A63" s="181" t="n">
        <v>53</v>
      </c>
      <c r="B63" s="181" t="n">
        <v>52</v>
      </c>
      <c r="C63" s="181" t="n">
        <v>4804.78</v>
      </c>
      <c r="D63" s="181" t="n">
        <v>4803.4547</v>
      </c>
      <c r="E63" s="181" t="n">
        <v>1.3253</v>
      </c>
      <c r="F63" s="181" t="n">
        <v>1.7564</v>
      </c>
      <c r="G63" s="181" t="n">
        <v>5.4e-05</v>
      </c>
      <c r="H63" s="181" t="n">
        <v>2e-06</v>
      </c>
      <c r="I63" s="181" t="inlineStr"/>
    </row>
    <row r="64" ht="15" customHeight="1" s="28">
      <c r="A64" s="182" t="n">
        <v>54</v>
      </c>
      <c r="B64" s="182" t="n">
        <v>53</v>
      </c>
      <c r="C64" s="182" t="n">
        <v>4803.25</v>
      </c>
      <c r="D64" s="182" t="n">
        <v>4803.1871</v>
      </c>
      <c r="E64" s="182" t="n">
        <v>0.0629</v>
      </c>
      <c r="F64" s="182" t="n">
        <v>0.004</v>
      </c>
      <c r="G64" s="182" t="n">
        <v>0</v>
      </c>
      <c r="H64" s="182" t="n">
        <v>0</v>
      </c>
      <c r="I64" s="182" t="inlineStr"/>
    </row>
    <row r="65" ht="15" customHeight="1" s="28">
      <c r="A65" s="181" t="n">
        <v>55</v>
      </c>
      <c r="B65" s="181" t="n">
        <v>54</v>
      </c>
      <c r="C65" s="181" t="n">
        <v>4796.48</v>
      </c>
      <c r="D65" s="181" t="n">
        <v>4802.9195</v>
      </c>
      <c r="E65" s="181" t="n">
        <v>-6.4395</v>
      </c>
      <c r="F65" s="181" t="n">
        <v>41.4673</v>
      </c>
      <c r="G65" s="181" t="n">
        <v>-0.006143</v>
      </c>
      <c r="H65" s="181" t="n">
        <v>0.001125</v>
      </c>
      <c r="I65" s="181" t="inlineStr"/>
    </row>
    <row r="66" ht="15" customHeight="1" s="28">
      <c r="A66" s="182" t="n">
        <v>56</v>
      </c>
      <c r="B66" s="182" t="n">
        <v>55</v>
      </c>
      <c r="C66" s="182" t="n">
        <v>4794.41</v>
      </c>
      <c r="D66" s="182" t="n">
        <v>4802.6519</v>
      </c>
      <c r="E66" s="182" t="n">
        <v>-8.241899999999999</v>
      </c>
      <c r="F66" s="182" t="n">
        <v>67.9289</v>
      </c>
      <c r="G66" s="182" t="n">
        <v>-0.012879</v>
      </c>
      <c r="H66" s="182" t="n">
        <v>0.003019</v>
      </c>
      <c r="I66" s="182" t="inlineStr"/>
    </row>
    <row r="67" ht="15" customHeight="1" s="28">
      <c r="A67" s="181" t="n">
        <v>57</v>
      </c>
      <c r="B67" s="181" t="n">
        <v>56</v>
      </c>
      <c r="C67" s="181" t="n">
        <v>4787.73</v>
      </c>
      <c r="D67" s="181" t="n">
        <v>4802.3843</v>
      </c>
      <c r="E67" s="181" t="n">
        <v>-14.6543</v>
      </c>
      <c r="F67" s="181" t="n">
        <v>214.7485</v>
      </c>
      <c r="G67" s="181" t="n">
        <v>-0.072395</v>
      </c>
      <c r="H67" s="181" t="n">
        <v>0.030173</v>
      </c>
      <c r="I67" s="181" t="inlineStr"/>
    </row>
    <row r="68" ht="15" customHeight="1" s="28">
      <c r="A68" s="182" t="n">
        <v>58</v>
      </c>
      <c r="B68" s="182" t="n">
        <v>57</v>
      </c>
      <c r="C68" s="182" t="n">
        <v>4783.78</v>
      </c>
      <c r="D68" s="182" t="n">
        <v>4802.1167</v>
      </c>
      <c r="E68" s="182" t="n">
        <v>-18.3367</v>
      </c>
      <c r="F68" s="182" t="n">
        <v>336.2342</v>
      </c>
      <c r="G68" s="182" t="n">
        <v>-0.141833</v>
      </c>
      <c r="H68" s="182" t="n">
        <v>0.073967</v>
      </c>
      <c r="I68" s="182" t="inlineStr"/>
    </row>
    <row r="69" ht="15" customHeight="1" s="28">
      <c r="A69" s="181" t="n">
        <v>59</v>
      </c>
      <c r="B69" s="181" t="n">
        <v>58</v>
      </c>
      <c r="C69" s="181" t="n">
        <v>4785.67</v>
      </c>
      <c r="D69" s="181" t="n">
        <v>4801.8491</v>
      </c>
      <c r="E69" s="181" t="n">
        <v>-16.1791</v>
      </c>
      <c r="F69" s="181" t="n">
        <v>261.763</v>
      </c>
      <c r="G69" s="181" t="n">
        <v>-0.097427</v>
      </c>
      <c r="H69" s="181" t="n">
        <v>0.04483</v>
      </c>
      <c r="I69" s="181" t="inlineStr"/>
    </row>
    <row r="70" ht="15" customHeight="1" s="28">
      <c r="A70" s="182" t="n">
        <v>60</v>
      </c>
      <c r="B70" s="182" t="n">
        <v>59</v>
      </c>
      <c r="C70" s="182" t="n">
        <v>4785.07</v>
      </c>
      <c r="D70" s="182" t="n">
        <v>4801.5815</v>
      </c>
      <c r="E70" s="182" t="n">
        <v>-16.5115</v>
      </c>
      <c r="F70" s="182" t="n">
        <v>272.6293</v>
      </c>
      <c r="G70" s="182" t="n">
        <v>-0.103556</v>
      </c>
      <c r="H70" s="182" t="n">
        <v>0.048629</v>
      </c>
      <c r="I70" s="182" t="inlineStr"/>
    </row>
    <row r="71" ht="15" customHeight="1" s="28">
      <c r="A71" s="181" t="n">
        <v>61</v>
      </c>
      <c r="B71" s="181" t="n">
        <v>60</v>
      </c>
      <c r="C71" s="181" t="n">
        <v>4787.12</v>
      </c>
      <c r="D71" s="181" t="n">
        <v>4801.3139</v>
      </c>
      <c r="E71" s="181" t="n">
        <v>-14.1939</v>
      </c>
      <c r="F71" s="181" t="n">
        <v>201.4662</v>
      </c>
      <c r="G71" s="181" t="n">
        <v>-0.065784</v>
      </c>
      <c r="H71" s="181" t="n">
        <v>0.026556</v>
      </c>
      <c r="I71" s="181" t="inlineStr"/>
    </row>
    <row r="72" ht="15" customHeight="1" s="28">
      <c r="A72" s="182" t="n">
        <v>62</v>
      </c>
      <c r="B72" s="182" t="n">
        <v>61</v>
      </c>
      <c r="C72" s="182" t="n">
        <v>4791.72</v>
      </c>
      <c r="D72" s="182" t="n">
        <v>4801.0463</v>
      </c>
      <c r="E72" s="182" t="n">
        <v>-9.3263</v>
      </c>
      <c r="F72" s="182" t="n">
        <v>86.9795</v>
      </c>
      <c r="G72" s="182" t="n">
        <v>-0.018661</v>
      </c>
      <c r="H72" s="182" t="n">
        <v>0.00495</v>
      </c>
      <c r="I72" s="182" t="inlineStr"/>
    </row>
    <row r="73" ht="15" customHeight="1" s="28">
      <c r="A73" s="181" t="n">
        <v>63</v>
      </c>
      <c r="B73" s="181" t="n">
        <v>62</v>
      </c>
      <c r="C73" s="181" t="n">
        <v>4785.87</v>
      </c>
      <c r="D73" s="181" t="n">
        <v>4800.7787</v>
      </c>
      <c r="E73" s="181" t="n">
        <v>-14.9087</v>
      </c>
      <c r="F73" s="181" t="n">
        <v>222.2684</v>
      </c>
      <c r="G73" s="181" t="n">
        <v>-0.07623099999999999</v>
      </c>
      <c r="H73" s="181" t="n">
        <v>0.032323</v>
      </c>
      <c r="I73" s="181" t="inlineStr"/>
    </row>
    <row r="74" ht="15" customHeight="1" s="28">
      <c r="A74" s="182" t="n">
        <v>64</v>
      </c>
      <c r="B74" s="182" t="n">
        <v>63</v>
      </c>
      <c r="C74" s="182" t="n">
        <v>4784.38</v>
      </c>
      <c r="D74" s="182" t="n">
        <v>4800.5111</v>
      </c>
      <c r="E74" s="182" t="n">
        <v>-16.1311</v>
      </c>
      <c r="F74" s="182" t="n">
        <v>260.2114</v>
      </c>
      <c r="G74" s="182" t="n">
        <v>-0.096562</v>
      </c>
      <c r="H74" s="182" t="n">
        <v>0.0443</v>
      </c>
      <c r="I74" s="182" t="inlineStr"/>
    </row>
    <row r="75" ht="15" customHeight="1" s="28">
      <c r="A75" s="181" t="n">
        <v>65</v>
      </c>
      <c r="B75" s="181" t="n">
        <v>64</v>
      </c>
      <c r="C75" s="181" t="n">
        <v>4783.7</v>
      </c>
      <c r="D75" s="181" t="n">
        <v>4800.2435</v>
      </c>
      <c r="E75" s="181" t="n">
        <v>-16.5435</v>
      </c>
      <c r="F75" s="181" t="n">
        <v>273.6864</v>
      </c>
      <c r="G75" s="181" t="n">
        <v>-0.104159</v>
      </c>
      <c r="H75" s="181" t="n">
        <v>0.049007</v>
      </c>
      <c r="I75" s="181" t="inlineStr"/>
    </row>
    <row r="76" ht="15" customHeight="1" s="28">
      <c r="A76" s="182" t="n">
        <v>66</v>
      </c>
      <c r="B76" s="182" t="n">
        <v>65</v>
      </c>
      <c r="C76" s="182" t="n">
        <v>4784.58</v>
      </c>
      <c r="D76" s="182" t="n">
        <v>4799.9759</v>
      </c>
      <c r="E76" s="182" t="n">
        <v>-15.3959</v>
      </c>
      <c r="F76" s="182" t="n">
        <v>237.0325</v>
      </c>
      <c r="G76" s="182" t="n">
        <v>-0.083951</v>
      </c>
      <c r="H76" s="182" t="n">
        <v>0.03676</v>
      </c>
      <c r="I76" s="182" t="inlineStr"/>
    </row>
    <row r="77" ht="15" customHeight="1" s="28">
      <c r="A77" s="181" t="n">
        <v>67</v>
      </c>
      <c r="B77" s="181" t="n">
        <v>66</v>
      </c>
      <c r="C77" s="181" t="n">
        <v>4797.03</v>
      </c>
      <c r="D77" s="181" t="n">
        <v>4799.7083</v>
      </c>
      <c r="E77" s="181" t="n">
        <v>-2.6783</v>
      </c>
      <c r="F77" s="181" t="n">
        <v>7.1731</v>
      </c>
      <c r="G77" s="181" t="n">
        <v>-0.000442</v>
      </c>
      <c r="H77" s="181" t="n">
        <v>3.4e-05</v>
      </c>
      <c r="I77" s="181" t="inlineStr"/>
    </row>
    <row r="78" ht="15" customHeight="1" s="28">
      <c r="A78" s="182" t="n">
        <v>68</v>
      </c>
      <c r="B78" s="182" t="n">
        <v>67</v>
      </c>
      <c r="C78" s="182" t="n">
        <v>4796.09</v>
      </c>
      <c r="D78" s="182" t="n">
        <v>4799.4406</v>
      </c>
      <c r="E78" s="182" t="n">
        <v>-3.3506</v>
      </c>
      <c r="F78" s="182" t="n">
        <v>11.2269</v>
      </c>
      <c r="G78" s="182" t="n">
        <v>-0.000865</v>
      </c>
      <c r="H78" s="182" t="n">
        <v>8.2e-05</v>
      </c>
      <c r="I78" s="182" t="inlineStr"/>
    </row>
    <row r="79" ht="15" customHeight="1" s="28">
      <c r="A79" s="181" t="n">
        <v>69</v>
      </c>
      <c r="B79" s="181" t="n">
        <v>68</v>
      </c>
      <c r="C79" s="181" t="n">
        <v>4793.1</v>
      </c>
      <c r="D79" s="181" t="n">
        <v>4799.1731</v>
      </c>
      <c r="E79" s="181" t="n">
        <v>-6.073</v>
      </c>
      <c r="F79" s="181" t="n">
        <v>36.8819</v>
      </c>
      <c r="G79" s="181" t="n">
        <v>-0.005153</v>
      </c>
      <c r="H79" s="181" t="n">
        <v>0.0008899999999999999</v>
      </c>
      <c r="I79" s="181" t="inlineStr"/>
    </row>
    <row r="80" ht="15" customHeight="1" s="28">
      <c r="A80" s="182" t="n">
        <v>70</v>
      </c>
      <c r="B80" s="182" t="n">
        <v>69</v>
      </c>
      <c r="C80" s="182" t="n">
        <v>4795.93</v>
      </c>
      <c r="D80" s="182" t="n">
        <v>4798.9054</v>
      </c>
      <c r="E80" s="182" t="n">
        <v>-2.9754</v>
      </c>
      <c r="F80" s="182" t="n">
        <v>8.853199999999999</v>
      </c>
      <c r="G80" s="182" t="n">
        <v>-0.000606</v>
      </c>
      <c r="H80" s="182" t="n">
        <v>5.1e-05</v>
      </c>
      <c r="I80" s="182" t="inlineStr"/>
    </row>
    <row r="81" ht="15" customHeight="1" s="28">
      <c r="A81" s="181" t="n">
        <v>71</v>
      </c>
      <c r="B81" s="181" t="n">
        <v>70</v>
      </c>
      <c r="C81" s="181" t="n">
        <v>4794.67</v>
      </c>
      <c r="D81" s="181" t="n">
        <v>4798.6378</v>
      </c>
      <c r="E81" s="181" t="n">
        <v>-3.9678</v>
      </c>
      <c r="F81" s="181" t="n">
        <v>15.7438</v>
      </c>
      <c r="G81" s="181" t="n">
        <v>-0.001437</v>
      </c>
      <c r="H81" s="181" t="n">
        <v>0.000162</v>
      </c>
      <c r="I81" s="181" t="inlineStr"/>
    </row>
    <row r="82" ht="15" customHeight="1" s="28">
      <c r="A82" s="182" t="n">
        <v>72</v>
      </c>
      <c r="B82" s="182" t="n">
        <v>71</v>
      </c>
      <c r="C82" s="182" t="n">
        <v>4790.39</v>
      </c>
      <c r="D82" s="182" t="n">
        <v>4798.3702</v>
      </c>
      <c r="E82" s="182" t="n">
        <v>-7.9802</v>
      </c>
      <c r="F82" s="182" t="n">
        <v>63.6842</v>
      </c>
      <c r="G82" s="182" t="n">
        <v>-0.011691</v>
      </c>
      <c r="H82" s="182" t="n">
        <v>0.002653</v>
      </c>
      <c r="I82" s="182" t="inlineStr"/>
    </row>
    <row r="83" ht="15" customHeight="1" s="28">
      <c r="A83" s="181" t="n">
        <v>73</v>
      </c>
      <c r="B83" s="181" t="n">
        <v>72</v>
      </c>
      <c r="C83" s="181" t="n">
        <v>4791.33</v>
      </c>
      <c r="D83" s="181" t="n">
        <v>4798.1026</v>
      </c>
      <c r="E83" s="181" t="n">
        <v>-6.7726</v>
      </c>
      <c r="F83" s="181" t="n">
        <v>45.8685</v>
      </c>
      <c r="G83" s="181" t="n">
        <v>-0.007146</v>
      </c>
      <c r="H83" s="181" t="n">
        <v>0.001377</v>
      </c>
      <c r="I83" s="181" t="inlineStr"/>
    </row>
    <row r="84" ht="15" customHeight="1" s="28">
      <c r="A84" s="182" t="n">
        <v>74</v>
      </c>
      <c r="B84" s="182" t="n">
        <v>73</v>
      </c>
      <c r="C84" s="182" t="n">
        <v>4789.59</v>
      </c>
      <c r="D84" s="182" t="n">
        <v>4797.835</v>
      </c>
      <c r="E84" s="182" t="n">
        <v>-8.244999999999999</v>
      </c>
      <c r="F84" s="182" t="n">
        <v>67.98050000000001</v>
      </c>
      <c r="G84" s="182" t="n">
        <v>-0.012894</v>
      </c>
      <c r="H84" s="182" t="n">
        <v>0.003024</v>
      </c>
      <c r="I84" s="182" t="inlineStr"/>
    </row>
    <row r="85" ht="15" customHeight="1" s="28">
      <c r="A85" s="181" t="n">
        <v>75</v>
      </c>
      <c r="B85" s="181" t="n">
        <v>74</v>
      </c>
      <c r="C85" s="181" t="n">
        <v>4784.95</v>
      </c>
      <c r="D85" s="181" t="n">
        <v>4797.5674</v>
      </c>
      <c r="E85" s="181" t="n">
        <v>-12.6174</v>
      </c>
      <c r="F85" s="181" t="n">
        <v>159.1993</v>
      </c>
      <c r="G85" s="181" t="n">
        <v>-0.046209</v>
      </c>
      <c r="H85" s="181" t="n">
        <v>0.016582</v>
      </c>
      <c r="I85" s="181" t="inlineStr"/>
    </row>
    <row r="86" ht="15" customHeight="1" s="28">
      <c r="A86" s="182" t="n">
        <v>76</v>
      </c>
      <c r="B86" s="182" t="n">
        <v>75</v>
      </c>
      <c r="C86" s="182" t="n">
        <v>4787.41</v>
      </c>
      <c r="D86" s="182" t="n">
        <v>4797.2998</v>
      </c>
      <c r="E86" s="182" t="n">
        <v>-9.889799999999999</v>
      </c>
      <c r="F86" s="182" t="n">
        <v>97.8085</v>
      </c>
      <c r="G86" s="182" t="n">
        <v>-0.022253</v>
      </c>
      <c r="H86" s="182" t="n">
        <v>0.006259</v>
      </c>
      <c r="I86" s="182" t="inlineStr"/>
    </row>
    <row r="87" ht="15" customHeight="1" s="28">
      <c r="A87" s="181" t="n">
        <v>77</v>
      </c>
      <c r="B87" s="181" t="n">
        <v>76</v>
      </c>
      <c r="C87" s="181" t="n">
        <v>4786.45</v>
      </c>
      <c r="D87" s="181" t="n">
        <v>4797.0322</v>
      </c>
      <c r="E87" s="181" t="n">
        <v>-10.5822</v>
      </c>
      <c r="F87" s="181" t="n">
        <v>111.9834</v>
      </c>
      <c r="G87" s="181" t="n">
        <v>-0.027261</v>
      </c>
      <c r="H87" s="181" t="n">
        <v>0.008205</v>
      </c>
      <c r="I87" s="181" t="inlineStr"/>
    </row>
    <row r="88" ht="15" customHeight="1" s="28">
      <c r="A88" s="182" t="n">
        <v>78</v>
      </c>
      <c r="B88" s="182" t="n">
        <v>77</v>
      </c>
      <c r="C88" s="182" t="n">
        <v>4793.07</v>
      </c>
      <c r="D88" s="182" t="n">
        <v>4796.7646</v>
      </c>
      <c r="E88" s="182" t="n">
        <v>-3.6946</v>
      </c>
      <c r="F88" s="182" t="n">
        <v>13.6501</v>
      </c>
      <c r="G88" s="182" t="n">
        <v>-0.00116</v>
      </c>
      <c r="H88" s="182" t="n">
        <v>0.000122</v>
      </c>
      <c r="I88" s="182" t="inlineStr"/>
    </row>
    <row r="89" ht="15" customHeight="1" s="28">
      <c r="A89" s="181" t="n">
        <v>79</v>
      </c>
      <c r="B89" s="181" t="n">
        <v>78</v>
      </c>
      <c r="C89" s="181" t="n">
        <v>4798.64</v>
      </c>
      <c r="D89" s="181" t="n">
        <v>4796.497</v>
      </c>
      <c r="E89" s="181" t="n">
        <v>2.143</v>
      </c>
      <c r="F89" s="181" t="n">
        <v>4.5924</v>
      </c>
      <c r="G89" s="181" t="n">
        <v>0.000226</v>
      </c>
      <c r="H89" s="181" t="n">
        <v>1.4e-05</v>
      </c>
      <c r="I89" s="181" t="inlineStr"/>
    </row>
    <row r="90" ht="15" customHeight="1" s="28">
      <c r="A90" s="182" t="n">
        <v>80</v>
      </c>
      <c r="B90" s="182" t="n">
        <v>79</v>
      </c>
      <c r="C90" s="182" t="n">
        <v>4799.19</v>
      </c>
      <c r="D90" s="182" t="n">
        <v>4796.2294</v>
      </c>
      <c r="E90" s="182" t="n">
        <v>2.9606</v>
      </c>
      <c r="F90" s="182" t="n">
        <v>8.7652</v>
      </c>
      <c r="G90" s="182" t="n">
        <v>0.000597</v>
      </c>
      <c r="H90" s="182" t="n">
        <v>5e-05</v>
      </c>
      <c r="I90" s="182" t="inlineStr"/>
    </row>
    <row r="91" ht="15" customHeight="1" s="28">
      <c r="A91" s="181" t="n">
        <v>81</v>
      </c>
      <c r="B91" s="181" t="n">
        <v>80</v>
      </c>
      <c r="C91" s="181" t="n">
        <v>4803.86</v>
      </c>
      <c r="D91" s="181" t="n">
        <v>4795.9618</v>
      </c>
      <c r="E91" s="181" t="n">
        <v>7.8982</v>
      </c>
      <c r="F91" s="181" t="n">
        <v>62.3816</v>
      </c>
      <c r="G91" s="181" t="n">
        <v>0.011334</v>
      </c>
      <c r="H91" s="181" t="n">
        <v>0.002546</v>
      </c>
      <c r="I91" s="181" t="inlineStr"/>
    </row>
    <row r="92" ht="15" customHeight="1" s="28">
      <c r="A92" s="182" t="n">
        <v>82</v>
      </c>
      <c r="B92" s="182" t="n">
        <v>81</v>
      </c>
      <c r="C92" s="182" t="n">
        <v>4816.87</v>
      </c>
      <c r="D92" s="182" t="n">
        <v>4795.6942</v>
      </c>
      <c r="E92" s="182" t="n">
        <v>21.1758</v>
      </c>
      <c r="F92" s="182" t="n">
        <v>448.4145</v>
      </c>
      <c r="G92" s="182" t="n">
        <v>0.218441</v>
      </c>
      <c r="H92" s="182" t="n">
        <v>0.131557</v>
      </c>
      <c r="I92" s="182" t="inlineStr"/>
    </row>
    <row r="93" ht="15" customHeight="1" s="28">
      <c r="A93" s="181" t="n">
        <v>83</v>
      </c>
      <c r="B93" s="181" t="n">
        <v>82</v>
      </c>
      <c r="C93" s="181" t="n">
        <v>4823.45</v>
      </c>
      <c r="D93" s="181" t="n">
        <v>4795.4266</v>
      </c>
      <c r="E93" s="181" t="n">
        <v>28.0234</v>
      </c>
      <c r="F93" s="181" t="n">
        <v>785.3115</v>
      </c>
      <c r="G93" s="181" t="n">
        <v>0.506266</v>
      </c>
      <c r="H93" s="181" t="n">
        <v>0.403495</v>
      </c>
      <c r="I93" s="181" t="inlineStr"/>
    </row>
    <row r="94" ht="15" customHeight="1" s="28">
      <c r="A94" s="182" t="n">
        <v>84</v>
      </c>
      <c r="B94" s="182" t="n">
        <v>83</v>
      </c>
      <c r="C94" s="182" t="n">
        <v>4846.75</v>
      </c>
      <c r="D94" s="182" t="n">
        <v>4795.159</v>
      </c>
      <c r="E94" s="182" t="n">
        <v>51.591</v>
      </c>
      <c r="F94" s="182" t="n">
        <v>2661.6323</v>
      </c>
      <c r="G94" s="182" t="n">
        <v>3.158913</v>
      </c>
      <c r="H94" s="182" t="n">
        <v>4.635005</v>
      </c>
      <c r="I94" s="182" t="inlineStr"/>
    </row>
    <row r="95" ht="15" customHeight="1" s="28">
      <c r="A95" s="181" t="n">
        <v>85</v>
      </c>
      <c r="B95" s="181" t="n">
        <v>84</v>
      </c>
      <c r="C95" s="181" t="n">
        <v>4883.6</v>
      </c>
      <c r="D95" s="181" t="n">
        <v>4794.8914</v>
      </c>
      <c r="E95" s="181" t="n">
        <v>88.7086</v>
      </c>
      <c r="F95" s="181" t="n">
        <v>7869.2193</v>
      </c>
      <c r="G95" s="181" t="n">
        <v>16.058799</v>
      </c>
      <c r="H95" s="181" t="n">
        <v>40.515146</v>
      </c>
      <c r="I95" s="181" t="inlineStr"/>
    </row>
    <row r="96" ht="15" customHeight="1" s="28">
      <c r="A96" s="182" t="n">
        <v>86</v>
      </c>
      <c r="B96" s="182" t="n">
        <v>85</v>
      </c>
      <c r="C96" s="182" t="n">
        <v>4851.59</v>
      </c>
      <c r="D96" s="182" t="n">
        <v>4794.6238</v>
      </c>
      <c r="E96" s="182" t="n">
        <v>56.9662</v>
      </c>
      <c r="F96" s="182" t="n">
        <v>3245.1502</v>
      </c>
      <c r="G96" s="182" t="n">
        <v>4.25273</v>
      </c>
      <c r="H96" s="182" t="n">
        <v>6.890071</v>
      </c>
      <c r="I96" s="182" t="inlineStr"/>
    </row>
    <row r="97" ht="15" customHeight="1" s="28">
      <c r="A97" s="181" t="n">
        <v>87</v>
      </c>
      <c r="B97" s="181" t="n">
        <v>86</v>
      </c>
      <c r="C97" s="181" t="n">
        <v>4864.42</v>
      </c>
      <c r="D97" s="181" t="n">
        <v>4794.3562</v>
      </c>
      <c r="E97" s="181" t="n">
        <v>70.0638</v>
      </c>
      <c r="F97" s="181" t="n">
        <v>4908.9389</v>
      </c>
      <c r="G97" s="181" t="n">
        <v>7.912196</v>
      </c>
      <c r="H97" s="181" t="n">
        <v>15.766285</v>
      </c>
      <c r="I97" s="181" t="inlineStr"/>
    </row>
    <row r="98" ht="15" customHeight="1" s="28">
      <c r="A98" s="182" t="n">
        <v>88</v>
      </c>
      <c r="B98" s="182" t="n">
        <v>87</v>
      </c>
      <c r="C98" s="182" t="n">
        <v>4880.26</v>
      </c>
      <c r="D98" s="182" t="n">
        <v>4794.0886</v>
      </c>
      <c r="E98" s="182" t="n">
        <v>86.17140000000001</v>
      </c>
      <c r="F98" s="182" t="n">
        <v>7425.5153</v>
      </c>
      <c r="G98" s="182" t="n">
        <v>14.719921</v>
      </c>
      <c r="H98" s="182" t="n">
        <v>36.075081</v>
      </c>
      <c r="I98" s="182" t="inlineStr"/>
    </row>
    <row r="99" ht="15" customHeight="1" s="28">
      <c r="A99" s="181" t="n">
        <v>89</v>
      </c>
      <c r="B99" s="181" t="n">
        <v>88</v>
      </c>
      <c r="C99" s="181" t="n">
        <v>4867.03</v>
      </c>
      <c r="D99" s="181" t="n">
        <v>4793.821</v>
      </c>
      <c r="E99" s="181" t="n">
        <v>73.209</v>
      </c>
      <c r="F99" s="181" t="n">
        <v>5359.5621</v>
      </c>
      <c r="G99" s="181" t="n">
        <v>9.026294999999999</v>
      </c>
      <c r="H99" s="181" t="n">
        <v>18.793719</v>
      </c>
      <c r="I99" s="181" t="inlineStr"/>
    </row>
    <row r="100" ht="15" customHeight="1" s="28">
      <c r="A100" s="182" t="n">
        <v>90</v>
      </c>
      <c r="B100" s="182" t="n">
        <v>89</v>
      </c>
      <c r="C100" s="182" t="n">
        <v>4871.43</v>
      </c>
      <c r="D100" s="182" t="n">
        <v>4793.5534</v>
      </c>
      <c r="E100" s="182" t="n">
        <v>77.8766</v>
      </c>
      <c r="F100" s="182" t="n">
        <v>6064.7711</v>
      </c>
      <c r="G100" s="182" t="n">
        <v>10.865187</v>
      </c>
      <c r="H100" s="182" t="n">
        <v>24.064838</v>
      </c>
      <c r="I100" s="182" t="inlineStr"/>
    </row>
    <row r="101" ht="15" customHeight="1" s="28">
      <c r="A101" s="181" t="n">
        <v>91</v>
      </c>
      <c r="B101" s="181" t="n">
        <v>90</v>
      </c>
      <c r="C101" s="181" t="n">
        <v>4877.31</v>
      </c>
      <c r="D101" s="181" t="n">
        <v>4793.2858</v>
      </c>
      <c r="E101" s="181" t="n">
        <v>84.02419999999999</v>
      </c>
      <c r="F101" s="181" t="n">
        <v>7060.0729</v>
      </c>
      <c r="G101" s="181" t="n">
        <v>13.646754</v>
      </c>
      <c r="H101" s="181" t="n">
        <v>32.611628</v>
      </c>
      <c r="I101" s="181" t="inlineStr"/>
    </row>
    <row r="102" ht="15" customHeight="1" s="28">
      <c r="A102" s="182" t="n">
        <v>92</v>
      </c>
      <c r="B102" s="182" t="n">
        <v>91</v>
      </c>
      <c r="C102" s="182" t="n">
        <v>4873.15</v>
      </c>
      <c r="D102" s="182" t="n">
        <v>4793.0181</v>
      </c>
      <c r="E102" s="182" t="n">
        <v>80.1318</v>
      </c>
      <c r="F102" s="182" t="n">
        <v>6421.1134</v>
      </c>
      <c r="G102" s="182" t="n">
        <v>11.836712</v>
      </c>
      <c r="H102" s="182" t="n">
        <v>26.975828</v>
      </c>
      <c r="I102" s="182" t="inlineStr"/>
    </row>
    <row r="103" ht="15" customHeight="1" s="28">
      <c r="A103" s="181" t="n">
        <v>93</v>
      </c>
      <c r="B103" s="181" t="n">
        <v>92</v>
      </c>
      <c r="C103" s="181" t="n">
        <v>4867.01</v>
      </c>
      <c r="D103" s="181" t="n">
        <v>4792.7505</v>
      </c>
      <c r="E103" s="181" t="n">
        <v>74.2595</v>
      </c>
      <c r="F103" s="181" t="n">
        <v>5514.4659</v>
      </c>
      <c r="G103" s="181" t="n">
        <v>9.420431000000001</v>
      </c>
      <c r="H103" s="181" t="n">
        <v>19.895783</v>
      </c>
      <c r="I103" s="181" t="inlineStr"/>
    </row>
    <row r="104" ht="15" customHeight="1" s="28">
      <c r="A104" s="182" t="n">
        <v>94</v>
      </c>
      <c r="B104" s="182" t="n">
        <v>93</v>
      </c>
      <c r="C104" s="182" t="n">
        <v>4865.86</v>
      </c>
      <c r="D104" s="182" t="n">
        <v>4792.4829</v>
      </c>
      <c r="E104" s="182" t="n">
        <v>73.3771</v>
      </c>
      <c r="F104" s="182" t="n">
        <v>5384.1915</v>
      </c>
      <c r="G104" s="182" t="n">
        <v>9.088585999999999</v>
      </c>
      <c r="H104" s="182" t="n">
        <v>18.966845</v>
      </c>
      <c r="I104" s="182" t="inlineStr"/>
    </row>
    <row r="105" ht="15" customHeight="1" s="28">
      <c r="A105" s="181" t="n">
        <v>95</v>
      </c>
      <c r="B105" s="181" t="n">
        <v>94</v>
      </c>
      <c r="C105" s="181" t="n">
        <v>4858.58</v>
      </c>
      <c r="D105" s="181" t="n">
        <v>4792.2153</v>
      </c>
      <c r="E105" s="181" t="n">
        <v>66.3647</v>
      </c>
      <c r="F105" s="181" t="n">
        <v>4404.2681</v>
      </c>
      <c r="G105" s="181" t="n">
        <v>6.723977</v>
      </c>
      <c r="H105" s="181" t="n">
        <v>12.691168</v>
      </c>
      <c r="I105" s="181" t="inlineStr"/>
    </row>
    <row r="106" ht="15" customHeight="1" s="28">
      <c r="A106" s="182" t="n">
        <v>96</v>
      </c>
      <c r="B106" s="182" t="n">
        <v>95</v>
      </c>
      <c r="C106" s="182" t="n">
        <v>4867.57</v>
      </c>
      <c r="D106" s="182" t="n">
        <v>4791.9477</v>
      </c>
      <c r="E106" s="182" t="n">
        <v>75.6223</v>
      </c>
      <c r="F106" s="182" t="n">
        <v>5718.7262</v>
      </c>
      <c r="G106" s="182" t="n">
        <v>9.948658999999999</v>
      </c>
      <c r="H106" s="182" t="n">
        <v>21.396992</v>
      </c>
      <c r="I106" s="182" t="inlineStr"/>
    </row>
    <row r="107" ht="15" customHeight="1" s="28">
      <c r="A107" s="181" t="n">
        <v>97</v>
      </c>
      <c r="B107" s="181" t="n">
        <v>96</v>
      </c>
      <c r="C107" s="181" t="n">
        <v>4871.66</v>
      </c>
      <c r="D107" s="181" t="n">
        <v>4791.6801</v>
      </c>
      <c r="E107" s="181" t="n">
        <v>79.9799</v>
      </c>
      <c r="F107" s="181" t="n">
        <v>6396.7796</v>
      </c>
      <c r="G107" s="181" t="n">
        <v>11.769491</v>
      </c>
      <c r="H107" s="181" t="n">
        <v>26.771758</v>
      </c>
      <c r="I107" s="181" t="inlineStr"/>
    </row>
    <row r="108" ht="15" customHeight="1" s="28">
      <c r="A108" s="182" t="n">
        <v>98</v>
      </c>
      <c r="B108" s="182" t="n">
        <v>97</v>
      </c>
      <c r="C108" s="182" t="n">
        <v>4867.71</v>
      </c>
      <c r="D108" s="182" t="n">
        <v>4791.4125</v>
      </c>
      <c r="E108" s="182" t="n">
        <v>76.2975</v>
      </c>
      <c r="F108" s="182" t="n">
        <v>5821.3039</v>
      </c>
      <c r="G108" s="182" t="n">
        <v>10.217532</v>
      </c>
      <c r="H108" s="182" t="n">
        <v>22.171479</v>
      </c>
      <c r="I108" s="182" t="inlineStr"/>
    </row>
    <row r="109" ht="15" customHeight="1" s="28">
      <c r="A109" s="181" t="n">
        <v>99</v>
      </c>
      <c r="B109" s="181" t="n">
        <v>98</v>
      </c>
      <c r="C109" s="181" t="n">
        <v>4868.37</v>
      </c>
      <c r="D109" s="181" t="n">
        <v>4791.1449</v>
      </c>
      <c r="E109" s="181" t="n">
        <v>77.2251</v>
      </c>
      <c r="F109" s="181" t="n">
        <v>5963.7114</v>
      </c>
      <c r="G109" s="181" t="n">
        <v>10.594745</v>
      </c>
      <c r="H109" s="181" t="n">
        <v>23.269516</v>
      </c>
      <c r="I109" s="181" t="inlineStr"/>
    </row>
    <row r="110" ht="15" customHeight="1" s="28">
      <c r="A110" s="182" t="n">
        <v>100</v>
      </c>
      <c r="B110" s="182" t="n">
        <v>99</v>
      </c>
      <c r="C110" s="182" t="n">
        <v>4867.12</v>
      </c>
      <c r="D110" s="182" t="n">
        <v>4790.8773</v>
      </c>
      <c r="E110" s="182" t="n">
        <v>76.2427</v>
      </c>
      <c r="F110" s="182" t="n">
        <v>5812.9463</v>
      </c>
      <c r="G110" s="182" t="n">
        <v>10.195536</v>
      </c>
      <c r="H110" s="182" t="n">
        <v>22.107861</v>
      </c>
      <c r="I110" s="182" t="inlineStr"/>
    </row>
    <row r="111" ht="15" customHeight="1" s="28">
      <c r="A111" s="181" t="n">
        <v>101</v>
      </c>
      <c r="B111" s="181" t="n">
        <v>100</v>
      </c>
      <c r="C111" s="181" t="n">
        <v>4862.89</v>
      </c>
      <c r="D111" s="181" t="n">
        <v>4790.6097</v>
      </c>
      <c r="E111" s="181" t="n">
        <v>72.2803</v>
      </c>
      <c r="F111" s="181" t="n">
        <v>5224.4389</v>
      </c>
      <c r="G111" s="181" t="n">
        <v>8.687105000000001</v>
      </c>
      <c r="H111" s="181" t="n">
        <v>17.858025</v>
      </c>
      <c r="I111" s="181" t="inlineStr"/>
    </row>
    <row r="112" ht="15" customHeight="1" s="28">
      <c r="A112" s="182" t="n">
        <v>102</v>
      </c>
      <c r="B112" s="182" t="n">
        <v>101</v>
      </c>
      <c r="C112" s="182" t="n">
        <v>4858.63</v>
      </c>
      <c r="D112" s="182" t="n">
        <v>4790.3421</v>
      </c>
      <c r="E112" s="182" t="n">
        <v>68.28789999999999</v>
      </c>
      <c r="F112" s="182" t="n">
        <v>4663.2359</v>
      </c>
      <c r="G112" s="182" t="n">
        <v>7.325658</v>
      </c>
      <c r="H112" s="182" t="n">
        <v>14.22751</v>
      </c>
      <c r="I112" s="182" t="inlineStr"/>
    </row>
    <row r="113" ht="15" customHeight="1" s="28">
      <c r="A113" s="181" t="n">
        <v>103</v>
      </c>
      <c r="B113" s="181" t="n">
        <v>102</v>
      </c>
      <c r="C113" s="181" t="n">
        <v>4855.01</v>
      </c>
      <c r="D113" s="181" t="n">
        <v>4790.0745</v>
      </c>
      <c r="E113" s="181" t="n">
        <v>64.9355</v>
      </c>
      <c r="F113" s="181" t="n">
        <v>4216.6179</v>
      </c>
      <c r="G113" s="181" t="n">
        <v>6.29886</v>
      </c>
      <c r="H113" s="181" t="n">
        <v>11.632756</v>
      </c>
      <c r="I113" s="181" t="inlineStr"/>
    </row>
    <row r="114" ht="15" customHeight="1" s="28">
      <c r="A114" s="182" t="n">
        <v>104</v>
      </c>
      <c r="B114" s="182" t="n">
        <v>103</v>
      </c>
      <c r="C114" s="182" t="n">
        <v>4862.6</v>
      </c>
      <c r="D114" s="182" t="n">
        <v>4789.8069</v>
      </c>
      <c r="E114" s="182" t="n">
        <v>72.7931</v>
      </c>
      <c r="F114" s="182" t="n">
        <v>5298.834</v>
      </c>
      <c r="G114" s="182" t="n">
        <v>8.873317999999999</v>
      </c>
      <c r="H114" s="182" t="n">
        <v>18.370236</v>
      </c>
      <c r="I114" s="182" t="inlineStr"/>
    </row>
    <row r="115" ht="15" customHeight="1" s="28">
      <c r="A115" s="181" t="n">
        <v>105</v>
      </c>
      <c r="B115" s="181" t="n">
        <v>104</v>
      </c>
      <c r="C115" s="181" t="n">
        <v>4861.17</v>
      </c>
      <c r="D115" s="181" t="n">
        <v>4789.5393</v>
      </c>
      <c r="E115" s="181" t="n">
        <v>71.6307</v>
      </c>
      <c r="F115" s="181" t="n">
        <v>5130.9572</v>
      </c>
      <c r="G115" s="181" t="n">
        <v>8.454991</v>
      </c>
      <c r="H115" s="181" t="n">
        <v>17.224669</v>
      </c>
      <c r="I115" s="181" t="inlineStr"/>
    </row>
    <row r="116" ht="15" customHeight="1" s="28">
      <c r="A116" s="182" t="n">
        <v>106</v>
      </c>
      <c r="B116" s="182" t="n">
        <v>105</v>
      </c>
      <c r="C116" s="182" t="n">
        <v>4860.87</v>
      </c>
      <c r="D116" s="182" t="n">
        <v>4789.2717</v>
      </c>
      <c r="E116" s="182" t="n">
        <v>71.59829999999999</v>
      </c>
      <c r="F116" s="182" t="n">
        <v>5126.3166</v>
      </c>
      <c r="G116" s="182" t="n">
        <v>8.443524</v>
      </c>
      <c r="H116" s="182" t="n">
        <v>17.193526</v>
      </c>
      <c r="I116" s="182" t="inlineStr"/>
    </row>
    <row r="117" ht="15" customHeight="1" s="28">
      <c r="A117" s="181" t="n">
        <v>107</v>
      </c>
      <c r="B117" s="181" t="n">
        <v>106</v>
      </c>
      <c r="C117" s="181" t="n">
        <v>4862.4</v>
      </c>
      <c r="D117" s="181" t="n">
        <v>4789.0041</v>
      </c>
      <c r="E117" s="181" t="n">
        <v>73.3959</v>
      </c>
      <c r="F117" s="181" t="n">
        <v>5386.9596</v>
      </c>
      <c r="G117" s="181" t="n">
        <v>9.095596</v>
      </c>
      <c r="H117" s="181" t="n">
        <v>18.986353</v>
      </c>
      <c r="I117" s="181" t="inlineStr"/>
    </row>
    <row r="118" ht="15" customHeight="1" s="28">
      <c r="A118" s="182" t="n">
        <v>108</v>
      </c>
      <c r="B118" s="182" t="n">
        <v>107</v>
      </c>
      <c r="C118" s="182" t="n">
        <v>4858.16</v>
      </c>
      <c r="D118" s="182" t="n">
        <v>4788.7365</v>
      </c>
      <c r="E118" s="182" t="n">
        <v>69.4235</v>
      </c>
      <c r="F118" s="182" t="n">
        <v>4819.6237</v>
      </c>
      <c r="G118" s="182" t="n">
        <v>7.697245</v>
      </c>
      <c r="H118" s="182" t="n">
        <v>15.197788</v>
      </c>
      <c r="I118" s="182" t="inlineStr"/>
    </row>
    <row r="119" ht="15" customHeight="1" s="28">
      <c r="A119" s="181" t="n">
        <v>109</v>
      </c>
      <c r="B119" s="181" t="n">
        <v>108</v>
      </c>
      <c r="C119" s="181" t="n">
        <v>4856.59</v>
      </c>
      <c r="D119" s="181" t="n">
        <v>4788.4689</v>
      </c>
      <c r="E119" s="181" t="n">
        <v>68.1211</v>
      </c>
      <c r="F119" s="181" t="n">
        <v>4640.4856</v>
      </c>
      <c r="G119" s="181" t="n">
        <v>7.272115</v>
      </c>
      <c r="H119" s="181" t="n">
        <v>14.089026</v>
      </c>
      <c r="I119" s="181" t="inlineStr"/>
    </row>
    <row r="120" ht="15" customHeight="1" s="28">
      <c r="A120" s="182" t="n">
        <v>110</v>
      </c>
      <c r="B120" s="182" t="n">
        <v>109</v>
      </c>
      <c r="C120" s="182" t="n">
        <v>4856.91</v>
      </c>
      <c r="D120" s="182" t="n">
        <v>4788.2013</v>
      </c>
      <c r="E120" s="182" t="n">
        <v>68.70869999999999</v>
      </c>
      <c r="F120" s="182" t="n">
        <v>4720.8882</v>
      </c>
      <c r="G120" s="182" t="n">
        <v>7.46193</v>
      </c>
      <c r="H120" s="182" t="n">
        <v>14.581478</v>
      </c>
      <c r="I120" s="182" t="inlineStr"/>
    </row>
    <row r="121" ht="15" customHeight="1" s="28">
      <c r="A121" s="181" t="n">
        <v>111</v>
      </c>
      <c r="B121" s="181" t="n">
        <v>110</v>
      </c>
      <c r="C121" s="181" t="n">
        <v>4860.34</v>
      </c>
      <c r="D121" s="181" t="n">
        <v>4787.9337</v>
      </c>
      <c r="E121" s="181" t="n">
        <v>72.4063</v>
      </c>
      <c r="F121" s="181" t="n">
        <v>5242.6752</v>
      </c>
      <c r="G121" s="181" t="n">
        <v>8.732628999999999</v>
      </c>
      <c r="H121" s="181" t="n">
        <v>17.982912</v>
      </c>
      <c r="I121" s="181" t="inlineStr"/>
    </row>
    <row r="122" ht="15" customHeight="1" s="28">
      <c r="A122" s="182" t="n">
        <v>112</v>
      </c>
      <c r="B122" s="182" t="n">
        <v>111</v>
      </c>
      <c r="C122" s="182" t="n">
        <v>4854.73</v>
      </c>
      <c r="D122" s="182" t="n">
        <v>4787.6661</v>
      </c>
      <c r="E122" s="182" t="n">
        <v>67.0639</v>
      </c>
      <c r="F122" s="182" t="n">
        <v>4497.5707</v>
      </c>
      <c r="G122" s="182" t="n">
        <v>6.938771</v>
      </c>
      <c r="H122" s="182" t="n">
        <v>13.234578</v>
      </c>
      <c r="I122" s="182" t="inlineStr"/>
    </row>
    <row r="123" ht="15" customHeight="1" s="28">
      <c r="A123" s="181" t="n">
        <v>113</v>
      </c>
      <c r="B123" s="181" t="n">
        <v>112</v>
      </c>
      <c r="C123" s="181" t="n">
        <v>4845.91</v>
      </c>
      <c r="D123" s="181" t="n">
        <v>4787.3985</v>
      </c>
      <c r="E123" s="181" t="n">
        <v>58.5115</v>
      </c>
      <c r="F123" s="181" t="n">
        <v>3423.5991</v>
      </c>
      <c r="G123" s="181" t="n">
        <v>4.608292</v>
      </c>
      <c r="H123" s="181" t="n">
        <v>7.668668</v>
      </c>
      <c r="I123" s="181" t="inlineStr"/>
    </row>
    <row r="124" ht="15" customHeight="1" s="28">
      <c r="A124" s="182" t="n">
        <v>114</v>
      </c>
      <c r="B124" s="182" t="n">
        <v>113</v>
      </c>
      <c r="C124" s="182" t="n">
        <v>4845.96</v>
      </c>
      <c r="D124" s="182" t="n">
        <v>4787.1309</v>
      </c>
      <c r="E124" s="182" t="n">
        <v>58.8291</v>
      </c>
      <c r="F124" s="182" t="n">
        <v>3460.8677</v>
      </c>
      <c r="G124" s="182" t="n">
        <v>4.683743</v>
      </c>
      <c r="H124" s="182" t="n">
        <v>7.836536</v>
      </c>
      <c r="I124" s="182" t="inlineStr"/>
    </row>
    <row r="125" ht="15" customHeight="1" s="28">
      <c r="A125" s="181" t="n">
        <v>115</v>
      </c>
      <c r="B125" s="181" t="n">
        <v>114</v>
      </c>
      <c r="C125" s="181" t="n">
        <v>4835.81</v>
      </c>
      <c r="D125" s="181" t="n">
        <v>4786.8633</v>
      </c>
      <c r="E125" s="181" t="n">
        <v>48.9467</v>
      </c>
      <c r="F125" s="181" t="n">
        <v>2395.7834</v>
      </c>
      <c r="G125" s="181" t="n">
        <v>2.697658</v>
      </c>
      <c r="H125" s="181" t="n">
        <v>3.755339</v>
      </c>
      <c r="I125" s="181" t="inlineStr"/>
    </row>
    <row r="126" ht="15" customHeight="1" s="28">
      <c r="A126" s="182" t="n">
        <v>116</v>
      </c>
      <c r="B126" s="182" t="n">
        <v>115</v>
      </c>
      <c r="C126" s="182" t="n">
        <v>4833.02</v>
      </c>
      <c r="D126" s="182" t="n">
        <v>4786.5957</v>
      </c>
      <c r="E126" s="182" t="n">
        <v>46.4243</v>
      </c>
      <c r="F126" s="182" t="n">
        <v>2155.2193</v>
      </c>
      <c r="G126" s="182" t="n">
        <v>2.301722</v>
      </c>
      <c r="H126" s="182" t="n">
        <v>3.039045</v>
      </c>
      <c r="I126" s="182" t="inlineStr"/>
    </row>
    <row r="127" ht="15" customHeight="1" s="28">
      <c r="A127" s="181" t="n">
        <v>117</v>
      </c>
      <c r="B127" s="181" t="n">
        <v>116</v>
      </c>
      <c r="C127" s="181" t="n">
        <v>4790.21</v>
      </c>
      <c r="D127" s="181" t="n">
        <v>4786.3281</v>
      </c>
      <c r="E127" s="181" t="n">
        <v>3.8819</v>
      </c>
      <c r="F127" s="181" t="n">
        <v>15.0695</v>
      </c>
      <c r="G127" s="181" t="n">
        <v>0.001346</v>
      </c>
      <c r="H127" s="181" t="n">
        <v>0.000149</v>
      </c>
      <c r="I127" s="181" t="inlineStr"/>
    </row>
    <row r="128" ht="15" customHeight="1" s="28">
      <c r="A128" s="182" t="n">
        <v>118</v>
      </c>
      <c r="B128" s="182" t="n">
        <v>117</v>
      </c>
      <c r="C128" s="182" t="n">
        <v>4784.84</v>
      </c>
      <c r="D128" s="182" t="n">
        <v>4786.0604</v>
      </c>
      <c r="E128" s="182" t="n">
        <v>-1.2204</v>
      </c>
      <c r="F128" s="182" t="n">
        <v>1.4895</v>
      </c>
      <c r="G128" s="182" t="n">
        <v>-4.2e-05</v>
      </c>
      <c r="H128" s="182" t="n">
        <v>1e-06</v>
      </c>
      <c r="I128" s="182" t="inlineStr"/>
    </row>
    <row r="129" ht="15" customHeight="1" s="28">
      <c r="A129" s="181" t="n">
        <v>119</v>
      </c>
      <c r="B129" s="181" t="n">
        <v>118</v>
      </c>
      <c r="C129" s="181" t="n">
        <v>4780.29</v>
      </c>
      <c r="D129" s="181" t="n">
        <v>4785.7928</v>
      </c>
      <c r="E129" s="181" t="n">
        <v>-5.5028</v>
      </c>
      <c r="F129" s="181" t="n">
        <v>30.2812</v>
      </c>
      <c r="G129" s="181" t="n">
        <v>-0.003833</v>
      </c>
      <c r="H129" s="181" t="n">
        <v>0.0005999999999999999</v>
      </c>
      <c r="I129" s="181" t="inlineStr"/>
    </row>
    <row r="130" ht="15" customHeight="1" s="28">
      <c r="A130" s="182" t="n">
        <v>120</v>
      </c>
      <c r="B130" s="182" t="n">
        <v>119</v>
      </c>
      <c r="C130" s="182" t="n">
        <v>4779.23</v>
      </c>
      <c r="D130" s="182" t="n">
        <v>4785.5252</v>
      </c>
      <c r="E130" s="182" t="n">
        <v>-6.2952</v>
      </c>
      <c r="F130" s="182" t="n">
        <v>39.63</v>
      </c>
      <c r="G130" s="182" t="n">
        <v>-0.005739</v>
      </c>
      <c r="H130" s="182" t="n">
        <v>0.001028</v>
      </c>
      <c r="I130" s="182" t="inlineStr"/>
    </row>
    <row r="131" ht="15" customHeight="1" s="28">
      <c r="A131" s="181" t="n">
        <v>121</v>
      </c>
      <c r="B131" s="181" t="n">
        <v>120</v>
      </c>
      <c r="C131" s="181" t="n">
        <v>4772.65</v>
      </c>
      <c r="D131" s="181" t="n">
        <v>4785.2576</v>
      </c>
      <c r="E131" s="181" t="n">
        <v>-12.6076</v>
      </c>
      <c r="F131" s="181" t="n">
        <v>158.9526</v>
      </c>
      <c r="G131" s="181" t="n">
        <v>-0.046102</v>
      </c>
      <c r="H131" s="181" t="n">
        <v>0.016531</v>
      </c>
      <c r="I131" s="181" t="inlineStr"/>
    </row>
    <row r="132" ht="15" customHeight="1" s="28">
      <c r="A132" s="182" t="n">
        <v>122</v>
      </c>
      <c r="B132" s="182" t="n">
        <v>121</v>
      </c>
      <c r="C132" s="182" t="n">
        <v>4769.43</v>
      </c>
      <c r="D132" s="182" t="n">
        <v>4784.99</v>
      </c>
      <c r="E132" s="182" t="n">
        <v>-15.56</v>
      </c>
      <c r="F132" s="182" t="n">
        <v>242.1145</v>
      </c>
      <c r="G132" s="182" t="n">
        <v>-0.08666600000000001</v>
      </c>
      <c r="H132" s="182" t="n">
        <v>0.038353</v>
      </c>
      <c r="I132" s="182" t="inlineStr"/>
    </row>
    <row r="133" ht="15" customHeight="1" s="28">
      <c r="A133" s="181" t="n">
        <v>123</v>
      </c>
      <c r="B133" s="181" t="n">
        <v>122</v>
      </c>
      <c r="C133" s="181" t="n">
        <v>4752.06</v>
      </c>
      <c r="D133" s="181" t="n">
        <v>4784.7224</v>
      </c>
      <c r="E133" s="181" t="n">
        <v>-32.6624</v>
      </c>
      <c r="F133" s="181" t="n">
        <v>1066.8343</v>
      </c>
      <c r="G133" s="181" t="n">
        <v>-0.801606</v>
      </c>
      <c r="H133" s="181" t="n">
        <v>0.7446430000000001</v>
      </c>
      <c r="I133" s="181" t="inlineStr"/>
    </row>
    <row r="134" ht="15" customHeight="1" s="28">
      <c r="A134" s="182" t="n">
        <v>124</v>
      </c>
      <c r="B134" s="182" t="n">
        <v>123</v>
      </c>
      <c r="C134" s="182" t="n">
        <v>4755.07</v>
      </c>
      <c r="D134" s="182" t="n">
        <v>4784.4548</v>
      </c>
      <c r="E134" s="182" t="n">
        <v>-29.3848</v>
      </c>
      <c r="F134" s="182" t="n">
        <v>863.4675999999999</v>
      </c>
      <c r="G134" s="182" t="n">
        <v>-0.583693</v>
      </c>
      <c r="H134" s="182" t="n">
        <v>0.487805</v>
      </c>
      <c r="I134" s="182" t="inlineStr"/>
    </row>
    <row r="135" ht="15" customHeight="1" s="28">
      <c r="A135" s="181" t="n">
        <v>125</v>
      </c>
      <c r="B135" s="181" t="n">
        <v>124</v>
      </c>
      <c r="C135" s="181" t="n">
        <v>4752.17</v>
      </c>
      <c r="D135" s="181" t="n">
        <v>4784.1872</v>
      </c>
      <c r="E135" s="181" t="n">
        <v>-32.0172</v>
      </c>
      <c r="F135" s="181" t="n">
        <v>1025.1024</v>
      </c>
      <c r="G135" s="181" t="n">
        <v>-0.755034</v>
      </c>
      <c r="H135" s="181" t="n">
        <v>0.6875250000000001</v>
      </c>
      <c r="I135" s="181" t="inlineStr"/>
    </row>
    <row r="136" ht="15" customHeight="1" s="28">
      <c r="A136" s="182" t="n">
        <v>126</v>
      </c>
      <c r="B136" s="182" t="n">
        <v>125</v>
      </c>
      <c r="C136" s="182" t="n">
        <v>4765.66</v>
      </c>
      <c r="D136" s="182" t="n">
        <v>4783.9196</v>
      </c>
      <c r="E136" s="182" t="n">
        <v>-18.2596</v>
      </c>
      <c r="F136" s="182" t="n">
        <v>333.4137</v>
      </c>
      <c r="G136" s="182" t="n">
        <v>-0.140052</v>
      </c>
      <c r="H136" s="182" t="n">
        <v>0.072731</v>
      </c>
      <c r="I136" s="182" t="inlineStr"/>
    </row>
    <row r="137" ht="15" customHeight="1" s="28">
      <c r="A137" s="181" t="n">
        <v>127</v>
      </c>
      <c r="B137" s="181" t="n">
        <v>126</v>
      </c>
      <c r="C137" s="181" t="n">
        <v>4764.3</v>
      </c>
      <c r="D137" s="181" t="n">
        <v>4783.652</v>
      </c>
      <c r="E137" s="181" t="n">
        <v>-19.352</v>
      </c>
      <c r="F137" s="181" t="n">
        <v>374.5003</v>
      </c>
      <c r="G137" s="181" t="n">
        <v>-0.166722</v>
      </c>
      <c r="H137" s="181" t="n">
        <v>0.091761</v>
      </c>
      <c r="I137" s="181" t="inlineStr"/>
    </row>
    <row r="138" ht="15" customHeight="1" s="28">
      <c r="A138" s="182" t="n">
        <v>128</v>
      </c>
      <c r="B138" s="182" t="n">
        <v>127</v>
      </c>
      <c r="C138" s="182" t="n">
        <v>4772.93</v>
      </c>
      <c r="D138" s="182" t="n">
        <v>4783.3844</v>
      </c>
      <c r="E138" s="182" t="n">
        <v>-10.4544</v>
      </c>
      <c r="F138" s="182" t="n">
        <v>109.2947</v>
      </c>
      <c r="G138" s="182" t="n">
        <v>-0.026285</v>
      </c>
      <c r="H138" s="182" t="n">
        <v>0.007815000000000001</v>
      </c>
      <c r="I138" s="182" t="inlineStr"/>
    </row>
    <row r="139" ht="15" customHeight="1" s="28">
      <c r="A139" s="181" t="n">
        <v>129</v>
      </c>
      <c r="B139" s="181" t="n">
        <v>128</v>
      </c>
      <c r="C139" s="181" t="n">
        <v>4793.92</v>
      </c>
      <c r="D139" s="181" t="n">
        <v>4783.1168</v>
      </c>
      <c r="E139" s="181" t="n">
        <v>10.8032</v>
      </c>
      <c r="F139" s="181" t="n">
        <v>116.7091</v>
      </c>
      <c r="G139" s="181" t="n">
        <v>0.029005</v>
      </c>
      <c r="H139" s="181" t="n">
        <v>0.008912</v>
      </c>
      <c r="I139" s="181" t="inlineStr"/>
    </row>
    <row r="140" ht="15" customHeight="1" s="28">
      <c r="A140" s="182" t="n">
        <v>130</v>
      </c>
      <c r="B140" s="182" t="n">
        <v>129</v>
      </c>
      <c r="C140" s="182" t="n">
        <v>4802.69</v>
      </c>
      <c r="D140" s="182" t="n">
        <v>4782.8492</v>
      </c>
      <c r="E140" s="182" t="n">
        <v>19.8408</v>
      </c>
      <c r="F140" s="182" t="n">
        <v>393.6573</v>
      </c>
      <c r="G140" s="182" t="n">
        <v>0.179677</v>
      </c>
      <c r="H140" s="182" t="n">
        <v>0.101389</v>
      </c>
      <c r="I140" s="182" t="inlineStr"/>
    </row>
    <row r="141" ht="15" customHeight="1" s="28">
      <c r="A141" s="181" t="n">
        <v>131</v>
      </c>
      <c r="B141" s="181" t="n">
        <v>130</v>
      </c>
      <c r="C141" s="181" t="n">
        <v>4807.2</v>
      </c>
      <c r="D141" s="181" t="n">
        <v>4782.5816</v>
      </c>
      <c r="E141" s="181" t="n">
        <v>24.6184</v>
      </c>
      <c r="F141" s="181" t="n">
        <v>606.0656</v>
      </c>
      <c r="G141" s="181" t="n">
        <v>0.343238</v>
      </c>
      <c r="H141" s="181" t="n">
        <v>0.240322</v>
      </c>
      <c r="I141" s="181" t="inlineStr"/>
    </row>
    <row r="142" ht="15" customHeight="1" s="28">
      <c r="A142" s="182" t="n">
        <v>132</v>
      </c>
      <c r="B142" s="182" t="n">
        <v>131</v>
      </c>
      <c r="C142" s="182" t="n">
        <v>4807.6</v>
      </c>
      <c r="D142" s="182" t="n">
        <v>4782.314</v>
      </c>
      <c r="E142" s="182" t="n">
        <v>25.286</v>
      </c>
      <c r="F142" s="182" t="n">
        <v>639.3823</v>
      </c>
      <c r="G142" s="182" t="n">
        <v>0.371926</v>
      </c>
      <c r="H142" s="182" t="n">
        <v>0.26747</v>
      </c>
      <c r="I142" s="182" t="inlineStr"/>
    </row>
    <row r="143" ht="15" customHeight="1" s="28">
      <c r="A143" s="181" t="n">
        <v>133</v>
      </c>
      <c r="B143" s="181" t="n">
        <v>132</v>
      </c>
      <c r="C143" s="181" t="n">
        <v>4800.99</v>
      </c>
      <c r="D143" s="181" t="n">
        <v>4782.0464</v>
      </c>
      <c r="E143" s="181" t="n">
        <v>18.9436</v>
      </c>
      <c r="F143" s="181" t="n">
        <v>358.8604</v>
      </c>
      <c r="G143" s="181" t="n">
        <v>0.156388</v>
      </c>
      <c r="H143" s="181" t="n">
        <v>0.084257</v>
      </c>
      <c r="I143" s="181" t="inlineStr"/>
    </row>
    <row r="144" ht="15" customHeight="1" s="28">
      <c r="A144" s="182" t="n">
        <v>134</v>
      </c>
      <c r="B144" s="182" t="n">
        <v>133</v>
      </c>
      <c r="C144" s="182" t="n">
        <v>4800.46</v>
      </c>
      <c r="D144" s="182" t="n">
        <v>4781.7788</v>
      </c>
      <c r="E144" s="182" t="n">
        <v>18.6812</v>
      </c>
      <c r="F144" s="182" t="n">
        <v>348.988</v>
      </c>
      <c r="G144" s="182" t="n">
        <v>0.149979</v>
      </c>
      <c r="H144" s="182" t="n">
        <v>0.07968500000000001</v>
      </c>
      <c r="I144" s="182" t="inlineStr"/>
    </row>
    <row r="145" ht="15" customHeight="1" s="28">
      <c r="A145" s="181" t="n">
        <v>135</v>
      </c>
      <c r="B145" s="181" t="n">
        <v>134</v>
      </c>
      <c r="C145" s="181" t="n">
        <v>4796.33</v>
      </c>
      <c r="D145" s="181" t="n">
        <v>4781.5112</v>
      </c>
      <c r="E145" s="181" t="n">
        <v>14.8188</v>
      </c>
      <c r="F145" s="181" t="n">
        <v>219.5974</v>
      </c>
      <c r="G145" s="181" t="n">
        <v>0.074861</v>
      </c>
      <c r="H145" s="181" t="n">
        <v>0.031551</v>
      </c>
      <c r="I145" s="181" t="inlineStr"/>
    </row>
    <row r="146" ht="15" customHeight="1" s="28">
      <c r="A146" s="182" t="n">
        <v>136</v>
      </c>
      <c r="B146" s="182" t="n">
        <v>135</v>
      </c>
      <c r="C146" s="182" t="n">
        <v>4797.41</v>
      </c>
      <c r="D146" s="182" t="n">
        <v>4781.2436</v>
      </c>
      <c r="E146" s="182" t="n">
        <v>16.1664</v>
      </c>
      <c r="F146" s="182" t="n">
        <v>261.3535</v>
      </c>
      <c r="G146" s="182" t="n">
        <v>0.09719800000000001</v>
      </c>
      <c r="H146" s="182" t="n">
        <v>0.04469</v>
      </c>
      <c r="I146" s="182" t="inlineStr"/>
    </row>
    <row r="147" ht="15" customHeight="1" s="28">
      <c r="A147" s="181" t="n">
        <v>137</v>
      </c>
      <c r="B147" s="181" t="n">
        <v>136</v>
      </c>
      <c r="C147" s="181" t="n">
        <v>4791.47</v>
      </c>
      <c r="D147" s="181" t="n">
        <v>4780.976</v>
      </c>
      <c r="E147" s="181" t="n">
        <v>10.494</v>
      </c>
      <c r="F147" s="181" t="n">
        <v>110.1247</v>
      </c>
      <c r="G147" s="181" t="n">
        <v>0.026585</v>
      </c>
      <c r="H147" s="181" t="n">
        <v>0.007934999999999999</v>
      </c>
      <c r="I147" s="181" t="inlineStr"/>
    </row>
    <row r="148" ht="15" customHeight="1" s="28">
      <c r="A148" s="182" t="n">
        <v>138</v>
      </c>
      <c r="B148" s="182" t="n">
        <v>137</v>
      </c>
      <c r="C148" s="182" t="n">
        <v>4795.1</v>
      </c>
      <c r="D148" s="182" t="n">
        <v>4780.7084</v>
      </c>
      <c r="E148" s="182" t="n">
        <v>14.3916</v>
      </c>
      <c r="F148" s="182" t="n">
        <v>207.119</v>
      </c>
      <c r="G148" s="182" t="n">
        <v>0.06857199999999999</v>
      </c>
      <c r="H148" s="182" t="n">
        <v>0.028067</v>
      </c>
      <c r="I148" s="182" t="inlineStr"/>
    </row>
    <row r="149" ht="15" customHeight="1" s="28">
      <c r="A149" s="181" t="n">
        <v>139</v>
      </c>
      <c r="B149" s="181" t="n">
        <v>138</v>
      </c>
      <c r="C149" s="181" t="n">
        <v>4793.76</v>
      </c>
      <c r="D149" s="181" t="n">
        <v>4780.4408</v>
      </c>
      <c r="E149" s="181" t="n">
        <v>13.3192</v>
      </c>
      <c r="F149" s="181" t="n">
        <v>177.4022</v>
      </c>
      <c r="G149" s="181" t="n">
        <v>0.054357</v>
      </c>
      <c r="H149" s="181" t="n">
        <v>0.020591</v>
      </c>
      <c r="I149" s="181" t="inlineStr"/>
    </row>
    <row r="150" ht="15" customHeight="1" s="28">
      <c r="A150" s="182" t="n">
        <v>140</v>
      </c>
      <c r="B150" s="182" t="n">
        <v>139</v>
      </c>
      <c r="C150" s="182" t="n">
        <v>4790.91</v>
      </c>
      <c r="D150" s="182" t="n">
        <v>4780.1732</v>
      </c>
      <c r="E150" s="182" t="n">
        <v>10.7368</v>
      </c>
      <c r="F150" s="182" t="n">
        <v>115.2797</v>
      </c>
      <c r="G150" s="182" t="n">
        <v>0.028474</v>
      </c>
      <c r="H150" s="182" t="n">
        <v>0.008695</v>
      </c>
      <c r="I150" s="182" t="inlineStr"/>
    </row>
    <row r="151" ht="15" customHeight="1" s="28">
      <c r="A151" s="181" t="n">
        <v>141</v>
      </c>
      <c r="B151" s="181" t="n">
        <v>140</v>
      </c>
      <c r="C151" s="181" t="n">
        <v>4793.12</v>
      </c>
      <c r="D151" s="181" t="n">
        <v>4779.9056</v>
      </c>
      <c r="E151" s="181" t="n">
        <v>13.2144</v>
      </c>
      <c r="F151" s="181" t="n">
        <v>174.6217</v>
      </c>
      <c r="G151" s="181" t="n">
        <v>0.053084</v>
      </c>
      <c r="H151" s="181" t="n">
        <v>0.01995</v>
      </c>
      <c r="I151" s="181" t="inlineStr"/>
    </row>
    <row r="152" ht="15" customHeight="1" s="28">
      <c r="A152" s="182" t="n">
        <v>142</v>
      </c>
      <c r="B152" s="182" t="n">
        <v>141</v>
      </c>
      <c r="C152" s="182" t="n">
        <v>4794.79</v>
      </c>
      <c r="D152" s="182" t="n">
        <v>4779.638</v>
      </c>
      <c r="E152" s="182" t="n">
        <v>15.152</v>
      </c>
      <c r="F152" s="182" t="n">
        <v>229.5846</v>
      </c>
      <c r="G152" s="182" t="n">
        <v>0.080026</v>
      </c>
      <c r="H152" s="182" t="n">
        <v>0.034486</v>
      </c>
      <c r="I152" s="182" t="inlineStr"/>
    </row>
    <row r="153" ht="15" customHeight="1" s="28">
      <c r="A153" s="181" t="n">
        <v>143</v>
      </c>
      <c r="B153" s="181" t="n">
        <v>142</v>
      </c>
      <c r="C153" s="181" t="n">
        <v>4787.34</v>
      </c>
      <c r="D153" s="181" t="n">
        <v>4779.3704</v>
      </c>
      <c r="E153" s="181" t="n">
        <v>7.9697</v>
      </c>
      <c r="F153" s="181" t="n">
        <v>63.5153</v>
      </c>
      <c r="G153" s="181" t="n">
        <v>0.011645</v>
      </c>
      <c r="H153" s="181" t="n">
        <v>0.002639</v>
      </c>
      <c r="I153" s="181" t="inlineStr"/>
    </row>
    <row r="154" ht="15" customHeight="1" s="28">
      <c r="A154" s="182" t="n">
        <v>144</v>
      </c>
      <c r="B154" s="182" t="n">
        <v>143</v>
      </c>
      <c r="C154" s="182" t="n">
        <v>4789.02</v>
      </c>
      <c r="D154" s="182" t="n">
        <v>4779.1027</v>
      </c>
      <c r="E154" s="182" t="n">
        <v>9.917299999999999</v>
      </c>
      <c r="F154" s="182" t="n">
        <v>98.352</v>
      </c>
      <c r="G154" s="182" t="n">
        <v>0.022438</v>
      </c>
      <c r="H154" s="182" t="n">
        <v>0.006329</v>
      </c>
      <c r="I154" s="182" t="inlineStr"/>
    </row>
    <row r="155" ht="15" customHeight="1" s="28">
      <c r="A155" s="181" t="n">
        <v>145</v>
      </c>
      <c r="B155" s="181" t="n">
        <v>144</v>
      </c>
      <c r="C155" s="181" t="n">
        <v>4786.62</v>
      </c>
      <c r="D155" s="181" t="n">
        <v>4778.8351</v>
      </c>
      <c r="E155" s="181" t="n">
        <v>7.7849</v>
      </c>
      <c r="F155" s="181" t="n">
        <v>60.604</v>
      </c>
      <c r="G155" s="181" t="n">
        <v>0.010853</v>
      </c>
      <c r="H155" s="181" t="n">
        <v>0.002403</v>
      </c>
      <c r="I155" s="181" t="inlineStr"/>
    </row>
    <row r="156" ht="15" customHeight="1" s="28">
      <c r="A156" s="182" t="n">
        <v>146</v>
      </c>
      <c r="B156" s="182" t="n">
        <v>145</v>
      </c>
      <c r="C156" s="182" t="n">
        <v>4788.05</v>
      </c>
      <c r="D156" s="182" t="n">
        <v>4778.5675</v>
      </c>
      <c r="E156" s="182" t="n">
        <v>9.4825</v>
      </c>
      <c r="F156" s="182" t="n">
        <v>89.91719999999999</v>
      </c>
      <c r="G156" s="182" t="n">
        <v>0.019615</v>
      </c>
      <c r="H156" s="182" t="n">
        <v>0.00529</v>
      </c>
      <c r="I156" s="182" t="inlineStr"/>
    </row>
    <row r="157" ht="15" customHeight="1" s="28">
      <c r="A157" s="181" t="n">
        <v>147</v>
      </c>
      <c r="B157" s="181" t="n">
        <v>146</v>
      </c>
      <c r="C157" s="181" t="n">
        <v>4780.97</v>
      </c>
      <c r="D157" s="181" t="n">
        <v>4778.2999</v>
      </c>
      <c r="E157" s="181" t="n">
        <v>2.6701</v>
      </c>
      <c r="F157" s="181" t="n">
        <v>7.1293</v>
      </c>
      <c r="G157" s="181" t="n">
        <v>0.000438</v>
      </c>
      <c r="H157" s="181" t="n">
        <v>3.3e-05</v>
      </c>
      <c r="I157" s="181" t="inlineStr"/>
    </row>
    <row r="158" ht="15" customHeight="1" s="28">
      <c r="A158" s="182" t="n">
        <v>148</v>
      </c>
      <c r="B158" s="182" t="n">
        <v>147</v>
      </c>
      <c r="C158" s="182" t="n">
        <v>4790.87</v>
      </c>
      <c r="D158" s="182" t="n">
        <v>4778.0323</v>
      </c>
      <c r="E158" s="182" t="n">
        <v>12.8377</v>
      </c>
      <c r="F158" s="182" t="n">
        <v>164.8058</v>
      </c>
      <c r="G158" s="182" t="n">
        <v>0.048671</v>
      </c>
      <c r="H158" s="182" t="n">
        <v>0.01777</v>
      </c>
      <c r="I158" s="182" t="inlineStr"/>
    </row>
    <row r="159" ht="15" customHeight="1" s="28">
      <c r="A159" s="181" t="n">
        <v>149</v>
      </c>
      <c r="B159" s="181" t="n">
        <v>148</v>
      </c>
      <c r="C159" s="181" t="n">
        <v>4790.56</v>
      </c>
      <c r="D159" s="181" t="n">
        <v>4777.7647</v>
      </c>
      <c r="E159" s="181" t="n">
        <v>12.7953</v>
      </c>
      <c r="F159" s="181" t="n">
        <v>163.7192</v>
      </c>
      <c r="G159" s="181" t="n">
        <v>0.048191</v>
      </c>
      <c r="H159" s="181" t="n">
        <v>0.017537</v>
      </c>
      <c r="I159" s="181" t="inlineStr"/>
    </row>
    <row r="160" ht="15" customHeight="1" s="28">
      <c r="A160" s="182" t="n">
        <v>150</v>
      </c>
      <c r="B160" s="182" t="n">
        <v>149</v>
      </c>
      <c r="C160" s="182" t="n">
        <v>4786.12</v>
      </c>
      <c r="D160" s="182" t="n">
        <v>4777.4971</v>
      </c>
      <c r="E160" s="182" t="n">
        <v>8.6229</v>
      </c>
      <c r="F160" s="182" t="n">
        <v>74.3541</v>
      </c>
      <c r="G160" s="182" t="n">
        <v>0.014749</v>
      </c>
      <c r="H160" s="182" t="n">
        <v>0.003617</v>
      </c>
      <c r="I160" s="182" t="inlineStr"/>
    </row>
    <row r="161" ht="15" customHeight="1" s="28">
      <c r="A161" s="181" t="n">
        <v>151</v>
      </c>
      <c r="B161" s="181" t="n">
        <v>150</v>
      </c>
      <c r="C161" s="181" t="n">
        <v>4790.24</v>
      </c>
      <c r="D161" s="181" t="n">
        <v>4777.2295</v>
      </c>
      <c r="E161" s="181" t="n">
        <v>13.0105</v>
      </c>
      <c r="F161" s="181" t="n">
        <v>169.2729</v>
      </c>
      <c r="G161" s="181" t="n">
        <v>0.050664</v>
      </c>
      <c r="H161" s="181" t="n">
        <v>0.018747</v>
      </c>
      <c r="I161" s="181" t="inlineStr"/>
    </row>
    <row r="162" ht="15" customHeight="1" s="28">
      <c r="A162" s="182" t="n">
        <v>152</v>
      </c>
      <c r="B162" s="182" t="n">
        <v>151</v>
      </c>
      <c r="C162" s="182" t="n">
        <v>4795.46</v>
      </c>
      <c r="D162" s="182" t="n">
        <v>4776.9619</v>
      </c>
      <c r="E162" s="182" t="n">
        <v>18.4981</v>
      </c>
      <c r="F162" s="182" t="n">
        <v>342.1793</v>
      </c>
      <c r="G162" s="182" t="n">
        <v>0.145612</v>
      </c>
      <c r="H162" s="182" t="n">
        <v>0.07660599999999999</v>
      </c>
      <c r="I162" s="182" t="inlineStr"/>
    </row>
    <row r="163" ht="15" customHeight="1" s="28">
      <c r="A163" s="181" t="n">
        <v>153</v>
      </c>
      <c r="B163" s="181" t="n">
        <v>152</v>
      </c>
      <c r="C163" s="181" t="n">
        <v>4797.47</v>
      </c>
      <c r="D163" s="181" t="n">
        <v>4776.6943</v>
      </c>
      <c r="E163" s="181" t="n">
        <v>20.7757</v>
      </c>
      <c r="F163" s="181" t="n">
        <v>431.6293</v>
      </c>
      <c r="G163" s="181" t="n">
        <v>0.206292</v>
      </c>
      <c r="H163" s="181" t="n">
        <v>0.121892</v>
      </c>
      <c r="I163" s="181" t="inlineStr"/>
    </row>
    <row r="164" ht="15" customHeight="1" s="28">
      <c r="A164" s="182" t="n">
        <v>154</v>
      </c>
      <c r="B164" s="182" t="n">
        <v>153</v>
      </c>
      <c r="C164" s="182" t="n">
        <v>4797.92</v>
      </c>
      <c r="D164" s="182" t="n">
        <v>4776.4267</v>
      </c>
      <c r="E164" s="182" t="n">
        <v>21.4933</v>
      </c>
      <c r="F164" s="182" t="n">
        <v>461.9619</v>
      </c>
      <c r="G164" s="182" t="n">
        <v>0.228415</v>
      </c>
      <c r="H164" s="182" t="n">
        <v>0.139626</v>
      </c>
      <c r="I164" s="182" t="inlineStr"/>
    </row>
    <row r="165" ht="15" customHeight="1" s="28">
      <c r="A165" s="181" t="n">
        <v>155</v>
      </c>
      <c r="B165" s="181" t="n">
        <v>154</v>
      </c>
      <c r="C165" s="181" t="n">
        <v>4797.69</v>
      </c>
      <c r="D165" s="181" t="n">
        <v>4776.1591</v>
      </c>
      <c r="E165" s="181" t="n">
        <v>21.5309</v>
      </c>
      <c r="F165" s="181" t="n">
        <v>463.5797</v>
      </c>
      <c r="G165" s="181" t="n">
        <v>0.229616</v>
      </c>
      <c r="H165" s="181" t="n">
        <v>0.140606</v>
      </c>
      <c r="I165" s="181" t="inlineStr"/>
    </row>
    <row r="166" ht="15" customHeight="1" s="28">
      <c r="A166" s="182" t="n">
        <v>156</v>
      </c>
      <c r="B166" s="182" t="n">
        <v>155</v>
      </c>
      <c r="C166" s="182" t="n">
        <v>4789.7</v>
      </c>
      <c r="D166" s="182" t="n">
        <v>4775.8915</v>
      </c>
      <c r="E166" s="182" t="n">
        <v>13.8085</v>
      </c>
      <c r="F166" s="182" t="n">
        <v>190.6749</v>
      </c>
      <c r="G166" s="182" t="n">
        <v>0.06057</v>
      </c>
      <c r="H166" s="182" t="n">
        <v>0.023787</v>
      </c>
      <c r="I166" s="182" t="inlineStr"/>
    </row>
    <row r="167" ht="15" customHeight="1" s="28">
      <c r="A167" s="181" t="n">
        <v>157</v>
      </c>
      <c r="B167" s="181" t="n">
        <v>156</v>
      </c>
      <c r="C167" s="181" t="n">
        <v>4789.48</v>
      </c>
      <c r="D167" s="181" t="n">
        <v>4775.6239</v>
      </c>
      <c r="E167" s="181" t="n">
        <v>13.8561</v>
      </c>
      <c r="F167" s="181" t="n">
        <v>191.9918</v>
      </c>
      <c r="G167" s="181" t="n">
        <v>0.061198</v>
      </c>
      <c r="H167" s="181" t="n">
        <v>0.024117</v>
      </c>
      <c r="I167" s="181" t="inlineStr"/>
    </row>
    <row r="168" ht="15" customHeight="1" s="28">
      <c r="A168" s="182" t="n">
        <v>158</v>
      </c>
      <c r="B168" s="182" t="n">
        <v>157</v>
      </c>
      <c r="C168" s="182" t="n">
        <v>4792.11</v>
      </c>
      <c r="D168" s="182" t="n">
        <v>4775.3563</v>
      </c>
      <c r="E168" s="182" t="n">
        <v>16.7537</v>
      </c>
      <c r="F168" s="182" t="n">
        <v>280.6871</v>
      </c>
      <c r="G168" s="182" t="n">
        <v>0.108181</v>
      </c>
      <c r="H168" s="182" t="n">
        <v>0.051546</v>
      </c>
      <c r="I168" s="182" t="inlineStr"/>
    </row>
    <row r="169" ht="15" customHeight="1" s="28">
      <c r="A169" s="181" t="n">
        <v>159</v>
      </c>
      <c r="B169" s="181" t="n">
        <v>158</v>
      </c>
      <c r="C169" s="181" t="n">
        <v>4792.48</v>
      </c>
      <c r="D169" s="181" t="n">
        <v>4775.0887</v>
      </c>
      <c r="E169" s="181" t="n">
        <v>17.3913</v>
      </c>
      <c r="F169" s="181" t="n">
        <v>302.458</v>
      </c>
      <c r="G169" s="181" t="n">
        <v>0.121008</v>
      </c>
      <c r="H169" s="181" t="n">
        <v>0.059853</v>
      </c>
      <c r="I169" s="181" t="inlineStr"/>
    </row>
    <row r="170" ht="15" customHeight="1" s="28">
      <c r="A170" s="182" t="n">
        <v>160</v>
      </c>
      <c r="B170" s="182" t="n">
        <v>159</v>
      </c>
      <c r="C170" s="182" t="n">
        <v>4796.19</v>
      </c>
      <c r="D170" s="182" t="n">
        <v>4774.8211</v>
      </c>
      <c r="E170" s="182" t="n">
        <v>21.3689</v>
      </c>
      <c r="F170" s="182" t="n">
        <v>456.6307</v>
      </c>
      <c r="G170" s="182" t="n">
        <v>0.224473</v>
      </c>
      <c r="H170" s="182" t="n">
        <v>0.136422</v>
      </c>
      <c r="I170" s="182" t="inlineStr"/>
    </row>
    <row r="171" ht="15" customHeight="1" s="28">
      <c r="A171" s="181" t="n">
        <v>161</v>
      </c>
      <c r="B171" s="181" t="n">
        <v>160</v>
      </c>
      <c r="C171" s="181" t="n">
        <v>4796.07</v>
      </c>
      <c r="D171" s="181" t="n">
        <v>4774.5535</v>
      </c>
      <c r="E171" s="181" t="n">
        <v>21.5165</v>
      </c>
      <c r="F171" s="181" t="n">
        <v>462.9611</v>
      </c>
      <c r="G171" s="181" t="n">
        <v>0.229157</v>
      </c>
      <c r="H171" s="181" t="n">
        <v>0.140231</v>
      </c>
      <c r="I171" s="181" t="inlineStr"/>
    </row>
    <row r="172" ht="15" customHeight="1" s="28">
      <c r="A172" s="182" t="n">
        <v>162</v>
      </c>
      <c r="B172" s="182" t="n">
        <v>161</v>
      </c>
      <c r="C172" s="182" t="n">
        <v>4792.33</v>
      </c>
      <c r="D172" s="182" t="n">
        <v>4774.2859</v>
      </c>
      <c r="E172" s="182" t="n">
        <v>18.0441</v>
      </c>
      <c r="F172" s="182" t="n">
        <v>325.5906</v>
      </c>
      <c r="G172" s="182" t="n">
        <v>0.135152</v>
      </c>
      <c r="H172" s="182" t="n">
        <v>0.069358</v>
      </c>
      <c r="I172" s="182" t="inlineStr"/>
    </row>
    <row r="173" ht="15" customHeight="1" s="28">
      <c r="A173" s="181" t="n">
        <v>163</v>
      </c>
      <c r="B173" s="181" t="n">
        <v>162</v>
      </c>
      <c r="C173" s="181" t="n">
        <v>4791.96</v>
      </c>
      <c r="D173" s="181" t="n">
        <v>4774.0183</v>
      </c>
      <c r="E173" s="181" t="n">
        <v>17.9417</v>
      </c>
      <c r="F173" s="181" t="n">
        <v>321.906</v>
      </c>
      <c r="G173" s="181" t="n">
        <v>0.132865</v>
      </c>
      <c r="H173" s="181" t="n">
        <v>0.067797</v>
      </c>
      <c r="I173" s="181" t="inlineStr"/>
    </row>
    <row r="174" ht="15" customHeight="1" s="28">
      <c r="A174" s="182" t="n">
        <v>164</v>
      </c>
      <c r="B174" s="182" t="n">
        <v>163</v>
      </c>
      <c r="C174" s="182" t="n">
        <v>4791.6</v>
      </c>
      <c r="D174" s="182" t="n">
        <v>4773.7507</v>
      </c>
      <c r="E174" s="182" t="n">
        <v>17.8493</v>
      </c>
      <c r="F174" s="182" t="n">
        <v>318.5989</v>
      </c>
      <c r="G174" s="182" t="n">
        <v>0.130822</v>
      </c>
      <c r="H174" s="182" t="n">
        <v>0.066411</v>
      </c>
      <c r="I174" s="182" t="inlineStr"/>
    </row>
    <row r="175" ht="15" customHeight="1" s="28">
      <c r="A175" s="181" t="n">
        <v>165</v>
      </c>
      <c r="B175" s="181" t="n">
        <v>164</v>
      </c>
      <c r="C175" s="181" t="n">
        <v>4795.76</v>
      </c>
      <c r="D175" s="181" t="n">
        <v>4773.4831</v>
      </c>
      <c r="E175" s="181" t="n">
        <v>22.2769</v>
      </c>
      <c r="F175" s="181" t="n">
        <v>496.2621</v>
      </c>
      <c r="G175" s="181" t="n">
        <v>0.254321</v>
      </c>
      <c r="H175" s="181" t="n">
        <v>0.16113</v>
      </c>
      <c r="I175" s="181" t="inlineStr"/>
    </row>
    <row r="176" ht="15" customHeight="1" s="28">
      <c r="A176" s="182" t="n">
        <v>166</v>
      </c>
      <c r="B176" s="182" t="n">
        <v>165</v>
      </c>
      <c r="C176" s="182" t="n">
        <v>4798.24</v>
      </c>
      <c r="D176" s="182" t="n">
        <v>4773.2154</v>
      </c>
      <c r="E176" s="182" t="n">
        <v>25.0246</v>
      </c>
      <c r="F176" s="182" t="n">
        <v>626.2281</v>
      </c>
      <c r="G176" s="182" t="n">
        <v>0.360508</v>
      </c>
      <c r="H176" s="182" t="n">
        <v>0.256578</v>
      </c>
      <c r="I176" s="182" t="inlineStr"/>
    </row>
    <row r="177" ht="15" customHeight="1" s="28">
      <c r="A177" s="181" t="n">
        <v>167</v>
      </c>
      <c r="B177" s="181" t="n">
        <v>166</v>
      </c>
      <c r="C177" s="181" t="n">
        <v>4795.08</v>
      </c>
      <c r="D177" s="181" t="n">
        <v>4772.9478</v>
      </c>
      <c r="E177" s="181" t="n">
        <v>22.1322</v>
      </c>
      <c r="F177" s="181" t="n">
        <v>489.8321</v>
      </c>
      <c r="G177" s="181" t="n">
        <v>0.249394</v>
      </c>
      <c r="H177" s="181" t="n">
        <v>0.156982</v>
      </c>
      <c r="I177" s="181" t="inlineStr"/>
    </row>
    <row r="178" ht="15" customHeight="1" s="28">
      <c r="A178" s="182" t="n">
        <v>168</v>
      </c>
      <c r="B178" s="182" t="n">
        <v>167</v>
      </c>
      <c r="C178" s="182" t="n">
        <v>4795.91</v>
      </c>
      <c r="D178" s="182" t="n">
        <v>4772.6802</v>
      </c>
      <c r="E178" s="182" t="n">
        <v>23.2298</v>
      </c>
      <c r="F178" s="182" t="n">
        <v>539.6217</v>
      </c>
      <c r="G178" s="182" t="n">
        <v>0.28837</v>
      </c>
      <c r="H178" s="182" t="n">
        <v>0.190517</v>
      </c>
      <c r="I178" s="182" t="inlineStr"/>
    </row>
    <row r="179" ht="15" customHeight="1" s="28">
      <c r="A179" s="181" t="n">
        <v>169</v>
      </c>
      <c r="B179" s="181" t="n">
        <v>168</v>
      </c>
      <c r="C179" s="181" t="n">
        <v>4789.77</v>
      </c>
      <c r="D179" s="181" t="n">
        <v>4772.4126</v>
      </c>
      <c r="E179" s="181" t="n">
        <v>17.3574</v>
      </c>
      <c r="F179" s="181" t="n">
        <v>301.2779</v>
      </c>
      <c r="G179" s="181" t="n">
        <v>0.1203</v>
      </c>
      <c r="H179" s="181" t="n">
        <v>0.059387</v>
      </c>
      <c r="I179" s="181" t="inlineStr"/>
    </row>
    <row r="180" ht="15" customHeight="1" s="28">
      <c r="A180" s="182" t="n">
        <v>170</v>
      </c>
      <c r="B180" s="182" t="n">
        <v>169</v>
      </c>
      <c r="C180" s="182" t="n">
        <v>4788.34</v>
      </c>
      <c r="D180" s="182" t="n">
        <v>4772.145</v>
      </c>
      <c r="E180" s="182" t="n">
        <v>16.195</v>
      </c>
      <c r="F180" s="182" t="n">
        <v>262.2767</v>
      </c>
      <c r="G180" s="182" t="n">
        <v>0.097714</v>
      </c>
      <c r="H180" s="182" t="n">
        <v>0.045006</v>
      </c>
      <c r="I180" s="182" t="inlineStr"/>
    </row>
    <row r="181" ht="15" customHeight="1" s="28">
      <c r="A181" s="181" t="n">
        <v>171</v>
      </c>
      <c r="B181" s="181" t="n">
        <v>170</v>
      </c>
      <c r="C181" s="181" t="n">
        <v>4794.36</v>
      </c>
      <c r="D181" s="181" t="n">
        <v>4771.8774</v>
      </c>
      <c r="E181" s="181" t="n">
        <v>22.4826</v>
      </c>
      <c r="F181" s="181" t="n">
        <v>505.466</v>
      </c>
      <c r="G181" s="181" t="n">
        <v>0.261429</v>
      </c>
      <c r="H181" s="181" t="n">
        <v>0.167162</v>
      </c>
      <c r="I181" s="181" t="inlineStr"/>
    </row>
    <row r="182" ht="15" customHeight="1" s="28">
      <c r="A182" s="182" t="n">
        <v>172</v>
      </c>
      <c r="B182" s="182" t="n">
        <v>171</v>
      </c>
      <c r="C182" s="182" t="n">
        <v>4810.44</v>
      </c>
      <c r="D182" s="182" t="n">
        <v>4771.6098</v>
      </c>
      <c r="E182" s="182" t="n">
        <v>38.8302</v>
      </c>
      <c r="F182" s="182" t="n">
        <v>1507.7821</v>
      </c>
      <c r="G182" s="182" t="n">
        <v>1.346863</v>
      </c>
      <c r="H182" s="182" t="n">
        <v>1.487412</v>
      </c>
      <c r="I182" s="182" t="inlineStr"/>
    </row>
    <row r="183" ht="15" customHeight="1" s="28">
      <c r="A183" s="181" t="n">
        <v>173</v>
      </c>
      <c r="B183" s="181" t="n">
        <v>172</v>
      </c>
      <c r="C183" s="181" t="n">
        <v>4811.06</v>
      </c>
      <c r="D183" s="181" t="n">
        <v>4771.3422</v>
      </c>
      <c r="E183" s="181" t="n">
        <v>39.7178</v>
      </c>
      <c r="F183" s="181" t="n">
        <v>1577.502</v>
      </c>
      <c r="G183" s="181" t="n">
        <v>1.441353</v>
      </c>
      <c r="H183" s="181" t="n">
        <v>1.628148</v>
      </c>
      <c r="I183" s="181" t="inlineStr"/>
    </row>
    <row r="184" ht="15" customHeight="1" s="28">
      <c r="A184" s="182" t="n">
        <v>174</v>
      </c>
      <c r="B184" s="182" t="n">
        <v>173</v>
      </c>
      <c r="C184" s="182" t="n">
        <v>4805.51</v>
      </c>
      <c r="D184" s="182" t="n">
        <v>4771.0746</v>
      </c>
      <c r="E184" s="182" t="n">
        <v>34.4354</v>
      </c>
      <c r="F184" s="182" t="n">
        <v>1185.7954</v>
      </c>
      <c r="G184" s="182" t="n">
        <v>0.939356</v>
      </c>
      <c r="H184" s="182" t="n">
        <v>0.91997</v>
      </c>
      <c r="I184" s="182" t="inlineStr"/>
    </row>
    <row r="185" ht="15" customHeight="1" s="28">
      <c r="A185" s="181" t="n">
        <v>175</v>
      </c>
      <c r="B185" s="181" t="n">
        <v>174</v>
      </c>
      <c r="C185" s="181" t="n">
        <v>4806.11</v>
      </c>
      <c r="D185" s="181" t="n">
        <v>4770.807</v>
      </c>
      <c r="E185" s="181" t="n">
        <v>35.303</v>
      </c>
      <c r="F185" s="181" t="n">
        <v>1246.3004</v>
      </c>
      <c r="G185" s="181" t="n">
        <v>1.012161</v>
      </c>
      <c r="H185" s="181" t="n">
        <v>1.016248</v>
      </c>
      <c r="I185" s="181" t="inlineStr"/>
    </row>
    <row r="186" ht="15" customHeight="1" s="28">
      <c r="A186" s="182" t="n">
        <v>176</v>
      </c>
      <c r="B186" s="182" t="n">
        <v>175</v>
      </c>
      <c r="C186" s="182" t="n">
        <v>4803.49</v>
      </c>
      <c r="D186" s="182" t="n">
        <v>4770.5394</v>
      </c>
      <c r="E186" s="182" t="n">
        <v>32.9506</v>
      </c>
      <c r="F186" s="182" t="n">
        <v>1085.7414</v>
      </c>
      <c r="G186" s="182" t="n">
        <v>0.82301</v>
      </c>
      <c r="H186" s="182" t="n">
        <v>0.771271</v>
      </c>
      <c r="I186" s="182" t="inlineStr"/>
    </row>
    <row r="187" ht="15" customHeight="1" s="28">
      <c r="A187" s="181" t="n">
        <v>177</v>
      </c>
      <c r="B187" s="181" t="n">
        <v>176</v>
      </c>
      <c r="C187" s="181" t="n">
        <v>4815.51</v>
      </c>
      <c r="D187" s="181" t="n">
        <v>4770.2718</v>
      </c>
      <c r="E187" s="181" t="n">
        <v>45.2382</v>
      </c>
      <c r="F187" s="181" t="n">
        <v>2046.4938</v>
      </c>
      <c r="G187" s="181" t="n">
        <v>2.129763</v>
      </c>
      <c r="H187" s="181" t="n">
        <v>2.740154</v>
      </c>
      <c r="I187" s="181" t="inlineStr"/>
    </row>
    <row r="188" ht="15" customHeight="1" s="28">
      <c r="A188" s="182" t="n">
        <v>178</v>
      </c>
      <c r="B188" s="182" t="n">
        <v>177</v>
      </c>
      <c r="C188" s="182" t="n">
        <v>4824.19</v>
      </c>
      <c r="D188" s="182" t="n">
        <v>4770.0042</v>
      </c>
      <c r="E188" s="182" t="n">
        <v>54.1858</v>
      </c>
      <c r="F188" s="182" t="n">
        <v>2936.1009</v>
      </c>
      <c r="G188" s="182" t="n">
        <v>3.659924</v>
      </c>
      <c r="H188" s="182" t="n">
        <v>5.64022</v>
      </c>
      <c r="I188" s="182" t="inlineStr"/>
    </row>
    <row r="189" ht="15" customHeight="1" s="28">
      <c r="A189" s="181" t="n">
        <v>179</v>
      </c>
      <c r="B189" s="181" t="n">
        <v>178</v>
      </c>
      <c r="C189" s="181" t="n">
        <v>4822.18</v>
      </c>
      <c r="D189" s="181" t="n">
        <v>4769.7366</v>
      </c>
      <c r="E189" s="181" t="n">
        <v>52.4434</v>
      </c>
      <c r="F189" s="181" t="n">
        <v>2750.3102</v>
      </c>
      <c r="G189" s="181" t="n">
        <v>3.31809</v>
      </c>
      <c r="H189" s="181" t="n">
        <v>4.949</v>
      </c>
      <c r="I189" s="181" t="inlineStr"/>
    </row>
    <row r="190" ht="15" customHeight="1" s="28">
      <c r="A190" s="182" t="n">
        <v>180</v>
      </c>
      <c r="B190" s="182" t="n">
        <v>179</v>
      </c>
      <c r="C190" s="182" t="n">
        <v>4817.9</v>
      </c>
      <c r="D190" s="182" t="n">
        <v>4769.469</v>
      </c>
      <c r="E190" s="182" t="n">
        <v>48.431</v>
      </c>
      <c r="F190" s="182" t="n">
        <v>2345.5627</v>
      </c>
      <c r="G190" s="182" t="n">
        <v>2.613281</v>
      </c>
      <c r="H190" s="182" t="n">
        <v>3.59955</v>
      </c>
      <c r="I190" s="182" t="inlineStr"/>
    </row>
    <row r="191" ht="15" customHeight="1" s="28">
      <c r="A191" s="181" t="n">
        <v>181</v>
      </c>
      <c r="B191" s="181" t="n">
        <v>180</v>
      </c>
      <c r="C191" s="181" t="n">
        <v>4816.39</v>
      </c>
      <c r="D191" s="181" t="n">
        <v>4769.2014</v>
      </c>
      <c r="E191" s="181" t="n">
        <v>47.1886</v>
      </c>
      <c r="F191" s="181" t="n">
        <v>2226.7649</v>
      </c>
      <c r="G191" s="181" t="n">
        <v>2.417281</v>
      </c>
      <c r="H191" s="181" t="n">
        <v>3.244164</v>
      </c>
      <c r="I191" s="181" t="inlineStr"/>
    </row>
    <row r="192" ht="15" customHeight="1" s="28">
      <c r="A192" s="182" t="n">
        <v>182</v>
      </c>
      <c r="B192" s="182" t="n">
        <v>181</v>
      </c>
      <c r="C192" s="182" t="n">
        <v>4823.4</v>
      </c>
      <c r="D192" s="182" t="n">
        <v>4768.9338</v>
      </c>
      <c r="E192" s="182" t="n">
        <v>54.4662</v>
      </c>
      <c r="F192" s="182" t="n">
        <v>2966.568</v>
      </c>
      <c r="G192" s="182" t="n">
        <v>3.717038</v>
      </c>
      <c r="H192" s="182" t="n">
        <v>5.757882</v>
      </c>
      <c r="I192" s="182" t="inlineStr"/>
    </row>
    <row r="193" ht="15" customHeight="1" s="28">
      <c r="A193" s="181" t="n">
        <v>183</v>
      </c>
      <c r="B193" s="181" t="n">
        <v>182</v>
      </c>
      <c r="C193" s="181" t="n">
        <v>4814.18</v>
      </c>
      <c r="D193" s="181" t="n">
        <v>4768.6662</v>
      </c>
      <c r="E193" s="181" t="n">
        <v>45.5138</v>
      </c>
      <c r="F193" s="181" t="n">
        <v>2071.5078</v>
      </c>
      <c r="G193" s="181" t="n">
        <v>2.16893</v>
      </c>
      <c r="H193" s="181" t="n">
        <v>2.807548</v>
      </c>
      <c r="I193" s="181" t="inlineStr"/>
    </row>
    <row r="194" ht="15" customHeight="1" s="28">
      <c r="A194" s="182" t="n">
        <v>184</v>
      </c>
      <c r="B194" s="182" t="n">
        <v>183</v>
      </c>
      <c r="C194" s="182" t="n">
        <v>4805.31</v>
      </c>
      <c r="D194" s="182" t="n">
        <v>4768.3986</v>
      </c>
      <c r="E194" s="182" t="n">
        <v>36.9114</v>
      </c>
      <c r="F194" s="182" t="n">
        <v>1362.4529</v>
      </c>
      <c r="G194" s="182" t="n">
        <v>1.156905</v>
      </c>
      <c r="H194" s="182" t="n">
        <v>1.214499</v>
      </c>
      <c r="I194" s="182" t="inlineStr"/>
    </row>
    <row r="195" ht="15" customHeight="1" s="28">
      <c r="A195" s="181" t="n">
        <v>185</v>
      </c>
      <c r="B195" s="181" t="n">
        <v>184</v>
      </c>
      <c r="C195" s="181" t="n">
        <v>4798.2</v>
      </c>
      <c r="D195" s="181" t="n">
        <v>4768.131</v>
      </c>
      <c r="E195" s="181" t="n">
        <v>30.069</v>
      </c>
      <c r="F195" s="181" t="n">
        <v>904.1466</v>
      </c>
      <c r="G195" s="181" t="n">
        <v>0.625423</v>
      </c>
      <c r="H195" s="181" t="n">
        <v>0.53485</v>
      </c>
      <c r="I195" s="181" t="inlineStr"/>
    </row>
    <row r="196" ht="15" customHeight="1" s="28">
      <c r="A196" s="182" t="n">
        <v>186</v>
      </c>
      <c r="B196" s="182" t="n">
        <v>185</v>
      </c>
      <c r="C196" s="182" t="n">
        <v>4808.64</v>
      </c>
      <c r="D196" s="182" t="n">
        <v>4767.8634</v>
      </c>
      <c r="E196" s="182" t="n">
        <v>40.7766</v>
      </c>
      <c r="F196" s="182" t="n">
        <v>1662.7336</v>
      </c>
      <c r="G196" s="182" t="n">
        <v>1.559731</v>
      </c>
      <c r="H196" s="182" t="n">
        <v>1.808837</v>
      </c>
      <c r="I196" s="182" t="inlineStr"/>
    </row>
    <row r="197" ht="15" customHeight="1" s="28">
      <c r="A197" s="181" t="n">
        <v>187</v>
      </c>
      <c r="B197" s="181" t="n">
        <v>186</v>
      </c>
      <c r="C197" s="181" t="n">
        <v>4800.36</v>
      </c>
      <c r="D197" s="181" t="n">
        <v>4767.5958</v>
      </c>
      <c r="E197" s="181" t="n">
        <v>32.7642</v>
      </c>
      <c r="F197" s="181" t="n">
        <v>1073.4948</v>
      </c>
      <c r="G197" s="181" t="n">
        <v>0.809125</v>
      </c>
      <c r="H197" s="181" t="n">
        <v>0.75397</v>
      </c>
      <c r="I197" s="181" t="inlineStr"/>
    </row>
    <row r="198" ht="15" customHeight="1" s="28">
      <c r="A198" s="182" t="n">
        <v>188</v>
      </c>
      <c r="B198" s="182" t="n">
        <v>187</v>
      </c>
      <c r="C198" s="182" t="n">
        <v>4799.8</v>
      </c>
      <c r="D198" s="182" t="n">
        <v>4767.3282</v>
      </c>
      <c r="E198" s="182" t="n">
        <v>32.4718</v>
      </c>
      <c r="F198" s="182" t="n">
        <v>1054.4204</v>
      </c>
      <c r="G198" s="182" t="n">
        <v>0.787655</v>
      </c>
      <c r="H198" s="182" t="n">
        <v>0.727414</v>
      </c>
      <c r="I198" s="182" t="inlineStr"/>
    </row>
    <row r="199" ht="15" customHeight="1" s="28">
      <c r="A199" s="181" t="n">
        <v>189</v>
      </c>
      <c r="B199" s="181" t="n">
        <v>188</v>
      </c>
      <c r="C199" s="181" t="n">
        <v>4798.42</v>
      </c>
      <c r="D199" s="181" t="n">
        <v>4767.0606</v>
      </c>
      <c r="E199" s="181" t="n">
        <v>31.3594</v>
      </c>
      <c r="F199" s="181" t="n">
        <v>983.4145</v>
      </c>
      <c r="G199" s="181" t="n">
        <v>0.709448</v>
      </c>
      <c r="H199" s="181" t="n">
        <v>0.6327430000000001</v>
      </c>
      <c r="I199" s="181" t="inlineStr"/>
    </row>
    <row r="200" ht="15" customHeight="1" s="28">
      <c r="A200" s="182" t="n">
        <v>190</v>
      </c>
      <c r="B200" s="182" t="n">
        <v>189</v>
      </c>
      <c r="C200" s="182" t="n">
        <v>4801.22</v>
      </c>
      <c r="D200" s="182" t="n">
        <v>4766.793</v>
      </c>
      <c r="E200" s="182" t="n">
        <v>34.4271</v>
      </c>
      <c r="F200" s="182" t="n">
        <v>1185.2218</v>
      </c>
      <c r="G200" s="182" t="n">
        <v>0.938674</v>
      </c>
      <c r="H200" s="182" t="n">
        <v>0.91908</v>
      </c>
      <c r="I200" s="182" t="inlineStr"/>
    </row>
    <row r="201" ht="15" customHeight="1" s="28">
      <c r="A201" s="181" t="n">
        <v>191</v>
      </c>
      <c r="B201" s="181" t="n">
        <v>190</v>
      </c>
      <c r="C201" s="181" t="n">
        <v>4801.79</v>
      </c>
      <c r="D201" s="181" t="n">
        <v>4766.5253</v>
      </c>
      <c r="E201" s="181" t="n">
        <v>35.2647</v>
      </c>
      <c r="F201" s="181" t="n">
        <v>1243.5955</v>
      </c>
      <c r="G201" s="181" t="n">
        <v>1.008868</v>
      </c>
      <c r="H201" s="181" t="n">
        <v>1.011841</v>
      </c>
      <c r="I201" s="181" t="inlineStr"/>
    </row>
    <row r="202" ht="15" customHeight="1" s="28">
      <c r="A202" s="182" t="n">
        <v>192</v>
      </c>
      <c r="B202" s="182" t="n">
        <v>191</v>
      </c>
      <c r="C202" s="182" t="n">
        <v>4805.59</v>
      </c>
      <c r="D202" s="182" t="n">
        <v>4766.2577</v>
      </c>
      <c r="E202" s="182" t="n">
        <v>39.3323</v>
      </c>
      <c r="F202" s="182" t="n">
        <v>1547.0259</v>
      </c>
      <c r="G202" s="182" t="n">
        <v>1.399787</v>
      </c>
      <c r="H202" s="182" t="n">
        <v>1.565847</v>
      </c>
      <c r="I202" s="182" t="inlineStr"/>
    </row>
    <row r="203" ht="15" customHeight="1" s="28">
      <c r="A203" s="181" t="n">
        <v>193</v>
      </c>
      <c r="B203" s="181" t="n">
        <v>192</v>
      </c>
      <c r="C203" s="181" t="n">
        <v>4808.86</v>
      </c>
      <c r="D203" s="181" t="n">
        <v>4765.9901</v>
      </c>
      <c r="E203" s="181" t="n">
        <v>42.8699</v>
      </c>
      <c r="F203" s="181" t="n">
        <v>1837.8249</v>
      </c>
      <c r="G203" s="181" t="n">
        <v>1.812474</v>
      </c>
      <c r="H203" s="181" t="n">
        <v>2.209848</v>
      </c>
      <c r="I203" s="181" t="inlineStr"/>
    </row>
    <row r="204" ht="15" customHeight="1" s="28">
      <c r="A204" s="182" t="n">
        <v>194</v>
      </c>
      <c r="B204" s="182" t="n">
        <v>193</v>
      </c>
      <c r="C204" s="182" t="n">
        <v>4810.07</v>
      </c>
      <c r="D204" s="182" t="n">
        <v>4765.7225</v>
      </c>
      <c r="E204" s="182" t="n">
        <v>44.3475</v>
      </c>
      <c r="F204" s="182" t="n">
        <v>1966.6972</v>
      </c>
      <c r="G204" s="182" t="n">
        <v>2.00642</v>
      </c>
      <c r="H204" s="182" t="n">
        <v>2.530633</v>
      </c>
      <c r="I204" s="182" t="inlineStr"/>
    </row>
    <row r="205" ht="15" customHeight="1" s="28">
      <c r="A205" s="181" t="n">
        <v>195</v>
      </c>
      <c r="B205" s="181" t="n">
        <v>194</v>
      </c>
      <c r="C205" s="181" t="n">
        <v>4809.55</v>
      </c>
      <c r="D205" s="181" t="n">
        <v>4765.4549</v>
      </c>
      <c r="E205" s="181" t="n">
        <v>44.0951</v>
      </c>
      <c r="F205" s="181" t="n">
        <v>1944.3752</v>
      </c>
      <c r="G205" s="181" t="n">
        <v>1.972358</v>
      </c>
      <c r="H205" s="181" t="n">
        <v>2.473513</v>
      </c>
      <c r="I205" s="181" t="inlineStr"/>
    </row>
    <row r="206" ht="15" customHeight="1" s="28">
      <c r="A206" s="182" t="n">
        <v>196</v>
      </c>
      <c r="B206" s="182" t="n">
        <v>195</v>
      </c>
      <c r="C206" s="182" t="n">
        <v>4806.62</v>
      </c>
      <c r="D206" s="182" t="n">
        <v>4765.1873</v>
      </c>
      <c r="E206" s="182" t="n">
        <v>41.4327</v>
      </c>
      <c r="F206" s="182" t="n">
        <v>1716.6661</v>
      </c>
      <c r="G206" s="182" t="n">
        <v>1.63623</v>
      </c>
      <c r="H206" s="182" t="n">
        <v>1.928083</v>
      </c>
      <c r="I206" s="182" t="inlineStr"/>
    </row>
    <row r="207" ht="15" customHeight="1" s="28">
      <c r="A207" s="181" t="n">
        <v>197</v>
      </c>
      <c r="B207" s="181" t="n">
        <v>196</v>
      </c>
      <c r="C207" s="181" t="n">
        <v>4815.51</v>
      </c>
      <c r="D207" s="181" t="n">
        <v>4764.9197</v>
      </c>
      <c r="E207" s="181" t="n">
        <v>50.5903</v>
      </c>
      <c r="F207" s="181" t="n">
        <v>2559.3754</v>
      </c>
      <c r="G207" s="181" t="n">
        <v>2.97863</v>
      </c>
      <c r="H207" s="181" t="n">
        <v>4.285703</v>
      </c>
      <c r="I207" s="181" t="inlineStr"/>
    </row>
    <row r="208" ht="15" customHeight="1" s="28">
      <c r="A208" s="182" t="n">
        <v>198</v>
      </c>
      <c r="B208" s="182" t="n">
        <v>197</v>
      </c>
      <c r="C208" s="182" t="n">
        <v>4813.5</v>
      </c>
      <c r="D208" s="182" t="n">
        <v>4764.6521</v>
      </c>
      <c r="E208" s="182" t="n">
        <v>48.8479</v>
      </c>
      <c r="F208" s="182" t="n">
        <v>2386.1154</v>
      </c>
      <c r="G208" s="182" t="n">
        <v>2.681345</v>
      </c>
      <c r="H208" s="182" t="n">
        <v>3.725092</v>
      </c>
      <c r="I208" s="182" t="inlineStr"/>
    </row>
    <row r="209" ht="15" customHeight="1" s="28">
      <c r="A209" s="181" t="n">
        <v>199</v>
      </c>
      <c r="B209" s="181" t="n">
        <v>198</v>
      </c>
      <c r="C209" s="181" t="n">
        <v>4814.44</v>
      </c>
      <c r="D209" s="181" t="n">
        <v>4764.3845</v>
      </c>
      <c r="E209" s="181" t="n">
        <v>50.0555</v>
      </c>
      <c r="F209" s="181" t="n">
        <v>2505.5511</v>
      </c>
      <c r="G209" s="181" t="n">
        <v>2.885164</v>
      </c>
      <c r="H209" s="181" t="n">
        <v>4.10734</v>
      </c>
      <c r="I209" s="181" t="inlineStr"/>
    </row>
    <row r="210" ht="15" customHeight="1" s="28">
      <c r="A210" s="182" t="n">
        <v>200</v>
      </c>
      <c r="B210" s="182" t="n">
        <v>199</v>
      </c>
      <c r="C210" s="182" t="n">
        <v>4814.05</v>
      </c>
      <c r="D210" s="182" t="n">
        <v>4764.1169</v>
      </c>
      <c r="E210" s="182" t="n">
        <v>49.9331</v>
      </c>
      <c r="F210" s="182" t="n">
        <v>2493.3135</v>
      </c>
      <c r="G210" s="182" t="n">
        <v>2.864052</v>
      </c>
      <c r="H210" s="182" t="n">
        <v>4.067316</v>
      </c>
      <c r="I210" s="182" t="inlineStr"/>
    </row>
    <row r="211" ht="15" customHeight="1" s="28">
      <c r="A211" s="181" t="n">
        <v>201</v>
      </c>
      <c r="B211" s="181" t="n">
        <v>200</v>
      </c>
      <c r="C211" s="181" t="n">
        <v>4820.26</v>
      </c>
      <c r="D211" s="181" t="n">
        <v>4763.8493</v>
      </c>
      <c r="E211" s="181" t="n">
        <v>56.4107</v>
      </c>
      <c r="F211" s="181" t="n">
        <v>3182.1659</v>
      </c>
      <c r="G211" s="181" t="n">
        <v>4.129522</v>
      </c>
      <c r="H211" s="181" t="n">
        <v>6.625212</v>
      </c>
      <c r="I211" s="181" t="inlineStr"/>
    </row>
    <row r="212" ht="15" customHeight="1" s="28">
      <c r="A212" s="182" t="n">
        <v>202</v>
      </c>
      <c r="B212" s="182" t="n">
        <v>201</v>
      </c>
      <c r="C212" s="182" t="n">
        <v>4817.26</v>
      </c>
      <c r="D212" s="182" t="n">
        <v>4763.5817</v>
      </c>
      <c r="E212" s="182" t="n">
        <v>53.6783</v>
      </c>
      <c r="F212" s="182" t="n">
        <v>2881.3599</v>
      </c>
      <c r="G212" s="182" t="n">
        <v>3.558048</v>
      </c>
      <c r="H212" s="182" t="n">
        <v>5.431867</v>
      </c>
      <c r="I212" s="182" t="inlineStr"/>
    </row>
    <row r="213" ht="15" customHeight="1" s="28">
      <c r="A213" s="181" t="n">
        <v>203</v>
      </c>
      <c r="B213" s="181" t="n">
        <v>202</v>
      </c>
      <c r="C213" s="181" t="n">
        <v>4811.66</v>
      </c>
      <c r="D213" s="181" t="n">
        <v>4763.3141</v>
      </c>
      <c r="E213" s="181" t="n">
        <v>48.3459</v>
      </c>
      <c r="F213" s="181" t="n">
        <v>2337.326</v>
      </c>
      <c r="G213" s="181" t="n">
        <v>2.599528</v>
      </c>
      <c r="H213" s="181" t="n">
        <v>3.574314</v>
      </c>
      <c r="I213" s="181" t="inlineStr"/>
    </row>
    <row r="214" ht="15" customHeight="1" s="28">
      <c r="A214" s="182" t="n">
        <v>204</v>
      </c>
      <c r="B214" s="182" t="n">
        <v>203</v>
      </c>
      <c r="C214" s="182" t="n">
        <v>4814.24</v>
      </c>
      <c r="D214" s="182" t="n">
        <v>4763.0465</v>
      </c>
      <c r="E214" s="182" t="n">
        <v>51.1935</v>
      </c>
      <c r="F214" s="182" t="n">
        <v>2620.7744</v>
      </c>
      <c r="G214" s="182" t="n">
        <v>3.086456</v>
      </c>
      <c r="H214" s="182" t="n">
        <v>4.493797</v>
      </c>
      <c r="I214" s="182" t="inlineStr"/>
    </row>
    <row r="215" ht="15" customHeight="1" s="28">
      <c r="A215" s="181" t="n">
        <v>205</v>
      </c>
      <c r="B215" s="181" t="n">
        <v>204</v>
      </c>
      <c r="C215" s="181" t="n">
        <v>4813.42</v>
      </c>
      <c r="D215" s="181" t="n">
        <v>4762.7789</v>
      </c>
      <c r="E215" s="181" t="n">
        <v>50.6411</v>
      </c>
      <c r="F215" s="181" t="n">
        <v>2564.522</v>
      </c>
      <c r="G215" s="181" t="n">
        <v>2.987619</v>
      </c>
      <c r="H215" s="181" t="n">
        <v>4.302957</v>
      </c>
      <c r="I215" s="181" t="inlineStr"/>
    </row>
    <row r="216" ht="15" customHeight="1" s="28">
      <c r="A216" s="182" t="n">
        <v>206</v>
      </c>
      <c r="B216" s="182" t="n">
        <v>205</v>
      </c>
      <c r="C216" s="182" t="n">
        <v>4815.85</v>
      </c>
      <c r="D216" s="182" t="n">
        <v>4762.5113</v>
      </c>
      <c r="E216" s="182" t="n">
        <v>53.3387</v>
      </c>
      <c r="F216" s="182" t="n">
        <v>2845.018</v>
      </c>
      <c r="G216" s="182" t="n">
        <v>3.490946</v>
      </c>
      <c r="H216" s="182" t="n">
        <v>5.295709</v>
      </c>
      <c r="I216" s="182" t="inlineStr"/>
    </row>
    <row r="217" ht="15" customHeight="1" s="28">
      <c r="A217" s="181" t="n">
        <v>207</v>
      </c>
      <c r="B217" s="181" t="n">
        <v>206</v>
      </c>
      <c r="C217" s="181" t="n">
        <v>4816.71</v>
      </c>
      <c r="D217" s="181" t="n">
        <v>4762.2437</v>
      </c>
      <c r="E217" s="181" t="n">
        <v>54.4663</v>
      </c>
      <c r="F217" s="181" t="n">
        <v>2966.58</v>
      </c>
      <c r="G217" s="181" t="n">
        <v>3.717061</v>
      </c>
      <c r="H217" s="181" t="n">
        <v>5.757928</v>
      </c>
      <c r="I217" s="181" t="inlineStr"/>
    </row>
    <row r="218" ht="15" customHeight="1" s="28">
      <c r="A218" s="182" t="n">
        <v>208</v>
      </c>
      <c r="B218" s="182" t="n">
        <v>207</v>
      </c>
      <c r="C218" s="182" t="n">
        <v>4820.81</v>
      </c>
      <c r="D218" s="182" t="n">
        <v>4761.9761</v>
      </c>
      <c r="E218" s="182" t="n">
        <v>58.8339</v>
      </c>
      <c r="F218" s="182" t="n">
        <v>3461.4301</v>
      </c>
      <c r="G218" s="182" t="n">
        <v>4.684885</v>
      </c>
      <c r="H218" s="182" t="n">
        <v>7.839083</v>
      </c>
      <c r="I218" s="182" t="inlineStr"/>
    </row>
    <row r="219" ht="15" customHeight="1" s="28">
      <c r="A219" s="181" t="n">
        <v>209</v>
      </c>
      <c r="B219" s="181" t="n">
        <v>208</v>
      </c>
      <c r="C219" s="181" t="n">
        <v>4829.14</v>
      </c>
      <c r="D219" s="181" t="n">
        <v>4761.7085</v>
      </c>
      <c r="E219" s="181" t="n">
        <v>67.4315</v>
      </c>
      <c r="F219" s="181" t="n">
        <v>4547.0099</v>
      </c>
      <c r="G219" s="181" t="n">
        <v>7.053496</v>
      </c>
      <c r="H219" s="181" t="n">
        <v>13.527138</v>
      </c>
      <c r="I219" s="181" t="inlineStr"/>
    </row>
    <row r="220" ht="15" customHeight="1" s="28">
      <c r="A220" s="182" t="n">
        <v>210</v>
      </c>
      <c r="B220" s="182" t="n">
        <v>209</v>
      </c>
      <c r="C220" s="182" t="n">
        <v>4828.53</v>
      </c>
      <c r="D220" s="182" t="n">
        <v>4761.4409</v>
      </c>
      <c r="E220" s="182" t="n">
        <v>67.0891</v>
      </c>
      <c r="F220" s="182" t="n">
        <v>4500.9514</v>
      </c>
      <c r="G220" s="182" t="n">
        <v>6.946596</v>
      </c>
      <c r="H220" s="182" t="n">
        <v>13.254482</v>
      </c>
      <c r="I220" s="182" t="inlineStr"/>
    </row>
    <row r="221" ht="15" customHeight="1" s="28">
      <c r="A221" s="181" t="n">
        <v>211</v>
      </c>
      <c r="B221" s="181" t="n">
        <v>210</v>
      </c>
      <c r="C221" s="181" t="n">
        <v>4830.44</v>
      </c>
      <c r="D221" s="181" t="n">
        <v>4761.1733</v>
      </c>
      <c r="E221" s="181" t="n">
        <v>69.2667</v>
      </c>
      <c r="F221" s="181" t="n">
        <v>4797.8799</v>
      </c>
      <c r="G221" s="181" t="n">
        <v>7.645214</v>
      </c>
      <c r="H221" s="181" t="n">
        <v>15.060967</v>
      </c>
      <c r="I221" s="181" t="inlineStr"/>
    </row>
    <row r="222" ht="15" customHeight="1" s="28">
      <c r="A222" s="182" t="n">
        <v>212</v>
      </c>
      <c r="B222" s="182" t="n">
        <v>211</v>
      </c>
      <c r="C222" s="182" t="n">
        <v>4827.62</v>
      </c>
      <c r="D222" s="182" t="n">
        <v>4760.9057</v>
      </c>
      <c r="E222" s="182" t="n">
        <v>66.71429999999999</v>
      </c>
      <c r="F222" s="182" t="n">
        <v>4450.8032</v>
      </c>
      <c r="G222" s="182" t="n">
        <v>6.830825</v>
      </c>
      <c r="H222" s="182" t="n">
        <v>12.960773</v>
      </c>
      <c r="I222" s="182" t="inlineStr"/>
    </row>
    <row r="223" ht="15" customHeight="1" s="28">
      <c r="A223" s="181" t="n">
        <v>213</v>
      </c>
      <c r="B223" s="181" t="n">
        <v>212</v>
      </c>
      <c r="C223" s="181" t="n">
        <v>4825.77</v>
      </c>
      <c r="D223" s="181" t="n">
        <v>4760.6381</v>
      </c>
      <c r="E223" s="181" t="n">
        <v>65.1319</v>
      </c>
      <c r="F223" s="181" t="n">
        <v>4242.1696</v>
      </c>
      <c r="G223" s="181" t="n">
        <v>6.356201</v>
      </c>
      <c r="H223" s="181" t="n">
        <v>11.774166</v>
      </c>
      <c r="I223" s="181" t="inlineStr"/>
    </row>
    <row r="224" ht="15" customHeight="1" s="28">
      <c r="A224" s="182" t="n">
        <v>214</v>
      </c>
      <c r="B224" s="182" t="n">
        <v>213</v>
      </c>
      <c r="C224" s="182" t="n">
        <v>4825.84</v>
      </c>
      <c r="D224" s="182" t="n">
        <v>4760.3705</v>
      </c>
      <c r="E224" s="182" t="n">
        <v>65.4695</v>
      </c>
      <c r="F224" s="182" t="n">
        <v>4286.2607</v>
      </c>
      <c r="G224" s="182" t="n">
        <v>6.455553</v>
      </c>
      <c r="H224" s="182" t="n">
        <v>12.020188</v>
      </c>
      <c r="I224" s="182" t="inlineStr"/>
    </row>
    <row r="225" ht="15" customHeight="1" s="28">
      <c r="A225" s="181" t="n">
        <v>215</v>
      </c>
      <c r="B225" s="181" t="n">
        <v>214</v>
      </c>
      <c r="C225" s="181" t="n">
        <v>4824.16</v>
      </c>
      <c r="D225" s="181" t="n">
        <v>4760.1029</v>
      </c>
      <c r="E225" s="181" t="n">
        <v>64.05710000000001</v>
      </c>
      <c r="F225" s="181" t="n">
        <v>4103.3185</v>
      </c>
      <c r="G225" s="181" t="n">
        <v>6.0467</v>
      </c>
      <c r="H225" s="181" t="n">
        <v>11.016016</v>
      </c>
      <c r="I225" s="181" t="inlineStr"/>
    </row>
    <row r="226" ht="15" customHeight="1" s="28">
      <c r="A226" s="182" t="n">
        <v>216</v>
      </c>
      <c r="B226" s="182" t="n">
        <v>215</v>
      </c>
      <c r="C226" s="182" t="n">
        <v>4821.76</v>
      </c>
      <c r="D226" s="182" t="n">
        <v>4759.8353</v>
      </c>
      <c r="E226" s="182" t="n">
        <v>61.9248</v>
      </c>
      <c r="F226" s="182" t="n">
        <v>3834.6747</v>
      </c>
      <c r="G226" s="182" t="n">
        <v>5.462713</v>
      </c>
      <c r="H226" s="182" t="n">
        <v>9.620799</v>
      </c>
      <c r="I226" s="182" t="inlineStr"/>
    </row>
    <row r="227" ht="15" customHeight="1" s="28">
      <c r="A227" s="181" t="n">
        <v>217</v>
      </c>
      <c r="B227" s="181" t="n">
        <v>216</v>
      </c>
      <c r="C227" s="181" t="n">
        <v>4828.53</v>
      </c>
      <c r="D227" s="181" t="n">
        <v>4759.5676</v>
      </c>
      <c r="E227" s="181" t="n">
        <v>68.9624</v>
      </c>
      <c r="F227" s="181" t="n">
        <v>4755.8071</v>
      </c>
      <c r="G227" s="181" t="n">
        <v>7.544873</v>
      </c>
      <c r="H227" s="181" t="n">
        <v>14.797985</v>
      </c>
      <c r="I227" s="181" t="inlineStr"/>
    </row>
    <row r="228" ht="15" customHeight="1" s="28">
      <c r="A228" s="182" t="n">
        <v>218</v>
      </c>
      <c r="B228" s="182" t="n">
        <v>217</v>
      </c>
      <c r="C228" s="182" t="n">
        <v>4819.92</v>
      </c>
      <c r="D228" s="182" t="n">
        <v>4759.3</v>
      </c>
      <c r="E228" s="182" t="n">
        <v>60.62</v>
      </c>
      <c r="F228" s="182" t="n">
        <v>3674.7796</v>
      </c>
      <c r="G228" s="182" t="n">
        <v>5.12463</v>
      </c>
      <c r="H228" s="182" t="n">
        <v>8.835205999999999</v>
      </c>
      <c r="I228" s="182" t="inlineStr"/>
    </row>
    <row r="229" ht="15" customHeight="1" s="28">
      <c r="A229" s="181" t="n">
        <v>219</v>
      </c>
      <c r="B229" s="181" t="n">
        <v>218</v>
      </c>
      <c r="C229" s="181" t="n">
        <v>4822.66</v>
      </c>
      <c r="D229" s="181" t="n">
        <v>4759.0324</v>
      </c>
      <c r="E229" s="181" t="n">
        <v>63.6276</v>
      </c>
      <c r="F229" s="181" t="n">
        <v>4048.4664</v>
      </c>
      <c r="G229" s="181" t="n">
        <v>5.92586</v>
      </c>
      <c r="H229" s="181" t="n">
        <v>10.723466</v>
      </c>
      <c r="I229" s="181" t="inlineStr"/>
    </row>
    <row r="230" ht="15" customHeight="1" s="28">
      <c r="A230" s="182" t="n">
        <v>220</v>
      </c>
      <c r="B230" s="182" t="n">
        <v>219</v>
      </c>
      <c r="C230" s="182" t="n">
        <v>4823.76</v>
      </c>
      <c r="D230" s="182" t="n">
        <v>4758.7648</v>
      </c>
      <c r="E230" s="182" t="n">
        <v>64.9952</v>
      </c>
      <c r="F230" s="182" t="n">
        <v>4224.3721</v>
      </c>
      <c r="G230" s="182" t="n">
        <v>6.316243</v>
      </c>
      <c r="H230" s="182" t="n">
        <v>11.67558</v>
      </c>
      <c r="I230" s="182" t="inlineStr"/>
    </row>
    <row r="231" ht="15" customHeight="1" s="28">
      <c r="A231" s="181" t="n">
        <v>221</v>
      </c>
      <c r="B231" s="181" t="n">
        <v>220</v>
      </c>
      <c r="C231" s="181" t="n">
        <v>4814.78</v>
      </c>
      <c r="D231" s="181" t="n">
        <v>4758.4972</v>
      </c>
      <c r="E231" s="181" t="n">
        <v>56.2828</v>
      </c>
      <c r="F231" s="181" t="n">
        <v>3167.7502</v>
      </c>
      <c r="G231" s="181" t="n">
        <v>4.101493</v>
      </c>
      <c r="H231" s="181" t="n">
        <v>6.565321</v>
      </c>
      <c r="I231" s="181" t="inlineStr"/>
    </row>
    <row r="232" ht="15" customHeight="1" s="28">
      <c r="A232" s="182" t="n">
        <v>222</v>
      </c>
      <c r="B232" s="182" t="n">
        <v>221</v>
      </c>
      <c r="C232" s="182" t="n">
        <v>4818.7</v>
      </c>
      <c r="D232" s="182" t="n">
        <v>4758.2296</v>
      </c>
      <c r="E232" s="182" t="n">
        <v>60.4704</v>
      </c>
      <c r="F232" s="182" t="n">
        <v>3656.6669</v>
      </c>
      <c r="G232" s="182" t="n">
        <v>5.086788</v>
      </c>
      <c r="H232" s="182" t="n">
        <v>8.748324999999999</v>
      </c>
      <c r="I232" s="182" t="inlineStr"/>
    </row>
    <row r="233" ht="15" customHeight="1" s="28">
      <c r="A233" s="181" t="n">
        <v>223</v>
      </c>
      <c r="B233" s="181" t="n">
        <v>222</v>
      </c>
      <c r="C233" s="181" t="n">
        <v>4813.59</v>
      </c>
      <c r="D233" s="181" t="n">
        <v>4757.962</v>
      </c>
      <c r="E233" s="181" t="n">
        <v>55.628</v>
      </c>
      <c r="F233" s="181" t="n">
        <v>3094.4722</v>
      </c>
      <c r="G233" s="181" t="n">
        <v>3.960002</v>
      </c>
      <c r="H233" s="181" t="n">
        <v>6.265089</v>
      </c>
      <c r="I233" s="181" t="inlineStr"/>
    </row>
    <row r="234" ht="15" customHeight="1" s="28">
      <c r="A234" s="182" t="n">
        <v>224</v>
      </c>
      <c r="B234" s="182" t="n">
        <v>223</v>
      </c>
      <c r="C234" s="182" t="n">
        <v>4810.06</v>
      </c>
      <c r="D234" s="182" t="n">
        <v>4757.6944</v>
      </c>
      <c r="E234" s="182" t="n">
        <v>52.3656</v>
      </c>
      <c r="F234" s="182" t="n">
        <v>2742.155</v>
      </c>
      <c r="G234" s="182" t="n">
        <v>3.303342</v>
      </c>
      <c r="H234" s="182" t="n">
        <v>4.919694</v>
      </c>
      <c r="I234" s="182" t="inlineStr"/>
    </row>
    <row r="235" ht="15" customHeight="1" s="28">
      <c r="A235" s="181" t="n">
        <v>225</v>
      </c>
      <c r="B235" s="181" t="n">
        <v>224</v>
      </c>
      <c r="C235" s="181" t="n">
        <v>4807.3</v>
      </c>
      <c r="D235" s="181" t="n">
        <v>4757.4268</v>
      </c>
      <c r="E235" s="181" t="n">
        <v>49.8732</v>
      </c>
      <c r="F235" s="181" t="n">
        <v>2487.3351</v>
      </c>
      <c r="G235" s="181" t="n">
        <v>2.853757</v>
      </c>
      <c r="H235" s="181" t="n">
        <v>4.047834</v>
      </c>
      <c r="I235" s="181" t="inlineStr"/>
    </row>
    <row r="236" ht="15" customHeight="1" s="28">
      <c r="A236" s="182" t="n">
        <v>226</v>
      </c>
      <c r="B236" s="182" t="n">
        <v>225</v>
      </c>
      <c r="C236" s="182" t="n">
        <v>4807.73</v>
      </c>
      <c r="D236" s="182" t="n">
        <v>4757.1592</v>
      </c>
      <c r="E236" s="182" t="n">
        <v>50.5708</v>
      </c>
      <c r="F236" s="182" t="n">
        <v>2557.4048</v>
      </c>
      <c r="G236" s="182" t="n">
        <v>2.975191</v>
      </c>
      <c r="H236" s="182" t="n">
        <v>4.279106</v>
      </c>
      <c r="I236" s="182" t="inlineStr"/>
    </row>
    <row r="237" ht="15" customHeight="1" s="28">
      <c r="A237" s="181" t="n">
        <v>227</v>
      </c>
      <c r="B237" s="181" t="n">
        <v>226</v>
      </c>
      <c r="C237" s="181" t="n">
        <v>4806.61</v>
      </c>
      <c r="D237" s="181" t="n">
        <v>4756.8916</v>
      </c>
      <c r="E237" s="181" t="n">
        <v>49.7184</v>
      </c>
      <c r="F237" s="181" t="n">
        <v>2471.9193</v>
      </c>
      <c r="G237" s="181" t="n">
        <v>2.827268</v>
      </c>
      <c r="H237" s="181" t="n">
        <v>3.997815</v>
      </c>
      <c r="I237" s="181" t="inlineStr"/>
    </row>
    <row r="238" ht="15" customHeight="1" s="28">
      <c r="A238" s="182" t="n">
        <v>228</v>
      </c>
      <c r="B238" s="182" t="n">
        <v>227</v>
      </c>
      <c r="C238" s="182" t="n">
        <v>4806.9</v>
      </c>
      <c r="D238" s="182" t="n">
        <v>4756.624</v>
      </c>
      <c r="E238" s="182" t="n">
        <v>50.276</v>
      </c>
      <c r="F238" s="182" t="n">
        <v>2527.6762</v>
      </c>
      <c r="G238" s="182" t="n">
        <v>2.923464</v>
      </c>
      <c r="H238" s="182" t="n">
        <v>4.180199</v>
      </c>
      <c r="I238" s="182" t="inlineStr"/>
    </row>
    <row r="239" ht="15" customHeight="1" s="28">
      <c r="A239" s="181" t="n">
        <v>229</v>
      </c>
      <c r="B239" s="181" t="n">
        <v>228</v>
      </c>
      <c r="C239" s="181" t="n">
        <v>4800.74</v>
      </c>
      <c r="D239" s="181" t="n">
        <v>4756.3564</v>
      </c>
      <c r="E239" s="181" t="n">
        <v>44.3836</v>
      </c>
      <c r="F239" s="181" t="n">
        <v>1969.9048</v>
      </c>
      <c r="G239" s="181" t="n">
        <v>2.011331</v>
      </c>
      <c r="H239" s="181" t="n">
        <v>2.538894</v>
      </c>
      <c r="I239" s="181" t="inlineStr"/>
    </row>
    <row r="240" ht="15" customHeight="1" s="28">
      <c r="A240" s="182" t="n">
        <v>230</v>
      </c>
      <c r="B240" s="182" t="n">
        <v>229</v>
      </c>
      <c r="C240" s="182" t="n">
        <v>4798.75</v>
      </c>
      <c r="D240" s="182" t="n">
        <v>4756.0888</v>
      </c>
      <c r="E240" s="182" t="n">
        <v>42.6612</v>
      </c>
      <c r="F240" s="182" t="n">
        <v>1819.9788</v>
      </c>
      <c r="G240" s="182" t="n">
        <v>1.786138</v>
      </c>
      <c r="H240" s="182" t="n">
        <v>2.167139</v>
      </c>
      <c r="I240" s="182" t="inlineStr"/>
    </row>
    <row r="241" ht="15" customHeight="1" s="28">
      <c r="A241" s="181" t="n">
        <v>231</v>
      </c>
      <c r="B241" s="181" t="n">
        <v>230</v>
      </c>
      <c r="C241" s="181" t="n">
        <v>4795.2</v>
      </c>
      <c r="D241" s="181" t="n">
        <v>4755.8212</v>
      </c>
      <c r="E241" s="181" t="n">
        <v>39.3788</v>
      </c>
      <c r="F241" s="181" t="n">
        <v>1550.6907</v>
      </c>
      <c r="G241" s="181" t="n">
        <v>1.404764</v>
      </c>
      <c r="H241" s="181" t="n">
        <v>1.573274</v>
      </c>
      <c r="I241" s="181" t="inlineStr"/>
    </row>
    <row r="242" ht="15" customHeight="1" s="28">
      <c r="A242" s="182" t="n">
        <v>232</v>
      </c>
      <c r="B242" s="182" t="n">
        <v>231</v>
      </c>
      <c r="C242" s="182" t="n">
        <v>4797.36</v>
      </c>
      <c r="D242" s="182" t="n">
        <v>4755.5536</v>
      </c>
      <c r="E242" s="182" t="n">
        <v>41.8064</v>
      </c>
      <c r="F242" s="182" t="n">
        <v>1747.7768</v>
      </c>
      <c r="G242" s="182" t="n">
        <v>1.68091</v>
      </c>
      <c r="H242" s="182" t="n">
        <v>1.998601</v>
      </c>
      <c r="I242" s="182" t="inlineStr"/>
    </row>
    <row r="243" ht="15" customHeight="1" s="28">
      <c r="A243" s="181" t="n">
        <v>233</v>
      </c>
      <c r="B243" s="181" t="n">
        <v>232</v>
      </c>
      <c r="C243" s="181" t="n">
        <v>4794.24</v>
      </c>
      <c r="D243" s="181" t="n">
        <v>4755.286</v>
      </c>
      <c r="E243" s="181" t="n">
        <v>38.954</v>
      </c>
      <c r="F243" s="181" t="n">
        <v>1517.4157</v>
      </c>
      <c r="G243" s="181" t="n">
        <v>1.359792</v>
      </c>
      <c r="H243" s="181" t="n">
        <v>1.50648</v>
      </c>
      <c r="I243" s="181" t="inlineStr"/>
    </row>
    <row r="244" ht="15" customHeight="1" s="28">
      <c r="A244" s="182" t="n">
        <v>234</v>
      </c>
      <c r="B244" s="182" t="n">
        <v>233</v>
      </c>
      <c r="C244" s="182" t="n">
        <v>4792.33</v>
      </c>
      <c r="D244" s="182" t="n">
        <v>4755.0184</v>
      </c>
      <c r="E244" s="182" t="n">
        <v>37.3116</v>
      </c>
      <c r="F244" s="182" t="n">
        <v>1392.1577</v>
      </c>
      <c r="G244" s="182" t="n">
        <v>1.194946</v>
      </c>
      <c r="H244" s="182" t="n">
        <v>1.268034</v>
      </c>
      <c r="I244" s="182" t="inlineStr"/>
    </row>
    <row r="245" ht="15" customHeight="1" s="28">
      <c r="A245" s="181" t="n">
        <v>235</v>
      </c>
      <c r="B245" s="181" t="n">
        <v>234</v>
      </c>
      <c r="C245" s="181" t="n">
        <v>4791.74</v>
      </c>
      <c r="D245" s="181" t="n">
        <v>4754.7508</v>
      </c>
      <c r="E245" s="181" t="n">
        <v>36.9892</v>
      </c>
      <c r="F245" s="181" t="n">
        <v>1368.2031</v>
      </c>
      <c r="G245" s="181" t="n">
        <v>1.164237</v>
      </c>
      <c r="H245" s="181" t="n">
        <v>1.224772</v>
      </c>
      <c r="I245" s="181" t="inlineStr"/>
    </row>
    <row r="246" ht="15" customHeight="1" s="28">
      <c r="A246" s="182" t="n">
        <v>236</v>
      </c>
      <c r="B246" s="182" t="n">
        <v>235</v>
      </c>
      <c r="C246" s="182" t="n">
        <v>4789.16</v>
      </c>
      <c r="D246" s="182" t="n">
        <v>4754.4832</v>
      </c>
      <c r="E246" s="182" t="n">
        <v>34.6768</v>
      </c>
      <c r="F246" s="182" t="n">
        <v>1202.4825</v>
      </c>
      <c r="G246" s="182" t="n">
        <v>0.9592540000000001</v>
      </c>
      <c r="H246" s="182" t="n">
        <v>0.946045</v>
      </c>
      <c r="I246" s="182" t="inlineStr"/>
    </row>
    <row r="247" ht="15" customHeight="1" s="28">
      <c r="A247" s="181" t="n">
        <v>237</v>
      </c>
      <c r="B247" s="181" t="n">
        <v>236</v>
      </c>
      <c r="C247" s="181" t="n">
        <v>4789.51</v>
      </c>
      <c r="D247" s="181" t="n">
        <v>4754.2156</v>
      </c>
      <c r="E247" s="181" t="n">
        <v>35.2944</v>
      </c>
      <c r="F247" s="181" t="n">
        <v>1245.6975</v>
      </c>
      <c r="G247" s="181" t="n">
        <v>1.011427</v>
      </c>
      <c r="H247" s="181" t="n">
        <v>1.015265</v>
      </c>
      <c r="I247" s="181" t="inlineStr"/>
    </row>
    <row r="248" ht="15" customHeight="1" s="28">
      <c r="A248" s="182" t="n">
        <v>238</v>
      </c>
      <c r="B248" s="182" t="n">
        <v>237</v>
      </c>
      <c r="C248" s="182" t="n">
        <v>4787.58</v>
      </c>
      <c r="D248" s="182" t="n">
        <v>4753.948</v>
      </c>
      <c r="E248" s="182" t="n">
        <v>33.632</v>
      </c>
      <c r="F248" s="182" t="n">
        <v>1131.1141</v>
      </c>
      <c r="G248" s="182" t="n">
        <v>0.875135</v>
      </c>
      <c r="H248" s="182" t="n">
        <v>0.83708</v>
      </c>
      <c r="I248" s="182" t="inlineStr"/>
    </row>
    <row r="249" ht="15" customHeight="1" s="28">
      <c r="A249" s="181" t="n">
        <v>239</v>
      </c>
      <c r="B249" s="181" t="n">
        <v>238</v>
      </c>
      <c r="C249" s="181" t="n">
        <v>4796.37</v>
      </c>
      <c r="D249" s="181" t="n">
        <v>4753.6803</v>
      </c>
      <c r="E249" s="181" t="n">
        <v>42.6897</v>
      </c>
      <c r="F249" s="181" t="n">
        <v>1822.4062</v>
      </c>
      <c r="G249" s="181" t="n">
        <v>1.789713</v>
      </c>
      <c r="H249" s="181" t="n">
        <v>2.172924</v>
      </c>
      <c r="I249" s="181" t="inlineStr"/>
    </row>
    <row r="250" ht="15" customHeight="1" s="28">
      <c r="A250" s="182" t="n">
        <v>240</v>
      </c>
      <c r="B250" s="182" t="n">
        <v>239</v>
      </c>
      <c r="C250" s="182" t="n">
        <v>4784.33</v>
      </c>
      <c r="D250" s="182" t="n">
        <v>4753.4128</v>
      </c>
      <c r="E250" s="182" t="n">
        <v>30.9172</v>
      </c>
      <c r="F250" s="182" t="n">
        <v>955.8763</v>
      </c>
      <c r="G250" s="182" t="n">
        <v>0.679858</v>
      </c>
      <c r="H250" s="182" t="n">
        <v>0.5978019999999999</v>
      </c>
      <c r="I250" s="182" t="inlineStr"/>
    </row>
    <row r="251" ht="15" customHeight="1" s="28">
      <c r="A251" s="181" t="n">
        <v>241</v>
      </c>
      <c r="B251" s="181" t="n">
        <v>240</v>
      </c>
      <c r="C251" s="181" t="n">
        <v>4785.01</v>
      </c>
      <c r="D251" s="181" t="n">
        <v>4753.1452</v>
      </c>
      <c r="E251" s="181" t="n">
        <v>31.8648</v>
      </c>
      <c r="F251" s="181" t="n">
        <v>1015.3687</v>
      </c>
      <c r="G251" s="181" t="n">
        <v>0.744305</v>
      </c>
      <c r="H251" s="181" t="n">
        <v>0.674531</v>
      </c>
      <c r="I251" s="181" t="inlineStr"/>
    </row>
    <row r="252" ht="15" customHeight="1" s="28">
      <c r="A252" s="182" t="n">
        <v>242</v>
      </c>
      <c r="B252" s="182" t="n">
        <v>241</v>
      </c>
      <c r="C252" s="182" t="n">
        <v>4778.93</v>
      </c>
      <c r="D252" s="182" t="n">
        <v>4752.8775</v>
      </c>
      <c r="E252" s="182" t="n">
        <v>26.0525</v>
      </c>
      <c r="F252" s="182" t="n">
        <v>678.7307</v>
      </c>
      <c r="G252" s="182" t="n">
        <v>0.406782</v>
      </c>
      <c r="H252" s="182" t="n">
        <v>0.301404</v>
      </c>
      <c r="I252" s="182" t="inlineStr"/>
    </row>
    <row r="253" ht="15" customHeight="1" s="28">
      <c r="A253" s="181" t="n">
        <v>243</v>
      </c>
      <c r="B253" s="181" t="n">
        <v>242</v>
      </c>
      <c r="C253" s="181" t="n">
        <v>4780.6</v>
      </c>
      <c r="D253" s="181" t="n">
        <v>4752.6099</v>
      </c>
      <c r="E253" s="181" t="n">
        <v>27.9901</v>
      </c>
      <c r="F253" s="181" t="n">
        <v>783.4435</v>
      </c>
      <c r="G253" s="181" t="n">
        <v>0.50446</v>
      </c>
      <c r="H253" s="181" t="n">
        <v>0.401578</v>
      </c>
      <c r="I253" s="181" t="inlineStr"/>
    </row>
    <row r="254" ht="15" customHeight="1" s="28">
      <c r="A254" s="182" t="n">
        <v>244</v>
      </c>
      <c r="B254" s="182" t="n">
        <v>243</v>
      </c>
      <c r="C254" s="182" t="n">
        <v>4778.73</v>
      </c>
      <c r="D254" s="182" t="n">
        <v>4752.3423</v>
      </c>
      <c r="E254" s="182" t="n">
        <v>26.3877</v>
      </c>
      <c r="F254" s="182" t="n">
        <v>696.3090999999999</v>
      </c>
      <c r="G254" s="182" t="n">
        <v>0.422687</v>
      </c>
      <c r="H254" s="182" t="n">
        <v>0.317218</v>
      </c>
      <c r="I254" s="182" t="inlineStr"/>
    </row>
    <row r="255" ht="15" customHeight="1" s="28">
      <c r="A255" s="181" t="n">
        <v>245</v>
      </c>
      <c r="B255" s="181" t="n">
        <v>244</v>
      </c>
      <c r="C255" s="181" t="n">
        <v>4782.82</v>
      </c>
      <c r="D255" s="181" t="n">
        <v>4752.0747</v>
      </c>
      <c r="E255" s="181" t="n">
        <v>30.7453</v>
      </c>
      <c r="F255" s="181" t="n">
        <v>945.2716</v>
      </c>
      <c r="G255" s="181" t="n">
        <v>0.6685759999999999</v>
      </c>
      <c r="H255" s="181" t="n">
        <v>0.584612</v>
      </c>
      <c r="I255" s="181" t="inlineStr"/>
    </row>
    <row r="256" ht="15" customHeight="1" s="28">
      <c r="A256" s="182" t="n">
        <v>246</v>
      </c>
      <c r="B256" s="182" t="n">
        <v>245</v>
      </c>
      <c r="C256" s="182" t="n">
        <v>4783.35</v>
      </c>
      <c r="D256" s="182" t="n">
        <v>4751.8071</v>
      </c>
      <c r="E256" s="182" t="n">
        <v>31.5429</v>
      </c>
      <c r="F256" s="182" t="n">
        <v>994.9533</v>
      </c>
      <c r="G256" s="182" t="n">
        <v>0.721971</v>
      </c>
      <c r="H256" s="182" t="n">
        <v>0.647679</v>
      </c>
      <c r="I256" s="182" t="inlineStr"/>
    </row>
    <row r="257" ht="15" customHeight="1" s="28">
      <c r="A257" s="181" t="n">
        <v>247</v>
      </c>
      <c r="B257" s="181" t="n">
        <v>246</v>
      </c>
      <c r="C257" s="181" t="n">
        <v>4786.75</v>
      </c>
      <c r="D257" s="181" t="n">
        <v>4751.5395</v>
      </c>
      <c r="E257" s="181" t="n">
        <v>35.2105</v>
      </c>
      <c r="F257" s="181" t="n">
        <v>1239.7779</v>
      </c>
      <c r="G257" s="181" t="n">
        <v>1.004226</v>
      </c>
      <c r="H257" s="181" t="n">
        <v>1.005639</v>
      </c>
      <c r="I257" s="181" t="inlineStr"/>
    </row>
    <row r="258" ht="15" customHeight="1" s="28">
      <c r="A258" s="182" t="n">
        <v>248</v>
      </c>
      <c r="B258" s="182" t="n">
        <v>247</v>
      </c>
      <c r="C258" s="182" t="n">
        <v>4785.87</v>
      </c>
      <c r="D258" s="182" t="n">
        <v>4751.2719</v>
      </c>
      <c r="E258" s="182" t="n">
        <v>34.5981</v>
      </c>
      <c r="F258" s="182" t="n">
        <v>1197.0271</v>
      </c>
      <c r="G258" s="182" t="n">
        <v>0.952734</v>
      </c>
      <c r="H258" s="182" t="n">
        <v>0.93748</v>
      </c>
      <c r="I258" s="182" t="inlineStr"/>
    </row>
    <row r="259" ht="15" customHeight="1" s="28">
      <c r="A259" s="181" t="n">
        <v>249</v>
      </c>
      <c r="B259" s="181" t="n">
        <v>248</v>
      </c>
      <c r="C259" s="181" t="n">
        <v>4776.03</v>
      </c>
      <c r="D259" s="181" t="n">
        <v>4751.0043</v>
      </c>
      <c r="E259" s="181" t="n">
        <v>25.0257</v>
      </c>
      <c r="F259" s="181" t="n">
        <v>626.2852</v>
      </c>
      <c r="G259" s="181" t="n">
        <v>0.360557</v>
      </c>
      <c r="H259" s="181" t="n">
        <v>0.256625</v>
      </c>
      <c r="I259" s="181" t="inlineStr"/>
    </row>
    <row r="260" ht="15" customHeight="1" s="28">
      <c r="A260" s="182" t="n">
        <v>250</v>
      </c>
      <c r="B260" s="182" t="n">
        <v>249</v>
      </c>
      <c r="C260" s="182" t="n">
        <v>4787.2</v>
      </c>
      <c r="D260" s="182" t="n">
        <v>4750.7367</v>
      </c>
      <c r="E260" s="182" t="n">
        <v>36.4633</v>
      </c>
      <c r="F260" s="182" t="n">
        <v>1329.5715</v>
      </c>
      <c r="G260" s="182" t="n">
        <v>1.115278</v>
      </c>
      <c r="H260" s="182" t="n">
        <v>1.156585</v>
      </c>
      <c r="I260" s="182" t="inlineStr"/>
    </row>
    <row r="261" ht="15" customHeight="1" s="28">
      <c r="A261" s="181" t="n">
        <v>251</v>
      </c>
      <c r="B261" s="181" t="n">
        <v>250</v>
      </c>
      <c r="C261" s="181" t="n">
        <v>4791.78</v>
      </c>
      <c r="D261" s="181" t="n">
        <v>4750.4691</v>
      </c>
      <c r="E261" s="181" t="n">
        <v>41.3109</v>
      </c>
      <c r="F261" s="181" t="n">
        <v>1706.5905</v>
      </c>
      <c r="G261" s="181" t="n">
        <v>1.621846</v>
      </c>
      <c r="H261" s="181" t="n">
        <v>1.905517</v>
      </c>
      <c r="I261" s="181" t="inlineStr"/>
    </row>
    <row r="262" ht="15" customHeight="1" s="28">
      <c r="A262" s="182" t="n">
        <v>252</v>
      </c>
      <c r="B262" s="182" t="n">
        <v>251</v>
      </c>
      <c r="C262" s="182" t="n">
        <v>4786.04</v>
      </c>
      <c r="D262" s="182" t="n">
        <v>4750.2015</v>
      </c>
      <c r="E262" s="182" t="n">
        <v>35.8385</v>
      </c>
      <c r="F262" s="182" t="n">
        <v>1284.3981</v>
      </c>
      <c r="G262" s="182" t="n">
        <v>1.058925</v>
      </c>
      <c r="H262" s="182" t="n">
        <v>1.079328</v>
      </c>
      <c r="I262" s="182" t="inlineStr"/>
    </row>
    <row r="263" ht="15" customHeight="1" s="28">
      <c r="A263" s="181" t="n">
        <v>253</v>
      </c>
      <c r="B263" s="181" t="n">
        <v>252</v>
      </c>
      <c r="C263" s="181" t="n">
        <v>4784.2</v>
      </c>
      <c r="D263" s="181" t="n">
        <v>4749.9339</v>
      </c>
      <c r="E263" s="181" t="n">
        <v>34.2661</v>
      </c>
      <c r="F263" s="181" t="n">
        <v>1174.1656</v>
      </c>
      <c r="G263" s="181" t="n">
        <v>0.925571</v>
      </c>
      <c r="H263" s="181" t="n">
        <v>0.902013</v>
      </c>
      <c r="I263" s="181" t="inlineStr"/>
    </row>
    <row r="264" ht="15" customHeight="1" s="28">
      <c r="A264" s="182" t="n">
        <v>254</v>
      </c>
      <c r="B264" s="182" t="n">
        <v>253</v>
      </c>
      <c r="C264" s="182" t="n">
        <v>4782.14</v>
      </c>
      <c r="D264" s="182" t="n">
        <v>4749.6663</v>
      </c>
      <c r="E264" s="182" t="n">
        <v>32.4737</v>
      </c>
      <c r="F264" s="182" t="n">
        <v>1054.5418</v>
      </c>
      <c r="G264" s="182" t="n">
        <v>0.787792</v>
      </c>
      <c r="H264" s="182" t="n">
        <v>0.727582</v>
      </c>
      <c r="I264" s="182" t="inlineStr"/>
    </row>
    <row r="265" ht="15" customHeight="1" s="28">
      <c r="A265" s="181" t="n">
        <v>255</v>
      </c>
      <c r="B265" s="181" t="n">
        <v>254</v>
      </c>
      <c r="C265" s="181" t="n">
        <v>4787.2</v>
      </c>
      <c r="D265" s="181" t="n">
        <v>4749.3987</v>
      </c>
      <c r="E265" s="181" t="n">
        <v>37.8013</v>
      </c>
      <c r="F265" s="181" t="n">
        <v>1428.939</v>
      </c>
      <c r="G265" s="181" t="n">
        <v>1.242614</v>
      </c>
      <c r="H265" s="181" t="n">
        <v>1.335923</v>
      </c>
      <c r="I265" s="181" t="inlineStr"/>
    </row>
    <row r="266" ht="15" customHeight="1" s="28">
      <c r="A266" s="182" t="n">
        <v>256</v>
      </c>
      <c r="B266" s="182" t="n">
        <v>255</v>
      </c>
      <c r="C266" s="182" t="n">
        <v>4783.8</v>
      </c>
      <c r="D266" s="182" t="n">
        <v>4749.1311</v>
      </c>
      <c r="E266" s="182" t="n">
        <v>34.6689</v>
      </c>
      <c r="F266" s="182" t="n">
        <v>1201.934</v>
      </c>
      <c r="G266" s="182" t="n">
        <v>0.958598</v>
      </c>
      <c r="H266" s="182" t="n">
        <v>0.945182</v>
      </c>
      <c r="I266" s="182" t="inlineStr"/>
    </row>
    <row r="267" ht="15" customHeight="1" s="28">
      <c r="A267" s="181" t="n">
        <v>257</v>
      </c>
      <c r="B267" s="181" t="n">
        <v>256</v>
      </c>
      <c r="C267" s="181" t="n">
        <v>4783.02</v>
      </c>
      <c r="D267" s="181" t="n">
        <v>4748.8635</v>
      </c>
      <c r="E267" s="181" t="n">
        <v>34.1565</v>
      </c>
      <c r="F267" s="181" t="n">
        <v>1166.6679</v>
      </c>
      <c r="G267" s="181" t="n">
        <v>0.916719</v>
      </c>
      <c r="H267" s="181" t="n">
        <v>0.89053</v>
      </c>
      <c r="I267" s="181" t="inlineStr"/>
    </row>
    <row r="268" ht="15" customHeight="1" s="28">
      <c r="A268" s="182" t="n">
        <v>258</v>
      </c>
      <c r="B268" s="182" t="n">
        <v>257</v>
      </c>
      <c r="C268" s="182" t="n">
        <v>4783.07</v>
      </c>
      <c r="D268" s="182" t="n">
        <v>4748.5959</v>
      </c>
      <c r="E268" s="182" t="n">
        <v>34.4741</v>
      </c>
      <c r="F268" s="182" t="n">
        <v>1188.4649</v>
      </c>
      <c r="G268" s="182" t="n">
        <v>0.94253</v>
      </c>
      <c r="H268" s="182" t="n">
        <v>0.924117</v>
      </c>
      <c r="I268" s="182" t="inlineStr"/>
    </row>
    <row r="269" ht="15" customHeight="1" s="28">
      <c r="A269" s="181" t="n">
        <v>259</v>
      </c>
      <c r="B269" s="181" t="n">
        <v>258</v>
      </c>
      <c r="C269" s="181" t="n">
        <v>4786.25</v>
      </c>
      <c r="D269" s="181" t="n">
        <v>4748.3283</v>
      </c>
      <c r="E269" s="181" t="n">
        <v>37.9217</v>
      </c>
      <c r="F269" s="181" t="n">
        <v>1438.0576</v>
      </c>
      <c r="G269" s="181" t="n">
        <v>1.254527</v>
      </c>
      <c r="H269" s="181" t="n">
        <v>1.353028</v>
      </c>
      <c r="I269" s="181" t="inlineStr"/>
    </row>
    <row r="270" ht="15" customHeight="1" s="28">
      <c r="A270" s="182" t="n">
        <v>260</v>
      </c>
      <c r="B270" s="182" t="n">
        <v>259</v>
      </c>
      <c r="C270" s="182" t="n">
        <v>4789.79</v>
      </c>
      <c r="D270" s="182" t="n">
        <v>4748.0607</v>
      </c>
      <c r="E270" s="182" t="n">
        <v>41.7293</v>
      </c>
      <c r="F270" s="182" t="n">
        <v>1741.337</v>
      </c>
      <c r="G270" s="182" t="n">
        <v>1.671629</v>
      </c>
      <c r="H270" s="182" t="n">
        <v>1.9839</v>
      </c>
      <c r="I270" s="182" t="inlineStr"/>
    </row>
    <row r="271" ht="15" customHeight="1" s="28">
      <c r="A271" s="181" t="n">
        <v>261</v>
      </c>
      <c r="B271" s="181" t="n">
        <v>260</v>
      </c>
      <c r="C271" s="181" t="n">
        <v>4781.77</v>
      </c>
      <c r="D271" s="181" t="n">
        <v>4747.7931</v>
      </c>
      <c r="E271" s="181" t="n">
        <v>33.9769</v>
      </c>
      <c r="F271" s="181" t="n">
        <v>1154.4325</v>
      </c>
      <c r="G271" s="181" t="n">
        <v>0.902336</v>
      </c>
      <c r="H271" s="181" t="n">
        <v>0.871949</v>
      </c>
      <c r="I271" s="181" t="inlineStr"/>
    </row>
    <row r="272" ht="15" customHeight="1" s="28">
      <c r="A272" s="182" t="n">
        <v>262</v>
      </c>
      <c r="B272" s="182" t="n">
        <v>261</v>
      </c>
      <c r="C272" s="182" t="n">
        <v>4783.57</v>
      </c>
      <c r="D272" s="182" t="n">
        <v>4747.5255</v>
      </c>
      <c r="E272" s="182" t="n">
        <v>36.0445</v>
      </c>
      <c r="F272" s="182" t="n">
        <v>1299.2089</v>
      </c>
      <c r="G272" s="182" t="n">
        <v>1.077294</v>
      </c>
      <c r="H272" s="182" t="n">
        <v>1.104364</v>
      </c>
      <c r="I272" s="182" t="inlineStr"/>
    </row>
    <row r="273" ht="15" customHeight="1" s="28">
      <c r="A273" s="181" t="n">
        <v>263</v>
      </c>
      <c r="B273" s="181" t="n">
        <v>262</v>
      </c>
      <c r="C273" s="181" t="n">
        <v>4793.1</v>
      </c>
      <c r="D273" s="181" t="n">
        <v>4747.2579</v>
      </c>
      <c r="E273" s="181" t="n">
        <v>45.8421</v>
      </c>
      <c r="F273" s="181" t="n">
        <v>2101.5018</v>
      </c>
      <c r="G273" s="181" t="n">
        <v>2.216207</v>
      </c>
      <c r="H273" s="181" t="n">
        <v>2.88944</v>
      </c>
      <c r="I273" s="181" t="inlineStr"/>
    </row>
    <row r="274" ht="15" customHeight="1" s="28">
      <c r="A274" s="182" t="n">
        <v>264</v>
      </c>
      <c r="B274" s="182" t="n">
        <v>263</v>
      </c>
      <c r="C274" s="182" t="n">
        <v>4794.61</v>
      </c>
      <c r="D274" s="182" t="n">
        <v>4746.9902</v>
      </c>
      <c r="E274" s="182" t="n">
        <v>47.6197</v>
      </c>
      <c r="F274" s="182" t="n">
        <v>2267.6406</v>
      </c>
      <c r="G274" s="182" t="n">
        <v>2.484145</v>
      </c>
      <c r="H274" s="182" t="n">
        <v>3.364361</v>
      </c>
      <c r="I274" s="182" t="inlineStr"/>
    </row>
    <row r="275" ht="15" customHeight="1" s="28">
      <c r="A275" s="181" t="n">
        <v>265</v>
      </c>
      <c r="B275" s="181" t="n">
        <v>264</v>
      </c>
      <c r="C275" s="181" t="n">
        <v>4791.06</v>
      </c>
      <c r="D275" s="181" t="n">
        <v>4746.7226</v>
      </c>
      <c r="E275" s="181" t="n">
        <v>44.3374</v>
      </c>
      <c r="F275" s="181" t="n">
        <v>1965.8006</v>
      </c>
      <c r="G275" s="181" t="n">
        <v>2.005048</v>
      </c>
      <c r="H275" s="181" t="n">
        <v>2.528326</v>
      </c>
      <c r="I275" s="181" t="inlineStr"/>
    </row>
    <row r="276" ht="15" customHeight="1" s="28">
      <c r="A276" s="182" t="n">
        <v>266</v>
      </c>
      <c r="B276" s="182" t="n">
        <v>265</v>
      </c>
      <c r="C276" s="182" t="n">
        <v>4780.61</v>
      </c>
      <c r="D276" s="182" t="n">
        <v>4746.455</v>
      </c>
      <c r="E276" s="182" t="n">
        <v>34.155</v>
      </c>
      <c r="F276" s="182" t="n">
        <v>1166.5613</v>
      </c>
      <c r="G276" s="182" t="n">
        <v>0.916594</v>
      </c>
      <c r="H276" s="182" t="n">
        <v>0.890367</v>
      </c>
      <c r="I276" s="182" t="inlineStr"/>
    </row>
    <row r="277" ht="15" customHeight="1" s="28">
      <c r="A277" s="181" t="n">
        <v>267</v>
      </c>
      <c r="B277" s="181" t="n">
        <v>266</v>
      </c>
      <c r="C277" s="181" t="n">
        <v>4778.89</v>
      </c>
      <c r="D277" s="181" t="n">
        <v>4746.1874</v>
      </c>
      <c r="E277" s="181" t="n">
        <v>32.7026</v>
      </c>
      <c r="F277" s="181" t="n">
        <v>1069.4574</v>
      </c>
      <c r="G277" s="181" t="n">
        <v>0.8045639999999999</v>
      </c>
      <c r="H277" s="181" t="n">
        <v>0.748309</v>
      </c>
      <c r="I277" s="181" t="inlineStr"/>
    </row>
    <row r="278" ht="15" customHeight="1" s="28">
      <c r="A278" s="182" t="n">
        <v>268</v>
      </c>
      <c r="B278" s="182" t="n">
        <v>267</v>
      </c>
      <c r="C278" s="182" t="n">
        <v>4778.78</v>
      </c>
      <c r="D278" s="182" t="n">
        <v>4745.9198</v>
      </c>
      <c r="E278" s="182" t="n">
        <v>32.8602</v>
      </c>
      <c r="F278" s="182" t="n">
        <v>1079.7901</v>
      </c>
      <c r="G278" s="182" t="n">
        <v>0.816253</v>
      </c>
      <c r="H278" s="182" t="n">
        <v>0.762839</v>
      </c>
      <c r="I278" s="182" t="inlineStr"/>
    </row>
    <row r="279" ht="15" customHeight="1" s="28">
      <c r="A279" s="181" t="n">
        <v>269</v>
      </c>
      <c r="B279" s="181" t="n">
        <v>268</v>
      </c>
      <c r="C279" s="181" t="n">
        <v>4765.33</v>
      </c>
      <c r="D279" s="181" t="n">
        <v>4745.6522</v>
      </c>
      <c r="E279" s="181" t="n">
        <v>19.6778</v>
      </c>
      <c r="F279" s="181" t="n">
        <v>387.2146</v>
      </c>
      <c r="G279" s="181" t="n">
        <v>0.175284</v>
      </c>
      <c r="H279" s="181" t="n">
        <v>0.098097</v>
      </c>
      <c r="I279" s="181" t="inlineStr"/>
    </row>
    <row r="280" ht="15" customHeight="1" s="28">
      <c r="A280" s="182" t="n">
        <v>270</v>
      </c>
      <c r="B280" s="182" t="n">
        <v>269</v>
      </c>
      <c r="C280" s="182" t="n">
        <v>4774.96</v>
      </c>
      <c r="D280" s="182" t="n">
        <v>4745.3846</v>
      </c>
      <c r="E280" s="182" t="n">
        <v>29.5754</v>
      </c>
      <c r="F280" s="182" t="n">
        <v>874.7025</v>
      </c>
      <c r="G280" s="182" t="n">
        <v>0.595122</v>
      </c>
      <c r="H280" s="182" t="n">
        <v>0.500582</v>
      </c>
      <c r="I280" s="182" t="inlineStr"/>
    </row>
    <row r="281" ht="15" customHeight="1" s="28">
      <c r="A281" s="181" t="n">
        <v>271</v>
      </c>
      <c r="B281" s="181" t="n">
        <v>270</v>
      </c>
      <c r="C281" s="181" t="n">
        <v>4789.04</v>
      </c>
      <c r="D281" s="181" t="n">
        <v>4745.117</v>
      </c>
      <c r="E281" s="181" t="n">
        <v>43.923</v>
      </c>
      <c r="F281" s="181" t="n">
        <v>1929.2282</v>
      </c>
      <c r="G281" s="181" t="n">
        <v>1.949355</v>
      </c>
      <c r="H281" s="181" t="n">
        <v>2.435125</v>
      </c>
      <c r="I281" s="181" t="inlineStr"/>
    </row>
    <row r="282" ht="15" customHeight="1" s="28">
      <c r="A282" s="182" t="n">
        <v>272</v>
      </c>
      <c r="B282" s="182" t="n">
        <v>271</v>
      </c>
      <c r="C282" s="182" t="n">
        <v>4779.16</v>
      </c>
      <c r="D282" s="182" t="n">
        <v>4744.8494</v>
      </c>
      <c r="E282" s="182" t="n">
        <v>34.3106</v>
      </c>
      <c r="F282" s="182" t="n">
        <v>1177.2159</v>
      </c>
      <c r="G282" s="182" t="n">
        <v>0.92918</v>
      </c>
      <c r="H282" s="182" t="n">
        <v>0.906706</v>
      </c>
      <c r="I282" s="182" t="inlineStr"/>
    </row>
    <row r="283" ht="15" customHeight="1" s="28">
      <c r="A283" s="181" t="n">
        <v>273</v>
      </c>
      <c r="B283" s="181" t="n">
        <v>272</v>
      </c>
      <c r="C283" s="181" t="n">
        <v>4778.53</v>
      </c>
      <c r="D283" s="181" t="n">
        <v>4744.5818</v>
      </c>
      <c r="E283" s="181" t="n">
        <v>33.9482</v>
      </c>
      <c r="F283" s="181" t="n">
        <v>1152.4796</v>
      </c>
      <c r="G283" s="181" t="n">
        <v>0.900048</v>
      </c>
      <c r="H283" s="181" t="n">
        <v>0.8690020000000001</v>
      </c>
      <c r="I283" s="181" t="inlineStr"/>
    </row>
    <row r="284" ht="15" customHeight="1" s="28">
      <c r="A284" s="182" t="n">
        <v>274</v>
      </c>
      <c r="B284" s="182" t="n">
        <v>273</v>
      </c>
      <c r="C284" s="182" t="n">
        <v>4774.24</v>
      </c>
      <c r="D284" s="182" t="n">
        <v>4744.3142</v>
      </c>
      <c r="E284" s="182" t="n">
        <v>29.9258</v>
      </c>
      <c r="F284" s="182" t="n">
        <v>895.5529</v>
      </c>
      <c r="G284" s="182" t="n">
        <v>0.616528</v>
      </c>
      <c r="H284" s="182" t="n">
        <v>0.5247309999999999</v>
      </c>
      <c r="I284" s="182" t="inlineStr"/>
    </row>
    <row r="285" ht="15" customHeight="1" s="28">
      <c r="A285" s="181" t="n">
        <v>275</v>
      </c>
      <c r="B285" s="181" t="n">
        <v>274</v>
      </c>
      <c r="C285" s="181" t="n">
        <v>4744.7</v>
      </c>
      <c r="D285" s="181" t="n">
        <v>4744.0466</v>
      </c>
      <c r="E285" s="181" t="n">
        <v>0.6534</v>
      </c>
      <c r="F285" s="181" t="n">
        <v>0.4269</v>
      </c>
      <c r="G285" s="181" t="n">
        <v>6e-06</v>
      </c>
      <c r="H285" s="181" t="n">
        <v>0</v>
      </c>
      <c r="I285" s="181" t="inlineStr"/>
    </row>
    <row r="286" ht="15" customHeight="1" s="28">
      <c r="A286" s="182" t="n">
        <v>276</v>
      </c>
      <c r="B286" s="182" t="n">
        <v>275</v>
      </c>
      <c r="C286" s="182" t="n">
        <v>4738.97</v>
      </c>
      <c r="D286" s="182" t="n">
        <v>4743.779</v>
      </c>
      <c r="E286" s="182" t="n">
        <v>-4.809</v>
      </c>
      <c r="F286" s="182" t="n">
        <v>23.1265</v>
      </c>
      <c r="G286" s="182" t="n">
        <v>-0.002558</v>
      </c>
      <c r="H286" s="182" t="n">
        <v>0.00035</v>
      </c>
      <c r="I286" s="182" t="inlineStr"/>
    </row>
    <row r="287" ht="15" customHeight="1" s="28">
      <c r="A287" s="181" t="n">
        <v>277</v>
      </c>
      <c r="B287" s="181" t="n">
        <v>276</v>
      </c>
      <c r="C287" s="181" t="n">
        <v>4748.21</v>
      </c>
      <c r="D287" s="181" t="n">
        <v>4743.5114</v>
      </c>
      <c r="E287" s="181" t="n">
        <v>4.6986</v>
      </c>
      <c r="F287" s="181" t="n">
        <v>22.0768</v>
      </c>
      <c r="G287" s="181" t="n">
        <v>0.002386</v>
      </c>
      <c r="H287" s="181" t="n">
        <v>0.000319</v>
      </c>
      <c r="I287" s="181" t="inlineStr"/>
    </row>
    <row r="288" ht="15" customHeight="1" s="28">
      <c r="A288" s="182" t="n">
        <v>278</v>
      </c>
      <c r="B288" s="182" t="n">
        <v>277</v>
      </c>
      <c r="C288" s="182" t="n">
        <v>4742.57</v>
      </c>
      <c r="D288" s="182" t="n">
        <v>4743.2438</v>
      </c>
      <c r="E288" s="182" t="n">
        <v>-0.6738</v>
      </c>
      <c r="F288" s="182" t="n">
        <v>0.454</v>
      </c>
      <c r="G288" s="182" t="n">
        <v>-7e-06</v>
      </c>
      <c r="H288" s="182" t="n">
        <v>0</v>
      </c>
      <c r="I288" s="182" t="inlineStr"/>
    </row>
    <row r="289" ht="15" customHeight="1" s="28">
      <c r="A289" s="181" t="n">
        <v>279</v>
      </c>
      <c r="B289" s="181" t="n">
        <v>278</v>
      </c>
      <c r="C289" s="181" t="n">
        <v>4745.93</v>
      </c>
      <c r="D289" s="181" t="n">
        <v>4742.9762</v>
      </c>
      <c r="E289" s="181" t="n">
        <v>2.9538</v>
      </c>
      <c r="F289" s="181" t="n">
        <v>8.725</v>
      </c>
      <c r="G289" s="181" t="n">
        <v>0.000593</v>
      </c>
      <c r="H289" s="181" t="n">
        <v>5e-05</v>
      </c>
      <c r="I289" s="181" t="inlineStr"/>
    </row>
    <row r="290" ht="15" customHeight="1" s="28">
      <c r="A290" s="182" t="n">
        <v>280</v>
      </c>
      <c r="B290" s="182" t="n">
        <v>279</v>
      </c>
      <c r="C290" s="182" t="n">
        <v>4741.81</v>
      </c>
      <c r="D290" s="182" t="n">
        <v>4742.7086</v>
      </c>
      <c r="E290" s="182" t="n">
        <v>-0.8986</v>
      </c>
      <c r="F290" s="182" t="n">
        <v>0.8075</v>
      </c>
      <c r="G290" s="182" t="n">
        <v>-1.7e-05</v>
      </c>
      <c r="H290" s="182" t="n">
        <v>0</v>
      </c>
      <c r="I290" s="182" t="inlineStr"/>
    </row>
    <row r="291" ht="15" customHeight="1" s="28">
      <c r="A291" s="181" t="n">
        <v>281</v>
      </c>
      <c r="B291" s="181" t="n">
        <v>280</v>
      </c>
      <c r="C291" s="181" t="n">
        <v>4730.44</v>
      </c>
      <c r="D291" s="181" t="n">
        <v>4742.441</v>
      </c>
      <c r="E291" s="181" t="n">
        <v>-12.001</v>
      </c>
      <c r="F291" s="181" t="n">
        <v>144.0235</v>
      </c>
      <c r="G291" s="181" t="n">
        <v>-0.039762</v>
      </c>
      <c r="H291" s="181" t="n">
        <v>0.013571</v>
      </c>
      <c r="I291" s="181" t="inlineStr"/>
    </row>
    <row r="292" ht="15" customHeight="1" s="28">
      <c r="A292" s="182" t="n">
        <v>282</v>
      </c>
      <c r="B292" s="182" t="n">
        <v>281</v>
      </c>
      <c r="C292" s="182" t="n">
        <v>4720.86</v>
      </c>
      <c r="D292" s="182" t="n">
        <v>4742.1734</v>
      </c>
      <c r="E292" s="182" t="n">
        <v>-21.3134</v>
      </c>
      <c r="F292" s="182" t="n">
        <v>454.2602</v>
      </c>
      <c r="G292" s="182" t="n">
        <v>-0.222727</v>
      </c>
      <c r="H292" s="182" t="n">
        <v>0.135009</v>
      </c>
      <c r="I292" s="182" t="inlineStr"/>
    </row>
    <row r="293" ht="15" customHeight="1" s="28">
      <c r="A293" s="181" t="n">
        <v>283</v>
      </c>
      <c r="B293" s="181" t="n">
        <v>282</v>
      </c>
      <c r="C293" s="181" t="n">
        <v>4721.05</v>
      </c>
      <c r="D293" s="181" t="n">
        <v>4741.9058</v>
      </c>
      <c r="E293" s="181" t="n">
        <v>-20.8558</v>
      </c>
      <c r="F293" s="181" t="n">
        <v>434.9631</v>
      </c>
      <c r="G293" s="181" t="n">
        <v>-0.208686</v>
      </c>
      <c r="H293" s="181" t="n">
        <v>0.123782</v>
      </c>
      <c r="I293" s="181" t="inlineStr"/>
    </row>
    <row r="294" ht="15" customHeight="1" s="28">
      <c r="A294" s="182" t="n">
        <v>284</v>
      </c>
      <c r="B294" s="182" t="n">
        <v>283</v>
      </c>
      <c r="C294" s="182" t="n">
        <v>4711.56</v>
      </c>
      <c r="D294" s="182" t="n">
        <v>4741.6382</v>
      </c>
      <c r="E294" s="182" t="n">
        <v>-30.0782</v>
      </c>
      <c r="F294" s="182" t="n">
        <v>904.6963</v>
      </c>
      <c r="G294" s="182" t="n">
        <v>-0.625993</v>
      </c>
      <c r="H294" s="182" t="n">
        <v>0.5355</v>
      </c>
      <c r="I294" s="182" t="inlineStr"/>
    </row>
    <row r="295" ht="15" customHeight="1" s="28">
      <c r="A295" s="181" t="n">
        <v>285</v>
      </c>
      <c r="B295" s="181" t="n">
        <v>284</v>
      </c>
      <c r="C295" s="181" t="n">
        <v>4706.5</v>
      </c>
      <c r="D295" s="181" t="n">
        <v>4741.3706</v>
      </c>
      <c r="E295" s="181" t="n">
        <v>-34.8706</v>
      </c>
      <c r="F295" s="181" t="n">
        <v>1215.9567</v>
      </c>
      <c r="G295" s="181" t="n">
        <v>-0.975422</v>
      </c>
      <c r="H295" s="181" t="n">
        <v>0.967365</v>
      </c>
      <c r="I295" s="181" t="inlineStr"/>
    </row>
    <row r="296" ht="15" customHeight="1" s="28">
      <c r="A296" s="182" t="n">
        <v>286</v>
      </c>
      <c r="B296" s="182" t="n">
        <v>285</v>
      </c>
      <c r="C296" s="182" t="n">
        <v>4700.29</v>
      </c>
      <c r="D296" s="182" t="n">
        <v>4741.103</v>
      </c>
      <c r="E296" s="182" t="n">
        <v>-40.813</v>
      </c>
      <c r="F296" s="182" t="n">
        <v>1665.6977</v>
      </c>
      <c r="G296" s="182" t="n">
        <v>-1.563903</v>
      </c>
      <c r="H296" s="182" t="n">
        <v>1.815292</v>
      </c>
      <c r="I296" s="182" t="inlineStr"/>
    </row>
    <row r="297" ht="15" customHeight="1" s="28">
      <c r="A297" s="181" t="n">
        <v>287</v>
      </c>
      <c r="B297" s="181" t="n">
        <v>286</v>
      </c>
      <c r="C297" s="181" t="n">
        <v>4717.89</v>
      </c>
      <c r="D297" s="181" t="n">
        <v>4740.8354</v>
      </c>
      <c r="E297" s="181" t="n">
        <v>-22.9454</v>
      </c>
      <c r="F297" s="181" t="n">
        <v>526.4895</v>
      </c>
      <c r="G297" s="181" t="n">
        <v>-0.277907</v>
      </c>
      <c r="H297" s="181" t="n">
        <v>0.181357</v>
      </c>
      <c r="I297" s="181" t="inlineStr"/>
    </row>
    <row r="298" ht="15" customHeight="1" s="28">
      <c r="A298" s="182" t="n">
        <v>288</v>
      </c>
      <c r="B298" s="182" t="n">
        <v>287</v>
      </c>
      <c r="C298" s="182" t="n">
        <v>4711.38</v>
      </c>
      <c r="D298" s="182" t="n">
        <v>4740.5678</v>
      </c>
      <c r="E298" s="182" t="n">
        <v>-29.1878</v>
      </c>
      <c r="F298" s="182" t="n">
        <v>851.9248</v>
      </c>
      <c r="G298" s="182" t="n">
        <v>-0.572028</v>
      </c>
      <c r="H298" s="182" t="n">
        <v>0.47485</v>
      </c>
      <c r="I298" s="182" t="inlineStr"/>
    </row>
    <row r="299" ht="15" customHeight="1" s="28">
      <c r="A299" s="181" t="n">
        <v>289</v>
      </c>
      <c r="B299" s="181" t="n">
        <v>288</v>
      </c>
      <c r="C299" s="181" t="n">
        <v>4704.63</v>
      </c>
      <c r="D299" s="181" t="n">
        <v>4740.3002</v>
      </c>
      <c r="E299" s="181" t="n">
        <v>-35.6701</v>
      </c>
      <c r="F299" s="181" t="n">
        <v>1272.3596</v>
      </c>
      <c r="G299" s="181" t="n">
        <v>-1.044072</v>
      </c>
      <c r="H299" s="181" t="n">
        <v>1.05919</v>
      </c>
      <c r="I299" s="181" t="inlineStr"/>
    </row>
    <row r="300" ht="15" customHeight="1" s="28">
      <c r="A300" s="182" t="n">
        <v>290</v>
      </c>
      <c r="B300" s="182" t="n">
        <v>289</v>
      </c>
      <c r="C300" s="182" t="n">
        <v>4696.62</v>
      </c>
      <c r="D300" s="182" t="n">
        <v>4740.0325</v>
      </c>
      <c r="E300" s="182" t="n">
        <v>-43.4126</v>
      </c>
      <c r="F300" s="182" t="n">
        <v>1884.6495</v>
      </c>
      <c r="G300" s="182" t="n">
        <v>-1.882181</v>
      </c>
      <c r="H300" s="182" t="n">
        <v>2.323889</v>
      </c>
      <c r="I300" s="182" t="inlineStr"/>
    </row>
    <row r="301" ht="15" customHeight="1" s="28">
      <c r="A301" s="181" t="n">
        <v>291</v>
      </c>
      <c r="B301" s="181" t="n">
        <v>290</v>
      </c>
      <c r="C301" s="181" t="n">
        <v>4703.21</v>
      </c>
      <c r="D301" s="181" t="n">
        <v>4739.7649</v>
      </c>
      <c r="E301" s="181" t="n">
        <v>-36.5549</v>
      </c>
      <c r="F301" s="181" t="n">
        <v>1336.2636</v>
      </c>
      <c r="G301" s="181" t="n">
        <v>-1.123709</v>
      </c>
      <c r="H301" s="181" t="n">
        <v>1.168257</v>
      </c>
      <c r="I301" s="181" t="inlineStr"/>
    </row>
    <row r="302" ht="15" customHeight="1" s="28">
      <c r="A302" s="182" t="n">
        <v>292</v>
      </c>
      <c r="B302" s="182" t="n">
        <v>291</v>
      </c>
      <c r="C302" s="182" t="n">
        <v>4709.51</v>
      </c>
      <c r="D302" s="182" t="n">
        <v>4739.4973</v>
      </c>
      <c r="E302" s="182" t="n">
        <v>-29.9873</v>
      </c>
      <c r="F302" s="182" t="n">
        <v>899.2406</v>
      </c>
      <c r="G302" s="182" t="n">
        <v>-0.620339</v>
      </c>
      <c r="H302" s="182" t="n">
        <v>0.529061</v>
      </c>
      <c r="I302" s="182" t="inlineStr"/>
    </row>
    <row r="303" ht="15" customHeight="1" s="28">
      <c r="A303" s="181" t="n">
        <v>293</v>
      </c>
      <c r="B303" s="181" t="n">
        <v>292</v>
      </c>
      <c r="C303" s="181" t="n">
        <v>4707.33</v>
      </c>
      <c r="D303" s="181" t="n">
        <v>4739.2297</v>
      </c>
      <c r="E303" s="181" t="n">
        <v>-31.8997</v>
      </c>
      <c r="F303" s="181" t="n">
        <v>1017.5928</v>
      </c>
      <c r="G303" s="181" t="n">
        <v>-0.746752</v>
      </c>
      <c r="H303" s="181" t="n">
        <v>0.677489</v>
      </c>
      <c r="I303" s="181" t="inlineStr"/>
    </row>
    <row r="304" ht="15" customHeight="1" s="28">
      <c r="A304" s="182" t="n">
        <v>294</v>
      </c>
      <c r="B304" s="182" t="n">
        <v>293</v>
      </c>
      <c r="C304" s="182" t="n">
        <v>4714.21</v>
      </c>
      <c r="D304" s="182" t="n">
        <v>4738.9621</v>
      </c>
      <c r="E304" s="182" t="n">
        <v>-24.7521</v>
      </c>
      <c r="F304" s="182" t="n">
        <v>612.6679</v>
      </c>
      <c r="G304" s="182" t="n">
        <v>-0.348862</v>
      </c>
      <c r="H304" s="182" t="n">
        <v>0.245586</v>
      </c>
      <c r="I304" s="182" t="inlineStr"/>
    </row>
    <row r="305" ht="15" customHeight="1" s="28">
      <c r="A305" s="181" t="n">
        <v>295</v>
      </c>
      <c r="B305" s="181" t="n">
        <v>294</v>
      </c>
      <c r="C305" s="181" t="n">
        <v>4671.47</v>
      </c>
      <c r="D305" s="181" t="n">
        <v>4738.6945</v>
      </c>
      <c r="E305" s="181" t="n">
        <v>-67.22450000000001</v>
      </c>
      <c r="F305" s="181" t="n">
        <v>4519.1361</v>
      </c>
      <c r="G305" s="181" t="n">
        <v>-6.988737</v>
      </c>
      <c r="H305" s="181" t="n">
        <v>13.3618</v>
      </c>
      <c r="I305" s="181" t="inlineStr"/>
    </row>
    <row r="306" ht="15" customHeight="1" s="28">
      <c r="A306" s="182" t="n">
        <v>296</v>
      </c>
      <c r="B306" s="182" t="n">
        <v>295</v>
      </c>
      <c r="C306" s="182" t="n">
        <v>4679.23</v>
      </c>
      <c r="D306" s="182" t="n">
        <v>4738.4269</v>
      </c>
      <c r="E306" s="182" t="n">
        <v>-59.1969</v>
      </c>
      <c r="F306" s="182" t="n">
        <v>3504.2753</v>
      </c>
      <c r="G306" s="182" t="n">
        <v>-4.772137</v>
      </c>
      <c r="H306" s="182" t="n">
        <v>8.034345999999999</v>
      </c>
      <c r="I306" s="182" t="inlineStr"/>
    </row>
    <row r="307" ht="15" customHeight="1" s="28">
      <c r="A307" s="181" t="n">
        <v>297</v>
      </c>
      <c r="B307" s="181" t="n">
        <v>296</v>
      </c>
      <c r="C307" s="181" t="n">
        <v>4696.98</v>
      </c>
      <c r="D307" s="181" t="n">
        <v>4738.1593</v>
      </c>
      <c r="E307" s="181" t="n">
        <v>-41.1793</v>
      </c>
      <c r="F307" s="181" t="n">
        <v>1695.7364</v>
      </c>
      <c r="G307" s="181" t="n">
        <v>-1.606398</v>
      </c>
      <c r="H307" s="181" t="n">
        <v>1.881355</v>
      </c>
      <c r="I307" s="181" t="inlineStr"/>
    </row>
    <row r="308" ht="15" customHeight="1" s="28">
      <c r="A308" s="182" t="n">
        <v>298</v>
      </c>
      <c r="B308" s="182" t="n">
        <v>297</v>
      </c>
      <c r="C308" s="182" t="n">
        <v>4705.65</v>
      </c>
      <c r="D308" s="182" t="n">
        <v>4737.8917</v>
      </c>
      <c r="E308" s="182" t="n">
        <v>-32.2417</v>
      </c>
      <c r="F308" s="182" t="n">
        <v>1039.5279</v>
      </c>
      <c r="G308" s="182" t="n">
        <v>-0.771027</v>
      </c>
      <c r="H308" s="182" t="n">
        <v>0.7070109999999999</v>
      </c>
      <c r="I308" s="182" t="inlineStr"/>
    </row>
    <row r="309" ht="15" customHeight="1" s="28">
      <c r="A309" s="181" t="n">
        <v>299</v>
      </c>
      <c r="B309" s="181" t="n">
        <v>298</v>
      </c>
      <c r="C309" s="181" t="n">
        <v>4711.42</v>
      </c>
      <c r="D309" s="181" t="n">
        <v>4737.6241</v>
      </c>
      <c r="E309" s="181" t="n">
        <v>-26.2041</v>
      </c>
      <c r="F309" s="181" t="n">
        <v>686.6554</v>
      </c>
      <c r="G309" s="181" t="n">
        <v>-0.413927</v>
      </c>
      <c r="H309" s="181" t="n">
        <v>0.308483</v>
      </c>
      <c r="I309" s="181" t="inlineStr"/>
    </row>
    <row r="310" ht="15" customHeight="1" s="28">
      <c r="A310" s="182" t="n">
        <v>300</v>
      </c>
      <c r="B310" s="182" t="n">
        <v>299</v>
      </c>
      <c r="C310" s="182" t="n">
        <v>4720.16</v>
      </c>
      <c r="D310" s="182" t="n">
        <v>4737.3565</v>
      </c>
      <c r="E310" s="182" t="n">
        <v>-17.1965</v>
      </c>
      <c r="F310" s="182" t="n">
        <v>295.7196</v>
      </c>
      <c r="G310" s="182" t="n">
        <v>-0.116987</v>
      </c>
      <c r="H310" s="182" t="n">
        <v>0.057216</v>
      </c>
      <c r="I310" s="182" t="inlineStr"/>
    </row>
    <row r="311" ht="15" customHeight="1" s="28">
      <c r="A311" s="181" t="n">
        <v>301</v>
      </c>
      <c r="B311" s="181" t="n">
        <v>300</v>
      </c>
      <c r="C311" s="181" t="n">
        <v>4721.88</v>
      </c>
      <c r="D311" s="181" t="n">
        <v>4737.0889</v>
      </c>
      <c r="E311" s="181" t="n">
        <v>-15.2089</v>
      </c>
      <c r="F311" s="181" t="n">
        <v>231.3106</v>
      </c>
      <c r="G311" s="181" t="n">
        <v>-0.08093</v>
      </c>
      <c r="H311" s="181" t="n">
        <v>0.035006</v>
      </c>
      <c r="I311" s="181" t="inlineStr"/>
    </row>
    <row r="312" ht="15" customHeight="1" s="28">
      <c r="A312" s="182" t="n">
        <v>302</v>
      </c>
      <c r="B312" s="182" t="n">
        <v>301</v>
      </c>
      <c r="C312" s="182" t="n">
        <v>4719.05</v>
      </c>
      <c r="D312" s="182" t="n">
        <v>4736.8213</v>
      </c>
      <c r="E312" s="182" t="n">
        <v>-17.7713</v>
      </c>
      <c r="F312" s="182" t="n">
        <v>315.8191</v>
      </c>
      <c r="G312" s="182" t="n">
        <v>-0.129114</v>
      </c>
      <c r="H312" s="182" t="n">
        <v>0.065258</v>
      </c>
      <c r="I312" s="182" t="inlineStr"/>
    </row>
    <row r="313" ht="15" customHeight="1" s="28">
      <c r="A313" s="181" t="n">
        <v>303</v>
      </c>
      <c r="B313" s="181" t="n">
        <v>302</v>
      </c>
      <c r="C313" s="181" t="n">
        <v>4716.95</v>
      </c>
      <c r="D313" s="181" t="n">
        <v>4736.5537</v>
      </c>
      <c r="E313" s="181" t="n">
        <v>-19.6037</v>
      </c>
      <c r="F313" s="181" t="n">
        <v>384.3047</v>
      </c>
      <c r="G313" s="181" t="n">
        <v>-0.173312</v>
      </c>
      <c r="H313" s="181" t="n">
        <v>0.09662900000000001</v>
      </c>
      <c r="I313" s="181" t="inlineStr"/>
    </row>
    <row r="314" ht="15" customHeight="1" s="28">
      <c r="A314" s="182" t="n">
        <v>304</v>
      </c>
      <c r="B314" s="182" t="n">
        <v>303</v>
      </c>
      <c r="C314" s="182" t="n">
        <v>4719.51</v>
      </c>
      <c r="D314" s="182" t="n">
        <v>4736.2861</v>
      </c>
      <c r="E314" s="182" t="n">
        <v>-16.7761</v>
      </c>
      <c r="F314" s="182" t="n">
        <v>281.4372</v>
      </c>
      <c r="G314" s="182" t="n">
        <v>-0.108615</v>
      </c>
      <c r="H314" s="182" t="n">
        <v>0.051822</v>
      </c>
      <c r="I314" s="182" t="inlineStr"/>
    </row>
    <row r="315" ht="15" customHeight="1" s="28">
      <c r="A315" s="181" t="n">
        <v>305</v>
      </c>
      <c r="B315" s="181" t="n">
        <v>304</v>
      </c>
      <c r="C315" s="181" t="n">
        <v>4727.47</v>
      </c>
      <c r="D315" s="181" t="n">
        <v>4736.0185</v>
      </c>
      <c r="E315" s="181" t="n">
        <v>-8.548500000000001</v>
      </c>
      <c r="F315" s="181" t="n">
        <v>73.0765</v>
      </c>
      <c r="G315" s="181" t="n">
        <v>-0.014371</v>
      </c>
      <c r="H315" s="181" t="n">
        <v>0.003494</v>
      </c>
      <c r="I315" s="181" t="inlineStr"/>
    </row>
    <row r="316" ht="15" customHeight="1" s="28">
      <c r="A316" s="182" t="n">
        <v>306</v>
      </c>
      <c r="B316" s="182" t="n">
        <v>305</v>
      </c>
      <c r="C316" s="182" t="n">
        <v>4730</v>
      </c>
      <c r="D316" s="182" t="n">
        <v>4735.7509</v>
      </c>
      <c r="E316" s="182" t="n">
        <v>-5.7509</v>
      </c>
      <c r="F316" s="182" t="n">
        <v>33.0726</v>
      </c>
      <c r="G316" s="182" t="n">
        <v>-0.004375</v>
      </c>
      <c r="H316" s="182" t="n">
        <v>0.0007159999999999999</v>
      </c>
      <c r="I316" s="182" t="inlineStr"/>
    </row>
    <row r="317" ht="15" customHeight="1" s="28">
      <c r="A317" s="181" t="n">
        <v>307</v>
      </c>
      <c r="B317" s="181" t="n">
        <v>306</v>
      </c>
      <c r="C317" s="181" t="n">
        <v>4731.94</v>
      </c>
      <c r="D317" s="181" t="n">
        <v>4735.4833</v>
      </c>
      <c r="E317" s="181" t="n">
        <v>-3.5433</v>
      </c>
      <c r="F317" s="181" t="n">
        <v>12.5548</v>
      </c>
      <c r="G317" s="181" t="n">
        <v>-0.001023</v>
      </c>
      <c r="H317" s="181" t="n">
        <v>0.000103</v>
      </c>
      <c r="I317" s="181" t="inlineStr"/>
    </row>
    <row r="318" ht="15" customHeight="1" s="28">
      <c r="A318" s="182" t="n">
        <v>308</v>
      </c>
      <c r="B318" s="182" t="n">
        <v>307</v>
      </c>
      <c r="C318" s="182" t="n">
        <v>4737.96</v>
      </c>
      <c r="D318" s="182" t="n">
        <v>4735.2157</v>
      </c>
      <c r="E318" s="182" t="n">
        <v>2.7443</v>
      </c>
      <c r="F318" s="182" t="n">
        <v>7.5313</v>
      </c>
      <c r="G318" s="182" t="n">
        <v>0.000475</v>
      </c>
      <c r="H318" s="182" t="n">
        <v>3.7e-05</v>
      </c>
      <c r="I318" s="182" t="inlineStr"/>
    </row>
    <row r="319" ht="15" customHeight="1" s="28">
      <c r="A319" s="181" t="n">
        <v>309</v>
      </c>
      <c r="B319" s="181" t="n">
        <v>308</v>
      </c>
      <c r="C319" s="181" t="n">
        <v>4742.93</v>
      </c>
      <c r="D319" s="181" t="n">
        <v>4734.9481</v>
      </c>
      <c r="E319" s="181" t="n">
        <v>7.9819</v>
      </c>
      <c r="F319" s="181" t="n">
        <v>63.7112</v>
      </c>
      <c r="G319" s="181" t="n">
        <v>0.011699</v>
      </c>
      <c r="H319" s="181" t="n">
        <v>0.002656</v>
      </c>
      <c r="I319" s="181" t="inlineStr"/>
    </row>
    <row r="320" ht="15" customHeight="1" s="28">
      <c r="A320" s="182" t="n">
        <v>310</v>
      </c>
      <c r="B320" s="182" t="n">
        <v>309</v>
      </c>
      <c r="C320" s="182" t="n">
        <v>4742.51</v>
      </c>
      <c r="D320" s="182" t="n">
        <v>4734.6805</v>
      </c>
      <c r="E320" s="182" t="n">
        <v>7.8295</v>
      </c>
      <c r="F320" s="182" t="n">
        <v>61.3017</v>
      </c>
      <c r="G320" s="182" t="n">
        <v>0.011041</v>
      </c>
      <c r="H320" s="182" t="n">
        <v>0.002459</v>
      </c>
      <c r="I320" s="182" t="inlineStr"/>
    </row>
    <row r="321" ht="15" customHeight="1" s="28">
      <c r="A321" s="181" t="n">
        <v>311</v>
      </c>
      <c r="B321" s="181" t="n">
        <v>310</v>
      </c>
      <c r="C321" s="181" t="n">
        <v>4742.11</v>
      </c>
      <c r="D321" s="181" t="n">
        <v>4734.4129</v>
      </c>
      <c r="E321" s="181" t="n">
        <v>7.6971</v>
      </c>
      <c r="F321" s="181" t="n">
        <v>59.246</v>
      </c>
      <c r="G321" s="181" t="n">
        <v>0.010491</v>
      </c>
      <c r="H321" s="181" t="n">
        <v>0.002297</v>
      </c>
      <c r="I321" s="181" t="inlineStr"/>
    </row>
    <row r="322" ht="15" customHeight="1" s="28">
      <c r="A322" s="182" t="n">
        <v>312</v>
      </c>
      <c r="B322" s="182" t="n">
        <v>311</v>
      </c>
      <c r="C322" s="182" t="n">
        <v>4739.77</v>
      </c>
      <c r="D322" s="182" t="n">
        <v>4734.1453</v>
      </c>
      <c r="E322" s="182" t="n">
        <v>5.6247</v>
      </c>
      <c r="F322" s="182" t="n">
        <v>31.6377</v>
      </c>
      <c r="G322" s="182" t="n">
        <v>0.004094</v>
      </c>
      <c r="H322" s="182" t="n">
        <v>0.000655</v>
      </c>
      <c r="I322" s="182" t="inlineStr"/>
    </row>
    <row r="323" ht="15" customHeight="1" s="28">
      <c r="A323" s="181" t="n">
        <v>313</v>
      </c>
      <c r="B323" s="181" t="n">
        <v>312</v>
      </c>
      <c r="C323" s="181" t="n">
        <v>4738.28</v>
      </c>
      <c r="D323" s="181" t="n">
        <v>4733.8777</v>
      </c>
      <c r="E323" s="181" t="n">
        <v>4.4023</v>
      </c>
      <c r="F323" s="181" t="n">
        <v>19.3807</v>
      </c>
      <c r="G323" s="181" t="n">
        <v>0.001963</v>
      </c>
      <c r="H323" s="181" t="n">
        <v>0.000246</v>
      </c>
      <c r="I323" s="181" t="inlineStr"/>
    </row>
    <row r="324" ht="15" customHeight="1" s="28">
      <c r="A324" s="182" t="n">
        <v>314</v>
      </c>
      <c r="B324" s="182" t="n">
        <v>313</v>
      </c>
      <c r="C324" s="182" t="n">
        <v>4746.52</v>
      </c>
      <c r="D324" s="182" t="n">
        <v>4733.6101</v>
      </c>
      <c r="E324" s="182" t="n">
        <v>12.91</v>
      </c>
      <c r="F324" s="182" t="n">
        <v>166.6668</v>
      </c>
      <c r="G324" s="182" t="n">
        <v>0.049498</v>
      </c>
      <c r="H324" s="182" t="n">
        <v>0.018174</v>
      </c>
      <c r="I324" s="182" t="inlineStr"/>
    </row>
    <row r="325" ht="15" customHeight="1" s="28">
      <c r="A325" s="181" t="n">
        <v>315</v>
      </c>
      <c r="B325" s="181" t="n">
        <v>314</v>
      </c>
      <c r="C325" s="181" t="n">
        <v>4749.74</v>
      </c>
      <c r="D325" s="181" t="n">
        <v>4733.3424</v>
      </c>
      <c r="E325" s="181" t="n">
        <v>16.3976</v>
      </c>
      <c r="F325" s="181" t="n">
        <v>268.88</v>
      </c>
      <c r="G325" s="181" t="n">
        <v>0.101427</v>
      </c>
      <c r="H325" s="181" t="n">
        <v>0.047301</v>
      </c>
      <c r="I325" s="181" t="inlineStr"/>
    </row>
    <row r="326" ht="15" customHeight="1" s="28">
      <c r="A326" s="182" t="n">
        <v>316</v>
      </c>
      <c r="B326" s="182" t="n">
        <v>315</v>
      </c>
      <c r="C326" s="182" t="n">
        <v>4752.31</v>
      </c>
      <c r="D326" s="182" t="n">
        <v>4733.0748</v>
      </c>
      <c r="E326" s="182" t="n">
        <v>19.2352</v>
      </c>
      <c r="F326" s="182" t="n">
        <v>369.9914</v>
      </c>
      <c r="G326" s="182" t="n">
        <v>0.16372</v>
      </c>
      <c r="H326" s="182" t="n">
        <v>0.08956500000000001</v>
      </c>
      <c r="I326" s="182" t="inlineStr"/>
    </row>
    <row r="327" ht="15" customHeight="1" s="28">
      <c r="A327" s="181" t="n">
        <v>317</v>
      </c>
      <c r="B327" s="181" t="n">
        <v>316</v>
      </c>
      <c r="C327" s="181" t="n">
        <v>4755.68</v>
      </c>
      <c r="D327" s="181" t="n">
        <v>4732.8072</v>
      </c>
      <c r="E327" s="181" t="n">
        <v>22.8728</v>
      </c>
      <c r="F327" s="181" t="n">
        <v>523.1636</v>
      </c>
      <c r="G327" s="181" t="n">
        <v>0.275278</v>
      </c>
      <c r="H327" s="181" t="n">
        <v>0.179073</v>
      </c>
      <c r="I327" s="181" t="inlineStr"/>
    </row>
    <row r="328" ht="15" customHeight="1" s="28">
      <c r="A328" s="182" t="n">
        <v>318</v>
      </c>
      <c r="B328" s="182" t="n">
        <v>317</v>
      </c>
      <c r="C328" s="182" t="n">
        <v>4755.59</v>
      </c>
      <c r="D328" s="182" t="n">
        <v>4732.5396</v>
      </c>
      <c r="E328" s="182" t="n">
        <v>23.0504</v>
      </c>
      <c r="F328" s="182" t="n">
        <v>531.3196</v>
      </c>
      <c r="G328" s="182" t="n">
        <v>0.281741</v>
      </c>
      <c r="H328" s="182" t="n">
        <v>0.184699</v>
      </c>
      <c r="I328" s="182" t="inlineStr"/>
    </row>
    <row r="329" ht="15" customHeight="1" s="28">
      <c r="A329" s="181" t="n">
        <v>319</v>
      </c>
      <c r="B329" s="181" t="n">
        <v>318</v>
      </c>
      <c r="C329" s="181" t="n">
        <v>4751.37</v>
      </c>
      <c r="D329" s="181" t="n">
        <v>4732.272</v>
      </c>
      <c r="E329" s="181" t="n">
        <v>19.098</v>
      </c>
      <c r="F329" s="181" t="n">
        <v>364.7325</v>
      </c>
      <c r="G329" s="181" t="n">
        <v>0.160242</v>
      </c>
      <c r="H329" s="181" t="n">
        <v>0.087037</v>
      </c>
      <c r="I329" s="181" t="inlineStr"/>
    </row>
    <row r="330" ht="15" customHeight="1" s="28">
      <c r="A330" s="182" t="n">
        <v>320</v>
      </c>
      <c r="B330" s="182" t="n">
        <v>319</v>
      </c>
      <c r="C330" s="182" t="n">
        <v>4755.81</v>
      </c>
      <c r="D330" s="182" t="n">
        <v>4732.0044</v>
      </c>
      <c r="E330" s="182" t="n">
        <v>23.8056</v>
      </c>
      <c r="F330" s="182" t="n">
        <v>566.7056</v>
      </c>
      <c r="G330" s="182" t="n">
        <v>0.31035</v>
      </c>
      <c r="H330" s="182" t="n">
        <v>0.210121</v>
      </c>
      <c r="I330" s="182" t="inlineStr"/>
    </row>
    <row r="331" ht="15" customHeight="1" s="28">
      <c r="A331" s="181" t="n">
        <v>321</v>
      </c>
      <c r="B331" s="181" t="n">
        <v>320</v>
      </c>
      <c r="C331" s="181" t="n">
        <v>4757.61</v>
      </c>
      <c r="D331" s="181" t="n">
        <v>4731.7368</v>
      </c>
      <c r="E331" s="181" t="n">
        <v>25.8732</v>
      </c>
      <c r="F331" s="181" t="n">
        <v>669.4213999999999</v>
      </c>
      <c r="G331" s="181" t="n">
        <v>0.398442</v>
      </c>
      <c r="H331" s="181" t="n">
        <v>0.293193</v>
      </c>
      <c r="I331" s="181" t="inlineStr"/>
    </row>
    <row r="332" ht="15" customHeight="1" s="28">
      <c r="A332" s="182" t="n">
        <v>322</v>
      </c>
      <c r="B332" s="182" t="n">
        <v>321</v>
      </c>
      <c r="C332" s="182" t="n">
        <v>4763.12</v>
      </c>
      <c r="D332" s="182" t="n">
        <v>4731.4692</v>
      </c>
      <c r="E332" s="182" t="n">
        <v>31.6508</v>
      </c>
      <c r="F332" s="182" t="n">
        <v>1001.7725</v>
      </c>
      <c r="G332" s="182" t="n">
        <v>0.729406</v>
      </c>
      <c r="H332" s="182" t="n">
        <v>0.656587</v>
      </c>
      <c r="I332" s="182" t="inlineStr"/>
    </row>
    <row r="333" ht="15" customHeight="1" s="28">
      <c r="A333" s="181" t="n">
        <v>323</v>
      </c>
      <c r="B333" s="181" t="n">
        <v>322</v>
      </c>
      <c r="C333" s="181" t="n">
        <v>4759.16</v>
      </c>
      <c r="D333" s="181" t="n">
        <v>4731.2016</v>
      </c>
      <c r="E333" s="181" t="n">
        <v>27.9584</v>
      </c>
      <c r="F333" s="181" t="n">
        <v>781.6716</v>
      </c>
      <c r="G333" s="181" t="n">
        <v>0.50275</v>
      </c>
      <c r="H333" s="181" t="n">
        <v>0.399763</v>
      </c>
      <c r="I333" s="181" t="inlineStr"/>
    </row>
    <row r="334" ht="15" customHeight="1" s="28">
      <c r="A334" s="182" t="n">
        <v>324</v>
      </c>
      <c r="B334" s="182" t="n">
        <v>323</v>
      </c>
      <c r="C334" s="182" t="n">
        <v>4758.09</v>
      </c>
      <c r="D334" s="182" t="n">
        <v>4730.934</v>
      </c>
      <c r="E334" s="182" t="n">
        <v>27.156</v>
      </c>
      <c r="F334" s="182" t="n">
        <v>737.4478</v>
      </c>
      <c r="G334" s="182" t="n">
        <v>0.460694</v>
      </c>
      <c r="H334" s="182" t="n">
        <v>0.355809</v>
      </c>
      <c r="I334" s="182" t="inlineStr"/>
    </row>
    <row r="335" ht="15" customHeight="1" s="28">
      <c r="A335" s="181" t="n">
        <v>325</v>
      </c>
      <c r="B335" s="181" t="n">
        <v>324</v>
      </c>
      <c r="C335" s="181" t="n">
        <v>4757.32</v>
      </c>
      <c r="D335" s="181" t="n">
        <v>4730.6664</v>
      </c>
      <c r="E335" s="181" t="n">
        <v>26.6536</v>
      </c>
      <c r="F335" s="181" t="n">
        <v>710.4144</v>
      </c>
      <c r="G335" s="181" t="n">
        <v>0.435595</v>
      </c>
      <c r="H335" s="181" t="n">
        <v>0.3302</v>
      </c>
      <c r="I335" s="181" t="inlineStr"/>
    </row>
    <row r="336" ht="15" customHeight="1" s="28">
      <c r="A336" s="182" t="n">
        <v>326</v>
      </c>
      <c r="B336" s="182" t="n">
        <v>325</v>
      </c>
      <c r="C336" s="182" t="n">
        <v>4755.87</v>
      </c>
      <c r="D336" s="182" t="n">
        <v>4730.3988</v>
      </c>
      <c r="E336" s="182" t="n">
        <v>25.4712</v>
      </c>
      <c r="F336" s="182" t="n">
        <v>648.782</v>
      </c>
      <c r="G336" s="182" t="n">
        <v>0.380158</v>
      </c>
      <c r="H336" s="182" t="n">
        <v>0.275392</v>
      </c>
      <c r="I336" s="182" t="inlineStr"/>
    </row>
    <row r="337" ht="15" customHeight="1" s="28">
      <c r="A337" s="181" t="n">
        <v>327</v>
      </c>
      <c r="B337" s="181" t="n">
        <v>326</v>
      </c>
      <c r="C337" s="181" t="n">
        <v>4756.36</v>
      </c>
      <c r="D337" s="181" t="n">
        <v>4730.1312</v>
      </c>
      <c r="E337" s="181" t="n">
        <v>26.2288</v>
      </c>
      <c r="F337" s="181" t="n">
        <v>687.9505</v>
      </c>
      <c r="G337" s="181" t="n">
        <v>0.415099</v>
      </c>
      <c r="H337" s="181" t="n">
        <v>0.309648</v>
      </c>
      <c r="I337" s="181" t="inlineStr"/>
    </row>
    <row r="338" ht="15" customHeight="1" s="28">
      <c r="A338" s="182" t="n">
        <v>328</v>
      </c>
      <c r="B338" s="182" t="n">
        <v>327</v>
      </c>
      <c r="C338" s="182" t="n">
        <v>4754.62</v>
      </c>
      <c r="D338" s="182" t="n">
        <v>4729.8636</v>
      </c>
      <c r="E338" s="182" t="n">
        <v>24.7564</v>
      </c>
      <c r="F338" s="182" t="n">
        <v>612.8798</v>
      </c>
      <c r="G338" s="182" t="n">
        <v>0.349043</v>
      </c>
      <c r="H338" s="182" t="n">
        <v>0.245756</v>
      </c>
      <c r="I338" s="182" t="inlineStr"/>
    </row>
    <row r="339" ht="15" customHeight="1" s="28">
      <c r="A339" s="181" t="n">
        <v>329</v>
      </c>
      <c r="B339" s="181" t="n">
        <v>328</v>
      </c>
      <c r="C339" s="181" t="n">
        <v>4756.8</v>
      </c>
      <c r="D339" s="181" t="n">
        <v>4729.596</v>
      </c>
      <c r="E339" s="181" t="n">
        <v>27.204</v>
      </c>
      <c r="F339" s="181" t="n">
        <v>740.0582000000001</v>
      </c>
      <c r="G339" s="181" t="n">
        <v>0.463142</v>
      </c>
      <c r="H339" s="181" t="n">
        <v>0.358332</v>
      </c>
      <c r="I339" s="181" t="inlineStr"/>
    </row>
    <row r="340" ht="15" customHeight="1" s="28">
      <c r="A340" s="182" t="n">
        <v>330</v>
      </c>
      <c r="B340" s="182" t="n">
        <v>329</v>
      </c>
      <c r="C340" s="182" t="n">
        <v>4766.19</v>
      </c>
      <c r="D340" s="182" t="n">
        <v>4729.3284</v>
      </c>
      <c r="E340" s="182" t="n">
        <v>36.8616</v>
      </c>
      <c r="F340" s="182" t="n">
        <v>1358.779</v>
      </c>
      <c r="G340" s="182" t="n">
        <v>1.152229</v>
      </c>
      <c r="H340" s="182" t="n">
        <v>1.207958</v>
      </c>
      <c r="I340" s="182" t="inlineStr"/>
    </row>
    <row r="341" ht="15" customHeight="1" s="28">
      <c r="A341" s="181" t="n">
        <v>331</v>
      </c>
      <c r="B341" s="181" t="n">
        <v>330</v>
      </c>
      <c r="C341" s="181" t="n">
        <v>4767.48</v>
      </c>
      <c r="D341" s="181" t="n">
        <v>4729.0608</v>
      </c>
      <c r="E341" s="181" t="n">
        <v>38.4192</v>
      </c>
      <c r="F341" s="181" t="n">
        <v>1476.0365</v>
      </c>
      <c r="G341" s="181" t="n">
        <v>1.304551</v>
      </c>
      <c r="H341" s="181" t="n">
        <v>1.425438</v>
      </c>
      <c r="I341" s="181" t="inlineStr"/>
    </row>
    <row r="342" ht="15" customHeight="1" s="28">
      <c r="A342" s="182" t="n">
        <v>332</v>
      </c>
      <c r="B342" s="182" t="n">
        <v>331</v>
      </c>
      <c r="C342" s="182" t="n">
        <v>4767.64</v>
      </c>
      <c r="D342" s="182" t="n">
        <v>4728.7932</v>
      </c>
      <c r="E342" s="182" t="n">
        <v>38.8468</v>
      </c>
      <c r="F342" s="182" t="n">
        <v>1509.0762</v>
      </c>
      <c r="G342" s="182" t="n">
        <v>1.348597</v>
      </c>
      <c r="H342" s="182" t="n">
        <v>1.489966</v>
      </c>
      <c r="I342" s="182" t="inlineStr"/>
    </row>
    <row r="343" ht="15" customHeight="1" s="28">
      <c r="A343" s="181" t="n">
        <v>333</v>
      </c>
      <c r="B343" s="181" t="n">
        <v>332</v>
      </c>
      <c r="C343" s="181" t="n">
        <v>4762.84</v>
      </c>
      <c r="D343" s="181" t="n">
        <v>4728.5256</v>
      </c>
      <c r="E343" s="181" t="n">
        <v>34.3144</v>
      </c>
      <c r="F343" s="181" t="n">
        <v>1177.4801</v>
      </c>
      <c r="G343" s="181" t="n">
        <v>0.929493</v>
      </c>
      <c r="H343" s="181" t="n">
        <v>0.9071129999999999</v>
      </c>
      <c r="I343" s="181" t="inlineStr"/>
    </row>
    <row r="344" ht="15" customHeight="1" s="28">
      <c r="A344" s="182" t="n">
        <v>334</v>
      </c>
      <c r="B344" s="182" t="n">
        <v>333</v>
      </c>
      <c r="C344" s="182" t="n">
        <v>4767.37</v>
      </c>
      <c r="D344" s="182" t="n">
        <v>4728.258</v>
      </c>
      <c r="E344" s="182" t="n">
        <v>39.112</v>
      </c>
      <c r="F344" s="182" t="n">
        <v>1529.7509</v>
      </c>
      <c r="G344" s="182" t="n">
        <v>1.376406</v>
      </c>
      <c r="H344" s="182" t="n">
        <v>1.531072</v>
      </c>
      <c r="I344" s="182" t="inlineStr"/>
    </row>
    <row r="345" ht="15" customHeight="1" s="28">
      <c r="A345" s="181" t="n">
        <v>335</v>
      </c>
      <c r="B345" s="181" t="n">
        <v>334</v>
      </c>
      <c r="C345" s="181" t="n">
        <v>4763.8</v>
      </c>
      <c r="D345" s="181" t="n">
        <v>4727.9904</v>
      </c>
      <c r="E345" s="181" t="n">
        <v>35.8096</v>
      </c>
      <c r="F345" s="181" t="n">
        <v>1282.3303</v>
      </c>
      <c r="G345" s="181" t="n">
        <v>1.056369</v>
      </c>
      <c r="H345" s="181" t="n">
        <v>1.075855</v>
      </c>
      <c r="I345" s="181" t="inlineStr"/>
    </row>
    <row r="346" ht="15" customHeight="1" s="28">
      <c r="A346" s="182" t="n">
        <v>336</v>
      </c>
      <c r="B346" s="182" t="n">
        <v>335</v>
      </c>
      <c r="C346" s="182" t="n">
        <v>4767.69</v>
      </c>
      <c r="D346" s="182" t="n">
        <v>4727.7228</v>
      </c>
      <c r="E346" s="182" t="n">
        <v>39.9672</v>
      </c>
      <c r="F346" s="182" t="n">
        <v>1597.3803</v>
      </c>
      <c r="G346" s="182" t="n">
        <v>1.468683</v>
      </c>
      <c r="H346" s="182" t="n">
        <v>1.66944</v>
      </c>
      <c r="I346" s="182" t="inlineStr"/>
    </row>
    <row r="347" ht="15" customHeight="1" s="28">
      <c r="A347" s="181" t="n">
        <v>337</v>
      </c>
      <c r="B347" s="181" t="n">
        <v>336</v>
      </c>
      <c r="C347" s="181" t="n">
        <v>4765.67</v>
      </c>
      <c r="D347" s="181" t="n">
        <v>4727.4551</v>
      </c>
      <c r="E347" s="181" t="n">
        <v>38.2149</v>
      </c>
      <c r="F347" s="181" t="n">
        <v>1460.3748</v>
      </c>
      <c r="G347" s="181" t="n">
        <v>1.283843</v>
      </c>
      <c r="H347" s="181" t="n">
        <v>1.395349</v>
      </c>
      <c r="I347" s="181" t="inlineStr"/>
    </row>
    <row r="348" ht="15" customHeight="1" s="28">
      <c r="A348" s="182" t="n">
        <v>338</v>
      </c>
      <c r="B348" s="182" t="n">
        <v>337</v>
      </c>
      <c r="C348" s="182" t="n">
        <v>4766.08</v>
      </c>
      <c r="D348" s="182" t="n">
        <v>4727.1875</v>
      </c>
      <c r="E348" s="182" t="n">
        <v>38.8925</v>
      </c>
      <c r="F348" s="182" t="n">
        <v>1512.6227</v>
      </c>
      <c r="G348" s="182" t="n">
        <v>1.353354</v>
      </c>
      <c r="H348" s="182" t="n">
        <v>1.496978</v>
      </c>
      <c r="I348" s="182" t="inlineStr"/>
    </row>
    <row r="349" ht="15" customHeight="1" s="28">
      <c r="A349" s="181" t="n">
        <v>339</v>
      </c>
      <c r="B349" s="181" t="n">
        <v>338</v>
      </c>
      <c r="C349" s="181" t="n">
        <v>4763.82</v>
      </c>
      <c r="D349" s="181" t="n">
        <v>4726.9199</v>
      </c>
      <c r="E349" s="181" t="n">
        <v>36.9001</v>
      </c>
      <c r="F349" s="181" t="n">
        <v>1361.6144</v>
      </c>
      <c r="G349" s="181" t="n">
        <v>1.155838</v>
      </c>
      <c r="H349" s="181" t="n">
        <v>1.213004</v>
      </c>
      <c r="I349" s="181" t="inlineStr"/>
    </row>
    <row r="350" ht="15" customHeight="1" s="28">
      <c r="A350" s="182" t="n">
        <v>340</v>
      </c>
      <c r="B350" s="182" t="n">
        <v>339</v>
      </c>
      <c r="C350" s="182" t="n">
        <v>4760.46</v>
      </c>
      <c r="D350" s="182" t="n">
        <v>4726.6523</v>
      </c>
      <c r="E350" s="182" t="n">
        <v>33.8077</v>
      </c>
      <c r="F350" s="182" t="n">
        <v>1142.9579</v>
      </c>
      <c r="G350" s="182" t="n">
        <v>0.888916</v>
      </c>
      <c r="H350" s="182" t="n">
        <v>0.854702</v>
      </c>
      <c r="I350" s="182" t="inlineStr"/>
    </row>
    <row r="351" ht="15" customHeight="1" s="28">
      <c r="A351" s="181" t="n">
        <v>341</v>
      </c>
      <c r="B351" s="181" t="n">
        <v>340</v>
      </c>
      <c r="C351" s="181" t="n">
        <v>4758.02</v>
      </c>
      <c r="D351" s="181" t="n">
        <v>4726.3847</v>
      </c>
      <c r="E351" s="181" t="n">
        <v>31.6353</v>
      </c>
      <c r="F351" s="181" t="n">
        <v>1000.7897</v>
      </c>
      <c r="G351" s="181" t="n">
        <v>0.728333</v>
      </c>
      <c r="H351" s="181" t="n">
        <v>0.655299</v>
      </c>
      <c r="I351" s="181" t="inlineStr"/>
    </row>
    <row r="352" ht="15" customHeight="1" s="28">
      <c r="A352" s="182" t="n">
        <v>342</v>
      </c>
      <c r="B352" s="182" t="n">
        <v>341</v>
      </c>
      <c r="C352" s="182" t="n">
        <v>4754.37</v>
      </c>
      <c r="D352" s="182" t="n">
        <v>4726.1171</v>
      </c>
      <c r="E352" s="182" t="n">
        <v>28.2529</v>
      </c>
      <c r="F352" s="182" t="n">
        <v>798.2247</v>
      </c>
      <c r="G352" s="182" t="n">
        <v>0.518804</v>
      </c>
      <c r="H352" s="182" t="n">
        <v>0.416874</v>
      </c>
      <c r="I352" s="182" t="inlineStr"/>
    </row>
    <row r="353" ht="15" customHeight="1" s="28">
      <c r="A353" s="181" t="n">
        <v>343</v>
      </c>
      <c r="B353" s="181" t="n">
        <v>342</v>
      </c>
      <c r="C353" s="181" t="n">
        <v>4756.15</v>
      </c>
      <c r="D353" s="181" t="n">
        <v>4725.8495</v>
      </c>
      <c r="E353" s="181" t="n">
        <v>30.3005</v>
      </c>
      <c r="F353" s="181" t="n">
        <v>918.1185</v>
      </c>
      <c r="G353" s="181" t="n">
        <v>0.639976</v>
      </c>
      <c r="H353" s="181" t="n">
        <v>0.551508</v>
      </c>
      <c r="I353" s="181" t="inlineStr"/>
    </row>
    <row r="354" ht="15" customHeight="1" s="28">
      <c r="A354" s="182" t="n">
        <v>344</v>
      </c>
      <c r="B354" s="182" t="n">
        <v>343</v>
      </c>
      <c r="C354" s="182" t="n">
        <v>4757.14</v>
      </c>
      <c r="D354" s="182" t="n">
        <v>4725.5819</v>
      </c>
      <c r="E354" s="182" t="n">
        <v>31.5581</v>
      </c>
      <c r="F354" s="182" t="n">
        <v>995.9124</v>
      </c>
      <c r="G354" s="182" t="n">
        <v>0.723015</v>
      </c>
      <c r="H354" s="182" t="n">
        <v>0.6489279999999999</v>
      </c>
      <c r="I354" s="182" t="inlineStr"/>
    </row>
    <row r="355" ht="15" customHeight="1" s="28">
      <c r="A355" s="181" t="n">
        <v>345</v>
      </c>
      <c r="B355" s="181" t="n">
        <v>344</v>
      </c>
      <c r="C355" s="181" t="n">
        <v>4760.72</v>
      </c>
      <c r="D355" s="181" t="n">
        <v>4725.3143</v>
      </c>
      <c r="E355" s="181" t="n">
        <v>35.4057</v>
      </c>
      <c r="F355" s="181" t="n">
        <v>1253.5622</v>
      </c>
      <c r="G355" s="181" t="n">
        <v>1.02102</v>
      </c>
      <c r="H355" s="181" t="n">
        <v>1.028125</v>
      </c>
      <c r="I355" s="181" t="inlineStr"/>
    </row>
    <row r="356" ht="15" customHeight="1" s="28">
      <c r="A356" s="182" t="n">
        <v>346</v>
      </c>
      <c r="B356" s="182" t="n">
        <v>345</v>
      </c>
      <c r="C356" s="182" t="n">
        <v>4756.45</v>
      </c>
      <c r="D356" s="182" t="n">
        <v>4725.0467</v>
      </c>
      <c r="E356" s="182" t="n">
        <v>31.4033</v>
      </c>
      <c r="F356" s="182" t="n">
        <v>986.1660000000001</v>
      </c>
      <c r="G356" s="182" t="n">
        <v>0.712427</v>
      </c>
      <c r="H356" s="182" t="n">
        <v>0.636289</v>
      </c>
      <c r="I356" s="182" t="inlineStr"/>
    </row>
    <row r="357" ht="15" customHeight="1" s="28">
      <c r="A357" s="181" t="n">
        <v>347</v>
      </c>
      <c r="B357" s="181" t="n">
        <v>346</v>
      </c>
      <c r="C357" s="181" t="n">
        <v>4758.47</v>
      </c>
      <c r="D357" s="181" t="n">
        <v>4724.7791</v>
      </c>
      <c r="E357" s="181" t="n">
        <v>33.6909</v>
      </c>
      <c r="F357" s="181" t="n">
        <v>1135.0761</v>
      </c>
      <c r="G357" s="181" t="n">
        <v>0.879737</v>
      </c>
      <c r="H357" s="181" t="n">
        <v>0.842954</v>
      </c>
      <c r="I357" s="181" t="inlineStr"/>
    </row>
    <row r="358" ht="15" customHeight="1" s="28">
      <c r="A358" s="182" t="n">
        <v>348</v>
      </c>
      <c r="B358" s="182" t="n">
        <v>347</v>
      </c>
      <c r="C358" s="182" t="n">
        <v>4755.32</v>
      </c>
      <c r="D358" s="182" t="n">
        <v>4724.5115</v>
      </c>
      <c r="E358" s="182" t="n">
        <v>30.8085</v>
      </c>
      <c r="F358" s="182" t="n">
        <v>949.1631</v>
      </c>
      <c r="G358" s="182" t="n">
        <v>0.672708</v>
      </c>
      <c r="H358" s="182" t="n">
        <v>0.589435</v>
      </c>
      <c r="I358" s="182" t="inlineStr"/>
    </row>
    <row r="359" ht="15" customHeight="1" s="28">
      <c r="A359" s="181" t="n">
        <v>349</v>
      </c>
      <c r="B359" s="181" t="n">
        <v>348</v>
      </c>
      <c r="C359" s="181" t="n">
        <v>4748.72</v>
      </c>
      <c r="D359" s="181" t="n">
        <v>4724.2439</v>
      </c>
      <c r="E359" s="181" t="n">
        <v>24.4761</v>
      </c>
      <c r="F359" s="181" t="n">
        <v>599.0795000000001</v>
      </c>
      <c r="G359" s="181" t="n">
        <v>0.33732</v>
      </c>
      <c r="H359" s="181" t="n">
        <v>0.234813</v>
      </c>
      <c r="I359" s="181" t="inlineStr"/>
    </row>
    <row r="360" ht="15" customHeight="1" s="28">
      <c r="A360" s="182" t="n">
        <v>350</v>
      </c>
      <c r="B360" s="182" t="n">
        <v>349</v>
      </c>
      <c r="C360" s="182" t="n">
        <v>4754.63</v>
      </c>
      <c r="D360" s="182" t="n">
        <v>4723.9763</v>
      </c>
      <c r="E360" s="182" t="n">
        <v>30.6537</v>
      </c>
      <c r="F360" s="182" t="n">
        <v>939.6493</v>
      </c>
      <c r="G360" s="182" t="n">
        <v>0.66262</v>
      </c>
      <c r="H360" s="182" t="n">
        <v>0.577678</v>
      </c>
      <c r="I360" s="182" t="inlineStr"/>
    </row>
    <row r="361" ht="15" customHeight="1" s="28">
      <c r="A361" s="181" t="n">
        <v>351</v>
      </c>
      <c r="B361" s="181" t="n">
        <v>350</v>
      </c>
      <c r="C361" s="181" t="n">
        <v>4756.53</v>
      </c>
      <c r="D361" s="181" t="n">
        <v>4723.7087</v>
      </c>
      <c r="E361" s="181" t="n">
        <v>32.8213</v>
      </c>
      <c r="F361" s="181" t="n">
        <v>1077.2377</v>
      </c>
      <c r="G361" s="181" t="n">
        <v>0.81336</v>
      </c>
      <c r="H361" s="181" t="n">
        <v>0.7592370000000001</v>
      </c>
      <c r="I361" s="181" t="inlineStr"/>
    </row>
    <row r="362" ht="15" customHeight="1" s="28">
      <c r="A362" s="182" t="n">
        <v>352</v>
      </c>
      <c r="B362" s="182" t="n">
        <v>351</v>
      </c>
      <c r="C362" s="182" t="n">
        <v>4759.21</v>
      </c>
      <c r="D362" s="182" t="n">
        <v>4723.4411</v>
      </c>
      <c r="E362" s="182" t="n">
        <v>35.7689</v>
      </c>
      <c r="F362" s="182" t="n">
        <v>1279.4149</v>
      </c>
      <c r="G362" s="182" t="n">
        <v>1.052768</v>
      </c>
      <c r="H362" s="182" t="n">
        <v>1.070969</v>
      </c>
      <c r="I362" s="182" t="inlineStr"/>
    </row>
    <row r="363" ht="15" customHeight="1" s="28">
      <c r="A363" s="181" t="n">
        <v>353</v>
      </c>
      <c r="B363" s="181" t="n">
        <v>352</v>
      </c>
      <c r="C363" s="181" t="n">
        <v>4757.27</v>
      </c>
      <c r="D363" s="181" t="n">
        <v>4723.1735</v>
      </c>
      <c r="E363" s="181" t="n">
        <v>34.0965</v>
      </c>
      <c r="F363" s="181" t="n">
        <v>1162.572</v>
      </c>
      <c r="G363" s="181" t="n">
        <v>0.911896</v>
      </c>
      <c r="H363" s="181" t="n">
        <v>0.884288</v>
      </c>
      <c r="I363" s="181" t="inlineStr"/>
    </row>
    <row r="364" ht="15" customHeight="1" s="28">
      <c r="A364" s="182" t="n">
        <v>354</v>
      </c>
      <c r="B364" s="182" t="n">
        <v>353</v>
      </c>
      <c r="C364" s="182" t="n">
        <v>4757.36</v>
      </c>
      <c r="D364" s="182" t="n">
        <v>4722.9059</v>
      </c>
      <c r="E364" s="182" t="n">
        <v>34.4541</v>
      </c>
      <c r="F364" s="182" t="n">
        <v>1187.0864</v>
      </c>
      <c r="G364" s="182" t="n">
        <v>0.94089</v>
      </c>
      <c r="H364" s="182" t="n">
        <v>0.921974</v>
      </c>
      <c r="I364" s="182" t="inlineStr"/>
    </row>
    <row r="365" ht="15" customHeight="1" s="28">
      <c r="A365" s="181" t="n">
        <v>355</v>
      </c>
      <c r="B365" s="181" t="n">
        <v>354</v>
      </c>
      <c r="C365" s="181" t="n">
        <v>4748.68</v>
      </c>
      <c r="D365" s="181" t="n">
        <v>4722.6383</v>
      </c>
      <c r="E365" s="181" t="n">
        <v>26.0417</v>
      </c>
      <c r="F365" s="181" t="n">
        <v>678.1712</v>
      </c>
      <c r="G365" s="181" t="n">
        <v>0.406279</v>
      </c>
      <c r="H365" s="181" t="n">
        <v>0.300907</v>
      </c>
      <c r="I365" s="181" t="inlineStr"/>
    </row>
    <row r="366" ht="15" customHeight="1" s="28">
      <c r="A366" s="182" t="n">
        <v>356</v>
      </c>
      <c r="B366" s="182" t="n">
        <v>355</v>
      </c>
      <c r="C366" s="182" t="n">
        <v>4750.31</v>
      </c>
      <c r="D366" s="182" t="n">
        <v>4722.3707</v>
      </c>
      <c r="E366" s="182" t="n">
        <v>27.9393</v>
      </c>
      <c r="F366" s="182" t="n">
        <v>780.6056</v>
      </c>
      <c r="G366" s="182" t="n">
        <v>0.501722</v>
      </c>
      <c r="H366" s="182" t="n">
        <v>0.398674</v>
      </c>
      <c r="I366" s="182" t="inlineStr"/>
    </row>
    <row r="367" ht="15" customHeight="1" s="28">
      <c r="A367" s="181" t="n">
        <v>357</v>
      </c>
      <c r="B367" s="181" t="n">
        <v>356</v>
      </c>
      <c r="C367" s="181" t="n">
        <v>4752.51</v>
      </c>
      <c r="D367" s="181" t="n">
        <v>4722.1031</v>
      </c>
      <c r="E367" s="181" t="n">
        <v>30.4069</v>
      </c>
      <c r="F367" s="181" t="n">
        <v>924.5814</v>
      </c>
      <c r="G367" s="181" t="n">
        <v>0.646745</v>
      </c>
      <c r="H367" s="181" t="n">
        <v>0.559299</v>
      </c>
      <c r="I367" s="181" t="inlineStr"/>
    </row>
    <row r="368" ht="15" customHeight="1" s="28">
      <c r="A368" s="182" t="n">
        <v>358</v>
      </c>
      <c r="B368" s="182" t="n">
        <v>357</v>
      </c>
      <c r="C368" s="182" t="n">
        <v>4753.2</v>
      </c>
      <c r="D368" s="182" t="n">
        <v>4721.8355</v>
      </c>
      <c r="E368" s="182" t="n">
        <v>31.3645</v>
      </c>
      <c r="F368" s="182" t="n">
        <v>983.7337</v>
      </c>
      <c r="G368" s="182" t="n">
        <v>0.709793</v>
      </c>
      <c r="H368" s="182" t="n">
        <v>0.633154</v>
      </c>
      <c r="I368" s="182" t="inlineStr"/>
    </row>
    <row r="369" ht="15" customHeight="1" s="28">
      <c r="A369" s="181" t="n">
        <v>359</v>
      </c>
      <c r="B369" s="181" t="n">
        <v>358</v>
      </c>
      <c r="C369" s="181" t="n">
        <v>4746.73</v>
      </c>
      <c r="D369" s="181" t="n">
        <v>4721.5679</v>
      </c>
      <c r="E369" s="181" t="n">
        <v>25.1621</v>
      </c>
      <c r="F369" s="181" t="n">
        <v>633.1333</v>
      </c>
      <c r="G369" s="181" t="n">
        <v>0.366487</v>
      </c>
      <c r="H369" s="181" t="n">
        <v>0.262267</v>
      </c>
      <c r="I369" s="181" t="inlineStr"/>
    </row>
    <row r="370" ht="15" customHeight="1" s="28">
      <c r="A370" s="182" t="n">
        <v>360</v>
      </c>
      <c r="B370" s="182" t="n">
        <v>359</v>
      </c>
      <c r="C370" s="182" t="n">
        <v>4744.23</v>
      </c>
      <c r="D370" s="182" t="n">
        <v>4721.3003</v>
      </c>
      <c r="E370" s="182" t="n">
        <v>22.9297</v>
      </c>
      <c r="F370" s="182" t="n">
        <v>525.773</v>
      </c>
      <c r="G370" s="182" t="n">
        <v>0.27734</v>
      </c>
      <c r="H370" s="182" t="n">
        <v>0.180863</v>
      </c>
      <c r="I370" s="182" t="inlineStr"/>
    </row>
    <row r="371" ht="15" customHeight="1" s="28">
      <c r="A371" s="181" t="n">
        <v>361</v>
      </c>
      <c r="B371" s="181" t="n">
        <v>360</v>
      </c>
      <c r="C371" s="181" t="n">
        <v>4742.39</v>
      </c>
      <c r="D371" s="181" t="n">
        <v>4721.0327</v>
      </c>
      <c r="E371" s="181" t="n">
        <v>21.3574</v>
      </c>
      <c r="F371" s="181" t="n">
        <v>456.1364</v>
      </c>
      <c r="G371" s="181" t="n">
        <v>0.224108</v>
      </c>
      <c r="H371" s="181" t="n">
        <v>0.136127</v>
      </c>
      <c r="I371" s="181" t="inlineStr"/>
    </row>
    <row r="372" ht="15" customHeight="1" s="28">
      <c r="A372" s="182" t="n">
        <v>362</v>
      </c>
      <c r="B372" s="182" t="n">
        <v>361</v>
      </c>
      <c r="C372" s="182" t="n">
        <v>4750.2</v>
      </c>
      <c r="D372" s="182" t="n">
        <v>4720.765</v>
      </c>
      <c r="E372" s="182" t="n">
        <v>29.4349</v>
      </c>
      <c r="F372" s="182" t="n">
        <v>866.4163</v>
      </c>
      <c r="G372" s="182" t="n">
        <v>0.586686</v>
      </c>
      <c r="H372" s="182" t="n">
        <v>0.491142</v>
      </c>
      <c r="I372" s="182" t="inlineStr"/>
    </row>
    <row r="373" ht="15" customHeight="1" s="28">
      <c r="A373" s="181" t="n">
        <v>363</v>
      </c>
      <c r="B373" s="181" t="n">
        <v>362</v>
      </c>
      <c r="C373" s="181" t="n">
        <v>4755.33</v>
      </c>
      <c r="D373" s="181" t="n">
        <v>4720.4974</v>
      </c>
      <c r="E373" s="181" t="n">
        <v>34.8326</v>
      </c>
      <c r="F373" s="181" t="n">
        <v>1213.3065</v>
      </c>
      <c r="G373" s="181" t="n">
        <v>0.972235</v>
      </c>
      <c r="H373" s="181" t="n">
        <v>0.963153</v>
      </c>
      <c r="I373" s="181" t="inlineStr"/>
    </row>
    <row r="374" ht="15" customHeight="1" s="28">
      <c r="A374" s="182" t="n">
        <v>364</v>
      </c>
      <c r="B374" s="182" t="n">
        <v>363</v>
      </c>
      <c r="C374" s="182" t="n">
        <v>4752.94</v>
      </c>
      <c r="D374" s="182" t="n">
        <v>4720.2298</v>
      </c>
      <c r="E374" s="182" t="n">
        <v>32.7102</v>
      </c>
      <c r="F374" s="182" t="n">
        <v>1069.9546</v>
      </c>
      <c r="G374" s="182" t="n">
        <v>0.805126</v>
      </c>
      <c r="H374" s="182" t="n">
        <v>0.749005</v>
      </c>
      <c r="I374" s="182" t="inlineStr"/>
    </row>
    <row r="375" ht="15" customHeight="1" s="28">
      <c r="A375" s="181" t="n">
        <v>365</v>
      </c>
      <c r="B375" s="181" t="n">
        <v>364</v>
      </c>
      <c r="C375" s="181" t="n">
        <v>4745.59</v>
      </c>
      <c r="D375" s="181" t="n">
        <v>4719.9622</v>
      </c>
      <c r="E375" s="181" t="n">
        <v>25.6278</v>
      </c>
      <c r="F375" s="181" t="n">
        <v>656.7821</v>
      </c>
      <c r="G375" s="181" t="n">
        <v>0.387211</v>
      </c>
      <c r="H375" s="181" t="n">
        <v>0.282226</v>
      </c>
      <c r="I375" s="181" t="inlineStr"/>
    </row>
    <row r="376" ht="15" customHeight="1" s="28">
      <c r="A376" s="182" t="n">
        <v>366</v>
      </c>
      <c r="B376" s="182" t="n">
        <v>365</v>
      </c>
      <c r="C376" s="182" t="n">
        <v>4743.96</v>
      </c>
      <c r="D376" s="182" t="n">
        <v>4719.6946</v>
      </c>
      <c r="E376" s="182" t="n">
        <v>24.2654</v>
      </c>
      <c r="F376" s="182" t="n">
        <v>588.8082000000001</v>
      </c>
      <c r="G376" s="182" t="n">
        <v>0.328682</v>
      </c>
      <c r="H376" s="182" t="n">
        <v>0.226831</v>
      </c>
      <c r="I376" s="182" t="inlineStr"/>
    </row>
    <row r="377" ht="15" customHeight="1" s="28">
      <c r="A377" s="181" t="n">
        <v>367</v>
      </c>
      <c r="B377" s="181" t="n">
        <v>366</v>
      </c>
      <c r="C377" s="181" t="n">
        <v>4733.08</v>
      </c>
      <c r="D377" s="181" t="n">
        <v>4719.427</v>
      </c>
      <c r="E377" s="181" t="n">
        <v>13.653</v>
      </c>
      <c r="F377" s="181" t="n">
        <v>186.4036</v>
      </c>
      <c r="G377" s="181" t="n">
        <v>0.058546</v>
      </c>
      <c r="H377" s="181" t="n">
        <v>0.022733</v>
      </c>
      <c r="I377" s="181" t="inlineStr"/>
    </row>
    <row r="378" ht="15" customHeight="1" s="28">
      <c r="A378" s="182" t="n">
        <v>368</v>
      </c>
      <c r="B378" s="182" t="n">
        <v>367</v>
      </c>
      <c r="C378" s="182" t="n">
        <v>4736.03</v>
      </c>
      <c r="D378" s="182" t="n">
        <v>4719.1594</v>
      </c>
      <c r="E378" s="182" t="n">
        <v>16.8706</v>
      </c>
      <c r="F378" s="182" t="n">
        <v>284.6161</v>
      </c>
      <c r="G378" s="182" t="n">
        <v>0.11046</v>
      </c>
      <c r="H378" s="182" t="n">
        <v>0.053</v>
      </c>
      <c r="I378" s="182" t="inlineStr"/>
    </row>
    <row r="379" ht="15" customHeight="1" s="28">
      <c r="A379" s="181" t="n">
        <v>369</v>
      </c>
      <c r="B379" s="181" t="n">
        <v>368</v>
      </c>
      <c r="C379" s="181" t="n">
        <v>4737.74</v>
      </c>
      <c r="D379" s="181" t="n">
        <v>4718.8918</v>
      </c>
      <c r="E379" s="181" t="n">
        <v>18.8482</v>
      </c>
      <c r="F379" s="181" t="n">
        <v>355.2539</v>
      </c>
      <c r="G379" s="181" t="n">
        <v>0.154037</v>
      </c>
      <c r="H379" s="181" t="n">
        <v>0.08257200000000001</v>
      </c>
      <c r="I379" s="181" t="inlineStr"/>
    </row>
    <row r="380" ht="15" customHeight="1" s="28">
      <c r="A380" s="182" t="n">
        <v>370</v>
      </c>
      <c r="B380" s="182" t="n">
        <v>369</v>
      </c>
      <c r="C380" s="182" t="n">
        <v>4735.09</v>
      </c>
      <c r="D380" s="182" t="n">
        <v>4718.6242</v>
      </c>
      <c r="E380" s="182" t="n">
        <v>16.4658</v>
      </c>
      <c r="F380" s="182" t="n">
        <v>271.1219</v>
      </c>
      <c r="G380" s="182" t="n">
        <v>0.102698</v>
      </c>
      <c r="H380" s="182" t="n">
        <v>0.048093</v>
      </c>
      <c r="I380" s="182" t="inlineStr"/>
    </row>
    <row r="381" ht="15" customHeight="1" s="28">
      <c r="A381" s="181" t="n">
        <v>371</v>
      </c>
      <c r="B381" s="181" t="n">
        <v>370</v>
      </c>
      <c r="C381" s="181" t="n">
        <v>4727.2</v>
      </c>
      <c r="D381" s="181" t="n">
        <v>4718.3566</v>
      </c>
      <c r="E381" s="181" t="n">
        <v>8.843400000000001</v>
      </c>
      <c r="F381" s="181" t="n">
        <v>78.2055</v>
      </c>
      <c r="G381" s="181" t="n">
        <v>0.01591</v>
      </c>
      <c r="H381" s="181" t="n">
        <v>0.004002</v>
      </c>
      <c r="I381" s="181" t="inlineStr"/>
    </row>
    <row r="382" ht="15" customHeight="1" s="28">
      <c r="A382" s="182" t="n">
        <v>372</v>
      </c>
      <c r="B382" s="182" t="n">
        <v>371</v>
      </c>
      <c r="C382" s="182" t="n">
        <v>4727.69</v>
      </c>
      <c r="D382" s="182" t="n">
        <v>4718.089</v>
      </c>
      <c r="E382" s="182" t="n">
        <v>9.601000000000001</v>
      </c>
      <c r="F382" s="182" t="n">
        <v>92.179</v>
      </c>
      <c r="G382" s="182" t="n">
        <v>0.020359</v>
      </c>
      <c r="H382" s="182" t="n">
        <v>0.005559</v>
      </c>
      <c r="I382" s="182" t="inlineStr"/>
    </row>
    <row r="383" ht="15" customHeight="1" s="28">
      <c r="A383" s="181" t="n">
        <v>373</v>
      </c>
      <c r="B383" s="181" t="n">
        <v>372</v>
      </c>
      <c r="C383" s="181" t="n">
        <v>4730.22</v>
      </c>
      <c r="D383" s="181" t="n">
        <v>4717.8214</v>
      </c>
      <c r="E383" s="181" t="n">
        <v>12.3986</v>
      </c>
      <c r="F383" s="181" t="n">
        <v>153.725</v>
      </c>
      <c r="G383" s="181" t="n">
        <v>0.043846</v>
      </c>
      <c r="H383" s="181" t="n">
        <v>0.015461</v>
      </c>
      <c r="I383" s="181" t="inlineStr"/>
    </row>
    <row r="384" ht="15" customHeight="1" s="28">
      <c r="A384" s="182" t="n">
        <v>374</v>
      </c>
      <c r="B384" s="182" t="n">
        <v>373</v>
      </c>
      <c r="C384" s="182" t="n">
        <v>4727.08</v>
      </c>
      <c r="D384" s="182" t="n">
        <v>4717.5538</v>
      </c>
      <c r="E384" s="182" t="n">
        <v>9.526199999999999</v>
      </c>
      <c r="F384" s="182" t="n">
        <v>90.74850000000001</v>
      </c>
      <c r="G384" s="182" t="n">
        <v>0.019887</v>
      </c>
      <c r="H384" s="182" t="n">
        <v>0.005388</v>
      </c>
      <c r="I384" s="182" t="inlineStr"/>
    </row>
    <row r="385" ht="15" customHeight="1" s="28">
      <c r="A385" s="181" t="n">
        <v>375</v>
      </c>
      <c r="B385" s="181" t="n">
        <v>374</v>
      </c>
      <c r="C385" s="181" t="n">
        <v>4728.3</v>
      </c>
      <c r="D385" s="181" t="n">
        <v>4717.2862</v>
      </c>
      <c r="E385" s="181" t="n">
        <v>11.0138</v>
      </c>
      <c r="F385" s="181" t="n">
        <v>121.3038</v>
      </c>
      <c r="G385" s="181" t="n">
        <v>0.030735</v>
      </c>
      <c r="H385" s="181" t="n">
        <v>0.009627</v>
      </c>
      <c r="I385" s="181" t="inlineStr"/>
    </row>
    <row r="386" ht="15" customHeight="1" s="28">
      <c r="A386" s="182" t="n">
        <v>376</v>
      </c>
      <c r="B386" s="182" t="n">
        <v>375</v>
      </c>
      <c r="C386" s="182" t="n">
        <v>4728.79</v>
      </c>
      <c r="D386" s="182" t="n">
        <v>4717.0186</v>
      </c>
      <c r="E386" s="182" t="n">
        <v>11.7714</v>
      </c>
      <c r="F386" s="182" t="n">
        <v>138.5661</v>
      </c>
      <c r="G386" s="182" t="n">
        <v>0.037523</v>
      </c>
      <c r="H386" s="182" t="n">
        <v>0.012562</v>
      </c>
      <c r="I386" s="182" t="inlineStr"/>
    </row>
    <row r="387" ht="15" customHeight="1" s="28">
      <c r="A387" s="181" t="n">
        <v>377</v>
      </c>
      <c r="B387" s="181" t="n">
        <v>376</v>
      </c>
      <c r="C387" s="181" t="n">
        <v>4735.49</v>
      </c>
      <c r="D387" s="181" t="n">
        <v>4716.751</v>
      </c>
      <c r="E387" s="181" t="n">
        <v>18.739</v>
      </c>
      <c r="F387" s="181" t="n">
        <v>351.1505</v>
      </c>
      <c r="G387" s="181" t="n">
        <v>0.151375</v>
      </c>
      <c r="H387" s="181" t="n">
        <v>0.080675</v>
      </c>
      <c r="I387" s="181" t="inlineStr"/>
    </row>
    <row r="388" ht="15" customHeight="1" s="28">
      <c r="A388" s="182" t="n">
        <v>378</v>
      </c>
      <c r="B388" s="182" t="n">
        <v>377</v>
      </c>
      <c r="C388" s="182" t="n">
        <v>4735.05</v>
      </c>
      <c r="D388" s="182" t="n">
        <v>4716.4834</v>
      </c>
      <c r="E388" s="182" t="n">
        <v>18.5666</v>
      </c>
      <c r="F388" s="182" t="n">
        <v>344.719</v>
      </c>
      <c r="G388" s="182" t="n">
        <v>0.147236</v>
      </c>
      <c r="H388" s="182" t="n">
        <v>0.077747</v>
      </c>
      <c r="I388" s="182" t="inlineStr"/>
    </row>
    <row r="389" ht="15" customHeight="1" s="28">
      <c r="A389" s="181" t="n">
        <v>379</v>
      </c>
      <c r="B389" s="181" t="n">
        <v>378</v>
      </c>
      <c r="C389" s="181" t="n">
        <v>4736.17</v>
      </c>
      <c r="D389" s="181" t="n">
        <v>4716.2158</v>
      </c>
      <c r="E389" s="181" t="n">
        <v>19.9542</v>
      </c>
      <c r="F389" s="181" t="n">
        <v>398.1709</v>
      </c>
      <c r="G389" s="181" t="n">
        <v>0.182776</v>
      </c>
      <c r="H389" s="181" t="n">
        <v>0.103727</v>
      </c>
      <c r="I389" s="181" t="inlineStr"/>
    </row>
    <row r="390" ht="15" customHeight="1" s="28">
      <c r="A390" s="182" t="n">
        <v>380</v>
      </c>
      <c r="B390" s="182" t="n">
        <v>379</v>
      </c>
      <c r="C390" s="182" t="n">
        <v>4737.15</v>
      </c>
      <c r="D390" s="182" t="n">
        <v>4715.9482</v>
      </c>
      <c r="E390" s="182" t="n">
        <v>21.2018</v>
      </c>
      <c r="F390" s="182" t="n">
        <v>449.5172</v>
      </c>
      <c r="G390" s="182" t="n">
        <v>0.219248</v>
      </c>
      <c r="H390" s="182" t="n">
        <v>0.132205</v>
      </c>
      <c r="I390" s="182" t="inlineStr"/>
    </row>
    <row r="391" ht="15" customHeight="1" s="28">
      <c r="A391" s="181" t="n">
        <v>381</v>
      </c>
      <c r="B391" s="181" t="n">
        <v>380</v>
      </c>
      <c r="C391" s="181" t="n">
        <v>4735.94</v>
      </c>
      <c r="D391" s="181" t="n">
        <v>4715.6806</v>
      </c>
      <c r="E391" s="181" t="n">
        <v>20.2594</v>
      </c>
      <c r="F391" s="181" t="n">
        <v>410.4445</v>
      </c>
      <c r="G391" s="181" t="n">
        <v>0.191292</v>
      </c>
      <c r="H391" s="181" t="n">
        <v>0.110221</v>
      </c>
      <c r="I391" s="181" t="inlineStr"/>
    </row>
    <row r="392" ht="15" customHeight="1" s="28">
      <c r="A392" s="182" t="n">
        <v>382</v>
      </c>
      <c r="B392" s="182" t="n">
        <v>381</v>
      </c>
      <c r="C392" s="182" t="n">
        <v>4730.43</v>
      </c>
      <c r="D392" s="182" t="n">
        <v>4715.413</v>
      </c>
      <c r="E392" s="182" t="n">
        <v>15.017</v>
      </c>
      <c r="F392" s="182" t="n">
        <v>225.5112</v>
      </c>
      <c r="G392" s="182" t="n">
        <v>0.077905</v>
      </c>
      <c r="H392" s="182" t="n">
        <v>0.033273</v>
      </c>
      <c r="I392" s="182" t="inlineStr"/>
    </row>
    <row r="393" ht="15" customHeight="1" s="28">
      <c r="A393" s="181" t="n">
        <v>383</v>
      </c>
      <c r="B393" s="181" t="n">
        <v>382</v>
      </c>
      <c r="C393" s="181" t="n">
        <v>4739.45</v>
      </c>
      <c r="D393" s="181" t="n">
        <v>4715.1454</v>
      </c>
      <c r="E393" s="181" t="n">
        <v>24.3046</v>
      </c>
      <c r="F393" s="181" t="n">
        <v>590.7155</v>
      </c>
      <c r="G393" s="181" t="n">
        <v>0.330281</v>
      </c>
      <c r="H393" s="181" t="n">
        <v>0.228303</v>
      </c>
      <c r="I393" s="181" t="inlineStr"/>
    </row>
    <row r="394" ht="15" customHeight="1" s="28">
      <c r="A394" s="182" t="n">
        <v>384</v>
      </c>
      <c r="B394" s="182" t="n">
        <v>383</v>
      </c>
      <c r="C394" s="182" t="n">
        <v>4741.69</v>
      </c>
      <c r="D394" s="182" t="n">
        <v>4714.8778</v>
      </c>
      <c r="E394" s="182" t="n">
        <v>26.8122</v>
      </c>
      <c r="F394" s="182" t="n">
        <v>718.8962</v>
      </c>
      <c r="G394" s="182" t="n">
        <v>0.44342</v>
      </c>
      <c r="H394" s="182" t="n">
        <v>0.338132</v>
      </c>
      <c r="I394" s="182" t="inlineStr"/>
    </row>
    <row r="395" ht="15" customHeight="1" s="28">
      <c r="A395" s="181" t="n">
        <v>385</v>
      </c>
      <c r="B395" s="181" t="n">
        <v>384</v>
      </c>
      <c r="C395" s="181" t="n">
        <v>4738.64</v>
      </c>
      <c r="D395" s="181" t="n">
        <v>4714.6102</v>
      </c>
      <c r="E395" s="181" t="n">
        <v>24.0298</v>
      </c>
      <c r="F395" s="181" t="n">
        <v>577.4332000000001</v>
      </c>
      <c r="G395" s="181" t="n">
        <v>0.319204</v>
      </c>
      <c r="H395" s="181" t="n">
        <v>0.218151</v>
      </c>
      <c r="I395" s="181" t="inlineStr"/>
    </row>
    <row r="396" ht="15" customHeight="1" s="28">
      <c r="A396" s="182" t="n">
        <v>386</v>
      </c>
      <c r="B396" s="182" t="n">
        <v>385</v>
      </c>
      <c r="C396" s="182" t="n">
        <v>4744.32</v>
      </c>
      <c r="D396" s="182" t="n">
        <v>4714.3426</v>
      </c>
      <c r="E396" s="182" t="n">
        <v>29.9774</v>
      </c>
      <c r="F396" s="182" t="n">
        <v>898.6475</v>
      </c>
      <c r="G396" s="182" t="n">
        <v>0.619726</v>
      </c>
      <c r="H396" s="182" t="n">
        <v>0.5283639999999999</v>
      </c>
      <c r="I396" s="182" t="inlineStr"/>
    </row>
    <row r="397" ht="15" customHeight="1" s="28">
      <c r="A397" s="181" t="n">
        <v>387</v>
      </c>
      <c r="B397" s="181" t="n">
        <v>386</v>
      </c>
      <c r="C397" s="181" t="n">
        <v>4739.38</v>
      </c>
      <c r="D397" s="181" t="n">
        <v>4714.075</v>
      </c>
      <c r="E397" s="181" t="n">
        <v>25.305</v>
      </c>
      <c r="F397" s="181" t="n">
        <v>640.3456</v>
      </c>
      <c r="G397" s="181" t="n">
        <v>0.372767</v>
      </c>
      <c r="H397" s="181" t="n">
        <v>0.268277</v>
      </c>
      <c r="I397" s="181" t="inlineStr"/>
    </row>
    <row r="398" ht="15" customHeight="1" s="28">
      <c r="A398" s="182" t="n">
        <v>388</v>
      </c>
      <c r="B398" s="182" t="n">
        <v>387</v>
      </c>
      <c r="C398" s="182" t="n">
        <v>4740.36</v>
      </c>
      <c r="D398" s="182" t="n">
        <v>4713.8073</v>
      </c>
      <c r="E398" s="182" t="n">
        <v>26.5527</v>
      </c>
      <c r="F398" s="182" t="n">
        <v>705.0438</v>
      </c>
      <c r="G398" s="182" t="n">
        <v>0.430665</v>
      </c>
      <c r="H398" s="182" t="n">
        <v>0.325227</v>
      </c>
      <c r="I398" s="182" t="inlineStr"/>
    </row>
    <row r="399" ht="15" customHeight="1" s="28">
      <c r="A399" s="181" t="n">
        <v>389</v>
      </c>
      <c r="B399" s="181" t="n">
        <v>388</v>
      </c>
      <c r="C399" s="181" t="n">
        <v>4736.16</v>
      </c>
      <c r="D399" s="181" t="n">
        <v>4713.5397</v>
      </c>
      <c r="E399" s="181" t="n">
        <v>22.6203</v>
      </c>
      <c r="F399" s="181" t="n">
        <v>511.6762</v>
      </c>
      <c r="G399" s="181" t="n">
        <v>0.266261</v>
      </c>
      <c r="H399" s="181" t="n">
        <v>0.171295</v>
      </c>
      <c r="I399" s="181" t="inlineStr"/>
    </row>
    <row r="400" ht="15" customHeight="1" s="28">
      <c r="A400" s="182" t="n">
        <v>390</v>
      </c>
      <c r="B400" s="182" t="n">
        <v>389</v>
      </c>
      <c r="C400" s="182" t="n">
        <v>4736.99</v>
      </c>
      <c r="D400" s="182" t="n">
        <v>4713.2721</v>
      </c>
      <c r="E400" s="182" t="n">
        <v>23.7179</v>
      </c>
      <c r="F400" s="182" t="n">
        <v>562.5368999999999</v>
      </c>
      <c r="G400" s="182" t="n">
        <v>0.306932</v>
      </c>
      <c r="H400" s="182" t="n">
        <v>0.207041</v>
      </c>
      <c r="I400" s="182" t="inlineStr"/>
    </row>
    <row r="401" ht="15" customHeight="1" s="28">
      <c r="A401" s="181" t="n">
        <v>391</v>
      </c>
      <c r="B401" s="181" t="n">
        <v>390</v>
      </c>
      <c r="C401" s="181" t="n">
        <v>4737.48</v>
      </c>
      <c r="D401" s="181" t="n">
        <v>4713.0045</v>
      </c>
      <c r="E401" s="181" t="n">
        <v>24.4755</v>
      </c>
      <c r="F401" s="181" t="n">
        <v>599.0486</v>
      </c>
      <c r="G401" s="181" t="n">
        <v>0.337294</v>
      </c>
      <c r="H401" s="181" t="n">
        <v>0.234789</v>
      </c>
      <c r="I401" s="181" t="inlineStr"/>
    </row>
    <row r="402" ht="15" customHeight="1" s="28">
      <c r="A402" s="182" t="n">
        <v>392</v>
      </c>
      <c r="B402" s="182" t="n">
        <v>391</v>
      </c>
      <c r="C402" s="182" t="n">
        <v>4740.38</v>
      </c>
      <c r="D402" s="182" t="n">
        <v>4712.7369</v>
      </c>
      <c r="E402" s="182" t="n">
        <v>27.6431</v>
      </c>
      <c r="F402" s="182" t="n">
        <v>764.1393</v>
      </c>
      <c r="G402" s="182" t="n">
        <v>0.485931</v>
      </c>
      <c r="H402" s="182" t="n">
        <v>0.382032</v>
      </c>
      <c r="I402" s="182" t="inlineStr"/>
    </row>
    <row r="403" ht="15" customHeight="1" s="28">
      <c r="A403" s="181" t="n">
        <v>393</v>
      </c>
      <c r="B403" s="181" t="n">
        <v>392</v>
      </c>
      <c r="C403" s="181" t="n">
        <v>4736.69</v>
      </c>
      <c r="D403" s="181" t="n">
        <v>4712.4693</v>
      </c>
      <c r="E403" s="181" t="n">
        <v>24.2207</v>
      </c>
      <c r="F403" s="181" t="n">
        <v>586.6413</v>
      </c>
      <c r="G403" s="181" t="n">
        <v>0.32687</v>
      </c>
      <c r="H403" s="181" t="n">
        <v>0.225164</v>
      </c>
      <c r="I403" s="181" t="inlineStr"/>
    </row>
    <row r="404" ht="15" customHeight="1" s="28">
      <c r="A404" s="182" t="n">
        <v>394</v>
      </c>
      <c r="B404" s="182" t="n">
        <v>393</v>
      </c>
      <c r="C404" s="182" t="n">
        <v>4732.96</v>
      </c>
      <c r="D404" s="182" t="n">
        <v>4712.2017</v>
      </c>
      <c r="E404" s="182" t="n">
        <v>20.7583</v>
      </c>
      <c r="F404" s="182" t="n">
        <v>430.9062</v>
      </c>
      <c r="G404" s="182" t="n">
        <v>0.205774</v>
      </c>
      <c r="H404" s="182" t="n">
        <v>0.121484</v>
      </c>
      <c r="I404" s="182" t="inlineStr"/>
    </row>
    <row r="405" ht="15" customHeight="1" s="28">
      <c r="A405" s="181" t="n">
        <v>395</v>
      </c>
      <c r="B405" s="181" t="n">
        <v>394</v>
      </c>
      <c r="C405" s="181" t="n">
        <v>4729.94</v>
      </c>
      <c r="D405" s="181" t="n">
        <v>4711.9341</v>
      </c>
      <c r="E405" s="181" t="n">
        <v>18.0059</v>
      </c>
      <c r="F405" s="181" t="n">
        <v>324.2117</v>
      </c>
      <c r="G405" s="181" t="n">
        <v>0.134295</v>
      </c>
      <c r="H405" s="181" t="n">
        <v>0.068772</v>
      </c>
      <c r="I405" s="181" t="inlineStr"/>
    </row>
    <row r="406" ht="15" customHeight="1" s="28">
      <c r="A406" s="182" t="n">
        <v>396</v>
      </c>
      <c r="B406" s="182" t="n">
        <v>395</v>
      </c>
      <c r="C406" s="182" t="n">
        <v>4725.92</v>
      </c>
      <c r="D406" s="182" t="n">
        <v>4711.6665</v>
      </c>
      <c r="E406" s="182" t="n">
        <v>14.2535</v>
      </c>
      <c r="F406" s="182" t="n">
        <v>203.162</v>
      </c>
      <c r="G406" s="182" t="n">
        <v>0.06661599999999999</v>
      </c>
      <c r="H406" s="182" t="n">
        <v>0.027005</v>
      </c>
      <c r="I406" s="182" t="inlineStr"/>
    </row>
    <row r="407" ht="15" customHeight="1" s="28">
      <c r="A407" s="181" t="n">
        <v>397</v>
      </c>
      <c r="B407" s="181" t="n">
        <v>396</v>
      </c>
      <c r="C407" s="181" t="n">
        <v>4725.95</v>
      </c>
      <c r="D407" s="181" t="n">
        <v>4711.3989</v>
      </c>
      <c r="E407" s="181" t="n">
        <v>14.5511</v>
      </c>
      <c r="F407" s="181" t="n">
        <v>211.7342</v>
      </c>
      <c r="G407" s="181" t="n">
        <v>0.07087599999999999</v>
      </c>
      <c r="H407" s="181" t="n">
        <v>0.029332</v>
      </c>
      <c r="I407" s="181" t="inlineStr"/>
    </row>
    <row r="408" ht="15" customHeight="1" s="28">
      <c r="A408" s="182" t="n">
        <v>398</v>
      </c>
      <c r="B408" s="182" t="n">
        <v>397</v>
      </c>
      <c r="C408" s="182" t="n">
        <v>4728.14</v>
      </c>
      <c r="D408" s="182" t="n">
        <v>4711.1313</v>
      </c>
      <c r="E408" s="182" t="n">
        <v>17.0087</v>
      </c>
      <c r="F408" s="182" t="n">
        <v>289.2959</v>
      </c>
      <c r="G408" s="182" t="n">
        <v>0.113195</v>
      </c>
      <c r="H408" s="182" t="n">
        <v>0.054757</v>
      </c>
      <c r="I408" s="182" t="inlineStr"/>
    </row>
    <row r="409" ht="15" customHeight="1" s="28">
      <c r="A409" s="181" t="n">
        <v>399</v>
      </c>
      <c r="B409" s="181" t="n">
        <v>398</v>
      </c>
      <c r="C409" s="181" t="n">
        <v>4724.57</v>
      </c>
      <c r="D409" s="181" t="n">
        <v>4710.8637</v>
      </c>
      <c r="E409" s="181" t="n">
        <v>13.7063</v>
      </c>
      <c r="F409" s="181" t="n">
        <v>187.8627</v>
      </c>
      <c r="G409" s="181" t="n">
        <v>0.059235</v>
      </c>
      <c r="H409" s="181" t="n">
        <v>0.023091</v>
      </c>
      <c r="I409" s="181" t="inlineStr"/>
    </row>
    <row r="410" ht="15" customHeight="1" s="28">
      <c r="A410" s="182" t="n">
        <v>400</v>
      </c>
      <c r="B410" s="182" t="n">
        <v>399</v>
      </c>
      <c r="C410" s="182" t="n">
        <v>4727.72</v>
      </c>
      <c r="D410" s="182" t="n">
        <v>4710.5961</v>
      </c>
      <c r="E410" s="182" t="n">
        <v>17.1239</v>
      </c>
      <c r="F410" s="182" t="n">
        <v>293.228</v>
      </c>
      <c r="G410" s="182" t="n">
        <v>0.115511</v>
      </c>
      <c r="H410" s="182" t="n">
        <v>0.056255</v>
      </c>
      <c r="I410" s="182" t="inlineStr"/>
    </row>
    <row r="411" ht="15" customHeight="1" s="28">
      <c r="A411" s="181" t="n">
        <v>401</v>
      </c>
      <c r="B411" s="181" t="n">
        <v>400</v>
      </c>
      <c r="C411" s="181" t="n">
        <v>4699.48</v>
      </c>
      <c r="D411" s="181" t="n">
        <v>4710.3285</v>
      </c>
      <c r="E411" s="181" t="n">
        <v>-10.8485</v>
      </c>
      <c r="F411" s="181" t="n">
        <v>117.6897</v>
      </c>
      <c r="G411" s="181" t="n">
        <v>-0.029371</v>
      </c>
      <c r="H411" s="181" t="n">
        <v>0.009062000000000001</v>
      </c>
      <c r="I411" s="181" t="inlineStr"/>
    </row>
    <row r="412" ht="15" customHeight="1" s="28">
      <c r="A412" s="182" t="n">
        <v>402</v>
      </c>
      <c r="B412" s="182" t="n">
        <v>401</v>
      </c>
      <c r="C412" s="182" t="n">
        <v>4741.59</v>
      </c>
      <c r="D412" s="182" t="n">
        <v>4710.0609</v>
      </c>
      <c r="E412" s="182" t="n">
        <v>31.5291</v>
      </c>
      <c r="F412" s="182" t="n">
        <v>994.0848</v>
      </c>
      <c r="G412" s="182" t="n">
        <v>0.7210259999999999</v>
      </c>
      <c r="H412" s="182" t="n">
        <v>0.646548</v>
      </c>
      <c r="I412" s="182" t="inlineStr"/>
    </row>
    <row r="413" ht="15" customHeight="1" s="28">
      <c r="A413" s="181" t="n">
        <v>403</v>
      </c>
      <c r="B413" s="181" t="n">
        <v>402</v>
      </c>
      <c r="C413" s="181" t="n">
        <v>4744.84</v>
      </c>
      <c r="D413" s="181" t="n">
        <v>4709.7933</v>
      </c>
      <c r="E413" s="181" t="n">
        <v>35.0467</v>
      </c>
      <c r="F413" s="181" t="n">
        <v>1228.2726</v>
      </c>
      <c r="G413" s="181" t="n">
        <v>0.990279</v>
      </c>
      <c r="H413" s="181" t="n">
        <v>0.98706</v>
      </c>
      <c r="I413" s="181" t="inlineStr"/>
    </row>
    <row r="414" ht="15" customHeight="1" s="28">
      <c r="A414" s="182" t="n">
        <v>404</v>
      </c>
      <c r="B414" s="182" t="n">
        <v>403</v>
      </c>
      <c r="C414" s="182" t="n">
        <v>4748.05</v>
      </c>
      <c r="D414" s="182" t="n">
        <v>4709.5257</v>
      </c>
      <c r="E414" s="182" t="n">
        <v>38.5243</v>
      </c>
      <c r="F414" s="182" t="n">
        <v>1484.1232</v>
      </c>
      <c r="G414" s="182" t="n">
        <v>1.315287</v>
      </c>
      <c r="H414" s="182" t="n">
        <v>1.4411</v>
      </c>
      <c r="I414" s="182" t="inlineStr"/>
    </row>
    <row r="415" ht="15" customHeight="1" s="28">
      <c r="A415" s="181" t="n">
        <v>405</v>
      </c>
      <c r="B415" s="181" t="n">
        <v>404</v>
      </c>
      <c r="C415" s="181" t="n">
        <v>4737</v>
      </c>
      <c r="D415" s="181" t="n">
        <v>4709.2581</v>
      </c>
      <c r="E415" s="181" t="n">
        <v>27.7419</v>
      </c>
      <c r="F415" s="181" t="n">
        <v>769.6147</v>
      </c>
      <c r="G415" s="181" t="n">
        <v>0.491163</v>
      </c>
      <c r="H415" s="181" t="n">
        <v>0.387526</v>
      </c>
      <c r="I415" s="181" t="inlineStr"/>
    </row>
    <row r="416" ht="15" customHeight="1" s="28">
      <c r="A416" s="182" t="n">
        <v>406</v>
      </c>
      <c r="B416" s="182" t="n">
        <v>405</v>
      </c>
      <c r="C416" s="182" t="n">
        <v>4728.26</v>
      </c>
      <c r="D416" s="182" t="n">
        <v>4708.9905</v>
      </c>
      <c r="E416" s="182" t="n">
        <v>19.2695</v>
      </c>
      <c r="F416" s="182" t="n">
        <v>371.3148</v>
      </c>
      <c r="G416" s="182" t="n">
        <v>0.1646</v>
      </c>
      <c r="H416" s="182" t="n">
        <v>0.090207</v>
      </c>
      <c r="I416" s="182" t="inlineStr"/>
    </row>
    <row r="417" ht="15" customHeight="1" s="28">
      <c r="A417" s="181" t="n">
        <v>407</v>
      </c>
      <c r="B417" s="181" t="n">
        <v>406</v>
      </c>
      <c r="C417" s="181" t="n">
        <v>4733.91</v>
      </c>
      <c r="D417" s="181" t="n">
        <v>4708.7229</v>
      </c>
      <c r="E417" s="181" t="n">
        <v>25.1871</v>
      </c>
      <c r="F417" s="181" t="n">
        <v>634.3915</v>
      </c>
      <c r="G417" s="181" t="n">
        <v>0.36758</v>
      </c>
      <c r="H417" s="181" t="n">
        <v>0.263311</v>
      </c>
      <c r="I417" s="181" t="inlineStr"/>
    </row>
    <row r="418" ht="15" customHeight="1" s="28">
      <c r="A418" s="182" t="n">
        <v>408</v>
      </c>
      <c r="B418" s="182" t="n">
        <v>407</v>
      </c>
      <c r="C418" s="182" t="n">
        <v>4723.33</v>
      </c>
      <c r="D418" s="182" t="n">
        <v>4708.4553</v>
      </c>
      <c r="E418" s="182" t="n">
        <v>14.8747</v>
      </c>
      <c r="F418" s="182" t="n">
        <v>221.2579</v>
      </c>
      <c r="G418" s="182" t="n">
        <v>0.075712</v>
      </c>
      <c r="H418" s="182" t="n">
        <v>0.03203</v>
      </c>
      <c r="I418" s="182" t="inlineStr"/>
    </row>
    <row r="419" ht="15" customHeight="1" s="28">
      <c r="A419" s="181" t="n">
        <v>409</v>
      </c>
      <c r="B419" s="181" t="n">
        <v>408</v>
      </c>
      <c r="C419" s="181" t="n">
        <v>4707.19</v>
      </c>
      <c r="D419" s="181" t="n">
        <v>4708.1877</v>
      </c>
      <c r="E419" s="181" t="n">
        <v>-0.9977</v>
      </c>
      <c r="F419" s="181" t="n">
        <v>0.9953</v>
      </c>
      <c r="G419" s="181" t="n">
        <v>-2.3e-05</v>
      </c>
      <c r="H419" s="181" t="n">
        <v>1e-06</v>
      </c>
      <c r="I419" s="181" t="inlineStr"/>
    </row>
    <row r="420" ht="15" customHeight="1" s="28">
      <c r="A420" s="182" t="n">
        <v>410</v>
      </c>
      <c r="B420" s="182" t="n">
        <v>409</v>
      </c>
      <c r="C420" s="182" t="n">
        <v>4714.1</v>
      </c>
      <c r="D420" s="182" t="n">
        <v>4707.92</v>
      </c>
      <c r="E420" s="182" t="n">
        <v>6.18</v>
      </c>
      <c r="F420" s="182" t="n">
        <v>38.1918</v>
      </c>
      <c r="G420" s="182" t="n">
        <v>0.00543</v>
      </c>
      <c r="H420" s="182" t="n">
        <v>0.000954</v>
      </c>
      <c r="I420" s="182" t="inlineStr"/>
    </row>
    <row r="421" ht="15" customHeight="1" s="28">
      <c r="A421" s="181" t="n">
        <v>411</v>
      </c>
      <c r="B421" s="181" t="n">
        <v>410</v>
      </c>
      <c r="C421" s="181" t="n">
        <v>4701.42</v>
      </c>
      <c r="D421" s="181" t="n">
        <v>4707.6524</v>
      </c>
      <c r="E421" s="181" t="n">
        <v>-6.2324</v>
      </c>
      <c r="F421" s="181" t="n">
        <v>38.8434</v>
      </c>
      <c r="G421" s="181" t="n">
        <v>-0.005569</v>
      </c>
      <c r="H421" s="181" t="n">
        <v>0.000987</v>
      </c>
      <c r="I421" s="181" t="inlineStr"/>
    </row>
    <row r="422" ht="15" customHeight="1" s="28">
      <c r="A422" s="182" t="n">
        <v>412</v>
      </c>
      <c r="B422" s="182" t="n">
        <v>411</v>
      </c>
      <c r="C422" s="182" t="n">
        <v>4699.23</v>
      </c>
      <c r="D422" s="182" t="n">
        <v>4707.3849</v>
      </c>
      <c r="E422" s="182" t="n">
        <v>-8.1549</v>
      </c>
      <c r="F422" s="182" t="n">
        <v>66.5016</v>
      </c>
      <c r="G422" s="182" t="n">
        <v>-0.012476</v>
      </c>
      <c r="H422" s="182" t="n">
        <v>0.002893</v>
      </c>
      <c r="I422" s="182" t="inlineStr"/>
    </row>
    <row r="423" ht="15" customHeight="1" s="28">
      <c r="A423" s="181" t="n">
        <v>413</v>
      </c>
      <c r="B423" s="181" t="n">
        <v>412</v>
      </c>
      <c r="C423" s="181" t="n">
        <v>4702.06</v>
      </c>
      <c r="D423" s="181" t="n">
        <v>4707.1172</v>
      </c>
      <c r="E423" s="181" t="n">
        <v>-5.0572</v>
      </c>
      <c r="F423" s="181" t="n">
        <v>25.5757</v>
      </c>
      <c r="G423" s="181" t="n">
        <v>-0.002975</v>
      </c>
      <c r="H423" s="181" t="n">
        <v>0.000428</v>
      </c>
      <c r="I423" s="181" t="inlineStr"/>
    </row>
    <row r="424" ht="15" customHeight="1" s="28">
      <c r="A424" s="182" t="n">
        <v>414</v>
      </c>
      <c r="B424" s="182" t="n">
        <v>413</v>
      </c>
      <c r="C424" s="182" t="n">
        <v>4703.22</v>
      </c>
      <c r="D424" s="182" t="n">
        <v>4706.8496</v>
      </c>
      <c r="E424" s="182" t="n">
        <v>-3.6296</v>
      </c>
      <c r="F424" s="182" t="n">
        <v>13.1743</v>
      </c>
      <c r="G424" s="182" t="n">
        <v>-0.0011</v>
      </c>
      <c r="H424" s="182" t="n">
        <v>0.000114</v>
      </c>
      <c r="I424" s="182" t="inlineStr"/>
    </row>
    <row r="425" ht="15" customHeight="1" s="28">
      <c r="A425" s="181" t="n">
        <v>415</v>
      </c>
      <c r="B425" s="181" t="n">
        <v>414</v>
      </c>
      <c r="C425" s="181" t="n">
        <v>4704.99</v>
      </c>
      <c r="D425" s="181" t="n">
        <v>4706.582</v>
      </c>
      <c r="E425" s="181" t="n">
        <v>-1.592</v>
      </c>
      <c r="F425" s="181" t="n">
        <v>2.5346</v>
      </c>
      <c r="G425" s="181" t="n">
        <v>-9.3e-05</v>
      </c>
      <c r="H425" s="181" t="n">
        <v>4e-06</v>
      </c>
      <c r="I425" s="181" t="inlineStr"/>
    </row>
    <row r="426" ht="15" customHeight="1" s="28">
      <c r="A426" s="182" t="n">
        <v>416</v>
      </c>
      <c r="B426" s="182" t="n">
        <v>415</v>
      </c>
      <c r="C426" s="182" t="n">
        <v>4704.1</v>
      </c>
      <c r="D426" s="182" t="n">
        <v>4706.3144</v>
      </c>
      <c r="E426" s="182" t="n">
        <v>-2.2144</v>
      </c>
      <c r="F426" s="182" t="n">
        <v>4.9037</v>
      </c>
      <c r="G426" s="182" t="n">
        <v>-0.00025</v>
      </c>
      <c r="H426" s="182" t="n">
        <v>1.6e-05</v>
      </c>
      <c r="I426" s="182" t="inlineStr"/>
    </row>
    <row r="427" ht="15" customHeight="1" s="28">
      <c r="A427" s="181" t="n">
        <v>417</v>
      </c>
      <c r="B427" s="181" t="n">
        <v>416</v>
      </c>
      <c r="C427" s="181" t="n">
        <v>4706.25</v>
      </c>
      <c r="D427" s="181" t="n">
        <v>4706.0468</v>
      </c>
      <c r="E427" s="181" t="n">
        <v>0.2032</v>
      </c>
      <c r="F427" s="181" t="n">
        <v>0.0413</v>
      </c>
      <c r="G427" s="181" t="n">
        <v>0</v>
      </c>
      <c r="H427" s="181" t="n">
        <v>0</v>
      </c>
      <c r="I427" s="181" t="inlineStr"/>
    </row>
    <row r="428" ht="15" customHeight="1" s="28">
      <c r="A428" s="182" t="n">
        <v>418</v>
      </c>
      <c r="B428" s="182" t="n">
        <v>417</v>
      </c>
      <c r="C428" s="182" t="n">
        <v>4705.73</v>
      </c>
      <c r="D428" s="182" t="n">
        <v>4705.7792</v>
      </c>
      <c r="E428" s="182" t="n">
        <v>-0.0492</v>
      </c>
      <c r="F428" s="182" t="n">
        <v>0.0024</v>
      </c>
      <c r="G428" s="182" t="n">
        <v>0</v>
      </c>
      <c r="H428" s="182" t="n">
        <v>0</v>
      </c>
      <c r="I428" s="182" t="inlineStr"/>
    </row>
    <row r="429" ht="15" customHeight="1" s="28">
      <c r="A429" s="181" t="n">
        <v>419</v>
      </c>
      <c r="B429" s="181" t="n">
        <v>418</v>
      </c>
      <c r="C429" s="181" t="n">
        <v>4701.88</v>
      </c>
      <c r="D429" s="181" t="n">
        <v>4705.5116</v>
      </c>
      <c r="E429" s="181" t="n">
        <v>-3.6316</v>
      </c>
      <c r="F429" s="181" t="n">
        <v>13.1887</v>
      </c>
      <c r="G429" s="181" t="n">
        <v>-0.001102</v>
      </c>
      <c r="H429" s="181" t="n">
        <v>0.000114</v>
      </c>
      <c r="I429" s="181" t="inlineStr"/>
    </row>
    <row r="430" ht="15" customHeight="1" s="28">
      <c r="A430" s="182" t="n">
        <v>420</v>
      </c>
      <c r="B430" s="182" t="n">
        <v>419</v>
      </c>
      <c r="C430" s="182" t="n">
        <v>4704.35</v>
      </c>
      <c r="D430" s="182" t="n">
        <v>4705.244</v>
      </c>
      <c r="E430" s="182" t="n">
        <v>-0.894</v>
      </c>
      <c r="F430" s="182" t="n">
        <v>0.7993</v>
      </c>
      <c r="G430" s="182" t="n">
        <v>-1.6e-05</v>
      </c>
      <c r="H430" s="182" t="n">
        <v>0</v>
      </c>
      <c r="I430" s="182" t="inlineStr"/>
    </row>
    <row r="431" ht="15" customHeight="1" s="28">
      <c r="A431" s="181" t="n">
        <v>421</v>
      </c>
      <c r="B431" s="181" t="n">
        <v>420</v>
      </c>
      <c r="C431" s="181" t="n">
        <v>4707.71</v>
      </c>
      <c r="D431" s="181" t="n">
        <v>4704.9764</v>
      </c>
      <c r="E431" s="181" t="n">
        <v>2.7336</v>
      </c>
      <c r="F431" s="181" t="n">
        <v>7.4725</v>
      </c>
      <c r="G431" s="181" t="n">
        <v>0.00047</v>
      </c>
      <c r="H431" s="181" t="n">
        <v>3.7e-05</v>
      </c>
      <c r="I431" s="181" t="inlineStr"/>
    </row>
    <row r="432" ht="15" customHeight="1" s="28">
      <c r="A432" s="182" t="n">
        <v>422</v>
      </c>
      <c r="B432" s="182" t="n">
        <v>421</v>
      </c>
      <c r="C432" s="182" t="n">
        <v>4705.92</v>
      </c>
      <c r="D432" s="182" t="n">
        <v>4704.7088</v>
      </c>
      <c r="E432" s="182" t="n">
        <v>1.2112</v>
      </c>
      <c r="F432" s="182" t="n">
        <v>1.467</v>
      </c>
      <c r="G432" s="182" t="n">
        <v>4.1e-05</v>
      </c>
      <c r="H432" s="182" t="n">
        <v>1e-06</v>
      </c>
      <c r="I432" s="182" t="inlineStr"/>
    </row>
    <row r="433" ht="15" customHeight="1" s="28">
      <c r="A433" s="181" t="n">
        <v>423</v>
      </c>
      <c r="B433" s="181" t="n">
        <v>422</v>
      </c>
      <c r="C433" s="181" t="n">
        <v>4701.58</v>
      </c>
      <c r="D433" s="181" t="n">
        <v>4704.4412</v>
      </c>
      <c r="E433" s="181" t="n">
        <v>-2.8612</v>
      </c>
      <c r="F433" s="181" t="n">
        <v>8.186500000000001</v>
      </c>
      <c r="G433" s="181" t="n">
        <v>-0.000539</v>
      </c>
      <c r="H433" s="181" t="n">
        <v>4.4e-05</v>
      </c>
      <c r="I433" s="181" t="inlineStr"/>
    </row>
    <row r="434" ht="15" customHeight="1" s="28">
      <c r="A434" s="182" t="n">
        <v>424</v>
      </c>
      <c r="B434" s="182" t="n">
        <v>423</v>
      </c>
      <c r="C434" s="182" t="n">
        <v>4713.6</v>
      </c>
      <c r="D434" s="182" t="n">
        <v>4704.1736</v>
      </c>
      <c r="E434" s="182" t="n">
        <v>9.426399999999999</v>
      </c>
      <c r="F434" s="182" t="n">
        <v>88.857</v>
      </c>
      <c r="G434" s="182" t="n">
        <v>0.019269</v>
      </c>
      <c r="H434" s="182" t="n">
        <v>0.005166</v>
      </c>
      <c r="I434" s="182" t="inlineStr"/>
    </row>
    <row r="435" ht="15" customHeight="1" s="28">
      <c r="A435" s="181" t="n">
        <v>425</v>
      </c>
      <c r="B435" s="181" t="n">
        <v>424</v>
      </c>
      <c r="C435" s="181" t="n">
        <v>4711.99</v>
      </c>
      <c r="D435" s="181" t="n">
        <v>4703.906</v>
      </c>
      <c r="E435" s="181" t="n">
        <v>8.084</v>
      </c>
      <c r="F435" s="181" t="n">
        <v>65.35120000000001</v>
      </c>
      <c r="G435" s="181" t="n">
        <v>0.012153</v>
      </c>
      <c r="H435" s="181" t="n">
        <v>0.002794</v>
      </c>
      <c r="I435" s="181" t="inlineStr"/>
    </row>
    <row r="436" ht="15" customHeight="1" s="28">
      <c r="A436" s="182" t="n">
        <v>426</v>
      </c>
      <c r="B436" s="182" t="n">
        <v>425</v>
      </c>
      <c r="C436" s="182" t="n">
        <v>4712.13</v>
      </c>
      <c r="D436" s="182" t="n">
        <v>4703.6384</v>
      </c>
      <c r="E436" s="182" t="n">
        <v>8.4916</v>
      </c>
      <c r="F436" s="182" t="n">
        <v>72.1074</v>
      </c>
      <c r="G436" s="182" t="n">
        <v>0.014086</v>
      </c>
      <c r="H436" s="182" t="n">
        <v>0.003402</v>
      </c>
      <c r="I436" s="182" t="inlineStr"/>
    </row>
    <row r="437" ht="15" customHeight="1" s="28">
      <c r="A437" s="181" t="n">
        <v>427</v>
      </c>
      <c r="B437" s="181" t="n">
        <v>426</v>
      </c>
      <c r="C437" s="181" t="n">
        <v>4714.98</v>
      </c>
      <c r="D437" s="181" t="n">
        <v>4703.3708</v>
      </c>
      <c r="E437" s="181" t="n">
        <v>11.6092</v>
      </c>
      <c r="F437" s="181" t="n">
        <v>134.774</v>
      </c>
      <c r="G437" s="181" t="n">
        <v>0.035994</v>
      </c>
      <c r="H437" s="181" t="n">
        <v>0.011884</v>
      </c>
      <c r="I437" s="181" t="inlineStr"/>
    </row>
    <row r="438" ht="15" customHeight="1" s="28">
      <c r="A438" s="182" t="n">
        <v>428</v>
      </c>
      <c r="B438" s="182" t="n">
        <v>427</v>
      </c>
      <c r="C438" s="182" t="n">
        <v>4713.02</v>
      </c>
      <c r="D438" s="182" t="n">
        <v>4703.1032</v>
      </c>
      <c r="E438" s="182" t="n">
        <v>9.9168</v>
      </c>
      <c r="F438" s="182" t="n">
        <v>98.3433</v>
      </c>
      <c r="G438" s="182" t="n">
        <v>0.022435</v>
      </c>
      <c r="H438" s="182" t="n">
        <v>0.006328</v>
      </c>
      <c r="I438" s="182" t="inlineStr"/>
    </row>
    <row r="439" ht="15" customHeight="1" s="28">
      <c r="A439" s="181" t="n">
        <v>429</v>
      </c>
      <c r="B439" s="181" t="n">
        <v>428</v>
      </c>
      <c r="C439" s="181" t="n">
        <v>4712.47</v>
      </c>
      <c r="D439" s="181" t="n">
        <v>4702.8356</v>
      </c>
      <c r="E439" s="181" t="n">
        <v>9.634399999999999</v>
      </c>
      <c r="F439" s="181" t="n">
        <v>92.822</v>
      </c>
      <c r="G439" s="181" t="n">
        <v>0.020573</v>
      </c>
      <c r="H439" s="181" t="n">
        <v>0.005637</v>
      </c>
      <c r="I439" s="181" t="inlineStr"/>
    </row>
    <row r="440" ht="15" customHeight="1" s="28">
      <c r="A440" s="182" t="n">
        <v>430</v>
      </c>
      <c r="B440" s="182" t="n">
        <v>429</v>
      </c>
      <c r="C440" s="182" t="n">
        <v>4706.12</v>
      </c>
      <c r="D440" s="182" t="n">
        <v>4702.568</v>
      </c>
      <c r="E440" s="182" t="n">
        <v>3.552</v>
      </c>
      <c r="F440" s="182" t="n">
        <v>12.6169</v>
      </c>
      <c r="G440" s="182" t="n">
        <v>0.001031</v>
      </c>
      <c r="H440" s="182" t="n">
        <v>0.000104</v>
      </c>
      <c r="I440" s="182" t="inlineStr"/>
    </row>
    <row r="441" ht="15" customHeight="1" s="28">
      <c r="A441" s="181" t="n">
        <v>431</v>
      </c>
      <c r="B441" s="181" t="n">
        <v>430</v>
      </c>
      <c r="C441" s="181" t="n">
        <v>4713.77</v>
      </c>
      <c r="D441" s="181" t="n">
        <v>4702.3004</v>
      </c>
      <c r="E441" s="181" t="n">
        <v>11.4696</v>
      </c>
      <c r="F441" s="181" t="n">
        <v>131.5524</v>
      </c>
      <c r="G441" s="181" t="n">
        <v>0.034711</v>
      </c>
      <c r="H441" s="181" t="n">
        <v>0.011323</v>
      </c>
      <c r="I441" s="181" t="inlineStr"/>
    </row>
    <row r="442" ht="15" customHeight="1" s="28">
      <c r="A442" s="182" t="n">
        <v>432</v>
      </c>
      <c r="B442" s="182" t="n">
        <v>431</v>
      </c>
      <c r="C442" s="182" t="n">
        <v>4719.22</v>
      </c>
      <c r="D442" s="182" t="n">
        <v>4702.0328</v>
      </c>
      <c r="E442" s="182" t="n">
        <v>17.1872</v>
      </c>
      <c r="F442" s="182" t="n">
        <v>295.4012</v>
      </c>
      <c r="G442" s="182" t="n">
        <v>0.116798</v>
      </c>
      <c r="H442" s="182" t="n">
        <v>0.057092</v>
      </c>
      <c r="I442" s="182" t="inlineStr"/>
    </row>
    <row r="443" ht="15" customHeight="1" s="28">
      <c r="A443" s="181" t="n">
        <v>433</v>
      </c>
      <c r="B443" s="181" t="n">
        <v>432</v>
      </c>
      <c r="C443" s="181" t="n">
        <v>4718.21</v>
      </c>
      <c r="D443" s="181" t="n">
        <v>4701.7652</v>
      </c>
      <c r="E443" s="181" t="n">
        <v>16.4448</v>
      </c>
      <c r="F443" s="181" t="n">
        <v>270.4328</v>
      </c>
      <c r="G443" s="181" t="n">
        <v>0.102307</v>
      </c>
      <c r="H443" s="181" t="n">
        <v>0.047849</v>
      </c>
      <c r="I443" s="181" t="inlineStr"/>
    </row>
    <row r="444" ht="15" customHeight="1" s="28">
      <c r="A444" s="182" t="n">
        <v>434</v>
      </c>
      <c r="B444" s="182" t="n">
        <v>433</v>
      </c>
      <c r="C444" s="182" t="n">
        <v>4715.43</v>
      </c>
      <c r="D444" s="182" t="n">
        <v>4701.4976</v>
      </c>
      <c r="E444" s="182" t="n">
        <v>13.9324</v>
      </c>
      <c r="F444" s="182" t="n">
        <v>194.1129</v>
      </c>
      <c r="G444" s="182" t="n">
        <v>0.062215</v>
      </c>
      <c r="H444" s="182" t="n">
        <v>0.024653</v>
      </c>
      <c r="I444" s="182" t="inlineStr"/>
    </row>
    <row r="445" ht="15" customHeight="1" s="28">
      <c r="A445" s="181" t="n">
        <v>435</v>
      </c>
      <c r="B445" s="181" t="n">
        <v>434</v>
      </c>
      <c r="C445" s="181" t="n">
        <v>4703.76</v>
      </c>
      <c r="D445" s="181" t="n">
        <v>4701.2299</v>
      </c>
      <c r="E445" s="181" t="n">
        <v>2.5301</v>
      </c>
      <c r="F445" s="181" t="n">
        <v>6.4012</v>
      </c>
      <c r="G445" s="181" t="n">
        <v>0.000373</v>
      </c>
      <c r="H445" s="181" t="n">
        <v>2.7e-05</v>
      </c>
      <c r="I445" s="181" t="inlineStr"/>
    </row>
    <row r="446" ht="15" customHeight="1" s="28">
      <c r="A446" s="182" t="n">
        <v>436</v>
      </c>
      <c r="B446" s="182" t="n">
        <v>435</v>
      </c>
      <c r="C446" s="182" t="n">
        <v>4703.28</v>
      </c>
      <c r="D446" s="182" t="n">
        <v>4700.9623</v>
      </c>
      <c r="E446" s="182" t="n">
        <v>2.3176</v>
      </c>
      <c r="F446" s="182" t="n">
        <v>5.3715</v>
      </c>
      <c r="G446" s="182" t="n">
        <v>0.000286</v>
      </c>
      <c r="H446" s="182" t="n">
        <v>1.9e-05</v>
      </c>
      <c r="I446" s="182" t="inlineStr"/>
    </row>
    <row r="447" ht="15" customHeight="1" s="28">
      <c r="A447" s="181" t="n">
        <v>437</v>
      </c>
      <c r="B447" s="181" t="n">
        <v>436</v>
      </c>
      <c r="C447" s="181" t="n">
        <v>4696.92</v>
      </c>
      <c r="D447" s="181" t="n">
        <v>4700.6947</v>
      </c>
      <c r="E447" s="181" t="n">
        <v>-3.7747</v>
      </c>
      <c r="F447" s="181" t="n">
        <v>14.2487</v>
      </c>
      <c r="G447" s="181" t="n">
        <v>-0.001237</v>
      </c>
      <c r="H447" s="181" t="n">
        <v>0.000133</v>
      </c>
      <c r="I447" s="181" t="inlineStr"/>
    </row>
    <row r="448" ht="15" customHeight="1" s="28">
      <c r="A448" s="182" t="n">
        <v>438</v>
      </c>
      <c r="B448" s="182" t="n">
        <v>437</v>
      </c>
      <c r="C448" s="182" t="n">
        <v>4700.94</v>
      </c>
      <c r="D448" s="182" t="n">
        <v>4700.4271</v>
      </c>
      <c r="E448" s="182" t="n">
        <v>0.5129</v>
      </c>
      <c r="F448" s="182" t="n">
        <v>0.263</v>
      </c>
      <c r="G448" s="182" t="n">
        <v>3e-06</v>
      </c>
      <c r="H448" s="182" t="n">
        <v>0</v>
      </c>
      <c r="I448" s="182" t="inlineStr"/>
    </row>
    <row r="449" ht="15" customHeight="1" s="28">
      <c r="A449" s="181" t="n">
        <v>439</v>
      </c>
      <c r="B449" s="181" t="n">
        <v>438</v>
      </c>
      <c r="C449" s="181" t="n">
        <v>4700.99</v>
      </c>
      <c r="D449" s="181" t="n">
        <v>4700.1595</v>
      </c>
      <c r="E449" s="181" t="n">
        <v>0.8305</v>
      </c>
      <c r="F449" s="181" t="n">
        <v>0.6897</v>
      </c>
      <c r="G449" s="181" t="n">
        <v>1.3e-05</v>
      </c>
      <c r="H449" s="181" t="n">
        <v>0</v>
      </c>
      <c r="I449" s="181" t="inlineStr"/>
    </row>
    <row r="450" ht="15" customHeight="1" s="28">
      <c r="A450" s="182" t="n">
        <v>440</v>
      </c>
      <c r="B450" s="182" t="n">
        <v>439</v>
      </c>
      <c r="C450" s="182" t="n">
        <v>4697.62</v>
      </c>
      <c r="D450" s="182" t="n">
        <v>4699.8919</v>
      </c>
      <c r="E450" s="182" t="n">
        <v>-2.2719</v>
      </c>
      <c r="F450" s="182" t="n">
        <v>5.1617</v>
      </c>
      <c r="G450" s="182" t="n">
        <v>-0.00027</v>
      </c>
      <c r="H450" s="182" t="n">
        <v>1.7e-05</v>
      </c>
      <c r="I450" s="182" t="inlineStr"/>
    </row>
    <row r="451" ht="15" customHeight="1" s="28">
      <c r="A451" s="181" t="n">
        <v>441</v>
      </c>
      <c r="B451" s="181" t="n">
        <v>440</v>
      </c>
      <c r="C451" s="181" t="n">
        <v>4689.14</v>
      </c>
      <c r="D451" s="181" t="n">
        <v>4699.6243</v>
      </c>
      <c r="E451" s="181" t="n">
        <v>-10.4843</v>
      </c>
      <c r="F451" s="181" t="n">
        <v>109.9212</v>
      </c>
      <c r="G451" s="181" t="n">
        <v>-0.026512</v>
      </c>
      <c r="H451" s="181" t="n">
        <v>0.007905000000000001</v>
      </c>
      <c r="I451" s="181" t="inlineStr"/>
    </row>
    <row r="452" ht="15" customHeight="1" s="28">
      <c r="A452" s="182" t="n">
        <v>442</v>
      </c>
      <c r="B452" s="182" t="n">
        <v>441</v>
      </c>
      <c r="C452" s="182" t="n">
        <v>4686.7</v>
      </c>
      <c r="D452" s="182" t="n">
        <v>4699.3567</v>
      </c>
      <c r="E452" s="182" t="n">
        <v>-12.6567</v>
      </c>
      <c r="F452" s="182" t="n">
        <v>160.1926</v>
      </c>
      <c r="G452" s="182" t="n">
        <v>-0.046642</v>
      </c>
      <c r="H452" s="182" t="n">
        <v>0.01679</v>
      </c>
      <c r="I452" s="182" t="inlineStr"/>
    </row>
    <row r="453" ht="15" customHeight="1" s="28">
      <c r="A453" s="181" t="n">
        <v>443</v>
      </c>
      <c r="B453" s="181" t="n">
        <v>442</v>
      </c>
      <c r="C453" s="181" t="n">
        <v>4690.77</v>
      </c>
      <c r="D453" s="181" t="n">
        <v>4699.0891</v>
      </c>
      <c r="E453" s="181" t="n">
        <v>-8.319100000000001</v>
      </c>
      <c r="F453" s="181" t="n">
        <v>69.20780000000001</v>
      </c>
      <c r="G453" s="181" t="n">
        <v>-0.013245</v>
      </c>
      <c r="H453" s="181" t="n">
        <v>0.003134</v>
      </c>
      <c r="I453" s="181" t="inlineStr"/>
    </row>
    <row r="454" ht="15" customHeight="1" s="28">
      <c r="A454" s="182" t="n">
        <v>444</v>
      </c>
      <c r="B454" s="182" t="n">
        <v>443</v>
      </c>
      <c r="C454" s="182" t="n">
        <v>4696.61</v>
      </c>
      <c r="D454" s="182" t="n">
        <v>4698.8215</v>
      </c>
      <c r="E454" s="182" t="n">
        <v>-2.2115</v>
      </c>
      <c r="F454" s="182" t="n">
        <v>4.8908</v>
      </c>
      <c r="G454" s="182" t="n">
        <v>-0.000249</v>
      </c>
      <c r="H454" s="182" t="n">
        <v>1.6e-05</v>
      </c>
      <c r="I454" s="182" t="inlineStr"/>
    </row>
    <row r="455" ht="15" customHeight="1" s="28">
      <c r="A455" s="181" t="n">
        <v>445</v>
      </c>
      <c r="B455" s="181" t="n">
        <v>444</v>
      </c>
      <c r="C455" s="181" t="n">
        <v>4697.96</v>
      </c>
      <c r="D455" s="181" t="n">
        <v>4698.5539</v>
      </c>
      <c r="E455" s="181" t="n">
        <v>-0.5939</v>
      </c>
      <c r="F455" s="181" t="n">
        <v>0.3527</v>
      </c>
      <c r="G455" s="181" t="n">
        <v>-5e-06</v>
      </c>
      <c r="H455" s="181" t="n">
        <v>0</v>
      </c>
      <c r="I455" s="181" t="inlineStr"/>
    </row>
    <row r="456" ht="15" customHeight="1" s="28">
      <c r="A456" s="182" t="n">
        <v>446</v>
      </c>
      <c r="B456" s="182" t="n">
        <v>445</v>
      </c>
      <c r="C456" s="182" t="n">
        <v>4699.27</v>
      </c>
      <c r="D456" s="182" t="n">
        <v>4698.2863</v>
      </c>
      <c r="E456" s="182" t="n">
        <v>0.9837</v>
      </c>
      <c r="F456" s="182" t="n">
        <v>0.9676</v>
      </c>
      <c r="G456" s="182" t="n">
        <v>2.2e-05</v>
      </c>
      <c r="H456" s="182" t="n">
        <v>1e-06</v>
      </c>
      <c r="I456" s="182" t="inlineStr"/>
    </row>
    <row r="457" ht="15" customHeight="1" s="28">
      <c r="A457" s="181" t="n">
        <v>447</v>
      </c>
      <c r="B457" s="181" t="n">
        <v>446</v>
      </c>
      <c r="C457" s="181" t="n">
        <v>4705.48</v>
      </c>
      <c r="D457" s="181" t="n">
        <v>4698.0187</v>
      </c>
      <c r="E457" s="181" t="n">
        <v>7.4613</v>
      </c>
      <c r="F457" s="181" t="n">
        <v>55.671</v>
      </c>
      <c r="G457" s="181" t="n">
        <v>0.009556</v>
      </c>
      <c r="H457" s="181" t="n">
        <v>0.002028</v>
      </c>
      <c r="I457" s="181" t="inlineStr"/>
    </row>
    <row r="458" ht="15" customHeight="1" s="28">
      <c r="A458" s="182" t="n">
        <v>448</v>
      </c>
      <c r="B458" s="182" t="n">
        <v>447</v>
      </c>
      <c r="C458" s="182" t="n">
        <v>4720.71</v>
      </c>
      <c r="D458" s="182" t="n">
        <v>4697.7511</v>
      </c>
      <c r="E458" s="182" t="n">
        <v>22.9589</v>
      </c>
      <c r="F458" s="182" t="n">
        <v>527.1111</v>
      </c>
      <c r="G458" s="182" t="n">
        <v>0.2784</v>
      </c>
      <c r="H458" s="182" t="n">
        <v>0.181785</v>
      </c>
      <c r="I458" s="182" t="inlineStr"/>
    </row>
    <row r="459" ht="15" customHeight="1" s="28">
      <c r="A459" s="181" t="n">
        <v>449</v>
      </c>
      <c r="B459" s="181" t="n">
        <v>448</v>
      </c>
      <c r="C459" s="181" t="n">
        <v>4729.21</v>
      </c>
      <c r="D459" s="181" t="n">
        <v>4697.4835</v>
      </c>
      <c r="E459" s="181" t="n">
        <v>31.7265</v>
      </c>
      <c r="F459" s="181" t="n">
        <v>1006.5714</v>
      </c>
      <c r="G459" s="181" t="n">
        <v>0.734653</v>
      </c>
      <c r="H459" s="181" t="n">
        <v>0.662893</v>
      </c>
      <c r="I459" s="181" t="inlineStr"/>
    </row>
    <row r="460" ht="15" customHeight="1" s="28">
      <c r="A460" s="182" t="n">
        <v>450</v>
      </c>
      <c r="B460" s="182" t="n">
        <v>449</v>
      </c>
      <c r="C460" s="182" t="n">
        <v>4733.39</v>
      </c>
      <c r="D460" s="182" t="n">
        <v>4697.2159</v>
      </c>
      <c r="E460" s="182" t="n">
        <v>36.1741</v>
      </c>
      <c r="F460" s="182" t="n">
        <v>1308.5662</v>
      </c>
      <c r="G460" s="182" t="n">
        <v>1.088953</v>
      </c>
      <c r="H460" s="182" t="n">
        <v>1.120329</v>
      </c>
      <c r="I460" s="182" t="inlineStr"/>
    </row>
    <row r="461" ht="15" customHeight="1" s="28">
      <c r="A461" s="181" t="n">
        <v>451</v>
      </c>
      <c r="B461" s="181" t="n">
        <v>450</v>
      </c>
      <c r="C461" s="181" t="n">
        <v>4739.41</v>
      </c>
      <c r="D461" s="181" t="n">
        <v>4696.9483</v>
      </c>
      <c r="E461" s="181" t="n">
        <v>42.4617</v>
      </c>
      <c r="F461" s="181" t="n">
        <v>1802.9968</v>
      </c>
      <c r="G461" s="181" t="n">
        <v>1.761197</v>
      </c>
      <c r="H461" s="181" t="n">
        <v>2.126885</v>
      </c>
      <c r="I461" s="181" t="inlineStr"/>
    </row>
    <row r="462" ht="15" customHeight="1" s="28">
      <c r="A462" s="182" t="n">
        <v>452</v>
      </c>
      <c r="B462" s="182" t="n">
        <v>451</v>
      </c>
      <c r="C462" s="182" t="n">
        <v>4740.04</v>
      </c>
      <c r="D462" s="182" t="n">
        <v>4696.6807</v>
      </c>
      <c r="E462" s="182" t="n">
        <v>43.3593</v>
      </c>
      <c r="F462" s="182" t="n">
        <v>1880.0306</v>
      </c>
      <c r="G462" s="182" t="n">
        <v>1.875266</v>
      </c>
      <c r="H462" s="182" t="n">
        <v>2.312512</v>
      </c>
      <c r="I462" s="182" t="inlineStr"/>
    </row>
    <row r="463" ht="15" customHeight="1" s="28">
      <c r="A463" s="181" t="n">
        <v>453</v>
      </c>
      <c r="B463" s="181" t="n">
        <v>452</v>
      </c>
      <c r="C463" s="181" t="n">
        <v>4725.95</v>
      </c>
      <c r="D463" s="181" t="n">
        <v>4696.4131</v>
      </c>
      <c r="E463" s="181" t="n">
        <v>29.5369</v>
      </c>
      <c r="F463" s="181" t="n">
        <v>872.4296000000001</v>
      </c>
      <c r="G463" s="181" t="n">
        <v>0.592804</v>
      </c>
      <c r="H463" s="181" t="n">
        <v>0.497983</v>
      </c>
      <c r="I463" s="181" t="inlineStr"/>
    </row>
    <row r="464" ht="15" customHeight="1" s="28">
      <c r="A464" s="182" t="n">
        <v>454</v>
      </c>
      <c r="B464" s="182" t="n">
        <v>453</v>
      </c>
      <c r="C464" s="182" t="n">
        <v>4727.53</v>
      </c>
      <c r="D464" s="182" t="n">
        <v>4696.1455</v>
      </c>
      <c r="E464" s="182" t="n">
        <v>31.3845</v>
      </c>
      <c r="F464" s="182" t="n">
        <v>984.9887</v>
      </c>
      <c r="G464" s="182" t="n">
        <v>0.711152</v>
      </c>
      <c r="H464" s="182" t="n">
        <v>0.6347699999999999</v>
      </c>
      <c r="I464" s="182" t="inlineStr"/>
    </row>
    <row r="465" ht="15" customHeight="1" s="28">
      <c r="A465" s="181" t="n">
        <v>455</v>
      </c>
      <c r="B465" s="181" t="n">
        <v>454</v>
      </c>
      <c r="C465" s="181" t="n">
        <v>4734.55</v>
      </c>
      <c r="D465" s="181" t="n">
        <v>4695.8779</v>
      </c>
      <c r="E465" s="181" t="n">
        <v>38.6721</v>
      </c>
      <c r="F465" s="181" t="n">
        <v>1495.5336</v>
      </c>
      <c r="G465" s="181" t="n">
        <v>1.330485</v>
      </c>
      <c r="H465" s="181" t="n">
        <v>1.463344</v>
      </c>
      <c r="I465" s="181" t="inlineStr"/>
    </row>
    <row r="466" ht="15" customHeight="1" s="28">
      <c r="A466" s="182" t="n">
        <v>456</v>
      </c>
      <c r="B466" s="182" t="n">
        <v>455</v>
      </c>
      <c r="C466" s="182" t="n">
        <v>4724.46</v>
      </c>
      <c r="D466" s="182" t="n">
        <v>4695.6103</v>
      </c>
      <c r="E466" s="182" t="n">
        <v>28.8497</v>
      </c>
      <c r="F466" s="182" t="n">
        <v>832.3069</v>
      </c>
      <c r="G466" s="182" t="n">
        <v>0.552384</v>
      </c>
      <c r="H466" s="182" t="n">
        <v>0.453233</v>
      </c>
      <c r="I466" s="182" t="inlineStr"/>
    </row>
    <row r="467" ht="15" customHeight="1" s="28">
      <c r="A467" s="181" t="n">
        <v>457</v>
      </c>
      <c r="B467" s="181" t="n">
        <v>456</v>
      </c>
      <c r="C467" s="181" t="n">
        <v>4724.31</v>
      </c>
      <c r="D467" s="181" t="n">
        <v>4695.3427</v>
      </c>
      <c r="E467" s="181" t="n">
        <v>28.9673</v>
      </c>
      <c r="F467" s="181" t="n">
        <v>839.1068</v>
      </c>
      <c r="G467" s="181" t="n">
        <v>0.559167</v>
      </c>
      <c r="H467" s="181" t="n">
        <v>0.460669</v>
      </c>
      <c r="I467" s="181" t="inlineStr"/>
    </row>
    <row r="468" ht="15" customHeight="1" s="28">
      <c r="A468" s="182" t="n">
        <v>458</v>
      </c>
      <c r="B468" s="182" t="n">
        <v>457</v>
      </c>
      <c r="C468" s="182" t="n">
        <v>4731.54</v>
      </c>
      <c r="D468" s="182" t="n">
        <v>4695.0751</v>
      </c>
      <c r="E468" s="182" t="n">
        <v>36.4649</v>
      </c>
      <c r="F468" s="182" t="n">
        <v>1329.6918</v>
      </c>
      <c r="G468" s="182" t="n">
        <v>1.115429</v>
      </c>
      <c r="H468" s="182" t="n">
        <v>1.156794</v>
      </c>
      <c r="I468" s="182" t="inlineStr"/>
    </row>
    <row r="469" ht="15" customHeight="1" s="28">
      <c r="A469" s="181" t="n">
        <v>459</v>
      </c>
      <c r="B469" s="181" t="n">
        <v>458</v>
      </c>
      <c r="C469" s="181" t="n">
        <v>4730.97</v>
      </c>
      <c r="D469" s="181" t="n">
        <v>4694.8075</v>
      </c>
      <c r="E469" s="181" t="n">
        <v>36.1626</v>
      </c>
      <c r="F469" s="181" t="n">
        <v>1307.73</v>
      </c>
      <c r="G469" s="181" t="n">
        <v>1.087909</v>
      </c>
      <c r="H469" s="181" t="n">
        <v>1.118897</v>
      </c>
      <c r="I469" s="181" t="inlineStr"/>
    </row>
    <row r="470" ht="15" customHeight="1" s="28">
      <c r="A470" s="182" t="n">
        <v>460</v>
      </c>
      <c r="B470" s="182" t="n">
        <v>459</v>
      </c>
      <c r="C470" s="182" t="n">
        <v>4733.72</v>
      </c>
      <c r="D470" s="182" t="n">
        <v>4694.5399</v>
      </c>
      <c r="E470" s="182" t="n">
        <v>39.1802</v>
      </c>
      <c r="F470" s="182" t="n">
        <v>1535.0842</v>
      </c>
      <c r="G470" s="182" t="n">
        <v>1.383611</v>
      </c>
      <c r="H470" s="182" t="n">
        <v>1.541766</v>
      </c>
      <c r="I470" s="182" t="inlineStr"/>
    </row>
    <row r="471" ht="15" customHeight="1" s="28">
      <c r="A471" s="181" t="n">
        <v>461</v>
      </c>
      <c r="B471" s="181" t="n">
        <v>460</v>
      </c>
      <c r="C471" s="181" t="n">
        <v>4730.76</v>
      </c>
      <c r="D471" s="181" t="n">
        <v>4694.2722</v>
      </c>
      <c r="E471" s="181" t="n">
        <v>36.4878</v>
      </c>
      <c r="F471" s="181" t="n">
        <v>1331.3559</v>
      </c>
      <c r="G471" s="181" t="n">
        <v>1.117524</v>
      </c>
      <c r="H471" s="181" t="n">
        <v>1.159691</v>
      </c>
      <c r="I471" s="181" t="inlineStr"/>
    </row>
    <row r="472" ht="15" customHeight="1" s="28">
      <c r="A472" s="182" t="n">
        <v>462</v>
      </c>
      <c r="B472" s="182" t="n">
        <v>461</v>
      </c>
      <c r="C472" s="182" t="n">
        <v>4733.6</v>
      </c>
      <c r="D472" s="182" t="n">
        <v>4694.0046</v>
      </c>
      <c r="E472" s="182" t="n">
        <v>39.5954</v>
      </c>
      <c r="F472" s="182" t="n">
        <v>1567.7925</v>
      </c>
      <c r="G472" s="182" t="n">
        <v>1.428067</v>
      </c>
      <c r="H472" s="182" t="n">
        <v>1.608168</v>
      </c>
      <c r="I472" s="182" t="inlineStr"/>
    </row>
    <row r="473" ht="15" customHeight="1" s="28">
      <c r="A473" s="181" t="n">
        <v>463</v>
      </c>
      <c r="B473" s="181" t="n">
        <v>462</v>
      </c>
      <c r="C473" s="181" t="n">
        <v>4728.34</v>
      </c>
      <c r="D473" s="181" t="n">
        <v>4693.737</v>
      </c>
      <c r="E473" s="181" t="n">
        <v>34.603</v>
      </c>
      <c r="F473" s="181" t="n">
        <v>1197.3648</v>
      </c>
      <c r="G473" s="181" t="n">
        <v>0.953137</v>
      </c>
      <c r="H473" s="181" t="n">
        <v>0.938009</v>
      </c>
      <c r="I473" s="181" t="inlineStr"/>
    </row>
    <row r="474" ht="15" customHeight="1" s="28">
      <c r="A474" s="182" t="n">
        <v>464</v>
      </c>
      <c r="B474" s="182" t="n">
        <v>463</v>
      </c>
      <c r="C474" s="182" t="n">
        <v>4720.42</v>
      </c>
      <c r="D474" s="182" t="n">
        <v>4693.4694</v>
      </c>
      <c r="E474" s="182" t="n">
        <v>26.9506</v>
      </c>
      <c r="F474" s="182" t="n">
        <v>726.3332</v>
      </c>
      <c r="G474" s="182" t="n">
        <v>0.450318</v>
      </c>
      <c r="H474" s="182" t="n">
        <v>0.345164</v>
      </c>
      <c r="I474" s="182" t="inlineStr"/>
    </row>
    <row r="475" ht="15" customHeight="1" s="28">
      <c r="A475" s="181" t="n">
        <v>465</v>
      </c>
      <c r="B475" s="181" t="n">
        <v>464</v>
      </c>
      <c r="C475" s="181" t="n">
        <v>4719.39</v>
      </c>
      <c r="D475" s="181" t="n">
        <v>4693.2018</v>
      </c>
      <c r="E475" s="181" t="n">
        <v>26.1882</v>
      </c>
      <c r="F475" s="181" t="n">
        <v>685.8202</v>
      </c>
      <c r="G475" s="181" t="n">
        <v>0.413172</v>
      </c>
      <c r="H475" s="181" t="n">
        <v>0.307733</v>
      </c>
      <c r="I475" s="181" t="inlineStr"/>
    </row>
    <row r="476" ht="15" customHeight="1" s="28">
      <c r="A476" s="182" t="n">
        <v>466</v>
      </c>
      <c r="B476" s="182" t="n">
        <v>465</v>
      </c>
      <c r="C476" s="182" t="n">
        <v>4723.22</v>
      </c>
      <c r="D476" s="182" t="n">
        <v>4692.9342</v>
      </c>
      <c r="E476" s="182" t="n">
        <v>30.2858</v>
      </c>
      <c r="F476" s="182" t="n">
        <v>917.2279</v>
      </c>
      <c r="G476" s="182" t="n">
        <v>0.639045</v>
      </c>
      <c r="H476" s="182" t="n">
        <v>0.550438</v>
      </c>
      <c r="I476" s="182" t="inlineStr"/>
    </row>
    <row r="477" ht="15" customHeight="1" s="28">
      <c r="A477" s="181" t="n">
        <v>467</v>
      </c>
      <c r="B477" s="181" t="n">
        <v>466</v>
      </c>
      <c r="C477" s="181" t="n">
        <v>4734.05</v>
      </c>
      <c r="D477" s="181" t="n">
        <v>4692.6666</v>
      </c>
      <c r="E477" s="181" t="n">
        <v>41.3834</v>
      </c>
      <c r="F477" s="181" t="n">
        <v>1712.5841</v>
      </c>
      <c r="G477" s="181" t="n">
        <v>1.630397</v>
      </c>
      <c r="H477" s="181" t="n">
        <v>1.918925</v>
      </c>
      <c r="I477" s="181" t="inlineStr"/>
    </row>
    <row r="478" ht="15" customHeight="1" s="28">
      <c r="A478" s="182" t="n">
        <v>468</v>
      </c>
      <c r="B478" s="182" t="n">
        <v>467</v>
      </c>
      <c r="C478" s="182" t="n">
        <v>4733.09</v>
      </c>
      <c r="D478" s="182" t="n">
        <v>4692.399</v>
      </c>
      <c r="E478" s="182" t="n">
        <v>40.691</v>
      </c>
      <c r="F478" s="182" t="n">
        <v>1655.7559</v>
      </c>
      <c r="G478" s="182" t="n">
        <v>1.549923</v>
      </c>
      <c r="H478" s="182" t="n">
        <v>1.793687</v>
      </c>
      <c r="I478" s="182" t="inlineStr"/>
    </row>
    <row r="479" ht="15" customHeight="1" s="28">
      <c r="A479" s="181" t="n">
        <v>469</v>
      </c>
      <c r="B479" s="181" t="n">
        <v>468</v>
      </c>
      <c r="C479" s="181" t="n">
        <v>4716.04</v>
      </c>
      <c r="D479" s="181" t="n">
        <v>4692.1314</v>
      </c>
      <c r="E479" s="181" t="n">
        <v>23.9086</v>
      </c>
      <c r="F479" s="181" t="n">
        <v>571.6207000000001</v>
      </c>
      <c r="G479" s="181" t="n">
        <v>0.314396</v>
      </c>
      <c r="H479" s="181" t="n">
        <v>0.213781</v>
      </c>
      <c r="I479" s="181" t="inlineStr"/>
    </row>
    <row r="480" ht="15" customHeight="1" s="28">
      <c r="A480" s="182" t="n">
        <v>470</v>
      </c>
      <c r="B480" s="182" t="n">
        <v>469</v>
      </c>
      <c r="C480" s="182" t="n">
        <v>4706.47</v>
      </c>
      <c r="D480" s="182" t="n">
        <v>4691.8638</v>
      </c>
      <c r="E480" s="182" t="n">
        <v>14.6062</v>
      </c>
      <c r="F480" s="182" t="n">
        <v>213.3408</v>
      </c>
      <c r="G480" s="182" t="n">
        <v>0.071685</v>
      </c>
      <c r="H480" s="182" t="n">
        <v>0.029778</v>
      </c>
      <c r="I480" s="182" t="inlineStr"/>
    </row>
    <row r="481" ht="15" customHeight="1" s="28">
      <c r="A481" s="181" t="n">
        <v>471</v>
      </c>
      <c r="B481" s="181" t="n">
        <v>470</v>
      </c>
      <c r="C481" s="181" t="n">
        <v>4677.41</v>
      </c>
      <c r="D481" s="181" t="n">
        <v>4691.5962</v>
      </c>
      <c r="E481" s="181" t="n">
        <v>-14.1862</v>
      </c>
      <c r="F481" s="181" t="n">
        <v>201.2486</v>
      </c>
      <c r="G481" s="181" t="n">
        <v>-0.065677</v>
      </c>
      <c r="H481" s="181" t="n">
        <v>0.026498</v>
      </c>
      <c r="I481" s="181" t="inlineStr"/>
    </row>
    <row r="482" ht="15" customHeight="1" s="28">
      <c r="A482" s="182" t="n">
        <v>472</v>
      </c>
      <c r="B482" s="182" t="n">
        <v>471</v>
      </c>
      <c r="C482" s="182" t="n">
        <v>4709.41</v>
      </c>
      <c r="D482" s="182" t="n">
        <v>4691.3286</v>
      </c>
      <c r="E482" s="182" t="n">
        <v>18.0814</v>
      </c>
      <c r="F482" s="182" t="n">
        <v>326.937</v>
      </c>
      <c r="G482" s="182" t="n">
        <v>0.135991</v>
      </c>
      <c r="H482" s="182" t="n">
        <v>0.069933</v>
      </c>
      <c r="I482" s="182" t="inlineStr"/>
    </row>
    <row r="483" ht="15" customHeight="1" s="28">
      <c r="A483" s="181" t="n">
        <v>473</v>
      </c>
      <c r="B483" s="181" t="n">
        <v>472</v>
      </c>
      <c r="C483" s="181" t="n">
        <v>4713.84</v>
      </c>
      <c r="D483" s="181" t="n">
        <v>4691.061</v>
      </c>
      <c r="E483" s="181" t="n">
        <v>22.779</v>
      </c>
      <c r="F483" s="181" t="n">
        <v>518.8828</v>
      </c>
      <c r="G483" s="181" t="n">
        <v>0.271906</v>
      </c>
      <c r="H483" s="181" t="n">
        <v>0.176154</v>
      </c>
      <c r="I483" s="181" t="inlineStr"/>
    </row>
    <row r="484" ht="15" customHeight="1" s="28">
      <c r="A484" s="182" t="n">
        <v>474</v>
      </c>
      <c r="B484" s="182" t="n">
        <v>473</v>
      </c>
      <c r="C484" s="182" t="n">
        <v>4716.58</v>
      </c>
      <c r="D484" s="182" t="n">
        <v>4690.7934</v>
      </c>
      <c r="E484" s="182" t="n">
        <v>25.7866</v>
      </c>
      <c r="F484" s="182" t="n">
        <v>664.9493</v>
      </c>
      <c r="G484" s="182" t="n">
        <v>0.394456</v>
      </c>
      <c r="H484" s="182" t="n">
        <v>0.289288</v>
      </c>
      <c r="I484" s="182" t="inlineStr"/>
    </row>
    <row r="485" ht="15" customHeight="1" s="28">
      <c r="A485" s="181" t="n">
        <v>475</v>
      </c>
      <c r="B485" s="181" t="n">
        <v>474</v>
      </c>
      <c r="C485" s="181" t="n">
        <v>4711.31</v>
      </c>
      <c r="D485" s="181" t="n">
        <v>4690.5258</v>
      </c>
      <c r="E485" s="181" t="n">
        <v>20.7842</v>
      </c>
      <c r="F485" s="181" t="n">
        <v>431.9834</v>
      </c>
      <c r="G485" s="181" t="n">
        <v>0.206546</v>
      </c>
      <c r="H485" s="181" t="n">
        <v>0.122092</v>
      </c>
      <c r="I485" s="181" t="inlineStr"/>
    </row>
    <row r="486" ht="15" customHeight="1" s="28">
      <c r="A486" s="182" t="n">
        <v>476</v>
      </c>
      <c r="B486" s="182" t="n">
        <v>475</v>
      </c>
      <c r="C486" s="182" t="n">
        <v>4700.9</v>
      </c>
      <c r="D486" s="182" t="n">
        <v>4690.2582</v>
      </c>
      <c r="E486" s="182" t="n">
        <v>10.6418</v>
      </c>
      <c r="F486" s="182" t="n">
        <v>113.2483</v>
      </c>
      <c r="G486" s="182" t="n">
        <v>0.027724</v>
      </c>
      <c r="H486" s="182" t="n">
        <v>0.008390999999999999</v>
      </c>
      <c r="I486" s="182" t="inlineStr"/>
    </row>
    <row r="487" ht="15" customHeight="1" s="28">
      <c r="A487" s="181" t="n">
        <v>477</v>
      </c>
      <c r="B487" s="181" t="n">
        <v>476</v>
      </c>
      <c r="C487" s="181" t="n">
        <v>4696.41</v>
      </c>
      <c r="D487" s="181" t="n">
        <v>4689.9906</v>
      </c>
      <c r="E487" s="181" t="n">
        <v>6.4194</v>
      </c>
      <c r="F487" s="181" t="n">
        <v>41.209</v>
      </c>
      <c r="G487" s="181" t="n">
        <v>0.006086</v>
      </c>
      <c r="H487" s="181" t="n">
        <v>0.001111</v>
      </c>
      <c r="I487" s="181" t="inlineStr"/>
    </row>
    <row r="488" ht="15" customHeight="1" s="28">
      <c r="A488" s="182" t="n">
        <v>478</v>
      </c>
      <c r="B488" s="182" t="n">
        <v>477</v>
      </c>
      <c r="C488" s="182" t="n">
        <v>4700.16</v>
      </c>
      <c r="D488" s="182" t="n">
        <v>4689.723</v>
      </c>
      <c r="E488" s="182" t="n">
        <v>10.437</v>
      </c>
      <c r="F488" s="182" t="n">
        <v>108.9314</v>
      </c>
      <c r="G488" s="182" t="n">
        <v>0.026154</v>
      </c>
      <c r="H488" s="182" t="n">
        <v>0.007764</v>
      </c>
      <c r="I488" s="182" t="inlineStr"/>
    </row>
    <row r="489" ht="15" customHeight="1" s="28">
      <c r="A489" s="181" t="n">
        <v>479</v>
      </c>
      <c r="B489" s="181" t="n">
        <v>478</v>
      </c>
      <c r="C489" s="181" t="n">
        <v>4692.49</v>
      </c>
      <c r="D489" s="181" t="n">
        <v>4689.4554</v>
      </c>
      <c r="E489" s="181" t="n">
        <v>3.0346</v>
      </c>
      <c r="F489" s="181" t="n">
        <v>9.209</v>
      </c>
      <c r="G489" s="181" t="n">
        <v>0.000643</v>
      </c>
      <c r="H489" s="181" t="n">
        <v>5.5e-05</v>
      </c>
      <c r="I489" s="181" t="inlineStr"/>
    </row>
    <row r="490" ht="15" customHeight="1" s="28">
      <c r="A490" s="182" t="n">
        <v>480</v>
      </c>
      <c r="B490" s="182" t="n">
        <v>479</v>
      </c>
      <c r="C490" s="182" t="n">
        <v>4696.1</v>
      </c>
      <c r="D490" s="182" t="n">
        <v>4689.1878</v>
      </c>
      <c r="E490" s="182" t="n">
        <v>6.9122</v>
      </c>
      <c r="F490" s="182" t="n">
        <v>47.7789</v>
      </c>
      <c r="G490" s="182" t="n">
        <v>0.007597</v>
      </c>
      <c r="H490" s="182" t="n">
        <v>0.001494</v>
      </c>
      <c r="I490" s="182" t="inlineStr"/>
    </row>
    <row r="491" ht="15" customHeight="1" s="28">
      <c r="A491" s="181" t="n">
        <v>481</v>
      </c>
      <c r="B491" s="181" t="n">
        <v>480</v>
      </c>
      <c r="C491" s="181" t="n">
        <v>4690.84</v>
      </c>
      <c r="D491" s="181" t="n">
        <v>4688.9202</v>
      </c>
      <c r="E491" s="181" t="n">
        <v>1.9198</v>
      </c>
      <c r="F491" s="181" t="n">
        <v>3.6858</v>
      </c>
      <c r="G491" s="181" t="n">
        <v>0.000163</v>
      </c>
      <c r="H491" s="181" t="n">
        <v>9e-06</v>
      </c>
      <c r="I491" s="181" t="inlineStr"/>
    </row>
    <row r="492" ht="15" customHeight="1" s="28">
      <c r="A492" s="182" t="n">
        <v>482</v>
      </c>
      <c r="B492" s="182" t="n">
        <v>481</v>
      </c>
      <c r="C492" s="182" t="n">
        <v>4689.41</v>
      </c>
      <c r="D492" s="182" t="n">
        <v>4688.6526</v>
      </c>
      <c r="E492" s="182" t="n">
        <v>0.7574</v>
      </c>
      <c r="F492" s="182" t="n">
        <v>0.5737</v>
      </c>
      <c r="G492" s="182" t="n">
        <v>1e-05</v>
      </c>
      <c r="H492" s="182" t="n">
        <v>0</v>
      </c>
      <c r="I492" s="182" t="inlineStr"/>
    </row>
    <row r="493" ht="15" customHeight="1" s="28">
      <c r="A493" s="181" t="n">
        <v>483</v>
      </c>
      <c r="B493" s="181" t="n">
        <v>482</v>
      </c>
      <c r="C493" s="181" t="n">
        <v>4691.39</v>
      </c>
      <c r="D493" s="181" t="n">
        <v>4688.385</v>
      </c>
      <c r="E493" s="181" t="n">
        <v>3.005</v>
      </c>
      <c r="F493" s="181" t="n">
        <v>9.0303</v>
      </c>
      <c r="G493" s="181" t="n">
        <v>0.000624</v>
      </c>
      <c r="H493" s="181" t="n">
        <v>5.3e-05</v>
      </c>
      <c r="I493" s="181" t="inlineStr"/>
    </row>
    <row r="494" ht="15" customHeight="1" s="28">
      <c r="A494" s="182" t="n">
        <v>484</v>
      </c>
      <c r="B494" s="182" t="n">
        <v>483</v>
      </c>
      <c r="C494" s="182" t="n">
        <v>4694.41</v>
      </c>
      <c r="D494" s="182" t="n">
        <v>4688.1174</v>
      </c>
      <c r="E494" s="182" t="n">
        <v>6.2926</v>
      </c>
      <c r="F494" s="182" t="n">
        <v>39.5974</v>
      </c>
      <c r="G494" s="182" t="n">
        <v>0.005732</v>
      </c>
      <c r="H494" s="182" t="n">
        <v>0.001026</v>
      </c>
      <c r="I494" s="182" t="inlineStr"/>
    </row>
    <row r="495" ht="15" customHeight="1" s="28">
      <c r="A495" s="181" t="n">
        <v>485</v>
      </c>
      <c r="B495" s="181" t="n">
        <v>484</v>
      </c>
      <c r="C495" s="181" t="n">
        <v>4697.43</v>
      </c>
      <c r="D495" s="181" t="n">
        <v>4687.8498</v>
      </c>
      <c r="E495" s="181" t="n">
        <v>9.5802</v>
      </c>
      <c r="F495" s="181" t="n">
        <v>91.7812</v>
      </c>
      <c r="G495" s="181" t="n">
        <v>0.020228</v>
      </c>
      <c r="H495" s="181" t="n">
        <v>0.005511</v>
      </c>
      <c r="I495" s="181" t="inlineStr"/>
    </row>
    <row r="496" ht="15" customHeight="1" s="28">
      <c r="A496" s="182" t="n">
        <v>486</v>
      </c>
      <c r="B496" s="182" t="n">
        <v>485</v>
      </c>
      <c r="C496" s="182" t="n">
        <v>4692.9</v>
      </c>
      <c r="D496" s="182" t="n">
        <v>4687.5821</v>
      </c>
      <c r="E496" s="182" t="n">
        <v>5.3179</v>
      </c>
      <c r="F496" s="182" t="n">
        <v>28.2796</v>
      </c>
      <c r="G496" s="182" t="n">
        <v>0.00346</v>
      </c>
      <c r="H496" s="182" t="n">
        <v>0.000523</v>
      </c>
      <c r="I496" s="182" t="inlineStr"/>
    </row>
    <row r="497" ht="15" customHeight="1" s="28">
      <c r="A497" s="181" t="n">
        <v>487</v>
      </c>
      <c r="B497" s="181" t="n">
        <v>486</v>
      </c>
      <c r="C497" s="181" t="n">
        <v>4693.76</v>
      </c>
      <c r="D497" s="181" t="n">
        <v>4687.3145</v>
      </c>
      <c r="E497" s="181" t="n">
        <v>6.4455</v>
      </c>
      <c r="F497" s="181" t="n">
        <v>41.544</v>
      </c>
      <c r="G497" s="181" t="n">
        <v>0.00616</v>
      </c>
      <c r="H497" s="181" t="n">
        <v>0.001129</v>
      </c>
      <c r="I497" s="181" t="inlineStr"/>
    </row>
    <row r="498" ht="15" customHeight="1" s="28">
      <c r="A498" s="182" t="n">
        <v>488</v>
      </c>
      <c r="B498" s="182" t="n">
        <v>487</v>
      </c>
      <c r="C498" s="182" t="n">
        <v>4693.35</v>
      </c>
      <c r="D498" s="182" t="n">
        <v>4687.0469</v>
      </c>
      <c r="E498" s="182" t="n">
        <v>6.3031</v>
      </c>
      <c r="F498" s="182" t="n">
        <v>39.7286</v>
      </c>
      <c r="G498" s="182" t="n">
        <v>0.005761</v>
      </c>
      <c r="H498" s="182" t="n">
        <v>0.001033</v>
      </c>
      <c r="I498" s="182" t="inlineStr"/>
    </row>
    <row r="499" ht="15" customHeight="1" s="28">
      <c r="A499" s="181" t="n">
        <v>489</v>
      </c>
      <c r="B499" s="181" t="n">
        <v>488</v>
      </c>
      <c r="C499" s="181" t="n">
        <v>4689.74</v>
      </c>
      <c r="D499" s="181" t="n">
        <v>4686.7793</v>
      </c>
      <c r="E499" s="181" t="n">
        <v>2.9607</v>
      </c>
      <c r="F499" s="181" t="n">
        <v>8.765599999999999</v>
      </c>
      <c r="G499" s="181" t="n">
        <v>0.000597</v>
      </c>
      <c r="H499" s="181" t="n">
        <v>5e-05</v>
      </c>
      <c r="I499" s="181" t="inlineStr"/>
    </row>
    <row r="500" ht="15" customHeight="1" s="28">
      <c r="A500" s="182" t="n">
        <v>490</v>
      </c>
      <c r="B500" s="182" t="n">
        <v>489</v>
      </c>
      <c r="C500" s="182" t="n">
        <v>4694.54</v>
      </c>
      <c r="D500" s="182" t="n">
        <v>4686.5117</v>
      </c>
      <c r="E500" s="182" t="n">
        <v>8.0283</v>
      </c>
      <c r="F500" s="182" t="n">
        <v>64.45310000000001</v>
      </c>
      <c r="G500" s="182" t="n">
        <v>0.011904</v>
      </c>
      <c r="H500" s="182" t="n">
        <v>0.002718</v>
      </c>
      <c r="I500" s="182" t="inlineStr"/>
    </row>
    <row r="501" ht="15" customHeight="1" s="28">
      <c r="A501" s="181" t="n">
        <v>491</v>
      </c>
      <c r="B501" s="181" t="n">
        <v>490</v>
      </c>
      <c r="C501" s="181" t="n">
        <v>4697.37</v>
      </c>
      <c r="D501" s="181" t="n">
        <v>4686.2441</v>
      </c>
      <c r="E501" s="181" t="n">
        <v>11.1259</v>
      </c>
      <c r="F501" s="181" t="n">
        <v>123.7852</v>
      </c>
      <c r="G501" s="181" t="n">
        <v>0.031682</v>
      </c>
      <c r="H501" s="181" t="n">
        <v>0.010025</v>
      </c>
      <c r="I501" s="181" t="inlineStr"/>
    </row>
    <row r="502" ht="15" customHeight="1" s="28">
      <c r="A502" s="182" t="n">
        <v>492</v>
      </c>
      <c r="B502" s="182" t="n">
        <v>491</v>
      </c>
      <c r="C502" s="182" t="n">
        <v>4695.41</v>
      </c>
      <c r="D502" s="182" t="n">
        <v>4685.9765</v>
      </c>
      <c r="E502" s="182" t="n">
        <v>9.4335</v>
      </c>
      <c r="F502" s="182" t="n">
        <v>88.9905</v>
      </c>
      <c r="G502" s="182" t="n">
        <v>0.019312</v>
      </c>
      <c r="H502" s="182" t="n">
        <v>0.005181</v>
      </c>
      <c r="I502" s="182" t="inlineStr"/>
    </row>
    <row r="503" ht="15" customHeight="1" s="28">
      <c r="A503" s="181" t="n">
        <v>493</v>
      </c>
      <c r="B503" s="181" t="n">
        <v>492</v>
      </c>
      <c r="C503" s="181" t="n">
        <v>4698.34</v>
      </c>
      <c r="D503" s="181" t="n">
        <v>4685.7089</v>
      </c>
      <c r="E503" s="181" t="n">
        <v>12.6311</v>
      </c>
      <c r="F503" s="181" t="n">
        <v>159.5442</v>
      </c>
      <c r="G503" s="181" t="n">
        <v>0.046359</v>
      </c>
      <c r="H503" s="181" t="n">
        <v>0.016654</v>
      </c>
      <c r="I503" s="181" t="inlineStr"/>
    </row>
    <row r="504" ht="15" customHeight="1" s="28">
      <c r="A504" s="182" t="n">
        <v>494</v>
      </c>
      <c r="B504" s="182" t="n">
        <v>493</v>
      </c>
      <c r="C504" s="182" t="n">
        <v>4705.83</v>
      </c>
      <c r="D504" s="182" t="n">
        <v>4685.4413</v>
      </c>
      <c r="E504" s="182" t="n">
        <v>20.3887</v>
      </c>
      <c r="F504" s="182" t="n">
        <v>415.6987</v>
      </c>
      <c r="G504" s="182" t="n">
        <v>0.194977</v>
      </c>
      <c r="H504" s="182" t="n">
        <v>0.113061</v>
      </c>
      <c r="I504" s="182" t="inlineStr"/>
    </row>
    <row r="505" ht="15" customHeight="1" s="28">
      <c r="A505" s="181" t="n">
        <v>495</v>
      </c>
      <c r="B505" s="181" t="n">
        <v>494</v>
      </c>
      <c r="C505" s="181" t="n">
        <v>4701.8</v>
      </c>
      <c r="D505" s="181" t="n">
        <v>4685.1737</v>
      </c>
      <c r="E505" s="181" t="n">
        <v>16.6263</v>
      </c>
      <c r="F505" s="181" t="n">
        <v>276.4335</v>
      </c>
      <c r="G505" s="181" t="n">
        <v>0.105731</v>
      </c>
      <c r="H505" s="181" t="n">
        <v>0.049996</v>
      </c>
      <c r="I505" s="181" t="inlineStr"/>
    </row>
    <row r="506" ht="15" customHeight="1" s="28">
      <c r="A506" s="182" t="n">
        <v>496</v>
      </c>
      <c r="B506" s="182" t="n">
        <v>495</v>
      </c>
      <c r="C506" s="182" t="n">
        <v>4704.71</v>
      </c>
      <c r="D506" s="182" t="n">
        <v>4684.9061</v>
      </c>
      <c r="E506" s="182" t="n">
        <v>19.8039</v>
      </c>
      <c r="F506" s="182" t="n">
        <v>392.1945</v>
      </c>
      <c r="G506" s="182" t="n">
        <v>0.178677</v>
      </c>
      <c r="H506" s="182" t="n">
        <v>0.100637</v>
      </c>
      <c r="I506" s="182" t="inlineStr"/>
    </row>
    <row r="507" ht="15" customHeight="1" s="28">
      <c r="A507" s="181" t="n">
        <v>497</v>
      </c>
      <c r="B507" s="181" t="n">
        <v>496</v>
      </c>
      <c r="C507" s="181" t="n">
        <v>4709.47</v>
      </c>
      <c r="D507" s="181" t="n">
        <v>4684.6385</v>
      </c>
      <c r="E507" s="181" t="n">
        <v>24.8315</v>
      </c>
      <c r="F507" s="181" t="n">
        <v>616.6034</v>
      </c>
      <c r="G507" s="181" t="n">
        <v>0.352228</v>
      </c>
      <c r="H507" s="181" t="n">
        <v>0.248752</v>
      </c>
      <c r="I507" s="181" t="inlineStr"/>
    </row>
    <row r="508" ht="15" customHeight="1" s="28">
      <c r="A508" s="182" t="n">
        <v>498</v>
      </c>
      <c r="B508" s="182" t="n">
        <v>497</v>
      </c>
      <c r="C508" s="182" t="n">
        <v>4698.41</v>
      </c>
      <c r="D508" s="182" t="n">
        <v>4684.3709</v>
      </c>
      <c r="E508" s="182" t="n">
        <v>14.0391</v>
      </c>
      <c r="F508" s="182" t="n">
        <v>197.0966</v>
      </c>
      <c r="G508" s="182" t="n">
        <v>0.063655</v>
      </c>
      <c r="H508" s="182" t="n">
        <v>0.025416</v>
      </c>
      <c r="I508" s="182" t="inlineStr"/>
    </row>
    <row r="509" ht="15" customHeight="1" s="28">
      <c r="A509" s="181" t="n">
        <v>499</v>
      </c>
      <c r="B509" s="181" t="n">
        <v>498</v>
      </c>
      <c r="C509" s="181" t="n">
        <v>4690.81</v>
      </c>
      <c r="D509" s="181" t="n">
        <v>4684.1033</v>
      </c>
      <c r="E509" s="181" t="n">
        <v>6.7067</v>
      </c>
      <c r="F509" s="181" t="n">
        <v>44.98</v>
      </c>
      <c r="G509" s="181" t="n">
        <v>0.00694</v>
      </c>
      <c r="H509" s="181" t="n">
        <v>0.001324</v>
      </c>
      <c r="I509" s="181" t="inlineStr"/>
    </row>
    <row r="510" ht="15" customHeight="1" s="28">
      <c r="A510" s="182" t="n">
        <v>500</v>
      </c>
      <c r="B510" s="182" t="n">
        <v>499</v>
      </c>
      <c r="C510" s="182" t="n">
        <v>4699.09</v>
      </c>
      <c r="D510" s="182" t="n">
        <v>4683.8357</v>
      </c>
      <c r="E510" s="182" t="n">
        <v>15.2543</v>
      </c>
      <c r="F510" s="182" t="n">
        <v>232.694</v>
      </c>
      <c r="G510" s="182" t="n">
        <v>0.08165699999999999</v>
      </c>
      <c r="H510" s="182" t="n">
        <v>0.035426</v>
      </c>
      <c r="I510" s="182" t="inlineStr"/>
    </row>
    <row r="511" ht="15" customHeight="1" s="28">
      <c r="A511" s="181" t="n">
        <v>501</v>
      </c>
      <c r="B511" s="181" t="n">
        <v>500</v>
      </c>
      <c r="C511" s="181" t="n">
        <v>4693.29</v>
      </c>
      <c r="D511" s="181" t="n">
        <v>4683.5681</v>
      </c>
      <c r="E511" s="181" t="n">
        <v>9.7219</v>
      </c>
      <c r="F511" s="181" t="n">
        <v>94.5157</v>
      </c>
      <c r="G511" s="181" t="n">
        <v>0.021138</v>
      </c>
      <c r="H511" s="181" t="n">
        <v>0.005845</v>
      </c>
      <c r="I511" s="181" t="inlineStr"/>
    </row>
    <row r="512" ht="15" customHeight="1" s="28">
      <c r="A512" s="182" t="n">
        <v>502</v>
      </c>
      <c r="B512" s="182" t="n">
        <v>501</v>
      </c>
      <c r="C512" s="182" t="n">
        <v>4684.14</v>
      </c>
      <c r="D512" s="182" t="n">
        <v>4683.3005</v>
      </c>
      <c r="E512" s="182" t="n">
        <v>0.8395</v>
      </c>
      <c r="F512" s="182" t="n">
        <v>0.7048</v>
      </c>
      <c r="G512" s="182" t="n">
        <v>1.4e-05</v>
      </c>
      <c r="H512" s="182" t="n">
        <v>0</v>
      </c>
      <c r="I512" s="182" t="inlineStr"/>
    </row>
    <row r="513" ht="15" customHeight="1" s="28">
      <c r="A513" s="181" t="n">
        <v>503</v>
      </c>
      <c r="B513" s="181" t="n">
        <v>502</v>
      </c>
      <c r="C513" s="181" t="n">
        <v>4683.54</v>
      </c>
      <c r="D513" s="181" t="n">
        <v>4683.0329</v>
      </c>
      <c r="E513" s="181" t="n">
        <v>0.5071</v>
      </c>
      <c r="F513" s="181" t="n">
        <v>0.2572</v>
      </c>
      <c r="G513" s="181" t="n">
        <v>3e-06</v>
      </c>
      <c r="H513" s="181" t="n">
        <v>0</v>
      </c>
      <c r="I513" s="181" t="inlineStr"/>
    </row>
    <row r="514" ht="15" customHeight="1" s="28">
      <c r="A514" s="182" t="n">
        <v>504</v>
      </c>
      <c r="B514" s="182" t="n">
        <v>503</v>
      </c>
      <c r="C514" s="182" t="n">
        <v>4676.83</v>
      </c>
      <c r="D514" s="182" t="n">
        <v>4682.7653</v>
      </c>
      <c r="E514" s="182" t="n">
        <v>-5.9353</v>
      </c>
      <c r="F514" s="182" t="n">
        <v>35.2274</v>
      </c>
      <c r="G514" s="182" t="n">
        <v>-0.00481</v>
      </c>
      <c r="H514" s="182" t="n">
        <v>0.000812</v>
      </c>
      <c r="I514" s="182" t="inlineStr"/>
    </row>
    <row r="515" ht="15" customHeight="1" s="28">
      <c r="A515" s="181" t="n">
        <v>505</v>
      </c>
      <c r="B515" s="181" t="n">
        <v>504</v>
      </c>
      <c r="C515" s="181" t="n">
        <v>4670.5</v>
      </c>
      <c r="D515" s="181" t="n">
        <v>4682.4977</v>
      </c>
      <c r="E515" s="181" t="n">
        <v>-11.9977</v>
      </c>
      <c r="F515" s="181" t="n">
        <v>143.9441</v>
      </c>
      <c r="G515" s="181" t="n">
        <v>-0.039729</v>
      </c>
      <c r="H515" s="181" t="n">
        <v>0.013556</v>
      </c>
      <c r="I515" s="181" t="inlineStr"/>
    </row>
    <row r="516" ht="15" customHeight="1" s="28">
      <c r="A516" s="182" t="n">
        <v>506</v>
      </c>
      <c r="B516" s="182" t="n">
        <v>505</v>
      </c>
      <c r="C516" s="182" t="n">
        <v>4674.62</v>
      </c>
      <c r="D516" s="182" t="n">
        <v>4682.2301</v>
      </c>
      <c r="E516" s="182" t="n">
        <v>-7.6101</v>
      </c>
      <c r="F516" s="182" t="n">
        <v>57.913</v>
      </c>
      <c r="G516" s="182" t="n">
        <v>-0.010139</v>
      </c>
      <c r="H516" s="182" t="n">
        <v>0.002194</v>
      </c>
      <c r="I516" s="182" t="inlineStr"/>
    </row>
    <row r="517" ht="15" customHeight="1" s="28">
      <c r="A517" s="181" t="n">
        <v>507</v>
      </c>
      <c r="B517" s="181" t="n">
        <v>506</v>
      </c>
      <c r="C517" s="181" t="n">
        <v>4675.32</v>
      </c>
      <c r="D517" s="181" t="n">
        <v>4681.9625</v>
      </c>
      <c r="E517" s="181" t="n">
        <v>-6.6425</v>
      </c>
      <c r="F517" s="181" t="n">
        <v>44.1223</v>
      </c>
      <c r="G517" s="181" t="n">
        <v>-0.006742</v>
      </c>
      <c r="H517" s="181" t="n">
        <v>0.001274</v>
      </c>
      <c r="I517" s="181" t="inlineStr"/>
    </row>
    <row r="518" ht="15" customHeight="1" s="28">
      <c r="A518" s="182" t="n">
        <v>508</v>
      </c>
      <c r="B518" s="182" t="n">
        <v>507</v>
      </c>
      <c r="C518" s="182" t="n">
        <v>4672.16</v>
      </c>
      <c r="D518" s="182" t="n">
        <v>4681.6948</v>
      </c>
      <c r="E518" s="182" t="n">
        <v>-9.5349</v>
      </c>
      <c r="F518" s="182" t="n">
        <v>90.9134</v>
      </c>
      <c r="G518" s="182" t="n">
        <v>-0.019941</v>
      </c>
      <c r="H518" s="182" t="n">
        <v>0.005408</v>
      </c>
      <c r="I518" s="182" t="inlineStr"/>
    </row>
    <row r="519" ht="15" customHeight="1" s="28">
      <c r="A519" s="181" t="n">
        <v>509</v>
      </c>
      <c r="B519" s="181" t="n">
        <v>508</v>
      </c>
      <c r="C519" s="181" t="n">
        <v>4670.01</v>
      </c>
      <c r="D519" s="181" t="n">
        <v>4681.4272</v>
      </c>
      <c r="E519" s="181" t="n">
        <v>-11.4172</v>
      </c>
      <c r="F519" s="181" t="n">
        <v>130.3536</v>
      </c>
      <c r="G519" s="181" t="n">
        <v>-0.034237</v>
      </c>
      <c r="H519" s="181" t="n">
        <v>0.011117</v>
      </c>
      <c r="I519" s="181" t="inlineStr"/>
    </row>
    <row r="520" ht="15" customHeight="1" s="28">
      <c r="A520" s="182" t="n">
        <v>510</v>
      </c>
      <c r="B520" s="182" t="n">
        <v>509</v>
      </c>
      <c r="C520" s="182" t="n">
        <v>4659.65</v>
      </c>
      <c r="D520" s="182" t="n">
        <v>4681.1596</v>
      </c>
      <c r="E520" s="182" t="n">
        <v>-21.5096</v>
      </c>
      <c r="F520" s="182" t="n">
        <v>462.665</v>
      </c>
      <c r="G520" s="182" t="n">
        <v>-0.228937</v>
      </c>
      <c r="H520" s="182" t="n">
        <v>0.140051</v>
      </c>
      <c r="I520" s="182" t="inlineStr"/>
    </row>
    <row r="521" ht="15" customHeight="1" s="28">
      <c r="A521" s="181" t="n">
        <v>511</v>
      </c>
      <c r="B521" s="181" t="n">
        <v>510</v>
      </c>
      <c r="C521" s="181" t="n">
        <v>4668.58</v>
      </c>
      <c r="D521" s="181" t="n">
        <v>4680.892</v>
      </c>
      <c r="E521" s="181" t="n">
        <v>-12.312</v>
      </c>
      <c r="F521" s="181" t="n">
        <v>151.5863</v>
      </c>
      <c r="G521" s="181" t="n">
        <v>-0.042934</v>
      </c>
      <c r="H521" s="181" t="n">
        <v>0.015034</v>
      </c>
      <c r="I521" s="181" t="inlineStr"/>
    </row>
    <row r="522" ht="15" customHeight="1" s="28">
      <c r="A522" s="182" t="n">
        <v>512</v>
      </c>
      <c r="B522" s="182" t="n">
        <v>511</v>
      </c>
      <c r="C522" s="182" t="n">
        <v>4674.53</v>
      </c>
      <c r="D522" s="182" t="n">
        <v>4680.6244</v>
      </c>
      <c r="E522" s="182" t="n">
        <v>-6.0944</v>
      </c>
      <c r="F522" s="182" t="n">
        <v>37.1422</v>
      </c>
      <c r="G522" s="182" t="n">
        <v>-0.005207</v>
      </c>
      <c r="H522" s="182" t="n">
        <v>0.000903</v>
      </c>
      <c r="I522" s="182" t="inlineStr"/>
    </row>
    <row r="523" ht="15" customHeight="1" s="28">
      <c r="A523" s="181" t="n">
        <v>513</v>
      </c>
      <c r="B523" s="181" t="n">
        <v>512</v>
      </c>
      <c r="C523" s="181" t="n">
        <v>4673.44</v>
      </c>
      <c r="D523" s="181" t="n">
        <v>4680.3568</v>
      </c>
      <c r="E523" s="181" t="n">
        <v>-6.9168</v>
      </c>
      <c r="F523" s="181" t="n">
        <v>47.8425</v>
      </c>
      <c r="G523" s="181" t="n">
        <v>-0.007613</v>
      </c>
      <c r="H523" s="181" t="n">
        <v>0.001498</v>
      </c>
      <c r="I523" s="181" t="inlineStr"/>
    </row>
    <row r="524" ht="15" customHeight="1" s="28">
      <c r="A524" s="182" t="n">
        <v>514</v>
      </c>
      <c r="B524" s="182" t="n">
        <v>513</v>
      </c>
      <c r="C524" s="182" t="n">
        <v>4676.49</v>
      </c>
      <c r="D524" s="182" t="n">
        <v>4680.0892</v>
      </c>
      <c r="E524" s="182" t="n">
        <v>-3.5992</v>
      </c>
      <c r="F524" s="182" t="n">
        <v>12.9545</v>
      </c>
      <c r="G524" s="182" t="n">
        <v>-0.001073</v>
      </c>
      <c r="H524" s="182" t="n">
        <v>0.00011</v>
      </c>
      <c r="I524" s="182" t="inlineStr"/>
    </row>
    <row r="525" ht="15" customHeight="1" s="28">
      <c r="A525" s="181" t="n">
        <v>515</v>
      </c>
      <c r="B525" s="181" t="n">
        <v>514</v>
      </c>
      <c r="C525" s="181" t="n">
        <v>4682.65</v>
      </c>
      <c r="D525" s="181" t="n">
        <v>4679.8216</v>
      </c>
      <c r="E525" s="181" t="n">
        <v>2.8284</v>
      </c>
      <c r="F525" s="181" t="n">
        <v>7.9997</v>
      </c>
      <c r="G525" s="181" t="n">
        <v>0.000521</v>
      </c>
      <c r="H525" s="181" t="n">
        <v>4.2e-05</v>
      </c>
      <c r="I525" s="181" t="inlineStr"/>
    </row>
    <row r="526" ht="15" customHeight="1" s="28">
      <c r="A526" s="182" t="n">
        <v>516</v>
      </c>
      <c r="B526" s="182" t="n">
        <v>515</v>
      </c>
      <c r="C526" s="182" t="n">
        <v>4686.43</v>
      </c>
      <c r="D526" s="182" t="n">
        <v>4679.554</v>
      </c>
      <c r="E526" s="182" t="n">
        <v>6.876</v>
      </c>
      <c r="F526" s="182" t="n">
        <v>47.2791</v>
      </c>
      <c r="G526" s="182" t="n">
        <v>0.007479</v>
      </c>
      <c r="H526" s="182" t="n">
        <v>0.001462</v>
      </c>
      <c r="I526" s="182" t="inlineStr"/>
    </row>
    <row r="527" ht="15" customHeight="1" s="28">
      <c r="A527" s="181" t="n">
        <v>517</v>
      </c>
      <c r="B527" s="181" t="n">
        <v>516</v>
      </c>
      <c r="C527" s="181" t="n">
        <v>4681.83</v>
      </c>
      <c r="D527" s="181" t="n">
        <v>4679.2864</v>
      </c>
      <c r="E527" s="181" t="n">
        <v>2.5436</v>
      </c>
      <c r="F527" s="181" t="n">
        <v>6.4698</v>
      </c>
      <c r="G527" s="181" t="n">
        <v>0.000379</v>
      </c>
      <c r="H527" s="181" t="n">
        <v>2.7e-05</v>
      </c>
      <c r="I527" s="181" t="inlineStr"/>
    </row>
    <row r="528" ht="15" customHeight="1" s="28">
      <c r="A528" s="182" t="n">
        <v>518</v>
      </c>
      <c r="B528" s="182" t="n">
        <v>517</v>
      </c>
      <c r="C528" s="182" t="n">
        <v>4671.45</v>
      </c>
      <c r="D528" s="182" t="n">
        <v>4679.0188</v>
      </c>
      <c r="E528" s="182" t="n">
        <v>-7.5688</v>
      </c>
      <c r="F528" s="182" t="n">
        <v>57.2869</v>
      </c>
      <c r="G528" s="182" t="n">
        <v>-0.009974999999999999</v>
      </c>
      <c r="H528" s="182" t="n">
        <v>0.002147</v>
      </c>
      <c r="I528" s="182" t="inlineStr"/>
    </row>
    <row r="529" ht="15" customHeight="1" s="28">
      <c r="A529" s="181" t="n">
        <v>519</v>
      </c>
      <c r="B529" s="181" t="n">
        <v>518</v>
      </c>
      <c r="C529" s="181" t="n">
        <v>4673.71</v>
      </c>
      <c r="D529" s="181" t="n">
        <v>4678.7512</v>
      </c>
      <c r="E529" s="181" t="n">
        <v>-5.0412</v>
      </c>
      <c r="F529" s="181" t="n">
        <v>25.4138</v>
      </c>
      <c r="G529" s="181" t="n">
        <v>-0.002947</v>
      </c>
      <c r="H529" s="181" t="n">
        <v>0.000423</v>
      </c>
      <c r="I529" s="181" t="inlineStr"/>
    </row>
    <row r="530" ht="15" customHeight="1" s="28">
      <c r="A530" s="182" t="n">
        <v>520</v>
      </c>
      <c r="B530" s="182" t="n">
        <v>519</v>
      </c>
      <c r="C530" s="182" t="n">
        <v>4671.98</v>
      </c>
      <c r="D530" s="182" t="n">
        <v>4678.4836</v>
      </c>
      <c r="E530" s="182" t="n">
        <v>-6.5036</v>
      </c>
      <c r="F530" s="182" t="n">
        <v>42.2968</v>
      </c>
      <c r="G530" s="182" t="n">
        <v>-0.006328</v>
      </c>
      <c r="H530" s="182" t="n">
        <v>0.00117</v>
      </c>
      <c r="I530" s="182" t="inlineStr"/>
    </row>
    <row r="531" ht="15" customHeight="1" s="28">
      <c r="A531" s="181" t="n">
        <v>521</v>
      </c>
      <c r="B531" s="181" t="n">
        <v>520</v>
      </c>
      <c r="C531" s="181" t="n">
        <v>4680.61</v>
      </c>
      <c r="D531" s="181" t="n">
        <v>4678.216</v>
      </c>
      <c r="E531" s="181" t="n">
        <v>2.394</v>
      </c>
      <c r="F531" s="181" t="n">
        <v>5.7312</v>
      </c>
      <c r="G531" s="181" t="n">
        <v>0.000316</v>
      </c>
      <c r="H531" s="181" t="n">
        <v>2.1e-05</v>
      </c>
      <c r="I531" s="181" t="inlineStr"/>
    </row>
    <row r="532" ht="15" customHeight="1" s="28">
      <c r="A532" s="182" t="n">
        <v>522</v>
      </c>
      <c r="B532" s="182" t="n">
        <v>521</v>
      </c>
      <c r="C532" s="182" t="n">
        <v>4684.49</v>
      </c>
      <c r="D532" s="182" t="n">
        <v>4677.9484</v>
      </c>
      <c r="E532" s="182" t="n">
        <v>6.5416</v>
      </c>
      <c r="F532" s="182" t="n">
        <v>42.7925</v>
      </c>
      <c r="G532" s="182" t="n">
        <v>0.00644</v>
      </c>
      <c r="H532" s="182" t="n">
        <v>0.001198</v>
      </c>
      <c r="I532" s="182" t="inlineStr"/>
    </row>
    <row r="533" ht="15" customHeight="1" s="28">
      <c r="A533" s="181" t="n">
        <v>523</v>
      </c>
      <c r="B533" s="181" t="n">
        <v>522</v>
      </c>
      <c r="C533" s="181" t="n">
        <v>4685.61</v>
      </c>
      <c r="D533" s="181" t="n">
        <v>4677.6808</v>
      </c>
      <c r="E533" s="181" t="n">
        <v>7.9292</v>
      </c>
      <c r="F533" s="181" t="n">
        <v>62.8724</v>
      </c>
      <c r="G533" s="181" t="n">
        <v>0.011468</v>
      </c>
      <c r="H533" s="181" t="n">
        <v>0.002586</v>
      </c>
      <c r="I533" s="181" t="inlineStr"/>
    </row>
    <row r="534" ht="15" customHeight="1" s="28">
      <c r="A534" s="182" t="n">
        <v>524</v>
      </c>
      <c r="B534" s="182" t="n">
        <v>523</v>
      </c>
      <c r="C534" s="182" t="n">
        <v>4694.57</v>
      </c>
      <c r="D534" s="182" t="n">
        <v>4677.4132</v>
      </c>
      <c r="E534" s="182" t="n">
        <v>17.1568</v>
      </c>
      <c r="F534" s="182" t="n">
        <v>294.3561</v>
      </c>
      <c r="G534" s="182" t="n">
        <v>0.116178</v>
      </c>
      <c r="H534" s="182" t="n">
        <v>0.056689</v>
      </c>
      <c r="I534" s="182" t="inlineStr"/>
    </row>
    <row r="535" ht="15" customHeight="1" s="28">
      <c r="A535" s="181" t="n">
        <v>525</v>
      </c>
      <c r="B535" s="181" t="n">
        <v>524</v>
      </c>
      <c r="C535" s="181" t="n">
        <v>4687.45</v>
      </c>
      <c r="D535" s="181" t="n">
        <v>4677.1456</v>
      </c>
      <c r="E535" s="181" t="n">
        <v>10.3044</v>
      </c>
      <c r="F535" s="181" t="n">
        <v>106.1811</v>
      </c>
      <c r="G535" s="181" t="n">
        <v>0.02517</v>
      </c>
      <c r="H535" s="181" t="n">
        <v>0.007376</v>
      </c>
      <c r="I535" s="181" t="inlineStr"/>
    </row>
    <row r="536" ht="15" customHeight="1" s="28">
      <c r="A536" s="182" t="n">
        <v>526</v>
      </c>
      <c r="B536" s="182" t="n">
        <v>525</v>
      </c>
      <c r="C536" s="182" t="n">
        <v>4687.83</v>
      </c>
      <c r="D536" s="182" t="n">
        <v>4676.878</v>
      </c>
      <c r="E536" s="182" t="n">
        <v>10.952</v>
      </c>
      <c r="F536" s="182" t="n">
        <v>119.9467</v>
      </c>
      <c r="G536" s="182" t="n">
        <v>0.03022</v>
      </c>
      <c r="H536" s="182" t="n">
        <v>0.009412999999999999</v>
      </c>
      <c r="I536" s="182" t="inlineStr"/>
    </row>
    <row r="537" ht="15" customHeight="1" s="28">
      <c r="A537" s="181" t="n">
        <v>527</v>
      </c>
      <c r="B537" s="181" t="n">
        <v>526</v>
      </c>
      <c r="C537" s="181" t="n">
        <v>4688.13</v>
      </c>
      <c r="D537" s="181" t="n">
        <v>4676.6104</v>
      </c>
      <c r="E537" s="181" t="n">
        <v>11.5196</v>
      </c>
      <c r="F537" s="181" t="n">
        <v>132.7016</v>
      </c>
      <c r="G537" s="181" t="n">
        <v>0.035167</v>
      </c>
      <c r="H537" s="181" t="n">
        <v>0.011521</v>
      </c>
      <c r="I537" s="181" t="inlineStr"/>
    </row>
    <row r="538" ht="15" customHeight="1" s="28">
      <c r="A538" s="182" t="n">
        <v>528</v>
      </c>
      <c r="B538" s="182" t="n">
        <v>527</v>
      </c>
      <c r="C538" s="182" t="n">
        <v>4690.84</v>
      </c>
      <c r="D538" s="182" t="n">
        <v>4676.3428</v>
      </c>
      <c r="E538" s="182" t="n">
        <v>14.4972</v>
      </c>
      <c r="F538" s="182" t="n">
        <v>210.1697</v>
      </c>
      <c r="G538" s="182" t="n">
        <v>0.070092</v>
      </c>
      <c r="H538" s="182" t="n">
        <v>0.0289</v>
      </c>
      <c r="I538" s="182" t="inlineStr"/>
    </row>
    <row r="539" ht="15" customHeight="1" s="28">
      <c r="A539" s="181" t="n">
        <v>529</v>
      </c>
      <c r="B539" s="181" t="n">
        <v>528</v>
      </c>
      <c r="C539" s="181" t="n">
        <v>4695.33</v>
      </c>
      <c r="D539" s="181" t="n">
        <v>4676.0752</v>
      </c>
      <c r="E539" s="181" t="n">
        <v>19.2548</v>
      </c>
      <c r="F539" s="181" t="n">
        <v>370.7485</v>
      </c>
      <c r="G539" s="181" t="n">
        <v>0.164223</v>
      </c>
      <c r="H539" s="181" t="n">
        <v>0.089932</v>
      </c>
      <c r="I539" s="181" t="inlineStr"/>
    </row>
    <row r="540" ht="15" customHeight="1" s="28">
      <c r="A540" s="182" t="n">
        <v>530</v>
      </c>
      <c r="B540" s="182" t="n">
        <v>529</v>
      </c>
      <c r="C540" s="182" t="n">
        <v>4683.3</v>
      </c>
      <c r="D540" s="182" t="n">
        <v>4675.8076</v>
      </c>
      <c r="E540" s="182" t="n">
        <v>7.4924</v>
      </c>
      <c r="F540" s="182" t="n">
        <v>56.1367</v>
      </c>
      <c r="G540" s="182" t="n">
        <v>0.009676000000000001</v>
      </c>
      <c r="H540" s="182" t="n">
        <v>0.002062</v>
      </c>
      <c r="I540" s="182" t="inlineStr"/>
    </row>
    <row r="541" ht="15" customHeight="1" s="28">
      <c r="A541" s="181" t="n">
        <v>531</v>
      </c>
      <c r="B541" s="181" t="n">
        <v>530</v>
      </c>
      <c r="C541" s="181" t="n">
        <v>4685.99</v>
      </c>
      <c r="D541" s="181" t="n">
        <v>4675.54</v>
      </c>
      <c r="E541" s="181" t="n">
        <v>10.45</v>
      </c>
      <c r="F541" s="181" t="n">
        <v>109.2033</v>
      </c>
      <c r="G541" s="181" t="n">
        <v>0.026252</v>
      </c>
      <c r="H541" s="181" t="n">
        <v>0.007802</v>
      </c>
      <c r="I541" s="181" t="inlineStr"/>
    </row>
    <row r="542" ht="15" customHeight="1" s="28">
      <c r="A542" s="182" t="n">
        <v>532</v>
      </c>
      <c r="B542" s="182" t="n">
        <v>531</v>
      </c>
      <c r="C542" s="182" t="n">
        <v>4682.04</v>
      </c>
      <c r="D542" s="182" t="n">
        <v>4675.2724</v>
      </c>
      <c r="E542" s="182" t="n">
        <v>6.7676</v>
      </c>
      <c r="F542" s="182" t="n">
        <v>45.801</v>
      </c>
      <c r="G542" s="182" t="n">
        <v>0.007131</v>
      </c>
      <c r="H542" s="182" t="n">
        <v>0.001372</v>
      </c>
      <c r="I542" s="182" t="inlineStr"/>
    </row>
    <row r="543" ht="15" customHeight="1" s="28">
      <c r="A543" s="181" t="n">
        <v>533</v>
      </c>
      <c r="B543" s="181" t="n">
        <v>532</v>
      </c>
      <c r="C543" s="181" t="n">
        <v>4682.45</v>
      </c>
      <c r="D543" s="181" t="n">
        <v>4675.0048</v>
      </c>
      <c r="E543" s="181" t="n">
        <v>7.4452</v>
      </c>
      <c r="F543" s="181" t="n">
        <v>55.4317</v>
      </c>
      <c r="G543" s="181" t="n">
        <v>0.009494000000000001</v>
      </c>
      <c r="H543" s="181" t="n">
        <v>0.00201</v>
      </c>
      <c r="I543" s="181" t="inlineStr"/>
    </row>
    <row r="544" ht="15" customHeight="1" s="28">
      <c r="A544" s="182" t="n">
        <v>534</v>
      </c>
      <c r="B544" s="182" t="n">
        <v>533</v>
      </c>
      <c r="C544" s="182" t="n">
        <v>4682.25</v>
      </c>
      <c r="D544" s="182" t="n">
        <v>4674.7371</v>
      </c>
      <c r="E544" s="182" t="n">
        <v>7.5129</v>
      </c>
      <c r="F544" s="182" t="n">
        <v>56.4429</v>
      </c>
      <c r="G544" s="182" t="n">
        <v>0.009755</v>
      </c>
      <c r="H544" s="182" t="n">
        <v>0.002084</v>
      </c>
      <c r="I544" s="182" t="inlineStr"/>
    </row>
    <row r="545" ht="15" customHeight="1" s="28">
      <c r="A545" s="181" t="n">
        <v>535</v>
      </c>
      <c r="B545" s="181" t="n">
        <v>534</v>
      </c>
      <c r="C545" s="181" t="n">
        <v>4679.01</v>
      </c>
      <c r="D545" s="181" t="n">
        <v>4674.4695</v>
      </c>
      <c r="E545" s="181" t="n">
        <v>4.5405</v>
      </c>
      <c r="F545" s="181" t="n">
        <v>20.6158</v>
      </c>
      <c r="G545" s="181" t="n">
        <v>0.002153</v>
      </c>
      <c r="H545" s="181" t="n">
        <v>0.000278</v>
      </c>
      <c r="I545" s="181" t="inlineStr"/>
    </row>
    <row r="546" ht="15" customHeight="1" s="28">
      <c r="A546" s="182" t="n">
        <v>536</v>
      </c>
      <c r="B546" s="182" t="n">
        <v>535</v>
      </c>
      <c r="C546" s="182" t="n">
        <v>4678.04</v>
      </c>
      <c r="D546" s="182" t="n">
        <v>4674.2019</v>
      </c>
      <c r="E546" s="182" t="n">
        <v>3.8381</v>
      </c>
      <c r="F546" s="182" t="n">
        <v>14.7307</v>
      </c>
      <c r="G546" s="182" t="n">
        <v>0.001301</v>
      </c>
      <c r="H546" s="182" t="n">
        <v>0.000142</v>
      </c>
      <c r="I546" s="182" t="inlineStr"/>
    </row>
    <row r="547" ht="15" customHeight="1" s="28">
      <c r="A547" s="181" t="n">
        <v>537</v>
      </c>
      <c r="B547" s="181" t="n">
        <v>536</v>
      </c>
      <c r="C547" s="181" t="n">
        <v>4696.78</v>
      </c>
      <c r="D547" s="181" t="n">
        <v>4673.9343</v>
      </c>
      <c r="E547" s="181" t="n">
        <v>22.8457</v>
      </c>
      <c r="F547" s="181" t="n">
        <v>521.9242</v>
      </c>
      <c r="G547" s="181" t="n">
        <v>0.274301</v>
      </c>
      <c r="H547" s="181" t="n">
        <v>0.178225</v>
      </c>
      <c r="I547" s="181" t="inlineStr"/>
    </row>
    <row r="548" ht="15" customHeight="1" s="28">
      <c r="A548" s="182" t="n">
        <v>538</v>
      </c>
      <c r="B548" s="182" t="n">
        <v>537</v>
      </c>
      <c r="C548" s="182" t="n">
        <v>4715.3</v>
      </c>
      <c r="D548" s="182" t="n">
        <v>4673.6667</v>
      </c>
      <c r="E548" s="182" t="n">
        <v>41.6333</v>
      </c>
      <c r="F548" s="182" t="n">
        <v>1733.3292</v>
      </c>
      <c r="G548" s="182" t="n">
        <v>1.660111</v>
      </c>
      <c r="H548" s="182" t="n">
        <v>1.965695</v>
      </c>
      <c r="I548" s="182" t="inlineStr"/>
    </row>
    <row r="549" ht="15" customHeight="1" s="28">
      <c r="A549" s="181" t="n">
        <v>539</v>
      </c>
      <c r="B549" s="181" t="n">
        <v>538</v>
      </c>
      <c r="C549" s="181" t="n">
        <v>4705.4</v>
      </c>
      <c r="D549" s="181" t="n">
        <v>4673.3991</v>
      </c>
      <c r="E549" s="181" t="n">
        <v>32.0009</v>
      </c>
      <c r="F549" s="181" t="n">
        <v>1024.0557</v>
      </c>
      <c r="G549" s="181" t="n">
        <v>0.753878</v>
      </c>
      <c r="H549" s="181" t="n">
        <v>0.686122</v>
      </c>
      <c r="I549" s="181" t="inlineStr"/>
    </row>
    <row r="550" ht="15" customHeight="1" s="28">
      <c r="A550" s="182" t="n">
        <v>540</v>
      </c>
      <c r="B550" s="182" t="n">
        <v>539</v>
      </c>
      <c r="C550" s="182" t="n">
        <v>4706.76</v>
      </c>
      <c r="D550" s="182" t="n">
        <v>4673.1315</v>
      </c>
      <c r="E550" s="182" t="n">
        <v>33.6285</v>
      </c>
      <c r="F550" s="182" t="n">
        <v>1130.8747</v>
      </c>
      <c r="G550" s="182" t="n">
        <v>0.874857</v>
      </c>
      <c r="H550" s="182" t="n">
        <v>0.836726</v>
      </c>
      <c r="I550" s="182" t="inlineStr"/>
    </row>
    <row r="551" ht="15" customHeight="1" s="28">
      <c r="A551" s="181" t="n">
        <v>541</v>
      </c>
      <c r="B551" s="181" t="n">
        <v>540</v>
      </c>
      <c r="C551" s="181" t="n">
        <v>4708.7</v>
      </c>
      <c r="D551" s="181" t="n">
        <v>4672.8639</v>
      </c>
      <c r="E551" s="181" t="n">
        <v>35.8361</v>
      </c>
      <c r="F551" s="181" t="n">
        <v>1284.2246</v>
      </c>
      <c r="G551" s="181" t="n">
        <v>1.05871</v>
      </c>
      <c r="H551" s="181" t="n">
        <v>1.079036</v>
      </c>
      <c r="I551" s="181" t="inlineStr"/>
    </row>
    <row r="552" ht="15" customHeight="1" s="28">
      <c r="A552" s="182" t="n">
        <v>542</v>
      </c>
      <c r="B552" s="182" t="n">
        <v>541</v>
      </c>
      <c r="C552" s="182" t="n">
        <v>4710.63</v>
      </c>
      <c r="D552" s="182" t="n">
        <v>4672.5963</v>
      </c>
      <c r="E552" s="182" t="n">
        <v>38.0337</v>
      </c>
      <c r="F552" s="182" t="n">
        <v>1446.5616</v>
      </c>
      <c r="G552" s="182" t="n">
        <v>1.265671</v>
      </c>
      <c r="H552" s="182" t="n">
        <v>1.369077</v>
      </c>
      <c r="I552" s="182" t="inlineStr"/>
    </row>
    <row r="553" ht="15" customHeight="1" s="28">
      <c r="A553" s="181" t="n">
        <v>543</v>
      </c>
      <c r="B553" s="181" t="n">
        <v>542</v>
      </c>
      <c r="C553" s="181" t="n">
        <v>4698.83</v>
      </c>
      <c r="D553" s="181" t="n">
        <v>4672.3287</v>
      </c>
      <c r="E553" s="181" t="n">
        <v>26.5013</v>
      </c>
      <c r="F553" s="181" t="n">
        <v>702.3184</v>
      </c>
      <c r="G553" s="181" t="n">
        <v>0.42817</v>
      </c>
      <c r="H553" s="181" t="n">
        <v>0.322717</v>
      </c>
      <c r="I553" s="181" t="inlineStr"/>
    </row>
    <row r="554" ht="15" customHeight="1" s="28">
      <c r="A554" s="182" t="n">
        <v>544</v>
      </c>
      <c r="B554" s="182" t="n">
        <v>543</v>
      </c>
      <c r="C554" s="182" t="n">
        <v>4700.67</v>
      </c>
      <c r="D554" s="182" t="n">
        <v>4672.0611</v>
      </c>
      <c r="E554" s="182" t="n">
        <v>28.6089</v>
      </c>
      <c r="F554" s="182" t="n">
        <v>818.4686</v>
      </c>
      <c r="G554" s="182" t="n">
        <v>0.5386649999999999</v>
      </c>
      <c r="H554" s="182" t="n">
        <v>0.438287</v>
      </c>
      <c r="I554" s="182" t="inlineStr"/>
    </row>
    <row r="555" ht="15" customHeight="1" s="28">
      <c r="A555" s="181" t="n">
        <v>545</v>
      </c>
      <c r="B555" s="181" t="n">
        <v>544</v>
      </c>
      <c r="C555" s="181" t="n">
        <v>4702.99</v>
      </c>
      <c r="D555" s="181" t="n">
        <v>4671.7935</v>
      </c>
      <c r="E555" s="181" t="n">
        <v>31.1965</v>
      </c>
      <c r="F555" s="181" t="n">
        <v>973.2216</v>
      </c>
      <c r="G555" s="181" t="n">
        <v>0.698447</v>
      </c>
      <c r="H555" s="181" t="n">
        <v>0.619694</v>
      </c>
      <c r="I555" s="181" t="inlineStr"/>
    </row>
    <row r="556" ht="15" customHeight="1" s="28">
      <c r="A556" s="182" t="n">
        <v>546</v>
      </c>
      <c r="B556" s="182" t="n">
        <v>545</v>
      </c>
      <c r="C556" s="182" t="n">
        <v>4697.13</v>
      </c>
      <c r="D556" s="182" t="n">
        <v>4671.5259</v>
      </c>
      <c r="E556" s="182" t="n">
        <v>25.6041</v>
      </c>
      <c r="F556" s="182" t="n">
        <v>655.5699</v>
      </c>
      <c r="G556" s="182" t="n">
        <v>0.386139</v>
      </c>
      <c r="H556" s="182" t="n">
        <v>0.281185</v>
      </c>
      <c r="I556" s="182" t="inlineStr"/>
    </row>
    <row r="557" ht="15" customHeight="1" s="28">
      <c r="A557" s="181" t="n">
        <v>547</v>
      </c>
      <c r="B557" s="181" t="n">
        <v>546</v>
      </c>
      <c r="C557" s="181" t="n">
        <v>4708.23</v>
      </c>
      <c r="D557" s="181" t="n">
        <v>4671.2583</v>
      </c>
      <c r="E557" s="181" t="n">
        <v>36.9717</v>
      </c>
      <c r="F557" s="181" t="n">
        <v>1366.9073</v>
      </c>
      <c r="G557" s="181" t="n">
        <v>1.162584</v>
      </c>
      <c r="H557" s="181" t="n">
        <v>1.222453</v>
      </c>
      <c r="I557" s="181" t="inlineStr"/>
    </row>
    <row r="558" ht="15" customHeight="1" s="28">
      <c r="A558" s="182" t="n">
        <v>548</v>
      </c>
      <c r="B558" s="182" t="n">
        <v>547</v>
      </c>
      <c r="C558" s="182" t="n">
        <v>4711.2</v>
      </c>
      <c r="D558" s="182" t="n">
        <v>4670.9907</v>
      </c>
      <c r="E558" s="182" t="n">
        <v>40.2093</v>
      </c>
      <c r="F558" s="182" t="n">
        <v>1616.7886</v>
      </c>
      <c r="G558" s="182" t="n">
        <v>1.495531</v>
      </c>
      <c r="H558" s="182" t="n">
        <v>1.710254</v>
      </c>
      <c r="I558" s="182" t="inlineStr"/>
    </row>
    <row r="559" ht="15" customHeight="1" s="28">
      <c r="A559" s="181" t="n">
        <v>549</v>
      </c>
      <c r="B559" s="181" t="n">
        <v>548</v>
      </c>
      <c r="C559" s="181" t="n">
        <v>4731.95</v>
      </c>
      <c r="D559" s="181" t="n">
        <v>4670.7231</v>
      </c>
      <c r="E559" s="181" t="n">
        <v>61.2269</v>
      </c>
      <c r="F559" s="181" t="n">
        <v>3748.7345</v>
      </c>
      <c r="G559" s="181" t="n">
        <v>5.280106</v>
      </c>
      <c r="H559" s="181" t="n">
        <v>9.194402</v>
      </c>
      <c r="I559" s="181" t="inlineStr"/>
    </row>
    <row r="560" ht="15" customHeight="1" s="28">
      <c r="A560" s="182" t="n">
        <v>550</v>
      </c>
      <c r="B560" s="182" t="n">
        <v>549</v>
      </c>
      <c r="C560" s="182" t="n">
        <v>4725.46</v>
      </c>
      <c r="D560" s="182" t="n">
        <v>4670.4555</v>
      </c>
      <c r="E560" s="182" t="n">
        <v>55.0045</v>
      </c>
      <c r="F560" s="182" t="n">
        <v>3025.4972</v>
      </c>
      <c r="G560" s="182" t="n">
        <v>3.828342</v>
      </c>
      <c r="H560" s="182" t="n">
        <v>5.988908</v>
      </c>
      <c r="I560" s="182" t="inlineStr"/>
    </row>
    <row r="561" ht="15" customHeight="1" s="28">
      <c r="A561" s="181" t="n">
        <v>551</v>
      </c>
      <c r="B561" s="181" t="n">
        <v>550</v>
      </c>
      <c r="C561" s="181" t="n">
        <v>4730.38</v>
      </c>
      <c r="D561" s="181" t="n">
        <v>4670.1879</v>
      </c>
      <c r="E561" s="181" t="n">
        <v>60.1921</v>
      </c>
      <c r="F561" s="181" t="n">
        <v>3623.0913</v>
      </c>
      <c r="G561" s="181" t="n">
        <v>5.016889</v>
      </c>
      <c r="H561" s="181" t="n">
        <v>8.588407999999999</v>
      </c>
      <c r="I561" s="181" t="inlineStr"/>
    </row>
    <row r="562" ht="15" customHeight="1" s="28">
      <c r="A562" s="182" t="n">
        <v>552</v>
      </c>
      <c r="B562" s="182" t="n">
        <v>551</v>
      </c>
      <c r="C562" s="182" t="n">
        <v>4726.41</v>
      </c>
      <c r="D562" s="182" t="n">
        <v>4669.9203</v>
      </c>
      <c r="E562" s="182" t="n">
        <v>56.4897</v>
      </c>
      <c r="F562" s="182" t="n">
        <v>3191.0896</v>
      </c>
      <c r="G562" s="182" t="n">
        <v>4.146905</v>
      </c>
      <c r="H562" s="182" t="n">
        <v>6.662422</v>
      </c>
      <c r="I562" s="182" t="inlineStr"/>
    </row>
    <row r="563" ht="15" customHeight="1" s="28">
      <c r="A563" s="181" t="n">
        <v>553</v>
      </c>
      <c r="B563" s="181" t="n">
        <v>552</v>
      </c>
      <c r="C563" s="181" t="n">
        <v>4721.97</v>
      </c>
      <c r="D563" s="181" t="n">
        <v>4669.6527</v>
      </c>
      <c r="E563" s="181" t="n">
        <v>52.3173</v>
      </c>
      <c r="F563" s="181" t="n">
        <v>2737.103</v>
      </c>
      <c r="G563" s="181" t="n">
        <v>3.294218</v>
      </c>
      <c r="H563" s="181" t="n">
        <v>4.901583</v>
      </c>
      <c r="I563" s="181" t="inlineStr"/>
    </row>
    <row r="564" ht="15" customHeight="1" s="28">
      <c r="A564" s="182" t="n">
        <v>554</v>
      </c>
      <c r="B564" s="182" t="n">
        <v>553</v>
      </c>
      <c r="C564" s="182" t="n">
        <v>4721.74</v>
      </c>
      <c r="D564" s="182" t="n">
        <v>4669.3851</v>
      </c>
      <c r="E564" s="182" t="n">
        <v>52.3549</v>
      </c>
      <c r="F564" s="182" t="n">
        <v>2741.0387</v>
      </c>
      <c r="G564" s="182" t="n">
        <v>3.301325</v>
      </c>
      <c r="H564" s="182" t="n">
        <v>4.91569</v>
      </c>
      <c r="I564" s="182" t="inlineStr"/>
    </row>
    <row r="565" ht="15" customHeight="1" s="28">
      <c r="A565" s="181" t="n">
        <v>555</v>
      </c>
      <c r="B565" s="181" t="n">
        <v>554</v>
      </c>
      <c r="C565" s="181" t="n">
        <v>4728.12</v>
      </c>
      <c r="D565" s="181" t="n">
        <v>4669.1175</v>
      </c>
      <c r="E565" s="181" t="n">
        <v>59.0025</v>
      </c>
      <c r="F565" s="181" t="n">
        <v>3481.2997</v>
      </c>
      <c r="G565" s="181" t="n">
        <v>4.725282</v>
      </c>
      <c r="H565" s="181" t="n">
        <v>7.929338</v>
      </c>
      <c r="I565" s="181" t="inlineStr"/>
    </row>
    <row r="566" ht="15" customHeight="1" s="28">
      <c r="A566" s="182" t="n">
        <v>556</v>
      </c>
      <c r="B566" s="182" t="n">
        <v>555</v>
      </c>
      <c r="C566" s="182" t="n">
        <v>4727.24</v>
      </c>
      <c r="D566" s="182" t="n">
        <v>4668.8499</v>
      </c>
      <c r="E566" s="182" t="n">
        <v>58.3901</v>
      </c>
      <c r="F566" s="182" t="n">
        <v>3409.4084</v>
      </c>
      <c r="G566" s="182" t="n">
        <v>4.579669</v>
      </c>
      <c r="H566" s="182" t="n">
        <v>7.605227</v>
      </c>
      <c r="I566" s="182" t="inlineStr"/>
    </row>
    <row r="567" ht="15" customHeight="1" s="28">
      <c r="A567" s="181" t="n">
        <v>557</v>
      </c>
      <c r="B567" s="181" t="n">
        <v>556</v>
      </c>
      <c r="C567" s="181" t="n">
        <v>4720.65</v>
      </c>
      <c r="D567" s="181" t="n">
        <v>4668.5823</v>
      </c>
      <c r="E567" s="181" t="n">
        <v>52.0677</v>
      </c>
      <c r="F567" s="181" t="n">
        <v>2711.0506</v>
      </c>
      <c r="G567" s="181" t="n">
        <v>3.247297</v>
      </c>
      <c r="H567" s="181" t="n">
        <v>4.808719</v>
      </c>
      <c r="I567" s="181" t="inlineStr"/>
    </row>
    <row r="568" ht="15" customHeight="1" s="28">
      <c r="A568" s="182" t="n">
        <v>558</v>
      </c>
      <c r="B568" s="182" t="n">
        <v>557</v>
      </c>
      <c r="C568" s="182" t="n">
        <v>4723.32</v>
      </c>
      <c r="D568" s="182" t="n">
        <v>4668.3147</v>
      </c>
      <c r="E568" s="182" t="n">
        <v>55.0053</v>
      </c>
      <c r="F568" s="182" t="n">
        <v>3025.5885</v>
      </c>
      <c r="G568" s="182" t="n">
        <v>3.828515</v>
      </c>
      <c r="H568" s="182" t="n">
        <v>5.989269</v>
      </c>
      <c r="I568" s="182" t="inlineStr"/>
    </row>
    <row r="569" ht="15" customHeight="1" s="28">
      <c r="A569" s="181" t="n">
        <v>559</v>
      </c>
      <c r="B569" s="181" t="n">
        <v>558</v>
      </c>
      <c r="C569" s="181" t="n">
        <v>4722.58</v>
      </c>
      <c r="D569" s="181" t="n">
        <v>4668.0471</v>
      </c>
      <c r="E569" s="181" t="n">
        <v>54.5329</v>
      </c>
      <c r="F569" s="181" t="n">
        <v>2973.8426</v>
      </c>
      <c r="G569" s="181" t="n">
        <v>3.730719</v>
      </c>
      <c r="H569" s="181" t="n">
        <v>5.786155</v>
      </c>
      <c r="I569" s="181" t="inlineStr"/>
    </row>
    <row r="570" ht="15" customHeight="1" s="28">
      <c r="A570" s="182" t="n">
        <v>560</v>
      </c>
      <c r="B570" s="182" t="n">
        <v>559</v>
      </c>
      <c r="C570" s="182" t="n">
        <v>4726.84</v>
      </c>
      <c r="D570" s="182" t="n">
        <v>4667.7794</v>
      </c>
      <c r="E570" s="182" t="n">
        <v>59.0606</v>
      </c>
      <c r="F570" s="182" t="n">
        <v>3488.1497</v>
      </c>
      <c r="G570" s="182" t="n">
        <v>4.739235</v>
      </c>
      <c r="H570" s="182" t="n">
        <v>7.960573</v>
      </c>
      <c r="I570" s="182" t="inlineStr"/>
    </row>
    <row r="571" ht="15" customHeight="1" s="28">
      <c r="A571" s="181" t="n">
        <v>561</v>
      </c>
      <c r="B571" s="181" t="n">
        <v>560</v>
      </c>
      <c r="C571" s="181" t="n">
        <v>4727.78</v>
      </c>
      <c r="D571" s="181" t="n">
        <v>4667.5118</v>
      </c>
      <c r="E571" s="181" t="n">
        <v>60.2682</v>
      </c>
      <c r="F571" s="181" t="n">
        <v>3632.2511</v>
      </c>
      <c r="G571" s="181" t="n">
        <v>5.035926</v>
      </c>
      <c r="H571" s="181" t="n">
        <v>8.631888999999999</v>
      </c>
      <c r="I571" s="181" t="inlineStr"/>
    </row>
    <row r="572" ht="15" customHeight="1" s="28">
      <c r="A572" s="182" t="n">
        <v>562</v>
      </c>
      <c r="B572" s="182" t="n">
        <v>561</v>
      </c>
      <c r="C572" s="182" t="n">
        <v>4723.06</v>
      </c>
      <c r="D572" s="182" t="n">
        <v>4667.2442</v>
      </c>
      <c r="E572" s="182" t="n">
        <v>55.8158</v>
      </c>
      <c r="F572" s="182" t="n">
        <v>3115.4002</v>
      </c>
      <c r="G572" s="182" t="n">
        <v>4.000243</v>
      </c>
      <c r="H572" s="182" t="n">
        <v>6.350118</v>
      </c>
      <c r="I572" s="182" t="inlineStr"/>
    </row>
    <row r="573" ht="15" customHeight="1" s="28">
      <c r="A573" s="181" t="n">
        <v>563</v>
      </c>
      <c r="B573" s="181" t="n">
        <v>562</v>
      </c>
      <c r="C573" s="181" t="n">
        <v>4722.48</v>
      </c>
      <c r="D573" s="181" t="n">
        <v>4666.9766</v>
      </c>
      <c r="E573" s="181" t="n">
        <v>55.5034</v>
      </c>
      <c r="F573" s="181" t="n">
        <v>3080.6241</v>
      </c>
      <c r="G573" s="181" t="n">
        <v>3.93345</v>
      </c>
      <c r="H573" s="181" t="n">
        <v>6.209141</v>
      </c>
      <c r="I573" s="181" t="inlineStr"/>
    </row>
    <row r="574" ht="15" customHeight="1" s="28">
      <c r="A574" s="182" t="n">
        <v>564</v>
      </c>
      <c r="B574" s="182" t="n">
        <v>563</v>
      </c>
      <c r="C574" s="182" t="n">
        <v>4723.38</v>
      </c>
      <c r="D574" s="182" t="n">
        <v>4666.709</v>
      </c>
      <c r="E574" s="182" t="n">
        <v>56.671</v>
      </c>
      <c r="F574" s="182" t="n">
        <v>3211.6</v>
      </c>
      <c r="G574" s="182" t="n">
        <v>4.18695</v>
      </c>
      <c r="H574" s="182" t="n">
        <v>6.748341</v>
      </c>
      <c r="I574" s="182" t="inlineStr"/>
    </row>
    <row r="575" ht="15" customHeight="1" s="28">
      <c r="A575" s="181" t="n">
        <v>565</v>
      </c>
      <c r="B575" s="181" t="n">
        <v>564</v>
      </c>
      <c r="C575" s="181" t="n">
        <v>4723.94</v>
      </c>
      <c r="D575" s="181" t="n">
        <v>4666.4414</v>
      </c>
      <c r="E575" s="181" t="n">
        <v>57.4986</v>
      </c>
      <c r="F575" s="181" t="n">
        <v>3306.0867</v>
      </c>
      <c r="G575" s="181" t="n">
        <v>4.373075</v>
      </c>
      <c r="H575" s="181" t="n">
        <v>7.15126</v>
      </c>
      <c r="I575" s="181" t="inlineStr"/>
    </row>
    <row r="576" ht="15" customHeight="1" s="28">
      <c r="A576" s="182" t="n">
        <v>566</v>
      </c>
      <c r="B576" s="182" t="n">
        <v>565</v>
      </c>
      <c r="C576" s="182" t="n">
        <v>4717.26</v>
      </c>
      <c r="D576" s="182" t="n">
        <v>4666.1738</v>
      </c>
      <c r="E576" s="182" t="n">
        <v>51.0862</v>
      </c>
      <c r="F576" s="182" t="n">
        <v>2609.7978</v>
      </c>
      <c r="G576" s="182" t="n">
        <v>3.067085</v>
      </c>
      <c r="H576" s="182" t="n">
        <v>4.456232</v>
      </c>
      <c r="I576" s="182" t="inlineStr"/>
    </row>
    <row r="577" ht="15" customHeight="1" s="28">
      <c r="A577" s="181" t="n">
        <v>567</v>
      </c>
      <c r="B577" s="181" t="n">
        <v>566</v>
      </c>
      <c r="C577" s="181" t="n">
        <v>4718.98</v>
      </c>
      <c r="D577" s="181" t="n">
        <v>4665.9062</v>
      </c>
      <c r="E577" s="181" t="n">
        <v>53.0738</v>
      </c>
      <c r="F577" s="181" t="n">
        <v>2816.8272</v>
      </c>
      <c r="G577" s="181" t="n">
        <v>3.439188</v>
      </c>
      <c r="H577" s="181" t="n">
        <v>5.191281</v>
      </c>
      <c r="I577" s="181" t="inlineStr"/>
    </row>
    <row r="578" ht="15" customHeight="1" s="28">
      <c r="A578" s="182" t="n">
        <v>568</v>
      </c>
      <c r="B578" s="182" t="n">
        <v>567</v>
      </c>
      <c r="C578" s="182" t="n">
        <v>4722.91</v>
      </c>
      <c r="D578" s="182" t="n">
        <v>4665.6386</v>
      </c>
      <c r="E578" s="182" t="n">
        <v>57.2714</v>
      </c>
      <c r="F578" s="182" t="n">
        <v>3280.0121</v>
      </c>
      <c r="G578" s="182" t="n">
        <v>4.321443</v>
      </c>
      <c r="H578" s="182" t="n">
        <v>7.038903</v>
      </c>
      <c r="I578" s="182" t="inlineStr"/>
    </row>
    <row r="579" ht="15" customHeight="1" s="28">
      <c r="A579" s="181" t="n">
        <v>569</v>
      </c>
      <c r="B579" s="181" t="n">
        <v>568</v>
      </c>
      <c r="C579" s="181" t="n">
        <v>4722.47</v>
      </c>
      <c r="D579" s="181" t="n">
        <v>4665.371</v>
      </c>
      <c r="E579" s="181" t="n">
        <v>57.099</v>
      </c>
      <c r="F579" s="181" t="n">
        <v>3260.2958</v>
      </c>
      <c r="G579" s="181" t="n">
        <v>4.282537</v>
      </c>
      <c r="H579" s="181" t="n">
        <v>6.954535</v>
      </c>
      <c r="I579" s="181" t="inlineStr"/>
    </row>
    <row r="580" ht="15" customHeight="1" s="28">
      <c r="A580" s="182" t="n">
        <v>570</v>
      </c>
      <c r="B580" s="182" t="n">
        <v>569</v>
      </c>
      <c r="C580" s="182" t="n">
        <v>4719.08</v>
      </c>
      <c r="D580" s="182" t="n">
        <v>4665.1034</v>
      </c>
      <c r="E580" s="182" t="n">
        <v>53.9766</v>
      </c>
      <c r="F580" s="182" t="n">
        <v>2913.4733</v>
      </c>
      <c r="G580" s="182" t="n">
        <v>3.617697</v>
      </c>
      <c r="H580" s="182" t="n">
        <v>5.553621</v>
      </c>
      <c r="I580" s="182" t="inlineStr"/>
    </row>
    <row r="581" ht="15" customHeight="1" s="28">
      <c r="A581" s="181" t="n">
        <v>571</v>
      </c>
      <c r="B581" s="181" t="n">
        <v>570</v>
      </c>
      <c r="C581" s="181" t="n">
        <v>4716.82</v>
      </c>
      <c r="D581" s="181" t="n">
        <v>4664.8358</v>
      </c>
      <c r="E581" s="181" t="n">
        <v>51.9842</v>
      </c>
      <c r="F581" s="181" t="n">
        <v>2702.357</v>
      </c>
      <c r="G581" s="181" t="n">
        <v>3.23169</v>
      </c>
      <c r="H581" s="181" t="n">
        <v>4.777928</v>
      </c>
      <c r="I581" s="181" t="inlineStr"/>
    </row>
    <row r="582" ht="15" customHeight="1" s="28">
      <c r="A582" s="182" t="n">
        <v>572</v>
      </c>
      <c r="B582" s="182" t="n">
        <v>571</v>
      </c>
      <c r="C582" s="182" t="n">
        <v>4717.02</v>
      </c>
      <c r="D582" s="182" t="n">
        <v>4664.5682</v>
      </c>
      <c r="E582" s="182" t="n">
        <v>52.4518</v>
      </c>
      <c r="F582" s="182" t="n">
        <v>2751.1924</v>
      </c>
      <c r="G582" s="182" t="n">
        <v>3.319686</v>
      </c>
      <c r="H582" s="182" t="n">
        <v>4.952176</v>
      </c>
      <c r="I582" s="182" t="inlineStr"/>
    </row>
    <row r="583" ht="15" customHeight="1" s="28">
      <c r="A583" s="181" t="n">
        <v>573</v>
      </c>
      <c r="B583" s="181" t="n">
        <v>572</v>
      </c>
      <c r="C583" s="181" t="n">
        <v>4706.56</v>
      </c>
      <c r="D583" s="181" t="n">
        <v>4664.3006</v>
      </c>
      <c r="E583" s="181" t="n">
        <v>42.2594</v>
      </c>
      <c r="F583" s="181" t="n">
        <v>1785.8577</v>
      </c>
      <c r="G583" s="181" t="n">
        <v>1.736145</v>
      </c>
      <c r="H583" s="181" t="n">
        <v>2.086641</v>
      </c>
      <c r="I583" s="181" t="inlineStr"/>
    </row>
    <row r="584" ht="15" customHeight="1" s="28">
      <c r="A584" s="182" t="n">
        <v>574</v>
      </c>
      <c r="B584" s="182" t="n">
        <v>573</v>
      </c>
      <c r="C584" s="182" t="n">
        <v>4708.18</v>
      </c>
      <c r="D584" s="182" t="n">
        <v>4664.033</v>
      </c>
      <c r="E584" s="182" t="n">
        <v>44.147</v>
      </c>
      <c r="F584" s="182" t="n">
        <v>1948.9594</v>
      </c>
      <c r="G584" s="182" t="n">
        <v>1.979337</v>
      </c>
      <c r="H584" s="182" t="n">
        <v>2.485191</v>
      </c>
      <c r="I584" s="182" t="inlineStr"/>
    </row>
    <row r="585" ht="15" customHeight="1" s="28">
      <c r="A585" s="181" t="n">
        <v>575</v>
      </c>
      <c r="B585" s="181" t="n">
        <v>574</v>
      </c>
      <c r="C585" s="181" t="n">
        <v>4707.61</v>
      </c>
      <c r="D585" s="181" t="n">
        <v>4663.7654</v>
      </c>
      <c r="E585" s="181" t="n">
        <v>43.8446</v>
      </c>
      <c r="F585" s="181" t="n">
        <v>1922.3507</v>
      </c>
      <c r="G585" s="181" t="n">
        <v>1.938941</v>
      </c>
      <c r="H585" s="181" t="n">
        <v>2.417794</v>
      </c>
      <c r="I585" s="181" t="inlineStr"/>
    </row>
    <row r="586" ht="15" customHeight="1" s="28">
      <c r="A586" s="182" t="n">
        <v>576</v>
      </c>
      <c r="B586" s="182" t="n">
        <v>575</v>
      </c>
      <c r="C586" s="182" t="n">
        <v>4708.24</v>
      </c>
      <c r="D586" s="182" t="n">
        <v>4663.4978</v>
      </c>
      <c r="E586" s="182" t="n">
        <v>44.7422</v>
      </c>
      <c r="F586" s="182" t="n">
        <v>2001.8663</v>
      </c>
      <c r="G586" s="182" t="n">
        <v>2.060479</v>
      </c>
      <c r="H586" s="182" t="n">
        <v>2.621949</v>
      </c>
      <c r="I586" s="182" t="inlineStr"/>
    </row>
    <row r="587" ht="15" customHeight="1" s="28">
      <c r="A587" s="181" t="n">
        <v>577</v>
      </c>
      <c r="B587" s="181" t="n">
        <v>576</v>
      </c>
      <c r="C587" s="181" t="n">
        <v>4685.5</v>
      </c>
      <c r="D587" s="181" t="n">
        <v>4663.2302</v>
      </c>
      <c r="E587" s="181" t="n">
        <v>22.2698</v>
      </c>
      <c r="F587" s="181" t="n">
        <v>495.9453</v>
      </c>
      <c r="G587" s="181" t="n">
        <v>0.254078</v>
      </c>
      <c r="H587" s="181" t="n">
        <v>0.160924</v>
      </c>
      <c r="I587" s="181" t="inlineStr"/>
    </row>
    <row r="588" ht="15" customHeight="1" s="28">
      <c r="A588" s="182" t="n">
        <v>578</v>
      </c>
      <c r="B588" s="182" t="n">
        <v>577</v>
      </c>
      <c r="C588" s="182" t="n">
        <v>4686.88</v>
      </c>
      <c r="D588" s="182" t="n">
        <v>4662.9626</v>
      </c>
      <c r="E588" s="182" t="n">
        <v>23.9174</v>
      </c>
      <c r="F588" s="182" t="n">
        <v>572.0435</v>
      </c>
      <c r="G588" s="182" t="n">
        <v>0.314745</v>
      </c>
      <c r="H588" s="182" t="n">
        <v>0.214098</v>
      </c>
      <c r="I588" s="182" t="inlineStr"/>
    </row>
    <row r="589" ht="15" customHeight="1" s="28">
      <c r="A589" s="181" t="n">
        <v>579</v>
      </c>
      <c r="B589" s="181" t="n">
        <v>578</v>
      </c>
      <c r="C589" s="181" t="n">
        <v>4684.48</v>
      </c>
      <c r="D589" s="181" t="n">
        <v>4662.695</v>
      </c>
      <c r="E589" s="181" t="n">
        <v>21.785</v>
      </c>
      <c r="F589" s="181" t="n">
        <v>474.588</v>
      </c>
      <c r="G589" s="181" t="n">
        <v>0.237843</v>
      </c>
      <c r="H589" s="181" t="n">
        <v>0.147363</v>
      </c>
      <c r="I589" s="181" t="inlineStr"/>
    </row>
    <row r="590" ht="15" customHeight="1" s="28">
      <c r="A590" s="182" t="n">
        <v>580</v>
      </c>
      <c r="B590" s="182" t="n">
        <v>579</v>
      </c>
      <c r="C590" s="182" t="n">
        <v>4684.52</v>
      </c>
      <c r="D590" s="182" t="n">
        <v>4662.4274</v>
      </c>
      <c r="E590" s="182" t="n">
        <v>22.0926</v>
      </c>
      <c r="F590" s="182" t="n">
        <v>488.0847</v>
      </c>
      <c r="G590" s="182" t="n">
        <v>0.248061</v>
      </c>
      <c r="H590" s="182" t="n">
        <v>0.155864</v>
      </c>
      <c r="I590" s="182" t="inlineStr"/>
    </row>
    <row r="591" ht="15" customHeight="1" s="28">
      <c r="A591" s="181" t="n">
        <v>581</v>
      </c>
      <c r="B591" s="181" t="n">
        <v>580</v>
      </c>
      <c r="C591" s="181" t="n">
        <v>4683.71</v>
      </c>
      <c r="D591" s="181" t="n">
        <v>4662.1598</v>
      </c>
      <c r="E591" s="181" t="n">
        <v>21.5502</v>
      </c>
      <c r="F591" s="181" t="n">
        <v>464.4128</v>
      </c>
      <c r="G591" s="181" t="n">
        <v>0.230235</v>
      </c>
      <c r="H591" s="181" t="n">
        <v>0.141112</v>
      </c>
      <c r="I591" s="181" t="inlineStr"/>
    </row>
    <row r="592" ht="15" customHeight="1" s="28">
      <c r="A592" s="182" t="n">
        <v>582</v>
      </c>
      <c r="B592" s="182" t="n">
        <v>581</v>
      </c>
      <c r="C592" s="182" t="n">
        <v>4677.41</v>
      </c>
      <c r="D592" s="182" t="n">
        <v>4661.8921</v>
      </c>
      <c r="E592" s="182" t="n">
        <v>15.5179</v>
      </c>
      <c r="F592" s="182" t="n">
        <v>240.8037</v>
      </c>
      <c r="G592" s="182" t="n">
        <v>0.085963</v>
      </c>
      <c r="H592" s="182" t="n">
        <v>0.037939</v>
      </c>
      <c r="I592" s="182" t="inlineStr"/>
    </row>
    <row r="593" ht="15" customHeight="1" s="28">
      <c r="A593" s="181" t="n">
        <v>583</v>
      </c>
      <c r="B593" s="181" t="n">
        <v>582</v>
      </c>
      <c r="C593" s="181" t="n">
        <v>4676.93</v>
      </c>
      <c r="D593" s="181" t="n">
        <v>4661.6246</v>
      </c>
      <c r="E593" s="181" t="n">
        <v>15.3054</v>
      </c>
      <c r="F593" s="181" t="n">
        <v>234.2568</v>
      </c>
      <c r="G593" s="181" t="n">
        <v>0.082481</v>
      </c>
      <c r="H593" s="181" t="n">
        <v>0.035904</v>
      </c>
      <c r="I593" s="181" t="inlineStr"/>
    </row>
    <row r="594" ht="15" customHeight="1" s="28">
      <c r="A594" s="182" t="n">
        <v>584</v>
      </c>
      <c r="B594" s="182" t="n">
        <v>583</v>
      </c>
      <c r="C594" s="182" t="n">
        <v>4680.04</v>
      </c>
      <c r="D594" s="182" t="n">
        <v>4661.3569</v>
      </c>
      <c r="E594" s="182" t="n">
        <v>18.6831</v>
      </c>
      <c r="F594" s="182" t="n">
        <v>349.0567</v>
      </c>
      <c r="G594" s="182" t="n">
        <v>0.150024</v>
      </c>
      <c r="H594" s="182" t="n">
        <v>0.079716</v>
      </c>
      <c r="I594" s="182" t="inlineStr"/>
    </row>
    <row r="595" ht="15" customHeight="1" s="28">
      <c r="A595" s="181" t="n">
        <v>585</v>
      </c>
      <c r="B595" s="181" t="n">
        <v>584</v>
      </c>
      <c r="C595" s="181" t="n">
        <v>4679.86</v>
      </c>
      <c r="D595" s="181" t="n">
        <v>4661.0893</v>
      </c>
      <c r="E595" s="181" t="n">
        <v>18.7707</v>
      </c>
      <c r="F595" s="181" t="n">
        <v>352.3377</v>
      </c>
      <c r="G595" s="181" t="n">
        <v>0.152144</v>
      </c>
      <c r="H595" s="181" t="n">
        <v>0.081222</v>
      </c>
      <c r="I595" s="181" t="inlineStr"/>
    </row>
    <row r="596" ht="15" customHeight="1" s="28">
      <c r="A596" s="182" t="n">
        <v>586</v>
      </c>
      <c r="B596" s="182" t="n">
        <v>585</v>
      </c>
      <c r="C596" s="182" t="n">
        <v>4680.65</v>
      </c>
      <c r="D596" s="182" t="n">
        <v>4660.8217</v>
      </c>
      <c r="E596" s="182" t="n">
        <v>19.8283</v>
      </c>
      <c r="F596" s="182" t="n">
        <v>393.1603</v>
      </c>
      <c r="G596" s="182" t="n">
        <v>0.179337</v>
      </c>
      <c r="H596" s="182" t="n">
        <v>0.101133</v>
      </c>
      <c r="I596" s="182" t="inlineStr"/>
    </row>
    <row r="597" ht="15" customHeight="1" s="28">
      <c r="A597" s="181" t="n">
        <v>587</v>
      </c>
      <c r="B597" s="181" t="n">
        <v>586</v>
      </c>
      <c r="C597" s="181" t="n">
        <v>4680.47</v>
      </c>
      <c r="D597" s="181" t="n">
        <v>4660.5541</v>
      </c>
      <c r="E597" s="181" t="n">
        <v>19.9159</v>
      </c>
      <c r="F597" s="181" t="n">
        <v>396.6419</v>
      </c>
      <c r="G597" s="181" t="n">
        <v>0.181724</v>
      </c>
      <c r="H597" s="181" t="n">
        <v>0.102932</v>
      </c>
      <c r="I597" s="181" t="inlineStr"/>
    </row>
    <row r="598" ht="15" customHeight="1" s="28">
      <c r="A598" s="182" t="n">
        <v>588</v>
      </c>
      <c r="B598" s="182" t="n">
        <v>587</v>
      </c>
      <c r="C598" s="182" t="n">
        <v>4697.98</v>
      </c>
      <c r="D598" s="182" t="n">
        <v>4660.2865</v>
      </c>
      <c r="E598" s="182" t="n">
        <v>37.6935</v>
      </c>
      <c r="F598" s="182" t="n">
        <v>1420.7977</v>
      </c>
      <c r="G598" s="182" t="n">
        <v>1.232009</v>
      </c>
      <c r="H598" s="182" t="n">
        <v>1.320744</v>
      </c>
      <c r="I598" s="182" t="inlineStr"/>
    </row>
    <row r="599" ht="15" customHeight="1" s="28">
      <c r="A599" s="181" t="n">
        <v>589</v>
      </c>
      <c r="B599" s="181" t="n">
        <v>588</v>
      </c>
      <c r="C599" s="181" t="n">
        <v>4692.94</v>
      </c>
      <c r="D599" s="181" t="n">
        <v>4660.0189</v>
      </c>
      <c r="E599" s="181" t="n">
        <v>32.9211</v>
      </c>
      <c r="F599" s="181" t="n">
        <v>1083.7975</v>
      </c>
      <c r="G599" s="181" t="n">
        <v>0.820801</v>
      </c>
      <c r="H599" s="181" t="n">
        <v>0.768512</v>
      </c>
      <c r="I599" s="181" t="inlineStr"/>
    </row>
    <row r="600" ht="15" customHeight="1" s="28">
      <c r="A600" s="182" t="n">
        <v>590</v>
      </c>
      <c r="B600" s="182" t="n">
        <v>589</v>
      </c>
      <c r="C600" s="182" t="n">
        <v>4697.97</v>
      </c>
      <c r="D600" s="182" t="n">
        <v>4659.7513</v>
      </c>
      <c r="E600" s="182" t="n">
        <v>38.2187</v>
      </c>
      <c r="F600" s="182" t="n">
        <v>1460.6675</v>
      </c>
      <c r="G600" s="182" t="n">
        <v>1.284229</v>
      </c>
      <c r="H600" s="182" t="n">
        <v>1.395908</v>
      </c>
      <c r="I600" s="182" t="inlineStr"/>
    </row>
    <row r="601" ht="15" customHeight="1" s="28">
      <c r="A601" s="181" t="n">
        <v>591</v>
      </c>
      <c r="B601" s="181" t="n">
        <v>590</v>
      </c>
      <c r="C601" s="181" t="n">
        <v>4697.87</v>
      </c>
      <c r="D601" s="181" t="n">
        <v>4659.4837</v>
      </c>
      <c r="E601" s="181" t="n">
        <v>38.3863</v>
      </c>
      <c r="F601" s="181" t="n">
        <v>1473.5073</v>
      </c>
      <c r="G601" s="181" t="n">
        <v>1.3012</v>
      </c>
      <c r="H601" s="181" t="n">
        <v>1.420557</v>
      </c>
      <c r="I601" s="181" t="inlineStr"/>
    </row>
    <row r="602" ht="15" customHeight="1" s="28">
      <c r="A602" s="182" t="n">
        <v>592</v>
      </c>
      <c r="B602" s="182" t="n">
        <v>591</v>
      </c>
      <c r="C602" s="182" t="n">
        <v>4702.74</v>
      </c>
      <c r="D602" s="182" t="n">
        <v>4659.2161</v>
      </c>
      <c r="E602" s="182" t="n">
        <v>43.5239</v>
      </c>
      <c r="F602" s="182" t="n">
        <v>1894.329</v>
      </c>
      <c r="G602" s="182" t="n">
        <v>1.8967</v>
      </c>
      <c r="H602" s="182" t="n">
        <v>2.347821</v>
      </c>
      <c r="I602" s="182" t="inlineStr"/>
    </row>
    <row r="603" ht="15" customHeight="1" s="28">
      <c r="A603" s="181" t="n">
        <v>593</v>
      </c>
      <c r="B603" s="181" t="n">
        <v>592</v>
      </c>
      <c r="C603" s="181" t="n">
        <v>4699.73</v>
      </c>
      <c r="D603" s="181" t="n">
        <v>4658.9485</v>
      </c>
      <c r="E603" s="181" t="n">
        <v>40.7815</v>
      </c>
      <c r="F603" s="181" t="n">
        <v>1663.1299</v>
      </c>
      <c r="G603" s="181" t="n">
        <v>1.560288</v>
      </c>
      <c r="H603" s="181" t="n">
        <v>1.8097</v>
      </c>
      <c r="I603" s="181" t="inlineStr"/>
    </row>
    <row r="604" ht="15" customHeight="1" s="28">
      <c r="A604" s="182" t="n">
        <v>594</v>
      </c>
      <c r="B604" s="182" t="n">
        <v>593</v>
      </c>
      <c r="C604" s="182" t="n">
        <v>4705.71</v>
      </c>
      <c r="D604" s="182" t="n">
        <v>4658.6809</v>
      </c>
      <c r="E604" s="182" t="n">
        <v>47.0291</v>
      </c>
      <c r="F604" s="182" t="n">
        <v>2211.7362</v>
      </c>
      <c r="G604" s="182" t="n">
        <v>2.392851</v>
      </c>
      <c r="H604" s="182" t="n">
        <v>3.200522</v>
      </c>
      <c r="I604" s="182" t="inlineStr"/>
    </row>
    <row r="605" ht="15" customHeight="1" s="28">
      <c r="A605" s="181" t="n">
        <v>595</v>
      </c>
      <c r="B605" s="181" t="n">
        <v>594</v>
      </c>
      <c r="C605" s="181" t="n">
        <v>4713.51</v>
      </c>
      <c r="D605" s="181" t="n">
        <v>4658.4133</v>
      </c>
      <c r="E605" s="181" t="n">
        <v>55.0967</v>
      </c>
      <c r="F605" s="181" t="n">
        <v>3035.6464</v>
      </c>
      <c r="G605" s="181" t="n">
        <v>3.847622</v>
      </c>
      <c r="H605" s="181" t="n">
        <v>6.029155</v>
      </c>
      <c r="I605" s="181" t="inlineStr"/>
    </row>
    <row r="606" ht="15" customHeight="1" s="28">
      <c r="A606" s="182" t="n">
        <v>596</v>
      </c>
      <c r="B606" s="182" t="n">
        <v>595</v>
      </c>
      <c r="C606" s="182" t="n">
        <v>4718.18</v>
      </c>
      <c r="D606" s="182" t="n">
        <v>4658.1457</v>
      </c>
      <c r="E606" s="182" t="n">
        <v>60.0343</v>
      </c>
      <c r="F606" s="182" t="n">
        <v>3604.1184</v>
      </c>
      <c r="G606" s="182" t="n">
        <v>4.977533</v>
      </c>
      <c r="H606" s="182" t="n">
        <v>8.498694</v>
      </c>
      <c r="I606" s="182" t="inlineStr"/>
    </row>
    <row r="607" ht="15" customHeight="1" s="28">
      <c r="A607" s="181" t="n">
        <v>597</v>
      </c>
      <c r="B607" s="181" t="n">
        <v>596</v>
      </c>
      <c r="C607" s="181" t="n">
        <v>4717.72</v>
      </c>
      <c r="D607" s="181" t="n">
        <v>4657.8781</v>
      </c>
      <c r="E607" s="181" t="n">
        <v>59.8419</v>
      </c>
      <c r="F607" s="181" t="n">
        <v>3581.0542</v>
      </c>
      <c r="G607" s="181" t="n">
        <v>4.92983</v>
      </c>
      <c r="H607" s="181" t="n">
        <v>8.390269</v>
      </c>
      <c r="I607" s="181" t="inlineStr"/>
    </row>
    <row r="608" ht="15" customHeight="1" s="28">
      <c r="A608" s="182" t="n">
        <v>598</v>
      </c>
      <c r="B608" s="182" t="n">
        <v>597</v>
      </c>
      <c r="C608" s="182" t="n">
        <v>4715.68</v>
      </c>
      <c r="D608" s="182" t="n">
        <v>4657.6105</v>
      </c>
      <c r="E608" s="182" t="n">
        <v>58.0695</v>
      </c>
      <c r="F608" s="182" t="n">
        <v>3372.068</v>
      </c>
      <c r="G608" s="182" t="n">
        <v>4.50464</v>
      </c>
      <c r="H608" s="182" t="n">
        <v>7.439552</v>
      </c>
      <c r="I608" s="182" t="inlineStr"/>
    </row>
    <row r="609" ht="15" customHeight="1" s="28">
      <c r="A609" s="181" t="n">
        <v>599</v>
      </c>
      <c r="B609" s="181" t="n">
        <v>598</v>
      </c>
      <c r="C609" s="181" t="n">
        <v>4728.4</v>
      </c>
      <c r="D609" s="181" t="n">
        <v>4657.3429</v>
      </c>
      <c r="E609" s="181" t="n">
        <v>71.05710000000001</v>
      </c>
      <c r="F609" s="181" t="n">
        <v>5049.1143</v>
      </c>
      <c r="G609" s="181" t="n">
        <v>8.253504</v>
      </c>
      <c r="H609" s="181" t="n">
        <v>16.679557</v>
      </c>
      <c r="I609" s="181" t="inlineStr"/>
    </row>
    <row r="610" ht="15" customHeight="1" s="28">
      <c r="A610" s="182" t="n">
        <v>600</v>
      </c>
      <c r="B610" s="182" t="n">
        <v>599</v>
      </c>
      <c r="C610" s="182" t="n">
        <v>4724.1</v>
      </c>
      <c r="D610" s="182" t="n">
        <v>4657.0753</v>
      </c>
      <c r="E610" s="182" t="n">
        <v>67.0247</v>
      </c>
      <c r="F610" s="182" t="n">
        <v>4492.3131</v>
      </c>
      <c r="G610" s="182" t="n">
        <v>6.926608</v>
      </c>
      <c r="H610" s="182" t="n">
        <v>13.203654</v>
      </c>
      <c r="I610" s="182" t="inlineStr"/>
    </row>
    <row r="611" ht="15" customHeight="1" s="28">
      <c r="A611" s="181" t="n">
        <v>601</v>
      </c>
      <c r="B611" s="181" t="n">
        <v>600</v>
      </c>
      <c r="C611" s="181" t="n">
        <v>4727.47</v>
      </c>
      <c r="D611" s="181" t="n">
        <v>4656.8077</v>
      </c>
      <c r="E611" s="181" t="n">
        <v>70.6623</v>
      </c>
      <c r="F611" s="181" t="n">
        <v>4993.1649</v>
      </c>
      <c r="G611" s="181" t="n">
        <v>8.116699000000001</v>
      </c>
      <c r="H611" s="181" t="n">
        <v>16.311952</v>
      </c>
      <c r="I611" s="181" t="inlineStr"/>
    </row>
    <row r="612" ht="15" customHeight="1" s="28">
      <c r="A612" s="182" t="n">
        <v>602</v>
      </c>
      <c r="B612" s="182" t="n">
        <v>601</v>
      </c>
      <c r="C612" s="182" t="n">
        <v>4726.85</v>
      </c>
      <c r="D612" s="182" t="n">
        <v>4656.5401</v>
      </c>
      <c r="E612" s="182" t="n">
        <v>70.3099</v>
      </c>
      <c r="F612" s="182" t="n">
        <v>4943.4863</v>
      </c>
      <c r="G612" s="182" t="n">
        <v>7.995867</v>
      </c>
      <c r="H612" s="182" t="n">
        <v>15.988981</v>
      </c>
      <c r="I612" s="182" t="inlineStr"/>
    </row>
    <row r="613" ht="15" customHeight="1" s="28">
      <c r="A613" s="181" t="n">
        <v>603</v>
      </c>
      <c r="B613" s="181" t="n">
        <v>602</v>
      </c>
      <c r="C613" s="181" t="n">
        <v>4726.18</v>
      </c>
      <c r="D613" s="181" t="n">
        <v>4656.2725</v>
      </c>
      <c r="E613" s="181" t="n">
        <v>69.9075</v>
      </c>
      <c r="F613" s="181" t="n">
        <v>4887.0628</v>
      </c>
      <c r="G613" s="181" t="n">
        <v>7.859365</v>
      </c>
      <c r="H613" s="181" t="n">
        <v>15.626076</v>
      </c>
      <c r="I613" s="181" t="inlineStr"/>
    </row>
    <row r="614" ht="15" customHeight="1" s="28">
      <c r="A614" s="182" t="n">
        <v>604</v>
      </c>
      <c r="B614" s="182" t="n">
        <v>603</v>
      </c>
      <c r="C614" s="182" t="n">
        <v>4724.74</v>
      </c>
      <c r="D614" s="182" t="n">
        <v>4656.0049</v>
      </c>
      <c r="E614" s="182" t="n">
        <v>68.7351</v>
      </c>
      <c r="F614" s="182" t="n">
        <v>4724.5195</v>
      </c>
      <c r="G614" s="182" t="n">
        <v>7.470541</v>
      </c>
      <c r="H614" s="182" t="n">
        <v>14.603918</v>
      </c>
      <c r="I614" s="182" t="inlineStr"/>
    </row>
    <row r="615" ht="15" customHeight="1" s="28">
      <c r="A615" s="181" t="n">
        <v>605</v>
      </c>
      <c r="B615" s="181" t="n">
        <v>604</v>
      </c>
      <c r="C615" s="181" t="n">
        <v>4718.21</v>
      </c>
      <c r="D615" s="181" t="n">
        <v>4655.7373</v>
      </c>
      <c r="E615" s="181" t="n">
        <v>62.4727</v>
      </c>
      <c r="F615" s="181" t="n">
        <v>3902.8432</v>
      </c>
      <c r="G615" s="181" t="n">
        <v>5.609023</v>
      </c>
      <c r="H615" s="181" t="n">
        <v>9.965896000000001</v>
      </c>
      <c r="I615" s="181" t="inlineStr"/>
    </row>
    <row r="616" ht="15" customHeight="1" s="28">
      <c r="A616" s="182" t="n">
        <v>606</v>
      </c>
      <c r="B616" s="182" t="n">
        <v>605</v>
      </c>
      <c r="C616" s="182" t="n">
        <v>4718.25</v>
      </c>
      <c r="D616" s="182" t="n">
        <v>4655.4697</v>
      </c>
      <c r="E616" s="182" t="n">
        <v>62.7804</v>
      </c>
      <c r="F616" s="182" t="n">
        <v>3941.3723</v>
      </c>
      <c r="G616" s="182" t="n">
        <v>5.692287</v>
      </c>
      <c r="H616" s="182" t="n">
        <v>10.163635</v>
      </c>
      <c r="I616" s="182" t="inlineStr"/>
    </row>
    <row r="617" ht="15" customHeight="1" s="28">
      <c r="A617" s="181" t="n">
        <v>607</v>
      </c>
      <c r="B617" s="181" t="n">
        <v>606</v>
      </c>
      <c r="C617" s="181" t="n">
        <v>4711.84</v>
      </c>
      <c r="D617" s="181" t="n">
        <v>4655.202</v>
      </c>
      <c r="E617" s="181" t="n">
        <v>56.638</v>
      </c>
      <c r="F617" s="181" t="n">
        <v>3207.8574</v>
      </c>
      <c r="G617" s="181" t="n">
        <v>4.179633</v>
      </c>
      <c r="H617" s="181" t="n">
        <v>6.732622</v>
      </c>
      <c r="I617" s="181" t="inlineStr"/>
    </row>
    <row r="618" ht="15" customHeight="1" s="28">
      <c r="A618" s="182" t="n">
        <v>608</v>
      </c>
      <c r="B618" s="182" t="n">
        <v>607</v>
      </c>
      <c r="C618" s="182" t="n">
        <v>4710.13</v>
      </c>
      <c r="D618" s="182" t="n">
        <v>4654.9344</v>
      </c>
      <c r="E618" s="182" t="n">
        <v>55.1956</v>
      </c>
      <c r="F618" s="182" t="n">
        <v>3046.5498</v>
      </c>
      <c r="G618" s="182" t="n">
        <v>3.86837</v>
      </c>
      <c r="H618" s="182" t="n">
        <v>6.072544</v>
      </c>
      <c r="I618" s="182" t="inlineStr"/>
    </row>
    <row r="619" ht="15" customHeight="1" s="28">
      <c r="A619" s="181" t="n">
        <v>609</v>
      </c>
      <c r="B619" s="181" t="n">
        <v>608</v>
      </c>
      <c r="C619" s="181" t="n">
        <v>4714.43</v>
      </c>
      <c r="D619" s="181" t="n">
        <v>4654.6668</v>
      </c>
      <c r="E619" s="181" t="n">
        <v>59.7632</v>
      </c>
      <c r="F619" s="181" t="n">
        <v>3571.6353</v>
      </c>
      <c r="G619" s="181" t="n">
        <v>4.910393</v>
      </c>
      <c r="H619" s="181" t="n">
        <v>8.346190999999999</v>
      </c>
      <c r="I619" s="181" t="inlineStr"/>
    </row>
    <row r="620" ht="15" customHeight="1" s="28">
      <c r="A620" s="182" t="n">
        <v>610</v>
      </c>
      <c r="B620" s="182" t="n">
        <v>609</v>
      </c>
      <c r="C620" s="182" t="n">
        <v>4714.53</v>
      </c>
      <c r="D620" s="182" t="n">
        <v>4654.3992</v>
      </c>
      <c r="E620" s="182" t="n">
        <v>60.1308</v>
      </c>
      <c r="F620" s="182" t="n">
        <v>3615.7083</v>
      </c>
      <c r="G620" s="182" t="n">
        <v>5.001562</v>
      </c>
      <c r="H620" s="182" t="n">
        <v>8.553440999999999</v>
      </c>
      <c r="I620" s="182" t="inlineStr"/>
    </row>
    <row r="621" ht="15" customHeight="1" s="28">
      <c r="A621" s="181" t="n">
        <v>611</v>
      </c>
      <c r="B621" s="181" t="n">
        <v>610</v>
      </c>
      <c r="C621" s="181" t="n">
        <v>4710.77</v>
      </c>
      <c r="D621" s="181" t="n">
        <v>4654.1316</v>
      </c>
      <c r="E621" s="181" t="n">
        <v>56.6384</v>
      </c>
      <c r="F621" s="181" t="n">
        <v>3207.905</v>
      </c>
      <c r="G621" s="181" t="n">
        <v>4.179726</v>
      </c>
      <c r="H621" s="181" t="n">
        <v>6.732821</v>
      </c>
      <c r="I621" s="181" t="inlineStr"/>
    </row>
    <row r="622" ht="15" customHeight="1" s="28">
      <c r="A622" s="182" t="n">
        <v>612</v>
      </c>
      <c r="B622" s="182" t="n">
        <v>611</v>
      </c>
      <c r="C622" s="182" t="n">
        <v>4712.84</v>
      </c>
      <c r="D622" s="182" t="n">
        <v>4653.864</v>
      </c>
      <c r="E622" s="182" t="n">
        <v>58.976</v>
      </c>
      <c r="F622" s="182" t="n">
        <v>3478.165</v>
      </c>
      <c r="G622" s="182" t="n">
        <v>4.718901</v>
      </c>
      <c r="H622" s="182" t="n">
        <v>7.915065</v>
      </c>
      <c r="I622" s="182" t="inlineStr"/>
    </row>
    <row r="623" ht="15" customHeight="1" s="28">
      <c r="A623" s="181" t="n">
        <v>613</v>
      </c>
      <c r="B623" s="181" t="n">
        <v>612</v>
      </c>
      <c r="C623" s="181" t="n">
        <v>4717.2</v>
      </c>
      <c r="D623" s="181" t="n">
        <v>4653.5964</v>
      </c>
      <c r="E623" s="181" t="n">
        <v>63.6036</v>
      </c>
      <c r="F623" s="181" t="n">
        <v>4045.4154</v>
      </c>
      <c r="G623" s="181" t="n">
        <v>5.919163</v>
      </c>
      <c r="H623" s="181" t="n">
        <v>10.70731</v>
      </c>
      <c r="I623" s="181" t="inlineStr"/>
    </row>
    <row r="624" ht="15" customHeight="1" s="28">
      <c r="A624" s="182" t="n">
        <v>614</v>
      </c>
      <c r="B624" s="182" t="n">
        <v>613</v>
      </c>
      <c r="C624" s="182" t="n">
        <v>4716.12</v>
      </c>
      <c r="D624" s="182" t="n">
        <v>4653.3288</v>
      </c>
      <c r="E624" s="182" t="n">
        <v>62.7912</v>
      </c>
      <c r="F624" s="182" t="n">
        <v>3942.7323</v>
      </c>
      <c r="G624" s="182" t="n">
        <v>5.695233</v>
      </c>
      <c r="H624" s="182" t="n">
        <v>10.17065</v>
      </c>
      <c r="I624" s="182" t="inlineStr"/>
    </row>
    <row r="625" ht="15" customHeight="1" s="28">
      <c r="A625" s="181" t="n">
        <v>615</v>
      </c>
      <c r="B625" s="181" t="n">
        <v>614</v>
      </c>
      <c r="C625" s="181" t="n">
        <v>4714.85</v>
      </c>
      <c r="D625" s="181" t="n">
        <v>4653.0612</v>
      </c>
      <c r="E625" s="181" t="n">
        <v>61.7888</v>
      </c>
      <c r="F625" s="181" t="n">
        <v>3817.8533</v>
      </c>
      <c r="G625" s="181" t="n">
        <v>5.426808</v>
      </c>
      <c r="H625" s="181" t="n">
        <v>9.536579</v>
      </c>
      <c r="I625" s="181" t="inlineStr"/>
    </row>
    <row r="626" ht="15" customHeight="1" s="28">
      <c r="A626" s="182" t="n">
        <v>616</v>
      </c>
      <c r="B626" s="182" t="n">
        <v>615</v>
      </c>
      <c r="C626" s="182" t="n">
        <v>4713.36</v>
      </c>
      <c r="D626" s="182" t="n">
        <v>4652.7936</v>
      </c>
      <c r="E626" s="182" t="n">
        <v>60.5664</v>
      </c>
      <c r="F626" s="182" t="n">
        <v>3668.2876</v>
      </c>
      <c r="G626" s="182" t="n">
        <v>5.111056</v>
      </c>
      <c r="H626" s="182" t="n">
        <v>8.804017</v>
      </c>
      <c r="I626" s="182" t="inlineStr"/>
    </row>
    <row r="627" ht="15" customHeight="1" s="28">
      <c r="A627" s="181" t="n">
        <v>617</v>
      </c>
      <c r="B627" s="181" t="n">
        <v>616</v>
      </c>
      <c r="C627" s="181" t="n">
        <v>4710.86</v>
      </c>
      <c r="D627" s="181" t="n">
        <v>4652.526</v>
      </c>
      <c r="E627" s="181" t="n">
        <v>58.334</v>
      </c>
      <c r="F627" s="181" t="n">
        <v>3402.8544</v>
      </c>
      <c r="G627" s="181" t="n">
        <v>4.56647</v>
      </c>
      <c r="H627" s="181" t="n">
        <v>7.576015</v>
      </c>
      <c r="I627" s="181" t="inlineStr"/>
    </row>
    <row r="628" ht="15" customHeight="1" s="28">
      <c r="A628" s="182" t="n">
        <v>618</v>
      </c>
      <c r="B628" s="182" t="n">
        <v>617</v>
      </c>
      <c r="C628" s="182" t="n">
        <v>4710.86</v>
      </c>
      <c r="D628" s="182" t="n">
        <v>4652.2584</v>
      </c>
      <c r="E628" s="182" t="n">
        <v>58.6016</v>
      </c>
      <c r="F628" s="182" t="n">
        <v>3434.1475</v>
      </c>
      <c r="G628" s="182" t="n">
        <v>4.629606</v>
      </c>
      <c r="H628" s="182" t="n">
        <v>7.715996</v>
      </c>
      <c r="I628" s="182" t="inlineStr"/>
    </row>
    <row r="629" ht="15" customHeight="1" s="28">
      <c r="A629" s="181" t="n">
        <v>619</v>
      </c>
      <c r="B629" s="181" t="n">
        <v>618</v>
      </c>
      <c r="C629" s="181" t="n">
        <v>4711.89</v>
      </c>
      <c r="D629" s="181" t="n">
        <v>4651.9908</v>
      </c>
      <c r="E629" s="181" t="n">
        <v>59.8992</v>
      </c>
      <c r="F629" s="181" t="n">
        <v>3587.9142</v>
      </c>
      <c r="G629" s="181" t="n">
        <v>4.944002</v>
      </c>
      <c r="H629" s="181" t="n">
        <v>8.422445</v>
      </c>
      <c r="I629" s="181" t="inlineStr"/>
    </row>
    <row r="630" ht="15" customHeight="1" s="28">
      <c r="A630" s="182" t="n">
        <v>620</v>
      </c>
      <c r="B630" s="182" t="n">
        <v>619</v>
      </c>
      <c r="C630" s="182" t="n">
        <v>4706.71</v>
      </c>
      <c r="D630" s="182" t="n">
        <v>4651.7232</v>
      </c>
      <c r="E630" s="182" t="n">
        <v>54.9868</v>
      </c>
      <c r="F630" s="182" t="n">
        <v>3023.5482</v>
      </c>
      <c r="G630" s="182" t="n">
        <v>3.824643</v>
      </c>
      <c r="H630" s="182" t="n">
        <v>5.981194</v>
      </c>
      <c r="I630" s="182" t="inlineStr"/>
    </row>
    <row r="631" ht="15" customHeight="1" s="28">
      <c r="A631" s="181" t="n">
        <v>621</v>
      </c>
      <c r="B631" s="181" t="n">
        <v>620</v>
      </c>
      <c r="C631" s="181" t="n">
        <v>4705.12</v>
      </c>
      <c r="D631" s="181" t="n">
        <v>4651.4556</v>
      </c>
      <c r="E631" s="181" t="n">
        <v>53.6644</v>
      </c>
      <c r="F631" s="181" t="n">
        <v>2879.8689</v>
      </c>
      <c r="G631" s="181" t="n">
        <v>3.555287</v>
      </c>
      <c r="H631" s="181" t="n">
        <v>5.426247</v>
      </c>
      <c r="I631" s="181" t="inlineStr"/>
    </row>
    <row r="632" ht="15" customHeight="1" s="28">
      <c r="A632" s="182" t="n">
        <v>622</v>
      </c>
      <c r="B632" s="182" t="n">
        <v>621</v>
      </c>
      <c r="C632" s="182" t="n">
        <v>4702.32</v>
      </c>
      <c r="D632" s="182" t="n">
        <v>4651.188</v>
      </c>
      <c r="E632" s="182" t="n">
        <v>51.132</v>
      </c>
      <c r="F632" s="182" t="n">
        <v>2614.4824</v>
      </c>
      <c r="G632" s="182" t="n">
        <v>3.075347</v>
      </c>
      <c r="H632" s="182" t="n">
        <v>4.472245</v>
      </c>
      <c r="I632" s="182" t="inlineStr"/>
    </row>
    <row r="633" ht="15" customHeight="1" s="28">
      <c r="A633" s="181" t="n">
        <v>623</v>
      </c>
      <c r="B633" s="181" t="n">
        <v>622</v>
      </c>
      <c r="C633" s="181" t="n">
        <v>4704.64</v>
      </c>
      <c r="D633" s="181" t="n">
        <v>4650.9204</v>
      </c>
      <c r="E633" s="181" t="n">
        <v>53.7196</v>
      </c>
      <c r="F633" s="181" t="n">
        <v>2885.7976</v>
      </c>
      <c r="G633" s="181" t="n">
        <v>3.566271</v>
      </c>
      <c r="H633" s="181" t="n">
        <v>5.448611</v>
      </c>
      <c r="I633" s="181" t="inlineStr"/>
    </row>
    <row r="634" ht="15" customHeight="1" s="28">
      <c r="A634" s="182" t="n">
        <v>624</v>
      </c>
      <c r="B634" s="182" t="n">
        <v>623</v>
      </c>
      <c r="C634" s="182" t="n">
        <v>4703.64</v>
      </c>
      <c r="D634" s="182" t="n">
        <v>4650.6528</v>
      </c>
      <c r="E634" s="182" t="n">
        <v>52.9872</v>
      </c>
      <c r="F634" s="182" t="n">
        <v>2807.6455</v>
      </c>
      <c r="G634" s="182" t="n">
        <v>3.422386</v>
      </c>
      <c r="H634" s="182" t="n">
        <v>5.157493</v>
      </c>
      <c r="I634" s="182" t="inlineStr"/>
    </row>
    <row r="635" ht="15" customHeight="1" s="28">
      <c r="A635" s="181" t="n">
        <v>625</v>
      </c>
      <c r="B635" s="181" t="n">
        <v>624</v>
      </c>
      <c r="C635" s="181" t="n">
        <v>4701.91</v>
      </c>
      <c r="D635" s="181" t="n">
        <v>4650.3852</v>
      </c>
      <c r="E635" s="181" t="n">
        <v>51.5248</v>
      </c>
      <c r="F635" s="181" t="n">
        <v>2654.8071</v>
      </c>
      <c r="G635" s="181" t="n">
        <v>3.14677</v>
      </c>
      <c r="H635" s="181" t="n">
        <v>4.611265</v>
      </c>
      <c r="I635" s="181" t="inlineStr"/>
    </row>
    <row r="636" ht="15" customHeight="1" s="28">
      <c r="A636" s="182" t="n">
        <v>626</v>
      </c>
      <c r="B636" s="182" t="n">
        <v>625</v>
      </c>
      <c r="C636" s="182" t="n">
        <v>4705.08</v>
      </c>
      <c r="D636" s="182" t="n">
        <v>4650.1176</v>
      </c>
      <c r="E636" s="182" t="n">
        <v>54.9624</v>
      </c>
      <c r="F636" s="182" t="n">
        <v>3020.8687</v>
      </c>
      <c r="G636" s="182" t="n">
        <v>3.81956</v>
      </c>
      <c r="H636" s="182" t="n">
        <v>5.970598</v>
      </c>
      <c r="I636" s="182" t="inlineStr"/>
    </row>
    <row r="637" ht="15" customHeight="1" s="28">
      <c r="A637" s="181" t="n">
        <v>627</v>
      </c>
      <c r="B637" s="181" t="n">
        <v>626</v>
      </c>
      <c r="C637" s="181" t="n">
        <v>4709.07</v>
      </c>
      <c r="D637" s="181" t="n">
        <v>4649.85</v>
      </c>
      <c r="E637" s="181" t="n">
        <v>59.22</v>
      </c>
      <c r="F637" s="181" t="n">
        <v>3507.012</v>
      </c>
      <c r="G637" s="181" t="n">
        <v>4.777728</v>
      </c>
      <c r="H637" s="181" t="n">
        <v>8.046900000000001</v>
      </c>
      <c r="I637" s="181" t="inlineStr"/>
    </row>
    <row r="638" ht="15" customHeight="1" s="28">
      <c r="A638" s="182" t="n">
        <v>628</v>
      </c>
      <c r="B638" s="182" t="n">
        <v>627</v>
      </c>
      <c r="C638" s="182" t="n">
        <v>4708.79</v>
      </c>
      <c r="D638" s="182" t="n">
        <v>4649.5824</v>
      </c>
      <c r="E638" s="182" t="n">
        <v>59.2076</v>
      </c>
      <c r="F638" s="182" t="n">
        <v>3505.5446</v>
      </c>
      <c r="G638" s="182" t="n">
        <v>4.77473</v>
      </c>
      <c r="H638" s="182" t="n">
        <v>8.040168</v>
      </c>
      <c r="I638" s="182" t="inlineStr"/>
    </row>
    <row r="639" ht="15" customHeight="1" s="28">
      <c r="A639" s="181" t="n">
        <v>629</v>
      </c>
      <c r="B639" s="181" t="n">
        <v>628</v>
      </c>
      <c r="C639" s="181" t="n">
        <v>4704.04</v>
      </c>
      <c r="D639" s="181" t="n">
        <v>4649.3148</v>
      </c>
      <c r="E639" s="181" t="n">
        <v>54.7252</v>
      </c>
      <c r="F639" s="181" t="n">
        <v>2994.8519</v>
      </c>
      <c r="G639" s="181" t="n">
        <v>3.770323</v>
      </c>
      <c r="H639" s="181" t="n">
        <v>5.868199</v>
      </c>
      <c r="I639" s="181" t="inlineStr"/>
    </row>
    <row r="640" ht="15" customHeight="1" s="28">
      <c r="A640" s="182" t="n">
        <v>630</v>
      </c>
      <c r="B640" s="182" t="n">
        <v>629</v>
      </c>
      <c r="C640" s="182" t="n">
        <v>4705.21</v>
      </c>
      <c r="D640" s="182" t="n">
        <v>4649.0472</v>
      </c>
      <c r="E640" s="182" t="n">
        <v>56.1628</v>
      </c>
      <c r="F640" s="182" t="n">
        <v>3154.2657</v>
      </c>
      <c r="G640" s="182" t="n">
        <v>4.075332</v>
      </c>
      <c r="H640" s="182" t="n">
        <v>6.509545</v>
      </c>
      <c r="I640" s="182" t="inlineStr"/>
    </row>
    <row r="641" ht="15" customHeight="1" s="28">
      <c r="A641" s="181" t="n">
        <v>631</v>
      </c>
      <c r="B641" s="181" t="n">
        <v>630</v>
      </c>
      <c r="C641" s="181" t="n">
        <v>4702.72</v>
      </c>
      <c r="D641" s="181" t="n">
        <v>4648.7796</v>
      </c>
      <c r="E641" s="181" t="n">
        <v>53.9405</v>
      </c>
      <c r="F641" s="181" t="n">
        <v>2909.5721</v>
      </c>
      <c r="G641" s="181" t="n">
        <v>3.610433</v>
      </c>
      <c r="H641" s="181" t="n">
        <v>5.538758</v>
      </c>
      <c r="I641" s="181" t="inlineStr"/>
    </row>
    <row r="642" ht="15" customHeight="1" s="28">
      <c r="A642" s="182" t="n">
        <v>632</v>
      </c>
      <c r="B642" s="182" t="n">
        <v>631</v>
      </c>
      <c r="C642" s="182" t="n">
        <v>4704.89</v>
      </c>
      <c r="D642" s="182" t="n">
        <v>4648.512</v>
      </c>
      <c r="E642" s="182" t="n">
        <v>56.3781</v>
      </c>
      <c r="F642" s="182" t="n">
        <v>3178.4845</v>
      </c>
      <c r="G642" s="182" t="n">
        <v>4.122358</v>
      </c>
      <c r="H642" s="182" t="n">
        <v>6.609891</v>
      </c>
      <c r="I642" s="182" t="inlineStr"/>
    </row>
    <row r="643" ht="15" customHeight="1" s="28">
      <c r="A643" s="181" t="n">
        <v>633</v>
      </c>
      <c r="B643" s="181" t="n">
        <v>632</v>
      </c>
      <c r="C643" s="181" t="n">
        <v>4708.83</v>
      </c>
      <c r="D643" s="181" t="n">
        <v>4648.2443</v>
      </c>
      <c r="E643" s="181" t="n">
        <v>60.5857</v>
      </c>
      <c r="F643" s="181" t="n">
        <v>3670.6222</v>
      </c>
      <c r="G643" s="181" t="n">
        <v>5.115936</v>
      </c>
      <c r="H643" s="181" t="n">
        <v>8.815227</v>
      </c>
      <c r="I643" s="181" t="inlineStr"/>
    </row>
    <row r="644" ht="15" customHeight="1" s="28">
      <c r="A644" s="182" t="n">
        <v>634</v>
      </c>
      <c r="B644" s="182" t="n">
        <v>633</v>
      </c>
      <c r="C644" s="182" t="n">
        <v>4707.09</v>
      </c>
      <c r="D644" s="182" t="n">
        <v>4647.9767</v>
      </c>
      <c r="E644" s="182" t="n">
        <v>59.1133</v>
      </c>
      <c r="F644" s="182" t="n">
        <v>3494.3775</v>
      </c>
      <c r="G644" s="182" t="n">
        <v>4.751933</v>
      </c>
      <c r="H644" s="182" t="n">
        <v>7.989025</v>
      </c>
      <c r="I644" s="182" t="inlineStr"/>
    </row>
    <row r="645" ht="15" customHeight="1" s="28">
      <c r="A645" s="181" t="n">
        <v>635</v>
      </c>
      <c r="B645" s="181" t="n">
        <v>634</v>
      </c>
      <c r="C645" s="181" t="n">
        <v>4698.81</v>
      </c>
      <c r="D645" s="181" t="n">
        <v>4647.7091</v>
      </c>
      <c r="E645" s="181" t="n">
        <v>51.1009</v>
      </c>
      <c r="F645" s="181" t="n">
        <v>2611.2989</v>
      </c>
      <c r="G645" s="181" t="n">
        <v>3.069732</v>
      </c>
      <c r="H645" s="181" t="n">
        <v>4.46136</v>
      </c>
      <c r="I645" s="181" t="inlineStr"/>
    </row>
    <row r="646" ht="15" customHeight="1" s="28">
      <c r="A646" s="182" t="n">
        <v>636</v>
      </c>
      <c r="B646" s="182" t="n">
        <v>635</v>
      </c>
      <c r="C646" s="182" t="n">
        <v>4699.24</v>
      </c>
      <c r="D646" s="182" t="n">
        <v>4647.4415</v>
      </c>
      <c r="E646" s="182" t="n">
        <v>51.7985</v>
      </c>
      <c r="F646" s="182" t="n">
        <v>2683.0815</v>
      </c>
      <c r="G646" s="182" t="n">
        <v>3.197175</v>
      </c>
      <c r="H646" s="182" t="n">
        <v>4.71001</v>
      </c>
      <c r="I646" s="182" t="inlineStr"/>
    </row>
    <row r="647" ht="15" customHeight="1" s="28">
      <c r="A647" s="181" t="n">
        <v>637</v>
      </c>
      <c r="B647" s="181" t="n">
        <v>636</v>
      </c>
      <c r="C647" s="181" t="n">
        <v>4695.99</v>
      </c>
      <c r="D647" s="181" t="n">
        <v>4647.1739</v>
      </c>
      <c r="E647" s="181" t="n">
        <v>48.8161</v>
      </c>
      <c r="F647" s="181" t="n">
        <v>2383.0087</v>
      </c>
      <c r="G647" s="181" t="n">
        <v>2.67611</v>
      </c>
      <c r="H647" s="181" t="n">
        <v>3.715398</v>
      </c>
      <c r="I647" s="181" t="inlineStr"/>
    </row>
    <row r="648" ht="15" customHeight="1" s="28">
      <c r="A648" s="182" t="n">
        <v>638</v>
      </c>
      <c r="B648" s="182" t="n">
        <v>637</v>
      </c>
      <c r="C648" s="182" t="n">
        <v>4699.95</v>
      </c>
      <c r="D648" s="182" t="n">
        <v>4646.9063</v>
      </c>
      <c r="E648" s="182" t="n">
        <v>53.0437</v>
      </c>
      <c r="F648" s="182" t="n">
        <v>2813.632</v>
      </c>
      <c r="G648" s="182" t="n">
        <v>3.433338</v>
      </c>
      <c r="H648" s="182" t="n">
        <v>5.17951</v>
      </c>
      <c r="I648" s="182" t="inlineStr"/>
    </row>
    <row r="649" ht="15" customHeight="1" s="28">
      <c r="A649" s="181" t="n">
        <v>639</v>
      </c>
      <c r="B649" s="181" t="n">
        <v>638</v>
      </c>
      <c r="C649" s="181" t="n">
        <v>4693.29</v>
      </c>
      <c r="D649" s="181" t="n">
        <v>4646.6387</v>
      </c>
      <c r="E649" s="181" t="n">
        <v>46.6513</v>
      </c>
      <c r="F649" s="181" t="n">
        <v>2176.3419</v>
      </c>
      <c r="G649" s="181" t="n">
        <v>2.335642</v>
      </c>
      <c r="H649" s="181" t="n">
        <v>3.098906</v>
      </c>
      <c r="I649" s="181" t="inlineStr"/>
    </row>
    <row r="650" ht="15" customHeight="1" s="28">
      <c r="A650" s="182" t="n">
        <v>640</v>
      </c>
      <c r="B650" s="182" t="n">
        <v>639</v>
      </c>
      <c r="C650" s="182" t="n">
        <v>4696.1</v>
      </c>
      <c r="D650" s="182" t="n">
        <v>4646.3711</v>
      </c>
      <c r="E650" s="182" t="n">
        <v>49.7289</v>
      </c>
      <c r="F650" s="182" t="n">
        <v>2472.9625</v>
      </c>
      <c r="G650" s="182" t="n">
        <v>2.829058</v>
      </c>
      <c r="H650" s="182" t="n">
        <v>4.00119</v>
      </c>
      <c r="I650" s="182" t="inlineStr"/>
    </row>
    <row r="651" ht="15" customHeight="1" s="28">
      <c r="A651" s="181" t="n">
        <v>641</v>
      </c>
      <c r="B651" s="181" t="n">
        <v>640</v>
      </c>
      <c r="C651" s="181" t="n">
        <v>4692.58</v>
      </c>
      <c r="D651" s="181" t="n">
        <v>4646.1035</v>
      </c>
      <c r="E651" s="181" t="n">
        <v>46.4765</v>
      </c>
      <c r="F651" s="181" t="n">
        <v>2160.0641</v>
      </c>
      <c r="G651" s="181" t="n">
        <v>2.309487</v>
      </c>
      <c r="H651" s="181" t="n">
        <v>3.052723</v>
      </c>
      <c r="I651" s="181" t="inlineStr"/>
    </row>
    <row r="652" ht="15" customHeight="1" s="28">
      <c r="A652" s="182" t="n">
        <v>642</v>
      </c>
      <c r="B652" s="182" t="n">
        <v>641</v>
      </c>
      <c r="C652" s="182" t="n">
        <v>4689.03</v>
      </c>
      <c r="D652" s="182" t="n">
        <v>4645.8359</v>
      </c>
      <c r="E652" s="182" t="n">
        <v>43.1941</v>
      </c>
      <c r="F652" s="182" t="n">
        <v>1865.7294</v>
      </c>
      <c r="G652" s="182" t="n">
        <v>1.85391</v>
      </c>
      <c r="H652" s="182" t="n">
        <v>2.277464</v>
      </c>
      <c r="I652" s="182" t="inlineStr"/>
    </row>
    <row r="653" ht="15" customHeight="1" s="28">
      <c r="A653" s="181" t="n">
        <v>643</v>
      </c>
      <c r="B653" s="181" t="n">
        <v>642</v>
      </c>
      <c r="C653" s="181" t="n">
        <v>4693.62</v>
      </c>
      <c r="D653" s="181" t="n">
        <v>4645.5683</v>
      </c>
      <c r="E653" s="181" t="n">
        <v>48.0517</v>
      </c>
      <c r="F653" s="181" t="n">
        <v>2308.9659</v>
      </c>
      <c r="G653" s="181" t="n">
        <v>2.55236</v>
      </c>
      <c r="H653" s="181" t="n">
        <v>3.488102</v>
      </c>
      <c r="I653" s="181" t="inlineStr"/>
    </row>
    <row r="654" ht="15" customHeight="1" s="28">
      <c r="A654" s="182" t="n">
        <v>644</v>
      </c>
      <c r="B654" s="182" t="n">
        <v>643</v>
      </c>
      <c r="C654" s="182" t="n">
        <v>4678.21</v>
      </c>
      <c r="D654" s="182" t="n">
        <v>4645.3007</v>
      </c>
      <c r="E654" s="182" t="n">
        <v>32.9093</v>
      </c>
      <c r="F654" s="182" t="n">
        <v>1083.022</v>
      </c>
      <c r="G654" s="182" t="n">
        <v>0.81992</v>
      </c>
      <c r="H654" s="182" t="n">
        <v>0.767412</v>
      </c>
      <c r="I654" s="182" t="inlineStr"/>
    </row>
    <row r="655" ht="15" customHeight="1" s="28">
      <c r="A655" s="181" t="n">
        <v>645</v>
      </c>
      <c r="B655" s="181" t="n">
        <v>644</v>
      </c>
      <c r="C655" s="181" t="n">
        <v>4674.65</v>
      </c>
      <c r="D655" s="181" t="n">
        <v>4645.0331</v>
      </c>
      <c r="E655" s="181" t="n">
        <v>29.6169</v>
      </c>
      <c r="F655" s="181" t="n">
        <v>877.1614</v>
      </c>
      <c r="G655" s="181" t="n">
        <v>0.597633</v>
      </c>
      <c r="H655" s="181" t="n">
        <v>0.5034</v>
      </c>
      <c r="I655" s="181" t="inlineStr"/>
    </row>
    <row r="656" ht="15" customHeight="1" s="28">
      <c r="A656" s="182" t="n">
        <v>646</v>
      </c>
      <c r="B656" s="182" t="n">
        <v>645</v>
      </c>
      <c r="C656" s="182" t="n">
        <v>4681.21</v>
      </c>
      <c r="D656" s="182" t="n">
        <v>4644.7655</v>
      </c>
      <c r="E656" s="182" t="n">
        <v>36.4445</v>
      </c>
      <c r="F656" s="182" t="n">
        <v>1328.2023</v>
      </c>
      <c r="G656" s="182" t="n">
        <v>1.113556</v>
      </c>
      <c r="H656" s="182" t="n">
        <v>1.154204</v>
      </c>
      <c r="I656" s="182" t="inlineStr"/>
    </row>
    <row r="657" ht="15" customHeight="1" s="28">
      <c r="A657" s="181" t="n">
        <v>647</v>
      </c>
      <c r="B657" s="181" t="n">
        <v>646</v>
      </c>
      <c r="C657" s="181" t="n">
        <v>4677.6</v>
      </c>
      <c r="D657" s="181" t="n">
        <v>4644.4979</v>
      </c>
      <c r="E657" s="181" t="n">
        <v>33.1021</v>
      </c>
      <c r="F657" s="181" t="n">
        <v>1095.7497</v>
      </c>
      <c r="G657" s="181" t="n">
        <v>0.834416</v>
      </c>
      <c r="H657" s="181" t="n">
        <v>0.785555</v>
      </c>
      <c r="I657" s="181" t="inlineStr"/>
    </row>
    <row r="658" ht="15" customHeight="1" s="28">
      <c r="A658" s="182" t="n">
        <v>648</v>
      </c>
      <c r="B658" s="182" t="n">
        <v>647</v>
      </c>
      <c r="C658" s="182" t="n">
        <v>4670.04</v>
      </c>
      <c r="D658" s="182" t="n">
        <v>4644.2303</v>
      </c>
      <c r="E658" s="182" t="n">
        <v>25.8097</v>
      </c>
      <c r="F658" s="182" t="n">
        <v>666.1416</v>
      </c>
      <c r="G658" s="182" t="n">
        <v>0.395517</v>
      </c>
      <c r="H658" s="182" t="n">
        <v>0.290327</v>
      </c>
      <c r="I658" s="182" t="inlineStr"/>
    </row>
    <row r="659" ht="15" customHeight="1" s="28">
      <c r="A659" s="181" t="n">
        <v>649</v>
      </c>
      <c r="B659" s="181" t="n">
        <v>648</v>
      </c>
      <c r="C659" s="181" t="n">
        <v>4674.71</v>
      </c>
      <c r="D659" s="181" t="n">
        <v>4643.9627</v>
      </c>
      <c r="E659" s="181" t="n">
        <v>30.7473</v>
      </c>
      <c r="F659" s="181" t="n">
        <v>945.3977</v>
      </c>
      <c r="G659" s="181" t="n">
        <v>0.668709</v>
      </c>
      <c r="H659" s="181" t="n">
        <v>0.584767</v>
      </c>
      <c r="I659" s="181" t="inlineStr"/>
    </row>
    <row r="660" ht="15" customHeight="1" s="28">
      <c r="A660" s="182" t="n">
        <v>650</v>
      </c>
      <c r="B660" s="182" t="n">
        <v>649</v>
      </c>
      <c r="C660" s="182" t="n">
        <v>4676.38</v>
      </c>
      <c r="D660" s="182" t="n">
        <v>4643.6951</v>
      </c>
      <c r="E660" s="182" t="n">
        <v>32.6849</v>
      </c>
      <c r="F660" s="182" t="n">
        <v>1068.3046</v>
      </c>
      <c r="G660" s="182" t="n">
        <v>0.803264</v>
      </c>
      <c r="H660" s="182" t="n">
        <v>0.7466970000000001</v>
      </c>
      <c r="I660" s="182" t="inlineStr"/>
    </row>
    <row r="661" ht="15" customHeight="1" s="28">
      <c r="A661" s="181" t="n">
        <v>651</v>
      </c>
      <c r="B661" s="181" t="n">
        <v>650</v>
      </c>
      <c r="C661" s="181" t="n">
        <v>4674.98</v>
      </c>
      <c r="D661" s="181" t="n">
        <v>4643.4275</v>
      </c>
      <c r="E661" s="181" t="n">
        <v>31.5525</v>
      </c>
      <c r="F661" s="181" t="n">
        <v>995.5621</v>
      </c>
      <c r="G661" s="181" t="n">
        <v>0.722634</v>
      </c>
      <c r="H661" s="181" t="n">
        <v>0.648471</v>
      </c>
      <c r="I661" s="181" t="inlineStr"/>
    </row>
    <row r="662" ht="15" customHeight="1" s="28">
      <c r="A662" s="182" t="n">
        <v>652</v>
      </c>
      <c r="B662" s="182" t="n">
        <v>651</v>
      </c>
      <c r="C662" s="182" t="n">
        <v>4676.82</v>
      </c>
      <c r="D662" s="182" t="n">
        <v>4643.1599</v>
      </c>
      <c r="E662" s="182" t="n">
        <v>33.6601</v>
      </c>
      <c r="F662" s="182" t="n">
        <v>1133.005</v>
      </c>
      <c r="G662" s="182" t="n">
        <v>0.877331</v>
      </c>
      <c r="H662" s="182" t="n">
        <v>0.839881</v>
      </c>
      <c r="I662" s="182" t="inlineStr"/>
    </row>
    <row r="663" ht="15" customHeight="1" s="28">
      <c r="A663" s="181" t="n">
        <v>653</v>
      </c>
      <c r="B663" s="181" t="n">
        <v>652</v>
      </c>
      <c r="C663" s="181" t="n">
        <v>4673.86</v>
      </c>
      <c r="D663" s="181" t="n">
        <v>4642.8923</v>
      </c>
      <c r="E663" s="181" t="n">
        <v>30.9677</v>
      </c>
      <c r="F663" s="181" t="n">
        <v>959.0009</v>
      </c>
      <c r="G663" s="181" t="n">
        <v>0.683194</v>
      </c>
      <c r="H663" s="181" t="n">
        <v>0.6017169999999999</v>
      </c>
      <c r="I663" s="181" t="inlineStr"/>
    </row>
    <row r="664" ht="15" customHeight="1" s="28">
      <c r="A664" s="182" t="n">
        <v>654</v>
      </c>
      <c r="B664" s="182" t="n">
        <v>653</v>
      </c>
      <c r="C664" s="182" t="n">
        <v>4679.82</v>
      </c>
      <c r="D664" s="182" t="n">
        <v>4642.6247</v>
      </c>
      <c r="E664" s="182" t="n">
        <v>37.1953</v>
      </c>
      <c r="F664" s="182" t="n">
        <v>1383.4933</v>
      </c>
      <c r="G664" s="182" t="n">
        <v>1.183808</v>
      </c>
      <c r="H664" s="182" t="n">
        <v>1.2523</v>
      </c>
      <c r="I664" s="182" t="inlineStr"/>
    </row>
    <row r="665" ht="15" customHeight="1" s="28">
      <c r="A665" s="181" t="n">
        <v>655</v>
      </c>
      <c r="B665" s="181" t="n">
        <v>654</v>
      </c>
      <c r="C665" s="181" t="n">
        <v>4683.29</v>
      </c>
      <c r="D665" s="181" t="n">
        <v>4642.357</v>
      </c>
      <c r="E665" s="181" t="n">
        <v>40.933</v>
      </c>
      <c r="F665" s="181" t="n">
        <v>1675.5064</v>
      </c>
      <c r="G665" s="181" t="n">
        <v>1.577737</v>
      </c>
      <c r="H665" s="181" t="n">
        <v>1.836734</v>
      </c>
      <c r="I665" s="181" t="inlineStr"/>
    </row>
    <row r="666" ht="15" customHeight="1" s="28">
      <c r="A666" s="182" t="n">
        <v>656</v>
      </c>
      <c r="B666" s="182" t="n">
        <v>655</v>
      </c>
      <c r="C666" s="182" t="n">
        <v>4682.1</v>
      </c>
      <c r="D666" s="182" t="n">
        <v>4642.0895</v>
      </c>
      <c r="E666" s="182" t="n">
        <v>40.0105</v>
      </c>
      <c r="F666" s="182" t="n">
        <v>1600.8441</v>
      </c>
      <c r="G666" s="182" t="n">
        <v>1.473463</v>
      </c>
      <c r="H666" s="182" t="n">
        <v>1.676688</v>
      </c>
      <c r="I666" s="182" t="inlineStr"/>
    </row>
    <row r="667" ht="15" customHeight="1" s="28">
      <c r="A667" s="181" t="n">
        <v>657</v>
      </c>
      <c r="B667" s="181" t="n">
        <v>656</v>
      </c>
      <c r="C667" s="181" t="n">
        <v>4681.62</v>
      </c>
      <c r="D667" s="181" t="n">
        <v>4641.8218</v>
      </c>
      <c r="E667" s="181" t="n">
        <v>39.7982</v>
      </c>
      <c r="F667" s="181" t="n">
        <v>1583.8935</v>
      </c>
      <c r="G667" s="181" t="n">
        <v>1.450122</v>
      </c>
      <c r="H667" s="181" t="n">
        <v>1.641368</v>
      </c>
      <c r="I667" s="181" t="inlineStr"/>
    </row>
    <row r="668" ht="15" customHeight="1" s="28">
      <c r="A668" s="182" t="n">
        <v>658</v>
      </c>
      <c r="B668" s="182" t="n">
        <v>657</v>
      </c>
      <c r="C668" s="182" t="n">
        <v>4684.05</v>
      </c>
      <c r="D668" s="182" t="n">
        <v>4641.5542</v>
      </c>
      <c r="E668" s="182" t="n">
        <v>42.4958</v>
      </c>
      <c r="F668" s="182" t="n">
        <v>1805.8896</v>
      </c>
      <c r="G668" s="182" t="n">
        <v>1.765438</v>
      </c>
      <c r="H668" s="182" t="n">
        <v>2.133716</v>
      </c>
      <c r="I668" s="182" t="inlineStr"/>
    </row>
    <row r="669" ht="15" customHeight="1" s="28">
      <c r="A669" s="181" t="n">
        <v>659</v>
      </c>
      <c r="B669" s="181" t="n">
        <v>658</v>
      </c>
      <c r="C669" s="181" t="n">
        <v>4682.77</v>
      </c>
      <c r="D669" s="181" t="n">
        <v>4641.2866</v>
      </c>
      <c r="E669" s="181" t="n">
        <v>41.4834</v>
      </c>
      <c r="F669" s="181" t="n">
        <v>1720.8692</v>
      </c>
      <c r="G669" s="181" t="n">
        <v>1.642243</v>
      </c>
      <c r="H669" s="181" t="n">
        <v>1.937536</v>
      </c>
      <c r="I669" s="181" t="inlineStr"/>
    </row>
    <row r="670" ht="15" customHeight="1" s="28">
      <c r="A670" s="182" t="n">
        <v>660</v>
      </c>
      <c r="B670" s="182" t="n">
        <v>659</v>
      </c>
      <c r="C670" s="182" t="n">
        <v>4680.74</v>
      </c>
      <c r="D670" s="182" t="n">
        <v>4641.019</v>
      </c>
      <c r="E670" s="182" t="n">
        <v>39.721</v>
      </c>
      <c r="F670" s="182" t="n">
        <v>1577.7555</v>
      </c>
      <c r="G670" s="182" t="n">
        <v>1.441701</v>
      </c>
      <c r="H670" s="182" t="n">
        <v>1.628671</v>
      </c>
      <c r="I670" s="182" t="inlineStr"/>
    </row>
    <row r="671" ht="15" customHeight="1" s="28">
      <c r="A671" s="181" t="n">
        <v>661</v>
      </c>
      <c r="B671" s="181" t="n">
        <v>660</v>
      </c>
      <c r="C671" s="181" t="n">
        <v>4680.36</v>
      </c>
      <c r="D671" s="181" t="n">
        <v>4640.7514</v>
      </c>
      <c r="E671" s="181" t="n">
        <v>39.6086</v>
      </c>
      <c r="F671" s="181" t="n">
        <v>1568.8388</v>
      </c>
      <c r="G671" s="181" t="n">
        <v>1.429496</v>
      </c>
      <c r="H671" s="181" t="n">
        <v>1.610315</v>
      </c>
      <c r="I671" s="181" t="inlineStr"/>
    </row>
    <row r="672" ht="15" customHeight="1" s="28">
      <c r="A672" s="182" t="n">
        <v>662</v>
      </c>
      <c r="B672" s="182" t="n">
        <v>661</v>
      </c>
      <c r="C672" s="182" t="n">
        <v>4682.18</v>
      </c>
      <c r="D672" s="182" t="n">
        <v>4640.4838</v>
      </c>
      <c r="E672" s="182" t="n">
        <v>41.6962</v>
      </c>
      <c r="F672" s="182" t="n">
        <v>1738.5714</v>
      </c>
      <c r="G672" s="182" t="n">
        <v>1.667648</v>
      </c>
      <c r="H672" s="182" t="n">
        <v>1.977603</v>
      </c>
      <c r="I672" s="182" t="inlineStr"/>
    </row>
    <row r="673" ht="15" customHeight="1" s="28">
      <c r="A673" s="181" t="n">
        <v>663</v>
      </c>
      <c r="B673" s="181" t="n">
        <v>662</v>
      </c>
      <c r="C673" s="181" t="n">
        <v>4679.98</v>
      </c>
      <c r="D673" s="181" t="n">
        <v>4640.2162</v>
      </c>
      <c r="E673" s="181" t="n">
        <v>39.7638</v>
      </c>
      <c r="F673" s="181" t="n">
        <v>1581.1582</v>
      </c>
      <c r="G673" s="181" t="n">
        <v>1.446367</v>
      </c>
      <c r="H673" s="181" t="n">
        <v>1.635704</v>
      </c>
      <c r="I673" s="181" t="inlineStr"/>
    </row>
    <row r="674" ht="15" customHeight="1" s="28">
      <c r="A674" s="182" t="n">
        <v>664</v>
      </c>
      <c r="B674" s="182" t="n">
        <v>663</v>
      </c>
      <c r="C674" s="182" t="n">
        <v>4680.71</v>
      </c>
      <c r="D674" s="182" t="n">
        <v>4639.9486</v>
      </c>
      <c r="E674" s="182" t="n">
        <v>40.7614</v>
      </c>
      <c r="F674" s="182" t="n">
        <v>1661.4901</v>
      </c>
      <c r="G674" s="182" t="n">
        <v>1.557981</v>
      </c>
      <c r="H674" s="182" t="n">
        <v>1.806133</v>
      </c>
      <c r="I674" s="182" t="inlineStr"/>
    </row>
    <row r="675" ht="15" customHeight="1" s="28">
      <c r="A675" s="181" t="n">
        <v>665</v>
      </c>
      <c r="B675" s="181" t="n">
        <v>664</v>
      </c>
      <c r="C675" s="181" t="n">
        <v>4679.22</v>
      </c>
      <c r="D675" s="181" t="n">
        <v>4639.681</v>
      </c>
      <c r="E675" s="181" t="n">
        <v>39.539</v>
      </c>
      <c r="F675" s="181" t="n">
        <v>1563.3317</v>
      </c>
      <c r="G675" s="181" t="n">
        <v>1.421976</v>
      </c>
      <c r="H675" s="181" t="n">
        <v>1.599029</v>
      </c>
      <c r="I675" s="181" t="inlineStr"/>
    </row>
    <row r="676" ht="15" customHeight="1" s="28">
      <c r="A676" s="182" t="n">
        <v>666</v>
      </c>
      <c r="B676" s="182" t="n">
        <v>665</v>
      </c>
      <c r="C676" s="182" t="n">
        <v>4679.83</v>
      </c>
      <c r="D676" s="182" t="n">
        <v>4639.4134</v>
      </c>
      <c r="E676" s="182" t="n">
        <v>40.4166</v>
      </c>
      <c r="F676" s="182" t="n">
        <v>1633.5007</v>
      </c>
      <c r="G676" s="182" t="n">
        <v>1.518779</v>
      </c>
      <c r="H676" s="182" t="n">
        <v>1.745793</v>
      </c>
      <c r="I676" s="182" t="inlineStr"/>
    </row>
    <row r="677" ht="15" customHeight="1" s="28">
      <c r="A677" s="181" t="n">
        <v>667</v>
      </c>
      <c r="B677" s="181" t="n">
        <v>666</v>
      </c>
      <c r="C677" s="181" t="n">
        <v>4680.18</v>
      </c>
      <c r="D677" s="181" t="n">
        <v>4639.1458</v>
      </c>
      <c r="E677" s="181" t="n">
        <v>41.0342</v>
      </c>
      <c r="F677" s="181" t="n">
        <v>1683.8056</v>
      </c>
      <c r="G677" s="181" t="n">
        <v>1.589474</v>
      </c>
      <c r="H677" s="181" t="n">
        <v>1.854975</v>
      </c>
      <c r="I677" s="181" t="inlineStr"/>
    </row>
    <row r="678" ht="15" customHeight="1" s="28">
      <c r="A678" s="182" t="n">
        <v>668</v>
      </c>
      <c r="B678" s="182" t="n">
        <v>667</v>
      </c>
      <c r="C678" s="182" t="n">
        <v>4681.84</v>
      </c>
      <c r="D678" s="182" t="n">
        <v>4638.8782</v>
      </c>
      <c r="E678" s="182" t="n">
        <v>42.9618</v>
      </c>
      <c r="F678" s="182" t="n">
        <v>1845.7163</v>
      </c>
      <c r="G678" s="182" t="n">
        <v>1.82416</v>
      </c>
      <c r="H678" s="182" t="n">
        <v>2.228866</v>
      </c>
      <c r="I678" s="182" t="inlineStr"/>
    </row>
    <row r="679" ht="15" customHeight="1" s="28">
      <c r="A679" s="181" t="n">
        <v>669</v>
      </c>
      <c r="B679" s="181" t="n">
        <v>668</v>
      </c>
      <c r="C679" s="181" t="n">
        <v>4689.32</v>
      </c>
      <c r="D679" s="181" t="n">
        <v>4638.6106</v>
      </c>
      <c r="E679" s="181" t="n">
        <v>50.7094</v>
      </c>
      <c r="F679" s="181" t="n">
        <v>2571.4432</v>
      </c>
      <c r="G679" s="181" t="n">
        <v>2.999722</v>
      </c>
      <c r="H679" s="181" t="n">
        <v>4.326214</v>
      </c>
      <c r="I679" s="181" t="inlineStr"/>
    </row>
    <row r="680" ht="15" customHeight="1" s="28">
      <c r="A680" s="182" t="n">
        <v>670</v>
      </c>
      <c r="B680" s="182" t="n">
        <v>669</v>
      </c>
      <c r="C680" s="182" t="n">
        <v>4689.07</v>
      </c>
      <c r="D680" s="182" t="n">
        <v>4638.343</v>
      </c>
      <c r="E680" s="182" t="n">
        <v>50.727</v>
      </c>
      <c r="F680" s="182" t="n">
        <v>2573.2295</v>
      </c>
      <c r="G680" s="182" t="n">
        <v>3.002848</v>
      </c>
      <c r="H680" s="182" t="n">
        <v>4.332227</v>
      </c>
      <c r="I680" s="182" t="inlineStr"/>
    </row>
    <row r="681" ht="15" customHeight="1" s="28">
      <c r="A681" s="181" t="n">
        <v>671</v>
      </c>
      <c r="B681" s="181" t="n">
        <v>670</v>
      </c>
      <c r="C681" s="181" t="n">
        <v>4687.28</v>
      </c>
      <c r="D681" s="181" t="n">
        <v>4638.0754</v>
      </c>
      <c r="E681" s="181" t="n">
        <v>49.2046</v>
      </c>
      <c r="F681" s="181" t="n">
        <v>2421.0936</v>
      </c>
      <c r="G681" s="181" t="n">
        <v>2.74052</v>
      </c>
      <c r="H681" s="181" t="n">
        <v>3.835105</v>
      </c>
      <c r="I681" s="181" t="inlineStr"/>
    </row>
    <row r="682" ht="15" customHeight="1" s="28">
      <c r="A682" s="182" t="n">
        <v>672</v>
      </c>
      <c r="B682" s="182" t="n">
        <v>671</v>
      </c>
      <c r="C682" s="182" t="n">
        <v>4687.93</v>
      </c>
      <c r="D682" s="182" t="n">
        <v>4637.8078</v>
      </c>
      <c r="E682" s="182" t="n">
        <v>50.1222</v>
      </c>
      <c r="F682" s="182" t="n">
        <v>2512.2369</v>
      </c>
      <c r="G682" s="182" t="n">
        <v>2.89672</v>
      </c>
      <c r="H682" s="182" t="n">
        <v>4.129289</v>
      </c>
      <c r="I682" s="182" t="inlineStr"/>
    </row>
    <row r="683" ht="15" customHeight="1" s="28">
      <c r="A683" s="181" t="n">
        <v>673</v>
      </c>
      <c r="B683" s="181" t="n">
        <v>672</v>
      </c>
      <c r="C683" s="181" t="n">
        <v>4689.83</v>
      </c>
      <c r="D683" s="181" t="n">
        <v>4637.5402</v>
      </c>
      <c r="E683" s="181" t="n">
        <v>52.2898</v>
      </c>
      <c r="F683" s="181" t="n">
        <v>2734.2253</v>
      </c>
      <c r="G683" s="181" t="n">
        <v>3.289024</v>
      </c>
      <c r="H683" s="181" t="n">
        <v>4.891282</v>
      </c>
      <c r="I683" s="181" t="inlineStr"/>
    </row>
    <row r="684" ht="15" customHeight="1" s="28">
      <c r="A684" s="182" t="n">
        <v>674</v>
      </c>
      <c r="B684" s="182" t="n">
        <v>673</v>
      </c>
      <c r="C684" s="182" t="n">
        <v>4690.82</v>
      </c>
      <c r="D684" s="182" t="n">
        <v>4637.2726</v>
      </c>
      <c r="E684" s="182" t="n">
        <v>53.5474</v>
      </c>
      <c r="F684" s="182" t="n">
        <v>2867.3262</v>
      </c>
      <c r="G684" s="182" t="n">
        <v>3.532086</v>
      </c>
      <c r="H684" s="182" t="n">
        <v>5.379084</v>
      </c>
      <c r="I684" s="182" t="inlineStr"/>
    </row>
    <row r="685" ht="15" customHeight="1" s="28">
      <c r="A685" s="181" t="n">
        <v>675</v>
      </c>
      <c r="B685" s="181" t="n">
        <v>674</v>
      </c>
      <c r="C685" s="181" t="n">
        <v>4694.41</v>
      </c>
      <c r="D685" s="181" t="n">
        <v>4637.005</v>
      </c>
      <c r="E685" s="181" t="n">
        <v>57.405</v>
      </c>
      <c r="F685" s="181" t="n">
        <v>3295.3375</v>
      </c>
      <c r="G685" s="181" t="n">
        <v>4.351765</v>
      </c>
      <c r="H685" s="181" t="n">
        <v>7.104834</v>
      </c>
      <c r="I685" s="181" t="inlineStr"/>
    </row>
    <row r="686" ht="15" customHeight="1" s="28">
      <c r="A686" s="182" t="n">
        <v>676</v>
      </c>
      <c r="B686" s="182" t="n">
        <v>675</v>
      </c>
      <c r="C686" s="182" t="n">
        <v>4691.85</v>
      </c>
      <c r="D686" s="182" t="n">
        <v>4636.7374</v>
      </c>
      <c r="E686" s="182" t="n">
        <v>55.1126</v>
      </c>
      <c r="F686" s="182" t="n">
        <v>3037.402</v>
      </c>
      <c r="G686" s="182" t="n">
        <v>3.85096</v>
      </c>
      <c r="H686" s="182" t="n">
        <v>6.036131</v>
      </c>
      <c r="I686" s="182" t="inlineStr"/>
    </row>
    <row r="687" ht="15" customHeight="1" s="28">
      <c r="A687" s="181" t="n">
        <v>677</v>
      </c>
      <c r="B687" s="181" t="n">
        <v>676</v>
      </c>
      <c r="C687" s="181" t="n">
        <v>4697.91</v>
      </c>
      <c r="D687" s="181" t="n">
        <v>4636.4698</v>
      </c>
      <c r="E687" s="181" t="n">
        <v>61.4402</v>
      </c>
      <c r="F687" s="181" t="n">
        <v>3774.9031</v>
      </c>
      <c r="G687" s="181" t="n">
        <v>5.33549</v>
      </c>
      <c r="H687" s="181" t="n">
        <v>9.323216</v>
      </c>
      <c r="I687" s="181" t="inlineStr"/>
    </row>
    <row r="688" ht="15" customHeight="1" s="28">
      <c r="A688" s="182" t="n">
        <v>678</v>
      </c>
      <c r="B688" s="182" t="n">
        <v>677</v>
      </c>
      <c r="C688" s="182" t="n">
        <v>4695.01</v>
      </c>
      <c r="D688" s="182" t="n">
        <v>4636.2022</v>
      </c>
      <c r="E688" s="182" t="n">
        <v>58.8078</v>
      </c>
      <c r="F688" s="182" t="n">
        <v>3458.362</v>
      </c>
      <c r="G688" s="182" t="n">
        <v>4.678658</v>
      </c>
      <c r="H688" s="182" t="n">
        <v>7.825192</v>
      </c>
      <c r="I688" s="182" t="inlineStr"/>
    </row>
    <row r="689" ht="15" customHeight="1" s="28">
      <c r="A689" s="181" t="n">
        <v>679</v>
      </c>
      <c r="B689" s="181" t="n">
        <v>678</v>
      </c>
      <c r="C689" s="181" t="n">
        <v>4693.71</v>
      </c>
      <c r="D689" s="181" t="n">
        <v>4635.9345</v>
      </c>
      <c r="E689" s="181" t="n">
        <v>57.7755</v>
      </c>
      <c r="F689" s="181" t="n">
        <v>3338.0026</v>
      </c>
      <c r="G689" s="181" t="n">
        <v>4.436552</v>
      </c>
      <c r="H689" s="181" t="n">
        <v>7.289999</v>
      </c>
      <c r="I689" s="181" t="inlineStr"/>
    </row>
    <row r="690" ht="15" customHeight="1" s="28">
      <c r="A690" s="182" t="n">
        <v>680</v>
      </c>
      <c r="B690" s="182" t="n">
        <v>679</v>
      </c>
      <c r="C690" s="182" t="n">
        <v>4690.53</v>
      </c>
      <c r="D690" s="182" t="n">
        <v>4635.6669</v>
      </c>
      <c r="E690" s="182" t="n">
        <v>54.863</v>
      </c>
      <c r="F690" s="182" t="n">
        <v>3009.9543</v>
      </c>
      <c r="G690" s="182" t="n">
        <v>3.798879</v>
      </c>
      <c r="H690" s="182" t="n">
        <v>5.927532</v>
      </c>
      <c r="I690" s="182" t="inlineStr"/>
    </row>
    <row r="691" ht="15" customHeight="1" s="28">
      <c r="A691" s="181" t="n">
        <v>681</v>
      </c>
      <c r="B691" s="181" t="n">
        <v>680</v>
      </c>
      <c r="C691" s="181" t="n">
        <v>4688.24</v>
      </c>
      <c r="D691" s="181" t="n">
        <v>4635.3993</v>
      </c>
      <c r="E691" s="181" t="n">
        <v>52.8407</v>
      </c>
      <c r="F691" s="181" t="n">
        <v>2792.1343</v>
      </c>
      <c r="G691" s="181" t="n">
        <v>3.394064</v>
      </c>
      <c r="H691" s="181" t="n">
        <v>5.100664</v>
      </c>
      <c r="I691" s="181" t="inlineStr"/>
    </row>
    <row r="692" ht="15" customHeight="1" s="28">
      <c r="A692" s="182" t="n">
        <v>682</v>
      </c>
      <c r="B692" s="182" t="n">
        <v>681</v>
      </c>
      <c r="C692" s="182" t="n">
        <v>4687.7</v>
      </c>
      <c r="D692" s="182" t="n">
        <v>4635.1317</v>
      </c>
      <c r="E692" s="182" t="n">
        <v>52.5683</v>
      </c>
      <c r="F692" s="182" t="n">
        <v>2763.422</v>
      </c>
      <c r="G692" s="182" t="n">
        <v>3.341846</v>
      </c>
      <c r="H692" s="182" t="n">
        <v>4.9963</v>
      </c>
      <c r="I692" s="182" t="inlineStr"/>
    </row>
    <row r="693" ht="15" customHeight="1" s="28">
      <c r="A693" s="181" t="n">
        <v>683</v>
      </c>
      <c r="B693" s="181" t="n">
        <v>682</v>
      </c>
      <c r="C693" s="181" t="n">
        <v>4687.37</v>
      </c>
      <c r="D693" s="181" t="n">
        <v>4634.8641</v>
      </c>
      <c r="E693" s="181" t="n">
        <v>52.5059</v>
      </c>
      <c r="F693" s="181" t="n">
        <v>2756.8653</v>
      </c>
      <c r="G693" s="181" t="n">
        <v>3.329959</v>
      </c>
      <c r="H693" s="181" t="n">
        <v>4.972619</v>
      </c>
      <c r="I693" s="181" t="inlineStr"/>
    </row>
    <row r="694" ht="15" customHeight="1" s="28">
      <c r="A694" s="182" t="n">
        <v>684</v>
      </c>
      <c r="B694" s="182" t="n">
        <v>683</v>
      </c>
      <c r="C694" s="182" t="n">
        <v>4670.88</v>
      </c>
      <c r="D694" s="182" t="n">
        <v>4634.5965</v>
      </c>
      <c r="E694" s="182" t="n">
        <v>36.2835</v>
      </c>
      <c r="F694" s="182" t="n">
        <v>1316.4902</v>
      </c>
      <c r="G694" s="182" t="n">
        <v>1.098859</v>
      </c>
      <c r="H694" s="182" t="n">
        <v>1.133938</v>
      </c>
      <c r="I694" s="182" t="inlineStr"/>
    </row>
    <row r="695" ht="15" customHeight="1" s="28">
      <c r="A695" s="181" t="n">
        <v>685</v>
      </c>
      <c r="B695" s="181" t="n">
        <v>684</v>
      </c>
      <c r="C695" s="181" t="n">
        <v>4677.52</v>
      </c>
      <c r="D695" s="181" t="n">
        <v>4634.3289</v>
      </c>
      <c r="E695" s="181" t="n">
        <v>43.1911</v>
      </c>
      <c r="F695" s="181" t="n">
        <v>1865.4685</v>
      </c>
      <c r="G695" s="181" t="n">
        <v>1.853521</v>
      </c>
      <c r="H695" s="181" t="n">
        <v>2.276827</v>
      </c>
      <c r="I695" s="181" t="inlineStr"/>
    </row>
    <row r="696" ht="15" customHeight="1" s="28">
      <c r="A696" s="182" t="n">
        <v>686</v>
      </c>
      <c r="B696" s="182" t="n">
        <v>685</v>
      </c>
      <c r="C696" s="182" t="n">
        <v>4675.58</v>
      </c>
      <c r="D696" s="182" t="n">
        <v>4634.0613</v>
      </c>
      <c r="E696" s="182" t="n">
        <v>41.5187</v>
      </c>
      <c r="F696" s="182" t="n">
        <v>1723.8</v>
      </c>
      <c r="G696" s="182" t="n">
        <v>1.64644</v>
      </c>
      <c r="H696" s="182" t="n">
        <v>1.944141</v>
      </c>
      <c r="I696" s="182" t="inlineStr"/>
    </row>
    <row r="697" ht="15" customHeight="1" s="28">
      <c r="A697" s="181" t="n">
        <v>687</v>
      </c>
      <c r="B697" s="181" t="n">
        <v>686</v>
      </c>
      <c r="C697" s="181" t="n">
        <v>4671.15</v>
      </c>
      <c r="D697" s="181" t="n">
        <v>4633.7937</v>
      </c>
      <c r="E697" s="181" t="n">
        <v>37.3563</v>
      </c>
      <c r="F697" s="181" t="n">
        <v>1395.4917</v>
      </c>
      <c r="G697" s="181" t="n">
        <v>1.199241</v>
      </c>
      <c r="H697" s="181" t="n">
        <v>1.274115</v>
      </c>
      <c r="I697" s="181" t="inlineStr"/>
    </row>
    <row r="698" ht="15" customHeight="1" s="28">
      <c r="A698" s="182" t="n">
        <v>688</v>
      </c>
      <c r="B698" s="182" t="n">
        <v>687</v>
      </c>
      <c r="C698" s="182" t="n">
        <v>4669.14</v>
      </c>
      <c r="D698" s="182" t="n">
        <v>4633.5261</v>
      </c>
      <c r="E698" s="182" t="n">
        <v>35.6139</v>
      </c>
      <c r="F698" s="182" t="n">
        <v>1268.3484</v>
      </c>
      <c r="G698" s="182" t="n">
        <v>1.039139</v>
      </c>
      <c r="H698" s="182" t="n">
        <v>1.052522</v>
      </c>
      <c r="I698" s="182" t="inlineStr"/>
    </row>
    <row r="699" ht="15" customHeight="1" s="28">
      <c r="A699" s="181" t="n">
        <v>689</v>
      </c>
      <c r="B699" s="181" t="n">
        <v>688</v>
      </c>
      <c r="C699" s="181" t="n">
        <v>4672.91</v>
      </c>
      <c r="D699" s="181" t="n">
        <v>4633.2585</v>
      </c>
      <c r="E699" s="181" t="n">
        <v>39.6515</v>
      </c>
      <c r="F699" s="181" t="n">
        <v>1572.2407</v>
      </c>
      <c r="G699" s="181" t="n">
        <v>1.434148</v>
      </c>
      <c r="H699" s="181" t="n">
        <v>1.617306</v>
      </c>
      <c r="I699" s="181" t="inlineStr"/>
    </row>
    <row r="700" ht="15" customHeight="1" s="28">
      <c r="A700" s="182" t="n">
        <v>690</v>
      </c>
      <c r="B700" s="182" t="n">
        <v>689</v>
      </c>
      <c r="C700" s="182" t="n">
        <v>4674.86</v>
      </c>
      <c r="D700" s="182" t="n">
        <v>4632.9909</v>
      </c>
      <c r="E700" s="182" t="n">
        <v>41.8691</v>
      </c>
      <c r="F700" s="182" t="n">
        <v>1753.0207</v>
      </c>
      <c r="G700" s="182" t="n">
        <v>1.688481</v>
      </c>
      <c r="H700" s="182" t="n">
        <v>2.010612</v>
      </c>
      <c r="I700" s="182" t="inlineStr"/>
    </row>
    <row r="701" ht="15" customHeight="1" s="28">
      <c r="A701" s="181" t="n">
        <v>691</v>
      </c>
      <c r="B701" s="181" t="n">
        <v>690</v>
      </c>
      <c r="C701" s="181" t="n">
        <v>4672.11</v>
      </c>
      <c r="D701" s="181" t="n">
        <v>4632.7233</v>
      </c>
      <c r="E701" s="181" t="n">
        <v>39.3867</v>
      </c>
      <c r="F701" s="181" t="n">
        <v>1551.3113</v>
      </c>
      <c r="G701" s="181" t="n">
        <v>1.405607</v>
      </c>
      <c r="H701" s="181" t="n">
        <v>1.574534</v>
      </c>
      <c r="I701" s="181" t="inlineStr"/>
    </row>
    <row r="702" ht="15" customHeight="1" s="28">
      <c r="A702" s="182" t="n">
        <v>692</v>
      </c>
      <c r="B702" s="182" t="n">
        <v>691</v>
      </c>
      <c r="C702" s="182" t="n">
        <v>4671.02</v>
      </c>
      <c r="D702" s="182" t="n">
        <v>4632.4557</v>
      </c>
      <c r="E702" s="182" t="n">
        <v>38.5643</v>
      </c>
      <c r="F702" s="182" t="n">
        <v>1487.2052</v>
      </c>
      <c r="G702" s="182" t="n">
        <v>1.319386</v>
      </c>
      <c r="H702" s="182" t="n">
        <v>1.447091</v>
      </c>
      <c r="I702" s="182" t="inlineStr"/>
    </row>
    <row r="703" ht="15" customHeight="1" s="28">
      <c r="A703" s="181" t="n">
        <v>693</v>
      </c>
      <c r="B703" s="181" t="n">
        <v>692</v>
      </c>
      <c r="C703" s="181" t="n">
        <v>4669.93</v>
      </c>
      <c r="D703" s="181" t="n">
        <v>4632.1881</v>
      </c>
      <c r="E703" s="181" t="n">
        <v>37.7419</v>
      </c>
      <c r="F703" s="181" t="n">
        <v>1424.451</v>
      </c>
      <c r="G703" s="181" t="n">
        <v>1.236764</v>
      </c>
      <c r="H703" s="181" t="n">
        <v>1.327545</v>
      </c>
      <c r="I703" s="181" t="inlineStr"/>
    </row>
    <row r="704" ht="15" customHeight="1" s="28">
      <c r="A704" s="182" t="n">
        <v>694</v>
      </c>
      <c r="B704" s="182" t="n">
        <v>693</v>
      </c>
      <c r="C704" s="182" t="n">
        <v>4667.66</v>
      </c>
      <c r="D704" s="182" t="n">
        <v>4631.9205</v>
      </c>
      <c r="E704" s="182" t="n">
        <v>35.7395</v>
      </c>
      <c r="F704" s="182" t="n">
        <v>1277.3126</v>
      </c>
      <c r="G704" s="182" t="n">
        <v>1.050174</v>
      </c>
      <c r="H704" s="182" t="n">
        <v>1.067452</v>
      </c>
      <c r="I704" s="182" t="inlineStr"/>
    </row>
    <row r="705" ht="15" customHeight="1" s="28">
      <c r="A705" s="181" t="n">
        <v>695</v>
      </c>
      <c r="B705" s="181" t="n">
        <v>694</v>
      </c>
      <c r="C705" s="181" t="n">
        <v>4669.92</v>
      </c>
      <c r="D705" s="181" t="n">
        <v>4631.6529</v>
      </c>
      <c r="E705" s="181" t="n">
        <v>38.2671</v>
      </c>
      <c r="F705" s="181" t="n">
        <v>1464.3717</v>
      </c>
      <c r="G705" s="181" t="n">
        <v>1.289118</v>
      </c>
      <c r="H705" s="181" t="n">
        <v>1.402997</v>
      </c>
      <c r="I705" s="181" t="inlineStr"/>
    </row>
    <row r="706" ht="15" customHeight="1" s="28">
      <c r="A706" s="182" t="n">
        <v>696</v>
      </c>
      <c r="B706" s="182" t="n">
        <v>695</v>
      </c>
      <c r="C706" s="182" t="n">
        <v>4667.71</v>
      </c>
      <c r="D706" s="182" t="n">
        <v>4631.3853</v>
      </c>
      <c r="E706" s="182" t="n">
        <v>36.3247</v>
      </c>
      <c r="F706" s="182" t="n">
        <v>1319.4846</v>
      </c>
      <c r="G706" s="182" t="n">
        <v>1.10261</v>
      </c>
      <c r="H706" s="182" t="n">
        <v>1.139102</v>
      </c>
      <c r="I706" s="182" t="inlineStr"/>
    </row>
    <row r="707" ht="15" customHeight="1" s="28">
      <c r="A707" s="181" t="n">
        <v>697</v>
      </c>
      <c r="B707" s="181" t="n">
        <v>696</v>
      </c>
      <c r="C707" s="181" t="n">
        <v>4652.57</v>
      </c>
      <c r="D707" s="181" t="n">
        <v>4631.1177</v>
      </c>
      <c r="E707" s="181" t="n">
        <v>21.4523</v>
      </c>
      <c r="F707" s="181" t="n">
        <v>460.202</v>
      </c>
      <c r="G707" s="181" t="n">
        <v>0.227111</v>
      </c>
      <c r="H707" s="181" t="n">
        <v>0.138564</v>
      </c>
      <c r="I707" s="181" t="inlineStr"/>
    </row>
    <row r="708" ht="15" customHeight="1" s="28">
      <c r="A708" s="182" t="n">
        <v>698</v>
      </c>
      <c r="B708" s="182" t="n">
        <v>697</v>
      </c>
      <c r="C708" s="182" t="n">
        <v>4658.38</v>
      </c>
      <c r="D708" s="182" t="n">
        <v>4630.8501</v>
      </c>
      <c r="E708" s="182" t="n">
        <v>27.5299</v>
      </c>
      <c r="F708" s="182" t="n">
        <v>757.8964999999999</v>
      </c>
      <c r="G708" s="182" t="n">
        <v>0.479988</v>
      </c>
      <c r="H708" s="182" t="n">
        <v>0.375815</v>
      </c>
      <c r="I708" s="182" t="inlineStr"/>
    </row>
    <row r="709" ht="15" customHeight="1" s="28">
      <c r="A709" s="181" t="n">
        <v>699</v>
      </c>
      <c r="B709" s="181" t="n">
        <v>698</v>
      </c>
      <c r="C709" s="181" t="n">
        <v>4624.58</v>
      </c>
      <c r="D709" s="181" t="n">
        <v>4630.5825</v>
      </c>
      <c r="E709" s="181" t="n">
        <v>-6.0025</v>
      </c>
      <c r="F709" s="181" t="n">
        <v>36.0296</v>
      </c>
      <c r="G709" s="181" t="n">
        <v>-0.004975</v>
      </c>
      <c r="H709" s="181" t="n">
        <v>0.000849</v>
      </c>
      <c r="I709" s="181" t="inlineStr"/>
    </row>
    <row r="710" ht="15" customHeight="1" s="28">
      <c r="A710" s="182" t="n">
        <v>700</v>
      </c>
      <c r="B710" s="182" t="n">
        <v>699</v>
      </c>
      <c r="C710" s="182" t="n">
        <v>4632.23</v>
      </c>
      <c r="D710" s="182" t="n">
        <v>4630.3149</v>
      </c>
      <c r="E710" s="182" t="n">
        <v>1.9151</v>
      </c>
      <c r="F710" s="182" t="n">
        <v>3.6677</v>
      </c>
      <c r="G710" s="182" t="n">
        <v>0.000162</v>
      </c>
      <c r="H710" s="182" t="n">
        <v>9e-06</v>
      </c>
      <c r="I710" s="182" t="inlineStr"/>
    </row>
    <row r="711" ht="15" customHeight="1" s="28">
      <c r="A711" s="181" t="n">
        <v>701</v>
      </c>
      <c r="B711" s="181" t="n">
        <v>700</v>
      </c>
      <c r="C711" s="181" t="n">
        <v>4640.69</v>
      </c>
      <c r="D711" s="181" t="n">
        <v>4630.0473</v>
      </c>
      <c r="E711" s="181" t="n">
        <v>10.6427</v>
      </c>
      <c r="F711" s="181" t="n">
        <v>113.2679</v>
      </c>
      <c r="G711" s="181" t="n">
        <v>0.027732</v>
      </c>
      <c r="H711" s="181" t="n">
        <v>0.008394</v>
      </c>
      <c r="I711" s="181" t="inlineStr"/>
    </row>
    <row r="712" ht="15" customHeight="1" s="28">
      <c r="A712" s="182" t="n">
        <v>702</v>
      </c>
      <c r="B712" s="182" t="n">
        <v>701</v>
      </c>
      <c r="C712" s="182" t="n">
        <v>4631.64</v>
      </c>
      <c r="D712" s="182" t="n">
        <v>4629.7797</v>
      </c>
      <c r="E712" s="182" t="n">
        <v>1.8603</v>
      </c>
      <c r="F712" s="182" t="n">
        <v>3.4609</v>
      </c>
      <c r="G712" s="182" t="n">
        <v>0.000148</v>
      </c>
      <c r="H712" s="182" t="n">
        <v>8e-06</v>
      </c>
      <c r="I712" s="182" t="inlineStr"/>
    </row>
    <row r="713" ht="15" customHeight="1" s="28">
      <c r="A713" s="181" t="n">
        <v>703</v>
      </c>
      <c r="B713" s="181" t="n">
        <v>702</v>
      </c>
      <c r="C713" s="181" t="n">
        <v>4629.83</v>
      </c>
      <c r="D713" s="181" t="n">
        <v>4629.5121</v>
      </c>
      <c r="E713" s="181" t="n">
        <v>0.3179</v>
      </c>
      <c r="F713" s="181" t="n">
        <v>0.1011</v>
      </c>
      <c r="G713" s="181" t="n">
        <v>1e-06</v>
      </c>
      <c r="H713" s="181" t="n">
        <v>0</v>
      </c>
      <c r="I713" s="181" t="inlineStr"/>
    </row>
    <row r="714" ht="15" customHeight="1" s="28">
      <c r="A714" s="182" t="n">
        <v>704</v>
      </c>
      <c r="B714" s="182" t="n">
        <v>703</v>
      </c>
      <c r="C714" s="182" t="n">
        <v>4628.99</v>
      </c>
      <c r="D714" s="182" t="n">
        <v>4629.2445</v>
      </c>
      <c r="E714" s="182" t="n">
        <v>-0.2545</v>
      </c>
      <c r="F714" s="182" t="n">
        <v>0.06469999999999999</v>
      </c>
      <c r="G714" s="182" t="n">
        <v>0</v>
      </c>
      <c r="H714" s="182" t="n">
        <v>0</v>
      </c>
      <c r="I714" s="182" t="inlineStr"/>
    </row>
    <row r="715" ht="15" customHeight="1" s="28">
      <c r="A715" s="181" t="n">
        <v>705</v>
      </c>
      <c r="B715" s="181" t="n">
        <v>704</v>
      </c>
      <c r="C715" s="181" t="n">
        <v>4634.3</v>
      </c>
      <c r="D715" s="181" t="n">
        <v>4628.9769</v>
      </c>
      <c r="E715" s="181" t="n">
        <v>5.3232</v>
      </c>
      <c r="F715" s="181" t="n">
        <v>28.3359</v>
      </c>
      <c r="G715" s="181" t="n">
        <v>0.00347</v>
      </c>
      <c r="H715" s="181" t="n">
        <v>0.000525</v>
      </c>
      <c r="I715" s="181" t="inlineStr"/>
    </row>
    <row r="716" ht="15" customHeight="1" s="28">
      <c r="A716" s="182" t="n">
        <v>706</v>
      </c>
      <c r="B716" s="182" t="n">
        <v>705</v>
      </c>
      <c r="C716" s="182" t="n">
        <v>4629.79</v>
      </c>
      <c r="D716" s="182" t="n">
        <v>4628.7092</v>
      </c>
      <c r="E716" s="182" t="n">
        <v>1.0808</v>
      </c>
      <c r="F716" s="182" t="n">
        <v>1.168</v>
      </c>
      <c r="G716" s="182" t="n">
        <v>2.9e-05</v>
      </c>
      <c r="H716" s="182" t="n">
        <v>1e-06</v>
      </c>
      <c r="I716" s="182" t="inlineStr"/>
    </row>
    <row r="717" ht="15" customHeight="1" s="28">
      <c r="A717" s="181" t="n">
        <v>707</v>
      </c>
      <c r="B717" s="181" t="n">
        <v>706</v>
      </c>
      <c r="C717" s="181" t="n">
        <v>4629.38</v>
      </c>
      <c r="D717" s="181" t="n">
        <v>4628.4416</v>
      </c>
      <c r="E717" s="181" t="n">
        <v>0.9384</v>
      </c>
      <c r="F717" s="181" t="n">
        <v>0.8804999999999999</v>
      </c>
      <c r="G717" s="181" t="n">
        <v>1.9e-05</v>
      </c>
      <c r="H717" s="181" t="n">
        <v>1e-06</v>
      </c>
      <c r="I717" s="181" t="inlineStr"/>
    </row>
    <row r="718" ht="15" customHeight="1" s="28">
      <c r="A718" s="182" t="n">
        <v>708</v>
      </c>
      <c r="B718" s="182" t="n">
        <v>707</v>
      </c>
      <c r="C718" s="182" t="n">
        <v>4633.24</v>
      </c>
      <c r="D718" s="182" t="n">
        <v>4628.174</v>
      </c>
      <c r="E718" s="182" t="n">
        <v>5.066</v>
      </c>
      <c r="F718" s="182" t="n">
        <v>25.664</v>
      </c>
      <c r="G718" s="182" t="n">
        <v>0.002991</v>
      </c>
      <c r="H718" s="182" t="n">
        <v>0.000431</v>
      </c>
      <c r="I718" s="182" t="inlineStr"/>
    </row>
    <row r="719" ht="15" customHeight="1" s="28">
      <c r="A719" s="181" t="n">
        <v>709</v>
      </c>
      <c r="B719" s="181" t="n">
        <v>708</v>
      </c>
      <c r="C719" s="181" t="n">
        <v>4620.29</v>
      </c>
      <c r="D719" s="181" t="n">
        <v>4627.9064</v>
      </c>
      <c r="E719" s="181" t="n">
        <v>-7.6164</v>
      </c>
      <c r="F719" s="181" t="n">
        <v>58.01</v>
      </c>
      <c r="G719" s="181" t="n">
        <v>-0.010164</v>
      </c>
      <c r="H719" s="181" t="n">
        <v>0.002202</v>
      </c>
      <c r="I719" s="181" t="inlineStr"/>
    </row>
    <row r="720" ht="15" customHeight="1" s="28">
      <c r="A720" s="182" t="n">
        <v>710</v>
      </c>
      <c r="B720" s="182" t="n">
        <v>709</v>
      </c>
      <c r="C720" s="182" t="n">
        <v>4626.98</v>
      </c>
      <c r="D720" s="182" t="n">
        <v>4627.6388</v>
      </c>
      <c r="E720" s="182" t="n">
        <v>-0.6588000000000001</v>
      </c>
      <c r="F720" s="182" t="n">
        <v>0.4341</v>
      </c>
      <c r="G720" s="182" t="n">
        <v>-7e-06</v>
      </c>
      <c r="H720" s="182" t="n">
        <v>0</v>
      </c>
      <c r="I720" s="182" t="inlineStr"/>
    </row>
    <row r="721" ht="15" customHeight="1" s="28">
      <c r="A721" s="181" t="n">
        <v>711</v>
      </c>
      <c r="B721" s="181" t="n">
        <v>710</v>
      </c>
      <c r="C721" s="181" t="n">
        <v>4628.21</v>
      </c>
      <c r="D721" s="181" t="n">
        <v>4627.3712</v>
      </c>
      <c r="E721" s="181" t="n">
        <v>0.8388</v>
      </c>
      <c r="F721" s="181" t="n">
        <v>0.7036</v>
      </c>
      <c r="G721" s="181" t="n">
        <v>1.4e-05</v>
      </c>
      <c r="H721" s="181" t="n">
        <v>0</v>
      </c>
      <c r="I721" s="181" t="inlineStr"/>
    </row>
    <row r="722" ht="15" customHeight="1" s="28">
      <c r="A722" s="182" t="n">
        <v>712</v>
      </c>
      <c r="B722" s="182" t="n">
        <v>711</v>
      </c>
      <c r="C722" s="182" t="n">
        <v>4629.62</v>
      </c>
      <c r="D722" s="182" t="n">
        <v>4627.1036</v>
      </c>
      <c r="E722" s="182" t="n">
        <v>2.5164</v>
      </c>
      <c r="F722" s="182" t="n">
        <v>6.3322</v>
      </c>
      <c r="G722" s="182" t="n">
        <v>0.000367</v>
      </c>
      <c r="H722" s="182" t="n">
        <v>2.6e-05</v>
      </c>
      <c r="I722" s="182" t="inlineStr"/>
    </row>
    <row r="723" ht="15" customHeight="1" s="28">
      <c r="A723" s="181" t="n">
        <v>713</v>
      </c>
      <c r="B723" s="181" t="n">
        <v>712</v>
      </c>
      <c r="C723" s="181" t="n">
        <v>4625.52</v>
      </c>
      <c r="D723" s="181" t="n">
        <v>4626.836</v>
      </c>
      <c r="E723" s="181" t="n">
        <v>-1.316</v>
      </c>
      <c r="F723" s="181" t="n">
        <v>1.7319</v>
      </c>
      <c r="G723" s="181" t="n">
        <v>-5.2e-05</v>
      </c>
      <c r="H723" s="181" t="n">
        <v>2e-06</v>
      </c>
      <c r="I723" s="181" t="inlineStr"/>
    </row>
    <row r="724" ht="15" customHeight="1" s="28">
      <c r="A724" s="182" t="n">
        <v>714</v>
      </c>
      <c r="B724" s="182" t="n">
        <v>713</v>
      </c>
      <c r="C724" s="182" t="n">
        <v>4618.31</v>
      </c>
      <c r="D724" s="182" t="n">
        <v>4626.5684</v>
      </c>
      <c r="E724" s="182" t="n">
        <v>-8.2584</v>
      </c>
      <c r="F724" s="182" t="n">
        <v>68.2013</v>
      </c>
      <c r="G724" s="182" t="n">
        <v>-0.012957</v>
      </c>
      <c r="H724" s="182" t="n">
        <v>0.003043</v>
      </c>
      <c r="I724" s="182" t="inlineStr"/>
    </row>
    <row r="725" ht="15" customHeight="1" s="28">
      <c r="A725" s="181" t="n">
        <v>715</v>
      </c>
      <c r="B725" s="181" t="n">
        <v>714</v>
      </c>
      <c r="C725" s="181" t="n">
        <v>4613.05</v>
      </c>
      <c r="D725" s="181" t="n">
        <v>4626.3008</v>
      </c>
      <c r="E725" s="181" t="n">
        <v>-13.2508</v>
      </c>
      <c r="F725" s="181" t="n">
        <v>175.584</v>
      </c>
      <c r="G725" s="181" t="n">
        <v>-0.053523</v>
      </c>
      <c r="H725" s="181" t="n">
        <v>0.020171</v>
      </c>
      <c r="I725" s="181" t="inlineStr"/>
    </row>
    <row r="726" ht="15" customHeight="1" s="28">
      <c r="A726" s="182" t="n">
        <v>716</v>
      </c>
      <c r="B726" s="182" t="n">
        <v>715</v>
      </c>
      <c r="C726" s="182" t="n">
        <v>4604.84</v>
      </c>
      <c r="D726" s="182" t="n">
        <v>4626.0332</v>
      </c>
      <c r="E726" s="182" t="n">
        <v>-21.1932</v>
      </c>
      <c r="F726" s="182" t="n">
        <v>449.1517</v>
      </c>
      <c r="G726" s="182" t="n">
        <v>-0.21898</v>
      </c>
      <c r="H726" s="182" t="n">
        <v>0.13199</v>
      </c>
      <c r="I726" s="182" t="inlineStr"/>
    </row>
    <row r="727" ht="15" customHeight="1" s="28">
      <c r="A727" s="181" t="n">
        <v>717</v>
      </c>
      <c r="B727" s="181" t="n">
        <v>716</v>
      </c>
      <c r="C727" s="181" t="n">
        <v>4612.7</v>
      </c>
      <c r="D727" s="181" t="n">
        <v>4625.7656</v>
      </c>
      <c r="E727" s="181" t="n">
        <v>-13.0656</v>
      </c>
      <c r="F727" s="181" t="n">
        <v>170.7099</v>
      </c>
      <c r="G727" s="181" t="n">
        <v>-0.05131</v>
      </c>
      <c r="H727" s="181" t="n">
        <v>0.019067</v>
      </c>
      <c r="I727" s="181" t="inlineStr"/>
    </row>
    <row r="728" ht="15" customHeight="1" s="28">
      <c r="A728" s="182" t="n">
        <v>718</v>
      </c>
      <c r="B728" s="182" t="n">
        <v>717</v>
      </c>
      <c r="C728" s="182" t="n">
        <v>4611.77</v>
      </c>
      <c r="D728" s="182" t="n">
        <v>4625.498</v>
      </c>
      <c r="E728" s="182" t="n">
        <v>-13.728</v>
      </c>
      <c r="F728" s="182" t="n">
        <v>188.458</v>
      </c>
      <c r="G728" s="182" t="n">
        <v>-0.059517</v>
      </c>
      <c r="H728" s="182" t="n">
        <v>0.023237</v>
      </c>
      <c r="I728" s="182" t="inlineStr"/>
    </row>
    <row r="729" ht="15" customHeight="1" s="28">
      <c r="A729" s="181" t="n">
        <v>719</v>
      </c>
      <c r="B729" s="181" t="n">
        <v>718</v>
      </c>
      <c r="C729" s="181" t="n">
        <v>4613.29</v>
      </c>
      <c r="D729" s="181" t="n">
        <v>4625.2304</v>
      </c>
      <c r="E729" s="181" t="n">
        <v>-11.9404</v>
      </c>
      <c r="F729" s="181" t="n">
        <v>142.5729</v>
      </c>
      <c r="G729" s="181" t="n">
        <v>-0.039163</v>
      </c>
      <c r="H729" s="181" t="n">
        <v>0.013299</v>
      </c>
      <c r="I729" s="181" t="inlineStr"/>
    </row>
    <row r="730" ht="15" customHeight="1" s="28">
      <c r="A730" s="182" t="n">
        <v>720</v>
      </c>
      <c r="B730" s="182" t="n">
        <v>719</v>
      </c>
      <c r="C730" s="182" t="n">
        <v>4603.3</v>
      </c>
      <c r="D730" s="182" t="n">
        <v>4624.9628</v>
      </c>
      <c r="E730" s="182" t="n">
        <v>-21.6628</v>
      </c>
      <c r="F730" s="182" t="n">
        <v>469.2765</v>
      </c>
      <c r="G730" s="182" t="n">
        <v>-0.233862</v>
      </c>
      <c r="H730" s="182" t="n">
        <v>0.144083</v>
      </c>
      <c r="I730" s="182" t="inlineStr"/>
    </row>
    <row r="731" ht="15" customHeight="1" s="28">
      <c r="A731" s="181" t="n">
        <v>721</v>
      </c>
      <c r="B731" s="181" t="n">
        <v>720</v>
      </c>
      <c r="C731" s="181" t="n">
        <v>4598.69</v>
      </c>
      <c r="D731" s="181" t="n">
        <v>4624.6952</v>
      </c>
      <c r="E731" s="181" t="n">
        <v>-26.0052</v>
      </c>
      <c r="F731" s="181" t="n">
        <v>676.2694</v>
      </c>
      <c r="G731" s="181" t="n">
        <v>-0.404571</v>
      </c>
      <c r="H731" s="181" t="n">
        <v>0.299222</v>
      </c>
      <c r="I731" s="181" t="inlineStr"/>
    </row>
    <row r="732" ht="15" customHeight="1" s="28">
      <c r="A732" s="182" t="n">
        <v>722</v>
      </c>
      <c r="B732" s="182" t="n">
        <v>721</v>
      </c>
      <c r="C732" s="182" t="n">
        <v>4599.45</v>
      </c>
      <c r="D732" s="182" t="n">
        <v>4624.4276</v>
      </c>
      <c r="E732" s="182" t="n">
        <v>-24.9776</v>
      </c>
      <c r="F732" s="182" t="n">
        <v>623.8795</v>
      </c>
      <c r="G732" s="182" t="n">
        <v>-0.358481</v>
      </c>
      <c r="H732" s="182" t="n">
        <v>0.254657</v>
      </c>
      <c r="I732" s="182" t="inlineStr"/>
    </row>
    <row r="733" ht="15" customHeight="1" s="28">
      <c r="A733" s="181" t="n">
        <v>723</v>
      </c>
      <c r="B733" s="181" t="n">
        <v>722</v>
      </c>
      <c r="C733" s="181" t="n">
        <v>4572.22</v>
      </c>
      <c r="D733" s="181" t="n">
        <v>4624.16</v>
      </c>
      <c r="E733" s="181" t="n">
        <v>-51.94</v>
      </c>
      <c r="F733" s="181" t="n">
        <v>2697.7605</v>
      </c>
      <c r="G733" s="181" t="n">
        <v>-3.223448</v>
      </c>
      <c r="H733" s="181" t="n">
        <v>4.761688</v>
      </c>
      <c r="I733" s="181" t="inlineStr"/>
    </row>
    <row r="734" ht="15" customHeight="1" s="28">
      <c r="A734" s="182" t="n">
        <v>724</v>
      </c>
      <c r="B734" s="182" t="n">
        <v>723</v>
      </c>
      <c r="C734" s="182" t="n">
        <v>4562.88</v>
      </c>
      <c r="D734" s="182" t="n">
        <v>4623.8924</v>
      </c>
      <c r="E734" s="182" t="n">
        <v>-61.0124</v>
      </c>
      <c r="F734" s="182" t="n">
        <v>3722.5093</v>
      </c>
      <c r="G734" s="182" t="n">
        <v>-5.224795</v>
      </c>
      <c r="H734" s="182" t="n">
        <v>9.066208</v>
      </c>
      <c r="I734" s="182" t="inlineStr"/>
    </row>
    <row r="735" ht="15" customHeight="1" s="28">
      <c r="A735" s="181" t="n">
        <v>725</v>
      </c>
      <c r="B735" s="181" t="n">
        <v>724</v>
      </c>
      <c r="C735" s="181" t="n">
        <v>4581.73</v>
      </c>
      <c r="D735" s="181" t="n">
        <v>4623.6248</v>
      </c>
      <c r="E735" s="181" t="n">
        <v>-41.8948</v>
      </c>
      <c r="F735" s="181" t="n">
        <v>1755.1718</v>
      </c>
      <c r="G735" s="181" t="n">
        <v>-1.69159</v>
      </c>
      <c r="H735" s="181" t="n">
        <v>2.015549</v>
      </c>
      <c r="I735" s="181" t="inlineStr"/>
    </row>
    <row r="736" ht="15" customHeight="1" s="28">
      <c r="A736" s="182" t="n">
        <v>726</v>
      </c>
      <c r="B736" s="182" t="n">
        <v>725</v>
      </c>
      <c r="C736" s="182" t="n">
        <v>4580.32</v>
      </c>
      <c r="D736" s="182" t="n">
        <v>4623.3572</v>
      </c>
      <c r="E736" s="182" t="n">
        <v>-43.0372</v>
      </c>
      <c r="F736" s="182" t="n">
        <v>1852.1971</v>
      </c>
      <c r="G736" s="182" t="n">
        <v>-1.833776</v>
      </c>
      <c r="H736" s="182" t="n">
        <v>2.244546</v>
      </c>
      <c r="I736" s="182" t="inlineStr"/>
    </row>
    <row r="737" ht="15" customHeight="1" s="28">
      <c r="A737" s="181" t="n">
        <v>727</v>
      </c>
      <c r="B737" s="181" t="n">
        <v>726</v>
      </c>
      <c r="C737" s="181" t="n">
        <v>4586.96</v>
      </c>
      <c r="D737" s="181" t="n">
        <v>4623.0896</v>
      </c>
      <c r="E737" s="181" t="n">
        <v>-36.1296</v>
      </c>
      <c r="F737" s="181" t="n">
        <v>1305.3451</v>
      </c>
      <c r="G737" s="181" t="n">
        <v>-1.084935</v>
      </c>
      <c r="H737" s="181" t="n">
        <v>1.11482</v>
      </c>
      <c r="I737" s="181" t="inlineStr"/>
    </row>
    <row r="738" ht="15" customHeight="1" s="28">
      <c r="A738" s="182" t="n">
        <v>728</v>
      </c>
      <c r="B738" s="182" t="n">
        <v>727</v>
      </c>
      <c r="C738" s="182" t="n">
        <v>4593.98</v>
      </c>
      <c r="D738" s="182" t="n">
        <v>4622.8219</v>
      </c>
      <c r="E738" s="182" t="n">
        <v>-28.842</v>
      </c>
      <c r="F738" s="182" t="n">
        <v>831.8581</v>
      </c>
      <c r="G738" s="182" t="n">
        <v>-0.551937</v>
      </c>
      <c r="H738" s="182" t="n">
        <v>0.452744</v>
      </c>
      <c r="I738" s="182" t="inlineStr"/>
    </row>
    <row r="739" ht="15" customHeight="1" s="28">
      <c r="A739" s="181" t="n">
        <v>729</v>
      </c>
      <c r="B739" s="181" t="n">
        <v>728</v>
      </c>
      <c r="C739" s="181" t="n">
        <v>4576.38</v>
      </c>
      <c r="D739" s="181" t="n">
        <v>4622.5544</v>
      </c>
      <c r="E739" s="181" t="n">
        <v>-46.1744</v>
      </c>
      <c r="F739" s="181" t="n">
        <v>2132.0706</v>
      </c>
      <c r="G739" s="181" t="n">
        <v>-2.264738</v>
      </c>
      <c r="H739" s="181" t="n">
        <v>2.974112</v>
      </c>
      <c r="I739" s="181" t="inlineStr"/>
    </row>
    <row r="740" ht="15" customHeight="1" s="28">
      <c r="A740" s="182" t="n">
        <v>730</v>
      </c>
      <c r="B740" s="182" t="n">
        <v>729</v>
      </c>
      <c r="C740" s="182" t="n">
        <v>4581.88</v>
      </c>
      <c r="D740" s="182" t="n">
        <v>4622.2868</v>
      </c>
      <c r="E740" s="182" t="n">
        <v>-40.4068</v>
      </c>
      <c r="F740" s="182" t="n">
        <v>1632.7054</v>
      </c>
      <c r="G740" s="182" t="n">
        <v>-1.51767</v>
      </c>
      <c r="H740" s="182" t="n">
        <v>1.744094</v>
      </c>
      <c r="I740" s="182" t="inlineStr"/>
    </row>
    <row r="741" ht="15" customHeight="1" s="28">
      <c r="A741" s="181" t="n">
        <v>731</v>
      </c>
      <c r="B741" s="181" t="n">
        <v>730</v>
      </c>
      <c r="C741" s="181" t="n">
        <v>4581.73</v>
      </c>
      <c r="D741" s="181" t="n">
        <v>4622.0191</v>
      </c>
      <c r="E741" s="181" t="n">
        <v>-40.2891</v>
      </c>
      <c r="F741" s="181" t="n">
        <v>1623.2148</v>
      </c>
      <c r="G741" s="181" t="n">
        <v>-1.504456</v>
      </c>
      <c r="H741" s="181" t="n">
        <v>1.723876</v>
      </c>
      <c r="I741" s="181" t="inlineStr"/>
    </row>
    <row r="742" ht="15" customHeight="1" s="28">
      <c r="A742" s="182" t="n">
        <v>732</v>
      </c>
      <c r="B742" s="182" t="n">
        <v>731</v>
      </c>
      <c r="C742" s="182" t="n">
        <v>4580.32</v>
      </c>
      <c r="D742" s="182" t="n">
        <v>4621.7515</v>
      </c>
      <c r="E742" s="182" t="n">
        <v>-41.4315</v>
      </c>
      <c r="F742" s="182" t="n">
        <v>1716.5725</v>
      </c>
      <c r="G742" s="182" t="n">
        <v>-1.636096</v>
      </c>
      <c r="H742" s="182" t="n">
        <v>1.927873</v>
      </c>
      <c r="I742" s="182" t="inlineStr"/>
    </row>
    <row r="743" ht="15" customHeight="1" s="28">
      <c r="A743" s="181" t="n">
        <v>733</v>
      </c>
      <c r="B743" s="181" t="n">
        <v>732</v>
      </c>
      <c r="C743" s="181" t="n">
        <v>4568.29</v>
      </c>
      <c r="D743" s="181" t="n">
        <v>4621.4839</v>
      </c>
      <c r="E743" s="181" t="n">
        <v>-53.1939</v>
      </c>
      <c r="F743" s="181" t="n">
        <v>2829.5942</v>
      </c>
      <c r="G743" s="181" t="n">
        <v>-3.462596</v>
      </c>
      <c r="H743" s="181" t="n">
        <v>5.238445</v>
      </c>
      <c r="I743" s="181" t="inlineStr"/>
    </row>
    <row r="744" ht="15" customHeight="1" s="28">
      <c r="A744" s="182" t="n">
        <v>734</v>
      </c>
      <c r="B744" s="182" t="n">
        <v>733</v>
      </c>
      <c r="C744" s="182" t="n">
        <v>4571.47</v>
      </c>
      <c r="D744" s="182" t="n">
        <v>4621.2163</v>
      </c>
      <c r="E744" s="182" t="n">
        <v>-49.7463</v>
      </c>
      <c r="F744" s="182" t="n">
        <v>2474.6973</v>
      </c>
      <c r="G744" s="182" t="n">
        <v>-2.832036</v>
      </c>
      <c r="H744" s="182" t="n">
        <v>4.006806</v>
      </c>
      <c r="I744" s="182" t="inlineStr"/>
    </row>
    <row r="745" ht="15" customHeight="1" s="28">
      <c r="A745" s="181" t="n">
        <v>735</v>
      </c>
      <c r="B745" s="181" t="n">
        <v>734</v>
      </c>
      <c r="C745" s="181" t="n">
        <v>4564.18</v>
      </c>
      <c r="D745" s="181" t="n">
        <v>4620.9487</v>
      </c>
      <c r="E745" s="181" t="n">
        <v>-56.7687</v>
      </c>
      <c r="F745" s="181" t="n">
        <v>3222.6887</v>
      </c>
      <c r="G745" s="181" t="n">
        <v>-4.208653</v>
      </c>
      <c r="H745" s="181" t="n">
        <v>6.795021</v>
      </c>
      <c r="I745" s="181" t="inlineStr"/>
    </row>
    <row r="746" ht="15" customHeight="1" s="28">
      <c r="A746" s="182" t="n">
        <v>736</v>
      </c>
      <c r="B746" s="182" t="n">
        <v>735</v>
      </c>
      <c r="C746" s="182" t="n">
        <v>4574.6</v>
      </c>
      <c r="D746" s="182" t="n">
        <v>4620.6811</v>
      </c>
      <c r="E746" s="182" t="n">
        <v>-46.0811</v>
      </c>
      <c r="F746" s="182" t="n">
        <v>2123.4696</v>
      </c>
      <c r="G746" s="182" t="n">
        <v>-2.251048</v>
      </c>
      <c r="H746" s="182" t="n">
        <v>2.950164</v>
      </c>
      <c r="I746" s="182" t="inlineStr"/>
    </row>
    <row r="747" ht="15" customHeight="1" s="28">
      <c r="A747" s="181" t="n">
        <v>737</v>
      </c>
      <c r="B747" s="181" t="n">
        <v>736</v>
      </c>
      <c r="C747" s="181" t="n">
        <v>4572.73</v>
      </c>
      <c r="D747" s="181" t="n">
        <v>4620.4135</v>
      </c>
      <c r="E747" s="181" t="n">
        <v>-47.6835</v>
      </c>
      <c r="F747" s="181" t="n">
        <v>2273.7181</v>
      </c>
      <c r="G747" s="181" t="n">
        <v>-2.494138</v>
      </c>
      <c r="H747" s="181" t="n">
        <v>3.382419</v>
      </c>
      <c r="I747" s="181" t="inlineStr"/>
    </row>
    <row r="748" ht="15" customHeight="1" s="28">
      <c r="A748" s="182" t="n">
        <v>738</v>
      </c>
      <c r="B748" s="182" t="n">
        <v>737</v>
      </c>
      <c r="C748" s="182" t="n">
        <v>4577.09</v>
      </c>
      <c r="D748" s="182" t="n">
        <v>4620.1459</v>
      </c>
      <c r="E748" s="182" t="n">
        <v>-43.0559</v>
      </c>
      <c r="F748" s="182" t="n">
        <v>1853.8114</v>
      </c>
      <c r="G748" s="182" t="n">
        <v>-1.836174</v>
      </c>
      <c r="H748" s="182" t="n">
        <v>2.24846</v>
      </c>
      <c r="I748" s="182" t="inlineStr"/>
    </row>
    <row r="749" ht="15" customHeight="1" s="28">
      <c r="A749" s="181" t="n">
        <v>739</v>
      </c>
      <c r="B749" s="181" t="n">
        <v>738</v>
      </c>
      <c r="C749" s="181" t="n">
        <v>4577.82</v>
      </c>
      <c r="D749" s="181" t="n">
        <v>4619.8783</v>
      </c>
      <c r="E749" s="181" t="n">
        <v>-42.0583</v>
      </c>
      <c r="F749" s="181" t="n">
        <v>1768.9014</v>
      </c>
      <c r="G749" s="181" t="n">
        <v>-1.711477</v>
      </c>
      <c r="H749" s="181" t="n">
        <v>2.047205</v>
      </c>
      <c r="I749" s="181" t="inlineStr"/>
    </row>
    <row r="750" ht="15" customHeight="1" s="28">
      <c r="A750" s="182" t="n">
        <v>740</v>
      </c>
      <c r="B750" s="182" t="n">
        <v>739</v>
      </c>
      <c r="C750" s="182" t="n">
        <v>4586.48</v>
      </c>
      <c r="D750" s="182" t="n">
        <v>4619.6107</v>
      </c>
      <c r="E750" s="182" t="n">
        <v>-33.1307</v>
      </c>
      <c r="F750" s="182" t="n">
        <v>1097.6439</v>
      </c>
      <c r="G750" s="182" t="n">
        <v>-0.836581</v>
      </c>
      <c r="H750" s="182" t="n">
        <v>0.788274</v>
      </c>
      <c r="I750" s="182" t="inlineStr"/>
    </row>
    <row r="751" ht="15" customHeight="1" s="28">
      <c r="A751" s="181" t="n">
        <v>741</v>
      </c>
      <c r="B751" s="181" t="n">
        <v>740</v>
      </c>
      <c r="C751" s="181" t="n">
        <v>4585.4</v>
      </c>
      <c r="D751" s="181" t="n">
        <v>4619.3431</v>
      </c>
      <c r="E751" s="181" t="n">
        <v>-33.9431</v>
      </c>
      <c r="F751" s="181" t="n">
        <v>1152.134</v>
      </c>
      <c r="G751" s="181" t="n">
        <v>-0.899643</v>
      </c>
      <c r="H751" s="181" t="n">
        <v>0.8684809999999999</v>
      </c>
      <c r="I751" s="181" t="inlineStr"/>
    </row>
    <row r="752" ht="15" customHeight="1" s="28">
      <c r="A752" s="182" t="n">
        <v>742</v>
      </c>
      <c r="B752" s="182" t="n">
        <v>741</v>
      </c>
      <c r="C752" s="182" t="n">
        <v>4582.74</v>
      </c>
      <c r="D752" s="182" t="n">
        <v>4619.0755</v>
      </c>
      <c r="E752" s="182" t="n">
        <v>-36.3355</v>
      </c>
      <c r="F752" s="182" t="n">
        <v>1320.2686</v>
      </c>
      <c r="G752" s="182" t="n">
        <v>-1.103593</v>
      </c>
      <c r="H752" s="182" t="n">
        <v>1.140456</v>
      </c>
      <c r="I752" s="182" t="inlineStr"/>
    </row>
    <row r="753" ht="15" customHeight="1" s="28">
      <c r="A753" s="181" t="n">
        <v>743</v>
      </c>
      <c r="B753" s="181" t="n">
        <v>742</v>
      </c>
      <c r="C753" s="181" t="n">
        <v>4585.06</v>
      </c>
      <c r="D753" s="181" t="n">
        <v>4618.8079</v>
      </c>
      <c r="E753" s="181" t="n">
        <v>-33.7479</v>
      </c>
      <c r="F753" s="181" t="n">
        <v>1138.9201</v>
      </c>
      <c r="G753" s="181" t="n">
        <v>-0.8842100000000001</v>
      </c>
      <c r="H753" s="181" t="n">
        <v>0.848673</v>
      </c>
      <c r="I753" s="181" t="inlineStr"/>
    </row>
    <row r="754" ht="15" customHeight="1" s="28">
      <c r="A754" s="182" t="n">
        <v>744</v>
      </c>
      <c r="B754" s="182" t="n">
        <v>743</v>
      </c>
      <c r="C754" s="182" t="n">
        <v>4592.2</v>
      </c>
      <c r="D754" s="182" t="n">
        <v>4618.5403</v>
      </c>
      <c r="E754" s="182" t="n">
        <v>-26.3403</v>
      </c>
      <c r="F754" s="182" t="n">
        <v>693.8108999999999</v>
      </c>
      <c r="G754" s="182" t="n">
        <v>-0.420414</v>
      </c>
      <c r="H754" s="182" t="n">
        <v>0.314946</v>
      </c>
      <c r="I754" s="182" t="inlineStr"/>
    </row>
    <row r="755" ht="15" customHeight="1" s="28">
      <c r="A755" s="181" t="n">
        <v>745</v>
      </c>
      <c r="B755" s="181" t="n">
        <v>744</v>
      </c>
      <c r="C755" s="181" t="n">
        <v>4593.67</v>
      </c>
      <c r="D755" s="181" t="n">
        <v>4618.2727</v>
      </c>
      <c r="E755" s="181" t="n">
        <v>-24.6027</v>
      </c>
      <c r="F755" s="181" t="n">
        <v>605.2919000000001</v>
      </c>
      <c r="G755" s="181" t="n">
        <v>-0.342581</v>
      </c>
      <c r="H755" s="181" t="n">
        <v>0.239709</v>
      </c>
      <c r="I755" s="181" t="inlineStr"/>
    </row>
    <row r="756" ht="15" customHeight="1" s="28">
      <c r="A756" s="182" t="n">
        <v>746</v>
      </c>
      <c r="B756" s="182" t="n">
        <v>745</v>
      </c>
      <c r="C756" s="182" t="n">
        <v>4593.49</v>
      </c>
      <c r="D756" s="182" t="n">
        <v>4618.0051</v>
      </c>
      <c r="E756" s="182" t="n">
        <v>-24.5151</v>
      </c>
      <c r="F756" s="182" t="n">
        <v>600.9891</v>
      </c>
      <c r="G756" s="182" t="n">
        <v>-0.338934</v>
      </c>
      <c r="H756" s="182" t="n">
        <v>0.236313</v>
      </c>
      <c r="I756" s="182" t="inlineStr"/>
    </row>
    <row r="757" ht="15" customHeight="1" s="28">
      <c r="A757" s="181" t="n">
        <v>747</v>
      </c>
      <c r="B757" s="181" t="n">
        <v>746</v>
      </c>
      <c r="C757" s="181" t="n">
        <v>4599.02</v>
      </c>
      <c r="D757" s="181" t="n">
        <v>4617.7375</v>
      </c>
      <c r="E757" s="181" t="n">
        <v>-18.7175</v>
      </c>
      <c r="F757" s="181" t="n">
        <v>350.3441</v>
      </c>
      <c r="G757" s="181" t="n">
        <v>-0.150854</v>
      </c>
      <c r="H757" s="181" t="n">
        <v>0.080305</v>
      </c>
      <c r="I757" s="181" t="inlineStr"/>
    </row>
    <row r="758" ht="15" customHeight="1" s="28">
      <c r="A758" s="182" t="n">
        <v>748</v>
      </c>
      <c r="B758" s="182" t="n">
        <v>747</v>
      </c>
      <c r="C758" s="182" t="n">
        <v>4594.77</v>
      </c>
      <c r="D758" s="182" t="n">
        <v>4617.4699</v>
      </c>
      <c r="E758" s="182" t="n">
        <v>-22.6999</v>
      </c>
      <c r="F758" s="182" t="n">
        <v>515.2841</v>
      </c>
      <c r="G758" s="182" t="n">
        <v>-0.269083</v>
      </c>
      <c r="H758" s="182" t="n">
        <v>0.173719</v>
      </c>
      <c r="I758" s="182" t="inlineStr"/>
    </row>
    <row r="759" ht="15" customHeight="1" s="28">
      <c r="A759" s="181" t="n">
        <v>749</v>
      </c>
      <c r="B759" s="181" t="n">
        <v>748</v>
      </c>
      <c r="C759" s="181" t="n">
        <v>4596.1</v>
      </c>
      <c r="D759" s="181" t="n">
        <v>4617.2023</v>
      </c>
      <c r="E759" s="181" t="n">
        <v>-21.1023</v>
      </c>
      <c r="F759" s="181" t="n">
        <v>445.3058</v>
      </c>
      <c r="G759" s="181" t="n">
        <v>-0.216174</v>
      </c>
      <c r="H759" s="181" t="n">
        <v>0.129739</v>
      </c>
      <c r="I759" s="181" t="inlineStr"/>
    </row>
    <row r="760" ht="15" customHeight="1" s="28">
      <c r="A760" s="182" t="n">
        <v>750</v>
      </c>
      <c r="B760" s="182" t="n">
        <v>749</v>
      </c>
      <c r="C760" s="182" t="n">
        <v>4598.91</v>
      </c>
      <c r="D760" s="182" t="n">
        <v>4616.9347</v>
      </c>
      <c r="E760" s="182" t="n">
        <v>-18.0247</v>
      </c>
      <c r="F760" s="182" t="n">
        <v>324.8884</v>
      </c>
      <c r="G760" s="182" t="n">
        <v>-0.134715</v>
      </c>
      <c r="H760" s="182" t="n">
        <v>0.069059</v>
      </c>
      <c r="I760" s="182" t="inlineStr"/>
    </row>
    <row r="761" ht="15" customHeight="1" s="28">
      <c r="A761" s="181" t="n">
        <v>751</v>
      </c>
      <c r="B761" s="181" t="n">
        <v>750</v>
      </c>
      <c r="C761" s="181" t="n">
        <v>4597.74</v>
      </c>
      <c r="D761" s="181" t="n">
        <v>4616.6671</v>
      </c>
      <c r="E761" s="181" t="n">
        <v>-18.9271</v>
      </c>
      <c r="F761" s="181" t="n">
        <v>358.2336</v>
      </c>
      <c r="G761" s="181" t="n">
        <v>-0.155979</v>
      </c>
      <c r="H761" s="181" t="n">
        <v>0.083963</v>
      </c>
      <c r="I761" s="181" t="inlineStr"/>
    </row>
    <row r="762" ht="15" customHeight="1" s="28">
      <c r="A762" s="182" t="n">
        <v>752</v>
      </c>
      <c r="B762" s="182" t="n">
        <v>751</v>
      </c>
      <c r="C762" s="182" t="n">
        <v>4594.2</v>
      </c>
      <c r="D762" s="182" t="n">
        <v>4616.3995</v>
      </c>
      <c r="E762" s="182" t="n">
        <v>-22.1995</v>
      </c>
      <c r="F762" s="182" t="n">
        <v>492.816</v>
      </c>
      <c r="G762" s="182" t="n">
        <v>-0.251677</v>
      </c>
      <c r="H762" s="182" t="n">
        <v>0.1589</v>
      </c>
      <c r="I762" s="182" t="inlineStr"/>
    </row>
    <row r="763" ht="15" customHeight="1" s="28">
      <c r="A763" s="181" t="n">
        <v>753</v>
      </c>
      <c r="B763" s="181" t="n">
        <v>752</v>
      </c>
      <c r="C763" s="181" t="n">
        <v>4595.75</v>
      </c>
      <c r="D763" s="181" t="n">
        <v>4616.1318</v>
      </c>
      <c r="E763" s="181" t="n">
        <v>-20.3818</v>
      </c>
      <c r="F763" s="181" t="n">
        <v>415.4198</v>
      </c>
      <c r="G763" s="181" t="n">
        <v>-0.194781</v>
      </c>
      <c r="H763" s="181" t="n">
        <v>0.112909</v>
      </c>
      <c r="I763" s="181" t="inlineStr"/>
    </row>
    <row r="764" ht="15" customHeight="1" s="28">
      <c r="A764" s="182" t="n">
        <v>754</v>
      </c>
      <c r="B764" s="182" t="n">
        <v>753</v>
      </c>
      <c r="C764" s="182" t="n">
        <v>4596.22</v>
      </c>
      <c r="D764" s="182" t="n">
        <v>4615.8642</v>
      </c>
      <c r="E764" s="182" t="n">
        <v>-19.6442</v>
      </c>
      <c r="F764" s="182" t="n">
        <v>385.8966</v>
      </c>
      <c r="G764" s="182" t="n">
        <v>-0.17439</v>
      </c>
      <c r="H764" s="182" t="n">
        <v>0.097431</v>
      </c>
      <c r="I764" s="182" t="inlineStr"/>
    </row>
    <row r="765" ht="15" customHeight="1" s="28">
      <c r="A765" s="181" t="n">
        <v>755</v>
      </c>
      <c r="B765" s="181" t="n">
        <v>754</v>
      </c>
      <c r="C765" s="181" t="n">
        <v>4598.52</v>
      </c>
      <c r="D765" s="181" t="n">
        <v>4615.5966</v>
      </c>
      <c r="E765" s="181" t="n">
        <v>-17.0766</v>
      </c>
      <c r="F765" s="181" t="n">
        <v>291.6116</v>
      </c>
      <c r="G765" s="181" t="n">
        <v>-0.114557</v>
      </c>
      <c r="H765" s="181" t="n">
        <v>0.055637</v>
      </c>
      <c r="I765" s="181" t="inlineStr"/>
    </row>
    <row r="766" ht="15" customHeight="1" s="28">
      <c r="A766" s="182" t="n">
        <v>756</v>
      </c>
      <c r="B766" s="182" t="n">
        <v>755</v>
      </c>
      <c r="C766" s="182" t="n">
        <v>4595.7</v>
      </c>
      <c r="D766" s="182" t="n">
        <v>4615.329</v>
      </c>
      <c r="E766" s="182" t="n">
        <v>-19.629</v>
      </c>
      <c r="F766" s="182" t="n">
        <v>385.2992</v>
      </c>
      <c r="G766" s="182" t="n">
        <v>-0.173985</v>
      </c>
      <c r="H766" s="182" t="n">
        <v>0.09712899999999999</v>
      </c>
      <c r="I766" s="182" t="inlineStr"/>
    </row>
    <row r="767" ht="15" customHeight="1" s="28">
      <c r="A767" s="181" t="n">
        <v>757</v>
      </c>
      <c r="B767" s="181" t="n">
        <v>756</v>
      </c>
      <c r="C767" s="181" t="n">
        <v>4597.28</v>
      </c>
      <c r="D767" s="181" t="n">
        <v>4615.0614</v>
      </c>
      <c r="E767" s="181" t="n">
        <v>-17.7814</v>
      </c>
      <c r="F767" s="181" t="n">
        <v>316.1796</v>
      </c>
      <c r="G767" s="181" t="n">
        <v>-0.129335</v>
      </c>
      <c r="H767" s="181" t="n">
        <v>0.06540700000000001</v>
      </c>
      <c r="I767" s="181" t="inlineStr"/>
    </row>
    <row r="768" ht="15" customHeight="1" s="28">
      <c r="A768" s="182" t="n">
        <v>758</v>
      </c>
      <c r="B768" s="182" t="n">
        <v>757</v>
      </c>
      <c r="C768" s="182" t="n">
        <v>4592.85</v>
      </c>
      <c r="D768" s="182" t="n">
        <v>4614.7938</v>
      </c>
      <c r="E768" s="182" t="n">
        <v>-21.9438</v>
      </c>
      <c r="F768" s="182" t="n">
        <v>481.5317</v>
      </c>
      <c r="G768" s="182" t="n">
        <v>-0.243082</v>
      </c>
      <c r="H768" s="182" t="n">
        <v>0.151706</v>
      </c>
      <c r="I768" s="182" t="inlineStr"/>
    </row>
    <row r="769" ht="15" customHeight="1" s="28">
      <c r="A769" s="181" t="n">
        <v>759</v>
      </c>
      <c r="B769" s="181" t="n">
        <v>758</v>
      </c>
      <c r="C769" s="181" t="n">
        <v>4593.44</v>
      </c>
      <c r="D769" s="181" t="n">
        <v>4614.5262</v>
      </c>
      <c r="E769" s="181" t="n">
        <v>-21.0862</v>
      </c>
      <c r="F769" s="181" t="n">
        <v>444.6291</v>
      </c>
      <c r="G769" s="181" t="n">
        <v>-0.215681</v>
      </c>
      <c r="H769" s="181" t="n">
        <v>0.129345</v>
      </c>
      <c r="I769" s="181" t="inlineStr"/>
    </row>
    <row r="770" ht="15" customHeight="1" s="28">
      <c r="A770" s="182" t="n">
        <v>760</v>
      </c>
      <c r="B770" s="182" t="n">
        <v>759</v>
      </c>
      <c r="C770" s="182" t="n">
        <v>4597.18</v>
      </c>
      <c r="D770" s="182" t="n">
        <v>4614.2586</v>
      </c>
      <c r="E770" s="182" t="n">
        <v>-17.0786</v>
      </c>
      <c r="F770" s="182" t="n">
        <v>291.6793</v>
      </c>
      <c r="G770" s="182" t="n">
        <v>-0.114597</v>
      </c>
      <c r="H770" s="182" t="n">
        <v>0.055663</v>
      </c>
      <c r="I770" s="182" t="inlineStr"/>
    </row>
    <row r="771" ht="15" customHeight="1" s="28">
      <c r="A771" s="181" t="n">
        <v>761</v>
      </c>
      <c r="B771" s="181" t="n">
        <v>760</v>
      </c>
      <c r="C771" s="181" t="n">
        <v>4596.42</v>
      </c>
      <c r="D771" s="181" t="n">
        <v>4613.991</v>
      </c>
      <c r="E771" s="181" t="n">
        <v>-17.571</v>
      </c>
      <c r="F771" s="181" t="n">
        <v>308.7407</v>
      </c>
      <c r="G771" s="181" t="n">
        <v>-0.124798</v>
      </c>
      <c r="H771" s="181" t="n">
        <v>0.062365</v>
      </c>
      <c r="I771" s="181" t="inlineStr"/>
    </row>
    <row r="772" ht="15" customHeight="1" s="28">
      <c r="A772" s="182" t="n">
        <v>762</v>
      </c>
      <c r="B772" s="182" t="n">
        <v>761</v>
      </c>
      <c r="C772" s="182" t="n">
        <v>4595.82</v>
      </c>
      <c r="D772" s="182" t="n">
        <v>4613.7234</v>
      </c>
      <c r="E772" s="182" t="n">
        <v>-17.9034</v>
      </c>
      <c r="F772" s="182" t="n">
        <v>320.5324</v>
      </c>
      <c r="G772" s="182" t="n">
        <v>-0.132015</v>
      </c>
      <c r="H772" s="182" t="n">
        <v>0.06722</v>
      </c>
      <c r="I772" s="182" t="inlineStr"/>
    </row>
    <row r="773" ht="15" customHeight="1" s="28">
      <c r="A773" s="181" t="n">
        <v>763</v>
      </c>
      <c r="B773" s="181" t="n">
        <v>762</v>
      </c>
      <c r="C773" s="181" t="n">
        <v>4593.71</v>
      </c>
      <c r="D773" s="181" t="n">
        <v>4613.4558</v>
      </c>
      <c r="E773" s="181" t="n">
        <v>-19.7458</v>
      </c>
      <c r="F773" s="181" t="n">
        <v>389.897</v>
      </c>
      <c r="G773" s="181" t="n">
        <v>-0.177109</v>
      </c>
      <c r="H773" s="181" t="n">
        <v>0.09946099999999999</v>
      </c>
      <c r="I773" s="181" t="inlineStr"/>
    </row>
    <row r="774" ht="15" customHeight="1" s="28">
      <c r="A774" s="182" t="n">
        <v>764</v>
      </c>
      <c r="B774" s="182" t="n">
        <v>763</v>
      </c>
      <c r="C774" s="182" t="n">
        <v>4594.16</v>
      </c>
      <c r="D774" s="182" t="n">
        <v>4613.1882</v>
      </c>
      <c r="E774" s="182" t="n">
        <v>-19.0282</v>
      </c>
      <c r="F774" s="182" t="n">
        <v>362.0728</v>
      </c>
      <c r="G774" s="182" t="n">
        <v>-0.158493</v>
      </c>
      <c r="H774" s="182" t="n">
        <v>0.085772</v>
      </c>
      <c r="I774" s="182" t="inlineStr"/>
    </row>
    <row r="775" ht="15" customHeight="1" s="28">
      <c r="A775" s="181" t="n">
        <v>765</v>
      </c>
      <c r="B775" s="181" t="n">
        <v>764</v>
      </c>
      <c r="C775" s="181" t="n">
        <v>4590.84</v>
      </c>
      <c r="D775" s="181" t="n">
        <v>4612.9206</v>
      </c>
      <c r="E775" s="181" t="n">
        <v>-22.0806</v>
      </c>
      <c r="F775" s="181" t="n">
        <v>487.5529</v>
      </c>
      <c r="G775" s="181" t="n">
        <v>-0.247656</v>
      </c>
      <c r="H775" s="181" t="n">
        <v>0.155524</v>
      </c>
      <c r="I775" s="181" t="inlineStr"/>
    </row>
    <row r="776" ht="15" customHeight="1" s="28">
      <c r="A776" s="182" t="n">
        <v>766</v>
      </c>
      <c r="B776" s="182" t="n">
        <v>765</v>
      </c>
      <c r="C776" s="182" t="n">
        <v>4592.2</v>
      </c>
      <c r="D776" s="182" t="n">
        <v>4612.653</v>
      </c>
      <c r="E776" s="182" t="n">
        <v>-20.453</v>
      </c>
      <c r="F776" s="182" t="n">
        <v>418.3252</v>
      </c>
      <c r="G776" s="182" t="n">
        <v>-0.196828</v>
      </c>
      <c r="H776" s="182" t="n">
        <v>0.114494</v>
      </c>
      <c r="I776" s="182" t="inlineStr"/>
    </row>
    <row r="777" ht="15" customHeight="1" s="28">
      <c r="A777" s="181" t="n">
        <v>767</v>
      </c>
      <c r="B777" s="181" t="n">
        <v>766</v>
      </c>
      <c r="C777" s="181" t="n">
        <v>4589.91</v>
      </c>
      <c r="D777" s="181" t="n">
        <v>4612.3854</v>
      </c>
      <c r="E777" s="181" t="n">
        <v>-22.4754</v>
      </c>
      <c r="F777" s="181" t="n">
        <v>505.1432</v>
      </c>
      <c r="G777" s="181" t="n">
        <v>-0.261178</v>
      </c>
      <c r="H777" s="181" t="n">
        <v>0.166949</v>
      </c>
      <c r="I777" s="181" t="inlineStr"/>
    </row>
    <row r="778" ht="15" customHeight="1" s="28">
      <c r="A778" s="182" t="n">
        <v>768</v>
      </c>
      <c r="B778" s="182" t="n">
        <v>767</v>
      </c>
      <c r="C778" s="182" t="n">
        <v>4595.51</v>
      </c>
      <c r="D778" s="182" t="n">
        <v>4612.1178</v>
      </c>
      <c r="E778" s="182" t="n">
        <v>-16.6078</v>
      </c>
      <c r="F778" s="182" t="n">
        <v>275.8187</v>
      </c>
      <c r="G778" s="182" t="n">
        <v>-0.105378</v>
      </c>
      <c r="H778" s="182" t="n">
        <v>0.049774</v>
      </c>
      <c r="I778" s="182" t="inlineStr"/>
    </row>
    <row r="779" ht="15" customHeight="1" s="28">
      <c r="A779" s="181" t="n">
        <v>769</v>
      </c>
      <c r="B779" s="181" t="n">
        <v>768</v>
      </c>
      <c r="C779" s="181" t="n">
        <v>4607.37</v>
      </c>
      <c r="D779" s="181" t="n">
        <v>4611.8502</v>
      </c>
      <c r="E779" s="181" t="n">
        <v>-4.4802</v>
      </c>
      <c r="F779" s="181" t="n">
        <v>20.0721</v>
      </c>
      <c r="G779" s="181" t="n">
        <v>-0.002069</v>
      </c>
      <c r="H779" s="181" t="n">
        <v>0.000264</v>
      </c>
      <c r="I779" s="181" t="inlineStr"/>
    </row>
    <row r="780" ht="15" customHeight="1" s="28">
      <c r="A780" s="182" t="n">
        <v>770</v>
      </c>
      <c r="B780" s="182" t="n">
        <v>769</v>
      </c>
      <c r="C780" s="182" t="n">
        <v>4600.13</v>
      </c>
      <c r="D780" s="182" t="n">
        <v>4611.5826</v>
      </c>
      <c r="E780" s="182" t="n">
        <v>-11.4526</v>
      </c>
      <c r="F780" s="182" t="n">
        <v>131.1616</v>
      </c>
      <c r="G780" s="182" t="n">
        <v>-0.034556</v>
      </c>
      <c r="H780" s="182" t="n">
        <v>0.011256</v>
      </c>
      <c r="I780" s="182" t="inlineStr"/>
    </row>
    <row r="781" ht="15" customHeight="1" s="28">
      <c r="A781" s="181" t="n">
        <v>771</v>
      </c>
      <c r="B781" s="181" t="n">
        <v>770</v>
      </c>
      <c r="C781" s="181" t="n">
        <v>4603.88</v>
      </c>
      <c r="D781" s="181" t="n">
        <v>4611.315</v>
      </c>
      <c r="E781" s="181" t="n">
        <v>-7.435</v>
      </c>
      <c r="F781" s="181" t="n">
        <v>55.2789</v>
      </c>
      <c r="G781" s="181" t="n">
        <v>-0.009455</v>
      </c>
      <c r="H781" s="181" t="n">
        <v>0.001999</v>
      </c>
      <c r="I781" s="181" t="inlineStr"/>
    </row>
    <row r="782" ht="15" customHeight="1" s="28">
      <c r="A782" s="182" t="n">
        <v>772</v>
      </c>
      <c r="B782" s="182" t="n">
        <v>771</v>
      </c>
      <c r="C782" s="182" t="n">
        <v>4600.27</v>
      </c>
      <c r="D782" s="182" t="n">
        <v>4611.0474</v>
      </c>
      <c r="E782" s="182" t="n">
        <v>-10.7774</v>
      </c>
      <c r="F782" s="182" t="n">
        <v>116.1517</v>
      </c>
      <c r="G782" s="182" t="n">
        <v>-0.028797</v>
      </c>
      <c r="H782" s="182" t="n">
        <v>0.008827</v>
      </c>
      <c r="I782" s="182" t="inlineStr"/>
    </row>
    <row r="783" ht="15" customHeight="1" s="28">
      <c r="A783" s="181" t="n">
        <v>773</v>
      </c>
      <c r="B783" s="181" t="n">
        <v>772</v>
      </c>
      <c r="C783" s="181" t="n">
        <v>4582.65</v>
      </c>
      <c r="D783" s="181" t="n">
        <v>4610.7798</v>
      </c>
      <c r="E783" s="181" t="n">
        <v>-28.1298</v>
      </c>
      <c r="F783" s="181" t="n">
        <v>791.284</v>
      </c>
      <c r="G783" s="181" t="n">
        <v>-0.512052</v>
      </c>
      <c r="H783" s="181" t="n">
        <v>0.409656</v>
      </c>
      <c r="I783" s="181" t="inlineStr"/>
    </row>
    <row r="784" ht="15" customHeight="1" s="28">
      <c r="A784" s="182" t="n">
        <v>774</v>
      </c>
      <c r="B784" s="182" t="n">
        <v>773</v>
      </c>
      <c r="C784" s="182" t="n">
        <v>4580.48</v>
      </c>
      <c r="D784" s="182" t="n">
        <v>4610.5122</v>
      </c>
      <c r="E784" s="182" t="n">
        <v>-30.0322</v>
      </c>
      <c r="F784" s="182" t="n">
        <v>901.9312</v>
      </c>
      <c r="G784" s="182" t="n">
        <v>-0.623126</v>
      </c>
      <c r="H784" s="182" t="n">
        <v>0.532232</v>
      </c>
      <c r="I784" s="182" t="inlineStr"/>
    </row>
    <row r="785" ht="15" customHeight="1" s="28">
      <c r="A785" s="181" t="n">
        <v>775</v>
      </c>
      <c r="B785" s="181" t="n">
        <v>774</v>
      </c>
      <c r="C785" s="181" t="n">
        <v>4590.56</v>
      </c>
      <c r="D785" s="181" t="n">
        <v>4610.2446</v>
      </c>
      <c r="E785" s="181" t="n">
        <v>-19.6846</v>
      </c>
      <c r="F785" s="181" t="n">
        <v>387.4819</v>
      </c>
      <c r="G785" s="181" t="n">
        <v>-0.175466</v>
      </c>
      <c r="H785" s="181" t="n">
        <v>0.098233</v>
      </c>
      <c r="I785" s="181" t="inlineStr"/>
    </row>
    <row r="786" ht="15" customHeight="1" s="28">
      <c r="A786" s="182" t="n">
        <v>776</v>
      </c>
      <c r="B786" s="182" t="n">
        <v>775</v>
      </c>
      <c r="C786" s="182" t="n">
        <v>4584.98</v>
      </c>
      <c r="D786" s="182" t="n">
        <v>4609.977</v>
      </c>
      <c r="E786" s="182" t="n">
        <v>-24.997</v>
      </c>
      <c r="F786" s="182" t="n">
        <v>624.848</v>
      </c>
      <c r="G786" s="182" t="n">
        <v>-0.359317</v>
      </c>
      <c r="H786" s="182" t="n">
        <v>0.255448</v>
      </c>
      <c r="I786" s="182" t="inlineStr"/>
    </row>
    <row r="787" ht="15" customHeight="1" s="28">
      <c r="A787" s="181" t="n">
        <v>777</v>
      </c>
      <c r="B787" s="181" t="n">
        <v>776</v>
      </c>
      <c r="C787" s="181" t="n">
        <v>4600.87</v>
      </c>
      <c r="D787" s="181" t="n">
        <v>4609.7094</v>
      </c>
      <c r="E787" s="181" t="n">
        <v>-8.839399999999999</v>
      </c>
      <c r="F787" s="181" t="n">
        <v>78.1341</v>
      </c>
      <c r="G787" s="181" t="n">
        <v>-0.015888</v>
      </c>
      <c r="H787" s="181" t="n">
        <v>0.003994</v>
      </c>
      <c r="I787" s="181" t="inlineStr"/>
    </row>
    <row r="788" ht="15" customHeight="1" s="28">
      <c r="A788" s="182" t="n">
        <v>778</v>
      </c>
      <c r="B788" s="182" t="n">
        <v>777</v>
      </c>
      <c r="C788" s="182" t="n">
        <v>4598.93</v>
      </c>
      <c r="D788" s="182" t="n">
        <v>4609.4417</v>
      </c>
      <c r="E788" s="182" t="n">
        <v>-10.5117</v>
      </c>
      <c r="F788" s="182" t="n">
        <v>110.4969</v>
      </c>
      <c r="G788" s="182" t="n">
        <v>-0.02672</v>
      </c>
      <c r="H788" s="182" t="n">
        <v>0.007988</v>
      </c>
      <c r="I788" s="182" t="inlineStr"/>
    </row>
    <row r="789" ht="15" customHeight="1" s="28">
      <c r="A789" s="181" t="n">
        <v>779</v>
      </c>
      <c r="B789" s="181" t="n">
        <v>778</v>
      </c>
      <c r="C789" s="181" t="n">
        <v>4596.92</v>
      </c>
      <c r="D789" s="181" t="n">
        <v>4609.1741</v>
      </c>
      <c r="E789" s="181" t="n">
        <v>-12.2541</v>
      </c>
      <c r="F789" s="181" t="n">
        <v>150.1642</v>
      </c>
      <c r="G789" s="181" t="n">
        <v>-0.042332</v>
      </c>
      <c r="H789" s="181" t="n">
        <v>0.014753</v>
      </c>
      <c r="I789" s="181" t="inlineStr"/>
    </row>
    <row r="790" ht="15" customHeight="1" s="28">
      <c r="A790" s="182" t="n">
        <v>780</v>
      </c>
      <c r="B790" s="182" t="n">
        <v>779</v>
      </c>
      <c r="C790" s="182" t="n">
        <v>4593.75</v>
      </c>
      <c r="D790" s="182" t="n">
        <v>4608.9065</v>
      </c>
      <c r="E790" s="182" t="n">
        <v>-15.1565</v>
      </c>
      <c r="F790" s="182" t="n">
        <v>229.7207</v>
      </c>
      <c r="G790" s="182" t="n">
        <v>-0.080097</v>
      </c>
      <c r="H790" s="182" t="n">
        <v>0.034527</v>
      </c>
      <c r="I790" s="182" t="inlineStr"/>
    </row>
    <row r="791" ht="15" customHeight="1" s="28">
      <c r="A791" s="181" t="n">
        <v>781</v>
      </c>
      <c r="B791" s="181" t="n">
        <v>780</v>
      </c>
      <c r="C791" s="181" t="n">
        <v>4601.89</v>
      </c>
      <c r="D791" s="181" t="n">
        <v>4608.6389</v>
      </c>
      <c r="E791" s="181" t="n">
        <v>-6.7489</v>
      </c>
      <c r="F791" s="181" t="n">
        <v>45.5482</v>
      </c>
      <c r="G791" s="181" t="n">
        <v>-0.007072</v>
      </c>
      <c r="H791" s="181" t="n">
        <v>0.001357</v>
      </c>
      <c r="I791" s="181" t="inlineStr"/>
    </row>
    <row r="792" ht="15" customHeight="1" s="28">
      <c r="A792" s="182" t="n">
        <v>782</v>
      </c>
      <c r="B792" s="182" t="n">
        <v>781</v>
      </c>
      <c r="C792" s="182" t="n">
        <v>4598.67</v>
      </c>
      <c r="D792" s="182" t="n">
        <v>4608.3713</v>
      </c>
      <c r="E792" s="182" t="n">
        <v>-9.7013</v>
      </c>
      <c r="F792" s="182" t="n">
        <v>94.11579999999999</v>
      </c>
      <c r="G792" s="182" t="n">
        <v>-0.021004</v>
      </c>
      <c r="H792" s="182" t="n">
        <v>0.005795</v>
      </c>
      <c r="I792" s="182" t="inlineStr"/>
    </row>
    <row r="793" ht="15" customHeight="1" s="28">
      <c r="A793" s="181" t="n">
        <v>783</v>
      </c>
      <c r="B793" s="181" t="n">
        <v>782</v>
      </c>
      <c r="C793" s="181" t="n">
        <v>4593.91</v>
      </c>
      <c r="D793" s="181" t="n">
        <v>4608.1037</v>
      </c>
      <c r="E793" s="181" t="n">
        <v>-14.1937</v>
      </c>
      <c r="F793" s="181" t="n">
        <v>201.462</v>
      </c>
      <c r="G793" s="181" t="n">
        <v>-0.06578199999999999</v>
      </c>
      <c r="H793" s="181" t="n">
        <v>0.026555</v>
      </c>
      <c r="I793" s="181" t="inlineStr"/>
    </row>
    <row r="794" ht="15" customHeight="1" s="28">
      <c r="A794" s="182" t="n">
        <v>784</v>
      </c>
      <c r="B794" s="182" t="n">
        <v>783</v>
      </c>
      <c r="C794" s="182" t="n">
        <v>4595.48</v>
      </c>
      <c r="D794" s="182" t="n">
        <v>4607.8361</v>
      </c>
      <c r="E794" s="182" t="n">
        <v>-12.3561</v>
      </c>
      <c r="F794" s="182" t="n">
        <v>152.6739</v>
      </c>
      <c r="G794" s="182" t="n">
        <v>-0.043397</v>
      </c>
      <c r="H794" s="182" t="n">
        <v>0.01525</v>
      </c>
      <c r="I794" s="182" t="inlineStr"/>
    </row>
    <row r="795" ht="15" customHeight="1" s="28">
      <c r="A795" s="181" t="n">
        <v>785</v>
      </c>
      <c r="B795" s="181" t="n">
        <v>784</v>
      </c>
      <c r="C795" s="181" t="n">
        <v>4600.68</v>
      </c>
      <c r="D795" s="181" t="n">
        <v>4607.5685</v>
      </c>
      <c r="E795" s="181" t="n">
        <v>-6.8885</v>
      </c>
      <c r="F795" s="181" t="n">
        <v>47.4517</v>
      </c>
      <c r="G795" s="181" t="n">
        <v>-0.00752</v>
      </c>
      <c r="H795" s="181" t="n">
        <v>0.001473</v>
      </c>
      <c r="I795" s="181" t="inlineStr"/>
    </row>
    <row r="796" ht="15" customHeight="1" s="28">
      <c r="A796" s="182" t="n">
        <v>786</v>
      </c>
      <c r="B796" s="182" t="n">
        <v>785</v>
      </c>
      <c r="C796" s="182" t="n">
        <v>4601.86</v>
      </c>
      <c r="D796" s="182" t="n">
        <v>4607.3009</v>
      </c>
      <c r="E796" s="182" t="n">
        <v>-5.4409</v>
      </c>
      <c r="F796" s="182" t="n">
        <v>29.6036</v>
      </c>
      <c r="G796" s="182" t="n">
        <v>-0.003705</v>
      </c>
      <c r="H796" s="182" t="n">
        <v>0.0005730000000000001</v>
      </c>
      <c r="I796" s="182" t="inlineStr"/>
    </row>
    <row r="797" ht="15" customHeight="1" s="28">
      <c r="A797" s="181" t="n">
        <v>787</v>
      </c>
      <c r="B797" s="181" t="n">
        <v>786</v>
      </c>
      <c r="C797" s="181" t="n">
        <v>4602.15</v>
      </c>
      <c r="D797" s="181" t="n">
        <v>4607.0333</v>
      </c>
      <c r="E797" s="181" t="n">
        <v>-4.8833</v>
      </c>
      <c r="F797" s="181" t="n">
        <v>23.8467</v>
      </c>
      <c r="G797" s="181" t="n">
        <v>-0.002679</v>
      </c>
      <c r="H797" s="181" t="n">
        <v>0.000372</v>
      </c>
      <c r="I797" s="181" t="inlineStr"/>
    </row>
    <row r="798" ht="15" customHeight="1" s="28">
      <c r="A798" s="182" t="n">
        <v>788</v>
      </c>
      <c r="B798" s="182" t="n">
        <v>787</v>
      </c>
      <c r="C798" s="182" t="n">
        <v>4604.85</v>
      </c>
      <c r="D798" s="182" t="n">
        <v>4606.7657</v>
      </c>
      <c r="E798" s="182" t="n">
        <v>-1.9157</v>
      </c>
      <c r="F798" s="182" t="n">
        <v>3.6699</v>
      </c>
      <c r="G798" s="182" t="n">
        <v>-0.000162</v>
      </c>
      <c r="H798" s="182" t="n">
        <v>9e-06</v>
      </c>
      <c r="I798" s="182" t="inlineStr"/>
    </row>
    <row r="799" ht="15" customHeight="1" s="28">
      <c r="A799" s="181" t="n">
        <v>789</v>
      </c>
      <c r="B799" s="181" t="n">
        <v>788</v>
      </c>
      <c r="C799" s="181" t="n">
        <v>4601.15</v>
      </c>
      <c r="D799" s="181" t="n">
        <v>4606.4981</v>
      </c>
      <c r="E799" s="181" t="n">
        <v>-5.3481</v>
      </c>
      <c r="F799" s="181" t="n">
        <v>28.6022</v>
      </c>
      <c r="G799" s="181" t="n">
        <v>-0.003519</v>
      </c>
      <c r="H799" s="181" t="n">
        <v>0.000535</v>
      </c>
      <c r="I799" s="181" t="inlineStr"/>
    </row>
    <row r="800" ht="15" customHeight="1" s="28">
      <c r="A800" s="182" t="n">
        <v>790</v>
      </c>
      <c r="B800" s="182" t="n">
        <v>789</v>
      </c>
      <c r="C800" s="182" t="n">
        <v>4600.72</v>
      </c>
      <c r="D800" s="182" t="n">
        <v>4606.2305</v>
      </c>
      <c r="E800" s="182" t="n">
        <v>-5.5105</v>
      </c>
      <c r="F800" s="182" t="n">
        <v>30.3656</v>
      </c>
      <c r="G800" s="182" t="n">
        <v>-0.003849</v>
      </c>
      <c r="H800" s="182" t="n">
        <v>0.000603</v>
      </c>
      <c r="I800" s="182" t="inlineStr"/>
    </row>
    <row r="801" ht="15" customHeight="1" s="28">
      <c r="A801" s="181" t="n">
        <v>791</v>
      </c>
      <c r="B801" s="181" t="n">
        <v>790</v>
      </c>
      <c r="C801" s="181" t="n">
        <v>4599.05</v>
      </c>
      <c r="D801" s="181" t="n">
        <v>4605.9629</v>
      </c>
      <c r="E801" s="181" t="n">
        <v>-6.9129</v>
      </c>
      <c r="F801" s="181" t="n">
        <v>47.7882</v>
      </c>
      <c r="G801" s="181" t="n">
        <v>-0.0076</v>
      </c>
      <c r="H801" s="181" t="n">
        <v>0.001494</v>
      </c>
      <c r="I801" s="181" t="inlineStr"/>
    </row>
    <row r="802" ht="15" customHeight="1" s="28">
      <c r="A802" s="182" t="n">
        <v>792</v>
      </c>
      <c r="B802" s="182" t="n">
        <v>791</v>
      </c>
      <c r="C802" s="182" t="n">
        <v>4590.9</v>
      </c>
      <c r="D802" s="182" t="n">
        <v>4605.6953</v>
      </c>
      <c r="E802" s="182" t="n">
        <v>-14.7953</v>
      </c>
      <c r="F802" s="182" t="n">
        <v>218.9006</v>
      </c>
      <c r="G802" s="182" t="n">
        <v>-0.074505</v>
      </c>
      <c r="H802" s="182" t="n">
        <v>0.031351</v>
      </c>
      <c r="I802" s="182" t="inlineStr"/>
    </row>
    <row r="803" ht="15" customHeight="1" s="28">
      <c r="A803" s="181" t="n">
        <v>793</v>
      </c>
      <c r="B803" s="181" t="n">
        <v>792</v>
      </c>
      <c r="C803" s="181" t="n">
        <v>4588.73</v>
      </c>
      <c r="D803" s="181" t="n">
        <v>4605.4277</v>
      </c>
      <c r="E803" s="181" t="n">
        <v>-16.6977</v>
      </c>
      <c r="F803" s="181" t="n">
        <v>278.8129</v>
      </c>
      <c r="G803" s="181" t="n">
        <v>-0.107099</v>
      </c>
      <c r="H803" s="181" t="n">
        <v>0.05086</v>
      </c>
      <c r="I803" s="181" t="inlineStr"/>
    </row>
    <row r="804" ht="15" customHeight="1" s="28">
      <c r="A804" s="182" t="n">
        <v>794</v>
      </c>
      <c r="B804" s="182" t="n">
        <v>793</v>
      </c>
      <c r="C804" s="182" t="n">
        <v>4585.04</v>
      </c>
      <c r="D804" s="182" t="n">
        <v>4605.1601</v>
      </c>
      <c r="E804" s="182" t="n">
        <v>-20.1201</v>
      </c>
      <c r="F804" s="182" t="n">
        <v>404.8176</v>
      </c>
      <c r="G804" s="182" t="n">
        <v>-0.187372</v>
      </c>
      <c r="H804" s="182" t="n">
        <v>0.107219</v>
      </c>
      <c r="I804" s="182" t="inlineStr"/>
    </row>
    <row r="805" ht="15" customHeight="1" s="28">
      <c r="A805" s="181" t="n">
        <v>795</v>
      </c>
      <c r="B805" s="181" t="n">
        <v>794</v>
      </c>
      <c r="C805" s="181" t="n">
        <v>4585.03</v>
      </c>
      <c r="D805" s="181" t="n">
        <v>4604.8925</v>
      </c>
      <c r="E805" s="181" t="n">
        <v>-19.8625</v>
      </c>
      <c r="F805" s="181" t="n">
        <v>394.5181</v>
      </c>
      <c r="G805" s="181" t="n">
        <v>-0.180267</v>
      </c>
      <c r="H805" s="181" t="n">
        <v>0.101833</v>
      </c>
      <c r="I805" s="181" t="inlineStr"/>
    </row>
    <row r="806" ht="15" customHeight="1" s="28">
      <c r="A806" s="182" t="n">
        <v>796</v>
      </c>
      <c r="B806" s="182" t="n">
        <v>795</v>
      </c>
      <c r="C806" s="182" t="n">
        <v>4584.52</v>
      </c>
      <c r="D806" s="182" t="n">
        <v>4604.6249</v>
      </c>
      <c r="E806" s="182" t="n">
        <v>-20.1049</v>
      </c>
      <c r="F806" s="182" t="n">
        <v>404.2062</v>
      </c>
      <c r="G806" s="182" t="n">
        <v>-0.186948</v>
      </c>
      <c r="H806" s="182" t="n">
        <v>0.106896</v>
      </c>
      <c r="I806" s="182" t="inlineStr"/>
    </row>
    <row r="807" ht="15" customHeight="1" s="28">
      <c r="A807" s="181" t="n">
        <v>797</v>
      </c>
      <c r="B807" s="181" t="n">
        <v>796</v>
      </c>
      <c r="C807" s="181" t="n">
        <v>4578.72</v>
      </c>
      <c r="D807" s="181" t="n">
        <v>4604.3573</v>
      </c>
      <c r="E807" s="181" t="n">
        <v>-25.6373</v>
      </c>
      <c r="F807" s="181" t="n">
        <v>657.2696</v>
      </c>
      <c r="G807" s="181" t="n">
        <v>-0.387642</v>
      </c>
      <c r="H807" s="181" t="n">
        <v>0.282645</v>
      </c>
      <c r="I807" s="181" t="inlineStr"/>
    </row>
    <row r="808" ht="15" customHeight="1" s="28">
      <c r="A808" s="182" t="n">
        <v>798</v>
      </c>
      <c r="B808" s="182" t="n">
        <v>797</v>
      </c>
      <c r="C808" s="182" t="n">
        <v>4575.11</v>
      </c>
      <c r="D808" s="182" t="n">
        <v>4604.0897</v>
      </c>
      <c r="E808" s="182" t="n">
        <v>-28.9797</v>
      </c>
      <c r="F808" s="182" t="n">
        <v>839.8213</v>
      </c>
      <c r="G808" s="182" t="n">
        <v>-0.559881</v>
      </c>
      <c r="H808" s="182" t="n">
        <v>0.461453</v>
      </c>
      <c r="I808" s="182" t="inlineStr"/>
    </row>
    <row r="809" ht="15" customHeight="1" s="28">
      <c r="A809" s="181" t="n">
        <v>799</v>
      </c>
      <c r="B809" s="181" t="n">
        <v>798</v>
      </c>
      <c r="C809" s="181" t="n">
        <v>4570.56</v>
      </c>
      <c r="D809" s="181" t="n">
        <v>4603.8221</v>
      </c>
      <c r="E809" s="181" t="n">
        <v>-33.2621</v>
      </c>
      <c r="F809" s="181" t="n">
        <v>1106.3646</v>
      </c>
      <c r="G809" s="181" t="n">
        <v>-0.84657</v>
      </c>
      <c r="H809" s="181" t="n">
        <v>0.800849</v>
      </c>
      <c r="I809" s="181" t="inlineStr"/>
    </row>
    <row r="810" ht="15" customHeight="1" s="28">
      <c r="A810" s="182" t="n">
        <v>800</v>
      </c>
      <c r="B810" s="182" t="n">
        <v>799</v>
      </c>
      <c r="C810" s="182" t="n">
        <v>4567.92</v>
      </c>
      <c r="D810" s="182" t="n">
        <v>4603.5545</v>
      </c>
      <c r="E810" s="182" t="n">
        <v>-35.6345</v>
      </c>
      <c r="F810" s="182" t="n">
        <v>1269.8147</v>
      </c>
      <c r="G810" s="182" t="n">
        <v>-1.040941</v>
      </c>
      <c r="H810" s="182" t="n">
        <v>1.054957</v>
      </c>
      <c r="I810" s="182" t="inlineStr"/>
    </row>
    <row r="811" ht="15" customHeight="1" s="28">
      <c r="A811" s="181" t="n">
        <v>801</v>
      </c>
      <c r="B811" s="181" t="n">
        <v>800</v>
      </c>
      <c r="C811" s="181" t="n">
        <v>4565.44</v>
      </c>
      <c r="D811" s="181" t="n">
        <v>4603.2869</v>
      </c>
      <c r="E811" s="181" t="n">
        <v>-37.8469</v>
      </c>
      <c r="F811" s="181" t="n">
        <v>1432.3848</v>
      </c>
      <c r="G811" s="181" t="n">
        <v>-1.247111</v>
      </c>
      <c r="H811" s="181" t="n">
        <v>1.342374</v>
      </c>
      <c r="I811" s="181" t="inlineStr"/>
    </row>
    <row r="812" ht="15" customHeight="1" s="28">
      <c r="A812" s="182" t="n">
        <v>802</v>
      </c>
      <c r="B812" s="182" t="n">
        <v>801</v>
      </c>
      <c r="C812" s="182" t="n">
        <v>4566.65</v>
      </c>
      <c r="D812" s="182" t="n">
        <v>4603.0193</v>
      </c>
      <c r="E812" s="182" t="n">
        <v>-36.3693</v>
      </c>
      <c r="F812" s="182" t="n">
        <v>1322.7223</v>
      </c>
      <c r="G812" s="182" t="n">
        <v>-1.106671</v>
      </c>
      <c r="H812" s="182" t="n">
        <v>1.1447</v>
      </c>
      <c r="I812" s="182" t="inlineStr"/>
    </row>
    <row r="813" ht="15" customHeight="1" s="28">
      <c r="A813" s="181" t="n">
        <v>803</v>
      </c>
      <c r="B813" s="181" t="n">
        <v>802</v>
      </c>
      <c r="C813" s="181" t="n">
        <v>4568.37</v>
      </c>
      <c r="D813" s="181" t="n">
        <v>4602.7517</v>
      </c>
      <c r="E813" s="181" t="n">
        <v>-34.3817</v>
      </c>
      <c r="F813" s="181" t="n">
        <v>1182.0979</v>
      </c>
      <c r="G813" s="181" t="n">
        <v>-0.934966</v>
      </c>
      <c r="H813" s="181" t="n">
        <v>0.914242</v>
      </c>
      <c r="I813" s="181" t="inlineStr"/>
    </row>
    <row r="814" ht="15" customHeight="1" s="28">
      <c r="A814" s="182" t="n">
        <v>804</v>
      </c>
      <c r="B814" s="182" t="n">
        <v>803</v>
      </c>
      <c r="C814" s="182" t="n">
        <v>4573.2</v>
      </c>
      <c r="D814" s="182" t="n">
        <v>4602.484</v>
      </c>
      <c r="E814" s="182" t="n">
        <v>-29.284</v>
      </c>
      <c r="F814" s="182" t="n">
        <v>857.5549999999999</v>
      </c>
      <c r="G814" s="182" t="n">
        <v>-0.577708</v>
      </c>
      <c r="H814" s="182" t="n">
        <v>0.481147</v>
      </c>
      <c r="I814" s="182" t="inlineStr"/>
    </row>
    <row r="815" ht="15" customHeight="1" s="28">
      <c r="A815" s="181" t="n">
        <v>805</v>
      </c>
      <c r="B815" s="181" t="n">
        <v>804</v>
      </c>
      <c r="C815" s="181" t="n">
        <v>4574.2</v>
      </c>
      <c r="D815" s="181" t="n">
        <v>4602.2164</v>
      </c>
      <c r="E815" s="181" t="n">
        <v>-28.0164</v>
      </c>
      <c r="F815" s="181" t="n">
        <v>784.9209</v>
      </c>
      <c r="G815" s="181" t="n">
        <v>-0.505888</v>
      </c>
      <c r="H815" s="181" t="n">
        <v>0.403094</v>
      </c>
      <c r="I815" s="181" t="inlineStr"/>
    </row>
    <row r="816" ht="15" customHeight="1" s="28">
      <c r="A816" s="182" t="n">
        <v>806</v>
      </c>
      <c r="B816" s="182" t="n">
        <v>805</v>
      </c>
      <c r="C816" s="182" t="n">
        <v>4565.69</v>
      </c>
      <c r="D816" s="182" t="n">
        <v>4601.9488</v>
      </c>
      <c r="E816" s="182" t="n">
        <v>-36.2588</v>
      </c>
      <c r="F816" s="182" t="n">
        <v>1314.7035</v>
      </c>
      <c r="G816" s="182" t="n">
        <v>-1.096623</v>
      </c>
      <c r="H816" s="182" t="n">
        <v>1.130862</v>
      </c>
      <c r="I816" s="182" t="inlineStr"/>
    </row>
    <row r="817" ht="15" customHeight="1" s="28">
      <c r="A817" s="181" t="n">
        <v>807</v>
      </c>
      <c r="B817" s="181" t="n">
        <v>806</v>
      </c>
      <c r="C817" s="181" t="n">
        <v>4558.86</v>
      </c>
      <c r="D817" s="181" t="n">
        <v>4601.6812</v>
      </c>
      <c r="E817" s="181" t="n">
        <v>-42.8212</v>
      </c>
      <c r="F817" s="181" t="n">
        <v>1833.6577</v>
      </c>
      <c r="G817" s="181" t="n">
        <v>-1.806313</v>
      </c>
      <c r="H817" s="181" t="n">
        <v>2.199838</v>
      </c>
      <c r="I817" s="181" t="inlineStr"/>
    </row>
    <row r="818" ht="15" customHeight="1" s="28">
      <c r="A818" s="182" t="n">
        <v>808</v>
      </c>
      <c r="B818" s="182" t="n">
        <v>807</v>
      </c>
      <c r="C818" s="182" t="n">
        <v>4555.94</v>
      </c>
      <c r="D818" s="182" t="n">
        <v>4601.4136</v>
      </c>
      <c r="E818" s="182" t="n">
        <v>-45.4736</v>
      </c>
      <c r="F818" s="182" t="n">
        <v>2067.851</v>
      </c>
      <c r="G818" s="182" t="n">
        <v>-2.163189</v>
      </c>
      <c r="H818" s="182" t="n">
        <v>2.797645</v>
      </c>
      <c r="I818" s="182" t="inlineStr"/>
    </row>
    <row r="819" ht="15" customHeight="1" s="28">
      <c r="A819" s="181" t="n">
        <v>809</v>
      </c>
      <c r="B819" s="181" t="n">
        <v>808</v>
      </c>
      <c r="C819" s="181" t="n">
        <v>4568.04</v>
      </c>
      <c r="D819" s="181" t="n">
        <v>4601.146</v>
      </c>
      <c r="E819" s="181" t="n">
        <v>-33.106</v>
      </c>
      <c r="F819" s="181" t="n">
        <v>1096.0086</v>
      </c>
      <c r="G819" s="181" t="n">
        <v>-0.834712</v>
      </c>
      <c r="H819" s="181" t="n">
        <v>0.785927</v>
      </c>
      <c r="I819" s="181" t="inlineStr"/>
    </row>
    <row r="820" ht="15" customHeight="1" s="28">
      <c r="A820" s="182" t="n">
        <v>810</v>
      </c>
      <c r="B820" s="182" t="n">
        <v>809</v>
      </c>
      <c r="C820" s="182" t="n">
        <v>4571.78</v>
      </c>
      <c r="D820" s="182" t="n">
        <v>4600.8784</v>
      </c>
      <c r="E820" s="182" t="n">
        <v>-29.0984</v>
      </c>
      <c r="F820" s="182" t="n">
        <v>846.718</v>
      </c>
      <c r="G820" s="182" t="n">
        <v>-0.566792</v>
      </c>
      <c r="H820" s="182" t="n">
        <v>0.469064</v>
      </c>
      <c r="I820" s="182" t="inlineStr"/>
    </row>
    <row r="821" ht="15" customHeight="1" s="28">
      <c r="A821" s="181" t="n">
        <v>811</v>
      </c>
      <c r="B821" s="181" t="n">
        <v>810</v>
      </c>
      <c r="C821" s="181" t="n">
        <v>4566.36</v>
      </c>
      <c r="D821" s="181" t="n">
        <v>4600.6108</v>
      </c>
      <c r="E821" s="181" t="n">
        <v>-34.2508</v>
      </c>
      <c r="F821" s="181" t="n">
        <v>1173.118</v>
      </c>
      <c r="G821" s="181" t="n">
        <v>-0.924332</v>
      </c>
      <c r="H821" s="181" t="n">
        <v>0.900404</v>
      </c>
      <c r="I821" s="181" t="inlineStr"/>
    </row>
    <row r="822" ht="15" customHeight="1" s="28">
      <c r="A822" s="182" t="n">
        <v>812</v>
      </c>
      <c r="B822" s="182" t="n">
        <v>811</v>
      </c>
      <c r="C822" s="182" t="n">
        <v>4569.98</v>
      </c>
      <c r="D822" s="182" t="n">
        <v>4600.3432</v>
      </c>
      <c r="E822" s="182" t="n">
        <v>-30.3632</v>
      </c>
      <c r="F822" s="182" t="n">
        <v>921.9245</v>
      </c>
      <c r="G822" s="182" t="n">
        <v>-0.64396</v>
      </c>
      <c r="H822" s="182" t="n">
        <v>0.55609</v>
      </c>
      <c r="I822" s="182" t="inlineStr"/>
    </row>
    <row r="823" ht="15" customHeight="1" s="28">
      <c r="A823" s="181" t="n">
        <v>813</v>
      </c>
      <c r="B823" s="181" t="n">
        <v>812</v>
      </c>
      <c r="C823" s="181" t="n">
        <v>4568.02</v>
      </c>
      <c r="D823" s="181" t="n">
        <v>4600.0756</v>
      </c>
      <c r="E823" s="181" t="n">
        <v>-32.0556</v>
      </c>
      <c r="F823" s="181" t="n">
        <v>1027.5621</v>
      </c>
      <c r="G823" s="181" t="n">
        <v>-0.757753</v>
      </c>
      <c r="H823" s="181" t="n">
        <v>0.690829</v>
      </c>
      <c r="I823" s="181" t="inlineStr"/>
    </row>
    <row r="824" ht="15" customHeight="1" s="28">
      <c r="A824" s="182" t="n">
        <v>814</v>
      </c>
      <c r="B824" s="182" t="n">
        <v>813</v>
      </c>
      <c r="C824" s="182" t="n">
        <v>4564.76</v>
      </c>
      <c r="D824" s="182" t="n">
        <v>4599.808</v>
      </c>
      <c r="E824" s="182" t="n">
        <v>-35.048</v>
      </c>
      <c r="F824" s="182" t="n">
        <v>1228.3623</v>
      </c>
      <c r="G824" s="182" t="n">
        <v>-0.990388</v>
      </c>
      <c r="H824" s="182" t="n">
        <v>0.987204</v>
      </c>
      <c r="I824" s="182" t="inlineStr"/>
    </row>
    <row r="825" ht="15" customHeight="1" s="28">
      <c r="A825" s="181" t="n">
        <v>815</v>
      </c>
      <c r="B825" s="181" t="n">
        <v>814</v>
      </c>
      <c r="C825" s="181" t="n">
        <v>4567.03</v>
      </c>
      <c r="D825" s="181" t="n">
        <v>4599.5404</v>
      </c>
      <c r="E825" s="181" t="n">
        <v>-32.5104</v>
      </c>
      <c r="F825" s="181" t="n">
        <v>1056.9261</v>
      </c>
      <c r="G825" s="181" t="n">
        <v>-0.790465</v>
      </c>
      <c r="H825" s="181" t="n">
        <v>0.7308750000000001</v>
      </c>
      <c r="I825" s="181" t="inlineStr"/>
    </row>
    <row r="826" ht="15" customHeight="1" s="28">
      <c r="A826" s="182" t="n">
        <v>816</v>
      </c>
      <c r="B826" s="182" t="n">
        <v>815</v>
      </c>
      <c r="C826" s="182" t="n">
        <v>4561.87</v>
      </c>
      <c r="D826" s="182" t="n">
        <v>4599.2728</v>
      </c>
      <c r="E826" s="182" t="n">
        <v>-37.4028</v>
      </c>
      <c r="F826" s="182" t="n">
        <v>1398.9687</v>
      </c>
      <c r="G826" s="182" t="n">
        <v>-1.203726</v>
      </c>
      <c r="H826" s="182" t="n">
        <v>1.280472</v>
      </c>
      <c r="I826" s="182" t="inlineStr"/>
    </row>
    <row r="827" ht="15" customHeight="1" s="28">
      <c r="A827" s="181" t="n">
        <v>817</v>
      </c>
      <c r="B827" s="181" t="n">
        <v>816</v>
      </c>
      <c r="C827" s="181" t="n">
        <v>4564.41</v>
      </c>
      <c r="D827" s="181" t="n">
        <v>4599.0052</v>
      </c>
      <c r="E827" s="181" t="n">
        <v>-34.5952</v>
      </c>
      <c r="F827" s="181" t="n">
        <v>1196.8272</v>
      </c>
      <c r="G827" s="181" t="n">
        <v>-0.952495</v>
      </c>
      <c r="H827" s="181" t="n">
        <v>0.937167</v>
      </c>
      <c r="I827" s="181" t="inlineStr"/>
    </row>
    <row r="828" ht="15" customHeight="1" s="28">
      <c r="A828" s="182" t="n">
        <v>818</v>
      </c>
      <c r="B828" s="182" t="n">
        <v>817</v>
      </c>
      <c r="C828" s="182" t="n">
        <v>4559.4</v>
      </c>
      <c r="D828" s="182" t="n">
        <v>4598.7376</v>
      </c>
      <c r="E828" s="182" t="n">
        <v>-39.3376</v>
      </c>
      <c r="F828" s="182" t="n">
        <v>1547.446</v>
      </c>
      <c r="G828" s="182" t="n">
        <v>-1.400357</v>
      </c>
      <c r="H828" s="182" t="n">
        <v>1.566697</v>
      </c>
      <c r="I828" s="182" t="inlineStr"/>
    </row>
    <row r="829" ht="15" customHeight="1" s="28">
      <c r="A829" s="181" t="n">
        <v>819</v>
      </c>
      <c r="B829" s="181" t="n">
        <v>818</v>
      </c>
      <c r="C829" s="181" t="n">
        <v>4557.62</v>
      </c>
      <c r="D829" s="181" t="n">
        <v>4598.47</v>
      </c>
      <c r="E829" s="181" t="n">
        <v>-40.85</v>
      </c>
      <c r="F829" s="181" t="n">
        <v>1668.7209</v>
      </c>
      <c r="G829" s="181" t="n">
        <v>-1.568163</v>
      </c>
      <c r="H829" s="181" t="n">
        <v>1.821887</v>
      </c>
      <c r="I829" s="181" t="inlineStr"/>
    </row>
    <row r="830" ht="15" customHeight="1" s="28">
      <c r="A830" s="182" t="n">
        <v>820</v>
      </c>
      <c r="B830" s="182" t="n">
        <v>819</v>
      </c>
      <c r="C830" s="182" t="n">
        <v>4544.9</v>
      </c>
      <c r="D830" s="182" t="n">
        <v>4598.2024</v>
      </c>
      <c r="E830" s="182" t="n">
        <v>-53.3024</v>
      </c>
      <c r="F830" s="182" t="n">
        <v>2841.1437</v>
      </c>
      <c r="G830" s="182" t="n">
        <v>-3.483817</v>
      </c>
      <c r="H830" s="182" t="n">
        <v>5.281296</v>
      </c>
      <c r="I830" s="182" t="inlineStr"/>
    </row>
    <row r="831" ht="15" customHeight="1" s="28">
      <c r="A831" s="181" t="n">
        <v>821</v>
      </c>
      <c r="B831" s="181" t="n">
        <v>820</v>
      </c>
      <c r="C831" s="181" t="n">
        <v>4549.8</v>
      </c>
      <c r="D831" s="181" t="n">
        <v>4597.9348</v>
      </c>
      <c r="E831" s="181" t="n">
        <v>-48.1348</v>
      </c>
      <c r="F831" s="181" t="n">
        <v>2316.9561</v>
      </c>
      <c r="G831" s="181" t="n">
        <v>-2.56562</v>
      </c>
      <c r="H831" s="181" t="n">
        <v>3.512285</v>
      </c>
      <c r="I831" s="181" t="inlineStr"/>
    </row>
    <row r="832" ht="15" customHeight="1" s="28">
      <c r="A832" s="182" t="n">
        <v>822</v>
      </c>
      <c r="B832" s="182" t="n">
        <v>821</v>
      </c>
      <c r="C832" s="182" t="n">
        <v>4537.82</v>
      </c>
      <c r="D832" s="182" t="n">
        <v>4597.6672</v>
      </c>
      <c r="E832" s="182" t="n">
        <v>-59.8472</v>
      </c>
      <c r="F832" s="182" t="n">
        <v>3581.6838</v>
      </c>
      <c r="G832" s="182" t="n">
        <v>-4.93113</v>
      </c>
      <c r="H832" s="182" t="n">
        <v>8.393219999999999</v>
      </c>
      <c r="I832" s="182" t="inlineStr"/>
    </row>
    <row r="833" ht="15" customHeight="1" s="28">
      <c r="A833" s="181" t="n">
        <v>823</v>
      </c>
      <c r="B833" s="181" t="n">
        <v>822</v>
      </c>
      <c r="C833" s="181" t="n">
        <v>4514.81</v>
      </c>
      <c r="D833" s="181" t="n">
        <v>4597.3996</v>
      </c>
      <c r="E833" s="181" t="n">
        <v>-82.5896</v>
      </c>
      <c r="F833" s="181" t="n">
        <v>6821.0371</v>
      </c>
      <c r="G833" s="181" t="n">
        <v>-12.959588</v>
      </c>
      <c r="H833" s="181" t="n">
        <v>30.440721</v>
      </c>
      <c r="I833" s="181" t="inlineStr"/>
    </row>
    <row r="834" ht="15" customHeight="1" s="28">
      <c r="A834" s="182" t="n">
        <v>824</v>
      </c>
      <c r="B834" s="182" t="n">
        <v>823</v>
      </c>
      <c r="C834" s="182" t="n">
        <v>4521.71</v>
      </c>
      <c r="D834" s="182" t="n">
        <v>4597.132</v>
      </c>
      <c r="E834" s="182" t="n">
        <v>-75.422</v>
      </c>
      <c r="F834" s="182" t="n">
        <v>5688.4721</v>
      </c>
      <c r="G834" s="182" t="n">
        <v>-9.869814999999999</v>
      </c>
      <c r="H834" s="182" t="n">
        <v>21.171195</v>
      </c>
      <c r="I834" s="182" t="inlineStr"/>
    </row>
    <row r="835" ht="15" customHeight="1" s="28">
      <c r="A835" s="181" t="n">
        <v>825</v>
      </c>
      <c r="B835" s="181" t="n">
        <v>824</v>
      </c>
      <c r="C835" s="181" t="n">
        <v>4526.15</v>
      </c>
      <c r="D835" s="181" t="n">
        <v>4596.8644</v>
      </c>
      <c r="E835" s="181" t="n">
        <v>-70.7144</v>
      </c>
      <c r="F835" s="181" t="n">
        <v>5000.5207</v>
      </c>
      <c r="G835" s="181" t="n">
        <v>-8.134641999999999</v>
      </c>
      <c r="H835" s="181" t="n">
        <v>16.360048</v>
      </c>
      <c r="I835" s="181" t="inlineStr"/>
    </row>
    <row r="836" ht="15" customHeight="1" s="28">
      <c r="A836" s="182" t="n">
        <v>826</v>
      </c>
      <c r="B836" s="182" t="n">
        <v>825</v>
      </c>
      <c r="C836" s="182" t="n">
        <v>4533.2</v>
      </c>
      <c r="D836" s="182" t="n">
        <v>4596.5967</v>
      </c>
      <c r="E836" s="182" t="n">
        <v>-63.3967</v>
      </c>
      <c r="F836" s="182" t="n">
        <v>4019.1479</v>
      </c>
      <c r="G836" s="182" t="n">
        <v>-5.861605</v>
      </c>
      <c r="H836" s="182" t="n">
        <v>10.568713</v>
      </c>
      <c r="I836" s="182" t="inlineStr"/>
    </row>
    <row r="837" ht="15" customHeight="1" s="28">
      <c r="A837" s="181" t="n">
        <v>827</v>
      </c>
      <c r="B837" s="181" t="n">
        <v>826</v>
      </c>
      <c r="C837" s="181" t="n">
        <v>4538.69</v>
      </c>
      <c r="D837" s="181" t="n">
        <v>4596.3291</v>
      </c>
      <c r="E837" s="181" t="n">
        <v>-57.6391</v>
      </c>
      <c r="F837" s="181" t="n">
        <v>3322.2716</v>
      </c>
      <c r="G837" s="181" t="n">
        <v>-4.405227</v>
      </c>
      <c r="H837" s="181" t="n">
        <v>7.22145</v>
      </c>
      <c r="I837" s="181" t="inlineStr"/>
    </row>
    <row r="838" ht="15" customHeight="1" s="28">
      <c r="A838" s="182" t="n">
        <v>828</v>
      </c>
      <c r="B838" s="182" t="n">
        <v>827</v>
      </c>
      <c r="C838" s="182" t="n">
        <v>4539.25</v>
      </c>
      <c r="D838" s="182" t="n">
        <v>4596.0616</v>
      </c>
      <c r="E838" s="182" t="n">
        <v>-56.8116</v>
      </c>
      <c r="F838" s="182" t="n">
        <v>3227.5522</v>
      </c>
      <c r="G838" s="182" t="n">
        <v>-4.218184</v>
      </c>
      <c r="H838" s="182" t="n">
        <v>6.815546</v>
      </c>
      <c r="I838" s="182" t="inlineStr"/>
    </row>
    <row r="839" ht="15" customHeight="1" s="28">
      <c r="A839" s="181" t="n">
        <v>829</v>
      </c>
      <c r="B839" s="181" t="n">
        <v>828</v>
      </c>
      <c r="C839" s="181" t="n">
        <v>4538.08</v>
      </c>
      <c r="D839" s="181" t="n">
        <v>4595.7939</v>
      </c>
      <c r="E839" s="181" t="n">
        <v>-57.7139</v>
      </c>
      <c r="F839" s="181" t="n">
        <v>3330.8989</v>
      </c>
      <c r="G839" s="181" t="n">
        <v>-4.422397</v>
      </c>
      <c r="H839" s="181" t="n">
        <v>7.259004</v>
      </c>
      <c r="I839" s="181" t="inlineStr"/>
    </row>
    <row r="840" ht="15" customHeight="1" s="28">
      <c r="A840" s="182" t="n">
        <v>830</v>
      </c>
      <c r="B840" s="182" t="n">
        <v>829</v>
      </c>
      <c r="C840" s="182" t="n">
        <v>4543.61</v>
      </c>
      <c r="D840" s="182" t="n">
        <v>4595.5263</v>
      </c>
      <c r="E840" s="182" t="n">
        <v>-51.9163</v>
      </c>
      <c r="F840" s="182" t="n">
        <v>2695.3064</v>
      </c>
      <c r="G840" s="182" t="n">
        <v>-3.21905</v>
      </c>
      <c r="H840" s="182" t="n">
        <v>4.753028</v>
      </c>
      <c r="I840" s="182" t="inlineStr"/>
    </row>
    <row r="841" ht="15" customHeight="1" s="28">
      <c r="A841" s="181" t="n">
        <v>831</v>
      </c>
      <c r="B841" s="181" t="n">
        <v>830</v>
      </c>
      <c r="C841" s="181" t="n">
        <v>4553.17</v>
      </c>
      <c r="D841" s="181" t="n">
        <v>4595.2587</v>
      </c>
      <c r="E841" s="181" t="n">
        <v>-42.0887</v>
      </c>
      <c r="F841" s="181" t="n">
        <v>1771.4612</v>
      </c>
      <c r="G841" s="181" t="n">
        <v>-1.715193</v>
      </c>
      <c r="H841" s="181" t="n">
        <v>2.053134</v>
      </c>
      <c r="I841" s="181" t="inlineStr"/>
    </row>
    <row r="842" ht="15" customHeight="1" s="28">
      <c r="A842" s="182" t="n">
        <v>832</v>
      </c>
      <c r="B842" s="182" t="n">
        <v>831</v>
      </c>
      <c r="C842" s="182" t="n">
        <v>4547.48</v>
      </c>
      <c r="D842" s="182" t="n">
        <v>4594.9911</v>
      </c>
      <c r="E842" s="182" t="n">
        <v>-47.5111</v>
      </c>
      <c r="F842" s="182" t="n">
        <v>2257.3075</v>
      </c>
      <c r="G842" s="182" t="n">
        <v>-2.467185</v>
      </c>
      <c r="H842" s="182" t="n">
        <v>3.333769</v>
      </c>
      <c r="I842" s="182" t="inlineStr"/>
    </row>
    <row r="843" ht="15" customHeight="1" s="28">
      <c r="A843" s="181" t="n">
        <v>833</v>
      </c>
      <c r="B843" s="181" t="n">
        <v>832</v>
      </c>
      <c r="C843" s="181" t="n">
        <v>4559.1</v>
      </c>
      <c r="D843" s="181" t="n">
        <v>4594.7235</v>
      </c>
      <c r="E843" s="181" t="n">
        <v>-35.6235</v>
      </c>
      <c r="F843" s="181" t="n">
        <v>1269.0352</v>
      </c>
      <c r="G843" s="181" t="n">
        <v>-1.039983</v>
      </c>
      <c r="H843" s="181" t="n">
        <v>1.053662</v>
      </c>
      <c r="I843" s="181" t="inlineStr"/>
    </row>
    <row r="844" ht="15" customHeight="1" s="28">
      <c r="A844" s="182" t="n">
        <v>834</v>
      </c>
      <c r="B844" s="182" t="n">
        <v>833</v>
      </c>
      <c r="C844" s="182" t="n">
        <v>4560.23</v>
      </c>
      <c r="D844" s="182" t="n">
        <v>4594.4559</v>
      </c>
      <c r="E844" s="182" t="n">
        <v>-34.2259</v>
      </c>
      <c r="F844" s="182" t="n">
        <v>1171.4136</v>
      </c>
      <c r="G844" s="182" t="n">
        <v>-0.922319</v>
      </c>
      <c r="H844" s="182" t="n">
        <v>0.89779</v>
      </c>
      <c r="I844" s="182" t="inlineStr"/>
    </row>
    <row r="845" ht="15" customHeight="1" s="28">
      <c r="A845" s="181" t="n">
        <v>835</v>
      </c>
      <c r="B845" s="181" t="n">
        <v>834</v>
      </c>
      <c r="C845" s="181" t="n">
        <v>4550.51</v>
      </c>
      <c r="D845" s="181" t="n">
        <v>4594.1883</v>
      </c>
      <c r="E845" s="181" t="n">
        <v>-43.6783</v>
      </c>
      <c r="F845" s="181" t="n">
        <v>1907.7956</v>
      </c>
      <c r="G845" s="181" t="n">
        <v>-1.916961</v>
      </c>
      <c r="H845" s="181" t="n">
        <v>2.38132</v>
      </c>
      <c r="I845" s="181" t="inlineStr"/>
    </row>
    <row r="846" ht="15" customHeight="1" s="28">
      <c r="A846" s="182" t="n">
        <v>836</v>
      </c>
      <c r="B846" s="182" t="n">
        <v>835</v>
      </c>
      <c r="C846" s="182" t="n">
        <v>4545.36</v>
      </c>
      <c r="D846" s="182" t="n">
        <v>4593.9207</v>
      </c>
      <c r="E846" s="182" t="n">
        <v>-48.5607</v>
      </c>
      <c r="F846" s="182" t="n">
        <v>2358.1426</v>
      </c>
      <c r="G846" s="182" t="n">
        <v>-2.634333</v>
      </c>
      <c r="H846" s="182" t="n">
        <v>3.638264</v>
      </c>
      <c r="I846" s="182" t="inlineStr"/>
    </row>
    <row r="847" ht="15" customHeight="1" s="28">
      <c r="A847" s="181" t="n">
        <v>837</v>
      </c>
      <c r="B847" s="181" t="n">
        <v>836</v>
      </c>
      <c r="C847" s="181" t="n">
        <v>4550.68</v>
      </c>
      <c r="D847" s="181" t="n">
        <v>4593.6531</v>
      </c>
      <c r="E847" s="181" t="n">
        <v>-42.9731</v>
      </c>
      <c r="F847" s="181" t="n">
        <v>1846.6882</v>
      </c>
      <c r="G847" s="181" t="n">
        <v>-1.825601</v>
      </c>
      <c r="H847" s="181" t="n">
        <v>2.231214</v>
      </c>
      <c r="I847" s="181" t="inlineStr"/>
    </row>
    <row r="848" ht="15" customHeight="1" s="28">
      <c r="A848" s="182" t="n">
        <v>838</v>
      </c>
      <c r="B848" s="182" t="n">
        <v>837</v>
      </c>
      <c r="C848" s="182" t="n">
        <v>4547.23</v>
      </c>
      <c r="D848" s="182" t="n">
        <v>4593.3855</v>
      </c>
      <c r="E848" s="182" t="n">
        <v>-46.1555</v>
      </c>
      <c r="F848" s="182" t="n">
        <v>2130.3302</v>
      </c>
      <c r="G848" s="182" t="n">
        <v>-2.261965</v>
      </c>
      <c r="H848" s="182" t="n">
        <v>2.969258</v>
      </c>
      <c r="I848" s="182" t="inlineStr"/>
    </row>
    <row r="849" ht="15" customHeight="1" s="28">
      <c r="A849" s="181" t="n">
        <v>839</v>
      </c>
      <c r="B849" s="181" t="n">
        <v>838</v>
      </c>
      <c r="C849" s="181" t="n">
        <v>4544.75</v>
      </c>
      <c r="D849" s="181" t="n">
        <v>4593.1179</v>
      </c>
      <c r="E849" s="181" t="n">
        <v>-48.3679</v>
      </c>
      <c r="F849" s="181" t="n">
        <v>2339.4538</v>
      </c>
      <c r="G849" s="181" t="n">
        <v>-2.603079</v>
      </c>
      <c r="H849" s="181" t="n">
        <v>3.580825</v>
      </c>
      <c r="I849" s="181" t="inlineStr"/>
    </row>
    <row r="850" ht="15" customHeight="1" s="28">
      <c r="A850" s="182" t="n">
        <v>840</v>
      </c>
      <c r="B850" s="182" t="n">
        <v>839</v>
      </c>
      <c r="C850" s="182" t="n">
        <v>4547.33</v>
      </c>
      <c r="D850" s="182" t="n">
        <v>4592.8503</v>
      </c>
      <c r="E850" s="182" t="n">
        <v>-45.5203</v>
      </c>
      <c r="F850" s="182" t="n">
        <v>2072.0977</v>
      </c>
      <c r="G850" s="182" t="n">
        <v>-2.169856</v>
      </c>
      <c r="H850" s="182" t="n">
        <v>2.809148</v>
      </c>
      <c r="I850" s="182" t="inlineStr"/>
    </row>
    <row r="851" ht="15" customHeight="1" s="28">
      <c r="A851" s="181" t="n">
        <v>841</v>
      </c>
      <c r="B851" s="181" t="n">
        <v>840</v>
      </c>
      <c r="C851" s="181" t="n">
        <v>4525.75</v>
      </c>
      <c r="D851" s="181" t="n">
        <v>4592.5827</v>
      </c>
      <c r="E851" s="181" t="n">
        <v>-66.8327</v>
      </c>
      <c r="F851" s="181" t="n">
        <v>4466.6085</v>
      </c>
      <c r="G851" s="181" t="n">
        <v>-6.867243</v>
      </c>
      <c r="H851" s="181" t="n">
        <v>13.052986</v>
      </c>
      <c r="I851" s="181" t="inlineStr"/>
    </row>
    <row r="852" ht="15" customHeight="1" s="28">
      <c r="A852" s="182" t="n">
        <v>842</v>
      </c>
      <c r="B852" s="182" t="n">
        <v>841</v>
      </c>
      <c r="C852" s="182" t="n">
        <v>4532.95</v>
      </c>
      <c r="D852" s="182" t="n">
        <v>4592.3151</v>
      </c>
      <c r="E852" s="182" t="n">
        <v>-59.3651</v>
      </c>
      <c r="F852" s="182" t="n">
        <v>3524.2139</v>
      </c>
      <c r="G852" s="182" t="n">
        <v>-4.812924</v>
      </c>
      <c r="H852" s="182" t="n">
        <v>8.126034000000001</v>
      </c>
      <c r="I852" s="182" t="inlineStr"/>
    </row>
    <row r="853" ht="15" customHeight="1" s="28">
      <c r="A853" s="181" t="n">
        <v>843</v>
      </c>
      <c r="B853" s="181" t="n">
        <v>842</v>
      </c>
      <c r="C853" s="181" t="n">
        <v>4520.81</v>
      </c>
      <c r="D853" s="181" t="n">
        <v>4592.0475</v>
      </c>
      <c r="E853" s="181" t="n">
        <v>-71.2375</v>
      </c>
      <c r="F853" s="181" t="n">
        <v>5074.7786</v>
      </c>
      <c r="G853" s="181" t="n">
        <v>-8.316511999999999</v>
      </c>
      <c r="H853" s="181" t="n">
        <v>16.84955</v>
      </c>
      <c r="I853" s="181" t="inlineStr"/>
    </row>
    <row r="854" ht="15" customHeight="1" s="28">
      <c r="A854" s="182" t="n">
        <v>844</v>
      </c>
      <c r="B854" s="182" t="n">
        <v>843</v>
      </c>
      <c r="C854" s="182" t="n">
        <v>4538.19</v>
      </c>
      <c r="D854" s="182" t="n">
        <v>4591.7799</v>
      </c>
      <c r="E854" s="182" t="n">
        <v>-53.5899</v>
      </c>
      <c r="F854" s="182" t="n">
        <v>2871.8752</v>
      </c>
      <c r="G854" s="182" t="n">
        <v>-3.540495</v>
      </c>
      <c r="H854" s="182" t="n">
        <v>5.396165</v>
      </c>
      <c r="I854" s="182" t="inlineStr"/>
    </row>
    <row r="855" ht="15" customHeight="1" s="28">
      <c r="A855" s="181" t="n">
        <v>845</v>
      </c>
      <c r="B855" s="181" t="n">
        <v>844</v>
      </c>
      <c r="C855" s="181" t="n">
        <v>4547.72</v>
      </c>
      <c r="D855" s="181" t="n">
        <v>4591.5123</v>
      </c>
      <c r="E855" s="181" t="n">
        <v>-43.7923</v>
      </c>
      <c r="F855" s="181" t="n">
        <v>1917.7638</v>
      </c>
      <c r="G855" s="181" t="n">
        <v>-1.932005</v>
      </c>
      <c r="H855" s="181" t="n">
        <v>2.40627</v>
      </c>
      <c r="I855" s="181" t="inlineStr"/>
    </row>
    <row r="856" ht="15" customHeight="1" s="28">
      <c r="A856" s="182" t="n">
        <v>846</v>
      </c>
      <c r="B856" s="182" t="n">
        <v>845</v>
      </c>
      <c r="C856" s="182" t="n">
        <v>4542.84</v>
      </c>
      <c r="D856" s="182" t="n">
        <v>4591.2447</v>
      </c>
      <c r="E856" s="182" t="n">
        <v>-48.4047</v>
      </c>
      <c r="F856" s="182" t="n">
        <v>2343.0121</v>
      </c>
      <c r="G856" s="182" t="n">
        <v>-2.60902</v>
      </c>
      <c r="H856" s="182" t="n">
        <v>3.591726</v>
      </c>
      <c r="I856" s="182" t="inlineStr"/>
    </row>
    <row r="857" ht="15" customHeight="1" s="28">
      <c r="A857" s="181" t="n">
        <v>847</v>
      </c>
      <c r="B857" s="181" t="n">
        <v>846</v>
      </c>
      <c r="C857" s="181" t="n">
        <v>4539.61</v>
      </c>
      <c r="D857" s="181" t="n">
        <v>4590.9771</v>
      </c>
      <c r="E857" s="181" t="n">
        <v>-51.3671</v>
      </c>
      <c r="F857" s="181" t="n">
        <v>2638.5759</v>
      </c>
      <c r="G857" s="181" t="n">
        <v>-3.117956</v>
      </c>
      <c r="H857" s="181" t="n">
        <v>4.555051</v>
      </c>
      <c r="I857" s="181" t="inlineStr"/>
    </row>
    <row r="858" ht="15" customHeight="1" s="28">
      <c r="A858" s="182" t="n">
        <v>848</v>
      </c>
      <c r="B858" s="182" t="n">
        <v>847</v>
      </c>
      <c r="C858" s="182" t="n">
        <v>4547.05</v>
      </c>
      <c r="D858" s="182" t="n">
        <v>4590.7095</v>
      </c>
      <c r="E858" s="182" t="n">
        <v>-43.6595</v>
      </c>
      <c r="F858" s="182" t="n">
        <v>1906.1484</v>
      </c>
      <c r="G858" s="182" t="n">
        <v>-1.914479</v>
      </c>
      <c r="H858" s="182" t="n">
        <v>2.37721</v>
      </c>
      <c r="I858" s="182" t="inlineStr"/>
    </row>
    <row r="859" ht="15" customHeight="1" s="28">
      <c r="A859" s="181" t="n">
        <v>849</v>
      </c>
      <c r="B859" s="181" t="n">
        <v>848</v>
      </c>
      <c r="C859" s="181" t="n">
        <v>4546.25</v>
      </c>
      <c r="D859" s="181" t="n">
        <v>4590.4419</v>
      </c>
      <c r="E859" s="181" t="n">
        <v>-44.1919</v>
      </c>
      <c r="F859" s="181" t="n">
        <v>1952.9205</v>
      </c>
      <c r="G859" s="181" t="n">
        <v>-1.985374</v>
      </c>
      <c r="H859" s="181" t="n">
        <v>2.495303</v>
      </c>
      <c r="I859" s="181" t="inlineStr"/>
    </row>
    <row r="860" ht="15" customHeight="1" s="28">
      <c r="A860" s="182" t="n">
        <v>850</v>
      </c>
      <c r="B860" s="182" t="n">
        <v>849</v>
      </c>
      <c r="C860" s="182" t="n">
        <v>4543.25</v>
      </c>
      <c r="D860" s="182" t="n">
        <v>4590.1743</v>
      </c>
      <c r="E860" s="182" t="n">
        <v>-46.9243</v>
      </c>
      <c r="F860" s="182" t="n">
        <v>2201.8862</v>
      </c>
      <c r="G860" s="182" t="n">
        <v>-2.376883</v>
      </c>
      <c r="H860" s="182" t="n">
        <v>3.172078</v>
      </c>
      <c r="I860" s="182" t="inlineStr"/>
    </row>
    <row r="861" ht="15" customHeight="1" s="28">
      <c r="A861" s="181" t="n">
        <v>851</v>
      </c>
      <c r="B861" s="181" t="n">
        <v>850</v>
      </c>
      <c r="C861" s="181" t="n">
        <v>4543.79</v>
      </c>
      <c r="D861" s="181" t="n">
        <v>4589.9066</v>
      </c>
      <c r="E861" s="181" t="n">
        <v>-46.1166</v>
      </c>
      <c r="F861" s="181" t="n">
        <v>2126.7454</v>
      </c>
      <c r="G861" s="181" t="n">
        <v>-2.256258</v>
      </c>
      <c r="H861" s="181" t="n">
        <v>2.959274</v>
      </c>
      <c r="I861" s="181" t="inlineStr"/>
    </row>
    <row r="862" ht="15" customHeight="1" s="28">
      <c r="A862" s="182" t="n">
        <v>852</v>
      </c>
      <c r="B862" s="182" t="n">
        <v>851</v>
      </c>
      <c r="C862" s="182" t="n">
        <v>4543.57</v>
      </c>
      <c r="D862" s="182" t="n">
        <v>4589.639</v>
      </c>
      <c r="E862" s="182" t="n">
        <v>-46.0691</v>
      </c>
      <c r="F862" s="182" t="n">
        <v>2122.3574</v>
      </c>
      <c r="G862" s="182" t="n">
        <v>-2.249279</v>
      </c>
      <c r="H862" s="182" t="n">
        <v>2.947075</v>
      </c>
      <c r="I862" s="182" t="inlineStr"/>
    </row>
    <row r="863" ht="15" customHeight="1" s="28">
      <c r="A863" s="181" t="n">
        <v>853</v>
      </c>
      <c r="B863" s="181" t="n">
        <v>852</v>
      </c>
      <c r="C863" s="181" t="n">
        <v>4546.4</v>
      </c>
      <c r="D863" s="181" t="n">
        <v>4589.3714</v>
      </c>
      <c r="E863" s="181" t="n">
        <v>-42.9714</v>
      </c>
      <c r="F863" s="181" t="n">
        <v>1846.5447</v>
      </c>
      <c r="G863" s="181" t="n">
        <v>-1.825388</v>
      </c>
      <c r="H863" s="181" t="n">
        <v>2.230867</v>
      </c>
      <c r="I863" s="181" t="inlineStr"/>
    </row>
    <row r="864" ht="15" customHeight="1" s="28">
      <c r="A864" s="182" t="n">
        <v>854</v>
      </c>
      <c r="B864" s="182" t="n">
        <v>853</v>
      </c>
      <c r="C864" s="182" t="n">
        <v>4549.14</v>
      </c>
      <c r="D864" s="182" t="n">
        <v>4589.1038</v>
      </c>
      <c r="E864" s="182" t="n">
        <v>-39.9638</v>
      </c>
      <c r="F864" s="182" t="n">
        <v>1597.1085</v>
      </c>
      <c r="G864" s="182" t="n">
        <v>-1.468308</v>
      </c>
      <c r="H864" s="182" t="n">
        <v>1.668872</v>
      </c>
      <c r="I864" s="182" t="inlineStr"/>
    </row>
    <row r="865" ht="15" customHeight="1" s="28">
      <c r="A865" s="181" t="n">
        <v>855</v>
      </c>
      <c r="B865" s="181" t="n">
        <v>854</v>
      </c>
      <c r="C865" s="181" t="n">
        <v>4548.51</v>
      </c>
      <c r="D865" s="181" t="n">
        <v>4588.8362</v>
      </c>
      <c r="E865" s="181" t="n">
        <v>-40.3262</v>
      </c>
      <c r="F865" s="181" t="n">
        <v>1626.2048</v>
      </c>
      <c r="G865" s="181" t="n">
        <v>-1.508615</v>
      </c>
      <c r="H865" s="181" t="n">
        <v>1.730233</v>
      </c>
      <c r="I865" s="181" t="inlineStr"/>
    </row>
    <row r="866" ht="15" customHeight="1" s="28">
      <c r="A866" s="182" t="n">
        <v>856</v>
      </c>
      <c r="B866" s="182" t="n">
        <v>855</v>
      </c>
      <c r="C866" s="182" t="n">
        <v>4552.08</v>
      </c>
      <c r="D866" s="182" t="n">
        <v>4588.5686</v>
      </c>
      <c r="E866" s="182" t="n">
        <v>-36.4886</v>
      </c>
      <c r="F866" s="182" t="n">
        <v>1331.4201</v>
      </c>
      <c r="G866" s="182" t="n">
        <v>-1.117605</v>
      </c>
      <c r="H866" s="182" t="n">
        <v>1.159803</v>
      </c>
      <c r="I866" s="182" t="inlineStr"/>
    </row>
    <row r="867" ht="15" customHeight="1" s="28">
      <c r="A867" s="181" t="n">
        <v>857</v>
      </c>
      <c r="B867" s="181" t="n">
        <v>856</v>
      </c>
      <c r="C867" s="181" t="n">
        <v>4553.33</v>
      </c>
      <c r="D867" s="181" t="n">
        <v>4588.301</v>
      </c>
      <c r="E867" s="181" t="n">
        <v>-34.971</v>
      </c>
      <c r="F867" s="181" t="n">
        <v>1222.9729</v>
      </c>
      <c r="G867" s="181" t="n">
        <v>-0.983877</v>
      </c>
      <c r="H867" s="181" t="n">
        <v>0.978561</v>
      </c>
      <c r="I867" s="181" t="inlineStr"/>
    </row>
    <row r="868" ht="15" customHeight="1" s="28">
      <c r="A868" s="182" t="n">
        <v>858</v>
      </c>
      <c r="B868" s="182" t="n">
        <v>857</v>
      </c>
      <c r="C868" s="182" t="n">
        <v>4551.63</v>
      </c>
      <c r="D868" s="182" t="n">
        <v>4588.0334</v>
      </c>
      <c r="E868" s="182" t="n">
        <v>-36.4034</v>
      </c>
      <c r="F868" s="182" t="n">
        <v>1325.209</v>
      </c>
      <c r="G868" s="182" t="n">
        <v>-1.109793</v>
      </c>
      <c r="H868" s="182" t="n">
        <v>1.149007</v>
      </c>
      <c r="I868" s="182" t="inlineStr"/>
    </row>
    <row r="869" ht="15" customHeight="1" s="28">
      <c r="A869" s="181" t="n">
        <v>859</v>
      </c>
      <c r="B869" s="181" t="n">
        <v>858</v>
      </c>
      <c r="C869" s="181" t="n">
        <v>4554.44</v>
      </c>
      <c r="D869" s="181" t="n">
        <v>4587.7658</v>
      </c>
      <c r="E869" s="181" t="n">
        <v>-33.3258</v>
      </c>
      <c r="F869" s="181" t="n">
        <v>1110.6103</v>
      </c>
      <c r="G869" s="181" t="n">
        <v>-0.851448</v>
      </c>
      <c r="H869" s="181" t="n">
        <v>0.807007</v>
      </c>
      <c r="I869" s="181" t="inlineStr"/>
    </row>
    <row r="870" ht="15" customHeight="1" s="28">
      <c r="A870" s="182" t="n">
        <v>860</v>
      </c>
      <c r="B870" s="182" t="n">
        <v>859</v>
      </c>
      <c r="C870" s="182" t="n">
        <v>4561.66</v>
      </c>
      <c r="D870" s="182" t="n">
        <v>4587.4982</v>
      </c>
      <c r="E870" s="182" t="n">
        <v>-25.8382</v>
      </c>
      <c r="F870" s="182" t="n">
        <v>667.6131</v>
      </c>
      <c r="G870" s="182" t="n">
        <v>-0.396829</v>
      </c>
      <c r="H870" s="182" t="n">
        <v>0.291611</v>
      </c>
      <c r="I870" s="182" t="inlineStr"/>
    </row>
    <row r="871" ht="15" customHeight="1" s="28">
      <c r="A871" s="181" t="n">
        <v>861</v>
      </c>
      <c r="B871" s="181" t="n">
        <v>860</v>
      </c>
      <c r="C871" s="181" t="n">
        <v>4557.93</v>
      </c>
      <c r="D871" s="181" t="n">
        <v>4587.2306</v>
      </c>
      <c r="E871" s="181" t="n">
        <v>-29.3006</v>
      </c>
      <c r="F871" s="181" t="n">
        <v>858.5257</v>
      </c>
      <c r="G871" s="181" t="n">
        <v>-0.578689</v>
      </c>
      <c r="H871" s="181" t="n">
        <v>0.482237</v>
      </c>
      <c r="I871" s="181" t="inlineStr"/>
    </row>
    <row r="872" ht="15" customHeight="1" s="28">
      <c r="A872" s="182" t="n">
        <v>862</v>
      </c>
      <c r="B872" s="182" t="n">
        <v>861</v>
      </c>
      <c r="C872" s="182" t="n">
        <v>4563.57</v>
      </c>
      <c r="D872" s="182" t="n">
        <v>4586.963</v>
      </c>
      <c r="E872" s="182" t="n">
        <v>-23.393</v>
      </c>
      <c r="F872" s="182" t="n">
        <v>547.2329</v>
      </c>
      <c r="G872" s="182" t="n">
        <v>-0.294492</v>
      </c>
      <c r="H872" s="182" t="n">
        <v>0.195929</v>
      </c>
      <c r="I872" s="182" t="inlineStr"/>
    </row>
    <row r="873" ht="15" customHeight="1" s="28">
      <c r="A873" s="181" t="n">
        <v>863</v>
      </c>
      <c r="B873" s="181" t="n">
        <v>862</v>
      </c>
      <c r="C873" s="181" t="n">
        <v>4567.11</v>
      </c>
      <c r="D873" s="181" t="n">
        <v>4586.6954</v>
      </c>
      <c r="E873" s="181" t="n">
        <v>-19.5854</v>
      </c>
      <c r="F873" s="181" t="n">
        <v>383.5879</v>
      </c>
      <c r="G873" s="181" t="n">
        <v>-0.172828</v>
      </c>
      <c r="H873" s="181" t="n">
        <v>0.09626800000000001</v>
      </c>
      <c r="I873" s="181" t="inlineStr"/>
    </row>
    <row r="874" ht="15" customHeight="1" s="28">
      <c r="A874" s="182" t="n">
        <v>864</v>
      </c>
      <c r="B874" s="182" t="n">
        <v>863</v>
      </c>
      <c r="C874" s="182" t="n">
        <v>4569.83</v>
      </c>
      <c r="D874" s="182" t="n">
        <v>4586.4278</v>
      </c>
      <c r="E874" s="182" t="n">
        <v>-16.5978</v>
      </c>
      <c r="F874" s="182" t="n">
        <v>275.487</v>
      </c>
      <c r="G874" s="182" t="n">
        <v>-0.105188</v>
      </c>
      <c r="H874" s="182" t="n">
        <v>0.049654</v>
      </c>
      <c r="I874" s="182" t="inlineStr"/>
    </row>
    <row r="875" ht="15" customHeight="1" s="28">
      <c r="A875" s="181" t="n">
        <v>865</v>
      </c>
      <c r="B875" s="181" t="n">
        <v>864</v>
      </c>
      <c r="C875" s="181" t="n">
        <v>4568.52</v>
      </c>
      <c r="D875" s="181" t="n">
        <v>4586.1602</v>
      </c>
      <c r="E875" s="181" t="n">
        <v>-17.6402</v>
      </c>
      <c r="F875" s="181" t="n">
        <v>311.1763</v>
      </c>
      <c r="G875" s="181" t="n">
        <v>-0.126277</v>
      </c>
      <c r="H875" s="181" t="n">
        <v>0.06335300000000001</v>
      </c>
      <c r="I875" s="181" t="inlineStr"/>
    </row>
    <row r="876" ht="15" customHeight="1" s="28">
      <c r="A876" s="182" t="n">
        <v>866</v>
      </c>
      <c r="B876" s="182" t="n">
        <v>865</v>
      </c>
      <c r="C876" s="182" t="n">
        <v>4579.79</v>
      </c>
      <c r="D876" s="182" t="n">
        <v>4585.8926</v>
      </c>
      <c r="E876" s="182" t="n">
        <v>-6.1026</v>
      </c>
      <c r="F876" s="182" t="n">
        <v>37.2416</v>
      </c>
      <c r="G876" s="182" t="n">
        <v>-0.005228</v>
      </c>
      <c r="H876" s="182" t="n">
        <v>0.000907</v>
      </c>
      <c r="I876" s="182" t="inlineStr"/>
    </row>
    <row r="877" ht="15" customHeight="1" s="28">
      <c r="A877" s="181" t="n">
        <v>867</v>
      </c>
      <c r="B877" s="181" t="n">
        <v>866</v>
      </c>
      <c r="C877" s="181" t="n">
        <v>4576.31</v>
      </c>
      <c r="D877" s="181" t="n">
        <v>4585.625</v>
      </c>
      <c r="E877" s="181" t="n">
        <v>-9.315</v>
      </c>
      <c r="F877" s="181" t="n">
        <v>86.76900000000001</v>
      </c>
      <c r="G877" s="181" t="n">
        <v>-0.018594</v>
      </c>
      <c r="H877" s="181" t="n">
        <v>0.004926</v>
      </c>
      <c r="I877" s="181" t="inlineStr"/>
    </row>
    <row r="878" ht="15" customHeight="1" s="28">
      <c r="A878" s="182" t="n">
        <v>868</v>
      </c>
      <c r="B878" s="182" t="n">
        <v>867</v>
      </c>
      <c r="C878" s="182" t="n">
        <v>4579.13</v>
      </c>
      <c r="D878" s="182" t="n">
        <v>4585.3574</v>
      </c>
      <c r="E878" s="182" t="n">
        <v>-6.2274</v>
      </c>
      <c r="F878" s="182" t="n">
        <v>38.7803</v>
      </c>
      <c r="G878" s="182" t="n">
        <v>-0.005556</v>
      </c>
      <c r="H878" s="182" t="n">
        <v>0.0009840000000000001</v>
      </c>
      <c r="I878" s="182" t="inlineStr"/>
    </row>
    <row r="879" ht="15" customHeight="1" s="28">
      <c r="A879" s="181" t="n">
        <v>869</v>
      </c>
      <c r="B879" s="181" t="n">
        <v>868</v>
      </c>
      <c r="C879" s="181" t="n">
        <v>4579.74</v>
      </c>
      <c r="D879" s="181" t="n">
        <v>4585.0898</v>
      </c>
      <c r="E879" s="181" t="n">
        <v>-5.3498</v>
      </c>
      <c r="F879" s="181" t="n">
        <v>28.6201</v>
      </c>
      <c r="G879" s="181" t="n">
        <v>-0.003522</v>
      </c>
      <c r="H879" s="181" t="n">
        <v>0.000536</v>
      </c>
      <c r="I879" s="181" t="inlineStr"/>
    </row>
    <row r="880" ht="15" customHeight="1" s="28">
      <c r="A880" s="182" t="n">
        <v>870</v>
      </c>
      <c r="B880" s="182" t="n">
        <v>869</v>
      </c>
      <c r="C880" s="182" t="n">
        <v>4573.13</v>
      </c>
      <c r="D880" s="182" t="n">
        <v>4584.8222</v>
      </c>
      <c r="E880" s="182" t="n">
        <v>-11.6922</v>
      </c>
      <c r="F880" s="182" t="n">
        <v>136.7068</v>
      </c>
      <c r="G880" s="182" t="n">
        <v>-0.036771</v>
      </c>
      <c r="H880" s="182" t="n">
        <v>0.012227</v>
      </c>
      <c r="I880" s="182" t="inlineStr"/>
    </row>
    <row r="881" ht="15" customHeight="1" s="28">
      <c r="A881" s="181" t="n">
        <v>871</v>
      </c>
      <c r="B881" s="181" t="n">
        <v>870</v>
      </c>
      <c r="C881" s="181" t="n">
        <v>4562.53</v>
      </c>
      <c r="D881" s="181" t="n">
        <v>4584.5546</v>
      </c>
      <c r="E881" s="181" t="n">
        <v>-22.0246</v>
      </c>
      <c r="F881" s="181" t="n">
        <v>485.0817</v>
      </c>
      <c r="G881" s="181" t="n">
        <v>-0.245775</v>
      </c>
      <c r="H881" s="181" t="n">
        <v>0.153951</v>
      </c>
      <c r="I881" s="181" t="inlineStr"/>
    </row>
    <row r="882" ht="15" customHeight="1" s="28">
      <c r="A882" s="182" t="n">
        <v>872</v>
      </c>
      <c r="B882" s="182" t="n">
        <v>871</v>
      </c>
      <c r="C882" s="182" t="n">
        <v>4565.02</v>
      </c>
      <c r="D882" s="182" t="n">
        <v>4584.287</v>
      </c>
      <c r="E882" s="182" t="n">
        <v>-19.267</v>
      </c>
      <c r="F882" s="182" t="n">
        <v>371.2161</v>
      </c>
      <c r="G882" s="182" t="n">
        <v>-0.164534</v>
      </c>
      <c r="H882" s="182" t="n">
        <v>0.090159</v>
      </c>
      <c r="I882" s="182" t="inlineStr"/>
    </row>
    <row r="883" ht="15" customHeight="1" s="28">
      <c r="A883" s="181" t="n">
        <v>873</v>
      </c>
      <c r="B883" s="181" t="n">
        <v>872</v>
      </c>
      <c r="C883" s="181" t="n">
        <v>4564.98</v>
      </c>
      <c r="D883" s="181" t="n">
        <v>4584.0194</v>
      </c>
      <c r="E883" s="181" t="n">
        <v>-19.0394</v>
      </c>
      <c r="F883" s="181" t="n">
        <v>362.4972</v>
      </c>
      <c r="G883" s="181" t="n">
        <v>-0.158772</v>
      </c>
      <c r="H883" s="181" t="n">
        <v>0.08597299999999999</v>
      </c>
      <c r="I883" s="181" t="inlineStr"/>
    </row>
    <row r="884" ht="15" customHeight="1" s="28">
      <c r="A884" s="182" t="n">
        <v>874</v>
      </c>
      <c r="B884" s="182" t="n">
        <v>873</v>
      </c>
      <c r="C884" s="182" t="n">
        <v>4563.32</v>
      </c>
      <c r="D884" s="182" t="n">
        <v>4583.7518</v>
      </c>
      <c r="E884" s="182" t="n">
        <v>-20.4318</v>
      </c>
      <c r="F884" s="182" t="n">
        <v>417.4568</v>
      </c>
      <c r="G884" s="182" t="n">
        <v>-0.196215</v>
      </c>
      <c r="H884" s="182" t="n">
        <v>0.114019</v>
      </c>
      <c r="I884" s="182" t="inlineStr"/>
    </row>
    <row r="885" ht="15" customHeight="1" s="28">
      <c r="A885" s="181" t="n">
        <v>875</v>
      </c>
      <c r="B885" s="181" t="n">
        <v>874</v>
      </c>
      <c r="C885" s="181" t="n">
        <v>4561.66</v>
      </c>
      <c r="D885" s="181" t="n">
        <v>4583.4842</v>
      </c>
      <c r="E885" s="181" t="n">
        <v>-21.8242</v>
      </c>
      <c r="F885" s="181" t="n">
        <v>476.2935</v>
      </c>
      <c r="G885" s="181" t="n">
        <v>-0.239126</v>
      </c>
      <c r="H885" s="181" t="n">
        <v>0.148424</v>
      </c>
      <c r="I885" s="181" t="inlineStr"/>
    </row>
    <row r="886" ht="15" customHeight="1" s="28">
      <c r="A886" s="182" t="n">
        <v>876</v>
      </c>
      <c r="B886" s="182" t="n">
        <v>875</v>
      </c>
      <c r="C886" s="182" t="n">
        <v>4556.09</v>
      </c>
      <c r="D886" s="182" t="n">
        <v>4583.2166</v>
      </c>
      <c r="E886" s="182" t="n">
        <v>-27.1265</v>
      </c>
      <c r="F886" s="182" t="n">
        <v>735.8497</v>
      </c>
      <c r="G886" s="182" t="n">
        <v>-0.459197</v>
      </c>
      <c r="H886" s="182" t="n">
        <v>0.354268</v>
      </c>
      <c r="I886" s="182" t="inlineStr"/>
    </row>
    <row r="887" ht="15" customHeight="1" s="28">
      <c r="A887" s="181" t="n">
        <v>877</v>
      </c>
      <c r="B887" s="181" t="n">
        <v>876</v>
      </c>
      <c r="C887" s="181" t="n">
        <v>4555.41</v>
      </c>
      <c r="D887" s="181" t="n">
        <v>4582.9489</v>
      </c>
      <c r="E887" s="181" t="n">
        <v>-27.539</v>
      </c>
      <c r="F887" s="181" t="n">
        <v>758.3938000000001</v>
      </c>
      <c r="G887" s="181" t="n">
        <v>-0.480461</v>
      </c>
      <c r="H887" s="181" t="n">
        <v>0.376308</v>
      </c>
      <c r="I887" s="181" t="inlineStr"/>
    </row>
    <row r="888" ht="15" customHeight="1" s="28">
      <c r="A888" s="182" t="n">
        <v>878</v>
      </c>
      <c r="B888" s="182" t="n">
        <v>877</v>
      </c>
      <c r="C888" s="182" t="n">
        <v>4547.28</v>
      </c>
      <c r="D888" s="182" t="n">
        <v>4582.6813</v>
      </c>
      <c r="E888" s="182" t="n">
        <v>-35.4013</v>
      </c>
      <c r="F888" s="182" t="n">
        <v>1253.2549</v>
      </c>
      <c r="G888" s="182" t="n">
        <v>-1.020645</v>
      </c>
      <c r="H888" s="182" t="n">
        <v>1.027621</v>
      </c>
      <c r="I888" s="182" t="inlineStr"/>
    </row>
    <row r="889" ht="15" customHeight="1" s="28">
      <c r="A889" s="181" t="n">
        <v>879</v>
      </c>
      <c r="B889" s="181" t="n">
        <v>878</v>
      </c>
      <c r="C889" s="181" t="n">
        <v>4544.74</v>
      </c>
      <c r="D889" s="181" t="n">
        <v>4582.4137</v>
      </c>
      <c r="E889" s="181" t="n">
        <v>-37.6737</v>
      </c>
      <c r="F889" s="181" t="n">
        <v>1419.3107</v>
      </c>
      <c r="G889" s="181" t="n">
        <v>-1.230076</v>
      </c>
      <c r="H889" s="181" t="n">
        <v>1.317981</v>
      </c>
      <c r="I889" s="181" t="inlineStr"/>
    </row>
    <row r="890" ht="15" customHeight="1" s="28">
      <c r="A890" s="182" t="n">
        <v>880</v>
      </c>
      <c r="B890" s="182" t="n">
        <v>879</v>
      </c>
      <c r="C890" s="182" t="n">
        <v>4541.91</v>
      </c>
      <c r="D890" s="182" t="n">
        <v>4582.1461</v>
      </c>
      <c r="E890" s="182" t="n">
        <v>-40.2361</v>
      </c>
      <c r="F890" s="182" t="n">
        <v>1618.9462</v>
      </c>
      <c r="G890" s="182" t="n">
        <v>-1.498526</v>
      </c>
      <c r="H890" s="182" t="n">
        <v>1.714822</v>
      </c>
      <c r="I890" s="182" t="inlineStr"/>
    </row>
    <row r="891" ht="15" customHeight="1" s="28">
      <c r="A891" s="181" t="n">
        <v>881</v>
      </c>
      <c r="B891" s="181" t="n">
        <v>880</v>
      </c>
      <c r="C891" s="181" t="n">
        <v>4553.22</v>
      </c>
      <c r="D891" s="181" t="n">
        <v>4581.8785</v>
      </c>
      <c r="E891" s="181" t="n">
        <v>-28.6585</v>
      </c>
      <c r="F891" s="181" t="n">
        <v>821.3113</v>
      </c>
      <c r="G891" s="181" t="n">
        <v>-0.541474</v>
      </c>
      <c r="H891" s="181" t="n">
        <v>0.441336</v>
      </c>
      <c r="I891" s="181" t="inlineStr"/>
    </row>
    <row r="892" ht="15" customHeight="1" s="28">
      <c r="A892" s="182" t="n">
        <v>882</v>
      </c>
      <c r="B892" s="182" t="n">
        <v>881</v>
      </c>
      <c r="C892" s="182" t="n">
        <v>4555.73</v>
      </c>
      <c r="D892" s="182" t="n">
        <v>4581.6109</v>
      </c>
      <c r="E892" s="182" t="n">
        <v>-25.8809</v>
      </c>
      <c r="F892" s="182" t="n">
        <v>669.822</v>
      </c>
      <c r="G892" s="182" t="n">
        <v>-0.3988</v>
      </c>
      <c r="H892" s="182" t="n">
        <v>0.293544</v>
      </c>
      <c r="I892" s="182" t="inlineStr"/>
    </row>
    <row r="893" ht="15" customHeight="1" s="28">
      <c r="A893" s="181" t="n">
        <v>883</v>
      </c>
      <c r="B893" s="181" t="n">
        <v>882</v>
      </c>
      <c r="C893" s="181" t="n">
        <v>4564.04</v>
      </c>
      <c r="D893" s="181" t="n">
        <v>4581.3433</v>
      </c>
      <c r="E893" s="181" t="n">
        <v>-17.3033</v>
      </c>
      <c r="F893" s="181" t="n">
        <v>299.4049</v>
      </c>
      <c r="G893" s="181" t="n">
        <v>-0.11918</v>
      </c>
      <c r="H893" s="181" t="n">
        <v>0.058651</v>
      </c>
      <c r="I893" s="181" t="inlineStr"/>
    </row>
    <row r="894" ht="15" customHeight="1" s="28">
      <c r="A894" s="182" t="n">
        <v>884</v>
      </c>
      <c r="B894" s="182" t="n">
        <v>883</v>
      </c>
      <c r="C894" s="182" t="n">
        <v>4562.71</v>
      </c>
      <c r="D894" s="182" t="n">
        <v>4581.0757</v>
      </c>
      <c r="E894" s="182" t="n">
        <v>-18.3657</v>
      </c>
      <c r="F894" s="182" t="n">
        <v>337.2997</v>
      </c>
      <c r="G894" s="182" t="n">
        <v>-0.142508</v>
      </c>
      <c r="H894" s="182" t="n">
        <v>0.074437</v>
      </c>
      <c r="I894" s="182" t="inlineStr"/>
    </row>
    <row r="895" ht="15" customHeight="1" s="28">
      <c r="A895" s="181" t="n">
        <v>885</v>
      </c>
      <c r="B895" s="181" t="n">
        <v>884</v>
      </c>
      <c r="C895" s="181" t="n">
        <v>4566.21</v>
      </c>
      <c r="D895" s="181" t="n">
        <v>4580.8081</v>
      </c>
      <c r="E895" s="181" t="n">
        <v>-14.5981</v>
      </c>
      <c r="F895" s="181" t="n">
        <v>213.1048</v>
      </c>
      <c r="G895" s="181" t="n">
        <v>-0.071566</v>
      </c>
      <c r="H895" s="181" t="n">
        <v>0.029713</v>
      </c>
      <c r="I895" s="181" t="inlineStr"/>
    </row>
    <row r="896" ht="15" customHeight="1" s="28">
      <c r="A896" s="182" t="n">
        <v>886</v>
      </c>
      <c r="B896" s="182" t="n">
        <v>885</v>
      </c>
      <c r="C896" s="182" t="n">
        <v>4569.57</v>
      </c>
      <c r="D896" s="182" t="n">
        <v>4580.5405</v>
      </c>
      <c r="E896" s="182" t="n">
        <v>-10.9705</v>
      </c>
      <c r="F896" s="182" t="n">
        <v>120.3521</v>
      </c>
      <c r="G896" s="182" t="n">
        <v>-0.030374</v>
      </c>
      <c r="H896" s="182" t="n">
        <v>0.009476999999999999</v>
      </c>
      <c r="I896" s="182" t="inlineStr"/>
    </row>
    <row r="897" ht="15" customHeight="1" s="28">
      <c r="A897" s="181" t="n">
        <v>887</v>
      </c>
      <c r="B897" s="181" t="n">
        <v>886</v>
      </c>
      <c r="C897" s="181" t="n">
        <v>4575.23</v>
      </c>
      <c r="D897" s="181" t="n">
        <v>4580.2729</v>
      </c>
      <c r="E897" s="181" t="n">
        <v>-5.0429</v>
      </c>
      <c r="F897" s="181" t="n">
        <v>25.4308</v>
      </c>
      <c r="G897" s="181" t="n">
        <v>-0.00295</v>
      </c>
      <c r="H897" s="181" t="n">
        <v>0.000423</v>
      </c>
      <c r="I897" s="181" t="inlineStr"/>
    </row>
    <row r="898" ht="15" customHeight="1" s="28">
      <c r="A898" s="182" t="n">
        <v>888</v>
      </c>
      <c r="B898" s="182" t="n">
        <v>887</v>
      </c>
      <c r="C898" s="182" t="n">
        <v>4589.44</v>
      </c>
      <c r="D898" s="182" t="n">
        <v>4580.0053</v>
      </c>
      <c r="E898" s="182" t="n">
        <v>9.434699999999999</v>
      </c>
      <c r="F898" s="182" t="n">
        <v>89.0136</v>
      </c>
      <c r="G898" s="182" t="n">
        <v>0.01932</v>
      </c>
      <c r="H898" s="182" t="n">
        <v>0.005184</v>
      </c>
      <c r="I898" s="182" t="inlineStr"/>
    </row>
    <row r="899" ht="15" customHeight="1" s="28">
      <c r="A899" s="181" t="n">
        <v>889</v>
      </c>
      <c r="B899" s="181" t="n">
        <v>888</v>
      </c>
      <c r="C899" s="181" t="n">
        <v>4591.59</v>
      </c>
      <c r="D899" s="181" t="n">
        <v>4579.7377</v>
      </c>
      <c r="E899" s="181" t="n">
        <v>11.8523</v>
      </c>
      <c r="F899" s="181" t="n">
        <v>140.477</v>
      </c>
      <c r="G899" s="181" t="n">
        <v>0.038302</v>
      </c>
      <c r="H899" s="181" t="n">
        <v>0.012911</v>
      </c>
      <c r="I899" s="181" t="inlineStr"/>
    </row>
    <row r="900" ht="15" customHeight="1" s="28">
      <c r="A900" s="182" t="n">
        <v>890</v>
      </c>
      <c r="B900" s="182" t="n">
        <v>889</v>
      </c>
      <c r="C900" s="182" t="n">
        <v>4591.59</v>
      </c>
      <c r="D900" s="182" t="n">
        <v>4579.4701</v>
      </c>
      <c r="E900" s="182" t="n">
        <v>12.1199</v>
      </c>
      <c r="F900" s="182" t="n">
        <v>146.8922</v>
      </c>
      <c r="G900" s="182" t="n">
        <v>0.040956</v>
      </c>
      <c r="H900" s="182" t="n">
        <v>0.014117</v>
      </c>
      <c r="I900" s="182" t="inlineStr"/>
    </row>
    <row r="901" ht="15" customHeight="1" s="28">
      <c r="A901" s="181" t="n">
        <v>891</v>
      </c>
      <c r="B901" s="181" t="n">
        <v>890</v>
      </c>
      <c r="C901" s="181" t="n">
        <v>4596.69</v>
      </c>
      <c r="D901" s="181" t="n">
        <v>4579.2025</v>
      </c>
      <c r="E901" s="181" t="n">
        <v>17.4875</v>
      </c>
      <c r="F901" s="181" t="n">
        <v>305.813</v>
      </c>
      <c r="G901" s="181" t="n">
        <v>0.123027</v>
      </c>
      <c r="H901" s="181" t="n">
        <v>0.061188</v>
      </c>
      <c r="I901" s="181" t="inlineStr"/>
    </row>
    <row r="902" ht="15" customHeight="1" s="28">
      <c r="A902" s="182" t="n">
        <v>892</v>
      </c>
      <c r="B902" s="182" t="n">
        <v>891</v>
      </c>
      <c r="C902" s="182" t="n">
        <v>4598.44</v>
      </c>
      <c r="D902" s="182" t="n">
        <v>4578.9349</v>
      </c>
      <c r="E902" s="182" t="n">
        <v>19.5051</v>
      </c>
      <c r="F902" s="182" t="n">
        <v>380.4497</v>
      </c>
      <c r="G902" s="182" t="n">
        <v>0.170711</v>
      </c>
      <c r="H902" s="182" t="n">
        <v>0.09470000000000001</v>
      </c>
      <c r="I902" s="182" t="inlineStr"/>
    </row>
    <row r="903" ht="15" customHeight="1" s="28">
      <c r="A903" s="181" t="n">
        <v>893</v>
      </c>
      <c r="B903" s="181" t="n">
        <v>892</v>
      </c>
      <c r="C903" s="181" t="n">
        <v>4618.7</v>
      </c>
      <c r="D903" s="181" t="n">
        <v>4578.6673</v>
      </c>
      <c r="E903" s="181" t="n">
        <v>40.0327</v>
      </c>
      <c r="F903" s="181" t="n">
        <v>1602.6187</v>
      </c>
      <c r="G903" s="181" t="n">
        <v>1.475913</v>
      </c>
      <c r="H903" s="181" t="n">
        <v>1.680407</v>
      </c>
      <c r="I903" s="181" t="inlineStr"/>
    </row>
    <row r="904" ht="15" customHeight="1" s="28">
      <c r="A904" s="182" t="n">
        <v>894</v>
      </c>
      <c r="B904" s="182" t="n">
        <v>893</v>
      </c>
      <c r="C904" s="182" t="n">
        <v>4617.35</v>
      </c>
      <c r="D904" s="182" t="n">
        <v>4578.3997</v>
      </c>
      <c r="E904" s="182" t="n">
        <v>38.9503</v>
      </c>
      <c r="F904" s="182" t="n">
        <v>1517.1274</v>
      </c>
      <c r="G904" s="182" t="n">
        <v>1.359404</v>
      </c>
      <c r="H904" s="182" t="n">
        <v>1.505907</v>
      </c>
      <c r="I904" s="182" t="inlineStr"/>
    </row>
    <row r="905" ht="15" customHeight="1" s="28">
      <c r="A905" s="181" t="n">
        <v>895</v>
      </c>
      <c r="B905" s="181" t="n">
        <v>894</v>
      </c>
      <c r="C905" s="181" t="n">
        <v>4614.82</v>
      </c>
      <c r="D905" s="181" t="n">
        <v>4578.1321</v>
      </c>
      <c r="E905" s="181" t="n">
        <v>36.6879</v>
      </c>
      <c r="F905" s="181" t="n">
        <v>1346.0042</v>
      </c>
      <c r="G905" s="181" t="n">
        <v>1.136018</v>
      </c>
      <c r="H905" s="181" t="n">
        <v>1.185351</v>
      </c>
      <c r="I905" s="181" t="inlineStr"/>
    </row>
    <row r="906" ht="15" customHeight="1" s="28">
      <c r="A906" s="182" t="n">
        <v>896</v>
      </c>
      <c r="B906" s="182" t="n">
        <v>895</v>
      </c>
      <c r="C906" s="182" t="n">
        <v>4616</v>
      </c>
      <c r="D906" s="182" t="n">
        <v>4577.8645</v>
      </c>
      <c r="E906" s="182" t="n">
        <v>38.1355</v>
      </c>
      <c r="F906" s="182" t="n">
        <v>1454.3186</v>
      </c>
      <c r="G906" s="182" t="n">
        <v>1.275866</v>
      </c>
      <c r="H906" s="182" t="n">
        <v>1.3838</v>
      </c>
      <c r="I906" s="182" t="inlineStr"/>
    </row>
    <row r="907" ht="15" customHeight="1" s="28">
      <c r="A907" s="181" t="n">
        <v>897</v>
      </c>
      <c r="B907" s="181" t="n">
        <v>896</v>
      </c>
      <c r="C907" s="181" t="n">
        <v>4618.96</v>
      </c>
      <c r="D907" s="181" t="n">
        <v>4577.5969</v>
      </c>
      <c r="E907" s="181" t="n">
        <v>41.3631</v>
      </c>
      <c r="F907" s="181" t="n">
        <v>1710.9094</v>
      </c>
      <c r="G907" s="181" t="n">
        <v>1.628006</v>
      </c>
      <c r="H907" s="181" t="n">
        <v>1.915173</v>
      </c>
      <c r="I907" s="181" t="inlineStr"/>
    </row>
    <row r="908" ht="15" customHeight="1" s="28">
      <c r="A908" s="182" t="n">
        <v>898</v>
      </c>
      <c r="B908" s="182" t="n">
        <v>897</v>
      </c>
      <c r="C908" s="182" t="n">
        <v>4625.41</v>
      </c>
      <c r="D908" s="182" t="n">
        <v>4577.3293</v>
      </c>
      <c r="E908" s="182" t="n">
        <v>48.0807</v>
      </c>
      <c r="F908" s="182" t="n">
        <v>2311.7576</v>
      </c>
      <c r="G908" s="182" t="n">
        <v>2.55699</v>
      </c>
      <c r="H908" s="182" t="n">
        <v>3.496541</v>
      </c>
      <c r="I908" s="182" t="inlineStr"/>
    </row>
    <row r="909" ht="15" customHeight="1" s="28">
      <c r="A909" s="181" t="n">
        <v>899</v>
      </c>
      <c r="B909" s="181" t="n">
        <v>898</v>
      </c>
      <c r="C909" s="181" t="n">
        <v>4619.35</v>
      </c>
      <c r="D909" s="181" t="n">
        <v>4577.0617</v>
      </c>
      <c r="E909" s="181" t="n">
        <v>42.2883</v>
      </c>
      <c r="F909" s="181" t="n">
        <v>1788.3037</v>
      </c>
      <c r="G909" s="181" t="n">
        <v>1.739713</v>
      </c>
      <c r="H909" s="181" t="n">
        <v>2.092361</v>
      </c>
      <c r="I909" s="181" t="inlineStr"/>
    </row>
    <row r="910" ht="15" customHeight="1" s="28">
      <c r="A910" s="182" t="n">
        <v>900</v>
      </c>
      <c r="B910" s="182" t="n">
        <v>899</v>
      </c>
      <c r="C910" s="182" t="n">
        <v>4624.91</v>
      </c>
      <c r="D910" s="182" t="n">
        <v>4576.7941</v>
      </c>
      <c r="E910" s="182" t="n">
        <v>48.1159</v>
      </c>
      <c r="F910" s="182" t="n">
        <v>2315.1446</v>
      </c>
      <c r="G910" s="182" t="n">
        <v>2.562612</v>
      </c>
      <c r="H910" s="182" t="n">
        <v>3.506795</v>
      </c>
      <c r="I910" s="182" t="inlineStr"/>
    </row>
    <row r="911" ht="15" customHeight="1" s="28">
      <c r="A911" s="181" t="n">
        <v>901</v>
      </c>
      <c r="B911" s="181" t="n">
        <v>900</v>
      </c>
      <c r="C911" s="181" t="n">
        <v>4626.92</v>
      </c>
      <c r="D911" s="181" t="n">
        <v>4576.5265</v>
      </c>
      <c r="E911" s="181" t="n">
        <v>50.3935</v>
      </c>
      <c r="F911" s="181" t="n">
        <v>2539.5099</v>
      </c>
      <c r="G911" s="181" t="n">
        <v>2.944018</v>
      </c>
      <c r="H911" s="181" t="n">
        <v>4.219431</v>
      </c>
      <c r="I911" s="181" t="inlineStr"/>
    </row>
    <row r="912" ht="15" customHeight="1" s="28">
      <c r="A912" s="182" t="n">
        <v>902</v>
      </c>
      <c r="B912" s="182" t="n">
        <v>901</v>
      </c>
      <c r="C912" s="182" t="n">
        <v>4643.78</v>
      </c>
      <c r="D912" s="182" t="n">
        <v>4576.2588</v>
      </c>
      <c r="E912" s="182" t="n">
        <v>67.52119999999999</v>
      </c>
      <c r="F912" s="182" t="n">
        <v>4559.107</v>
      </c>
      <c r="G912" s="182" t="n">
        <v>7.081663</v>
      </c>
      <c r="H912" s="182" t="n">
        <v>13.59921</v>
      </c>
      <c r="I912" s="182" t="inlineStr"/>
    </row>
    <row r="913" ht="15" customHeight="1" s="28">
      <c r="A913" s="181" t="n">
        <v>903</v>
      </c>
      <c r="B913" s="181" t="n">
        <v>902</v>
      </c>
      <c r="C913" s="181" t="n">
        <v>4636.62</v>
      </c>
      <c r="D913" s="181" t="n">
        <v>4575.9912</v>
      </c>
      <c r="E913" s="181" t="n">
        <v>60.6288</v>
      </c>
      <c r="F913" s="181" t="n">
        <v>3675.8465</v>
      </c>
      <c r="G913" s="181" t="n">
        <v>5.126862</v>
      </c>
      <c r="H913" s="181" t="n">
        <v>8.840337999999999</v>
      </c>
      <c r="I913" s="181" t="inlineStr"/>
    </row>
    <row r="914" ht="15" customHeight="1" s="28">
      <c r="A914" s="182" t="n">
        <v>904</v>
      </c>
      <c r="B914" s="182" t="n">
        <v>903</v>
      </c>
      <c r="C914" s="182" t="n">
        <v>4639.68</v>
      </c>
      <c r="D914" s="182" t="n">
        <v>4575.7236</v>
      </c>
      <c r="E914" s="182" t="n">
        <v>63.9564</v>
      </c>
      <c r="F914" s="182" t="n">
        <v>4090.4173</v>
      </c>
      <c r="G914" s="182" t="n">
        <v>6.018205</v>
      </c>
      <c r="H914" s="182" t="n">
        <v>10.946854</v>
      </c>
      <c r="I914" s="182" t="inlineStr"/>
    </row>
    <row r="915" ht="15" customHeight="1" s="28">
      <c r="A915" s="181" t="n">
        <v>905</v>
      </c>
      <c r="B915" s="181" t="n">
        <v>904</v>
      </c>
      <c r="C915" s="181" t="n">
        <v>4635.99</v>
      </c>
      <c r="D915" s="181" t="n">
        <v>4575.456</v>
      </c>
      <c r="E915" s="181" t="n">
        <v>60.534</v>
      </c>
      <c r="F915" s="181" t="n">
        <v>3664.3615</v>
      </c>
      <c r="G915" s="181" t="n">
        <v>5.102853</v>
      </c>
      <c r="H915" s="181" t="n">
        <v>8.785182000000001</v>
      </c>
      <c r="I915" s="181" t="inlineStr"/>
    </row>
    <row r="916" ht="15" customHeight="1" s="28">
      <c r="A916" s="182" t="n">
        <v>906</v>
      </c>
      <c r="B916" s="182" t="n">
        <v>905</v>
      </c>
      <c r="C916" s="182" t="n">
        <v>4637.7</v>
      </c>
      <c r="D916" s="182" t="n">
        <v>4575.1884</v>
      </c>
      <c r="E916" s="182" t="n">
        <v>62.5116</v>
      </c>
      <c r="F916" s="182" t="n">
        <v>3907.6964</v>
      </c>
      <c r="G916" s="182" t="n">
        <v>5.619489</v>
      </c>
      <c r="H916" s="182" t="n">
        <v>9.990696</v>
      </c>
      <c r="I916" s="182" t="inlineStr"/>
    </row>
    <row r="917" ht="15" customHeight="1" s="28">
      <c r="A917" s="181" t="n">
        <v>907</v>
      </c>
      <c r="B917" s="181" t="n">
        <v>906</v>
      </c>
      <c r="C917" s="181" t="n">
        <v>4629.82</v>
      </c>
      <c r="D917" s="181" t="n">
        <v>4574.9208</v>
      </c>
      <c r="E917" s="181" t="n">
        <v>54.8992</v>
      </c>
      <c r="F917" s="181" t="n">
        <v>3013.92</v>
      </c>
      <c r="G917" s="181" t="n">
        <v>3.806389</v>
      </c>
      <c r="H917" s="181" t="n">
        <v>5.943162</v>
      </c>
      <c r="I917" s="181" t="inlineStr"/>
    </row>
    <row r="918" ht="15" customHeight="1" s="28">
      <c r="A918" s="182" t="n">
        <v>908</v>
      </c>
      <c r="B918" s="182" t="n">
        <v>907</v>
      </c>
      <c r="C918" s="182" t="n">
        <v>4630.21</v>
      </c>
      <c r="D918" s="182" t="n">
        <v>4574.6532</v>
      </c>
      <c r="E918" s="182" t="n">
        <v>55.5568</v>
      </c>
      <c r="F918" s="182" t="n">
        <v>3086.5558</v>
      </c>
      <c r="G918" s="182" t="n">
        <v>3.944816</v>
      </c>
      <c r="H918" s="182" t="n">
        <v>6.233075</v>
      </c>
      <c r="I918" s="182" t="inlineStr"/>
    </row>
    <row r="919" ht="15" customHeight="1" s="28">
      <c r="A919" s="181" t="n">
        <v>909</v>
      </c>
      <c r="B919" s="181" t="n">
        <v>908</v>
      </c>
      <c r="C919" s="181" t="n">
        <v>4635.81</v>
      </c>
      <c r="D919" s="181" t="n">
        <v>4574.3856</v>
      </c>
      <c r="E919" s="181" t="n">
        <v>61.4244</v>
      </c>
      <c r="F919" s="181" t="n">
        <v>3772.9557</v>
      </c>
      <c r="G919" s="181" t="n">
        <v>5.331362</v>
      </c>
      <c r="H919" s="181" t="n">
        <v>9.313599</v>
      </c>
      <c r="I919" s="181" t="inlineStr"/>
    </row>
    <row r="920" ht="15" customHeight="1" s="28">
      <c r="A920" s="182" t="n">
        <v>910</v>
      </c>
      <c r="B920" s="182" t="n">
        <v>909</v>
      </c>
      <c r="C920" s="182" t="n">
        <v>4630.51</v>
      </c>
      <c r="D920" s="182" t="n">
        <v>4574.118</v>
      </c>
      <c r="E920" s="182" t="n">
        <v>56.392</v>
      </c>
      <c r="F920" s="182" t="n">
        <v>3180.0565</v>
      </c>
      <c r="G920" s="182" t="n">
        <v>4.125417</v>
      </c>
      <c r="H920" s="182" t="n">
        <v>6.616431</v>
      </c>
      <c r="I920" s="182" t="inlineStr"/>
    </row>
    <row r="921" ht="15" customHeight="1" s="28">
      <c r="A921" s="181" t="n">
        <v>911</v>
      </c>
      <c r="B921" s="181" t="n">
        <v>910</v>
      </c>
      <c r="C921" s="181" t="n">
        <v>4625.92</v>
      </c>
      <c r="D921" s="181" t="n">
        <v>4573.8504</v>
      </c>
      <c r="E921" s="181" t="n">
        <v>52.0696</v>
      </c>
      <c r="F921" s="181" t="n">
        <v>2711.2422</v>
      </c>
      <c r="G921" s="181" t="n">
        <v>3.247641</v>
      </c>
      <c r="H921" s="181" t="n">
        <v>4.809398</v>
      </c>
      <c r="I921" s="181" t="inlineStr"/>
    </row>
    <row r="922" ht="15" customHeight="1" s="28">
      <c r="A922" s="182" t="n">
        <v>912</v>
      </c>
      <c r="B922" s="182" t="n">
        <v>911</v>
      </c>
      <c r="C922" s="182" t="n">
        <v>4639.57</v>
      </c>
      <c r="D922" s="182" t="n">
        <v>4573.5828</v>
      </c>
      <c r="E922" s="182" t="n">
        <v>65.9872</v>
      </c>
      <c r="F922" s="182" t="n">
        <v>4354.3106</v>
      </c>
      <c r="G922" s="182" t="n">
        <v>6.609897</v>
      </c>
      <c r="H922" s="182" t="n">
        <v>12.40489</v>
      </c>
      <c r="I922" s="182" t="inlineStr"/>
    </row>
    <row r="923" ht="15" customHeight="1" s="28">
      <c r="A923" s="181" t="n">
        <v>913</v>
      </c>
      <c r="B923" s="181" t="n">
        <v>912</v>
      </c>
      <c r="C923" s="181" t="n">
        <v>4641.5</v>
      </c>
      <c r="D923" s="181" t="n">
        <v>4573.3152</v>
      </c>
      <c r="E923" s="181" t="n">
        <v>68.1848</v>
      </c>
      <c r="F923" s="181" t="n">
        <v>4649.167</v>
      </c>
      <c r="G923" s="181" t="n">
        <v>7.292531</v>
      </c>
      <c r="H923" s="181" t="n">
        <v>14.14179</v>
      </c>
      <c r="I923" s="181" t="inlineStr"/>
    </row>
    <row r="924" ht="15" customHeight="1" s="28">
      <c r="A924" s="182" t="n">
        <v>914</v>
      </c>
      <c r="B924" s="182" t="n">
        <v>913</v>
      </c>
      <c r="C924" s="182" t="n">
        <v>4633.5</v>
      </c>
      <c r="D924" s="182" t="n">
        <v>4573.0476</v>
      </c>
      <c r="E924" s="182" t="n">
        <v>60.4524</v>
      </c>
      <c r="F924" s="182" t="n">
        <v>3654.4939</v>
      </c>
      <c r="G924" s="182" t="n">
        <v>5.082255</v>
      </c>
      <c r="H924" s="182" t="n">
        <v>8.737931</v>
      </c>
      <c r="I924" s="182" t="inlineStr"/>
    </row>
    <row r="925" ht="15" customHeight="1" s="28">
      <c r="A925" s="181" t="n">
        <v>915</v>
      </c>
      <c r="B925" s="181" t="n">
        <v>914</v>
      </c>
      <c r="C925" s="181" t="n">
        <v>4625.44</v>
      </c>
      <c r="D925" s="181" t="n">
        <v>4572.78</v>
      </c>
      <c r="E925" s="181" t="n">
        <v>52.66</v>
      </c>
      <c r="F925" s="181" t="n">
        <v>2773.0767</v>
      </c>
      <c r="G925" s="181" t="n">
        <v>3.359374</v>
      </c>
      <c r="H925" s="181" t="n">
        <v>5.031273</v>
      </c>
      <c r="I925" s="181" t="inlineStr"/>
    </row>
    <row r="926" ht="15" customHeight="1" s="28">
      <c r="A926" s="182" t="n">
        <v>916</v>
      </c>
      <c r="B926" s="182" t="n">
        <v>915</v>
      </c>
      <c r="C926" s="182" t="n">
        <v>4610.99</v>
      </c>
      <c r="D926" s="182" t="n">
        <v>4572.5124</v>
      </c>
      <c r="E926" s="182" t="n">
        <v>38.4776</v>
      </c>
      <c r="F926" s="182" t="n">
        <v>1480.5265</v>
      </c>
      <c r="G926" s="182" t="n">
        <v>1.310509</v>
      </c>
      <c r="H926" s="182" t="n">
        <v>1.434123</v>
      </c>
      <c r="I926" s="182" t="inlineStr"/>
    </row>
    <row r="927" ht="15" customHeight="1" s="28">
      <c r="A927" s="181" t="n">
        <v>917</v>
      </c>
      <c r="B927" s="181" t="n">
        <v>916</v>
      </c>
      <c r="C927" s="181" t="n">
        <v>4620.39</v>
      </c>
      <c r="D927" s="181" t="n">
        <v>4572.2448</v>
      </c>
      <c r="E927" s="181" t="n">
        <v>48.1452</v>
      </c>
      <c r="F927" s="181" t="n">
        <v>2317.9622</v>
      </c>
      <c r="G927" s="181" t="n">
        <v>2.567291</v>
      </c>
      <c r="H927" s="181" t="n">
        <v>3.515336</v>
      </c>
      <c r="I927" s="181" t="inlineStr"/>
    </row>
    <row r="928" ht="15" customHeight="1" s="28">
      <c r="A928" s="182" t="n">
        <v>918</v>
      </c>
      <c r="B928" s="182" t="n">
        <v>917</v>
      </c>
      <c r="C928" s="182" t="n">
        <v>4622.81</v>
      </c>
      <c r="D928" s="182" t="n">
        <v>4571.9772</v>
      </c>
      <c r="E928" s="182" t="n">
        <v>50.8328</v>
      </c>
      <c r="F928" s="182" t="n">
        <v>2583.9756</v>
      </c>
      <c r="G928" s="182" t="n">
        <v>3.021678</v>
      </c>
      <c r="H928" s="182" t="n">
        <v>4.368486</v>
      </c>
      <c r="I928" s="182" t="inlineStr"/>
    </row>
    <row r="929" ht="15" customHeight="1" s="28">
      <c r="A929" s="181" t="n">
        <v>919</v>
      </c>
      <c r="B929" s="181" t="n">
        <v>918</v>
      </c>
      <c r="C929" s="181" t="n">
        <v>4617.7</v>
      </c>
      <c r="D929" s="181" t="n">
        <v>4571.7096</v>
      </c>
      <c r="E929" s="181" t="n">
        <v>45.9904</v>
      </c>
      <c r="F929" s="181" t="n">
        <v>2115.1197</v>
      </c>
      <c r="G929" s="181" t="n">
        <v>2.237783</v>
      </c>
      <c r="H929" s="181" t="n">
        <v>2.927009</v>
      </c>
      <c r="I929" s="181" t="inlineStr"/>
    </row>
    <row r="930" ht="15" customHeight="1" s="28">
      <c r="A930" s="182" t="n">
        <v>920</v>
      </c>
      <c r="B930" s="182" t="n">
        <v>919</v>
      </c>
      <c r="C930" s="182" t="n">
        <v>4619.59</v>
      </c>
      <c r="D930" s="182" t="n">
        <v>4571.442</v>
      </c>
      <c r="E930" s="182" t="n">
        <v>48.148</v>
      </c>
      <c r="F930" s="182" t="n">
        <v>2318.2328</v>
      </c>
      <c r="G930" s="182" t="n">
        <v>2.567741</v>
      </c>
      <c r="H930" s="182" t="n">
        <v>3.516157</v>
      </c>
      <c r="I930" s="182" t="inlineStr"/>
    </row>
    <row r="931" ht="15" customHeight="1" s="28">
      <c r="A931" s="181" t="n">
        <v>921</v>
      </c>
      <c r="B931" s="181" t="n">
        <v>920</v>
      </c>
      <c r="C931" s="181" t="n">
        <v>4620.13</v>
      </c>
      <c r="D931" s="181" t="n">
        <v>4571.1744</v>
      </c>
      <c r="E931" s="181" t="n">
        <v>48.9556</v>
      </c>
      <c r="F931" s="181" t="n">
        <v>2396.6537</v>
      </c>
      <c r="G931" s="181" t="n">
        <v>2.699128</v>
      </c>
      <c r="H931" s="181" t="n">
        <v>3.758068</v>
      </c>
      <c r="I931" s="181" t="inlineStr"/>
    </row>
    <row r="932" ht="15" customHeight="1" s="28">
      <c r="A932" s="182" t="n">
        <v>922</v>
      </c>
      <c r="B932" s="182" t="n">
        <v>921</v>
      </c>
      <c r="C932" s="182" t="n">
        <v>4623.09</v>
      </c>
      <c r="D932" s="182" t="n">
        <v>4570.9068</v>
      </c>
      <c r="E932" s="182" t="n">
        <v>52.1832</v>
      </c>
      <c r="F932" s="182" t="n">
        <v>2723.0905</v>
      </c>
      <c r="G932" s="182" t="n">
        <v>3.268953</v>
      </c>
      <c r="H932" s="182" t="n">
        <v>4.851525</v>
      </c>
      <c r="I932" s="182" t="inlineStr"/>
    </row>
    <row r="933" ht="15" customHeight="1" s="28">
      <c r="A933" s="181" t="n">
        <v>923</v>
      </c>
      <c r="B933" s="181" t="n">
        <v>922</v>
      </c>
      <c r="C933" s="181" t="n">
        <v>4615.65</v>
      </c>
      <c r="D933" s="181" t="n">
        <v>4570.6392</v>
      </c>
      <c r="E933" s="181" t="n">
        <v>45.0108</v>
      </c>
      <c r="F933" s="181" t="n">
        <v>2025.9757</v>
      </c>
      <c r="G933" s="181" t="n">
        <v>2.097814</v>
      </c>
      <c r="H933" s="181" t="n">
        <v>2.685484</v>
      </c>
      <c r="I933" s="181" t="inlineStr"/>
    </row>
    <row r="934" ht="15" customHeight="1" s="28">
      <c r="A934" s="182" t="n">
        <v>924</v>
      </c>
      <c r="B934" s="182" t="n">
        <v>923</v>
      </c>
      <c r="C934" s="182" t="n">
        <v>4615.35</v>
      </c>
      <c r="D934" s="182" t="n">
        <v>4570.3715</v>
      </c>
      <c r="E934" s="182" t="n">
        <v>44.9785</v>
      </c>
      <c r="F934" s="182" t="n">
        <v>2023.061</v>
      </c>
      <c r="G934" s="182" t="n">
        <v>2.093288</v>
      </c>
      <c r="H934" s="182" t="n">
        <v>2.677762</v>
      </c>
      <c r="I934" s="182" t="inlineStr"/>
    </row>
    <row r="935" ht="15" customHeight="1" s="28">
      <c r="A935" s="181" t="n">
        <v>925</v>
      </c>
      <c r="B935" s="181" t="n">
        <v>924</v>
      </c>
      <c r="C935" s="181" t="n">
        <v>4611.63</v>
      </c>
      <c r="D935" s="181" t="n">
        <v>4570.1039</v>
      </c>
      <c r="E935" s="181" t="n">
        <v>41.5261</v>
      </c>
      <c r="F935" s="181" t="n">
        <v>1724.4128</v>
      </c>
      <c r="G935" s="181" t="n">
        <v>1.647318</v>
      </c>
      <c r="H935" s="181" t="n">
        <v>1.945524</v>
      </c>
      <c r="I935" s="181" t="inlineStr"/>
    </row>
    <row r="936" ht="15" customHeight="1" s="28">
      <c r="A936" s="182" t="n">
        <v>926</v>
      </c>
      <c r="B936" s="182" t="n">
        <v>925</v>
      </c>
      <c r="C936" s="182" t="n">
        <v>4608.08</v>
      </c>
      <c r="D936" s="182" t="n">
        <v>4569.8363</v>
      </c>
      <c r="E936" s="182" t="n">
        <v>38.2437</v>
      </c>
      <c r="F936" s="182" t="n">
        <v>1462.5775</v>
      </c>
      <c r="G936" s="182" t="n">
        <v>1.286749</v>
      </c>
      <c r="H936" s="182" t="n">
        <v>1.399561</v>
      </c>
      <c r="I936" s="182" t="inlineStr"/>
    </row>
    <row r="937" ht="15" customHeight="1" s="28">
      <c r="A937" s="181" t="n">
        <v>927</v>
      </c>
      <c r="B937" s="181" t="n">
        <v>926</v>
      </c>
      <c r="C937" s="181" t="n">
        <v>4609.12</v>
      </c>
      <c r="D937" s="181" t="n">
        <v>4569.5687</v>
      </c>
      <c r="E937" s="181" t="n">
        <v>39.5513</v>
      </c>
      <c r="F937" s="181" t="n">
        <v>1564.3022</v>
      </c>
      <c r="G937" s="181" t="n">
        <v>1.4233</v>
      </c>
      <c r="H937" s="181" t="n">
        <v>1.601015</v>
      </c>
      <c r="I937" s="181" t="inlineStr"/>
    </row>
    <row r="938" ht="15" customHeight="1" s="28">
      <c r="A938" s="182" t="n">
        <v>928</v>
      </c>
      <c r="B938" s="182" t="n">
        <v>927</v>
      </c>
      <c r="C938" s="182" t="n">
        <v>4607.62</v>
      </c>
      <c r="D938" s="182" t="n">
        <v>4569.3011</v>
      </c>
      <c r="E938" s="182" t="n">
        <v>38.3189</v>
      </c>
      <c r="F938" s="182" t="n">
        <v>1468.335</v>
      </c>
      <c r="G938" s="182" t="n">
        <v>1.294355</v>
      </c>
      <c r="H938" s="182" t="n">
        <v>1.410602</v>
      </c>
      <c r="I938" s="182" t="inlineStr"/>
    </row>
    <row r="939" ht="15" customHeight="1" s="28">
      <c r="A939" s="181" t="n">
        <v>929</v>
      </c>
      <c r="B939" s="181" t="n">
        <v>928</v>
      </c>
      <c r="C939" s="181" t="n">
        <v>4615.95</v>
      </c>
      <c r="D939" s="181" t="n">
        <v>4569.0335</v>
      </c>
      <c r="E939" s="181" t="n">
        <v>46.9165</v>
      </c>
      <c r="F939" s="181" t="n">
        <v>2201.1552</v>
      </c>
      <c r="G939" s="181" t="n">
        <v>2.3757</v>
      </c>
      <c r="H939" s="181" t="n">
        <v>3.169972</v>
      </c>
      <c r="I939" s="181" t="inlineStr"/>
    </row>
    <row r="940" ht="15" customHeight="1" s="28">
      <c r="A940" s="182" t="n">
        <v>930</v>
      </c>
      <c r="B940" s="182" t="n">
        <v>929</v>
      </c>
      <c r="C940" s="182" t="n">
        <v>4618</v>
      </c>
      <c r="D940" s="182" t="n">
        <v>4568.7659</v>
      </c>
      <c r="E940" s="182" t="n">
        <v>49.2341</v>
      </c>
      <c r="F940" s="182" t="n">
        <v>2423.9936</v>
      </c>
      <c r="G940" s="182" t="n">
        <v>2.745445</v>
      </c>
      <c r="H940" s="182" t="n">
        <v>3.844298</v>
      </c>
      <c r="I940" s="182" t="inlineStr"/>
    </row>
    <row r="941" ht="15" customHeight="1" s="28">
      <c r="A941" s="181" t="n">
        <v>931</v>
      </c>
      <c r="B941" s="181" t="n">
        <v>930</v>
      </c>
      <c r="C941" s="181" t="n">
        <v>4617.86</v>
      </c>
      <c r="D941" s="181" t="n">
        <v>4568.4983</v>
      </c>
      <c r="E941" s="181" t="n">
        <v>49.3617</v>
      </c>
      <c r="F941" s="181" t="n">
        <v>2436.5755</v>
      </c>
      <c r="G941" s="181" t="n">
        <v>2.766849</v>
      </c>
      <c r="H941" s="181" t="n">
        <v>3.88431</v>
      </c>
      <c r="I941" s="181" t="inlineStr"/>
    </row>
    <row r="942" ht="15" customHeight="1" s="28">
      <c r="A942" s="182" t="n">
        <v>932</v>
      </c>
      <c r="B942" s="182" t="n">
        <v>931</v>
      </c>
      <c r="C942" s="182" t="n">
        <v>4616.86</v>
      </c>
      <c r="D942" s="182" t="n">
        <v>4568.2307</v>
      </c>
      <c r="E942" s="182" t="n">
        <v>48.6293</v>
      </c>
      <c r="F942" s="182" t="n">
        <v>2364.8069</v>
      </c>
      <c r="G942" s="182" t="n">
        <v>2.645508</v>
      </c>
      <c r="H942" s="182" t="n">
        <v>3.658857</v>
      </c>
      <c r="I942" s="182" t="inlineStr"/>
    </row>
    <row r="943" ht="15" customHeight="1" s="28">
      <c r="A943" s="181" t="n">
        <v>933</v>
      </c>
      <c r="B943" s="181" t="n">
        <v>932</v>
      </c>
      <c r="C943" s="181" t="n">
        <v>4620.57</v>
      </c>
      <c r="D943" s="181" t="n">
        <v>4567.9631</v>
      </c>
      <c r="E943" s="181" t="n">
        <v>52.6069</v>
      </c>
      <c r="F943" s="181" t="n">
        <v>2767.4838</v>
      </c>
      <c r="G943" s="181" t="n">
        <v>3.349216</v>
      </c>
      <c r="H943" s="181" t="n">
        <v>5.010999</v>
      </c>
      <c r="I943" s="181" t="inlineStr"/>
    </row>
    <row r="944" ht="15" customHeight="1" s="28">
      <c r="A944" s="182" t="n">
        <v>934</v>
      </c>
      <c r="B944" s="182" t="n">
        <v>933</v>
      </c>
      <c r="C944" s="182" t="n">
        <v>4620.79</v>
      </c>
      <c r="D944" s="182" t="n">
        <v>4567.6955</v>
      </c>
      <c r="E944" s="182" t="n">
        <v>53.0945</v>
      </c>
      <c r="F944" s="182" t="n">
        <v>2819.0249</v>
      </c>
      <c r="G944" s="182" t="n">
        <v>3.443213</v>
      </c>
      <c r="H944" s="182" t="n">
        <v>5.199384</v>
      </c>
      <c r="I944" s="182" t="inlineStr"/>
    </row>
    <row r="945" ht="15" customHeight="1" s="28">
      <c r="A945" s="181" t="n">
        <v>935</v>
      </c>
      <c r="B945" s="181" t="n">
        <v>934</v>
      </c>
      <c r="C945" s="181" t="n">
        <v>4620.7</v>
      </c>
      <c r="D945" s="181" t="n">
        <v>4567.4279</v>
      </c>
      <c r="E945" s="181" t="n">
        <v>53.2721</v>
      </c>
      <c r="F945" s="181" t="n">
        <v>2837.9156</v>
      </c>
      <c r="G945" s="181" t="n">
        <v>3.477882</v>
      </c>
      <c r="H945" s="181" t="n">
        <v>5.269302</v>
      </c>
      <c r="I945" s="181" t="inlineStr"/>
    </row>
    <row r="946" ht="15" customHeight="1" s="28">
      <c r="A946" s="182" t="n">
        <v>936</v>
      </c>
      <c r="B946" s="182" t="n">
        <v>935</v>
      </c>
      <c r="C946" s="182" t="n">
        <v>4622.48</v>
      </c>
      <c r="D946" s="182" t="n">
        <v>4567.1603</v>
      </c>
      <c r="E946" s="182" t="n">
        <v>55.3197</v>
      </c>
      <c r="F946" s="182" t="n">
        <v>3060.2692</v>
      </c>
      <c r="G946" s="182" t="n">
        <v>3.89453</v>
      </c>
      <c r="H946" s="182" t="n">
        <v>6.12736</v>
      </c>
      <c r="I946" s="182" t="inlineStr"/>
    </row>
    <row r="947" ht="15" customHeight="1" s="28">
      <c r="A947" s="181" t="n">
        <v>937</v>
      </c>
      <c r="B947" s="181" t="n">
        <v>936</v>
      </c>
      <c r="C947" s="181" t="n">
        <v>4624.33</v>
      </c>
      <c r="D947" s="181" t="n">
        <v>4566.8927</v>
      </c>
      <c r="E947" s="181" t="n">
        <v>57.4373</v>
      </c>
      <c r="F947" s="181" t="n">
        <v>3299.0434</v>
      </c>
      <c r="G947" s="181" t="n">
        <v>4.359108</v>
      </c>
      <c r="H947" s="181" t="n">
        <v>7.120823</v>
      </c>
      <c r="I947" s="181" t="inlineStr"/>
    </row>
    <row r="948" ht="15" customHeight="1" s="28">
      <c r="A948" s="182" t="n">
        <v>938</v>
      </c>
      <c r="B948" s="182" t="n">
        <v>937</v>
      </c>
      <c r="C948" s="182" t="n">
        <v>4617.77</v>
      </c>
      <c r="D948" s="182" t="n">
        <v>4566.6251</v>
      </c>
      <c r="E948" s="182" t="n">
        <v>51.1449</v>
      </c>
      <c r="F948" s="182" t="n">
        <v>2615.8008</v>
      </c>
      <c r="G948" s="182" t="n">
        <v>3.077674</v>
      </c>
      <c r="H948" s="182" t="n">
        <v>4.476756</v>
      </c>
      <c r="I948" s="182" t="inlineStr"/>
    </row>
    <row r="949" ht="15" customHeight="1" s="28">
      <c r="A949" s="181" t="n">
        <v>939</v>
      </c>
      <c r="B949" s="181" t="n">
        <v>938</v>
      </c>
      <c r="C949" s="181" t="n">
        <v>4622.49</v>
      </c>
      <c r="D949" s="181" t="n">
        <v>4566.3575</v>
      </c>
      <c r="E949" s="181" t="n">
        <v>56.1325</v>
      </c>
      <c r="F949" s="181" t="n">
        <v>3150.8587</v>
      </c>
      <c r="G949" s="181" t="n">
        <v>4.068731</v>
      </c>
      <c r="H949" s="181" t="n">
        <v>6.495491</v>
      </c>
      <c r="I949" s="181" t="inlineStr"/>
    </row>
    <row r="950" ht="15" customHeight="1" s="28">
      <c r="A950" s="182" t="n">
        <v>940</v>
      </c>
      <c r="B950" s="182" t="n">
        <v>939</v>
      </c>
      <c r="C950" s="182" t="n">
        <v>4617.07</v>
      </c>
      <c r="D950" s="182" t="n">
        <v>4566.0899</v>
      </c>
      <c r="E950" s="182" t="n">
        <v>50.9801</v>
      </c>
      <c r="F950" s="182" t="n">
        <v>2598.9716</v>
      </c>
      <c r="G950" s="182" t="n">
        <v>3.048021</v>
      </c>
      <c r="H950" s="182" t="n">
        <v>4.419338</v>
      </c>
      <c r="I950" s="182" t="inlineStr"/>
    </row>
    <row r="951" ht="15" customHeight="1" s="28">
      <c r="A951" s="181" t="n">
        <v>941</v>
      </c>
      <c r="B951" s="181" t="n">
        <v>940</v>
      </c>
      <c r="C951" s="181" t="n">
        <v>4616.16</v>
      </c>
      <c r="D951" s="181" t="n">
        <v>4565.8223</v>
      </c>
      <c r="E951" s="181" t="n">
        <v>50.3377</v>
      </c>
      <c r="F951" s="181" t="n">
        <v>2533.8861</v>
      </c>
      <c r="G951" s="181" t="n">
        <v>2.934244</v>
      </c>
      <c r="H951" s="181" t="n">
        <v>4.200764</v>
      </c>
      <c r="I951" s="181" t="inlineStr"/>
    </row>
    <row r="952" ht="15" customHeight="1" s="28">
      <c r="A952" s="182" t="n">
        <v>942</v>
      </c>
      <c r="B952" s="182" t="n">
        <v>941</v>
      </c>
      <c r="C952" s="182" t="n">
        <v>4616.72</v>
      </c>
      <c r="D952" s="182" t="n">
        <v>4565.5547</v>
      </c>
      <c r="E952" s="182" t="n">
        <v>51.1653</v>
      </c>
      <c r="F952" s="182" t="n">
        <v>2617.89</v>
      </c>
      <c r="G952" s="182" t="n">
        <v>3.081362</v>
      </c>
      <c r="H952" s="182" t="n">
        <v>4.48391</v>
      </c>
      <c r="I952" s="182" t="inlineStr"/>
    </row>
    <row r="953" ht="15" customHeight="1" s="28">
      <c r="A953" s="181" t="n">
        <v>943</v>
      </c>
      <c r="B953" s="181" t="n">
        <v>942</v>
      </c>
      <c r="C953" s="181" t="n">
        <v>4617.33</v>
      </c>
      <c r="D953" s="181" t="n">
        <v>4565.2871</v>
      </c>
      <c r="E953" s="181" t="n">
        <v>52.0429</v>
      </c>
      <c r="F953" s="181" t="n">
        <v>2708.4655</v>
      </c>
      <c r="G953" s="181" t="n">
        <v>3.242654</v>
      </c>
      <c r="H953" s="181" t="n">
        <v>4.799552</v>
      </c>
      <c r="I953" s="181" t="inlineStr"/>
    </row>
    <row r="954" ht="15" customHeight="1" s="28">
      <c r="A954" s="182" t="n">
        <v>944</v>
      </c>
      <c r="B954" s="182" t="n">
        <v>943</v>
      </c>
      <c r="C954" s="182" t="n">
        <v>4621.81</v>
      </c>
      <c r="D954" s="182" t="n">
        <v>4565.0195</v>
      </c>
      <c r="E954" s="182" t="n">
        <v>56.7905</v>
      </c>
      <c r="F954" s="182" t="n">
        <v>3225.1643</v>
      </c>
      <c r="G954" s="182" t="n">
        <v>4.213503</v>
      </c>
      <c r="H954" s="182" t="n">
        <v>6.805465</v>
      </c>
      <c r="I954" s="182" t="inlineStr"/>
    </row>
    <row r="955" ht="15" customHeight="1" s="28">
      <c r="A955" s="181" t="n">
        <v>945</v>
      </c>
      <c r="B955" s="181" t="n">
        <v>944</v>
      </c>
      <c r="C955" s="181" t="n">
        <v>4631.38</v>
      </c>
      <c r="D955" s="181" t="n">
        <v>4564.7519</v>
      </c>
      <c r="E955" s="181" t="n">
        <v>66.6281</v>
      </c>
      <c r="F955" s="181" t="n">
        <v>4439.3077</v>
      </c>
      <c r="G955" s="181" t="n">
        <v>6.804378</v>
      </c>
      <c r="H955" s="181" t="n">
        <v>12.893909</v>
      </c>
      <c r="I955" s="181" t="inlineStr"/>
    </row>
    <row r="956" ht="15" customHeight="1" s="28">
      <c r="A956" s="182" t="n">
        <v>946</v>
      </c>
      <c r="B956" s="182" t="n">
        <v>945</v>
      </c>
      <c r="C956" s="182" t="n">
        <v>4631.38</v>
      </c>
      <c r="D956" s="182" t="n">
        <v>4564.4843</v>
      </c>
      <c r="E956" s="182" t="n">
        <v>66.89570000000001</v>
      </c>
      <c r="F956" s="182" t="n">
        <v>4475.04</v>
      </c>
      <c r="G956" s="182" t="n">
        <v>6.886697</v>
      </c>
      <c r="H956" s="182" t="n">
        <v>13.102313</v>
      </c>
      <c r="I956" s="182" t="inlineStr"/>
    </row>
    <row r="957" ht="15" customHeight="1" s="28">
      <c r="A957" s="181" t="n">
        <v>947</v>
      </c>
      <c r="B957" s="181" t="n">
        <v>946</v>
      </c>
      <c r="C957" s="181" t="n">
        <v>4631.75</v>
      </c>
      <c r="D957" s="181" t="n">
        <v>4564.2167</v>
      </c>
      <c r="E957" s="181" t="n">
        <v>67.5333</v>
      </c>
      <c r="F957" s="181" t="n">
        <v>4560.752</v>
      </c>
      <c r="G957" s="181" t="n">
        <v>7.085496</v>
      </c>
      <c r="H957" s="181" t="n">
        <v>13.609026</v>
      </c>
      <c r="I957" s="181" t="inlineStr"/>
    </row>
    <row r="958" ht="15" customHeight="1" s="28">
      <c r="A958" s="182" t="n">
        <v>948</v>
      </c>
      <c r="B958" s="182" t="n">
        <v>947</v>
      </c>
      <c r="C958" s="182" t="n">
        <v>4630.51</v>
      </c>
      <c r="D958" s="182" t="n">
        <v>4563.9491</v>
      </c>
      <c r="E958" s="182" t="n">
        <v>66.56100000000001</v>
      </c>
      <c r="F958" s="182" t="n">
        <v>4430.3601</v>
      </c>
      <c r="G958" s="182" t="n">
        <v>6.783817</v>
      </c>
      <c r="H958" s="182" t="n">
        <v>12.841985</v>
      </c>
      <c r="I958" s="182" t="inlineStr"/>
    </row>
    <row r="959" ht="15" customHeight="1" s="28">
      <c r="A959" s="181" t="n">
        <v>949</v>
      </c>
      <c r="B959" s="181" t="n">
        <v>948</v>
      </c>
      <c r="C959" s="181" t="n">
        <v>4630.26</v>
      </c>
      <c r="D959" s="181" t="n">
        <v>4563.6815</v>
      </c>
      <c r="E959" s="181" t="n">
        <v>66.57859999999999</v>
      </c>
      <c r="F959" s="181" t="n">
        <v>4432.7033</v>
      </c>
      <c r="G959" s="181" t="n">
        <v>6.7892</v>
      </c>
      <c r="H959" s="181" t="n">
        <v>12.855573</v>
      </c>
      <c r="I959" s="181" t="inlineStr"/>
    </row>
    <row r="960" ht="15" customHeight="1" s="28">
      <c r="A960" s="182" t="n">
        <v>950</v>
      </c>
      <c r="B960" s="182" t="n">
        <v>949</v>
      </c>
      <c r="C960" s="182" t="n">
        <v>4630.75</v>
      </c>
      <c r="D960" s="182" t="n">
        <v>4563.4138</v>
      </c>
      <c r="E960" s="182" t="n">
        <v>67.33620000000001</v>
      </c>
      <c r="F960" s="182" t="n">
        <v>4534.1571</v>
      </c>
      <c r="G960" s="182" t="n">
        <v>7.023611</v>
      </c>
      <c r="H960" s="182" t="n">
        <v>13.450773</v>
      </c>
      <c r="I960" s="182" t="inlineStr"/>
    </row>
    <row r="961" ht="15" customHeight="1" s="28">
      <c r="A961" s="181" t="n">
        <v>951</v>
      </c>
      <c r="B961" s="181" t="n">
        <v>950</v>
      </c>
      <c r="C961" s="181" t="n">
        <v>4631.31</v>
      </c>
      <c r="D961" s="181" t="n">
        <v>4563.1462</v>
      </c>
      <c r="E961" s="181" t="n">
        <v>68.16379999999999</v>
      </c>
      <c r="F961" s="181" t="n">
        <v>4646.2982</v>
      </c>
      <c r="G961" s="181" t="n">
        <v>7.285782</v>
      </c>
      <c r="H961" s="181" t="n">
        <v>14.124343</v>
      </c>
      <c r="I961" s="181" t="inlineStr"/>
    </row>
    <row r="962" ht="15" customHeight="1" s="28">
      <c r="A962" s="182" t="n">
        <v>952</v>
      </c>
      <c r="B962" s="182" t="n">
        <v>951</v>
      </c>
      <c r="C962" s="182" t="n">
        <v>4626.71</v>
      </c>
      <c r="D962" s="182" t="n">
        <v>4562.8786</v>
      </c>
      <c r="E962" s="182" t="n">
        <v>63.8314</v>
      </c>
      <c r="F962" s="182" t="n">
        <v>4074.4425</v>
      </c>
      <c r="G962" s="182" t="n">
        <v>5.982984</v>
      </c>
      <c r="H962" s="182" t="n">
        <v>10.861517</v>
      </c>
      <c r="I962" s="182" t="inlineStr"/>
    </row>
    <row r="963" ht="15" customHeight="1" s="28">
      <c r="A963" s="181" t="n">
        <v>953</v>
      </c>
      <c r="B963" s="181" t="n">
        <v>952</v>
      </c>
      <c r="C963" s="181" t="n">
        <v>4622.55</v>
      </c>
      <c r="D963" s="181" t="n">
        <v>4562.611</v>
      </c>
      <c r="E963" s="181" t="n">
        <v>59.939</v>
      </c>
      <c r="F963" s="181" t="n">
        <v>3592.6801</v>
      </c>
      <c r="G963" s="181" t="n">
        <v>4.953856</v>
      </c>
      <c r="H963" s="181" t="n">
        <v>8.444836</v>
      </c>
      <c r="I963" s="181" t="inlineStr"/>
    </row>
    <row r="964" ht="15" customHeight="1" s="28">
      <c r="A964" s="182" t="n">
        <v>954</v>
      </c>
      <c r="B964" s="182" t="n">
        <v>953</v>
      </c>
      <c r="C964" s="182" t="n">
        <v>4623.65</v>
      </c>
      <c r="D964" s="182" t="n">
        <v>4562.3434</v>
      </c>
      <c r="E964" s="182" t="n">
        <v>61.3066</v>
      </c>
      <c r="F964" s="182" t="n">
        <v>3758.4955</v>
      </c>
      <c r="G964" s="182" t="n">
        <v>5.300742</v>
      </c>
      <c r="H964" s="182" t="n">
        <v>9.242345</v>
      </c>
      <c r="I964" s="182" t="inlineStr"/>
    </row>
    <row r="965" ht="15" customHeight="1" s="28">
      <c r="A965" s="181" t="n">
        <v>955</v>
      </c>
      <c r="B965" s="181" t="n">
        <v>954</v>
      </c>
      <c r="C965" s="181" t="n">
        <v>4620.9</v>
      </c>
      <c r="D965" s="181" t="n">
        <v>4562.0758</v>
      </c>
      <c r="E965" s="181" t="n">
        <v>58.8242</v>
      </c>
      <c r="F965" s="181" t="n">
        <v>3460.283</v>
      </c>
      <c r="G965" s="181" t="n">
        <v>4.682556</v>
      </c>
      <c r="H965" s="181" t="n">
        <v>7.833888</v>
      </c>
      <c r="I965" s="181" t="inlineStr"/>
    </row>
    <row r="966" ht="15" customHeight="1" s="28">
      <c r="A966" s="182" t="n">
        <v>956</v>
      </c>
      <c r="B966" s="182" t="n">
        <v>955</v>
      </c>
      <c r="C966" s="182" t="n">
        <v>4620.02</v>
      </c>
      <c r="D966" s="182" t="n">
        <v>4561.8082</v>
      </c>
      <c r="E966" s="182" t="n">
        <v>58.2118</v>
      </c>
      <c r="F966" s="182" t="n">
        <v>3388.6113</v>
      </c>
      <c r="G966" s="182" t="n">
        <v>4.53783</v>
      </c>
      <c r="H966" s="182" t="n">
        <v>7.512727</v>
      </c>
      <c r="I966" s="182" t="inlineStr"/>
    </row>
    <row r="967" ht="15" customHeight="1" s="28">
      <c r="A967" s="181" t="n">
        <v>957</v>
      </c>
      <c r="B967" s="181" t="n">
        <v>956</v>
      </c>
      <c r="C967" s="181" t="n">
        <v>4618.7</v>
      </c>
      <c r="D967" s="181" t="n">
        <v>4561.5406</v>
      </c>
      <c r="E967" s="181" t="n">
        <v>57.1594</v>
      </c>
      <c r="F967" s="181" t="n">
        <v>3267.1947</v>
      </c>
      <c r="G967" s="181" t="n">
        <v>4.296137</v>
      </c>
      <c r="H967" s="181" t="n">
        <v>6.983999</v>
      </c>
      <c r="I967" s="181" t="inlineStr"/>
    </row>
    <row r="968" ht="15" customHeight="1" s="28">
      <c r="A968" s="182" t="n">
        <v>958</v>
      </c>
      <c r="B968" s="182" t="n">
        <v>957</v>
      </c>
      <c r="C968" s="182" t="n">
        <v>4616.68</v>
      </c>
      <c r="D968" s="182" t="n">
        <v>4561.273</v>
      </c>
      <c r="E968" s="182" t="n">
        <v>55.407</v>
      </c>
      <c r="F968" s="182" t="n">
        <v>3069.9345</v>
      </c>
      <c r="G968" s="182" t="n">
        <v>3.912995</v>
      </c>
      <c r="H968" s="182" t="n">
        <v>6.166125</v>
      </c>
      <c r="I968" s="182" t="inlineStr"/>
    </row>
    <row r="969" ht="15" customHeight="1" s="28">
      <c r="A969" s="181" t="n">
        <v>959</v>
      </c>
      <c r="B969" s="181" t="n">
        <v>958</v>
      </c>
      <c r="C969" s="181" t="n">
        <v>4620.2</v>
      </c>
      <c r="D969" s="181" t="n">
        <v>4561.0054</v>
      </c>
      <c r="E969" s="181" t="n">
        <v>59.1946</v>
      </c>
      <c r="F969" s="181" t="n">
        <v>3503.9995</v>
      </c>
      <c r="G969" s="181" t="n">
        <v>4.771574</v>
      </c>
      <c r="H969" s="181" t="n">
        <v>8.033082</v>
      </c>
      <c r="I969" s="181" t="inlineStr"/>
    </row>
    <row r="970" ht="15" customHeight="1" s="28">
      <c r="A970" s="182" t="n">
        <v>960</v>
      </c>
      <c r="B970" s="182" t="n">
        <v>959</v>
      </c>
      <c r="C970" s="182" t="n">
        <v>4621.05</v>
      </c>
      <c r="D970" s="182" t="n">
        <v>4560.7378</v>
      </c>
      <c r="E970" s="182" t="n">
        <v>60.3122</v>
      </c>
      <c r="F970" s="182" t="n">
        <v>3637.5603</v>
      </c>
      <c r="G970" s="182" t="n">
        <v>5.046972</v>
      </c>
      <c r="H970" s="182" t="n">
        <v>8.657140999999999</v>
      </c>
      <c r="I970" s="182" t="inlineStr"/>
    </row>
    <row r="971" ht="15" customHeight="1" s="28">
      <c r="A971" s="181" t="n">
        <v>961</v>
      </c>
      <c r="B971" s="181" t="n">
        <v>960</v>
      </c>
      <c r="C971" s="181" t="n">
        <v>4630.89</v>
      </c>
      <c r="D971" s="181" t="n">
        <v>4560.4702</v>
      </c>
      <c r="E971" s="181" t="n">
        <v>70.4198</v>
      </c>
      <c r="F971" s="181" t="n">
        <v>4958.9482</v>
      </c>
      <c r="G971" s="181" t="n">
        <v>8.03341</v>
      </c>
      <c r="H971" s="181" t="n">
        <v>16.089156</v>
      </c>
      <c r="I971" s="181" t="inlineStr"/>
    </row>
    <row r="972" ht="15" customHeight="1" s="28">
      <c r="A972" s="182" t="n">
        <v>962</v>
      </c>
      <c r="B972" s="182" t="n">
        <v>961</v>
      </c>
      <c r="C972" s="182" t="n">
        <v>4629.39</v>
      </c>
      <c r="D972" s="182" t="n">
        <v>4560.2026</v>
      </c>
      <c r="E972" s="182" t="n">
        <v>69.1874</v>
      </c>
      <c r="F972" s="182" t="n">
        <v>4786.8963</v>
      </c>
      <c r="G972" s="182" t="n">
        <v>7.618976</v>
      </c>
      <c r="H972" s="182" t="n">
        <v>14.992089</v>
      </c>
      <c r="I972" s="182" t="inlineStr"/>
    </row>
    <row r="973" ht="15" customHeight="1" s="28">
      <c r="A973" s="181" t="n">
        <v>963</v>
      </c>
      <c r="B973" s="181" t="n">
        <v>962</v>
      </c>
      <c r="C973" s="181" t="n">
        <v>4624.38</v>
      </c>
      <c r="D973" s="181" t="n">
        <v>4559.935</v>
      </c>
      <c r="E973" s="181" t="n">
        <v>64.44499999999999</v>
      </c>
      <c r="F973" s="181" t="n">
        <v>4153.1593</v>
      </c>
      <c r="G973" s="181" t="n">
        <v>6.157203</v>
      </c>
      <c r="H973" s="181" t="n">
        <v>11.285253</v>
      </c>
      <c r="I973" s="181" t="inlineStr"/>
    </row>
    <row r="974" ht="15" customHeight="1" s="28">
      <c r="A974" s="182" t="n">
        <v>964</v>
      </c>
      <c r="B974" s="182" t="n">
        <v>963</v>
      </c>
      <c r="C974" s="182" t="n">
        <v>4619.15</v>
      </c>
      <c r="D974" s="182" t="n">
        <v>4559.6674</v>
      </c>
      <c r="E974" s="182" t="n">
        <v>59.4826</v>
      </c>
      <c r="F974" s="182" t="n">
        <v>3538.1809</v>
      </c>
      <c r="G974" s="182" t="n">
        <v>4.841564</v>
      </c>
      <c r="H974" s="182" t="n">
        <v>8.190571</v>
      </c>
      <c r="I974" s="182" t="inlineStr"/>
    </row>
    <row r="975" ht="15" customHeight="1" s="28">
      <c r="A975" s="181" t="n">
        <v>965</v>
      </c>
      <c r="B975" s="181" t="n">
        <v>964</v>
      </c>
      <c r="C975" s="181" t="n">
        <v>4620.85</v>
      </c>
      <c r="D975" s="181" t="n">
        <v>4559.3998</v>
      </c>
      <c r="E975" s="181" t="n">
        <v>61.4502</v>
      </c>
      <c r="F975" s="181" t="n">
        <v>3776.1283</v>
      </c>
      <c r="G975" s="181" t="n">
        <v>5.338088</v>
      </c>
      <c r="H975" s="181" t="n">
        <v>9.329269</v>
      </c>
      <c r="I975" s="181" t="inlineStr"/>
    </row>
    <row r="976" ht="15" customHeight="1" s="28">
      <c r="A976" s="182" t="n">
        <v>966</v>
      </c>
      <c r="B976" s="182" t="n">
        <v>965</v>
      </c>
      <c r="C976" s="182" t="n">
        <v>4626.13</v>
      </c>
      <c r="D976" s="182" t="n">
        <v>4559.1322</v>
      </c>
      <c r="E976" s="182" t="n">
        <v>66.9978</v>
      </c>
      <c r="F976" s="182" t="n">
        <v>4488.7079</v>
      </c>
      <c r="G976" s="182" t="n">
        <v>6.918271</v>
      </c>
      <c r="H976" s="182" t="n">
        <v>13.18247</v>
      </c>
      <c r="I976" s="182" t="inlineStr"/>
    </row>
    <row r="977" ht="15" customHeight="1" s="28">
      <c r="A977" s="181" t="n">
        <v>967</v>
      </c>
      <c r="B977" s="181" t="n">
        <v>966</v>
      </c>
      <c r="C977" s="181" t="n">
        <v>4626.21</v>
      </c>
      <c r="D977" s="181" t="n">
        <v>4558.8646</v>
      </c>
      <c r="E977" s="181" t="n">
        <v>67.3454</v>
      </c>
      <c r="F977" s="181" t="n">
        <v>4535.4056</v>
      </c>
      <c r="G977" s="181" t="n">
        <v>7.026512</v>
      </c>
      <c r="H977" s="181" t="n">
        <v>13.458181</v>
      </c>
      <c r="I977" s="181" t="inlineStr"/>
    </row>
    <row r="978" ht="15" customHeight="1" s="28">
      <c r="A978" s="182" t="n">
        <v>968</v>
      </c>
      <c r="B978" s="182" t="n">
        <v>967</v>
      </c>
      <c r="C978" s="182" t="n">
        <v>4626.67</v>
      </c>
      <c r="D978" s="182" t="n">
        <v>4558.597</v>
      </c>
      <c r="E978" s="182" t="n">
        <v>68.07299999999999</v>
      </c>
      <c r="F978" s="182" t="n">
        <v>4633.9374</v>
      </c>
      <c r="G978" s="182" t="n">
        <v>7.256728</v>
      </c>
      <c r="H978" s="182" t="n">
        <v>14.049292</v>
      </c>
      <c r="I978" s="182" t="inlineStr"/>
    </row>
    <row r="979" ht="15" customHeight="1" s="28">
      <c r="A979" s="181" t="n">
        <v>969</v>
      </c>
      <c r="B979" s="181" t="n">
        <v>968</v>
      </c>
      <c r="C979" s="181" t="n">
        <v>4621.93</v>
      </c>
      <c r="D979" s="181" t="n">
        <v>4558.3294</v>
      </c>
      <c r="E979" s="181" t="n">
        <v>63.6006</v>
      </c>
      <c r="F979" s="181" t="n">
        <v>4045.0401</v>
      </c>
      <c r="G979" s="181" t="n">
        <v>5.918339</v>
      </c>
      <c r="H979" s="181" t="n">
        <v>10.705323</v>
      </c>
      <c r="I979" s="181" t="inlineStr"/>
    </row>
    <row r="980" ht="15" customHeight="1" s="28">
      <c r="A980" s="182" t="n">
        <v>970</v>
      </c>
      <c r="B980" s="182" t="n">
        <v>969</v>
      </c>
      <c r="C980" s="182" t="n">
        <v>4617.53</v>
      </c>
      <c r="D980" s="182" t="n">
        <v>4558.0618</v>
      </c>
      <c r="E980" s="182" t="n">
        <v>59.4682</v>
      </c>
      <c r="F980" s="182" t="n">
        <v>3536.4716</v>
      </c>
      <c r="G980" s="182" t="n">
        <v>4.838055</v>
      </c>
      <c r="H980" s="182" t="n">
        <v>8.182658999999999</v>
      </c>
      <c r="I980" s="182" t="inlineStr"/>
    </row>
    <row r="981" ht="15" customHeight="1" s="28">
      <c r="A981" s="181" t="n">
        <v>971</v>
      </c>
      <c r="B981" s="181" t="n">
        <v>970</v>
      </c>
      <c r="C981" s="181" t="n">
        <v>4613.51</v>
      </c>
      <c r="D981" s="181" t="n">
        <v>4557.7942</v>
      </c>
      <c r="E981" s="181" t="n">
        <v>55.7158</v>
      </c>
      <c r="F981" s="181" t="n">
        <v>3104.2548</v>
      </c>
      <c r="G981" s="181" t="n">
        <v>3.978796</v>
      </c>
      <c r="H981" s="181" t="n">
        <v>6.304764</v>
      </c>
      <c r="I981" s="181" t="inlineStr"/>
    </row>
    <row r="982" ht="15" customHeight="1" s="28">
      <c r="A982" s="182" t="n">
        <v>972</v>
      </c>
      <c r="B982" s="182" t="n">
        <v>971</v>
      </c>
      <c r="C982" s="182" t="n">
        <v>4609.18</v>
      </c>
      <c r="D982" s="182" t="n">
        <v>4557.5266</v>
      </c>
      <c r="E982" s="182" t="n">
        <v>51.6534</v>
      </c>
      <c r="F982" s="182" t="n">
        <v>2668.0779</v>
      </c>
      <c r="G982" s="182" t="n">
        <v>3.170395</v>
      </c>
      <c r="H982" s="182" t="n">
        <v>4.657481</v>
      </c>
      <c r="I982" s="182" t="inlineStr"/>
    </row>
    <row r="983" ht="15" customHeight="1" s="28">
      <c r="A983" s="181" t="n">
        <v>973</v>
      </c>
      <c r="B983" s="181" t="n">
        <v>972</v>
      </c>
      <c r="C983" s="181" t="n">
        <v>4614.29</v>
      </c>
      <c r="D983" s="181" t="n">
        <v>4557.259</v>
      </c>
      <c r="E983" s="181" t="n">
        <v>57.031</v>
      </c>
      <c r="F983" s="181" t="n">
        <v>3252.5407</v>
      </c>
      <c r="G983" s="181" t="n">
        <v>4.267266</v>
      </c>
      <c r="H983" s="181" t="n">
        <v>6.92149</v>
      </c>
      <c r="I983" s="181" t="inlineStr"/>
    </row>
    <row r="984" ht="15" customHeight="1" s="28">
      <c r="A984" s="182" t="n">
        <v>974</v>
      </c>
      <c r="B984" s="182" t="n">
        <v>973</v>
      </c>
      <c r="C984" s="182" t="n">
        <v>4614.64</v>
      </c>
      <c r="D984" s="182" t="n">
        <v>4556.9914</v>
      </c>
      <c r="E984" s="182" t="n">
        <v>57.6487</v>
      </c>
      <c r="F984" s="182" t="n">
        <v>3323.3668</v>
      </c>
      <c r="G984" s="182" t="n">
        <v>4.407405</v>
      </c>
      <c r="H984" s="182" t="n">
        <v>7.226212</v>
      </c>
      <c r="I984" s="182" t="inlineStr"/>
    </row>
    <row r="985" ht="15" customHeight="1" s="28">
      <c r="A985" s="181" t="n">
        <v>975</v>
      </c>
      <c r="B985" s="181" t="n">
        <v>974</v>
      </c>
      <c r="C985" s="181" t="n">
        <v>4610</v>
      </c>
      <c r="D985" s="181" t="n">
        <v>4556.7237</v>
      </c>
      <c r="E985" s="181" t="n">
        <v>53.2763</v>
      </c>
      <c r="F985" s="181" t="n">
        <v>2838.3599</v>
      </c>
      <c r="G985" s="181" t="n">
        <v>3.478698</v>
      </c>
      <c r="H985" s="181" t="n">
        <v>5.270952</v>
      </c>
      <c r="I985" s="181" t="inlineStr"/>
    </row>
    <row r="986" ht="15" customHeight="1" s="28">
      <c r="A986" s="182" t="n">
        <v>976</v>
      </c>
      <c r="B986" s="182" t="n">
        <v>975</v>
      </c>
      <c r="C986" s="182" t="n">
        <v>4605.03</v>
      </c>
      <c r="D986" s="182" t="n">
        <v>4556.4561</v>
      </c>
      <c r="E986" s="182" t="n">
        <v>48.5739</v>
      </c>
      <c r="F986" s="182" t="n">
        <v>2359.4199</v>
      </c>
      <c r="G986" s="182" t="n">
        <v>2.636474</v>
      </c>
      <c r="H986" s="182" t="n">
        <v>3.642207</v>
      </c>
      <c r="I986" s="182" t="inlineStr"/>
    </row>
    <row r="987" ht="15" customHeight="1" s="28">
      <c r="A987" s="181" t="n">
        <v>977</v>
      </c>
      <c r="B987" s="181" t="n">
        <v>976</v>
      </c>
      <c r="C987" s="181" t="n">
        <v>4601.49</v>
      </c>
      <c r="D987" s="181" t="n">
        <v>4556.1885</v>
      </c>
      <c r="E987" s="181" t="n">
        <v>45.3015</v>
      </c>
      <c r="F987" s="181" t="n">
        <v>2052.2223</v>
      </c>
      <c r="G987" s="181" t="n">
        <v>2.138711</v>
      </c>
      <c r="H987" s="181" t="n">
        <v>2.755516</v>
      </c>
      <c r="I987" s="181" t="inlineStr"/>
    </row>
    <row r="988" ht="15" customHeight="1" s="28">
      <c r="A988" s="182" t="n">
        <v>978</v>
      </c>
      <c r="B988" s="182" t="n">
        <v>977</v>
      </c>
      <c r="C988" s="182" t="n">
        <v>4593.44</v>
      </c>
      <c r="D988" s="182" t="n">
        <v>4555.9209</v>
      </c>
      <c r="E988" s="182" t="n">
        <v>37.5191</v>
      </c>
      <c r="F988" s="182" t="n">
        <v>1407.6806</v>
      </c>
      <c r="G988" s="182" t="n">
        <v>1.214987</v>
      </c>
      <c r="H988" s="182" t="n">
        <v>1.29647</v>
      </c>
      <c r="I988" s="182" t="inlineStr"/>
    </row>
    <row r="989" ht="15" customHeight="1" s="28">
      <c r="A989" s="181" t="n">
        <v>979</v>
      </c>
      <c r="B989" s="181" t="n">
        <v>978</v>
      </c>
      <c r="C989" s="181" t="n">
        <v>4593.36</v>
      </c>
      <c r="D989" s="181" t="n">
        <v>4555.6533</v>
      </c>
      <c r="E989" s="181" t="n">
        <v>37.7067</v>
      </c>
      <c r="F989" s="181" t="n">
        <v>1421.793</v>
      </c>
      <c r="G989" s="181" t="n">
        <v>1.233304</v>
      </c>
      <c r="H989" s="181" t="n">
        <v>1.322595</v>
      </c>
      <c r="I989" s="181" t="inlineStr"/>
    </row>
    <row r="990" ht="15" customHeight="1" s="28">
      <c r="A990" s="182" t="n">
        <v>980</v>
      </c>
      <c r="B990" s="182" t="n">
        <v>979</v>
      </c>
      <c r="C990" s="182" t="n">
        <v>4594.77</v>
      </c>
      <c r="D990" s="182" t="n">
        <v>4555.3857</v>
      </c>
      <c r="E990" s="182" t="n">
        <v>39.3843</v>
      </c>
      <c r="F990" s="182" t="n">
        <v>1551.1215</v>
      </c>
      <c r="G990" s="182" t="n">
        <v>1.405349</v>
      </c>
      <c r="H990" s="182" t="n">
        <v>1.574149</v>
      </c>
      <c r="I990" s="182" t="inlineStr"/>
    </row>
    <row r="991" ht="15" customHeight="1" s="28">
      <c r="A991" s="181" t="n">
        <v>981</v>
      </c>
      <c r="B991" s="181" t="n">
        <v>980</v>
      </c>
      <c r="C991" s="181" t="n">
        <v>4595.97</v>
      </c>
      <c r="D991" s="181" t="n">
        <v>4555.1181</v>
      </c>
      <c r="E991" s="181" t="n">
        <v>40.8519</v>
      </c>
      <c r="F991" s="181" t="n">
        <v>1668.8761</v>
      </c>
      <c r="G991" s="181" t="n">
        <v>1.568382</v>
      </c>
      <c r="H991" s="181" t="n">
        <v>1.822226</v>
      </c>
      <c r="I991" s="181" t="inlineStr"/>
    </row>
    <row r="992" ht="15" customHeight="1" s="28">
      <c r="A992" s="182" t="n">
        <v>982</v>
      </c>
      <c r="B992" s="182" t="n">
        <v>981</v>
      </c>
      <c r="C992" s="182" t="n">
        <v>4592.32</v>
      </c>
      <c r="D992" s="182" t="n">
        <v>4554.8505</v>
      </c>
      <c r="E992" s="182" t="n">
        <v>37.4695</v>
      </c>
      <c r="F992" s="182" t="n">
        <v>1403.9619</v>
      </c>
      <c r="G992" s="182" t="n">
        <v>1.210176</v>
      </c>
      <c r="H992" s="182" t="n">
        <v>1.289629</v>
      </c>
      <c r="I992" s="182" t="inlineStr"/>
    </row>
    <row r="993" ht="15" customHeight="1" s="28">
      <c r="A993" s="181" t="n">
        <v>983</v>
      </c>
      <c r="B993" s="181" t="n">
        <v>982</v>
      </c>
      <c r="C993" s="181" t="n">
        <v>4585.41</v>
      </c>
      <c r="D993" s="181" t="n">
        <v>4554.5829</v>
      </c>
      <c r="E993" s="181" t="n">
        <v>30.8271</v>
      </c>
      <c r="F993" s="181" t="n">
        <v>950.3095</v>
      </c>
      <c r="G993" s="181" t="n">
        <v>0.6739270000000001</v>
      </c>
      <c r="H993" s="181" t="n">
        <v>0.5908600000000001</v>
      </c>
      <c r="I993" s="181" t="inlineStr"/>
    </row>
    <row r="994" ht="15" customHeight="1" s="28">
      <c r="A994" s="182" t="n">
        <v>984</v>
      </c>
      <c r="B994" s="182" t="n">
        <v>983</v>
      </c>
      <c r="C994" s="182" t="n">
        <v>4578.16</v>
      </c>
      <c r="D994" s="182" t="n">
        <v>4554.3153</v>
      </c>
      <c r="E994" s="182" t="n">
        <v>23.8447</v>
      </c>
      <c r="F994" s="182" t="n">
        <v>568.5692</v>
      </c>
      <c r="G994" s="182" t="n">
        <v>0.311882</v>
      </c>
      <c r="H994" s="182" t="n">
        <v>0.211505</v>
      </c>
      <c r="I994" s="182" t="inlineStr"/>
    </row>
    <row r="995" ht="15" customHeight="1" s="28">
      <c r="A995" s="181" t="n">
        <v>985</v>
      </c>
      <c r="B995" s="181" t="n">
        <v>984</v>
      </c>
      <c r="C995" s="181" t="n">
        <v>4574.06</v>
      </c>
      <c r="D995" s="181" t="n">
        <v>4554.0477</v>
      </c>
      <c r="E995" s="181" t="n">
        <v>20.0123</v>
      </c>
      <c r="F995" s="181" t="n">
        <v>400.4922</v>
      </c>
      <c r="G995" s="181" t="n">
        <v>0.184377</v>
      </c>
      <c r="H995" s="181" t="n">
        <v>0.10494</v>
      </c>
      <c r="I995" s="181" t="inlineStr"/>
    </row>
    <row r="996" ht="15" customHeight="1" s="28">
      <c r="A996" s="182" t="n">
        <v>986</v>
      </c>
      <c r="B996" s="182" t="n">
        <v>985</v>
      </c>
      <c r="C996" s="182" t="n">
        <v>4567.37</v>
      </c>
      <c r="D996" s="182" t="n">
        <v>4553.7801</v>
      </c>
      <c r="E996" s="182" t="n">
        <v>13.5899</v>
      </c>
      <c r="F996" s="182" t="n">
        <v>184.6854</v>
      </c>
      <c r="G996" s="182" t="n">
        <v>0.057738</v>
      </c>
      <c r="H996" s="182" t="n">
        <v>0.022316</v>
      </c>
      <c r="I996" s="182" t="inlineStr"/>
    </row>
    <row r="997" ht="15" customHeight="1" s="28">
      <c r="A997" s="181" t="n">
        <v>987</v>
      </c>
      <c r="B997" s="181" t="n">
        <v>986</v>
      </c>
      <c r="C997" s="181" t="n">
        <v>4571.29</v>
      </c>
      <c r="D997" s="181" t="n">
        <v>4553.5125</v>
      </c>
      <c r="E997" s="181" t="n">
        <v>17.7775</v>
      </c>
      <c r="F997" s="181" t="n">
        <v>316.0395</v>
      </c>
      <c r="G997" s="181" t="n">
        <v>0.129249</v>
      </c>
      <c r="H997" s="181" t="n">
        <v>0.065349</v>
      </c>
      <c r="I997" s="181" t="inlineStr"/>
    </row>
    <row r="998" ht="15" customHeight="1" s="28">
      <c r="A998" s="182" t="n">
        <v>988</v>
      </c>
      <c r="B998" s="182" t="n">
        <v>987</v>
      </c>
      <c r="C998" s="182" t="n">
        <v>4568.51</v>
      </c>
      <c r="D998" s="182" t="n">
        <v>4553.2449</v>
      </c>
      <c r="E998" s="182" t="n">
        <v>15.2651</v>
      </c>
      <c r="F998" s="182" t="n">
        <v>233.0236</v>
      </c>
      <c r="G998" s="182" t="n">
        <v>0.081831</v>
      </c>
      <c r="H998" s="182" t="n">
        <v>0.035527</v>
      </c>
      <c r="I998" s="182" t="inlineStr"/>
    </row>
    <row r="999" ht="15" customHeight="1" s="28">
      <c r="A999" s="181" t="n">
        <v>989</v>
      </c>
      <c r="B999" s="181" t="n">
        <v>988</v>
      </c>
      <c r="C999" s="181" t="n">
        <v>4565.87</v>
      </c>
      <c r="D999" s="181" t="n">
        <v>4552.9773</v>
      </c>
      <c r="E999" s="181" t="n">
        <v>12.8927</v>
      </c>
      <c r="F999" s="181" t="n">
        <v>166.222</v>
      </c>
      <c r="G999" s="181" t="n">
        <v>0.0493</v>
      </c>
      <c r="H999" s="181" t="n">
        <v>0.018077</v>
      </c>
      <c r="I999" s="181" t="inlineStr"/>
    </row>
    <row r="1000" ht="15" customHeight="1" s="28">
      <c r="A1000" s="182" t="n">
        <v>990</v>
      </c>
      <c r="B1000" s="182" t="n">
        <v>989</v>
      </c>
      <c r="C1000" s="182" t="n">
        <v>4569.29</v>
      </c>
      <c r="D1000" s="182" t="n">
        <v>4552.7097</v>
      </c>
      <c r="E1000" s="182" t="n">
        <v>16.5803</v>
      </c>
      <c r="F1000" s="182" t="n">
        <v>274.907</v>
      </c>
      <c r="G1000" s="182" t="n">
        <v>0.104856</v>
      </c>
      <c r="H1000" s="182" t="n">
        <v>0.049445</v>
      </c>
      <c r="I1000" s="182" t="inlineStr"/>
    </row>
    <row r="1001" ht="15" customHeight="1" s="28">
      <c r="A1001" s="181" t="n">
        <v>991</v>
      </c>
      <c r="B1001" s="181" t="n">
        <v>990</v>
      </c>
      <c r="C1001" s="181" t="n">
        <v>4570.62</v>
      </c>
      <c r="D1001" s="181" t="n">
        <v>4552.4421</v>
      </c>
      <c r="E1001" s="181" t="n">
        <v>18.1779</v>
      </c>
      <c r="F1001" s="181" t="n">
        <v>330.4368</v>
      </c>
      <c r="G1001" s="181" t="n">
        <v>0.138181</v>
      </c>
      <c r="H1001" s="181" t="n">
        <v>0.071438</v>
      </c>
      <c r="I1001" s="181" t="inlineStr"/>
    </row>
    <row r="1002" ht="15" customHeight="1" s="28">
      <c r="A1002" s="182" t="n">
        <v>992</v>
      </c>
      <c r="B1002" s="182" t="n">
        <v>991</v>
      </c>
      <c r="C1002" s="182" t="n">
        <v>4563.12</v>
      </c>
      <c r="D1002" s="182" t="n">
        <v>4552.1745</v>
      </c>
      <c r="E1002" s="182" t="n">
        <v>10.9455</v>
      </c>
      <c r="F1002" s="182" t="n">
        <v>119.8046</v>
      </c>
      <c r="G1002" s="182" t="n">
        <v>0.030167</v>
      </c>
      <c r="H1002" s="182" t="n">
        <v>0.009391</v>
      </c>
      <c r="I1002" s="182" t="inlineStr"/>
    </row>
    <row r="1003" ht="15" customHeight="1" s="28">
      <c r="A1003" s="181" t="n">
        <v>993</v>
      </c>
      <c r="B1003" s="181" t="n">
        <v>992</v>
      </c>
      <c r="C1003" s="181" t="n">
        <v>4566.78</v>
      </c>
      <c r="D1003" s="181" t="n">
        <v>4551.9069</v>
      </c>
      <c r="E1003" s="181" t="n">
        <v>14.8731</v>
      </c>
      <c r="F1003" s="181" t="n">
        <v>221.21</v>
      </c>
      <c r="G1003" s="181" t="n">
        <v>0.075687</v>
      </c>
      <c r="H1003" s="181" t="n">
        <v>0.032016</v>
      </c>
      <c r="I1003" s="181" t="inlineStr"/>
    </row>
    <row r="1004" ht="15" customHeight="1" s="28">
      <c r="A1004" s="182" t="n">
        <v>994</v>
      </c>
      <c r="B1004" s="182" t="n">
        <v>993</v>
      </c>
      <c r="C1004" s="182" t="n">
        <v>4572.18</v>
      </c>
      <c r="D1004" s="182" t="n">
        <v>4551.6393</v>
      </c>
      <c r="E1004" s="182" t="n">
        <v>20.5407</v>
      </c>
      <c r="F1004" s="182" t="n">
        <v>421.9216</v>
      </c>
      <c r="G1004" s="182" t="n">
        <v>0.199372</v>
      </c>
      <c r="H1004" s="182" t="n">
        <v>0.116471</v>
      </c>
      <c r="I1004" s="182" t="inlineStr"/>
    </row>
    <row r="1005" ht="15" customHeight="1" s="28">
      <c r="A1005" s="181" t="n">
        <v>995</v>
      </c>
      <c r="B1005" s="181" t="n">
        <v>994</v>
      </c>
      <c r="C1005" s="181" t="n">
        <v>4570.49</v>
      </c>
      <c r="D1005" s="181" t="n">
        <v>4551.3717</v>
      </c>
      <c r="E1005" s="181" t="n">
        <v>19.1183</v>
      </c>
      <c r="F1005" s="181" t="n">
        <v>365.5109</v>
      </c>
      <c r="G1005" s="181" t="n">
        <v>0.160756</v>
      </c>
      <c r="H1005" s="181" t="n">
        <v>0.087409</v>
      </c>
      <c r="I1005" s="181" t="inlineStr"/>
    </row>
    <row r="1006" ht="15" customHeight="1" s="28">
      <c r="A1006" s="182" t="n">
        <v>996</v>
      </c>
      <c r="B1006" s="182" t="n">
        <v>995</v>
      </c>
      <c r="C1006" s="182" t="n">
        <v>4566.67</v>
      </c>
      <c r="D1006" s="182" t="n">
        <v>4551.1041</v>
      </c>
      <c r="E1006" s="182" t="n">
        <v>15.5659</v>
      </c>
      <c r="F1006" s="182" t="n">
        <v>242.2985</v>
      </c>
      <c r="G1006" s="182" t="n">
        <v>0.08676399999999999</v>
      </c>
      <c r="H1006" s="182" t="n">
        <v>0.038411</v>
      </c>
      <c r="I1006" s="182" t="inlineStr"/>
    </row>
    <row r="1007" ht="15" customHeight="1" s="28">
      <c r="A1007" s="181" t="n">
        <v>997</v>
      </c>
      <c r="B1007" s="181" t="n">
        <v>996</v>
      </c>
      <c r="C1007" s="181" t="n">
        <v>4565.94</v>
      </c>
      <c r="D1007" s="181" t="n">
        <v>4550.8364</v>
      </c>
      <c r="E1007" s="181" t="n">
        <v>15.1035</v>
      </c>
      <c r="F1007" s="181" t="n">
        <v>228.1172</v>
      </c>
      <c r="G1007" s="181" t="n">
        <v>0.07926</v>
      </c>
      <c r="H1007" s="181" t="n">
        <v>0.034046</v>
      </c>
      <c r="I1007" s="181" t="inlineStr"/>
    </row>
    <row r="1008" ht="15" customHeight="1" s="28">
      <c r="A1008" s="182" t="n">
        <v>998</v>
      </c>
      <c r="B1008" s="182" t="n">
        <v>997</v>
      </c>
      <c r="C1008" s="182" t="n">
        <v>4572.03</v>
      </c>
      <c r="D1008" s="182" t="n">
        <v>4550.5688</v>
      </c>
      <c r="E1008" s="182" t="n">
        <v>21.4612</v>
      </c>
      <c r="F1008" s="182" t="n">
        <v>460.581</v>
      </c>
      <c r="G1008" s="182" t="n">
        <v>0.227392</v>
      </c>
      <c r="H1008" s="182" t="n">
        <v>0.138793</v>
      </c>
      <c r="I1008" s="182" t="inlineStr"/>
    </row>
    <row r="1009" ht="15" customHeight="1" s="28">
      <c r="A1009" s="181" t="n">
        <v>999</v>
      </c>
      <c r="B1009" s="181" t="n">
        <v>998</v>
      </c>
      <c r="C1009" s="181" t="n">
        <v>4575.75</v>
      </c>
      <c r="D1009" s="181" t="n">
        <v>4550.3013</v>
      </c>
      <c r="E1009" s="181" t="n">
        <v>25.4487</v>
      </c>
      <c r="F1009" s="181" t="n">
        <v>647.6389</v>
      </c>
      <c r="G1009" s="181" t="n">
        <v>0.379153</v>
      </c>
      <c r="H1009" s="181" t="n">
        <v>0.274423</v>
      </c>
      <c r="I1009" s="181" t="inlineStr"/>
    </row>
    <row r="1010" ht="15" customHeight="1" s="28">
      <c r="A1010" s="182" t="n">
        <v>1000</v>
      </c>
      <c r="B1010" s="182" t="n">
        <v>999</v>
      </c>
      <c r="C1010" s="182" t="n">
        <v>4578.84</v>
      </c>
      <c r="D1010" s="182" t="n">
        <v>4550.0336</v>
      </c>
      <c r="E1010" s="182" t="n">
        <v>28.8064</v>
      </c>
      <c r="F1010" s="182" t="n">
        <v>829.8064000000001</v>
      </c>
      <c r="G1010" s="182" t="n">
        <v>0.5498960000000001</v>
      </c>
      <c r="H1010" s="182" t="n">
        <v>0.450513</v>
      </c>
      <c r="I1010" s="182" t="inlineStr"/>
    </row>
    <row r="1011" ht="15" customHeight="1" s="28">
      <c r="A1011" s="181" t="n">
        <v>1001</v>
      </c>
      <c r="B1011" s="181" t="n">
        <v>1000</v>
      </c>
      <c r="C1011" s="181" t="n">
        <v>4584.86</v>
      </c>
      <c r="D1011" s="181" t="n">
        <v>4549.766</v>
      </c>
      <c r="E1011" s="181" t="n">
        <v>35.094</v>
      </c>
      <c r="F1011" s="181" t="n">
        <v>1231.586</v>
      </c>
      <c r="G1011" s="181" t="n">
        <v>0.994289</v>
      </c>
      <c r="H1011" s="181" t="n">
        <v>0.992393</v>
      </c>
      <c r="I1011" s="181" t="inlineStr"/>
    </row>
    <row r="1012" ht="15" customHeight="1" s="28">
      <c r="A1012" s="182" t="n">
        <v>1002</v>
      </c>
      <c r="B1012" s="182" t="n">
        <v>1001</v>
      </c>
      <c r="C1012" s="182" t="n">
        <v>4602.95</v>
      </c>
      <c r="D1012" s="182" t="n">
        <v>4549.4984</v>
      </c>
      <c r="E1012" s="182" t="n">
        <v>53.4516</v>
      </c>
      <c r="F1012" s="182" t="n">
        <v>2857.0703</v>
      </c>
      <c r="G1012" s="182" t="n">
        <v>3.513152</v>
      </c>
      <c r="H1012" s="182" t="n">
        <v>5.340673</v>
      </c>
      <c r="I1012" s="182" t="inlineStr"/>
    </row>
    <row r="1013" ht="15" customHeight="1" s="28">
      <c r="A1013" s="181" t="n">
        <v>1003</v>
      </c>
      <c r="B1013" s="181" t="n">
        <v>1002</v>
      </c>
      <c r="C1013" s="181" t="n">
        <v>4591.95</v>
      </c>
      <c r="D1013" s="181" t="n">
        <v>4549.2308</v>
      </c>
      <c r="E1013" s="181" t="n">
        <v>42.7192</v>
      </c>
      <c r="F1013" s="181" t="n">
        <v>1824.9275</v>
      </c>
      <c r="G1013" s="181" t="n">
        <v>1.793428</v>
      </c>
      <c r="H1013" s="181" t="n">
        <v>2.17894</v>
      </c>
      <c r="I1013" s="181" t="inlineStr"/>
    </row>
    <row r="1014" ht="15" customHeight="1" s="28">
      <c r="A1014" s="182" t="n">
        <v>1004</v>
      </c>
      <c r="B1014" s="182" t="n">
        <v>1003</v>
      </c>
      <c r="C1014" s="182" t="n">
        <v>4591.18</v>
      </c>
      <c r="D1014" s="182" t="n">
        <v>4548.9632</v>
      </c>
      <c r="E1014" s="182" t="n">
        <v>42.2168</v>
      </c>
      <c r="F1014" s="182" t="n">
        <v>1782.2557</v>
      </c>
      <c r="G1014" s="182" t="n">
        <v>1.730894</v>
      </c>
      <c r="H1014" s="182" t="n">
        <v>2.078232</v>
      </c>
      <c r="I1014" s="182" t="inlineStr"/>
    </row>
    <row r="1015" ht="15" customHeight="1" s="28">
      <c r="A1015" s="181" t="n">
        <v>1005</v>
      </c>
      <c r="B1015" s="181" t="n">
        <v>1004</v>
      </c>
      <c r="C1015" s="181" t="n">
        <v>4591.32</v>
      </c>
      <c r="D1015" s="181" t="n">
        <v>4548.6956</v>
      </c>
      <c r="E1015" s="181" t="n">
        <v>42.6244</v>
      </c>
      <c r="F1015" s="181" t="n">
        <v>1816.8378</v>
      </c>
      <c r="G1015" s="181" t="n">
        <v>1.781516</v>
      </c>
      <c r="H1015" s="181" t="n">
        <v>2.159665</v>
      </c>
      <c r="I1015" s="181" t="inlineStr"/>
    </row>
    <row r="1016" ht="15" customHeight="1" s="28">
      <c r="A1016" s="182" t="n">
        <v>1006</v>
      </c>
      <c r="B1016" s="182" t="n">
        <v>1005</v>
      </c>
      <c r="C1016" s="182" t="n">
        <v>4589.2</v>
      </c>
      <c r="D1016" s="182" t="n">
        <v>4548.428</v>
      </c>
      <c r="E1016" s="182" t="n">
        <v>40.772</v>
      </c>
      <c r="F1016" s="182" t="n">
        <v>1662.3544</v>
      </c>
      <c r="G1016" s="182" t="n">
        <v>1.559197</v>
      </c>
      <c r="H1016" s="182" t="n">
        <v>1.808012</v>
      </c>
      <c r="I1016" s="182" t="inlineStr"/>
    </row>
    <row r="1017" ht="15" customHeight="1" s="28">
      <c r="A1017" s="181" t="n">
        <v>1007</v>
      </c>
      <c r="B1017" s="181" t="n">
        <v>1006</v>
      </c>
      <c r="C1017" s="181" t="n">
        <v>4608.07</v>
      </c>
      <c r="D1017" s="181" t="n">
        <v>4548.1604</v>
      </c>
      <c r="E1017" s="181" t="n">
        <v>59.9096</v>
      </c>
      <c r="F1017" s="181" t="n">
        <v>3589.159</v>
      </c>
      <c r="G1017" s="181" t="n">
        <v>4.946575</v>
      </c>
      <c r="H1017" s="181" t="n">
        <v>8.428291</v>
      </c>
      <c r="I1017" s="181" t="inlineStr"/>
    </row>
    <row r="1018" ht="15" customHeight="1" s="28">
      <c r="A1018" s="182" t="n">
        <v>1008</v>
      </c>
      <c r="B1018" s="182" t="n">
        <v>1007</v>
      </c>
      <c r="C1018" s="182" t="n">
        <v>4625.7</v>
      </c>
      <c r="D1018" s="182" t="n">
        <v>4547.8928</v>
      </c>
      <c r="E1018" s="182" t="n">
        <v>77.80719999999999</v>
      </c>
      <c r="F1018" s="182" t="n">
        <v>6053.9588</v>
      </c>
      <c r="G1018" s="182" t="n">
        <v>10.836144</v>
      </c>
      <c r="H1018" s="182" t="n">
        <v>23.979109</v>
      </c>
      <c r="I1018" s="182" t="inlineStr"/>
    </row>
    <row r="1019" ht="15" customHeight="1" s="28">
      <c r="A1019" s="181" t="n">
        <v>1009</v>
      </c>
      <c r="B1019" s="181" t="n">
        <v>1008</v>
      </c>
      <c r="C1019" s="181" t="n">
        <v>4656.06</v>
      </c>
      <c r="D1019" s="181" t="n">
        <v>4547.6252</v>
      </c>
      <c r="E1019" s="181" t="n">
        <v>108.4348</v>
      </c>
      <c r="F1019" s="181" t="n">
        <v>11758.1037</v>
      </c>
      <c r="G1019" s="181" t="n">
        <v>29.330638</v>
      </c>
      <c r="H1019" s="181" t="n">
        <v>90.454189</v>
      </c>
      <c r="I1019" s="181" t="inlineStr"/>
    </row>
    <row r="1020" ht="15" customHeight="1" s="28">
      <c r="A1020" s="182" t="n">
        <v>1010</v>
      </c>
      <c r="B1020" s="182" t="n">
        <v>1009</v>
      </c>
      <c r="C1020" s="182" t="n">
        <v>4644.67</v>
      </c>
      <c r="D1020" s="182" t="n">
        <v>4547.3576</v>
      </c>
      <c r="E1020" s="182" t="n">
        <v>97.3124</v>
      </c>
      <c r="F1020" s="182" t="n">
        <v>9469.7032</v>
      </c>
      <c r="G1020" s="182" t="n">
        <v>21.199232</v>
      </c>
      <c r="H1020" s="182" t="n">
        <v>58.671453</v>
      </c>
      <c r="I1020" s="182" t="inlineStr"/>
    </row>
    <row r="1021" ht="15" customHeight="1" s="28">
      <c r="A1021" s="181" t="n">
        <v>1011</v>
      </c>
      <c r="B1021" s="181" t="n">
        <v>1010</v>
      </c>
      <c r="C1021" s="181" t="n">
        <v>4633.23</v>
      </c>
      <c r="D1021" s="181" t="n">
        <v>4547.09</v>
      </c>
      <c r="E1021" s="181" t="n">
        <v>86.14</v>
      </c>
      <c r="F1021" s="181" t="n">
        <v>7420.0996</v>
      </c>
      <c r="G1021" s="181" t="n">
        <v>14.70382</v>
      </c>
      <c r="H1021" s="181" t="n">
        <v>36.022478</v>
      </c>
      <c r="I1021" s="181" t="inlineStr"/>
    </row>
    <row r="1022" ht="15" customHeight="1" s="28">
      <c r="A1022" s="182" t="n">
        <v>1012</v>
      </c>
      <c r="B1022" s="182" t="n">
        <v>1011</v>
      </c>
      <c r="C1022" s="182" t="n">
        <v>4632.21</v>
      </c>
      <c r="D1022" s="182" t="n">
        <v>4546.8224</v>
      </c>
      <c r="E1022" s="182" t="n">
        <v>85.38760000000001</v>
      </c>
      <c r="F1022" s="182" t="n">
        <v>7291.0439</v>
      </c>
      <c r="G1022" s="182" t="n">
        <v>14.321884</v>
      </c>
      <c r="H1022" s="182" t="n">
        <v>34.780318</v>
      </c>
      <c r="I1022" s="182" t="inlineStr"/>
    </row>
    <row r="1023" ht="15" customHeight="1" s="28">
      <c r="A1023" s="181" t="n">
        <v>1013</v>
      </c>
      <c r="B1023" s="181" t="n">
        <v>1012</v>
      </c>
      <c r="C1023" s="181" t="n">
        <v>4636.58</v>
      </c>
      <c r="D1023" s="181" t="n">
        <v>4546.5548</v>
      </c>
      <c r="E1023" s="181" t="n">
        <v>90.0252</v>
      </c>
      <c r="F1023" s="181" t="n">
        <v>8104.5384</v>
      </c>
      <c r="G1023" s="181" t="n">
        <v>16.784485</v>
      </c>
      <c r="H1023" s="181" t="n">
        <v>42.974485</v>
      </c>
      <c r="I1023" s="181" t="inlineStr"/>
    </row>
    <row r="1024" ht="15" customHeight="1" s="28">
      <c r="A1024" s="182" t="n">
        <v>1014</v>
      </c>
      <c r="B1024" s="182" t="n">
        <v>1013</v>
      </c>
      <c r="C1024" s="182" t="n">
        <v>4636.46</v>
      </c>
      <c r="D1024" s="182" t="n">
        <v>4546.2872</v>
      </c>
      <c r="E1024" s="182" t="n">
        <v>90.1728</v>
      </c>
      <c r="F1024" s="182" t="n">
        <v>8131.1375</v>
      </c>
      <c r="G1024" s="182" t="n">
        <v>16.867182</v>
      </c>
      <c r="H1024" s="182" t="n">
        <v>43.257032</v>
      </c>
      <c r="I1024" s="182" t="inlineStr"/>
    </row>
    <row r="1025" ht="15" customHeight="1" s="28">
      <c r="A1025" s="181" t="n">
        <v>1015</v>
      </c>
      <c r="B1025" s="181" t="n">
        <v>1014</v>
      </c>
      <c r="C1025" s="181" t="n">
        <v>4643.6</v>
      </c>
      <c r="D1025" s="181" t="n">
        <v>4546.0196</v>
      </c>
      <c r="E1025" s="181" t="n">
        <v>97.5804</v>
      </c>
      <c r="F1025" s="181" t="n">
        <v>9521.938399999999</v>
      </c>
      <c r="G1025" s="181" t="n">
        <v>21.374877</v>
      </c>
      <c r="H1025" s="181" t="n">
        <v>59.320506</v>
      </c>
      <c r="I1025" s="181" t="inlineStr"/>
    </row>
    <row r="1026" ht="15" customHeight="1" s="28">
      <c r="A1026" s="182" t="n">
        <v>1016</v>
      </c>
      <c r="B1026" s="182" t="n">
        <v>1015</v>
      </c>
      <c r="C1026" s="182" t="n">
        <v>4643.3</v>
      </c>
      <c r="D1026" s="182" t="n">
        <v>4545.752</v>
      </c>
      <c r="E1026" s="182" t="n">
        <v>97.548</v>
      </c>
      <c r="F1026" s="182" t="n">
        <v>9515.6162</v>
      </c>
      <c r="G1026" s="182" t="n">
        <v>21.353593</v>
      </c>
      <c r="H1026" s="182" t="n">
        <v>59.241759</v>
      </c>
      <c r="I1026" s="182" t="inlineStr"/>
    </row>
    <row r="1027" ht="15" customHeight="1" s="28">
      <c r="A1027" s="181" t="n">
        <v>1017</v>
      </c>
      <c r="B1027" s="181" t="n">
        <v>1016</v>
      </c>
      <c r="C1027" s="181" t="n">
        <v>4642.75</v>
      </c>
      <c r="D1027" s="181" t="n">
        <v>4545.4844</v>
      </c>
      <c r="E1027" s="181" t="n">
        <v>97.26560000000001</v>
      </c>
      <c r="F1027" s="181" t="n">
        <v>9460.602800000001</v>
      </c>
      <c r="G1027" s="181" t="n">
        <v>21.168681</v>
      </c>
      <c r="H1027" s="181" t="n">
        <v>58.558741</v>
      </c>
      <c r="I1027" s="181" t="inlineStr"/>
    </row>
    <row r="1028" ht="15" customHeight="1" s="28">
      <c r="A1028" s="182" t="n">
        <v>1018</v>
      </c>
      <c r="B1028" s="182" t="n">
        <v>1017</v>
      </c>
      <c r="C1028" s="182" t="n">
        <v>4637.96</v>
      </c>
      <c r="D1028" s="182" t="n">
        <v>4545.2168</v>
      </c>
      <c r="E1028" s="182" t="n">
        <v>92.7432</v>
      </c>
      <c r="F1028" s="182" t="n">
        <v>8601.306699999999</v>
      </c>
      <c r="G1028" s="182" t="n">
        <v>18.351106</v>
      </c>
      <c r="H1028" s="182" t="n">
        <v>48.404193</v>
      </c>
      <c r="I1028" s="182" t="inlineStr"/>
    </row>
    <row r="1029" ht="15" customHeight="1" s="28">
      <c r="A1029" s="181" t="n">
        <v>1019</v>
      </c>
      <c r="B1029" s="181" t="n">
        <v>1018</v>
      </c>
      <c r="C1029" s="181" t="n">
        <v>4638.86</v>
      </c>
      <c r="D1029" s="181" t="n">
        <v>4544.9492</v>
      </c>
      <c r="E1029" s="181" t="n">
        <v>93.91079999999999</v>
      </c>
      <c r="F1029" s="181" t="n">
        <v>8819.2459</v>
      </c>
      <c r="G1029" s="181" t="n">
        <v>19.052973</v>
      </c>
      <c r="H1029" s="181" t="n">
        <v>50.888191</v>
      </c>
      <c r="I1029" s="181" t="inlineStr"/>
    </row>
    <row r="1030" ht="15" customHeight="1" s="28">
      <c r="A1030" s="182" t="n">
        <v>1020</v>
      </c>
      <c r="B1030" s="182" t="n">
        <v>1019</v>
      </c>
      <c r="C1030" s="182" t="n">
        <v>4638.72</v>
      </c>
      <c r="D1030" s="182" t="n">
        <v>4544.6816</v>
      </c>
      <c r="E1030" s="182" t="n">
        <v>94.0384</v>
      </c>
      <c r="F1030" s="182" t="n">
        <v>8843.2282</v>
      </c>
      <c r="G1030" s="182" t="n">
        <v>19.130743</v>
      </c>
      <c r="H1030" s="182" t="n">
        <v>51.16533</v>
      </c>
      <c r="I1030" s="182" t="inlineStr"/>
    </row>
    <row r="1031" ht="15" customHeight="1" s="28">
      <c r="A1031" s="181" t="n">
        <v>1021</v>
      </c>
      <c r="B1031" s="181" t="n">
        <v>1020</v>
      </c>
      <c r="C1031" s="181" t="n">
        <v>4639.73</v>
      </c>
      <c r="D1031" s="181" t="n">
        <v>4544.414</v>
      </c>
      <c r="E1031" s="181" t="n">
        <v>95.316</v>
      </c>
      <c r="F1031" s="181" t="n">
        <v>9085.147499999999</v>
      </c>
      <c r="G1031" s="181" t="n">
        <v>19.921111</v>
      </c>
      <c r="H1031" s="181" t="n">
        <v>54.003024</v>
      </c>
      <c r="I1031" s="181" t="inlineStr"/>
    </row>
    <row r="1032" ht="15" customHeight="1" s="28">
      <c r="A1032" s="182" t="n">
        <v>1022</v>
      </c>
      <c r="B1032" s="182" t="n">
        <v>1021</v>
      </c>
      <c r="C1032" s="182" t="n">
        <v>4631.67</v>
      </c>
      <c r="D1032" s="182" t="n">
        <v>4544.1463</v>
      </c>
      <c r="E1032" s="182" t="n">
        <v>87.52370000000001</v>
      </c>
      <c r="F1032" s="182" t="n">
        <v>7660.3893</v>
      </c>
      <c r="G1032" s="182" t="n">
        <v>15.423816</v>
      </c>
      <c r="H1032" s="182" t="n">
        <v>38.393331</v>
      </c>
      <c r="I1032" s="182" t="inlineStr"/>
    </row>
    <row r="1033" ht="15" customHeight="1" s="28">
      <c r="A1033" s="181" t="n">
        <v>1023</v>
      </c>
      <c r="B1033" s="181" t="n">
        <v>1022</v>
      </c>
      <c r="C1033" s="181" t="n">
        <v>4628</v>
      </c>
      <c r="D1033" s="181" t="n">
        <v>4543.8787</v>
      </c>
      <c r="E1033" s="181" t="n">
        <v>84.12130000000001</v>
      </c>
      <c r="F1033" s="181" t="n">
        <v>7076.3847</v>
      </c>
      <c r="G1033" s="181" t="n">
        <v>13.694076</v>
      </c>
      <c r="H1033" s="181" t="n">
        <v>32.762496</v>
      </c>
      <c r="I1033" s="181" t="inlineStr"/>
    </row>
    <row r="1034" ht="15" customHeight="1" s="28">
      <c r="A1034" s="182" t="n">
        <v>1024</v>
      </c>
      <c r="B1034" s="182" t="n">
        <v>1023</v>
      </c>
      <c r="C1034" s="182" t="n">
        <v>4629.43</v>
      </c>
      <c r="D1034" s="182" t="n">
        <v>4543.6111</v>
      </c>
      <c r="E1034" s="182" t="n">
        <v>85.8189</v>
      </c>
      <c r="F1034" s="182" t="n">
        <v>7364.8767</v>
      </c>
      <c r="G1034" s="182" t="n">
        <v>14.53998</v>
      </c>
      <c r="H1034" s="182" t="n">
        <v>35.48829</v>
      </c>
      <c r="I1034" s="182" t="inlineStr"/>
    </row>
    <row r="1035" ht="15" customHeight="1" s="28">
      <c r="A1035" s="181" t="n">
        <v>1025</v>
      </c>
      <c r="B1035" s="181" t="n">
        <v>1024</v>
      </c>
      <c r="C1035" s="181" t="n">
        <v>4615.72</v>
      </c>
      <c r="D1035" s="181" t="n">
        <v>4543.3435</v>
      </c>
      <c r="E1035" s="181" t="n">
        <v>72.37649999999999</v>
      </c>
      <c r="F1035" s="181" t="n">
        <v>5238.352</v>
      </c>
      <c r="G1035" s="181" t="n">
        <v>8.721830000000001</v>
      </c>
      <c r="H1035" s="181" t="n">
        <v>17.953266</v>
      </c>
      <c r="I1035" s="181" t="inlineStr"/>
    </row>
    <row r="1036" ht="15" customHeight="1" s="28">
      <c r="A1036" s="182" t="n">
        <v>1026</v>
      </c>
      <c r="B1036" s="182" t="n">
        <v>1025</v>
      </c>
      <c r="C1036" s="182" t="n">
        <v>4623.48</v>
      </c>
      <c r="D1036" s="182" t="n">
        <v>4543.0759</v>
      </c>
      <c r="E1036" s="182" t="n">
        <v>80.4041</v>
      </c>
      <c r="F1036" s="182" t="n">
        <v>6464.8129</v>
      </c>
      <c r="G1036" s="182" t="n">
        <v>11.957751</v>
      </c>
      <c r="H1036" s="182" t="n">
        <v>27.344251</v>
      </c>
      <c r="I1036" s="182" t="inlineStr"/>
    </row>
    <row r="1037" ht="15" customHeight="1" s="28">
      <c r="A1037" s="181" t="n">
        <v>1027</v>
      </c>
      <c r="B1037" s="181" t="n">
        <v>1026</v>
      </c>
      <c r="C1037" s="181" t="n">
        <v>4622.32</v>
      </c>
      <c r="D1037" s="181" t="n">
        <v>4542.8083</v>
      </c>
      <c r="E1037" s="181" t="n">
        <v>79.5117</v>
      </c>
      <c r="F1037" s="181" t="n">
        <v>6322.1057</v>
      </c>
      <c r="G1037" s="181" t="n">
        <v>11.564003</v>
      </c>
      <c r="H1037" s="181" t="n">
        <v>26.150356</v>
      </c>
      <c r="I1037" s="181" t="inlineStr"/>
    </row>
    <row r="1038" ht="15" customHeight="1" s="28">
      <c r="A1038" s="182" t="n">
        <v>1028</v>
      </c>
      <c r="B1038" s="182" t="n">
        <v>1027</v>
      </c>
      <c r="C1038" s="182" t="n">
        <v>4624.35</v>
      </c>
      <c r="D1038" s="182" t="n">
        <v>4542.5407</v>
      </c>
      <c r="E1038" s="182" t="n">
        <v>81.80929999999999</v>
      </c>
      <c r="F1038" s="182" t="n">
        <v>6692.7567</v>
      </c>
      <c r="G1038" s="182" t="n">
        <v>12.595724</v>
      </c>
      <c r="H1038" s="182" t="n">
        <v>29.306515</v>
      </c>
      <c r="I1038" s="182" t="inlineStr"/>
    </row>
    <row r="1039" ht="15" customHeight="1" s="28">
      <c r="A1039" s="181" t="n">
        <v>1029</v>
      </c>
      <c r="B1039" s="181" t="n">
        <v>1028</v>
      </c>
      <c r="C1039" s="181" t="n">
        <v>4626.3</v>
      </c>
      <c r="D1039" s="181" t="n">
        <v>4542.2731</v>
      </c>
      <c r="E1039" s="181" t="n">
        <v>84.0269</v>
      </c>
      <c r="F1039" s="181" t="n">
        <v>7060.5166</v>
      </c>
      <c r="G1039" s="181" t="n">
        <v>13.64804</v>
      </c>
      <c r="H1039" s="181" t="n">
        <v>32.615727</v>
      </c>
      <c r="I1039" s="181" t="inlineStr"/>
    </row>
    <row r="1040" ht="15" customHeight="1" s="28">
      <c r="A1040" s="182" t="n">
        <v>1030</v>
      </c>
      <c r="B1040" s="182" t="n">
        <v>1029</v>
      </c>
      <c r="C1040" s="182" t="n">
        <v>4624.4</v>
      </c>
      <c r="D1040" s="182" t="n">
        <v>4542.0055</v>
      </c>
      <c r="E1040" s="182" t="n">
        <v>82.39449999999999</v>
      </c>
      <c r="F1040" s="182" t="n">
        <v>6788.8503</v>
      </c>
      <c r="G1040" s="182" t="n">
        <v>12.867967</v>
      </c>
      <c r="H1040" s="182" t="n">
        <v>30.154115</v>
      </c>
      <c r="I1040" s="182" t="inlineStr"/>
    </row>
    <row r="1041" ht="15" customHeight="1" s="28">
      <c r="A1041" s="181" t="n">
        <v>1031</v>
      </c>
      <c r="B1041" s="181" t="n">
        <v>1030</v>
      </c>
      <c r="C1041" s="181" t="n">
        <v>4611.78</v>
      </c>
      <c r="D1041" s="181" t="n">
        <v>4541.7379</v>
      </c>
      <c r="E1041" s="181" t="n">
        <v>70.0421</v>
      </c>
      <c r="F1041" s="181" t="n">
        <v>4905.893</v>
      </c>
      <c r="G1041" s="181" t="n">
        <v>7.904833</v>
      </c>
      <c r="H1041" s="181" t="n">
        <v>15.746725</v>
      </c>
      <c r="I1041" s="181" t="inlineStr"/>
    </row>
    <row r="1042" ht="15" customHeight="1" s="28">
      <c r="A1042" s="182" t="n">
        <v>1032</v>
      </c>
      <c r="B1042" s="182" t="n">
        <v>1031</v>
      </c>
      <c r="C1042" s="182" t="n">
        <v>4610.06</v>
      </c>
      <c r="D1042" s="182" t="n">
        <v>4541.4703</v>
      </c>
      <c r="E1042" s="182" t="n">
        <v>68.58969999999999</v>
      </c>
      <c r="F1042" s="182" t="n">
        <v>4704.5456</v>
      </c>
      <c r="G1042" s="182" t="n">
        <v>7.423216</v>
      </c>
      <c r="H1042" s="182" t="n">
        <v>14.480697</v>
      </c>
      <c r="I1042" s="182" t="inlineStr"/>
    </row>
    <row r="1043" ht="15" customHeight="1" s="28">
      <c r="A1043" s="181" t="n">
        <v>1033</v>
      </c>
      <c r="B1043" s="181" t="n">
        <v>1032</v>
      </c>
      <c r="C1043" s="181" t="n">
        <v>4611.41</v>
      </c>
      <c r="D1043" s="181" t="n">
        <v>4541.2027</v>
      </c>
      <c r="E1043" s="181" t="n">
        <v>70.2073</v>
      </c>
      <c r="F1043" s="181" t="n">
        <v>4929.0636</v>
      </c>
      <c r="G1043" s="181" t="n">
        <v>7.960901</v>
      </c>
      <c r="H1043" s="181" t="n">
        <v>15.895821</v>
      </c>
      <c r="I1043" s="181" t="inlineStr"/>
    </row>
    <row r="1044" ht="15" customHeight="1" s="28">
      <c r="A1044" s="182" t="n">
        <v>1034</v>
      </c>
      <c r="B1044" s="182" t="n">
        <v>1033</v>
      </c>
      <c r="C1044" s="182" t="n">
        <v>4613.3</v>
      </c>
      <c r="D1044" s="182" t="n">
        <v>4540.9351</v>
      </c>
      <c r="E1044" s="182" t="n">
        <v>72.36490000000001</v>
      </c>
      <c r="F1044" s="182" t="n">
        <v>5236.6788</v>
      </c>
      <c r="G1044" s="182" t="n">
        <v>8.717651</v>
      </c>
      <c r="H1044" s="182" t="n">
        <v>17.941799</v>
      </c>
      <c r="I1044" s="182" t="inlineStr"/>
    </row>
    <row r="1045" ht="15" customHeight="1" s="28">
      <c r="A1045" s="181" t="n">
        <v>1035</v>
      </c>
      <c r="B1045" s="181" t="n">
        <v>1034</v>
      </c>
      <c r="C1045" s="181" t="n">
        <v>4613.77</v>
      </c>
      <c r="D1045" s="181" t="n">
        <v>4540.6675</v>
      </c>
      <c r="E1045" s="181" t="n">
        <v>73.10250000000001</v>
      </c>
      <c r="F1045" s="181" t="n">
        <v>5343.9755</v>
      </c>
      <c r="G1045" s="181" t="n">
        <v>8.986948999999999</v>
      </c>
      <c r="H1045" s="181" t="n">
        <v>18.684567</v>
      </c>
      <c r="I1045" s="181" t="inlineStr"/>
    </row>
    <row r="1046" ht="15" customHeight="1" s="28">
      <c r="A1046" s="182" t="n">
        <v>1036</v>
      </c>
      <c r="B1046" s="182" t="n">
        <v>1035</v>
      </c>
      <c r="C1046" s="182" t="n">
        <v>4613.98</v>
      </c>
      <c r="D1046" s="182" t="n">
        <v>4540.3999</v>
      </c>
      <c r="E1046" s="182" t="n">
        <v>73.5801</v>
      </c>
      <c r="F1046" s="182" t="n">
        <v>5414.0326</v>
      </c>
      <c r="G1046" s="182" t="n">
        <v>9.164249</v>
      </c>
      <c r="H1046" s="182" t="n">
        <v>19.17767</v>
      </c>
      <c r="I1046" s="182" t="inlineStr"/>
    </row>
    <row r="1047" ht="15" customHeight="1" s="28">
      <c r="A1047" s="181" t="n">
        <v>1037</v>
      </c>
      <c r="B1047" s="181" t="n">
        <v>1036</v>
      </c>
      <c r="C1047" s="181" t="n">
        <v>4623.11</v>
      </c>
      <c r="D1047" s="181" t="n">
        <v>4540.1323</v>
      </c>
      <c r="E1047" s="181" t="n">
        <v>82.9777</v>
      </c>
      <c r="F1047" s="181" t="n">
        <v>6885.3004</v>
      </c>
      <c r="G1047" s="181" t="n">
        <v>13.143164</v>
      </c>
      <c r="H1047" s="181" t="n">
        <v>31.017007</v>
      </c>
      <c r="I1047" s="181" t="inlineStr"/>
    </row>
    <row r="1048" ht="15" customHeight="1" s="28">
      <c r="A1048" s="182" t="n">
        <v>1038</v>
      </c>
      <c r="B1048" s="182" t="n">
        <v>1037</v>
      </c>
      <c r="C1048" s="182" t="n">
        <v>4620.91</v>
      </c>
      <c r="D1048" s="182" t="n">
        <v>4539.8647</v>
      </c>
      <c r="E1048" s="182" t="n">
        <v>81.0453</v>
      </c>
      <c r="F1048" s="182" t="n">
        <v>6568.3423</v>
      </c>
      <c r="G1048" s="182" t="n">
        <v>12.246141</v>
      </c>
      <c r="H1048" s="182" t="n">
        <v>28.227061</v>
      </c>
      <c r="I1048" s="182" t="inlineStr"/>
    </row>
    <row r="1049" ht="15" customHeight="1" s="28">
      <c r="A1049" s="181" t="n">
        <v>1039</v>
      </c>
      <c r="B1049" s="181" t="n">
        <v>1038</v>
      </c>
      <c r="C1049" s="181" t="n">
        <v>4628.2</v>
      </c>
      <c r="D1049" s="181" t="n">
        <v>4539.5971</v>
      </c>
      <c r="E1049" s="181" t="n">
        <v>88.60290000000001</v>
      </c>
      <c r="F1049" s="181" t="n">
        <v>7850.4774</v>
      </c>
      <c r="G1049" s="181" t="n">
        <v>16.001463</v>
      </c>
      <c r="H1049" s="181" t="n">
        <v>40.322389</v>
      </c>
      <c r="I1049" s="181" t="inlineStr"/>
    </row>
    <row r="1050" ht="15" customHeight="1" s="28">
      <c r="A1050" s="182" t="n">
        <v>1040</v>
      </c>
      <c r="B1050" s="182" t="n">
        <v>1039</v>
      </c>
      <c r="C1050" s="182" t="n">
        <v>4618.95</v>
      </c>
      <c r="D1050" s="182" t="n">
        <v>4539.3295</v>
      </c>
      <c r="E1050" s="182" t="n">
        <v>79.62050000000001</v>
      </c>
      <c r="F1050" s="182" t="n">
        <v>6339.4272</v>
      </c>
      <c r="G1050" s="182" t="n">
        <v>11.611561</v>
      </c>
      <c r="H1050" s="182" t="n">
        <v>26.293848</v>
      </c>
      <c r="I1050" s="182" t="inlineStr"/>
    </row>
    <row r="1051" ht="15" customHeight="1" s="28">
      <c r="A1051" s="181" t="n">
        <v>1041</v>
      </c>
      <c r="B1051" s="181" t="n">
        <v>1040</v>
      </c>
      <c r="C1051" s="181" t="n">
        <v>4615.08</v>
      </c>
      <c r="D1051" s="181" t="n">
        <v>4539.0619</v>
      </c>
      <c r="E1051" s="181" t="n">
        <v>76.0181</v>
      </c>
      <c r="F1051" s="181" t="n">
        <v>5778.7561</v>
      </c>
      <c r="G1051" s="181" t="n">
        <v>10.105717</v>
      </c>
      <c r="H1051" s="181" t="n">
        <v>21.848561</v>
      </c>
      <c r="I1051" s="181" t="inlineStr"/>
    </row>
    <row r="1052" ht="15" customHeight="1" s="28">
      <c r="A1052" s="182" t="n">
        <v>1042</v>
      </c>
      <c r="B1052" s="182" t="n">
        <v>1041</v>
      </c>
      <c r="C1052" s="182" t="n">
        <v>4617.09</v>
      </c>
      <c r="D1052" s="182" t="n">
        <v>4538.7943</v>
      </c>
      <c r="E1052" s="182" t="n">
        <v>78.2957</v>
      </c>
      <c r="F1052" s="182" t="n">
        <v>6130.2213</v>
      </c>
      <c r="G1052" s="182" t="n">
        <v>11.041544</v>
      </c>
      <c r="H1052" s="182" t="n">
        <v>24.58705</v>
      </c>
      <c r="I1052" s="182" t="inlineStr"/>
    </row>
    <row r="1053" ht="15" customHeight="1" s="28">
      <c r="A1053" s="181" t="n">
        <v>1043</v>
      </c>
      <c r="B1053" s="181" t="n">
        <v>1042</v>
      </c>
      <c r="C1053" s="181" t="n">
        <v>4613.63</v>
      </c>
      <c r="D1053" s="181" t="n">
        <v>4538.5267</v>
      </c>
      <c r="E1053" s="181" t="n">
        <v>75.1033</v>
      </c>
      <c r="F1053" s="181" t="n">
        <v>5640.5102</v>
      </c>
      <c r="G1053" s="181" t="n">
        <v>9.745253999999999</v>
      </c>
      <c r="H1053" s="181" t="n">
        <v>20.815694</v>
      </c>
      <c r="I1053" s="181" t="inlineStr"/>
    </row>
    <row r="1054" ht="15" customHeight="1" s="28">
      <c r="A1054" s="182" t="n">
        <v>1044</v>
      </c>
      <c r="B1054" s="182" t="n">
        <v>1043</v>
      </c>
      <c r="C1054" s="182" t="n">
        <v>4613.86</v>
      </c>
      <c r="D1054" s="182" t="n">
        <v>4538.2591</v>
      </c>
      <c r="E1054" s="182" t="n">
        <v>75.6009</v>
      </c>
      <c r="F1054" s="182" t="n">
        <v>5715.5021</v>
      </c>
      <c r="G1054" s="182" t="n">
        <v>9.940246999999999</v>
      </c>
      <c r="H1054" s="182" t="n">
        <v>21.372872</v>
      </c>
      <c r="I1054" s="182" t="inlineStr"/>
    </row>
    <row r="1055" ht="15" customHeight="1" s="28">
      <c r="A1055" s="181" t="n">
        <v>1045</v>
      </c>
      <c r="B1055" s="181" t="n">
        <v>1044</v>
      </c>
      <c r="C1055" s="181" t="n">
        <v>4612.3</v>
      </c>
      <c r="D1055" s="181" t="n">
        <v>4537.9915</v>
      </c>
      <c r="E1055" s="181" t="n">
        <v>74.3085</v>
      </c>
      <c r="F1055" s="181" t="n">
        <v>5521.7591</v>
      </c>
      <c r="G1055" s="181" t="n">
        <v>9.439126</v>
      </c>
      <c r="H1055" s="181" t="n">
        <v>19.948444</v>
      </c>
      <c r="I1055" s="181" t="inlineStr"/>
    </row>
    <row r="1056" ht="15" customHeight="1" s="28">
      <c r="A1056" s="182" t="n">
        <v>1046</v>
      </c>
      <c r="B1056" s="182" t="n">
        <v>1045</v>
      </c>
      <c r="C1056" s="182" t="n">
        <v>4606.13</v>
      </c>
      <c r="D1056" s="182" t="n">
        <v>4537.7239</v>
      </c>
      <c r="E1056" s="182" t="n">
        <v>68.4061</v>
      </c>
      <c r="F1056" s="182" t="n">
        <v>4679.4014</v>
      </c>
      <c r="G1056" s="182" t="n">
        <v>7.363784</v>
      </c>
      <c r="H1056" s="182" t="n">
        <v>14.326322</v>
      </c>
      <c r="I1056" s="182" t="inlineStr"/>
    </row>
    <row r="1057" ht="15" customHeight="1" s="28">
      <c r="A1057" s="181" t="n">
        <v>1047</v>
      </c>
      <c r="B1057" s="181" t="n">
        <v>1046</v>
      </c>
      <c r="C1057" s="181" t="n">
        <v>4605.86</v>
      </c>
      <c r="D1057" s="181" t="n">
        <v>4537.4563</v>
      </c>
      <c r="E1057" s="181" t="n">
        <v>68.4037</v>
      </c>
      <c r="F1057" s="181" t="n">
        <v>4679.073</v>
      </c>
      <c r="G1057" s="181" t="n">
        <v>7.363009</v>
      </c>
      <c r="H1057" s="181" t="n">
        <v>14.324312</v>
      </c>
      <c r="I1057" s="181" t="inlineStr"/>
    </row>
    <row r="1058" ht="15" customHeight="1" s="28">
      <c r="A1058" s="182" t="n">
        <v>1048</v>
      </c>
      <c r="B1058" s="182" t="n">
        <v>1047</v>
      </c>
      <c r="C1058" s="182" t="n">
        <v>4613.01</v>
      </c>
      <c r="D1058" s="182" t="n">
        <v>4537.1887</v>
      </c>
      <c r="E1058" s="182" t="n">
        <v>75.8214</v>
      </c>
      <c r="F1058" s="182" t="n">
        <v>5748.8771</v>
      </c>
      <c r="G1058" s="182" t="n">
        <v>10.027441</v>
      </c>
      <c r="H1058" s="182" t="n">
        <v>21.62321</v>
      </c>
      <c r="I1058" s="182" t="inlineStr"/>
    </row>
    <row r="1059" ht="15" customHeight="1" s="28">
      <c r="A1059" s="181" t="n">
        <v>1049</v>
      </c>
      <c r="B1059" s="181" t="n">
        <v>1048</v>
      </c>
      <c r="C1059" s="181" t="n">
        <v>4600.58</v>
      </c>
      <c r="D1059" s="181" t="n">
        <v>4536.921</v>
      </c>
      <c r="E1059" s="181" t="n">
        <v>63.659</v>
      </c>
      <c r="F1059" s="181" t="n">
        <v>4052.4632</v>
      </c>
      <c r="G1059" s="181" t="n">
        <v>5.934638</v>
      </c>
      <c r="H1059" s="181" t="n">
        <v>10.74465</v>
      </c>
      <c r="I1059" s="181" t="inlineStr"/>
    </row>
    <row r="1060" ht="15" customHeight="1" s="28">
      <c r="A1060" s="182" t="n">
        <v>1050</v>
      </c>
      <c r="B1060" s="182" t="n">
        <v>1049</v>
      </c>
      <c r="C1060" s="182" t="n">
        <v>4594.65</v>
      </c>
      <c r="D1060" s="182" t="n">
        <v>4536.6534</v>
      </c>
      <c r="E1060" s="182" t="n">
        <v>57.9966</v>
      </c>
      <c r="F1060" s="182" t="n">
        <v>3363.601</v>
      </c>
      <c r="G1060" s="182" t="n">
        <v>4.487684</v>
      </c>
      <c r="H1060" s="182" t="n">
        <v>7.402238</v>
      </c>
      <c r="I1060" s="182" t="inlineStr"/>
    </row>
    <row r="1061" ht="15" customHeight="1" s="28">
      <c r="A1061" s="181" t="n">
        <v>1051</v>
      </c>
      <c r="B1061" s="181" t="n">
        <v>1050</v>
      </c>
      <c r="C1061" s="181" t="n">
        <v>4601.59</v>
      </c>
      <c r="D1061" s="181" t="n">
        <v>4536.3858</v>
      </c>
      <c r="E1061" s="181" t="n">
        <v>65.2042</v>
      </c>
      <c r="F1061" s="181" t="n">
        <v>4251.5838</v>
      </c>
      <c r="G1061" s="181" t="n">
        <v>6.377371</v>
      </c>
      <c r="H1061" s="181" t="n">
        <v>11.826483</v>
      </c>
      <c r="I1061" s="181" t="inlineStr"/>
    </row>
    <row r="1062" ht="15" customHeight="1" s="28">
      <c r="A1062" s="182" t="n">
        <v>1052</v>
      </c>
      <c r="B1062" s="182" t="n">
        <v>1051</v>
      </c>
      <c r="C1062" s="182" t="n">
        <v>4613.14</v>
      </c>
      <c r="D1062" s="182" t="n">
        <v>4536.1182</v>
      </c>
      <c r="E1062" s="182" t="n">
        <v>77.0218</v>
      </c>
      <c r="F1062" s="182" t="n">
        <v>5932.3531</v>
      </c>
      <c r="G1062" s="182" t="n">
        <v>10.511291</v>
      </c>
      <c r="H1062" s="182" t="n">
        <v>23.025448</v>
      </c>
      <c r="I1062" s="182" t="inlineStr"/>
    </row>
    <row r="1063" ht="15" customHeight="1" s="28">
      <c r="A1063" s="181" t="n">
        <v>1053</v>
      </c>
      <c r="B1063" s="181" t="n">
        <v>1052</v>
      </c>
      <c r="C1063" s="181" t="n">
        <v>4608.34</v>
      </c>
      <c r="D1063" s="181" t="n">
        <v>4535.8506</v>
      </c>
      <c r="E1063" s="181" t="n">
        <v>72.4894</v>
      </c>
      <c r="F1063" s="181" t="n">
        <v>5254.7088</v>
      </c>
      <c r="G1063" s="181" t="n">
        <v>8.762712000000001</v>
      </c>
      <c r="H1063" s="181" t="n">
        <v>18.065559</v>
      </c>
      <c r="I1063" s="181" t="inlineStr"/>
    </row>
    <row r="1064" ht="15" customHeight="1" s="28">
      <c r="A1064" s="182" t="n">
        <v>1054</v>
      </c>
      <c r="B1064" s="182" t="n">
        <v>1053</v>
      </c>
      <c r="C1064" s="182" t="n">
        <v>4593.09</v>
      </c>
      <c r="D1064" s="182" t="n">
        <v>4535.583</v>
      </c>
      <c r="E1064" s="182" t="n">
        <v>57.507</v>
      </c>
      <c r="F1064" s="182" t="n">
        <v>3307.0527</v>
      </c>
      <c r="G1064" s="182" t="n">
        <v>4.374992</v>
      </c>
      <c r="H1064" s="182" t="n">
        <v>7.15544</v>
      </c>
      <c r="I1064" s="182" t="inlineStr"/>
    </row>
    <row r="1065" ht="15" customHeight="1" s="28">
      <c r="A1065" s="181" t="n">
        <v>1055</v>
      </c>
      <c r="B1065" s="181" t="n">
        <v>1054</v>
      </c>
      <c r="C1065" s="181" t="n">
        <v>4603.32</v>
      </c>
      <c r="D1065" s="181" t="n">
        <v>4535.3154</v>
      </c>
      <c r="E1065" s="181" t="n">
        <v>68.0046</v>
      </c>
      <c r="F1065" s="181" t="n">
        <v>4624.6229</v>
      </c>
      <c r="G1065" s="181" t="n">
        <v>7.234859</v>
      </c>
      <c r="H1065" s="181" t="n">
        <v>13.992869</v>
      </c>
      <c r="I1065" s="181" t="inlineStr"/>
    </row>
    <row r="1066" ht="15" customHeight="1" s="28">
      <c r="A1066" s="182" t="n">
        <v>1056</v>
      </c>
      <c r="B1066" s="182" t="n">
        <v>1055</v>
      </c>
      <c r="C1066" s="182" t="n">
        <v>4605.77</v>
      </c>
      <c r="D1066" s="182" t="n">
        <v>4535.0478</v>
      </c>
      <c r="E1066" s="182" t="n">
        <v>70.7222</v>
      </c>
      <c r="F1066" s="182" t="n">
        <v>5001.6282</v>
      </c>
      <c r="G1066" s="182" t="n">
        <v>8.137344000000001</v>
      </c>
      <c r="H1066" s="182" t="n">
        <v>16.367295</v>
      </c>
      <c r="I1066" s="182" t="inlineStr"/>
    </row>
    <row r="1067" ht="15" customHeight="1" s="28">
      <c r="A1067" s="181" t="n">
        <v>1057</v>
      </c>
      <c r="B1067" s="181" t="n">
        <v>1056</v>
      </c>
      <c r="C1067" s="181" t="n">
        <v>4610.07</v>
      </c>
      <c r="D1067" s="181" t="n">
        <v>4534.7802</v>
      </c>
      <c r="E1067" s="181" t="n">
        <v>75.2898</v>
      </c>
      <c r="F1067" s="181" t="n">
        <v>5668.5525</v>
      </c>
      <c r="G1067" s="181" t="n">
        <v>9.818018</v>
      </c>
      <c r="H1067" s="181" t="n">
        <v>21.023182</v>
      </c>
      <c r="I1067" s="181" t="inlineStr"/>
    </row>
    <row r="1068" ht="15" customHeight="1" s="28">
      <c r="A1068" s="182" t="n">
        <v>1058</v>
      </c>
      <c r="B1068" s="182" t="n">
        <v>1057</v>
      </c>
      <c r="C1068" s="182" t="n">
        <v>4610.27</v>
      </c>
      <c r="D1068" s="182" t="n">
        <v>4534.5126</v>
      </c>
      <c r="E1068" s="182" t="n">
        <v>75.7574</v>
      </c>
      <c r="F1068" s="182" t="n">
        <v>5739.1837</v>
      </c>
      <c r="G1068" s="182" t="n">
        <v>10.00209</v>
      </c>
      <c r="H1068" s="182" t="n">
        <v>21.550351</v>
      </c>
      <c r="I1068" s="182" t="inlineStr"/>
    </row>
    <row r="1069" ht="15" customHeight="1" s="28">
      <c r="A1069" s="181" t="n">
        <v>1059</v>
      </c>
      <c r="B1069" s="181" t="n">
        <v>1058</v>
      </c>
      <c r="C1069" s="181" t="n">
        <v>4605.07</v>
      </c>
      <c r="D1069" s="181" t="n">
        <v>4534.245</v>
      </c>
      <c r="E1069" s="181" t="n">
        <v>70.825</v>
      </c>
      <c r="F1069" s="181" t="n">
        <v>5016.1806</v>
      </c>
      <c r="G1069" s="181" t="n">
        <v>8.172884</v>
      </c>
      <c r="H1069" s="181" t="n">
        <v>16.462677</v>
      </c>
      <c r="I1069" s="181" t="inlineStr"/>
    </row>
    <row r="1070" ht="15" customHeight="1" s="28">
      <c r="A1070" s="182" t="n">
        <v>1060</v>
      </c>
      <c r="B1070" s="182" t="n">
        <v>1059</v>
      </c>
      <c r="C1070" s="182" t="n">
        <v>4615.09</v>
      </c>
      <c r="D1070" s="182" t="n">
        <v>4533.9774</v>
      </c>
      <c r="E1070" s="182" t="n">
        <v>81.1126</v>
      </c>
      <c r="F1070" s="182" t="n">
        <v>6579.2539</v>
      </c>
      <c r="G1070" s="182" t="n">
        <v>12.276669</v>
      </c>
      <c r="H1070" s="182" t="n">
        <v>28.320923</v>
      </c>
      <c r="I1070" s="182" t="inlineStr"/>
    </row>
    <row r="1071" ht="15" customHeight="1" s="28">
      <c r="A1071" s="181" t="n">
        <v>1061</v>
      </c>
      <c r="B1071" s="181" t="n">
        <v>1060</v>
      </c>
      <c r="C1071" s="181" t="n">
        <v>4611.19</v>
      </c>
      <c r="D1071" s="181" t="n">
        <v>4533.7098</v>
      </c>
      <c r="E1071" s="181" t="n">
        <v>77.4802</v>
      </c>
      <c r="F1071" s="181" t="n">
        <v>6003.1829</v>
      </c>
      <c r="G1071" s="181" t="n">
        <v>10.700103</v>
      </c>
      <c r="H1071" s="181" t="n">
        <v>23.57856</v>
      </c>
      <c r="I1071" s="181" t="inlineStr"/>
    </row>
    <row r="1072" ht="15" customHeight="1" s="28">
      <c r="A1072" s="182" t="n">
        <v>1062</v>
      </c>
      <c r="B1072" s="182" t="n">
        <v>1061</v>
      </c>
      <c r="C1072" s="182" t="n">
        <v>4608.12</v>
      </c>
      <c r="D1072" s="182" t="n">
        <v>4533.4422</v>
      </c>
      <c r="E1072" s="182" t="n">
        <v>74.6778</v>
      </c>
      <c r="F1072" s="182" t="n">
        <v>5576.7753</v>
      </c>
      <c r="G1072" s="182" t="n">
        <v>9.580546999999999</v>
      </c>
      <c r="H1072" s="182" t="n">
        <v>20.347938</v>
      </c>
      <c r="I1072" s="182" t="inlineStr"/>
    </row>
    <row r="1073" ht="15" customHeight="1" s="28">
      <c r="A1073" s="181" t="n">
        <v>1063</v>
      </c>
      <c r="B1073" s="181" t="n">
        <v>1062</v>
      </c>
      <c r="C1073" s="181" t="n">
        <v>4609.32</v>
      </c>
      <c r="D1073" s="181" t="n">
        <v>4533.1746</v>
      </c>
      <c r="E1073" s="181" t="n">
        <v>76.1454</v>
      </c>
      <c r="F1073" s="181" t="n">
        <v>5798.125</v>
      </c>
      <c r="G1073" s="181" t="n">
        <v>10.156567</v>
      </c>
      <c r="H1073" s="181" t="n">
        <v>21.995268</v>
      </c>
      <c r="I1073" s="181" t="inlineStr"/>
    </row>
    <row r="1074" ht="15" customHeight="1" s="28">
      <c r="A1074" s="182" t="n">
        <v>1064</v>
      </c>
      <c r="B1074" s="182" t="n">
        <v>1063</v>
      </c>
      <c r="C1074" s="182" t="n">
        <v>4606</v>
      </c>
      <c r="D1074" s="182" t="n">
        <v>4532.907</v>
      </c>
      <c r="E1074" s="182" t="n">
        <v>73.093</v>
      </c>
      <c r="F1074" s="182" t="n">
        <v>5342.5896</v>
      </c>
      <c r="G1074" s="182" t="n">
        <v>8.983453000000001</v>
      </c>
      <c r="H1074" s="182" t="n">
        <v>18.674876</v>
      </c>
      <c r="I1074" s="182" t="inlineStr"/>
    </row>
    <row r="1075" ht="15" customHeight="1" s="28">
      <c r="A1075" s="181" t="n">
        <v>1065</v>
      </c>
      <c r="B1075" s="181" t="n">
        <v>1064</v>
      </c>
      <c r="C1075" s="181" t="n">
        <v>4603.74</v>
      </c>
      <c r="D1075" s="181" t="n">
        <v>4532.6394</v>
      </c>
      <c r="E1075" s="181" t="n">
        <v>71.1006</v>
      </c>
      <c r="F1075" s="181" t="n">
        <v>5055.2982</v>
      </c>
      <c r="G1075" s="181" t="n">
        <v>8.268672</v>
      </c>
      <c r="H1075" s="181" t="n">
        <v>16.720439</v>
      </c>
      <c r="I1075" s="181" t="inlineStr"/>
    </row>
    <row r="1076" ht="15" customHeight="1" s="28">
      <c r="A1076" s="182" t="n">
        <v>1066</v>
      </c>
      <c r="B1076" s="182" t="n">
        <v>1065</v>
      </c>
      <c r="C1076" s="182" t="n">
        <v>4596.32</v>
      </c>
      <c r="D1076" s="182" t="n">
        <v>4532.3718</v>
      </c>
      <c r="E1076" s="182" t="n">
        <v>63.9482</v>
      </c>
      <c r="F1076" s="182" t="n">
        <v>4089.3761</v>
      </c>
      <c r="G1076" s="182" t="n">
        <v>6.015908</v>
      </c>
      <c r="H1076" s="182" t="n">
        <v>10.941282</v>
      </c>
      <c r="I1076" s="182" t="inlineStr"/>
    </row>
    <row r="1077" ht="15" customHeight="1" s="28">
      <c r="A1077" s="181" t="n">
        <v>1067</v>
      </c>
      <c r="B1077" s="181" t="n">
        <v>1066</v>
      </c>
      <c r="C1077" s="181" t="n">
        <v>4598.85</v>
      </c>
      <c r="D1077" s="181" t="n">
        <v>4532.1042</v>
      </c>
      <c r="E1077" s="181" t="n">
        <v>66.7458</v>
      </c>
      <c r="F1077" s="181" t="n">
        <v>4455.0058</v>
      </c>
      <c r="G1077" s="181" t="n">
        <v>6.840502</v>
      </c>
      <c r="H1077" s="181" t="n">
        <v>12.98526</v>
      </c>
      <c r="I1077" s="181" t="inlineStr"/>
    </row>
    <row r="1078" ht="15" customHeight="1" s="28">
      <c r="A1078" s="182" t="n">
        <v>1068</v>
      </c>
      <c r="B1078" s="182" t="n">
        <v>1067</v>
      </c>
      <c r="C1078" s="182" t="n">
        <v>4599.12</v>
      </c>
      <c r="D1078" s="182" t="n">
        <v>4531.8366</v>
      </c>
      <c r="E1078" s="182" t="n">
        <v>67.2834</v>
      </c>
      <c r="F1078" s="182" t="n">
        <v>4527.0613</v>
      </c>
      <c r="G1078" s="182" t="n">
        <v>7.00713</v>
      </c>
      <c r="H1078" s="182" t="n">
        <v>13.408706</v>
      </c>
      <c r="I1078" s="182" t="inlineStr"/>
    </row>
    <row r="1079" ht="15" customHeight="1" s="28">
      <c r="A1079" s="181" t="n">
        <v>1069</v>
      </c>
      <c r="B1079" s="181" t="n">
        <v>1068</v>
      </c>
      <c r="C1079" s="181" t="n">
        <v>4597.44</v>
      </c>
      <c r="D1079" s="181" t="n">
        <v>4531.569</v>
      </c>
      <c r="E1079" s="181" t="n">
        <v>65.871</v>
      </c>
      <c r="F1079" s="181" t="n">
        <v>4338.9939</v>
      </c>
      <c r="G1079" s="181" t="n">
        <v>6.575051</v>
      </c>
      <c r="H1079" s="181" t="n">
        <v>12.317773</v>
      </c>
      <c r="I1079" s="181" t="inlineStr"/>
    </row>
    <row r="1080" ht="15" customHeight="1" s="28">
      <c r="A1080" s="182" t="n">
        <v>1070</v>
      </c>
      <c r="B1080" s="182" t="n">
        <v>1069</v>
      </c>
      <c r="C1080" s="182" t="n">
        <v>4594.08</v>
      </c>
      <c r="D1080" s="182" t="n">
        <v>4531.3014</v>
      </c>
      <c r="E1080" s="182" t="n">
        <v>62.7786</v>
      </c>
      <c r="F1080" s="182" t="n">
        <v>3941.1576</v>
      </c>
      <c r="G1080" s="182" t="n">
        <v>5.691822</v>
      </c>
      <c r="H1080" s="182" t="n">
        <v>10.162527</v>
      </c>
      <c r="I1080" s="182" t="inlineStr"/>
    </row>
    <row r="1081" ht="15" customHeight="1" s="28">
      <c r="A1081" s="181" t="n">
        <v>1071</v>
      </c>
      <c r="B1081" s="181" t="n">
        <v>1070</v>
      </c>
      <c r="C1081" s="181" t="n">
        <v>4585.46</v>
      </c>
      <c r="D1081" s="181" t="n">
        <v>4531.0337</v>
      </c>
      <c r="E1081" s="181" t="n">
        <v>54.4263</v>
      </c>
      <c r="F1081" s="181" t="n">
        <v>2962.2167</v>
      </c>
      <c r="G1081" s="181" t="n">
        <v>3.708863</v>
      </c>
      <c r="H1081" s="181" t="n">
        <v>5.741003</v>
      </c>
      <c r="I1081" s="181" t="inlineStr"/>
    </row>
    <row r="1082" ht="15" customHeight="1" s="28">
      <c r="A1082" s="182" t="n">
        <v>1072</v>
      </c>
      <c r="B1082" s="182" t="n">
        <v>1071</v>
      </c>
      <c r="C1082" s="182" t="n">
        <v>4588.54</v>
      </c>
      <c r="D1082" s="182" t="n">
        <v>4530.7662</v>
      </c>
      <c r="E1082" s="182" t="n">
        <v>57.7738</v>
      </c>
      <c r="F1082" s="182" t="n">
        <v>3337.8177</v>
      </c>
      <c r="G1082" s="182" t="n">
        <v>4.436184</v>
      </c>
      <c r="H1082" s="182" t="n">
        <v>7.289191</v>
      </c>
      <c r="I1082" s="182" t="inlineStr"/>
    </row>
    <row r="1083" ht="15" customHeight="1" s="28">
      <c r="A1083" s="181" t="n">
        <v>1073</v>
      </c>
      <c r="B1083" s="181" t="n">
        <v>1072</v>
      </c>
      <c r="C1083" s="181" t="n">
        <v>4592.16</v>
      </c>
      <c r="D1083" s="181" t="n">
        <v>4530.4985</v>
      </c>
      <c r="E1083" s="181" t="n">
        <v>61.6615</v>
      </c>
      <c r="F1083" s="181" t="n">
        <v>3802.1356</v>
      </c>
      <c r="G1083" s="181" t="n">
        <v>5.39333</v>
      </c>
      <c r="H1083" s="181" t="n">
        <v>9.458218</v>
      </c>
      <c r="I1083" s="181" t="inlineStr"/>
    </row>
    <row r="1084" ht="15" customHeight="1" s="28">
      <c r="A1084" s="182" t="n">
        <v>1074</v>
      </c>
      <c r="B1084" s="182" t="n">
        <v>1073</v>
      </c>
      <c r="C1084" s="182" t="n">
        <v>4585.82</v>
      </c>
      <c r="D1084" s="182" t="n">
        <v>4530.2309</v>
      </c>
      <c r="E1084" s="182" t="n">
        <v>55.5891</v>
      </c>
      <c r="F1084" s="182" t="n">
        <v>3090.1436</v>
      </c>
      <c r="G1084" s="182" t="n">
        <v>3.951696</v>
      </c>
      <c r="H1084" s="182" t="n">
        <v>6.247574</v>
      </c>
      <c r="I1084" s="182" t="inlineStr"/>
    </row>
    <row r="1085" ht="15" customHeight="1" s="28">
      <c r="A1085" s="181" t="n">
        <v>1075</v>
      </c>
      <c r="B1085" s="181" t="n">
        <v>1074</v>
      </c>
      <c r="C1085" s="181" t="n">
        <v>4587.99</v>
      </c>
      <c r="D1085" s="181" t="n">
        <v>4529.9633</v>
      </c>
      <c r="E1085" s="181" t="n">
        <v>58.0267</v>
      </c>
      <c r="F1085" s="181" t="n">
        <v>3367.0933</v>
      </c>
      <c r="G1085" s="181" t="n">
        <v>4.494675</v>
      </c>
      <c r="H1085" s="181" t="n">
        <v>7.417617</v>
      </c>
      <c r="I1085" s="181" t="inlineStr"/>
    </row>
    <row r="1086" ht="15" customHeight="1" s="28">
      <c r="A1086" s="182" t="n">
        <v>1076</v>
      </c>
      <c r="B1086" s="182" t="n">
        <v>1075</v>
      </c>
      <c r="C1086" s="182" t="n">
        <v>4579.06</v>
      </c>
      <c r="D1086" s="182" t="n">
        <v>4529.6957</v>
      </c>
      <c r="E1086" s="182" t="n">
        <v>49.3643</v>
      </c>
      <c r="F1086" s="182" t="n">
        <v>2436.8312</v>
      </c>
      <c r="G1086" s="182" t="n">
        <v>2.767284</v>
      </c>
      <c r="H1086" s="182" t="n">
        <v>3.885125</v>
      </c>
      <c r="I1086" s="182" t="inlineStr"/>
    </row>
    <row r="1087" ht="15" customHeight="1" s="28">
      <c r="A1087" s="181" t="n">
        <v>1077</v>
      </c>
      <c r="B1087" s="181" t="n">
        <v>1076</v>
      </c>
      <c r="C1087" s="181" t="n">
        <v>4580.25</v>
      </c>
      <c r="D1087" s="181" t="n">
        <v>4529.4281</v>
      </c>
      <c r="E1087" s="181" t="n">
        <v>50.8219</v>
      </c>
      <c r="F1087" s="181" t="n">
        <v>2582.8625</v>
      </c>
      <c r="G1087" s="181" t="n">
        <v>3.019726</v>
      </c>
      <c r="H1087" s="181" t="n">
        <v>4.364723</v>
      </c>
      <c r="I1087" s="181" t="inlineStr"/>
    </row>
    <row r="1088" ht="15" customHeight="1" s="28">
      <c r="A1088" s="182" t="n">
        <v>1078</v>
      </c>
      <c r="B1088" s="182" t="n">
        <v>1077</v>
      </c>
      <c r="C1088" s="182" t="n">
        <v>4575.07</v>
      </c>
      <c r="D1088" s="182" t="n">
        <v>4529.1605</v>
      </c>
      <c r="E1088" s="182" t="n">
        <v>45.9095</v>
      </c>
      <c r="F1088" s="182" t="n">
        <v>2107.6804</v>
      </c>
      <c r="G1088" s="182" t="n">
        <v>2.225987</v>
      </c>
      <c r="H1088" s="182" t="n">
        <v>2.906455</v>
      </c>
      <c r="I1088" s="182" t="inlineStr"/>
    </row>
    <row r="1089" ht="15" customHeight="1" s="28">
      <c r="A1089" s="181" t="n">
        <v>1079</v>
      </c>
      <c r="B1089" s="181" t="n">
        <v>1078</v>
      </c>
      <c r="C1089" s="181" t="n">
        <v>4578.09</v>
      </c>
      <c r="D1089" s="181" t="n">
        <v>4528.8929</v>
      </c>
      <c r="E1089" s="181" t="n">
        <v>49.1971</v>
      </c>
      <c r="F1089" s="181" t="n">
        <v>2420.3527</v>
      </c>
      <c r="G1089" s="181" t="n">
        <v>2.739262</v>
      </c>
      <c r="H1089" s="181" t="n">
        <v>3.832758</v>
      </c>
      <c r="I1089" s="181" t="inlineStr"/>
    </row>
    <row r="1090" ht="15" customHeight="1" s="28">
      <c r="A1090" s="182" t="n">
        <v>1080</v>
      </c>
      <c r="B1090" s="182" t="n">
        <v>1079</v>
      </c>
      <c r="C1090" s="182" t="n">
        <v>4577.11</v>
      </c>
      <c r="D1090" s="182" t="n">
        <v>4528.6253</v>
      </c>
      <c r="E1090" s="182" t="n">
        <v>48.4847</v>
      </c>
      <c r="F1090" s="182" t="n">
        <v>2350.7652</v>
      </c>
      <c r="G1090" s="182" t="n">
        <v>2.62198</v>
      </c>
      <c r="H1090" s="182" t="n">
        <v>3.615535</v>
      </c>
      <c r="I1090" s="182" t="inlineStr"/>
    </row>
    <row r="1091" ht="15" customHeight="1" s="28">
      <c r="A1091" s="181" t="n">
        <v>1081</v>
      </c>
      <c r="B1091" s="181" t="n">
        <v>1080</v>
      </c>
      <c r="C1091" s="181" t="n">
        <v>4584.21</v>
      </c>
      <c r="D1091" s="181" t="n">
        <v>4528.3577</v>
      </c>
      <c r="E1091" s="181" t="n">
        <v>55.8523</v>
      </c>
      <c r="F1091" s="181" t="n">
        <v>3119.4783</v>
      </c>
      <c r="G1091" s="181" t="n">
        <v>4.0081</v>
      </c>
      <c r="H1091" s="181" t="n">
        <v>6.366754</v>
      </c>
      <c r="I1091" s="181" t="inlineStr"/>
    </row>
    <row r="1092" ht="15" customHeight="1" s="28">
      <c r="A1092" s="182" t="n">
        <v>1082</v>
      </c>
      <c r="B1092" s="182" t="n">
        <v>1081</v>
      </c>
      <c r="C1092" s="182" t="n">
        <v>4581.15</v>
      </c>
      <c r="D1092" s="182" t="n">
        <v>4528.0901</v>
      </c>
      <c r="E1092" s="182" t="n">
        <v>53.0599</v>
      </c>
      <c r="F1092" s="182" t="n">
        <v>2815.3519</v>
      </c>
      <c r="G1092" s="182" t="n">
        <v>3.436486</v>
      </c>
      <c r="H1092" s="182" t="n">
        <v>5.185845</v>
      </c>
      <c r="I1092" s="182" t="inlineStr"/>
    </row>
    <row r="1093" ht="15" customHeight="1" s="28">
      <c r="A1093" s="181" t="n">
        <v>1083</v>
      </c>
      <c r="B1093" s="181" t="n">
        <v>1082</v>
      </c>
      <c r="C1093" s="181" t="n">
        <v>4581.26</v>
      </c>
      <c r="D1093" s="181" t="n">
        <v>4527.8225</v>
      </c>
      <c r="E1093" s="181" t="n">
        <v>53.4375</v>
      </c>
      <c r="F1093" s="181" t="n">
        <v>2855.5664</v>
      </c>
      <c r="G1093" s="181" t="n">
        <v>3.510379</v>
      </c>
      <c r="H1093" s="181" t="n">
        <v>5.335052</v>
      </c>
      <c r="I1093" s="181" t="inlineStr"/>
    </row>
    <row r="1094" ht="15" customHeight="1" s="28">
      <c r="A1094" s="182" t="n">
        <v>1084</v>
      </c>
      <c r="B1094" s="182" t="n">
        <v>1083</v>
      </c>
      <c r="C1094" s="182" t="n">
        <v>4575.47</v>
      </c>
      <c r="D1094" s="182" t="n">
        <v>4527.5549</v>
      </c>
      <c r="E1094" s="182" t="n">
        <v>47.9151</v>
      </c>
      <c r="F1094" s="182" t="n">
        <v>2295.8568</v>
      </c>
      <c r="G1094" s="182" t="n">
        <v>2.530654</v>
      </c>
      <c r="H1094" s="182" t="n">
        <v>3.448607</v>
      </c>
      <c r="I1094" s="182" t="inlineStr"/>
    </row>
    <row r="1095" ht="15" customHeight="1" s="28">
      <c r="A1095" s="181" t="n">
        <v>1085</v>
      </c>
      <c r="B1095" s="181" t="n">
        <v>1084</v>
      </c>
      <c r="C1095" s="181" t="n">
        <v>4541.79</v>
      </c>
      <c r="D1095" s="181" t="n">
        <v>4527.2873</v>
      </c>
      <c r="E1095" s="181" t="n">
        <v>14.5027</v>
      </c>
      <c r="F1095" s="181" t="n">
        <v>210.3286</v>
      </c>
      <c r="G1095" s="181" t="n">
        <v>0.070172</v>
      </c>
      <c r="H1095" s="181" t="n">
        <v>0.028943</v>
      </c>
      <c r="I1095" s="181" t="inlineStr"/>
    </row>
    <row r="1096" ht="15" customHeight="1" s="28">
      <c r="A1096" s="182" t="n">
        <v>1086</v>
      </c>
      <c r="B1096" s="182" t="n">
        <v>1085</v>
      </c>
      <c r="C1096" s="182" t="n">
        <v>4545</v>
      </c>
      <c r="D1096" s="182" t="n">
        <v>4527.0197</v>
      </c>
      <c r="E1096" s="182" t="n">
        <v>17.9803</v>
      </c>
      <c r="F1096" s="182" t="n">
        <v>323.2915</v>
      </c>
      <c r="G1096" s="182" t="n">
        <v>0.133723</v>
      </c>
      <c r="H1096" s="182" t="n">
        <v>0.068382</v>
      </c>
      <c r="I1096" s="182" t="inlineStr"/>
    </row>
    <row r="1097" ht="15" customHeight="1" s="28">
      <c r="A1097" s="181" t="n">
        <v>1087</v>
      </c>
      <c r="B1097" s="181" t="n">
        <v>1086</v>
      </c>
      <c r="C1097" s="181" t="n">
        <v>4558.64</v>
      </c>
      <c r="D1097" s="181" t="n">
        <v>4526.7521</v>
      </c>
      <c r="E1097" s="181" t="n">
        <v>31.8879</v>
      </c>
      <c r="F1097" s="181" t="n">
        <v>1016.8388</v>
      </c>
      <c r="G1097" s="181" t="n">
        <v>0.745923</v>
      </c>
      <c r="H1097" s="181" t="n">
        <v>0.676485</v>
      </c>
      <c r="I1097" s="181" t="inlineStr"/>
    </row>
    <row r="1098" ht="15" customHeight="1" s="28">
      <c r="A1098" s="182" t="n">
        <v>1088</v>
      </c>
      <c r="B1098" s="182" t="n">
        <v>1087</v>
      </c>
      <c r="C1098" s="182" t="n">
        <v>4562.67</v>
      </c>
      <c r="D1098" s="182" t="n">
        <v>4526.4845</v>
      </c>
      <c r="E1098" s="182" t="n">
        <v>36.1855</v>
      </c>
      <c r="F1098" s="182" t="n">
        <v>1309.3919</v>
      </c>
      <c r="G1098" s="182" t="n">
        <v>1.089984</v>
      </c>
      <c r="H1098" s="182" t="n">
        <v>1.121743</v>
      </c>
      <c r="I1098" s="182" t="inlineStr"/>
    </row>
    <row r="1099" ht="15" customHeight="1" s="28">
      <c r="A1099" s="181" t="n">
        <v>1089</v>
      </c>
      <c r="B1099" s="181" t="n">
        <v>1088</v>
      </c>
      <c r="C1099" s="181" t="n">
        <v>4565.34</v>
      </c>
      <c r="D1099" s="181" t="n">
        <v>4526.2169</v>
      </c>
      <c r="E1099" s="181" t="n">
        <v>39.1231</v>
      </c>
      <c r="F1099" s="181" t="n">
        <v>1530.6185</v>
      </c>
      <c r="G1099" s="181" t="n">
        <v>1.377577</v>
      </c>
      <c r="H1099" s="181" t="n">
        <v>1.532809</v>
      </c>
      <c r="I1099" s="181" t="inlineStr"/>
    </row>
    <row r="1100" ht="15" customHeight="1" s="28">
      <c r="A1100" s="182" t="n">
        <v>1090</v>
      </c>
      <c r="B1100" s="182" t="n">
        <v>1089</v>
      </c>
      <c r="C1100" s="182" t="n">
        <v>4562.26</v>
      </c>
      <c r="D1100" s="182" t="n">
        <v>4525.9493</v>
      </c>
      <c r="E1100" s="182" t="n">
        <v>36.3107</v>
      </c>
      <c r="F1100" s="182" t="n">
        <v>1318.4691</v>
      </c>
      <c r="G1100" s="182" t="n">
        <v>1.101338</v>
      </c>
      <c r="H1100" s="182" t="n">
        <v>1.13735</v>
      </c>
      <c r="I1100" s="182" t="inlineStr"/>
    </row>
    <row r="1101" ht="15" customHeight="1" s="28">
      <c r="A1101" s="181" t="n">
        <v>1091</v>
      </c>
      <c r="B1101" s="181" t="n">
        <v>1090</v>
      </c>
      <c r="C1101" s="181" t="n">
        <v>4553.65</v>
      </c>
      <c r="D1101" s="181" t="n">
        <v>4525.6817</v>
      </c>
      <c r="E1101" s="181" t="n">
        <v>27.9683</v>
      </c>
      <c r="F1101" s="181" t="n">
        <v>782.2275</v>
      </c>
      <c r="G1101" s="181" t="n">
        <v>0.503286</v>
      </c>
      <c r="H1101" s="181" t="n">
        <v>0.400332</v>
      </c>
      <c r="I1101" s="181" t="inlineStr"/>
    </row>
    <row r="1102" ht="15" customHeight="1" s="28">
      <c r="A1102" s="182" t="n">
        <v>1092</v>
      </c>
      <c r="B1102" s="182" t="n">
        <v>1091</v>
      </c>
      <c r="C1102" s="182" t="n">
        <v>4559.94</v>
      </c>
      <c r="D1102" s="182" t="n">
        <v>4525.4141</v>
      </c>
      <c r="E1102" s="182" t="n">
        <v>34.5259</v>
      </c>
      <c r="F1102" s="182" t="n">
        <v>1192.0398</v>
      </c>
      <c r="G1102" s="182" t="n">
        <v>0.946786</v>
      </c>
      <c r="H1102" s="182" t="n">
        <v>0.929685</v>
      </c>
      <c r="I1102" s="182" t="inlineStr"/>
    </row>
    <row r="1103" ht="15" customHeight="1" s="28">
      <c r="A1103" s="181" t="n">
        <v>1093</v>
      </c>
      <c r="B1103" s="181" t="n">
        <v>1092</v>
      </c>
      <c r="C1103" s="181" t="n">
        <v>4563.67</v>
      </c>
      <c r="D1103" s="181" t="n">
        <v>4525.1465</v>
      </c>
      <c r="E1103" s="181" t="n">
        <v>38.5235</v>
      </c>
      <c r="F1103" s="181" t="n">
        <v>1484.0631</v>
      </c>
      <c r="G1103" s="181" t="n">
        <v>1.315207</v>
      </c>
      <c r="H1103" s="181" t="n">
        <v>1.440983</v>
      </c>
      <c r="I1103" s="181" t="inlineStr"/>
    </row>
    <row r="1104" ht="15" customHeight="1" s="28">
      <c r="A1104" s="182" t="n">
        <v>1094</v>
      </c>
      <c r="B1104" s="182" t="n">
        <v>1093</v>
      </c>
      <c r="C1104" s="182" t="n">
        <v>4568.68</v>
      </c>
      <c r="D1104" s="182" t="n">
        <v>4524.8789</v>
      </c>
      <c r="E1104" s="182" t="n">
        <v>43.8011</v>
      </c>
      <c r="F1104" s="182" t="n">
        <v>1918.5399</v>
      </c>
      <c r="G1104" s="182" t="n">
        <v>1.933178</v>
      </c>
      <c r="H1104" s="182" t="n">
        <v>2.408218</v>
      </c>
      <c r="I1104" s="182" t="inlineStr"/>
    </row>
    <row r="1105" ht="15" customHeight="1" s="28">
      <c r="A1105" s="181" t="n">
        <v>1095</v>
      </c>
      <c r="B1105" s="181" t="n">
        <v>1094</v>
      </c>
      <c r="C1105" s="181" t="n">
        <v>4570.1</v>
      </c>
      <c r="D1105" s="181" t="n">
        <v>4524.6112</v>
      </c>
      <c r="E1105" s="181" t="n">
        <v>45.4888</v>
      </c>
      <c r="F1105" s="181" t="n">
        <v>2069.2264</v>
      </c>
      <c r="G1105" s="181" t="n">
        <v>2.165347</v>
      </c>
      <c r="H1105" s="181" t="n">
        <v>2.801368</v>
      </c>
      <c r="I1105" s="181" t="inlineStr"/>
    </row>
    <row r="1106" ht="15" customHeight="1" s="28">
      <c r="A1106" s="182" t="n">
        <v>1096</v>
      </c>
      <c r="B1106" s="182" t="n">
        <v>1095</v>
      </c>
      <c r="C1106" s="182" t="n">
        <v>4568.79</v>
      </c>
      <c r="D1106" s="182" t="n">
        <v>4524.3436</v>
      </c>
      <c r="E1106" s="182" t="n">
        <v>44.4464</v>
      </c>
      <c r="F1106" s="182" t="n">
        <v>1975.478</v>
      </c>
      <c r="G1106" s="182" t="n">
        <v>2.019872</v>
      </c>
      <c r="H1106" s="182" t="n">
        <v>2.55328</v>
      </c>
      <c r="I1106" s="182" t="inlineStr"/>
    </row>
    <row r="1107" ht="15" customHeight="1" s="28">
      <c r="A1107" s="181" t="n">
        <v>1097</v>
      </c>
      <c r="B1107" s="181" t="n">
        <v>1096</v>
      </c>
      <c r="C1107" s="181" t="n">
        <v>4565.98</v>
      </c>
      <c r="D1107" s="181" t="n">
        <v>4524.076</v>
      </c>
      <c r="E1107" s="181" t="n">
        <v>41.9039</v>
      </c>
      <c r="F1107" s="181" t="n">
        <v>1755.941</v>
      </c>
      <c r="G1107" s="181" t="n">
        <v>1.692702</v>
      </c>
      <c r="H1107" s="181" t="n">
        <v>2.017316</v>
      </c>
      <c r="I1107" s="181" t="inlineStr"/>
    </row>
    <row r="1108" ht="15" customHeight="1" s="28">
      <c r="A1108" s="182" t="n">
        <v>1098</v>
      </c>
      <c r="B1108" s="182" t="n">
        <v>1097</v>
      </c>
      <c r="C1108" s="182" t="n">
        <v>4561.09</v>
      </c>
      <c r="D1108" s="182" t="n">
        <v>4523.8084</v>
      </c>
      <c r="E1108" s="182" t="n">
        <v>37.2816</v>
      </c>
      <c r="F1108" s="182" t="n">
        <v>1389.9147</v>
      </c>
      <c r="G1108" s="182" t="n">
        <v>1.192059</v>
      </c>
      <c r="H1108" s="182" t="n">
        <v>1.263952</v>
      </c>
      <c r="I1108" s="182" t="inlineStr"/>
    </row>
    <row r="1109" ht="15" customHeight="1" s="28">
      <c r="A1109" s="181" t="n">
        <v>1099</v>
      </c>
      <c r="B1109" s="181" t="n">
        <v>1098</v>
      </c>
      <c r="C1109" s="181" t="n">
        <v>4565.51</v>
      </c>
      <c r="D1109" s="181" t="n">
        <v>4523.5408</v>
      </c>
      <c r="E1109" s="181" t="n">
        <v>41.9692</v>
      </c>
      <c r="F1109" s="181" t="n">
        <v>1761.4104</v>
      </c>
      <c r="G1109" s="181" t="n">
        <v>1.700617</v>
      </c>
      <c r="H1109" s="181" t="n">
        <v>2.029903</v>
      </c>
      <c r="I1109" s="181" t="inlineStr"/>
    </row>
    <row r="1110" ht="15" customHeight="1" s="28">
      <c r="A1110" s="182" t="n">
        <v>1100</v>
      </c>
      <c r="B1110" s="182" t="n">
        <v>1099</v>
      </c>
      <c r="C1110" s="182" t="n">
        <v>4563.85</v>
      </c>
      <c r="D1110" s="182" t="n">
        <v>4523.2732</v>
      </c>
      <c r="E1110" s="182" t="n">
        <v>40.5768</v>
      </c>
      <c r="F1110" s="182" t="n">
        <v>1646.4743</v>
      </c>
      <c r="G1110" s="182" t="n">
        <v>1.536908</v>
      </c>
      <c r="H1110" s="182" t="n">
        <v>1.773634</v>
      </c>
      <c r="I1110" s="182" t="inlineStr"/>
    </row>
    <row r="1111" ht="15" customHeight="1" s="28">
      <c r="A1111" s="181" t="n">
        <v>1101</v>
      </c>
      <c r="B1111" s="181" t="n">
        <v>1100</v>
      </c>
      <c r="C1111" s="181" t="n">
        <v>4560.18</v>
      </c>
      <c r="D1111" s="181" t="n">
        <v>4523.0056</v>
      </c>
      <c r="E1111" s="181" t="n">
        <v>37.1744</v>
      </c>
      <c r="F1111" s="181" t="n">
        <v>1381.9338</v>
      </c>
      <c r="G1111" s="181" t="n">
        <v>1.181807</v>
      </c>
      <c r="H1111" s="181" t="n">
        <v>1.249478</v>
      </c>
      <c r="I1111" s="181" t="inlineStr"/>
    </row>
    <row r="1112" ht="15" customHeight="1" s="28">
      <c r="A1112" s="182" t="n">
        <v>1102</v>
      </c>
      <c r="B1112" s="182" t="n">
        <v>1101</v>
      </c>
      <c r="C1112" s="182" t="n">
        <v>4571.2</v>
      </c>
      <c r="D1112" s="182" t="n">
        <v>4522.738</v>
      </c>
      <c r="E1112" s="182" t="n">
        <v>48.462</v>
      </c>
      <c r="F1112" s="182" t="n">
        <v>2348.5625</v>
      </c>
      <c r="G1112" s="182" t="n">
        <v>2.618296</v>
      </c>
      <c r="H1112" s="182" t="n">
        <v>3.608763</v>
      </c>
      <c r="I1112" s="182" t="inlineStr"/>
    </row>
    <row r="1113" ht="15" customHeight="1" s="28">
      <c r="A1113" s="181" t="n">
        <v>1103</v>
      </c>
      <c r="B1113" s="181" t="n">
        <v>1102</v>
      </c>
      <c r="C1113" s="181" t="n">
        <v>4574.38</v>
      </c>
      <c r="D1113" s="181" t="n">
        <v>4522.4704</v>
      </c>
      <c r="E1113" s="181" t="n">
        <v>51.9096</v>
      </c>
      <c r="F1113" s="181" t="n">
        <v>2694.6045</v>
      </c>
      <c r="G1113" s="181" t="n">
        <v>3.217793</v>
      </c>
      <c r="H1113" s="181" t="n">
        <v>4.750553</v>
      </c>
      <c r="I1113" s="181" t="inlineStr"/>
    </row>
    <row r="1114" ht="15" customHeight="1" s="28">
      <c r="A1114" s="182" t="n">
        <v>1104</v>
      </c>
      <c r="B1114" s="182" t="n">
        <v>1103</v>
      </c>
      <c r="C1114" s="182" t="n">
        <v>4561.26</v>
      </c>
      <c r="D1114" s="182" t="n">
        <v>4522.2028</v>
      </c>
      <c r="E1114" s="182" t="n">
        <v>39.0572</v>
      </c>
      <c r="F1114" s="182" t="n">
        <v>1525.4633</v>
      </c>
      <c r="G1114" s="182" t="n">
        <v>1.370624</v>
      </c>
      <c r="H1114" s="182" t="n">
        <v>1.522501</v>
      </c>
      <c r="I1114" s="182" t="inlineStr"/>
    </row>
    <row r="1115" ht="15" customHeight="1" s="28">
      <c r="A1115" s="181" t="n">
        <v>1105</v>
      </c>
      <c r="B1115" s="181" t="n">
        <v>1104</v>
      </c>
      <c r="C1115" s="181" t="n">
        <v>4548.46</v>
      </c>
      <c r="D1115" s="181" t="n">
        <v>4521.9352</v>
      </c>
      <c r="E1115" s="181" t="n">
        <v>26.5248</v>
      </c>
      <c r="F1115" s="181" t="n">
        <v>703.5645</v>
      </c>
      <c r="G1115" s="181" t="n">
        <v>0.42931</v>
      </c>
      <c r="H1115" s="181" t="n">
        <v>0.323863</v>
      </c>
      <c r="I1115" s="181" t="inlineStr"/>
    </row>
    <row r="1116" ht="15" customHeight="1" s="28">
      <c r="A1116" s="182" t="n">
        <v>1106</v>
      </c>
      <c r="B1116" s="182" t="n">
        <v>1105</v>
      </c>
      <c r="C1116" s="182" t="n">
        <v>4537.95</v>
      </c>
      <c r="D1116" s="182" t="n">
        <v>4521.6676</v>
      </c>
      <c r="E1116" s="182" t="n">
        <v>16.2824</v>
      </c>
      <c r="F1116" s="182" t="n">
        <v>265.1162</v>
      </c>
      <c r="G1116" s="182" t="n">
        <v>0.099305</v>
      </c>
      <c r="H1116" s="182" t="n">
        <v>0.045986</v>
      </c>
      <c r="I1116" s="182" t="inlineStr"/>
    </row>
    <row r="1117" ht="15" customHeight="1" s="28">
      <c r="A1117" s="181" t="n">
        <v>1107</v>
      </c>
      <c r="B1117" s="181" t="n">
        <v>1106</v>
      </c>
      <c r="C1117" s="181" t="n">
        <v>4535.1</v>
      </c>
      <c r="D1117" s="181" t="n">
        <v>4521.4</v>
      </c>
      <c r="E1117" s="181" t="n">
        <v>13.7</v>
      </c>
      <c r="F1117" s="181" t="n">
        <v>187.69</v>
      </c>
      <c r="G1117" s="181" t="n">
        <v>0.059153</v>
      </c>
      <c r="H1117" s="181" t="n">
        <v>0.023048</v>
      </c>
      <c r="I1117" s="181" t="inlineStr"/>
    </row>
    <row r="1118" ht="15" customHeight="1" s="28">
      <c r="A1118" s="182" t="n">
        <v>1108</v>
      </c>
      <c r="B1118" s="182" t="n">
        <v>1107</v>
      </c>
      <c r="C1118" s="182" t="n">
        <v>4521.33</v>
      </c>
      <c r="D1118" s="182" t="n">
        <v>4521.1324</v>
      </c>
      <c r="E1118" s="182" t="n">
        <v>0.1976</v>
      </c>
      <c r="F1118" s="182" t="n">
        <v>0.039</v>
      </c>
      <c r="G1118" s="182" t="n">
        <v>0</v>
      </c>
      <c r="H1118" s="182" t="n">
        <v>0</v>
      </c>
      <c r="I1118" s="182" t="inlineStr"/>
    </row>
    <row r="1119" ht="15" customHeight="1" s="28">
      <c r="A1119" s="181" t="n">
        <v>1109</v>
      </c>
      <c r="B1119" s="181" t="n">
        <v>1108</v>
      </c>
      <c r="C1119" s="181" t="n">
        <v>4509.88</v>
      </c>
      <c r="D1119" s="181" t="n">
        <v>4520.8648</v>
      </c>
      <c r="E1119" s="181" t="n">
        <v>-10.9848</v>
      </c>
      <c r="F1119" s="181" t="n">
        <v>120.6658</v>
      </c>
      <c r="G1119" s="181" t="n">
        <v>-0.030492</v>
      </c>
      <c r="H1119" s="181" t="n">
        <v>0.009526</v>
      </c>
      <c r="I1119" s="181" t="inlineStr"/>
    </row>
    <row r="1120" ht="15" customHeight="1" s="28">
      <c r="A1120" s="182" t="n">
        <v>1110</v>
      </c>
      <c r="B1120" s="182" t="n">
        <v>1109</v>
      </c>
      <c r="C1120" s="182" t="n">
        <v>4515.03</v>
      </c>
      <c r="D1120" s="182" t="n">
        <v>4520.5972</v>
      </c>
      <c r="E1120" s="182" t="n">
        <v>-5.5672</v>
      </c>
      <c r="F1120" s="182" t="n">
        <v>30.9936</v>
      </c>
      <c r="G1120" s="182" t="n">
        <v>-0.003969</v>
      </c>
      <c r="H1120" s="182" t="n">
        <v>0.000628</v>
      </c>
      <c r="I1120" s="182" t="inlineStr"/>
    </row>
    <row r="1121" ht="15" customHeight="1" s="28">
      <c r="A1121" s="181" t="n">
        <v>1111</v>
      </c>
      <c r="B1121" s="181" t="n">
        <v>1110</v>
      </c>
      <c r="C1121" s="181" t="n">
        <v>4512.59</v>
      </c>
      <c r="D1121" s="181" t="n">
        <v>4520.3296</v>
      </c>
      <c r="E1121" s="181" t="n">
        <v>-7.7396</v>
      </c>
      <c r="F1121" s="181" t="n">
        <v>59.9013</v>
      </c>
      <c r="G1121" s="181" t="n">
        <v>-0.010665</v>
      </c>
      <c r="H1121" s="181" t="n">
        <v>0.002348</v>
      </c>
      <c r="I1121" s="181" t="inlineStr"/>
    </row>
    <row r="1122" ht="15" customHeight="1" s="28">
      <c r="A1122" s="182" t="n">
        <v>1112</v>
      </c>
      <c r="B1122" s="182" t="n">
        <v>1111</v>
      </c>
      <c r="C1122" s="182" t="n">
        <v>4510.69</v>
      </c>
      <c r="D1122" s="182" t="n">
        <v>4520.062</v>
      </c>
      <c r="E1122" s="182" t="n">
        <v>-9.372</v>
      </c>
      <c r="F1122" s="182" t="n">
        <v>87.834</v>
      </c>
      <c r="G1122" s="182" t="n">
        <v>-0.018937</v>
      </c>
      <c r="H1122" s="182" t="n">
        <v>0.005048</v>
      </c>
      <c r="I1122" s="182" t="inlineStr"/>
    </row>
    <row r="1123" ht="15" customHeight="1" s="28">
      <c r="A1123" s="181" t="n">
        <v>1113</v>
      </c>
      <c r="B1123" s="181" t="n">
        <v>1112</v>
      </c>
      <c r="C1123" s="181" t="n">
        <v>4522.39</v>
      </c>
      <c r="D1123" s="181" t="n">
        <v>4519.7944</v>
      </c>
      <c r="E1123" s="181" t="n">
        <v>2.5956</v>
      </c>
      <c r="F1123" s="181" t="n">
        <v>6.7372</v>
      </c>
      <c r="G1123" s="181" t="n">
        <v>0.000402</v>
      </c>
      <c r="H1123" s="181" t="n">
        <v>3e-05</v>
      </c>
      <c r="I1123" s="181" t="inlineStr"/>
    </row>
    <row r="1124" ht="15" customHeight="1" s="28">
      <c r="A1124" s="182" t="n">
        <v>1114</v>
      </c>
      <c r="B1124" s="182" t="n">
        <v>1113</v>
      </c>
      <c r="C1124" s="182" t="n">
        <v>4524.38</v>
      </c>
      <c r="D1124" s="182" t="n">
        <v>4519.5268</v>
      </c>
      <c r="E1124" s="182" t="n">
        <v>4.8532</v>
      </c>
      <c r="F1124" s="182" t="n">
        <v>23.5537</v>
      </c>
      <c r="G1124" s="182" t="n">
        <v>0.00263</v>
      </c>
      <c r="H1124" s="182" t="n">
        <v>0.000363</v>
      </c>
      <c r="I1124" s="182" t="inlineStr"/>
    </row>
    <row r="1125" ht="15" customHeight="1" s="28">
      <c r="A1125" s="181" t="n">
        <v>1115</v>
      </c>
      <c r="B1125" s="181" t="n">
        <v>1114</v>
      </c>
      <c r="C1125" s="181" t="n">
        <v>4526.1</v>
      </c>
      <c r="D1125" s="181" t="n">
        <v>4519.2592</v>
      </c>
      <c r="E1125" s="181" t="n">
        <v>6.8408</v>
      </c>
      <c r="F1125" s="181" t="n">
        <v>46.797</v>
      </c>
      <c r="G1125" s="181" t="n">
        <v>0.007364</v>
      </c>
      <c r="H1125" s="181" t="n">
        <v>0.001433</v>
      </c>
      <c r="I1125" s="181" t="inlineStr"/>
    </row>
    <row r="1126" ht="15" customHeight="1" s="28">
      <c r="A1126" s="182" t="n">
        <v>1116</v>
      </c>
      <c r="B1126" s="182" t="n">
        <v>1115</v>
      </c>
      <c r="C1126" s="182" t="n">
        <v>4522.35</v>
      </c>
      <c r="D1126" s="182" t="n">
        <v>4518.9916</v>
      </c>
      <c r="E1126" s="182" t="n">
        <v>3.3584</v>
      </c>
      <c r="F1126" s="182" t="n">
        <v>11.2791</v>
      </c>
      <c r="G1126" s="182" t="n">
        <v>0.000871</v>
      </c>
      <c r="H1126" s="182" t="n">
        <v>8.3e-05</v>
      </c>
      <c r="I1126" s="182" t="inlineStr"/>
    </row>
    <row r="1127" ht="15" customHeight="1" s="28">
      <c r="A1127" s="181" t="n">
        <v>1117</v>
      </c>
      <c r="B1127" s="181" t="n">
        <v>1116</v>
      </c>
      <c r="C1127" s="181" t="n">
        <v>4520.01</v>
      </c>
      <c r="D1127" s="181" t="n">
        <v>4518.724</v>
      </c>
      <c r="E1127" s="181" t="n">
        <v>1.286</v>
      </c>
      <c r="F1127" s="181" t="n">
        <v>1.6539</v>
      </c>
      <c r="G1127" s="181" t="n">
        <v>4.9e-05</v>
      </c>
      <c r="H1127" s="181" t="n">
        <v>2e-06</v>
      </c>
      <c r="I1127" s="181" t="inlineStr"/>
    </row>
    <row r="1128" ht="15" customHeight="1" s="28">
      <c r="A1128" s="182" t="n">
        <v>1118</v>
      </c>
      <c r="B1128" s="182" t="n">
        <v>1117</v>
      </c>
      <c r="C1128" s="182" t="n">
        <v>4511.95</v>
      </c>
      <c r="D1128" s="182" t="n">
        <v>4518.4564</v>
      </c>
      <c r="E1128" s="182" t="n">
        <v>-6.5064</v>
      </c>
      <c r="F1128" s="182" t="n">
        <v>42.3327</v>
      </c>
      <c r="G1128" s="182" t="n">
        <v>-0.006336</v>
      </c>
      <c r="H1128" s="182" t="n">
        <v>0.001172</v>
      </c>
      <c r="I1128" s="182" t="inlineStr"/>
    </row>
    <row r="1129" ht="15" customHeight="1" s="28">
      <c r="A1129" s="181" t="n">
        <v>1119</v>
      </c>
      <c r="B1129" s="181" t="n">
        <v>1118</v>
      </c>
      <c r="C1129" s="181" t="n">
        <v>4511.86</v>
      </c>
      <c r="D1129" s="181" t="n">
        <v>4518.1888</v>
      </c>
      <c r="E1129" s="181" t="n">
        <v>-6.3288</v>
      </c>
      <c r="F1129" s="181" t="n">
        <v>40.0532</v>
      </c>
      <c r="G1129" s="181" t="n">
        <v>-0.005831</v>
      </c>
      <c r="H1129" s="181" t="n">
        <v>0.00105</v>
      </c>
      <c r="I1129" s="181" t="inlineStr"/>
    </row>
    <row r="1130" ht="15" customHeight="1" s="28">
      <c r="A1130" s="182" t="n">
        <v>1120</v>
      </c>
      <c r="B1130" s="182" t="n">
        <v>1119</v>
      </c>
      <c r="C1130" s="182" t="n">
        <v>4516.4</v>
      </c>
      <c r="D1130" s="182" t="n">
        <v>4517.9212</v>
      </c>
      <c r="E1130" s="182" t="n">
        <v>-1.5212</v>
      </c>
      <c r="F1130" s="182" t="n">
        <v>2.3139</v>
      </c>
      <c r="G1130" s="182" t="n">
        <v>-8.1e-05</v>
      </c>
      <c r="H1130" s="182" t="n">
        <v>4e-06</v>
      </c>
      <c r="I1130" s="182" t="inlineStr"/>
    </row>
    <row r="1131" ht="15" customHeight="1" s="28">
      <c r="A1131" s="181" t="n">
        <v>1121</v>
      </c>
      <c r="B1131" s="181" t="n">
        <v>1120</v>
      </c>
      <c r="C1131" s="181" t="n">
        <v>4519.05</v>
      </c>
      <c r="D1131" s="181" t="n">
        <v>4517.6535</v>
      </c>
      <c r="E1131" s="181" t="n">
        <v>1.3965</v>
      </c>
      <c r="F1131" s="181" t="n">
        <v>1.9501</v>
      </c>
      <c r="G1131" s="181" t="n">
        <v>6.3e-05</v>
      </c>
      <c r="H1131" s="181" t="n">
        <v>2e-06</v>
      </c>
      <c r="I1131" s="181" t="inlineStr"/>
    </row>
    <row r="1132" ht="15" customHeight="1" s="28">
      <c r="A1132" s="182" t="n">
        <v>1122</v>
      </c>
      <c r="B1132" s="182" t="n">
        <v>1121</v>
      </c>
      <c r="C1132" s="182" t="n">
        <v>4522.42</v>
      </c>
      <c r="D1132" s="182" t="n">
        <v>4517.3859</v>
      </c>
      <c r="E1132" s="182" t="n">
        <v>5.0341</v>
      </c>
      <c r="F1132" s="182" t="n">
        <v>25.3418</v>
      </c>
      <c r="G1132" s="182" t="n">
        <v>0.002935</v>
      </c>
      <c r="H1132" s="182" t="n">
        <v>0.00042</v>
      </c>
      <c r="I1132" s="182" t="inlineStr"/>
    </row>
    <row r="1133" ht="15" customHeight="1" s="28">
      <c r="A1133" s="181" t="n">
        <v>1123</v>
      </c>
      <c r="B1133" s="181" t="n">
        <v>1122</v>
      </c>
      <c r="C1133" s="181" t="n">
        <v>4521.16</v>
      </c>
      <c r="D1133" s="181" t="n">
        <v>4517.1183</v>
      </c>
      <c r="E1133" s="181" t="n">
        <v>4.0417</v>
      </c>
      <c r="F1133" s="181" t="n">
        <v>16.335</v>
      </c>
      <c r="G1133" s="181" t="n">
        <v>0.001519</v>
      </c>
      <c r="H1133" s="181" t="n">
        <v>0.000175</v>
      </c>
      <c r="I1133" s="181" t="inlineStr"/>
    </row>
    <row r="1134" ht="15" customHeight="1" s="28">
      <c r="A1134" s="182" t="n">
        <v>1124</v>
      </c>
      <c r="B1134" s="182" t="n">
        <v>1123</v>
      </c>
      <c r="C1134" s="182" t="n">
        <v>4517.46</v>
      </c>
      <c r="D1134" s="182" t="n">
        <v>4516.8507</v>
      </c>
      <c r="E1134" s="182" t="n">
        <v>0.6093</v>
      </c>
      <c r="F1134" s="182" t="n">
        <v>0.3712</v>
      </c>
      <c r="G1134" s="182" t="n">
        <v>5e-06</v>
      </c>
      <c r="H1134" s="182" t="n">
        <v>0</v>
      </c>
      <c r="I1134" s="182" t="inlineStr"/>
    </row>
    <row r="1135" ht="15" customHeight="1" s="28">
      <c r="A1135" s="181" t="n">
        <v>1125</v>
      </c>
      <c r="B1135" s="181" t="n">
        <v>1124</v>
      </c>
      <c r="C1135" s="181" t="n">
        <v>4514.74</v>
      </c>
      <c r="D1135" s="181" t="n">
        <v>4516.5831</v>
      </c>
      <c r="E1135" s="181" t="n">
        <v>-1.8431</v>
      </c>
      <c r="F1135" s="181" t="n">
        <v>3.3971</v>
      </c>
      <c r="G1135" s="181" t="n">
        <v>-0.000144</v>
      </c>
      <c r="H1135" s="181" t="n">
        <v>8e-06</v>
      </c>
      <c r="I1135" s="181" t="inlineStr"/>
    </row>
    <row r="1136" ht="15" customHeight="1" s="28">
      <c r="A1136" s="182" t="n">
        <v>1126</v>
      </c>
      <c r="B1136" s="182" t="n">
        <v>1125</v>
      </c>
      <c r="C1136" s="182" t="n">
        <v>4515.21</v>
      </c>
      <c r="D1136" s="182" t="n">
        <v>4516.3155</v>
      </c>
      <c r="E1136" s="182" t="n">
        <v>-1.1055</v>
      </c>
      <c r="F1136" s="182" t="n">
        <v>1.2222</v>
      </c>
      <c r="G1136" s="182" t="n">
        <v>-3.1e-05</v>
      </c>
      <c r="H1136" s="182" t="n">
        <v>1e-06</v>
      </c>
      <c r="I1136" s="182" t="inlineStr"/>
    </row>
    <row r="1137" ht="15" customHeight="1" s="28">
      <c r="A1137" s="181" t="n">
        <v>1127</v>
      </c>
      <c r="B1137" s="181" t="n">
        <v>1126</v>
      </c>
      <c r="C1137" s="181" t="n">
        <v>4518.75</v>
      </c>
      <c r="D1137" s="181" t="n">
        <v>4516.0479</v>
      </c>
      <c r="E1137" s="181" t="n">
        <v>2.7021</v>
      </c>
      <c r="F1137" s="181" t="n">
        <v>7.3012</v>
      </c>
      <c r="G1137" s="181" t="n">
        <v>0.000454</v>
      </c>
      <c r="H1137" s="181" t="n">
        <v>3.5e-05</v>
      </c>
      <c r="I1137" s="181" t="inlineStr"/>
    </row>
    <row r="1138" ht="15" customHeight="1" s="28">
      <c r="A1138" s="182" t="n">
        <v>1128</v>
      </c>
      <c r="B1138" s="182" t="n">
        <v>1127</v>
      </c>
      <c r="C1138" s="182" t="n">
        <v>4523.84</v>
      </c>
      <c r="D1138" s="182" t="n">
        <v>4515.7803</v>
      </c>
      <c r="E1138" s="182" t="n">
        <v>8.059699999999999</v>
      </c>
      <c r="F1138" s="182" t="n">
        <v>64.9584</v>
      </c>
      <c r="G1138" s="182" t="n">
        <v>0.012044</v>
      </c>
      <c r="H1138" s="182" t="n">
        <v>0.002761</v>
      </c>
      <c r="I1138" s="182" t="inlineStr"/>
    </row>
    <row r="1139" ht="15" customHeight="1" s="28">
      <c r="A1139" s="181" t="n">
        <v>1129</v>
      </c>
      <c r="B1139" s="181" t="n">
        <v>1128</v>
      </c>
      <c r="C1139" s="181" t="n">
        <v>4521.1</v>
      </c>
      <c r="D1139" s="181" t="n">
        <v>4515.5127</v>
      </c>
      <c r="E1139" s="181" t="n">
        <v>5.5873</v>
      </c>
      <c r="F1139" s="181" t="n">
        <v>31.2178</v>
      </c>
      <c r="G1139" s="181" t="n">
        <v>0.004013</v>
      </c>
      <c r="H1139" s="181" t="n">
        <v>0.000638</v>
      </c>
      <c r="I1139" s="181" t="inlineStr"/>
    </row>
    <row r="1140" ht="15" customHeight="1" s="28">
      <c r="A1140" s="182" t="n">
        <v>1130</v>
      </c>
      <c r="B1140" s="182" t="n">
        <v>1129</v>
      </c>
      <c r="C1140" s="182" t="n">
        <v>4519.66</v>
      </c>
      <c r="D1140" s="182" t="n">
        <v>4515.2451</v>
      </c>
      <c r="E1140" s="182" t="n">
        <v>4.4149</v>
      </c>
      <c r="F1140" s="182" t="n">
        <v>19.4913</v>
      </c>
      <c r="G1140" s="182" t="n">
        <v>0.00198</v>
      </c>
      <c r="H1140" s="182" t="n">
        <v>0.000249</v>
      </c>
      <c r="I1140" s="182" t="inlineStr"/>
    </row>
    <row r="1141" ht="15" customHeight="1" s="28">
      <c r="A1141" s="181" t="n">
        <v>1131</v>
      </c>
      <c r="B1141" s="181" t="n">
        <v>1130</v>
      </c>
      <c r="C1141" s="181" t="n">
        <v>4519.02</v>
      </c>
      <c r="D1141" s="181" t="n">
        <v>4514.9775</v>
      </c>
      <c r="E1141" s="181" t="n">
        <v>4.0425</v>
      </c>
      <c r="F1141" s="181" t="n">
        <v>16.3417</v>
      </c>
      <c r="G1141" s="181" t="n">
        <v>0.00152</v>
      </c>
      <c r="H1141" s="181" t="n">
        <v>0.000175</v>
      </c>
      <c r="I1141" s="181" t="inlineStr"/>
    </row>
    <row r="1142" ht="15" customHeight="1" s="28">
      <c r="A1142" s="182" t="n">
        <v>1132</v>
      </c>
      <c r="B1142" s="182" t="n">
        <v>1131</v>
      </c>
      <c r="C1142" s="182" t="n">
        <v>4517.52</v>
      </c>
      <c r="D1142" s="182" t="n">
        <v>4514.7099</v>
      </c>
      <c r="E1142" s="182" t="n">
        <v>2.8101</v>
      </c>
      <c r="F1142" s="182" t="n">
        <v>7.8967</v>
      </c>
      <c r="G1142" s="182" t="n">
        <v>0.00051</v>
      </c>
      <c r="H1142" s="182" t="n">
        <v>4.1e-05</v>
      </c>
      <c r="I1142" s="182" t="inlineStr"/>
    </row>
    <row r="1143" ht="15" customHeight="1" s="28">
      <c r="A1143" s="181" t="n">
        <v>1133</v>
      </c>
      <c r="B1143" s="181" t="n">
        <v>1132</v>
      </c>
      <c r="C1143" s="181" t="n">
        <v>4520.44</v>
      </c>
      <c r="D1143" s="181" t="n">
        <v>4514.4423</v>
      </c>
      <c r="E1143" s="181" t="n">
        <v>5.9977</v>
      </c>
      <c r="F1143" s="181" t="n">
        <v>35.9724</v>
      </c>
      <c r="G1143" s="181" t="n">
        <v>0.004963</v>
      </c>
      <c r="H1143" s="181" t="n">
        <v>0.000847</v>
      </c>
      <c r="I1143" s="181" t="inlineStr"/>
    </row>
    <row r="1144" ht="15" customHeight="1" s="28">
      <c r="A1144" s="182" t="n">
        <v>1134</v>
      </c>
      <c r="B1144" s="182" t="n">
        <v>1133</v>
      </c>
      <c r="C1144" s="182" t="n">
        <v>4521.13</v>
      </c>
      <c r="D1144" s="182" t="n">
        <v>4514.1747</v>
      </c>
      <c r="E1144" s="182" t="n">
        <v>6.9553</v>
      </c>
      <c r="F1144" s="182" t="n">
        <v>48.3763</v>
      </c>
      <c r="G1144" s="182" t="n">
        <v>0.00774</v>
      </c>
      <c r="H1144" s="182" t="n">
        <v>0.001531</v>
      </c>
      <c r="I1144" s="182" t="inlineStr"/>
    </row>
    <row r="1145" ht="15" customHeight="1" s="28">
      <c r="A1145" s="181" t="n">
        <v>1135</v>
      </c>
      <c r="B1145" s="181" t="n">
        <v>1134</v>
      </c>
      <c r="C1145" s="181" t="n">
        <v>4518.52</v>
      </c>
      <c r="D1145" s="181" t="n">
        <v>4513.9071</v>
      </c>
      <c r="E1145" s="181" t="n">
        <v>4.6129</v>
      </c>
      <c r="F1145" s="181" t="n">
        <v>21.2789</v>
      </c>
      <c r="G1145" s="181" t="n">
        <v>0.002258</v>
      </c>
      <c r="H1145" s="181" t="n">
        <v>0.000296</v>
      </c>
      <c r="I1145" s="181" t="inlineStr"/>
    </row>
    <row r="1147" ht="18" customHeight="1" s="28">
      <c r="A1147" s="172" t="inlineStr">
        <is>
          <t>STEP 2 — Jarque-Bera Result (close − Base_FL)</t>
        </is>
      </c>
    </row>
    <row r="1148" ht="16" customHeight="1" s="28">
      <c r="A1148" s="186" t="inlineStr">
        <is>
          <t>n</t>
        </is>
      </c>
      <c r="E1148" s="187" t="inlineStr">
        <is>
          <t>1135</t>
        </is>
      </c>
    </row>
    <row r="1149" ht="16" customHeight="1" s="28">
      <c r="A1149" s="186" t="inlineStr">
        <is>
          <t>Skewness S</t>
        </is>
      </c>
      <c r="E1149" s="187" t="inlineStr">
        <is>
          <t>-0.219846</t>
        </is>
      </c>
    </row>
    <row r="1150" ht="16" customHeight="1" s="28">
      <c r="A1150" s="186" t="inlineStr">
        <is>
          <t>Excess Kurtosis K-3</t>
        </is>
      </c>
      <c r="E1150" s="187" t="inlineStr">
        <is>
          <t>-0.670091</t>
        </is>
      </c>
    </row>
    <row r="1151" ht="16" customHeight="1" s="28">
      <c r="A1151" s="186" t="inlineStr">
        <is>
          <t>JB statistic</t>
        </is>
      </c>
      <c r="E1151" s="187" t="inlineStr">
        <is>
          <t>30.3779</t>
        </is>
      </c>
    </row>
    <row r="1152" ht="16" customHeight="1" s="28">
      <c r="A1152" s="186" t="inlineStr">
        <is>
          <t>p-value</t>
        </is>
      </c>
      <c r="E1152" s="187" t="inlineStr">
        <is>
          <t>2.532388e-07</t>
        </is>
      </c>
    </row>
    <row r="1153" ht="16" customHeight="1" s="28">
      <c r="A1153" s="186" t="inlineStr">
        <is>
          <t>Critical χ²(2, 0.05)</t>
        </is>
      </c>
      <c r="E1153" s="187" t="inlineStr">
        <is>
          <t>5.991</t>
        </is>
      </c>
    </row>
    <row r="1154" ht="22" customHeight="1" s="28">
      <c r="A1154" s="189" t="inlineStr">
        <is>
          <t>DECISION:  JB = 30.3779, p = 2.5324e-07 &lt; 0.05  ⟹  REJECT H₀  →  Base_FL residuals are NOT normally distributed</t>
        </is>
      </c>
    </row>
  </sheetData>
  <mergeCells count="21">
    <mergeCell ref="A1147:I1147"/>
    <mergeCell ref="B7:I7"/>
    <mergeCell ref="E1152:I1152"/>
    <mergeCell ref="A1153:D1153"/>
    <mergeCell ref="A2:I2"/>
    <mergeCell ref="A1149:D1149"/>
    <mergeCell ref="E1153:I1153"/>
    <mergeCell ref="A1154:I1154"/>
    <mergeCell ref="A1148:D1148"/>
    <mergeCell ref="E1150:I1150"/>
    <mergeCell ref="A4:I4"/>
    <mergeCell ref="E1149:I1149"/>
    <mergeCell ref="A1151:D1151"/>
    <mergeCell ref="A1150:D1150"/>
    <mergeCell ref="E1148:I1148"/>
    <mergeCell ref="A9:I9"/>
    <mergeCell ref="E1151:I1151"/>
    <mergeCell ref="B6:I6"/>
    <mergeCell ref="A1:I1"/>
    <mergeCell ref="B5:I5"/>
    <mergeCell ref="A1152:D115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6" customWidth="1" style="28" min="7" max="7"/>
    <col width="6" customWidth="1" style="28" min="8" max="8"/>
  </cols>
  <sheetData>
    <row r="1" ht="26" customHeight="1" s="28">
      <c r="A1" s="190" t="inlineStr">
        <is>
          <t>BREUSCH-PAGAN TEST  |  MODEL A2  |  n=107  |  Residual = ssa − Base_FL</t>
        </is>
      </c>
    </row>
    <row r="2" ht="20" customHeight="1" s="28">
      <c r="A2" s="183" t="inlineStr">
        <is>
          <t>H₀: variance of (ssa − Base_FL) is constant  |  Dataset: V3894</t>
        </is>
      </c>
    </row>
    <row r="4" ht="18" customHeight="1" s="28">
      <c r="A4" s="172" t="inlineStr">
        <is>
          <t>Context</t>
        </is>
      </c>
    </row>
    <row r="5" ht="16" customHeight="1" s="28">
      <c r="A5" s="184" t="inlineStr">
        <is>
          <t>RESIDUAL:</t>
        </is>
      </c>
      <c r="B5" s="185" t="inlineStr">
        <is>
          <t>eᵢ = ssaᵢ − Base_FLᵢ  (Base_FL IS the fitted line — no OLS needed)</t>
        </is>
      </c>
    </row>
    <row r="6" ht="16" customHeight="1" s="28">
      <c r="A6" s="184" t="inlineStr">
        <is>
          <t>MODEL A2:</t>
        </is>
      </c>
      <c r="B6" s="185" t="inlineStr">
        <is>
          <t>SSA at crossing events, n=107</t>
        </is>
      </c>
    </row>
    <row r="7" ht="16" customHeight="1" s="28">
      <c r="A7" s="184" t="inlineStr">
        <is>
          <t>α:</t>
        </is>
      </c>
      <c r="B7" s="185" t="inlineStr">
        <is>
          <t>0.05</t>
        </is>
      </c>
    </row>
    <row r="9" ht="18" customHeight="1" s="28">
      <c r="A9" s="172" t="inlineStr">
        <is>
          <t>STEP 1 — Residuals eᵢ = ssaᵢ − Base_FLᵢ  and  eᵢ²  (crossing bars only)</t>
        </is>
      </c>
    </row>
    <row r="10" ht="28" customHeight="1" s="28">
      <c r="A10" s="62" t="inlineStr">
        <is>
          <t>i</t>
        </is>
      </c>
      <c r="B10" s="62" t="inlineStr">
        <is>
          <t>Bar Index (X)</t>
        </is>
      </c>
      <c r="C10" s="62" t="inlineStr">
        <is>
          <t>SSA</t>
        </is>
      </c>
      <c r="D10" s="62" t="inlineStr">
        <is>
          <t>Base_FL (MQL5)</t>
        </is>
      </c>
      <c r="E10" s="62" t="inlineStr">
        <is>
          <t>eᵢ</t>
        </is>
      </c>
      <c r="F10" s="62" t="inlineStr">
        <is>
          <t>eᵢ² (dep.var.)</t>
        </is>
      </c>
      <c r="G10" s="62" t="inlineStr"/>
      <c r="H10" s="62" t="inlineStr"/>
    </row>
    <row r="11" ht="15" customHeight="1" s="28">
      <c r="A11" s="181" t="n">
        <v>1</v>
      </c>
      <c r="B11" s="181" t="n">
        <v>0</v>
      </c>
      <c r="C11" s="181" t="n">
        <v>4798.9749</v>
      </c>
      <c r="D11" s="181" t="n">
        <v>4817.3701</v>
      </c>
      <c r="E11" s="181" t="n">
        <v>-18.3952</v>
      </c>
      <c r="F11" s="181" t="n">
        <v>338.3841</v>
      </c>
      <c r="G11" s="181" t="inlineStr"/>
      <c r="H11" s="181" t="inlineStr"/>
    </row>
    <row r="12" ht="15" customHeight="1" s="28">
      <c r="A12" s="182" t="n">
        <v>2</v>
      </c>
      <c r="B12" s="182" t="n">
        <v>4</v>
      </c>
      <c r="C12" s="182" t="n">
        <v>4801.7586</v>
      </c>
      <c r="D12" s="182" t="n">
        <v>4816.2997</v>
      </c>
      <c r="E12" s="182" t="n">
        <v>-14.5411</v>
      </c>
      <c r="F12" s="182" t="n">
        <v>211.4448</v>
      </c>
      <c r="G12" s="182" t="inlineStr"/>
      <c r="H12" s="182" t="inlineStr"/>
    </row>
    <row r="13" ht="15" customHeight="1" s="28">
      <c r="A13" s="181" t="n">
        <v>3</v>
      </c>
      <c r="B13" s="181" t="n">
        <v>13</v>
      </c>
      <c r="C13" s="181" t="n">
        <v>4788.1799</v>
      </c>
      <c r="D13" s="181" t="n">
        <v>4813.8913</v>
      </c>
      <c r="E13" s="181" t="n">
        <v>-25.7114</v>
      </c>
      <c r="F13" s="181" t="n">
        <v>661.0761</v>
      </c>
      <c r="G13" s="181" t="inlineStr"/>
      <c r="H13" s="181" t="inlineStr"/>
    </row>
    <row r="14" ht="15" customHeight="1" s="28">
      <c r="A14" s="182" t="n">
        <v>4</v>
      </c>
      <c r="B14" s="182" t="n">
        <v>20</v>
      </c>
      <c r="C14" s="182" t="n">
        <v>4791.7372</v>
      </c>
      <c r="D14" s="182" t="n">
        <v>4812.018</v>
      </c>
      <c r="E14" s="182" t="n">
        <v>-20.2809</v>
      </c>
      <c r="F14" s="182" t="n">
        <v>411.3137</v>
      </c>
      <c r="G14" s="182" t="inlineStr"/>
      <c r="H14" s="182" t="inlineStr"/>
    </row>
    <row r="15" ht="15" customHeight="1" s="28">
      <c r="A15" s="181" t="n">
        <v>5</v>
      </c>
      <c r="B15" s="181" t="n">
        <v>24</v>
      </c>
      <c r="C15" s="181" t="n">
        <v>4791.9693</v>
      </c>
      <c r="D15" s="181" t="n">
        <v>4810.9476</v>
      </c>
      <c r="E15" s="181" t="n">
        <v>-18.9783</v>
      </c>
      <c r="F15" s="181" t="n">
        <v>360.1766</v>
      </c>
      <c r="G15" s="181" t="inlineStr"/>
      <c r="H15" s="181" t="inlineStr"/>
    </row>
    <row r="16" ht="15" customHeight="1" s="28">
      <c r="A16" s="182" t="n">
        <v>6</v>
      </c>
      <c r="B16" s="182" t="n">
        <v>31</v>
      </c>
      <c r="C16" s="182" t="n">
        <v>4794.635</v>
      </c>
      <c r="D16" s="182" t="n">
        <v>4809.0744</v>
      </c>
      <c r="E16" s="182" t="n">
        <v>-14.4394</v>
      </c>
      <c r="F16" s="182" t="n">
        <v>208.4963</v>
      </c>
      <c r="G16" s="182" t="inlineStr"/>
      <c r="H16" s="182" t="inlineStr"/>
    </row>
    <row r="17" ht="15" customHeight="1" s="28">
      <c r="A17" s="181" t="n">
        <v>7</v>
      </c>
      <c r="B17" s="181" t="n">
        <v>39</v>
      </c>
      <c r="C17" s="181" t="n">
        <v>4784.2445</v>
      </c>
      <c r="D17" s="181" t="n">
        <v>4806.9336</v>
      </c>
      <c r="E17" s="181" t="n">
        <v>-22.689</v>
      </c>
      <c r="F17" s="181" t="n">
        <v>514.7925</v>
      </c>
      <c r="G17" s="181" t="inlineStr"/>
      <c r="H17" s="181" t="inlineStr"/>
    </row>
    <row r="18" ht="15" customHeight="1" s="28">
      <c r="A18" s="182" t="n">
        <v>8</v>
      </c>
      <c r="B18" s="182" t="n">
        <v>53</v>
      </c>
      <c r="C18" s="182" t="n">
        <v>4799.4912</v>
      </c>
      <c r="D18" s="182" t="n">
        <v>4803.1871</v>
      </c>
      <c r="E18" s="182" t="n">
        <v>-3.696</v>
      </c>
      <c r="F18" s="182" t="n">
        <v>13.66</v>
      </c>
      <c r="G18" s="182" t="inlineStr"/>
      <c r="H18" s="182" t="inlineStr"/>
    </row>
    <row r="19" ht="15" customHeight="1" s="28">
      <c r="A19" s="181" t="n">
        <v>9</v>
      </c>
      <c r="B19" s="181" t="n">
        <v>62</v>
      </c>
      <c r="C19" s="181" t="n">
        <v>4785.2155</v>
      </c>
      <c r="D19" s="181" t="n">
        <v>4800.7787</v>
      </c>
      <c r="E19" s="181" t="n">
        <v>-15.5631</v>
      </c>
      <c r="F19" s="181" t="n">
        <v>242.211</v>
      </c>
      <c r="G19" s="181" t="inlineStr"/>
      <c r="H19" s="181" t="inlineStr"/>
    </row>
    <row r="20" ht="15" customHeight="1" s="28">
      <c r="A20" s="182" t="n">
        <v>10</v>
      </c>
      <c r="B20" s="182" t="n">
        <v>71</v>
      </c>
      <c r="C20" s="182" t="n">
        <v>4792.9258</v>
      </c>
      <c r="D20" s="182" t="n">
        <v>4798.3702</v>
      </c>
      <c r="E20" s="182" t="n">
        <v>-5.4444</v>
      </c>
      <c r="F20" s="182" t="n">
        <v>29.6418</v>
      </c>
      <c r="G20" s="182" t="inlineStr"/>
      <c r="H20" s="182" t="inlineStr"/>
    </row>
    <row r="21" ht="15" customHeight="1" s="28">
      <c r="A21" s="181" t="n">
        <v>11</v>
      </c>
      <c r="B21" s="181" t="n">
        <v>77</v>
      </c>
      <c r="C21" s="181" t="n">
        <v>4789.136</v>
      </c>
      <c r="D21" s="181" t="n">
        <v>4796.7646</v>
      </c>
      <c r="E21" s="181" t="n">
        <v>-7.6286</v>
      </c>
      <c r="F21" s="181" t="n">
        <v>58.196</v>
      </c>
      <c r="G21" s="181" t="inlineStr"/>
      <c r="H21" s="181" t="inlineStr"/>
    </row>
    <row r="22" ht="15" customHeight="1" s="28">
      <c r="A22" s="182" t="n">
        <v>12</v>
      </c>
      <c r="B22" s="182" t="n">
        <v>90</v>
      </c>
      <c r="C22" s="182" t="n">
        <v>4872.1414</v>
      </c>
      <c r="D22" s="182" t="n">
        <v>4793.2858</v>
      </c>
      <c r="E22" s="182" t="n">
        <v>78.8557</v>
      </c>
      <c r="F22" s="182" t="n">
        <v>6218.2183</v>
      </c>
      <c r="G22" s="182" t="inlineStr"/>
      <c r="H22" s="182" t="inlineStr"/>
    </row>
    <row r="23" ht="15" customHeight="1" s="28">
      <c r="A23" s="181" t="n">
        <v>13</v>
      </c>
      <c r="B23" s="181" t="n">
        <v>96</v>
      </c>
      <c r="C23" s="181" t="n">
        <v>4866.7911</v>
      </c>
      <c r="D23" s="181" t="n">
        <v>4791.6801</v>
      </c>
      <c r="E23" s="181" t="n">
        <v>75.111</v>
      </c>
      <c r="F23" s="181" t="n">
        <v>5641.6563</v>
      </c>
      <c r="G23" s="181" t="inlineStr"/>
      <c r="H23" s="181" t="inlineStr"/>
    </row>
    <row r="24" ht="15" customHeight="1" s="28">
      <c r="A24" s="182" t="n">
        <v>14</v>
      </c>
      <c r="B24" s="182" t="n">
        <v>98</v>
      </c>
      <c r="C24" s="182" t="n">
        <v>4866.6882</v>
      </c>
      <c r="D24" s="182" t="n">
        <v>4791.1449</v>
      </c>
      <c r="E24" s="182" t="n">
        <v>75.5433</v>
      </c>
      <c r="F24" s="182" t="n">
        <v>5706.7887</v>
      </c>
      <c r="G24" s="182" t="inlineStr"/>
      <c r="H24" s="182" t="inlineStr"/>
    </row>
    <row r="25" ht="15" customHeight="1" s="28">
      <c r="A25" s="181" t="n">
        <v>15</v>
      </c>
      <c r="B25" s="181" t="n">
        <v>106</v>
      </c>
      <c r="C25" s="181" t="n">
        <v>4859.3727</v>
      </c>
      <c r="D25" s="181" t="n">
        <v>4789.0041</v>
      </c>
      <c r="E25" s="181" t="n">
        <v>70.3686</v>
      </c>
      <c r="F25" s="181" t="n">
        <v>4951.7441</v>
      </c>
      <c r="G25" s="181" t="inlineStr"/>
      <c r="H25" s="181" t="inlineStr"/>
    </row>
    <row r="26" ht="15" customHeight="1" s="28">
      <c r="A26" s="182" t="n">
        <v>16</v>
      </c>
      <c r="B26" s="182" t="n">
        <v>109</v>
      </c>
      <c r="C26" s="182" t="n">
        <v>4859.671</v>
      </c>
      <c r="D26" s="182" t="n">
        <v>4788.2013</v>
      </c>
      <c r="E26" s="182" t="n">
        <v>71.46980000000001</v>
      </c>
      <c r="F26" s="182" t="n">
        <v>5107.9266</v>
      </c>
      <c r="G26" s="182" t="inlineStr"/>
      <c r="H26" s="182" t="inlineStr"/>
    </row>
    <row r="27" ht="15" customHeight="1" s="28">
      <c r="A27" s="181" t="n">
        <v>17</v>
      </c>
      <c r="B27" s="181" t="n">
        <v>125</v>
      </c>
      <c r="C27" s="181" t="n">
        <v>4763.9122</v>
      </c>
      <c r="D27" s="181" t="n">
        <v>4783.9196</v>
      </c>
      <c r="E27" s="181" t="n">
        <v>-20.0074</v>
      </c>
      <c r="F27" s="181" t="n">
        <v>400.2973</v>
      </c>
      <c r="G27" s="181" t="inlineStr"/>
      <c r="H27" s="181" t="inlineStr"/>
    </row>
    <row r="28" ht="15" customHeight="1" s="28">
      <c r="A28" s="182" t="n">
        <v>18</v>
      </c>
      <c r="B28" s="182" t="n">
        <v>134</v>
      </c>
      <c r="C28" s="182" t="n">
        <v>4800.2768</v>
      </c>
      <c r="D28" s="182" t="n">
        <v>4781.5112</v>
      </c>
      <c r="E28" s="182" t="n">
        <v>18.7656</v>
      </c>
      <c r="F28" s="182" t="n">
        <v>352.1474</v>
      </c>
      <c r="G28" s="182" t="inlineStr"/>
      <c r="H28" s="182" t="inlineStr"/>
    </row>
    <row r="29" ht="15" customHeight="1" s="28">
      <c r="A29" s="181" t="n">
        <v>19</v>
      </c>
      <c r="B29" s="181" t="n">
        <v>148</v>
      </c>
      <c r="C29" s="181" t="n">
        <v>4788.4819</v>
      </c>
      <c r="D29" s="181" t="n">
        <v>4777.7647</v>
      </c>
      <c r="E29" s="181" t="n">
        <v>10.7172</v>
      </c>
      <c r="F29" s="181" t="n">
        <v>114.8575</v>
      </c>
      <c r="G29" s="181" t="inlineStr"/>
      <c r="H29" s="181" t="inlineStr"/>
    </row>
    <row r="30" ht="15" customHeight="1" s="28">
      <c r="A30" s="182" t="n">
        <v>20</v>
      </c>
      <c r="B30" s="182" t="n">
        <v>155</v>
      </c>
      <c r="C30" s="182" t="n">
        <v>4794.2746</v>
      </c>
      <c r="D30" s="182" t="n">
        <v>4775.8915</v>
      </c>
      <c r="E30" s="182" t="n">
        <v>18.3831</v>
      </c>
      <c r="F30" s="182" t="n">
        <v>337.9391</v>
      </c>
      <c r="G30" s="182" t="inlineStr"/>
      <c r="H30" s="182" t="inlineStr"/>
    </row>
    <row r="31" ht="15" customHeight="1" s="28">
      <c r="A31" s="181" t="n">
        <v>21</v>
      </c>
      <c r="B31" s="181" t="n">
        <v>160</v>
      </c>
      <c r="C31" s="181" t="n">
        <v>4793.1611</v>
      </c>
      <c r="D31" s="181" t="n">
        <v>4774.5535</v>
      </c>
      <c r="E31" s="181" t="n">
        <v>18.6076</v>
      </c>
      <c r="F31" s="181" t="n">
        <v>346.2443</v>
      </c>
      <c r="G31" s="181" t="inlineStr"/>
      <c r="H31" s="181" t="inlineStr"/>
    </row>
    <row r="32" ht="15" customHeight="1" s="28">
      <c r="A32" s="182" t="n">
        <v>22</v>
      </c>
      <c r="B32" s="182" t="n">
        <v>180</v>
      </c>
      <c r="C32" s="182" t="n">
        <v>4818.5417</v>
      </c>
      <c r="D32" s="182" t="n">
        <v>4769.2014</v>
      </c>
      <c r="E32" s="182" t="n">
        <v>49.3403</v>
      </c>
      <c r="F32" s="182" t="n">
        <v>2434.4682</v>
      </c>
      <c r="G32" s="182" t="inlineStr"/>
      <c r="H32" s="182" t="inlineStr"/>
    </row>
    <row r="33" ht="15" customHeight="1" s="28">
      <c r="A33" s="181" t="n">
        <v>23</v>
      </c>
      <c r="B33" s="181" t="n">
        <v>190</v>
      </c>
      <c r="C33" s="181" t="n">
        <v>4802.2072</v>
      </c>
      <c r="D33" s="181" t="n">
        <v>4766.5253</v>
      </c>
      <c r="E33" s="181" t="n">
        <v>35.6819</v>
      </c>
      <c r="F33" s="181" t="n">
        <v>1273.1966</v>
      </c>
      <c r="G33" s="181" t="inlineStr"/>
      <c r="H33" s="181" t="inlineStr"/>
    </row>
    <row r="34" ht="15" customHeight="1" s="28">
      <c r="A34" s="182" t="n">
        <v>24</v>
      </c>
      <c r="B34" s="182" t="n">
        <v>201</v>
      </c>
      <c r="C34" s="182" t="n">
        <v>4814.364</v>
      </c>
      <c r="D34" s="182" t="n">
        <v>4763.5817</v>
      </c>
      <c r="E34" s="182" t="n">
        <v>50.7823</v>
      </c>
      <c r="F34" s="182" t="n">
        <v>2578.842</v>
      </c>
      <c r="G34" s="182" t="inlineStr"/>
      <c r="H34" s="182" t="inlineStr"/>
    </row>
    <row r="35" ht="15" customHeight="1" s="28">
      <c r="A35" s="181" t="n">
        <v>25</v>
      </c>
      <c r="B35" s="181" t="n">
        <v>203</v>
      </c>
      <c r="C35" s="181" t="n">
        <v>4814.6371</v>
      </c>
      <c r="D35" s="181" t="n">
        <v>4763.0465</v>
      </c>
      <c r="E35" s="181" t="n">
        <v>51.5906</v>
      </c>
      <c r="F35" s="181" t="n">
        <v>2661.5869</v>
      </c>
      <c r="G35" s="181" t="inlineStr"/>
      <c r="H35" s="181" t="inlineStr"/>
    </row>
    <row r="36" ht="15" customHeight="1" s="28">
      <c r="A36" s="182" t="n">
        <v>26</v>
      </c>
      <c r="B36" s="182" t="n">
        <v>213</v>
      </c>
      <c r="C36" s="182" t="n">
        <v>4827.0749</v>
      </c>
      <c r="D36" s="182" t="n">
        <v>4760.3705</v>
      </c>
      <c r="E36" s="182" t="n">
        <v>66.7045</v>
      </c>
      <c r="F36" s="182" t="n">
        <v>4449.4836</v>
      </c>
      <c r="G36" s="182" t="inlineStr"/>
      <c r="H36" s="182" t="inlineStr"/>
    </row>
    <row r="37" ht="15" customHeight="1" s="28">
      <c r="A37" s="181" t="n">
        <v>27</v>
      </c>
      <c r="B37" s="181" t="n">
        <v>245</v>
      </c>
      <c r="C37" s="181" t="n">
        <v>4782.0763</v>
      </c>
      <c r="D37" s="181" t="n">
        <v>4751.8071</v>
      </c>
      <c r="E37" s="181" t="n">
        <v>30.2692</v>
      </c>
      <c r="F37" s="181" t="n">
        <v>916.2239</v>
      </c>
      <c r="G37" s="181" t="inlineStr"/>
      <c r="H37" s="181" t="inlineStr"/>
    </row>
    <row r="38" ht="15" customHeight="1" s="28">
      <c r="A38" s="182" t="n">
        <v>28</v>
      </c>
      <c r="B38" s="182" t="n">
        <v>252</v>
      </c>
      <c r="C38" s="182" t="n">
        <v>4785.1929</v>
      </c>
      <c r="D38" s="182" t="n">
        <v>4749.9339</v>
      </c>
      <c r="E38" s="182" t="n">
        <v>35.259</v>
      </c>
      <c r="F38" s="182" t="n">
        <v>1243.1943</v>
      </c>
      <c r="G38" s="182" t="inlineStr"/>
      <c r="H38" s="182" t="inlineStr"/>
    </row>
    <row r="39" ht="15" customHeight="1" s="28">
      <c r="A39" s="181" t="n">
        <v>29</v>
      </c>
      <c r="B39" s="181" t="n">
        <v>257</v>
      </c>
      <c r="C39" s="181" t="n">
        <v>4784.8373</v>
      </c>
      <c r="D39" s="181" t="n">
        <v>4748.5959</v>
      </c>
      <c r="E39" s="181" t="n">
        <v>36.2414</v>
      </c>
      <c r="F39" s="181" t="n">
        <v>1313.442</v>
      </c>
      <c r="G39" s="181" t="inlineStr"/>
      <c r="H39" s="181" t="inlineStr"/>
    </row>
    <row r="40" ht="15" customHeight="1" s="28">
      <c r="A40" s="182" t="n">
        <v>30</v>
      </c>
      <c r="B40" s="182" t="n">
        <v>263</v>
      </c>
      <c r="C40" s="182" t="n">
        <v>4787.2112</v>
      </c>
      <c r="D40" s="182" t="n">
        <v>4746.9902</v>
      </c>
      <c r="E40" s="182" t="n">
        <v>40.221</v>
      </c>
      <c r="F40" s="182" t="n">
        <v>1617.728</v>
      </c>
      <c r="G40" s="182" t="inlineStr"/>
      <c r="H40" s="182" t="inlineStr"/>
    </row>
    <row r="41" ht="15" customHeight="1" s="28">
      <c r="A41" s="181" t="n">
        <v>31</v>
      </c>
      <c r="B41" s="181" t="n">
        <v>296</v>
      </c>
      <c r="C41" s="181" t="n">
        <v>4697.7102</v>
      </c>
      <c r="D41" s="181" t="n">
        <v>4738.1593</v>
      </c>
      <c r="E41" s="181" t="n">
        <v>-40.4491</v>
      </c>
      <c r="F41" s="181" t="n">
        <v>1636.1289</v>
      </c>
      <c r="G41" s="181" t="inlineStr"/>
      <c r="H41" s="181" t="inlineStr"/>
    </row>
    <row r="42" ht="15" customHeight="1" s="28">
      <c r="A42" s="182" t="n">
        <v>32</v>
      </c>
      <c r="B42" s="182" t="n">
        <v>323</v>
      </c>
      <c r="C42" s="182" t="n">
        <v>4757.8093</v>
      </c>
      <c r="D42" s="182" t="n">
        <v>4730.934</v>
      </c>
      <c r="E42" s="182" t="n">
        <v>26.8753</v>
      </c>
      <c r="F42" s="182" t="n">
        <v>722.2791</v>
      </c>
      <c r="G42" s="182" t="inlineStr"/>
      <c r="H42" s="182" t="inlineStr"/>
    </row>
    <row r="43" ht="15" customHeight="1" s="28">
      <c r="A43" s="181" t="n">
        <v>33</v>
      </c>
      <c r="B43" s="181" t="n">
        <v>327</v>
      </c>
      <c r="C43" s="181" t="n">
        <v>4758.0106</v>
      </c>
      <c r="D43" s="181" t="n">
        <v>4729.8636</v>
      </c>
      <c r="E43" s="181" t="n">
        <v>28.147</v>
      </c>
      <c r="F43" s="181" t="n">
        <v>792.2547</v>
      </c>
      <c r="G43" s="181" t="inlineStr"/>
      <c r="H43" s="181" t="inlineStr"/>
    </row>
    <row r="44" ht="15" customHeight="1" s="28">
      <c r="A44" s="182" t="n">
        <v>34</v>
      </c>
      <c r="B44" s="182" t="n">
        <v>335</v>
      </c>
      <c r="C44" s="182" t="n">
        <v>4766.5311</v>
      </c>
      <c r="D44" s="182" t="n">
        <v>4727.7228</v>
      </c>
      <c r="E44" s="182" t="n">
        <v>38.8084</v>
      </c>
      <c r="F44" s="182" t="n">
        <v>1506.0888</v>
      </c>
      <c r="G44" s="182" t="inlineStr"/>
      <c r="H44" s="182" t="inlineStr"/>
    </row>
    <row r="45" ht="15" customHeight="1" s="28">
      <c r="A45" s="181" t="n">
        <v>35</v>
      </c>
      <c r="B45" s="181" t="n">
        <v>349</v>
      </c>
      <c r="C45" s="181" t="n">
        <v>4756.1254</v>
      </c>
      <c r="D45" s="181" t="n">
        <v>4723.9763</v>
      </c>
      <c r="E45" s="181" t="n">
        <v>32.1491</v>
      </c>
      <c r="F45" s="181" t="n">
        <v>1033.5666</v>
      </c>
      <c r="G45" s="181" t="inlineStr"/>
      <c r="H45" s="181" t="inlineStr"/>
    </row>
    <row r="46" ht="15" customHeight="1" s="28">
      <c r="A46" s="182" t="n">
        <v>36</v>
      </c>
      <c r="B46" s="182" t="n">
        <v>351</v>
      </c>
      <c r="C46" s="182" t="n">
        <v>4756.0877</v>
      </c>
      <c r="D46" s="182" t="n">
        <v>4723.4411</v>
      </c>
      <c r="E46" s="182" t="n">
        <v>32.6467</v>
      </c>
      <c r="F46" s="182" t="n">
        <v>1065.8044</v>
      </c>
      <c r="G46" s="182" t="inlineStr"/>
      <c r="H46" s="182" t="inlineStr"/>
    </row>
    <row r="47" ht="15" customHeight="1" s="28">
      <c r="A47" s="181" t="n">
        <v>37</v>
      </c>
      <c r="B47" s="181" t="n">
        <v>361</v>
      </c>
      <c r="C47" s="181" t="n">
        <v>4748.9847</v>
      </c>
      <c r="D47" s="181" t="n">
        <v>4720.765</v>
      </c>
      <c r="E47" s="181" t="n">
        <v>28.2197</v>
      </c>
      <c r="F47" s="181" t="n">
        <v>796.3486</v>
      </c>
      <c r="G47" s="181" t="inlineStr"/>
      <c r="H47" s="181" t="inlineStr"/>
    </row>
    <row r="48" ht="15" customHeight="1" s="28">
      <c r="A48" s="182" t="n">
        <v>38</v>
      </c>
      <c r="B48" s="182" t="n">
        <v>363</v>
      </c>
      <c r="C48" s="182" t="n">
        <v>4748.0625</v>
      </c>
      <c r="D48" s="182" t="n">
        <v>4720.2298</v>
      </c>
      <c r="E48" s="182" t="n">
        <v>27.8327</v>
      </c>
      <c r="F48" s="182" t="n">
        <v>774.6581</v>
      </c>
      <c r="G48" s="182" t="inlineStr"/>
      <c r="H48" s="182" t="inlineStr"/>
    </row>
    <row r="49" ht="15" customHeight="1" s="28">
      <c r="A49" s="181" t="n">
        <v>39</v>
      </c>
      <c r="B49" s="181" t="n">
        <v>374</v>
      </c>
      <c r="C49" s="181" t="n">
        <v>4729.4164</v>
      </c>
      <c r="D49" s="181" t="n">
        <v>4717.2862</v>
      </c>
      <c r="E49" s="181" t="n">
        <v>12.1302</v>
      </c>
      <c r="F49" s="181" t="n">
        <v>147.1415</v>
      </c>
      <c r="G49" s="181" t="inlineStr"/>
      <c r="H49" s="181" t="inlineStr"/>
    </row>
    <row r="50" ht="15" customHeight="1" s="28">
      <c r="A50" s="182" t="n">
        <v>40</v>
      </c>
      <c r="B50" s="182" t="n">
        <v>390</v>
      </c>
      <c r="C50" s="182" t="n">
        <v>4739.1687</v>
      </c>
      <c r="D50" s="182" t="n">
        <v>4713.0045</v>
      </c>
      <c r="E50" s="182" t="n">
        <v>26.1642</v>
      </c>
      <c r="F50" s="182" t="n">
        <v>684.5643</v>
      </c>
      <c r="G50" s="182" t="inlineStr"/>
      <c r="H50" s="182" t="inlineStr"/>
    </row>
    <row r="51" ht="15" customHeight="1" s="28">
      <c r="A51" s="181" t="n">
        <v>41</v>
      </c>
      <c r="B51" s="181" t="n">
        <v>399</v>
      </c>
      <c r="C51" s="181" t="n">
        <v>4725.8976</v>
      </c>
      <c r="D51" s="181" t="n">
        <v>4710.5961</v>
      </c>
      <c r="E51" s="181" t="n">
        <v>15.3015</v>
      </c>
      <c r="F51" s="181" t="n">
        <v>234.135</v>
      </c>
      <c r="G51" s="181" t="inlineStr"/>
      <c r="H51" s="181" t="inlineStr"/>
    </row>
    <row r="52" ht="15" customHeight="1" s="28">
      <c r="A52" s="182" t="n">
        <v>42</v>
      </c>
      <c r="B52" s="182" t="n">
        <v>405</v>
      </c>
      <c r="C52" s="182" t="n">
        <v>4733.9721</v>
      </c>
      <c r="D52" s="182" t="n">
        <v>4708.9905</v>
      </c>
      <c r="E52" s="182" t="n">
        <v>24.9816</v>
      </c>
      <c r="F52" s="182" t="n">
        <v>624.0823</v>
      </c>
      <c r="G52" s="182" t="inlineStr"/>
      <c r="H52" s="182" t="inlineStr"/>
    </row>
    <row r="53" ht="15" customHeight="1" s="28">
      <c r="A53" s="181" t="n">
        <v>43</v>
      </c>
      <c r="B53" s="181" t="n">
        <v>415</v>
      </c>
      <c r="C53" s="181" t="n">
        <v>4703.263</v>
      </c>
      <c r="D53" s="181" t="n">
        <v>4706.3144</v>
      </c>
      <c r="E53" s="181" t="n">
        <v>-3.0514</v>
      </c>
      <c r="F53" s="181" t="n">
        <v>9.311299999999999</v>
      </c>
      <c r="G53" s="181" t="inlineStr"/>
      <c r="H53" s="181" t="inlineStr"/>
    </row>
    <row r="54" ht="15" customHeight="1" s="28">
      <c r="A54" s="182" t="n">
        <v>44</v>
      </c>
      <c r="B54" s="182" t="n">
        <v>432</v>
      </c>
      <c r="C54" s="182" t="n">
        <v>4713.1717</v>
      </c>
      <c r="D54" s="182" t="n">
        <v>4701.7652</v>
      </c>
      <c r="E54" s="182" t="n">
        <v>11.4066</v>
      </c>
      <c r="F54" s="182" t="n">
        <v>130.1096</v>
      </c>
      <c r="G54" s="182" t="inlineStr"/>
      <c r="H54" s="182" t="inlineStr"/>
    </row>
    <row r="55" ht="15" customHeight="1" s="28">
      <c r="A55" s="181" t="n">
        <v>45</v>
      </c>
      <c r="B55" s="181" t="n">
        <v>443</v>
      </c>
      <c r="C55" s="181" t="n">
        <v>4693.4593</v>
      </c>
      <c r="D55" s="181" t="n">
        <v>4698.8215</v>
      </c>
      <c r="E55" s="181" t="n">
        <v>-5.3623</v>
      </c>
      <c r="F55" s="181" t="n">
        <v>28.7537</v>
      </c>
      <c r="G55" s="181" t="inlineStr"/>
      <c r="H55" s="181" t="inlineStr"/>
    </row>
    <row r="56" ht="15" customHeight="1" s="28">
      <c r="A56" s="182" t="n">
        <v>46</v>
      </c>
      <c r="B56" s="182" t="n">
        <v>453</v>
      </c>
      <c r="C56" s="182" t="n">
        <v>4732.4203</v>
      </c>
      <c r="D56" s="182" t="n">
        <v>4696.1455</v>
      </c>
      <c r="E56" s="182" t="n">
        <v>36.2748</v>
      </c>
      <c r="F56" s="182" t="n">
        <v>1315.8626</v>
      </c>
      <c r="G56" s="182" t="inlineStr"/>
      <c r="H56" s="182" t="inlineStr"/>
    </row>
    <row r="57" ht="15" customHeight="1" s="28">
      <c r="A57" s="181" t="n">
        <v>47</v>
      </c>
      <c r="B57" s="181" t="n">
        <v>458</v>
      </c>
      <c r="C57" s="181" t="n">
        <v>4728.4898</v>
      </c>
      <c r="D57" s="181" t="n">
        <v>4694.8075</v>
      </c>
      <c r="E57" s="181" t="n">
        <v>33.6823</v>
      </c>
      <c r="F57" s="181" t="n">
        <v>1134.4987</v>
      </c>
      <c r="G57" s="181" t="inlineStr"/>
      <c r="H57" s="181" t="inlineStr"/>
    </row>
    <row r="58" ht="15" customHeight="1" s="28">
      <c r="A58" s="182" t="n">
        <v>48</v>
      </c>
      <c r="B58" s="182" t="n">
        <v>463</v>
      </c>
      <c r="C58" s="182" t="n">
        <v>4729.1198</v>
      </c>
      <c r="D58" s="182" t="n">
        <v>4693.4694</v>
      </c>
      <c r="E58" s="182" t="n">
        <v>35.6504</v>
      </c>
      <c r="F58" s="182" t="n">
        <v>1270.9517</v>
      </c>
      <c r="G58" s="182" t="inlineStr"/>
      <c r="H58" s="182" t="inlineStr"/>
    </row>
    <row r="59" ht="15" customHeight="1" s="28">
      <c r="A59" s="181" t="n">
        <v>49</v>
      </c>
      <c r="B59" s="181" t="n">
        <v>485</v>
      </c>
      <c r="C59" s="181" t="n">
        <v>4692.6568</v>
      </c>
      <c r="D59" s="181" t="n">
        <v>4687.5821</v>
      </c>
      <c r="E59" s="181" t="n">
        <v>5.0747</v>
      </c>
      <c r="F59" s="181" t="n">
        <v>25.7523</v>
      </c>
      <c r="G59" s="181" t="inlineStr"/>
      <c r="H59" s="181" t="inlineStr"/>
    </row>
    <row r="60" ht="15" customHeight="1" s="28">
      <c r="A60" s="182" t="n">
        <v>50</v>
      </c>
      <c r="B60" s="182" t="n">
        <v>497</v>
      </c>
      <c r="C60" s="182" t="n">
        <v>4701.3644</v>
      </c>
      <c r="D60" s="182" t="n">
        <v>4684.3709</v>
      </c>
      <c r="E60" s="182" t="n">
        <v>16.9935</v>
      </c>
      <c r="F60" s="182" t="n">
        <v>288.7794</v>
      </c>
      <c r="G60" s="182" t="inlineStr"/>
      <c r="H60" s="182" t="inlineStr"/>
    </row>
    <row r="61" ht="15" customHeight="1" s="28">
      <c r="A61" s="181" t="n">
        <v>51</v>
      </c>
      <c r="B61" s="181" t="n">
        <v>510</v>
      </c>
      <c r="C61" s="181" t="n">
        <v>4671.0085</v>
      </c>
      <c r="D61" s="181" t="n">
        <v>4680.892</v>
      </c>
      <c r="E61" s="181" t="n">
        <v>-9.8835</v>
      </c>
      <c r="F61" s="181" t="n">
        <v>97.684</v>
      </c>
      <c r="G61" s="181" t="inlineStr"/>
      <c r="H61" s="181" t="inlineStr"/>
    </row>
    <row r="62" ht="15" customHeight="1" s="28">
      <c r="A62" s="182" t="n">
        <v>52</v>
      </c>
      <c r="B62" s="182" t="n">
        <v>517</v>
      </c>
      <c r="C62" s="182" t="n">
        <v>4677.5968</v>
      </c>
      <c r="D62" s="182" t="n">
        <v>4679.0188</v>
      </c>
      <c r="E62" s="182" t="n">
        <v>-1.422</v>
      </c>
      <c r="F62" s="182" t="n">
        <v>2.0221</v>
      </c>
      <c r="G62" s="182" t="inlineStr"/>
      <c r="H62" s="182" t="inlineStr"/>
    </row>
    <row r="63" ht="15" customHeight="1" s="28">
      <c r="A63" s="181" t="n">
        <v>53</v>
      </c>
      <c r="B63" s="181" t="n">
        <v>519</v>
      </c>
      <c r="C63" s="181" t="n">
        <v>4677.6687</v>
      </c>
      <c r="D63" s="181" t="n">
        <v>4678.4836</v>
      </c>
      <c r="E63" s="181" t="n">
        <v>-0.8149</v>
      </c>
      <c r="F63" s="181" t="n">
        <v>0.664</v>
      </c>
      <c r="G63" s="181" t="inlineStr"/>
      <c r="H63" s="181" t="inlineStr"/>
    </row>
    <row r="64" ht="15" customHeight="1" s="28">
      <c r="A64" s="182" t="n">
        <v>54</v>
      </c>
      <c r="B64" s="182" t="n">
        <v>528</v>
      </c>
      <c r="C64" s="182" t="n">
        <v>4688.6921</v>
      </c>
      <c r="D64" s="182" t="n">
        <v>4676.0752</v>
      </c>
      <c r="E64" s="182" t="n">
        <v>12.617</v>
      </c>
      <c r="F64" s="182" t="n">
        <v>159.1882</v>
      </c>
      <c r="G64" s="182" t="inlineStr"/>
      <c r="H64" s="182" t="inlineStr"/>
    </row>
    <row r="65" ht="15" customHeight="1" s="28">
      <c r="A65" s="181" t="n">
        <v>55</v>
      </c>
      <c r="B65" s="181" t="n">
        <v>533</v>
      </c>
      <c r="C65" s="181" t="n">
        <v>4682.0741</v>
      </c>
      <c r="D65" s="181" t="n">
        <v>4674.7371</v>
      </c>
      <c r="E65" s="181" t="n">
        <v>7.337</v>
      </c>
      <c r="F65" s="181" t="n">
        <v>53.8311</v>
      </c>
      <c r="G65" s="181" t="inlineStr"/>
      <c r="H65" s="181" t="inlineStr"/>
    </row>
    <row r="66" ht="15" customHeight="1" s="28">
      <c r="A66" s="182" t="n">
        <v>56</v>
      </c>
      <c r="B66" s="182" t="n">
        <v>542</v>
      </c>
      <c r="C66" s="182" t="n">
        <v>4703.9862</v>
      </c>
      <c r="D66" s="182" t="n">
        <v>4672.3287</v>
      </c>
      <c r="E66" s="182" t="n">
        <v>31.6575</v>
      </c>
      <c r="F66" s="182" t="n">
        <v>1002.1979</v>
      </c>
      <c r="G66" s="182" t="inlineStr"/>
      <c r="H66" s="182" t="inlineStr"/>
    </row>
    <row r="67" ht="15" customHeight="1" s="28">
      <c r="A67" s="181" t="n">
        <v>57</v>
      </c>
      <c r="B67" s="181" t="n">
        <v>545</v>
      </c>
      <c r="C67" s="181" t="n">
        <v>4705.476</v>
      </c>
      <c r="D67" s="181" t="n">
        <v>4671.5259</v>
      </c>
      <c r="E67" s="181" t="n">
        <v>33.9501</v>
      </c>
      <c r="F67" s="181" t="n">
        <v>1152.6093</v>
      </c>
      <c r="G67" s="181" t="inlineStr"/>
      <c r="H67" s="181" t="inlineStr"/>
    </row>
    <row r="68" ht="15" customHeight="1" s="28">
      <c r="A68" s="182" t="n">
        <v>58</v>
      </c>
      <c r="B68" s="182" t="n">
        <v>554</v>
      </c>
      <c r="C68" s="182" t="n">
        <v>4725.9997</v>
      </c>
      <c r="D68" s="182" t="n">
        <v>4669.1175</v>
      </c>
      <c r="E68" s="182" t="n">
        <v>56.8823</v>
      </c>
      <c r="F68" s="182" t="n">
        <v>3235.5938</v>
      </c>
      <c r="G68" s="182" t="inlineStr"/>
      <c r="H68" s="182" t="inlineStr"/>
    </row>
    <row r="69" ht="15" customHeight="1" s="28">
      <c r="A69" s="181" t="n">
        <v>59</v>
      </c>
      <c r="B69" s="181" t="n">
        <v>559</v>
      </c>
      <c r="C69" s="181" t="n">
        <v>4723.6963</v>
      </c>
      <c r="D69" s="181" t="n">
        <v>4667.7794</v>
      </c>
      <c r="E69" s="181" t="n">
        <v>55.9168</v>
      </c>
      <c r="F69" s="181" t="n">
        <v>3126.6908</v>
      </c>
      <c r="G69" s="181" t="inlineStr"/>
      <c r="H69" s="181" t="inlineStr"/>
    </row>
    <row r="70" ht="15" customHeight="1" s="28">
      <c r="A70" s="182" t="n">
        <v>60</v>
      </c>
      <c r="B70" s="182" t="n">
        <v>562</v>
      </c>
      <c r="C70" s="182" t="n">
        <v>4723.8595</v>
      </c>
      <c r="D70" s="182" t="n">
        <v>4666.9766</v>
      </c>
      <c r="E70" s="182" t="n">
        <v>56.8829</v>
      </c>
      <c r="F70" s="182" t="n">
        <v>3235.6655</v>
      </c>
      <c r="G70" s="182" t="inlineStr"/>
      <c r="H70" s="182" t="inlineStr"/>
    </row>
    <row r="71" ht="15" customHeight="1" s="28">
      <c r="A71" s="181" t="n">
        <v>61</v>
      </c>
      <c r="B71" s="181" t="n">
        <v>584</v>
      </c>
      <c r="C71" s="181" t="n">
        <v>4680.7626</v>
      </c>
      <c r="D71" s="181" t="n">
        <v>4661.0893</v>
      </c>
      <c r="E71" s="181" t="n">
        <v>19.6733</v>
      </c>
      <c r="F71" s="181" t="n">
        <v>387.0379</v>
      </c>
      <c r="G71" s="181" t="inlineStr"/>
      <c r="H71" s="181" t="inlineStr"/>
    </row>
    <row r="72" ht="15" customHeight="1" s="28">
      <c r="A72" s="182" t="n">
        <v>62</v>
      </c>
      <c r="B72" s="182" t="n">
        <v>602</v>
      </c>
      <c r="C72" s="182" t="n">
        <v>4725.1237</v>
      </c>
      <c r="D72" s="182" t="n">
        <v>4656.2725</v>
      </c>
      <c r="E72" s="182" t="n">
        <v>68.85129999999999</v>
      </c>
      <c r="F72" s="182" t="n">
        <v>4740.4974</v>
      </c>
      <c r="G72" s="182" t="inlineStr"/>
      <c r="H72" s="182" t="inlineStr"/>
    </row>
    <row r="73" ht="15" customHeight="1" s="28">
      <c r="A73" s="181" t="n">
        <v>63</v>
      </c>
      <c r="B73" s="181" t="n">
        <v>611</v>
      </c>
      <c r="C73" s="181" t="n">
        <v>4713.8471</v>
      </c>
      <c r="D73" s="181" t="n">
        <v>4653.864</v>
      </c>
      <c r="E73" s="181" t="n">
        <v>59.983</v>
      </c>
      <c r="F73" s="181" t="n">
        <v>3597.9651</v>
      </c>
      <c r="G73" s="181" t="inlineStr"/>
      <c r="H73" s="181" t="inlineStr"/>
    </row>
    <row r="74" ht="15" customHeight="1" s="28">
      <c r="A74" s="182" t="n">
        <v>64</v>
      </c>
      <c r="B74" s="182" t="n">
        <v>615</v>
      </c>
      <c r="C74" s="182" t="n">
        <v>4714.2374</v>
      </c>
      <c r="D74" s="182" t="n">
        <v>4652.7936</v>
      </c>
      <c r="E74" s="182" t="n">
        <v>61.4438</v>
      </c>
      <c r="F74" s="182" t="n">
        <v>3775.343</v>
      </c>
      <c r="G74" s="182" t="inlineStr"/>
      <c r="H74" s="182" t="inlineStr"/>
    </row>
    <row r="75" ht="15" customHeight="1" s="28">
      <c r="A75" s="181" t="n">
        <v>65</v>
      </c>
      <c r="B75" s="181" t="n">
        <v>624</v>
      </c>
      <c r="C75" s="181" t="n">
        <v>4704.1656</v>
      </c>
      <c r="D75" s="181" t="n">
        <v>4650.3852</v>
      </c>
      <c r="E75" s="181" t="n">
        <v>53.7804</v>
      </c>
      <c r="F75" s="181" t="n">
        <v>2892.3347</v>
      </c>
      <c r="G75" s="181" t="inlineStr"/>
      <c r="H75" s="181" t="inlineStr"/>
    </row>
    <row r="76" ht="15" customHeight="1" s="28">
      <c r="A76" s="182" t="n">
        <v>66</v>
      </c>
      <c r="B76" s="182" t="n">
        <v>630</v>
      </c>
      <c r="C76" s="182" t="n">
        <v>4705.993</v>
      </c>
      <c r="D76" s="182" t="n">
        <v>4648.7796</v>
      </c>
      <c r="E76" s="182" t="n">
        <v>57.2135</v>
      </c>
      <c r="F76" s="182" t="n">
        <v>3273.3834</v>
      </c>
      <c r="G76" s="182" t="inlineStr"/>
      <c r="H76" s="182" t="inlineStr"/>
    </row>
    <row r="77" ht="15" customHeight="1" s="28">
      <c r="A77" s="181" t="n">
        <v>67</v>
      </c>
      <c r="B77" s="181" t="n">
        <v>650</v>
      </c>
      <c r="C77" s="181" t="n">
        <v>4674.7766</v>
      </c>
      <c r="D77" s="181" t="n">
        <v>4643.4275</v>
      </c>
      <c r="E77" s="181" t="n">
        <v>31.3491</v>
      </c>
      <c r="F77" s="181" t="n">
        <v>982.7667</v>
      </c>
      <c r="G77" s="181" t="inlineStr"/>
      <c r="H77" s="181" t="inlineStr"/>
    </row>
    <row r="78" ht="15" customHeight="1" s="28">
      <c r="A78" s="182" t="n">
        <v>68</v>
      </c>
      <c r="B78" s="182" t="n">
        <v>659</v>
      </c>
      <c r="C78" s="182" t="n">
        <v>4681.7926</v>
      </c>
      <c r="D78" s="182" t="n">
        <v>4641.019</v>
      </c>
      <c r="E78" s="182" t="n">
        <v>40.7735</v>
      </c>
      <c r="F78" s="182" t="n">
        <v>1662.4816</v>
      </c>
      <c r="G78" s="182" t="inlineStr"/>
      <c r="H78" s="182" t="inlineStr"/>
    </row>
    <row r="79" ht="15" customHeight="1" s="28">
      <c r="A79" s="181" t="n">
        <v>69</v>
      </c>
      <c r="B79" s="181" t="n">
        <v>664</v>
      </c>
      <c r="C79" s="181" t="n">
        <v>4680.2319</v>
      </c>
      <c r="D79" s="181" t="n">
        <v>4639.681</v>
      </c>
      <c r="E79" s="181" t="n">
        <v>40.5509</v>
      </c>
      <c r="F79" s="181" t="n">
        <v>1644.3731</v>
      </c>
      <c r="G79" s="181" t="inlineStr"/>
      <c r="H79" s="181" t="inlineStr"/>
    </row>
    <row r="80" ht="15" customHeight="1" s="28">
      <c r="A80" s="182" t="n">
        <v>70</v>
      </c>
      <c r="B80" s="182" t="n">
        <v>678</v>
      </c>
      <c r="C80" s="182" t="n">
        <v>4693.6994</v>
      </c>
      <c r="D80" s="182" t="n">
        <v>4635.9345</v>
      </c>
      <c r="E80" s="182" t="n">
        <v>57.7648</v>
      </c>
      <c r="F80" s="182" t="n">
        <v>3336.7756</v>
      </c>
      <c r="G80" s="182" t="inlineStr"/>
      <c r="H80" s="182" t="inlineStr"/>
    </row>
    <row r="81" ht="15" customHeight="1" s="28">
      <c r="A81" s="181" t="n">
        <v>71</v>
      </c>
      <c r="B81" s="181" t="n">
        <v>689</v>
      </c>
      <c r="C81" s="181" t="n">
        <v>4672.4743</v>
      </c>
      <c r="D81" s="181" t="n">
        <v>4632.9909</v>
      </c>
      <c r="E81" s="181" t="n">
        <v>39.4834</v>
      </c>
      <c r="F81" s="181" t="n">
        <v>1558.9397</v>
      </c>
      <c r="G81" s="181" t="inlineStr"/>
      <c r="H81" s="181" t="inlineStr"/>
    </row>
    <row r="82" ht="15" customHeight="1" s="28">
      <c r="A82" s="182" t="n">
        <v>72</v>
      </c>
      <c r="B82" s="182" t="n">
        <v>692</v>
      </c>
      <c r="C82" s="182" t="n">
        <v>4672.133</v>
      </c>
      <c r="D82" s="182" t="n">
        <v>4632.1881</v>
      </c>
      <c r="E82" s="182" t="n">
        <v>39.9449</v>
      </c>
      <c r="F82" s="182" t="n">
        <v>1595.5934</v>
      </c>
      <c r="G82" s="182" t="inlineStr"/>
      <c r="H82" s="182" t="inlineStr"/>
    </row>
    <row r="83" ht="15" customHeight="1" s="28">
      <c r="A83" s="181" t="n">
        <v>73</v>
      </c>
      <c r="B83" s="181" t="n">
        <v>727</v>
      </c>
      <c r="C83" s="181" t="n">
        <v>4582.2172</v>
      </c>
      <c r="D83" s="181" t="n">
        <v>4622.8219</v>
      </c>
      <c r="E83" s="181" t="n">
        <v>-40.6047</v>
      </c>
      <c r="F83" s="181" t="n">
        <v>1648.7433</v>
      </c>
      <c r="G83" s="181" t="inlineStr"/>
      <c r="H83" s="181" t="inlineStr"/>
    </row>
    <row r="84" ht="15" customHeight="1" s="28">
      <c r="A84" s="182" t="n">
        <v>74</v>
      </c>
      <c r="B84" s="182" t="n">
        <v>729</v>
      </c>
      <c r="C84" s="182" t="n">
        <v>4581.4012</v>
      </c>
      <c r="D84" s="182" t="n">
        <v>4622.2868</v>
      </c>
      <c r="E84" s="182" t="n">
        <v>-40.8855</v>
      </c>
      <c r="F84" s="182" t="n">
        <v>1671.6241</v>
      </c>
      <c r="G84" s="182" t="inlineStr"/>
      <c r="H84" s="182" t="inlineStr"/>
    </row>
    <row r="85" ht="15" customHeight="1" s="28">
      <c r="A85" s="181" t="n">
        <v>75</v>
      </c>
      <c r="B85" s="181" t="n">
        <v>736</v>
      </c>
      <c r="C85" s="181" t="n">
        <v>4572.3875</v>
      </c>
      <c r="D85" s="181" t="n">
        <v>4620.4135</v>
      </c>
      <c r="E85" s="181" t="n">
        <v>-48.026</v>
      </c>
      <c r="F85" s="181" t="n">
        <v>2306.4996</v>
      </c>
      <c r="G85" s="181" t="inlineStr"/>
      <c r="H85" s="181" t="inlineStr"/>
    </row>
    <row r="86" ht="15" customHeight="1" s="28">
      <c r="A86" s="182" t="n">
        <v>76</v>
      </c>
      <c r="B86" s="182" t="n">
        <v>755</v>
      </c>
      <c r="C86" s="182" t="n">
        <v>4596.5934</v>
      </c>
      <c r="D86" s="182" t="n">
        <v>4615.329</v>
      </c>
      <c r="E86" s="182" t="n">
        <v>-18.7356</v>
      </c>
      <c r="F86" s="182" t="n">
        <v>351.0246</v>
      </c>
      <c r="G86" s="182" t="inlineStr"/>
      <c r="H86" s="182" t="inlineStr"/>
    </row>
    <row r="87" ht="15" customHeight="1" s="28">
      <c r="A87" s="181" t="n">
        <v>77</v>
      </c>
      <c r="B87" s="181" t="n">
        <v>764</v>
      </c>
      <c r="C87" s="181" t="n">
        <v>4594.1765</v>
      </c>
      <c r="D87" s="181" t="n">
        <v>4612.9206</v>
      </c>
      <c r="E87" s="181" t="n">
        <v>-18.7441</v>
      </c>
      <c r="F87" s="181" t="n">
        <v>351.3402</v>
      </c>
      <c r="G87" s="181" t="inlineStr"/>
      <c r="H87" s="181" t="inlineStr"/>
    </row>
    <row r="88" ht="15" customHeight="1" s="28">
      <c r="A88" s="182" t="n">
        <v>78</v>
      </c>
      <c r="B88" s="182" t="n">
        <v>770</v>
      </c>
      <c r="C88" s="182" t="n">
        <v>4596.4324</v>
      </c>
      <c r="D88" s="182" t="n">
        <v>4611.315</v>
      </c>
      <c r="E88" s="182" t="n">
        <v>-14.8826</v>
      </c>
      <c r="F88" s="182" t="n">
        <v>221.4909</v>
      </c>
      <c r="G88" s="182" t="inlineStr"/>
      <c r="H88" s="182" t="inlineStr"/>
    </row>
    <row r="89" ht="15" customHeight="1" s="28">
      <c r="A89" s="181" t="n">
        <v>79</v>
      </c>
      <c r="B89" s="181" t="n">
        <v>776</v>
      </c>
      <c r="C89" s="181" t="n">
        <v>4592.2323</v>
      </c>
      <c r="D89" s="181" t="n">
        <v>4609.7094</v>
      </c>
      <c r="E89" s="181" t="n">
        <v>-17.4771</v>
      </c>
      <c r="F89" s="181" t="n">
        <v>305.4483</v>
      </c>
      <c r="G89" s="181" t="inlineStr"/>
      <c r="H89" s="181" t="inlineStr"/>
    </row>
    <row r="90" ht="15" customHeight="1" s="28">
      <c r="A90" s="182" t="n">
        <v>80</v>
      </c>
      <c r="B90" s="182" t="n">
        <v>788</v>
      </c>
      <c r="C90" s="182" t="n">
        <v>4600.8452</v>
      </c>
      <c r="D90" s="182" t="n">
        <v>4606.4981</v>
      </c>
      <c r="E90" s="182" t="n">
        <v>-5.6529</v>
      </c>
      <c r="F90" s="182" t="n">
        <v>31.9557</v>
      </c>
      <c r="G90" s="182" t="inlineStr"/>
      <c r="H90" s="182" t="inlineStr"/>
    </row>
    <row r="91" ht="15" customHeight="1" s="28">
      <c r="A91" s="181" t="n">
        <v>81</v>
      </c>
      <c r="B91" s="181" t="n">
        <v>809</v>
      </c>
      <c r="C91" s="181" t="n">
        <v>4565.6079</v>
      </c>
      <c r="D91" s="181" t="n">
        <v>4600.8784</v>
      </c>
      <c r="E91" s="181" t="n">
        <v>-35.2705</v>
      </c>
      <c r="F91" s="181" t="n">
        <v>1244.0103</v>
      </c>
      <c r="G91" s="181" t="inlineStr"/>
      <c r="H91" s="181" t="inlineStr"/>
    </row>
    <row r="92" ht="15" customHeight="1" s="28">
      <c r="A92" s="182" t="n">
        <v>82</v>
      </c>
      <c r="B92" s="182" t="n">
        <v>815</v>
      </c>
      <c r="C92" s="182" t="n">
        <v>4566.1015</v>
      </c>
      <c r="D92" s="182" t="n">
        <v>4599.2728</v>
      </c>
      <c r="E92" s="182" t="n">
        <v>-33.1713</v>
      </c>
      <c r="F92" s="182" t="n">
        <v>1100.3378</v>
      </c>
      <c r="G92" s="182" t="inlineStr"/>
      <c r="H92" s="182" t="inlineStr"/>
    </row>
    <row r="93" ht="15" customHeight="1" s="28">
      <c r="A93" s="181" t="n">
        <v>83</v>
      </c>
      <c r="B93" s="181" t="n">
        <v>826</v>
      </c>
      <c r="C93" s="181" t="n">
        <v>4532.0678</v>
      </c>
      <c r="D93" s="181" t="n">
        <v>4596.3291</v>
      </c>
      <c r="E93" s="181" t="n">
        <v>-64.26139999999999</v>
      </c>
      <c r="F93" s="181" t="n">
        <v>4129.5262</v>
      </c>
      <c r="G93" s="181" t="inlineStr"/>
      <c r="H93" s="181" t="inlineStr"/>
    </row>
    <row r="94" ht="15" customHeight="1" s="28">
      <c r="A94" s="182" t="n">
        <v>84</v>
      </c>
      <c r="B94" s="182" t="n">
        <v>835</v>
      </c>
      <c r="C94" s="182" t="n">
        <v>4551.6611</v>
      </c>
      <c r="D94" s="182" t="n">
        <v>4593.9207</v>
      </c>
      <c r="E94" s="182" t="n">
        <v>-42.2596</v>
      </c>
      <c r="F94" s="182" t="n">
        <v>1785.8746</v>
      </c>
      <c r="G94" s="182" t="inlineStr"/>
      <c r="H94" s="182" t="inlineStr"/>
    </row>
    <row r="95" ht="15" customHeight="1" s="28">
      <c r="A95" s="181" t="n">
        <v>85</v>
      </c>
      <c r="B95" s="181" t="n">
        <v>843</v>
      </c>
      <c r="C95" s="181" t="n">
        <v>4535.9611</v>
      </c>
      <c r="D95" s="181" t="n">
        <v>4591.7799</v>
      </c>
      <c r="E95" s="181" t="n">
        <v>-55.8188</v>
      </c>
      <c r="F95" s="181" t="n">
        <v>3115.7329</v>
      </c>
      <c r="G95" s="181" t="inlineStr"/>
      <c r="H95" s="181" t="inlineStr"/>
    </row>
    <row r="96" ht="15" customHeight="1" s="28">
      <c r="A96" s="182" t="n">
        <v>86</v>
      </c>
      <c r="B96" s="182" t="n">
        <v>869</v>
      </c>
      <c r="C96" s="182" t="n">
        <v>4573.7037</v>
      </c>
      <c r="D96" s="182" t="n">
        <v>4584.8222</v>
      </c>
      <c r="E96" s="182" t="n">
        <v>-11.1184</v>
      </c>
      <c r="F96" s="182" t="n">
        <v>123.6199</v>
      </c>
      <c r="G96" s="182" t="inlineStr"/>
      <c r="H96" s="182" t="inlineStr"/>
    </row>
    <row r="97" ht="15" customHeight="1" s="28">
      <c r="A97" s="181" t="n">
        <v>87</v>
      </c>
      <c r="B97" s="181" t="n">
        <v>880</v>
      </c>
      <c r="C97" s="181" t="n">
        <v>4551.2341</v>
      </c>
      <c r="D97" s="181" t="n">
        <v>4581.8785</v>
      </c>
      <c r="E97" s="181" t="n">
        <v>-30.6444</v>
      </c>
      <c r="F97" s="181" t="n">
        <v>939.0805</v>
      </c>
      <c r="G97" s="181" t="inlineStr"/>
      <c r="H97" s="181" t="inlineStr"/>
    </row>
    <row r="98" ht="15" customHeight="1" s="28">
      <c r="A98" s="182" t="n">
        <v>88</v>
      </c>
      <c r="B98" s="182" t="n">
        <v>906</v>
      </c>
      <c r="C98" s="182" t="n">
        <v>4635.2304</v>
      </c>
      <c r="D98" s="182" t="n">
        <v>4574.9208</v>
      </c>
      <c r="E98" s="182" t="n">
        <v>60.3096</v>
      </c>
      <c r="F98" s="182" t="n">
        <v>3637.2442</v>
      </c>
      <c r="G98" s="182" t="inlineStr"/>
      <c r="H98" s="182" t="inlineStr"/>
    </row>
    <row r="99" ht="15" customHeight="1" s="28">
      <c r="A99" s="181" t="n">
        <v>89</v>
      </c>
      <c r="B99" s="181" t="n">
        <v>928</v>
      </c>
      <c r="C99" s="181" t="n">
        <v>4612.4703</v>
      </c>
      <c r="D99" s="181" t="n">
        <v>4569.0335</v>
      </c>
      <c r="E99" s="181" t="n">
        <v>43.4367</v>
      </c>
      <c r="F99" s="181" t="n">
        <v>1886.7495</v>
      </c>
      <c r="G99" s="181" t="inlineStr"/>
      <c r="H99" s="181" t="inlineStr"/>
    </row>
    <row r="100" ht="15" customHeight="1" s="28">
      <c r="A100" s="182" t="n">
        <v>90</v>
      </c>
      <c r="B100" s="182" t="n">
        <v>936</v>
      </c>
      <c r="C100" s="182" t="n">
        <v>4621.3179</v>
      </c>
      <c r="D100" s="182" t="n">
        <v>4566.8927</v>
      </c>
      <c r="E100" s="182" t="n">
        <v>54.4252</v>
      </c>
      <c r="F100" s="182" t="n">
        <v>2962.1024</v>
      </c>
      <c r="G100" s="182" t="inlineStr"/>
      <c r="H100" s="182" t="inlineStr"/>
    </row>
    <row r="101" ht="15" customHeight="1" s="28">
      <c r="A101" s="181" t="n">
        <v>91</v>
      </c>
      <c r="B101" s="181" t="n">
        <v>941</v>
      </c>
      <c r="C101" s="181" t="n">
        <v>4618.4207</v>
      </c>
      <c r="D101" s="181" t="n">
        <v>4565.5547</v>
      </c>
      <c r="E101" s="181" t="n">
        <v>52.866</v>
      </c>
      <c r="F101" s="181" t="n">
        <v>2794.8118</v>
      </c>
      <c r="G101" s="181" t="inlineStr"/>
      <c r="H101" s="181" t="inlineStr"/>
    </row>
    <row r="102" ht="15" customHeight="1" s="28">
      <c r="A102" s="182" t="n">
        <v>92</v>
      </c>
      <c r="B102" s="182" t="n">
        <v>949</v>
      </c>
      <c r="C102" s="182" t="n">
        <v>4631.1862</v>
      </c>
      <c r="D102" s="182" t="n">
        <v>4563.4138</v>
      </c>
      <c r="E102" s="182" t="n">
        <v>67.7724</v>
      </c>
      <c r="F102" s="182" t="n">
        <v>4593.0955</v>
      </c>
      <c r="G102" s="182" t="inlineStr"/>
      <c r="H102" s="182" t="inlineStr"/>
    </row>
    <row r="103" ht="15" customHeight="1" s="28">
      <c r="A103" s="181" t="n">
        <v>93</v>
      </c>
      <c r="B103" s="181" t="n">
        <v>958</v>
      </c>
      <c r="C103" s="181" t="n">
        <v>4621.1766</v>
      </c>
      <c r="D103" s="181" t="n">
        <v>4561.0054</v>
      </c>
      <c r="E103" s="181" t="n">
        <v>60.1712</v>
      </c>
      <c r="F103" s="181" t="n">
        <v>3620.5769</v>
      </c>
      <c r="G103" s="181" t="inlineStr"/>
      <c r="H103" s="181" t="inlineStr"/>
    </row>
    <row r="104" ht="15" customHeight="1" s="28">
      <c r="A104" s="182" t="n">
        <v>94</v>
      </c>
      <c r="B104" s="182" t="n">
        <v>965</v>
      </c>
      <c r="C104" s="182" t="n">
        <v>4624.7019</v>
      </c>
      <c r="D104" s="182" t="n">
        <v>4559.1322</v>
      </c>
      <c r="E104" s="182" t="n">
        <v>65.5697</v>
      </c>
      <c r="F104" s="182" t="n">
        <v>4299.3842</v>
      </c>
      <c r="G104" s="182" t="inlineStr"/>
      <c r="H104" s="182" t="inlineStr"/>
    </row>
    <row r="105" ht="15" customHeight="1" s="28">
      <c r="A105" s="181" t="n">
        <v>95</v>
      </c>
      <c r="B105" s="181" t="n">
        <v>992</v>
      </c>
      <c r="C105" s="181" t="n">
        <v>4566.9336</v>
      </c>
      <c r="D105" s="181" t="n">
        <v>4551.9069</v>
      </c>
      <c r="E105" s="181" t="n">
        <v>15.0268</v>
      </c>
      <c r="F105" s="181" t="n">
        <v>225.8035</v>
      </c>
      <c r="G105" s="181" t="inlineStr"/>
      <c r="H105" s="181" t="inlineStr"/>
    </row>
    <row r="106" ht="15" customHeight="1" s="28">
      <c r="A106" s="182" t="n">
        <v>96</v>
      </c>
      <c r="B106" s="182" t="n">
        <v>1016</v>
      </c>
      <c r="C106" s="182" t="n">
        <v>4640.4135</v>
      </c>
      <c r="D106" s="182" t="n">
        <v>4545.4844</v>
      </c>
      <c r="E106" s="182" t="n">
        <v>94.92910000000001</v>
      </c>
      <c r="F106" s="182" t="n">
        <v>9011.5321</v>
      </c>
      <c r="G106" s="182" t="inlineStr"/>
      <c r="H106" s="182" t="inlineStr"/>
    </row>
    <row r="107" ht="15" customHeight="1" s="28">
      <c r="A107" s="181" t="n">
        <v>97</v>
      </c>
      <c r="B107" s="181" t="n">
        <v>1034</v>
      </c>
      <c r="C107" s="181" t="n">
        <v>4615.1934</v>
      </c>
      <c r="D107" s="181" t="n">
        <v>4540.6675</v>
      </c>
      <c r="E107" s="181" t="n">
        <v>74.52589999999999</v>
      </c>
      <c r="F107" s="181" t="n">
        <v>5554.1142</v>
      </c>
      <c r="G107" s="181" t="inlineStr"/>
      <c r="H107" s="181" t="inlineStr"/>
    </row>
    <row r="108" ht="15" customHeight="1" s="28">
      <c r="A108" s="182" t="n">
        <v>98</v>
      </c>
      <c r="B108" s="182" t="n">
        <v>1040</v>
      </c>
      <c r="C108" s="182" t="n">
        <v>4619.5298</v>
      </c>
      <c r="D108" s="182" t="n">
        <v>4539.0619</v>
      </c>
      <c r="E108" s="182" t="n">
        <v>80.468</v>
      </c>
      <c r="F108" s="182" t="n">
        <v>6475.0926</v>
      </c>
      <c r="G108" s="182" t="inlineStr"/>
      <c r="H108" s="182" t="inlineStr"/>
    </row>
    <row r="109" ht="15" customHeight="1" s="28">
      <c r="A109" s="181" t="n">
        <v>99</v>
      </c>
      <c r="B109" s="181" t="n">
        <v>1053</v>
      </c>
      <c r="C109" s="181" t="n">
        <v>4603.4631</v>
      </c>
      <c r="D109" s="181" t="n">
        <v>4535.583</v>
      </c>
      <c r="E109" s="181" t="n">
        <v>67.8801</v>
      </c>
      <c r="F109" s="181" t="n">
        <v>4607.7093</v>
      </c>
      <c r="G109" s="181" t="inlineStr"/>
      <c r="H109" s="181" t="inlineStr"/>
    </row>
    <row r="110" ht="15" customHeight="1" s="28">
      <c r="A110" s="182" t="n">
        <v>100</v>
      </c>
      <c r="B110" s="182" t="n">
        <v>1061</v>
      </c>
      <c r="C110" s="182" t="n">
        <v>4609.1787</v>
      </c>
      <c r="D110" s="182" t="n">
        <v>4533.4422</v>
      </c>
      <c r="E110" s="182" t="n">
        <v>75.73650000000001</v>
      </c>
      <c r="F110" s="182" t="n">
        <v>5736.0174</v>
      </c>
      <c r="G110" s="182" t="inlineStr"/>
      <c r="H110" s="182" t="inlineStr"/>
    </row>
    <row r="111" ht="15" customHeight="1" s="28">
      <c r="A111" s="181" t="n">
        <v>101</v>
      </c>
      <c r="B111" s="181" t="n">
        <v>1089</v>
      </c>
      <c r="C111" s="181" t="n">
        <v>4559.2624</v>
      </c>
      <c r="D111" s="181" t="n">
        <v>4525.9493</v>
      </c>
      <c r="E111" s="181" t="n">
        <v>33.3131</v>
      </c>
      <c r="F111" s="181" t="n">
        <v>1109.7626</v>
      </c>
      <c r="G111" s="181" t="inlineStr"/>
      <c r="H111" s="181" t="inlineStr"/>
    </row>
    <row r="112" ht="15" customHeight="1" s="28">
      <c r="A112" s="182" t="n">
        <v>102</v>
      </c>
      <c r="B112" s="182" t="n">
        <v>1101</v>
      </c>
      <c r="C112" s="182" t="n">
        <v>4566.5537</v>
      </c>
      <c r="D112" s="182" t="n">
        <v>4522.738</v>
      </c>
      <c r="E112" s="182" t="n">
        <v>43.8157</v>
      </c>
      <c r="F112" s="182" t="n">
        <v>1919.8156</v>
      </c>
      <c r="G112" s="182" t="inlineStr"/>
      <c r="H112" s="182" t="inlineStr"/>
    </row>
    <row r="113" ht="15" customHeight="1" s="28">
      <c r="A113" s="181" t="n">
        <v>103</v>
      </c>
      <c r="B113" s="181" t="n">
        <v>1112</v>
      </c>
      <c r="C113" s="181" t="n">
        <v>4516.7968</v>
      </c>
      <c r="D113" s="181" t="n">
        <v>4519.7944</v>
      </c>
      <c r="E113" s="181" t="n">
        <v>-2.9976</v>
      </c>
      <c r="F113" s="181" t="n">
        <v>8.9855</v>
      </c>
      <c r="G113" s="181" t="inlineStr"/>
      <c r="H113" s="181" t="inlineStr"/>
    </row>
    <row r="114" ht="15" customHeight="1" s="28">
      <c r="A114" s="182" t="n">
        <v>104</v>
      </c>
      <c r="B114" s="182" t="n">
        <v>1117</v>
      </c>
      <c r="C114" s="182" t="n">
        <v>4519.7938</v>
      </c>
      <c r="D114" s="182" t="n">
        <v>4518.4564</v>
      </c>
      <c r="E114" s="182" t="n">
        <v>1.3374</v>
      </c>
      <c r="F114" s="182" t="n">
        <v>1.7888</v>
      </c>
      <c r="G114" s="182" t="inlineStr"/>
      <c r="H114" s="182" t="inlineStr"/>
    </row>
    <row r="115" ht="15" customHeight="1" s="28">
      <c r="A115" s="181" t="n">
        <v>105</v>
      </c>
      <c r="B115" s="181" t="n">
        <v>1123</v>
      </c>
      <c r="C115" s="181" t="n">
        <v>4517.1665</v>
      </c>
      <c r="D115" s="181" t="n">
        <v>4516.8507</v>
      </c>
      <c r="E115" s="181" t="n">
        <v>0.3158</v>
      </c>
      <c r="F115" s="181" t="n">
        <v>0.0997</v>
      </c>
      <c r="G115" s="181" t="inlineStr"/>
      <c r="H115" s="181" t="inlineStr"/>
    </row>
    <row r="116" ht="15" customHeight="1" s="28">
      <c r="A116" s="182" t="n">
        <v>106</v>
      </c>
      <c r="B116" s="182" t="n">
        <v>1130</v>
      </c>
      <c r="C116" s="182" t="n">
        <v>4519.7573</v>
      </c>
      <c r="D116" s="182" t="n">
        <v>4514.9775</v>
      </c>
      <c r="E116" s="182" t="n">
        <v>4.7798</v>
      </c>
      <c r="F116" s="182" t="n">
        <v>22.8464</v>
      </c>
      <c r="G116" s="182" t="inlineStr"/>
      <c r="H116" s="182" t="inlineStr"/>
    </row>
    <row r="117" ht="15" customHeight="1" s="28">
      <c r="A117" s="181" t="n">
        <v>107</v>
      </c>
      <c r="B117" s="181" t="n">
        <v>1134</v>
      </c>
      <c r="C117" s="181" t="n">
        <v>4519.4497</v>
      </c>
      <c r="D117" s="181" t="n">
        <v>4513.9071</v>
      </c>
      <c r="E117" s="181" t="n">
        <v>5.5426</v>
      </c>
      <c r="F117" s="181" t="n">
        <v>30.7201</v>
      </c>
      <c r="G117" s="181" t="inlineStr"/>
      <c r="H117" s="181" t="inlineStr"/>
    </row>
    <row r="119" ht="18" customHeight="1" s="28">
      <c r="A119" s="172" t="inlineStr">
        <is>
          <t>STEP 2 — Breusch-Pagan LM  (eᵢ² ~ bar_idx)</t>
        </is>
      </c>
    </row>
    <row r="120" ht="16" customHeight="1" s="28">
      <c r="A120" s="186" t="inlineStr">
        <is>
          <t>n</t>
        </is>
      </c>
      <c r="E120" s="187" t="inlineStr">
        <is>
          <t>107</t>
        </is>
      </c>
    </row>
    <row r="121" ht="16" customHeight="1" s="28">
      <c r="A121" s="186" t="inlineStr">
        <is>
          <t>BP LM = n × R²_aux</t>
        </is>
      </c>
      <c r="E121" s="187" t="inlineStr">
        <is>
          <t>4.426700</t>
        </is>
      </c>
    </row>
    <row r="122" ht="16" customHeight="1" s="28">
      <c r="A122" s="186" t="inlineStr">
        <is>
          <t>p-value (chi-sq, df=1)</t>
        </is>
      </c>
      <c r="E122" s="187" t="inlineStr">
        <is>
          <t>3.538154e-02</t>
        </is>
      </c>
    </row>
    <row r="123" ht="16" customHeight="1" s="28">
      <c r="A123" s="186" t="inlineStr">
        <is>
          <t>Critical χ²(1, 0.05)</t>
        </is>
      </c>
      <c r="E123" s="187" t="inlineStr">
        <is>
          <t>3.841</t>
        </is>
      </c>
    </row>
    <row r="124" ht="22" customHeight="1" s="28">
      <c r="A124" s="189" t="inlineStr">
        <is>
          <t>DECISION:  LM = 4.4267, p = 3.5382e-02 &lt; 0.05  ⟹  REJECT H₀  →  Base_FL residuals are HETEROSCEDASTIC</t>
        </is>
      </c>
    </row>
  </sheetData>
  <mergeCells count="17">
    <mergeCell ref="A9:H9"/>
    <mergeCell ref="A4:H4"/>
    <mergeCell ref="E123:H123"/>
    <mergeCell ref="A124:H124"/>
    <mergeCell ref="A120:D120"/>
    <mergeCell ref="A122:D122"/>
    <mergeCell ref="E122:H122"/>
    <mergeCell ref="A2:H2"/>
    <mergeCell ref="E121:H121"/>
    <mergeCell ref="A123:D123"/>
    <mergeCell ref="B6:H6"/>
    <mergeCell ref="E120:H120"/>
    <mergeCell ref="B7:H7"/>
    <mergeCell ref="A1:H1"/>
    <mergeCell ref="A121:D121"/>
    <mergeCell ref="B5:H5"/>
    <mergeCell ref="A119:H1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2" customWidth="1" style="28" min="2" max="2"/>
    <col width="12" customWidth="1" style="28" min="3" max="3"/>
    <col width="14" customWidth="1" style="28" min="4" max="4"/>
    <col width="14" customWidth="1" style="28" min="5" max="5"/>
    <col width="14" customWidth="1" style="28" min="6" max="6"/>
    <col width="14" customWidth="1" style="28" min="7" max="7"/>
    <col width="6" customWidth="1" style="28" min="8" max="8"/>
    <col width="6" customWidth="1" style="28" min="9" max="9"/>
  </cols>
  <sheetData>
    <row r="1" ht="26" customHeight="1" s="28">
      <c r="A1" s="190" t="inlineStr">
        <is>
          <t>WHITE'S TEST  |  MODEL B2  |  n=1135  |  Residual = close − Base_FL</t>
        </is>
      </c>
    </row>
    <row r="2" ht="20" customHeight="1" s="28">
      <c r="A2" s="183" t="inlineStr">
        <is>
          <t>H₀: variance of (close − Base_FL) is constant  |  Dataset: V3894</t>
        </is>
      </c>
    </row>
    <row r="4" ht="18" customHeight="1" s="28">
      <c r="A4" s="172" t="inlineStr">
        <is>
          <t>Context</t>
        </is>
      </c>
    </row>
    <row r="5" ht="16" customHeight="1" s="28">
      <c r="A5" s="184" t="inlineStr">
        <is>
          <t>RESIDUAL:</t>
        </is>
      </c>
      <c r="B5" s="185" t="inlineStr">
        <is>
          <t>eᵢ = closeᵢ − Base_FLᵢ  (Base_FL = MQL5 regression baseline)</t>
        </is>
      </c>
    </row>
    <row r="6" ht="16" customHeight="1" s="28">
      <c r="A6" s="184" t="inlineStr">
        <is>
          <t>MODEL B2:</t>
        </is>
      </c>
      <c r="B6" s="185" t="inlineStr">
        <is>
          <t>All 1135 bars</t>
        </is>
      </c>
    </row>
    <row r="7" ht="16" customHeight="1" s="28">
      <c r="A7" s="184" t="inlineStr">
        <is>
          <t>α:</t>
        </is>
      </c>
      <c r="B7" s="185" t="inlineStr">
        <is>
          <t>0.05</t>
        </is>
      </c>
    </row>
    <row r="9" ht="18" customHeight="1" s="28">
      <c r="A9" s="172" t="inlineStr">
        <is>
          <t>STEP 1 — Residuals and Squared  (all 1135 bars)</t>
        </is>
      </c>
    </row>
    <row r="10" ht="28" customHeight="1" s="28">
      <c r="A10" s="62" t="inlineStr">
        <is>
          <t>i</t>
        </is>
      </c>
      <c r="B10" s="62" t="inlineStr">
        <is>
          <t>Bar Index (X)</t>
        </is>
      </c>
      <c r="C10" s="62" t="inlineStr">
        <is>
          <t>Close</t>
        </is>
      </c>
      <c r="D10" s="62" t="inlineStr">
        <is>
          <t>Base_FL (MQL5)</t>
        </is>
      </c>
      <c r="E10" s="62" t="inlineStr">
        <is>
          <t>eᵢ</t>
        </is>
      </c>
      <c r="F10" s="62" t="inlineStr">
        <is>
          <t>eᵢ²</t>
        </is>
      </c>
      <c r="G10" s="62" t="inlineStr">
        <is>
          <t>X²</t>
        </is>
      </c>
      <c r="H10" s="62" t="inlineStr"/>
      <c r="I10" s="62" t="inlineStr"/>
    </row>
    <row r="11" ht="15" customHeight="1" s="28">
      <c r="A11" s="181" t="n">
        <v>1</v>
      </c>
      <c r="B11" s="181" t="n">
        <v>0</v>
      </c>
      <c r="C11" s="181" t="n">
        <v>4806.71</v>
      </c>
      <c r="D11" s="181" t="n">
        <v>4817.3701</v>
      </c>
      <c r="E11" s="181" t="n">
        <v>-10.6601</v>
      </c>
      <c r="F11" s="181" t="n">
        <v>113.6384</v>
      </c>
      <c r="G11" s="181" t="n">
        <v>0</v>
      </c>
      <c r="H11" s="181" t="inlineStr"/>
      <c r="I11" s="181" t="inlineStr"/>
    </row>
    <row r="12" ht="15" customHeight="1" s="28">
      <c r="A12" s="182" t="n">
        <v>2</v>
      </c>
      <c r="B12" s="182" t="n">
        <v>1</v>
      </c>
      <c r="C12" s="182" t="n">
        <v>4802.1</v>
      </c>
      <c r="D12" s="182" t="n">
        <v>4817.1025</v>
      </c>
      <c r="E12" s="182" t="n">
        <v>-15.0025</v>
      </c>
      <c r="F12" s="182" t="n">
        <v>225.0756</v>
      </c>
      <c r="G12" s="182" t="n">
        <v>1</v>
      </c>
      <c r="H12" s="182" t="inlineStr"/>
      <c r="I12" s="182" t="inlineStr"/>
    </row>
    <row r="13" ht="15" customHeight="1" s="28">
      <c r="A13" s="181" t="n">
        <v>3</v>
      </c>
      <c r="B13" s="181" t="n">
        <v>2</v>
      </c>
      <c r="C13" s="181" t="n">
        <v>4802.98</v>
      </c>
      <c r="D13" s="181" t="n">
        <v>4816.8349</v>
      </c>
      <c r="E13" s="181" t="n">
        <v>-13.8549</v>
      </c>
      <c r="F13" s="181" t="n">
        <v>191.9588</v>
      </c>
      <c r="G13" s="181" t="n">
        <v>4</v>
      </c>
      <c r="H13" s="181" t="inlineStr"/>
      <c r="I13" s="181" t="inlineStr"/>
    </row>
    <row r="14" ht="15" customHeight="1" s="28">
      <c r="A14" s="182" t="n">
        <v>4</v>
      </c>
      <c r="B14" s="182" t="n">
        <v>3</v>
      </c>
      <c r="C14" s="182" t="n">
        <v>4807.09</v>
      </c>
      <c r="D14" s="182" t="n">
        <v>4816.5673</v>
      </c>
      <c r="E14" s="182" t="n">
        <v>-9.4773</v>
      </c>
      <c r="F14" s="182" t="n">
        <v>89.8194</v>
      </c>
      <c r="G14" s="182" t="n">
        <v>9</v>
      </c>
      <c r="H14" s="182" t="inlineStr"/>
      <c r="I14" s="182" t="inlineStr"/>
    </row>
    <row r="15" ht="15" customHeight="1" s="28">
      <c r="A15" s="181" t="n">
        <v>5</v>
      </c>
      <c r="B15" s="181" t="n">
        <v>4</v>
      </c>
      <c r="C15" s="181" t="n">
        <v>4805.02</v>
      </c>
      <c r="D15" s="181" t="n">
        <v>4816.2997</v>
      </c>
      <c r="E15" s="181" t="n">
        <v>-11.2797</v>
      </c>
      <c r="F15" s="181" t="n">
        <v>127.2319</v>
      </c>
      <c r="G15" s="181" t="n">
        <v>16</v>
      </c>
      <c r="H15" s="181" t="inlineStr"/>
      <c r="I15" s="181" t="inlineStr"/>
    </row>
    <row r="16" ht="15" customHeight="1" s="28">
      <c r="A16" s="182" t="n">
        <v>6</v>
      </c>
      <c r="B16" s="182" t="n">
        <v>5</v>
      </c>
      <c r="C16" s="182" t="n">
        <v>4799.31</v>
      </c>
      <c r="D16" s="182" t="n">
        <v>4816.0321</v>
      </c>
      <c r="E16" s="182" t="n">
        <v>-16.7221</v>
      </c>
      <c r="F16" s="182" t="n">
        <v>279.629</v>
      </c>
      <c r="G16" s="182" t="n">
        <v>25</v>
      </c>
      <c r="H16" s="182" t="inlineStr"/>
      <c r="I16" s="182" t="inlineStr"/>
    </row>
    <row r="17" ht="15" customHeight="1" s="28">
      <c r="A17" s="181" t="n">
        <v>7</v>
      </c>
      <c r="B17" s="181" t="n">
        <v>6</v>
      </c>
      <c r="C17" s="181" t="n">
        <v>4790.11</v>
      </c>
      <c r="D17" s="181" t="n">
        <v>4815.7645</v>
      </c>
      <c r="E17" s="181" t="n">
        <v>-25.6545</v>
      </c>
      <c r="F17" s="181" t="n">
        <v>658.1534</v>
      </c>
      <c r="G17" s="181" t="n">
        <v>36</v>
      </c>
      <c r="H17" s="181" t="inlineStr"/>
      <c r="I17" s="181" t="inlineStr"/>
    </row>
    <row r="18" ht="15" customHeight="1" s="28">
      <c r="A18" s="182" t="n">
        <v>8</v>
      </c>
      <c r="B18" s="182" t="n">
        <v>7</v>
      </c>
      <c r="C18" s="182" t="n">
        <v>4791.99</v>
      </c>
      <c r="D18" s="182" t="n">
        <v>4815.4969</v>
      </c>
      <c r="E18" s="182" t="n">
        <v>-23.5069</v>
      </c>
      <c r="F18" s="182" t="n">
        <v>552.5743</v>
      </c>
      <c r="G18" s="182" t="n">
        <v>49</v>
      </c>
      <c r="H18" s="182" t="inlineStr"/>
      <c r="I18" s="182" t="inlineStr"/>
    </row>
    <row r="19" ht="15" customHeight="1" s="28">
      <c r="A19" s="181" t="n">
        <v>9</v>
      </c>
      <c r="B19" s="181" t="n">
        <v>8</v>
      </c>
      <c r="C19" s="181" t="n">
        <v>4791.41</v>
      </c>
      <c r="D19" s="181" t="n">
        <v>4815.2293</v>
      </c>
      <c r="E19" s="181" t="n">
        <v>-23.8193</v>
      </c>
      <c r="F19" s="181" t="n">
        <v>567.3586</v>
      </c>
      <c r="G19" s="181" t="n">
        <v>64</v>
      </c>
      <c r="H19" s="181" t="inlineStr"/>
      <c r="I19" s="181" t="inlineStr"/>
    </row>
    <row r="20" ht="15" customHeight="1" s="28">
      <c r="A20" s="182" t="n">
        <v>10</v>
      </c>
      <c r="B20" s="182" t="n">
        <v>9</v>
      </c>
      <c r="C20" s="182" t="n">
        <v>4785.04</v>
      </c>
      <c r="D20" s="182" t="n">
        <v>4814.9617</v>
      </c>
      <c r="E20" s="182" t="n">
        <v>-29.9217</v>
      </c>
      <c r="F20" s="182" t="n">
        <v>895.3075</v>
      </c>
      <c r="G20" s="182" t="n">
        <v>81</v>
      </c>
      <c r="H20" s="182" t="inlineStr"/>
      <c r="I20" s="182" t="inlineStr"/>
    </row>
    <row r="21" ht="15" customHeight="1" s="28">
      <c r="A21" s="181" t="n">
        <v>11</v>
      </c>
      <c r="B21" s="181" t="n">
        <v>10</v>
      </c>
      <c r="C21" s="181" t="n">
        <v>4787.16</v>
      </c>
      <c r="D21" s="181" t="n">
        <v>4814.6941</v>
      </c>
      <c r="E21" s="181" t="n">
        <v>-27.5341</v>
      </c>
      <c r="F21" s="181" t="n">
        <v>758.1261</v>
      </c>
      <c r="G21" s="181" t="n">
        <v>100</v>
      </c>
      <c r="H21" s="181" t="inlineStr"/>
      <c r="I21" s="181" t="inlineStr"/>
    </row>
    <row r="22" ht="15" customHeight="1" s="28">
      <c r="A22" s="182" t="n">
        <v>12</v>
      </c>
      <c r="B22" s="182" t="n">
        <v>11</v>
      </c>
      <c r="C22" s="182" t="n">
        <v>4789.22</v>
      </c>
      <c r="D22" s="182" t="n">
        <v>4814.4265</v>
      </c>
      <c r="E22" s="182" t="n">
        <v>-25.2065</v>
      </c>
      <c r="F22" s="182" t="n">
        <v>635.3665999999999</v>
      </c>
      <c r="G22" s="182" t="n">
        <v>121</v>
      </c>
      <c r="H22" s="182" t="inlineStr"/>
      <c r="I22" s="182" t="inlineStr"/>
    </row>
    <row r="23" ht="15" customHeight="1" s="28">
      <c r="A23" s="181" t="n">
        <v>13</v>
      </c>
      <c r="B23" s="181" t="n">
        <v>12</v>
      </c>
      <c r="C23" s="181" t="n">
        <v>4790.1</v>
      </c>
      <c r="D23" s="181" t="n">
        <v>4814.1589</v>
      </c>
      <c r="E23" s="181" t="n">
        <v>-24.0589</v>
      </c>
      <c r="F23" s="181" t="n">
        <v>578.8297</v>
      </c>
      <c r="G23" s="181" t="n">
        <v>144</v>
      </c>
      <c r="H23" s="181" t="inlineStr"/>
      <c r="I23" s="181" t="inlineStr"/>
    </row>
    <row r="24" ht="15" customHeight="1" s="28">
      <c r="A24" s="182" t="n">
        <v>14</v>
      </c>
      <c r="B24" s="182" t="n">
        <v>13</v>
      </c>
      <c r="C24" s="182" t="n">
        <v>4786.98</v>
      </c>
      <c r="D24" s="182" t="n">
        <v>4813.8913</v>
      </c>
      <c r="E24" s="182" t="n">
        <v>-26.9113</v>
      </c>
      <c r="F24" s="182" t="n">
        <v>724.2165</v>
      </c>
      <c r="G24" s="182" t="n">
        <v>169</v>
      </c>
      <c r="H24" s="182" t="inlineStr"/>
      <c r="I24" s="182" t="inlineStr"/>
    </row>
    <row r="25" ht="15" customHeight="1" s="28">
      <c r="A25" s="181" t="n">
        <v>15</v>
      </c>
      <c r="B25" s="181" t="n">
        <v>14</v>
      </c>
      <c r="C25" s="181" t="n">
        <v>4790.43</v>
      </c>
      <c r="D25" s="181" t="n">
        <v>4813.6237</v>
      </c>
      <c r="E25" s="181" t="n">
        <v>-23.1937</v>
      </c>
      <c r="F25" s="181" t="n">
        <v>537.9463</v>
      </c>
      <c r="G25" s="181" t="n">
        <v>196</v>
      </c>
      <c r="H25" s="181" t="inlineStr"/>
      <c r="I25" s="181" t="inlineStr"/>
    </row>
    <row r="26" ht="15" customHeight="1" s="28">
      <c r="A26" s="182" t="n">
        <v>16</v>
      </c>
      <c r="B26" s="182" t="n">
        <v>15</v>
      </c>
      <c r="C26" s="182" t="n">
        <v>4789.64</v>
      </c>
      <c r="D26" s="182" t="n">
        <v>4813.3561</v>
      </c>
      <c r="E26" s="182" t="n">
        <v>-23.7161</v>
      </c>
      <c r="F26" s="182" t="n">
        <v>562.452</v>
      </c>
      <c r="G26" s="182" t="n">
        <v>225</v>
      </c>
      <c r="H26" s="182" t="inlineStr"/>
      <c r="I26" s="182" t="inlineStr"/>
    </row>
    <row r="27" ht="15" customHeight="1" s="28">
      <c r="A27" s="181" t="n">
        <v>17</v>
      </c>
      <c r="B27" s="181" t="n">
        <v>16</v>
      </c>
      <c r="C27" s="181" t="n">
        <v>4790.03</v>
      </c>
      <c r="D27" s="181" t="n">
        <v>4813.0885</v>
      </c>
      <c r="E27" s="181" t="n">
        <v>-23.0585</v>
      </c>
      <c r="F27" s="181" t="n">
        <v>531.6926</v>
      </c>
      <c r="G27" s="181" t="n">
        <v>256</v>
      </c>
      <c r="H27" s="181" t="inlineStr"/>
      <c r="I27" s="181" t="inlineStr"/>
    </row>
    <row r="28" ht="15" customHeight="1" s="28">
      <c r="A28" s="182" t="n">
        <v>18</v>
      </c>
      <c r="B28" s="182" t="n">
        <v>17</v>
      </c>
      <c r="C28" s="182" t="n">
        <v>4790.76</v>
      </c>
      <c r="D28" s="182" t="n">
        <v>4812.8209</v>
      </c>
      <c r="E28" s="182" t="n">
        <v>-22.0609</v>
      </c>
      <c r="F28" s="182" t="n">
        <v>486.6815</v>
      </c>
      <c r="G28" s="182" t="n">
        <v>289</v>
      </c>
      <c r="H28" s="182" t="inlineStr"/>
      <c r="I28" s="182" t="inlineStr"/>
    </row>
    <row r="29" ht="15" customHeight="1" s="28">
      <c r="A29" s="181" t="n">
        <v>19</v>
      </c>
      <c r="B29" s="181" t="n">
        <v>18</v>
      </c>
      <c r="C29" s="181" t="n">
        <v>4797.59</v>
      </c>
      <c r="D29" s="181" t="n">
        <v>4812.5532</v>
      </c>
      <c r="E29" s="181" t="n">
        <v>-14.9632</v>
      </c>
      <c r="F29" s="181" t="n">
        <v>223.8989</v>
      </c>
      <c r="G29" s="181" t="n">
        <v>324</v>
      </c>
      <c r="H29" s="181" t="inlineStr"/>
      <c r="I29" s="181" t="inlineStr"/>
    </row>
    <row r="30" ht="15" customHeight="1" s="28">
      <c r="A30" s="182" t="n">
        <v>20</v>
      </c>
      <c r="B30" s="182" t="n">
        <v>19</v>
      </c>
      <c r="C30" s="182" t="n">
        <v>4793.52</v>
      </c>
      <c r="D30" s="182" t="n">
        <v>4812.2856</v>
      </c>
      <c r="E30" s="182" t="n">
        <v>-18.7656</v>
      </c>
      <c r="F30" s="182" t="n">
        <v>352.1496</v>
      </c>
      <c r="G30" s="182" t="n">
        <v>361</v>
      </c>
      <c r="H30" s="182" t="inlineStr"/>
      <c r="I30" s="182" t="inlineStr"/>
    </row>
    <row r="31" ht="15" customHeight="1" s="28">
      <c r="A31" s="181" t="n">
        <v>21</v>
      </c>
      <c r="B31" s="181" t="n">
        <v>20</v>
      </c>
      <c r="C31" s="181" t="n">
        <v>4790.59</v>
      </c>
      <c r="D31" s="181" t="n">
        <v>4812.018</v>
      </c>
      <c r="E31" s="181" t="n">
        <v>-21.428</v>
      </c>
      <c r="F31" s="181" t="n">
        <v>459.1609</v>
      </c>
      <c r="G31" s="181" t="n">
        <v>400</v>
      </c>
      <c r="H31" s="181" t="inlineStr"/>
      <c r="I31" s="181" t="inlineStr"/>
    </row>
    <row r="32" ht="15" customHeight="1" s="28">
      <c r="A32" s="182" t="n">
        <v>22</v>
      </c>
      <c r="B32" s="182" t="n">
        <v>21</v>
      </c>
      <c r="C32" s="182" t="n">
        <v>4789.04</v>
      </c>
      <c r="D32" s="182" t="n">
        <v>4811.7504</v>
      </c>
      <c r="E32" s="182" t="n">
        <v>-22.7104</v>
      </c>
      <c r="F32" s="182" t="n">
        <v>515.7641</v>
      </c>
      <c r="G32" s="182" t="n">
        <v>441</v>
      </c>
      <c r="H32" s="182" t="inlineStr"/>
      <c r="I32" s="182" t="inlineStr"/>
    </row>
    <row r="33" ht="15" customHeight="1" s="28">
      <c r="A33" s="181" t="n">
        <v>23</v>
      </c>
      <c r="B33" s="181" t="n">
        <v>22</v>
      </c>
      <c r="C33" s="181" t="n">
        <v>4788.68</v>
      </c>
      <c r="D33" s="181" t="n">
        <v>4811.4828</v>
      </c>
      <c r="E33" s="181" t="n">
        <v>-22.8028</v>
      </c>
      <c r="F33" s="181" t="n">
        <v>519.9695</v>
      </c>
      <c r="G33" s="181" t="n">
        <v>484</v>
      </c>
      <c r="H33" s="181" t="inlineStr"/>
      <c r="I33" s="181" t="inlineStr"/>
    </row>
    <row r="34" ht="15" customHeight="1" s="28">
      <c r="A34" s="182" t="n">
        <v>24</v>
      </c>
      <c r="B34" s="182" t="n">
        <v>23</v>
      </c>
      <c r="C34" s="182" t="n">
        <v>4790.84</v>
      </c>
      <c r="D34" s="182" t="n">
        <v>4811.2152</v>
      </c>
      <c r="E34" s="182" t="n">
        <v>-20.3752</v>
      </c>
      <c r="F34" s="182" t="n">
        <v>415.15</v>
      </c>
      <c r="G34" s="182" t="n">
        <v>529</v>
      </c>
      <c r="H34" s="182" t="inlineStr"/>
      <c r="I34" s="182" t="inlineStr"/>
    </row>
    <row r="35" ht="15" customHeight="1" s="28">
      <c r="A35" s="181" t="n">
        <v>25</v>
      </c>
      <c r="B35" s="181" t="n">
        <v>24</v>
      </c>
      <c r="C35" s="181" t="n">
        <v>4795.24</v>
      </c>
      <c r="D35" s="181" t="n">
        <v>4810.9476</v>
      </c>
      <c r="E35" s="181" t="n">
        <v>-15.7076</v>
      </c>
      <c r="F35" s="181" t="n">
        <v>246.7296</v>
      </c>
      <c r="G35" s="181" t="n">
        <v>576</v>
      </c>
      <c r="H35" s="181" t="inlineStr"/>
      <c r="I35" s="181" t="inlineStr"/>
    </row>
    <row r="36" ht="15" customHeight="1" s="28">
      <c r="A36" s="182" t="n">
        <v>26</v>
      </c>
      <c r="B36" s="182" t="n">
        <v>25</v>
      </c>
      <c r="C36" s="182" t="n">
        <v>4794</v>
      </c>
      <c r="D36" s="182" t="n">
        <v>4810.68</v>
      </c>
      <c r="E36" s="182" t="n">
        <v>-16.68</v>
      </c>
      <c r="F36" s="182" t="n">
        <v>278.2231</v>
      </c>
      <c r="G36" s="182" t="n">
        <v>625</v>
      </c>
      <c r="H36" s="182" t="inlineStr"/>
      <c r="I36" s="182" t="inlineStr"/>
    </row>
    <row r="37" ht="15" customHeight="1" s="28">
      <c r="A37" s="181" t="n">
        <v>27</v>
      </c>
      <c r="B37" s="181" t="n">
        <v>26</v>
      </c>
      <c r="C37" s="181" t="n">
        <v>4795.5</v>
      </c>
      <c r="D37" s="181" t="n">
        <v>4810.4124</v>
      </c>
      <c r="E37" s="181" t="n">
        <v>-14.9124</v>
      </c>
      <c r="F37" s="181" t="n">
        <v>222.3803</v>
      </c>
      <c r="G37" s="181" t="n">
        <v>676</v>
      </c>
      <c r="H37" s="181" t="inlineStr"/>
      <c r="I37" s="181" t="inlineStr"/>
    </row>
    <row r="38" ht="15" customHeight="1" s="28">
      <c r="A38" s="182" t="n">
        <v>28</v>
      </c>
      <c r="B38" s="182" t="n">
        <v>27</v>
      </c>
      <c r="C38" s="182" t="n">
        <v>4795.41</v>
      </c>
      <c r="D38" s="182" t="n">
        <v>4810.1448</v>
      </c>
      <c r="E38" s="182" t="n">
        <v>-14.7348</v>
      </c>
      <c r="F38" s="182" t="n">
        <v>217.1149</v>
      </c>
      <c r="G38" s="182" t="n">
        <v>729</v>
      </c>
      <c r="H38" s="182" t="inlineStr"/>
      <c r="I38" s="182" t="inlineStr"/>
    </row>
    <row r="39" ht="15" customHeight="1" s="28">
      <c r="A39" s="181" t="n">
        <v>29</v>
      </c>
      <c r="B39" s="181" t="n">
        <v>28</v>
      </c>
      <c r="C39" s="181" t="n">
        <v>4793.16</v>
      </c>
      <c r="D39" s="181" t="n">
        <v>4809.8772</v>
      </c>
      <c r="E39" s="181" t="n">
        <v>-16.7172</v>
      </c>
      <c r="F39" s="181" t="n">
        <v>279.4651</v>
      </c>
      <c r="G39" s="181" t="n">
        <v>784</v>
      </c>
      <c r="H39" s="181" t="inlineStr"/>
      <c r="I39" s="181" t="inlineStr"/>
    </row>
    <row r="40" ht="15" customHeight="1" s="28">
      <c r="A40" s="182" t="n">
        <v>30</v>
      </c>
      <c r="B40" s="182" t="n">
        <v>29</v>
      </c>
      <c r="C40" s="182" t="n">
        <v>4794.46</v>
      </c>
      <c r="D40" s="182" t="n">
        <v>4809.6096</v>
      </c>
      <c r="E40" s="182" t="n">
        <v>-15.1496</v>
      </c>
      <c r="F40" s="182" t="n">
        <v>229.5107</v>
      </c>
      <c r="G40" s="182" t="n">
        <v>841</v>
      </c>
      <c r="H40" s="182" t="inlineStr"/>
      <c r="I40" s="182" t="inlineStr"/>
    </row>
    <row r="41" ht="15" customHeight="1" s="28">
      <c r="A41" s="181" t="n">
        <v>31</v>
      </c>
      <c r="B41" s="181" t="n">
        <v>30</v>
      </c>
      <c r="C41" s="181" t="n">
        <v>4795.82</v>
      </c>
      <c r="D41" s="181" t="n">
        <v>4809.342</v>
      </c>
      <c r="E41" s="181" t="n">
        <v>-13.522</v>
      </c>
      <c r="F41" s="181" t="n">
        <v>182.8445</v>
      </c>
      <c r="G41" s="181" t="n">
        <v>900</v>
      </c>
      <c r="H41" s="181" t="inlineStr"/>
      <c r="I41" s="181" t="inlineStr"/>
    </row>
    <row r="42" ht="15" customHeight="1" s="28">
      <c r="A42" s="182" t="n">
        <v>32</v>
      </c>
      <c r="B42" s="182" t="n">
        <v>31</v>
      </c>
      <c r="C42" s="182" t="n">
        <v>4792.13</v>
      </c>
      <c r="D42" s="182" t="n">
        <v>4809.0744</v>
      </c>
      <c r="E42" s="182" t="n">
        <v>-16.9444</v>
      </c>
      <c r="F42" s="182" t="n">
        <v>287.1127</v>
      </c>
      <c r="G42" s="182" t="n">
        <v>961</v>
      </c>
      <c r="H42" s="182" t="inlineStr"/>
      <c r="I42" s="182" t="inlineStr"/>
    </row>
    <row r="43" ht="15" customHeight="1" s="28">
      <c r="A43" s="181" t="n">
        <v>33</v>
      </c>
      <c r="B43" s="181" t="n">
        <v>32</v>
      </c>
      <c r="C43" s="181" t="n">
        <v>4790.4</v>
      </c>
      <c r="D43" s="181" t="n">
        <v>4808.8068</v>
      </c>
      <c r="E43" s="181" t="n">
        <v>-18.4068</v>
      </c>
      <c r="F43" s="181" t="n">
        <v>338.8103</v>
      </c>
      <c r="G43" s="181" t="n">
        <v>1024</v>
      </c>
      <c r="H43" s="181" t="inlineStr"/>
      <c r="I43" s="181" t="inlineStr"/>
    </row>
    <row r="44" ht="15" customHeight="1" s="28">
      <c r="A44" s="182" t="n">
        <v>34</v>
      </c>
      <c r="B44" s="182" t="n">
        <v>33</v>
      </c>
      <c r="C44" s="182" t="n">
        <v>4792.86</v>
      </c>
      <c r="D44" s="182" t="n">
        <v>4808.5392</v>
      </c>
      <c r="E44" s="182" t="n">
        <v>-15.6792</v>
      </c>
      <c r="F44" s="182" t="n">
        <v>245.837</v>
      </c>
      <c r="G44" s="182" t="n">
        <v>1089</v>
      </c>
      <c r="H44" s="182" t="inlineStr"/>
      <c r="I44" s="182" t="inlineStr"/>
    </row>
    <row r="45" ht="15" customHeight="1" s="28">
      <c r="A45" s="181" t="n">
        <v>35</v>
      </c>
      <c r="B45" s="181" t="n">
        <v>34</v>
      </c>
      <c r="C45" s="181" t="n">
        <v>4798.4</v>
      </c>
      <c r="D45" s="181" t="n">
        <v>4808.2716</v>
      </c>
      <c r="E45" s="181" t="n">
        <v>-9.871600000000001</v>
      </c>
      <c r="F45" s="181" t="n">
        <v>97.4483</v>
      </c>
      <c r="G45" s="181" t="n">
        <v>1156</v>
      </c>
      <c r="H45" s="181" t="inlineStr"/>
      <c r="I45" s="181" t="inlineStr"/>
    </row>
    <row r="46" ht="15" customHeight="1" s="28">
      <c r="A46" s="182" t="n">
        <v>36</v>
      </c>
      <c r="B46" s="182" t="n">
        <v>35</v>
      </c>
      <c r="C46" s="182" t="n">
        <v>4794.9</v>
      </c>
      <c r="D46" s="182" t="n">
        <v>4808.004</v>
      </c>
      <c r="E46" s="182" t="n">
        <v>-13.104</v>
      </c>
      <c r="F46" s="182" t="n">
        <v>171.7143</v>
      </c>
      <c r="G46" s="182" t="n">
        <v>1225</v>
      </c>
      <c r="H46" s="182" t="inlineStr"/>
      <c r="I46" s="182" t="inlineStr"/>
    </row>
    <row r="47" ht="15" customHeight="1" s="28">
      <c r="A47" s="181" t="n">
        <v>37</v>
      </c>
      <c r="B47" s="181" t="n">
        <v>36</v>
      </c>
      <c r="C47" s="181" t="n">
        <v>4779.32</v>
      </c>
      <c r="D47" s="181" t="n">
        <v>4807.7364</v>
      </c>
      <c r="E47" s="181" t="n">
        <v>-28.4164</v>
      </c>
      <c r="F47" s="181" t="n">
        <v>807.4906999999999</v>
      </c>
      <c r="G47" s="181" t="n">
        <v>1296</v>
      </c>
      <c r="H47" s="181" t="inlineStr"/>
      <c r="I47" s="181" t="inlineStr"/>
    </row>
    <row r="48" ht="15" customHeight="1" s="28">
      <c r="A48" s="182" t="n">
        <v>38</v>
      </c>
      <c r="B48" s="182" t="n">
        <v>37</v>
      </c>
      <c r="C48" s="182" t="n">
        <v>4769.01</v>
      </c>
      <c r="D48" s="182" t="n">
        <v>4807.4688</v>
      </c>
      <c r="E48" s="182" t="n">
        <v>-38.4588</v>
      </c>
      <c r="F48" s="182" t="n">
        <v>1479.0778</v>
      </c>
      <c r="G48" s="182" t="n">
        <v>1369</v>
      </c>
      <c r="H48" s="182" t="inlineStr"/>
      <c r="I48" s="182" t="inlineStr"/>
    </row>
    <row r="49" ht="15" customHeight="1" s="28">
      <c r="A49" s="181" t="n">
        <v>39</v>
      </c>
      <c r="B49" s="181" t="n">
        <v>38</v>
      </c>
      <c r="C49" s="181" t="n">
        <v>4777.87</v>
      </c>
      <c r="D49" s="181" t="n">
        <v>4807.2012</v>
      </c>
      <c r="E49" s="181" t="n">
        <v>-29.3312</v>
      </c>
      <c r="F49" s="181" t="n">
        <v>860.3175</v>
      </c>
      <c r="G49" s="181" t="n">
        <v>1444</v>
      </c>
      <c r="H49" s="181" t="inlineStr"/>
      <c r="I49" s="181" t="inlineStr"/>
    </row>
    <row r="50" ht="15" customHeight="1" s="28">
      <c r="A50" s="182" t="n">
        <v>40</v>
      </c>
      <c r="B50" s="182" t="n">
        <v>39</v>
      </c>
      <c r="C50" s="182" t="n">
        <v>4789.48</v>
      </c>
      <c r="D50" s="182" t="n">
        <v>4806.9336</v>
      </c>
      <c r="E50" s="182" t="n">
        <v>-17.4536</v>
      </c>
      <c r="F50" s="182" t="n">
        <v>304.6271</v>
      </c>
      <c r="G50" s="182" t="n">
        <v>1521</v>
      </c>
      <c r="H50" s="182" t="inlineStr"/>
      <c r="I50" s="182" t="inlineStr"/>
    </row>
    <row r="51" ht="15" customHeight="1" s="28">
      <c r="A51" s="181" t="n">
        <v>41</v>
      </c>
      <c r="B51" s="181" t="n">
        <v>40</v>
      </c>
      <c r="C51" s="181" t="n">
        <v>4791.35</v>
      </c>
      <c r="D51" s="181" t="n">
        <v>4806.666</v>
      </c>
      <c r="E51" s="181" t="n">
        <v>-15.316</v>
      </c>
      <c r="F51" s="181" t="n">
        <v>234.5786</v>
      </c>
      <c r="G51" s="181" t="n">
        <v>1600</v>
      </c>
      <c r="H51" s="181" t="inlineStr"/>
      <c r="I51" s="181" t="inlineStr"/>
    </row>
    <row r="52" ht="15" customHeight="1" s="28">
      <c r="A52" s="182" t="n">
        <v>42</v>
      </c>
      <c r="B52" s="182" t="n">
        <v>41</v>
      </c>
      <c r="C52" s="182" t="n">
        <v>4788.86</v>
      </c>
      <c r="D52" s="182" t="n">
        <v>4806.3984</v>
      </c>
      <c r="E52" s="182" t="n">
        <v>-17.5384</v>
      </c>
      <c r="F52" s="182" t="n">
        <v>307.5941</v>
      </c>
      <c r="G52" s="182" t="n">
        <v>1681</v>
      </c>
      <c r="H52" s="182" t="inlineStr"/>
      <c r="I52" s="182" t="inlineStr"/>
    </row>
    <row r="53" ht="15" customHeight="1" s="28">
      <c r="A53" s="181" t="n">
        <v>43</v>
      </c>
      <c r="B53" s="181" t="n">
        <v>42</v>
      </c>
      <c r="C53" s="181" t="n">
        <v>4791.57</v>
      </c>
      <c r="D53" s="181" t="n">
        <v>4806.1308</v>
      </c>
      <c r="E53" s="181" t="n">
        <v>-14.5608</v>
      </c>
      <c r="F53" s="181" t="n">
        <v>212.0154</v>
      </c>
      <c r="G53" s="181" t="n">
        <v>1764</v>
      </c>
      <c r="H53" s="181" t="inlineStr"/>
      <c r="I53" s="181" t="inlineStr"/>
    </row>
    <row r="54" ht="15" customHeight="1" s="28">
      <c r="A54" s="182" t="n">
        <v>44</v>
      </c>
      <c r="B54" s="182" t="n">
        <v>43</v>
      </c>
      <c r="C54" s="182" t="n">
        <v>4784.81</v>
      </c>
      <c r="D54" s="182" t="n">
        <v>4805.8632</v>
      </c>
      <c r="E54" s="182" t="n">
        <v>-21.0531</v>
      </c>
      <c r="F54" s="182" t="n">
        <v>443.2351</v>
      </c>
      <c r="G54" s="182" t="n">
        <v>1849</v>
      </c>
      <c r="H54" s="182" t="inlineStr"/>
      <c r="I54" s="182" t="inlineStr"/>
    </row>
    <row r="55" ht="15" customHeight="1" s="28">
      <c r="A55" s="181" t="n">
        <v>45</v>
      </c>
      <c r="B55" s="181" t="n">
        <v>44</v>
      </c>
      <c r="C55" s="181" t="n">
        <v>4795.86</v>
      </c>
      <c r="D55" s="181" t="n">
        <v>4805.5956</v>
      </c>
      <c r="E55" s="181" t="n">
        <v>-9.7356</v>
      </c>
      <c r="F55" s="181" t="n">
        <v>94.7809</v>
      </c>
      <c r="G55" s="181" t="n">
        <v>1936</v>
      </c>
      <c r="H55" s="181" t="inlineStr"/>
      <c r="I55" s="181" t="inlineStr"/>
    </row>
    <row r="56" ht="15" customHeight="1" s="28">
      <c r="A56" s="182" t="n">
        <v>46</v>
      </c>
      <c r="B56" s="182" t="n">
        <v>45</v>
      </c>
      <c r="C56" s="182" t="n">
        <v>4793.93</v>
      </c>
      <c r="D56" s="182" t="n">
        <v>4805.3279</v>
      </c>
      <c r="E56" s="182" t="n">
        <v>-11.3979</v>
      </c>
      <c r="F56" s="182" t="n">
        <v>129.913</v>
      </c>
      <c r="G56" s="182" t="n">
        <v>2025</v>
      </c>
      <c r="H56" s="182" t="inlineStr"/>
      <c r="I56" s="182" t="inlineStr"/>
    </row>
    <row r="57" ht="15" customHeight="1" s="28">
      <c r="A57" s="181" t="n">
        <v>47</v>
      </c>
      <c r="B57" s="181" t="n">
        <v>46</v>
      </c>
      <c r="C57" s="181" t="n">
        <v>4794.26</v>
      </c>
      <c r="D57" s="181" t="n">
        <v>4805.0603</v>
      </c>
      <c r="E57" s="181" t="n">
        <v>-10.8003</v>
      </c>
      <c r="F57" s="181" t="n">
        <v>116.6473</v>
      </c>
      <c r="G57" s="181" t="n">
        <v>2116</v>
      </c>
      <c r="H57" s="181" t="inlineStr"/>
      <c r="I57" s="181" t="inlineStr"/>
    </row>
    <row r="58" ht="15" customHeight="1" s="28">
      <c r="A58" s="182" t="n">
        <v>48</v>
      </c>
      <c r="B58" s="182" t="n">
        <v>47</v>
      </c>
      <c r="C58" s="182" t="n">
        <v>4793.09</v>
      </c>
      <c r="D58" s="182" t="n">
        <v>4804.7927</v>
      </c>
      <c r="E58" s="182" t="n">
        <v>-11.7027</v>
      </c>
      <c r="F58" s="182" t="n">
        <v>136.9539</v>
      </c>
      <c r="G58" s="182" t="n">
        <v>2209</v>
      </c>
      <c r="H58" s="182" t="inlineStr"/>
      <c r="I58" s="182" t="inlineStr"/>
    </row>
    <row r="59" ht="15" customHeight="1" s="28">
      <c r="A59" s="181" t="n">
        <v>49</v>
      </c>
      <c r="B59" s="181" t="n">
        <v>48</v>
      </c>
      <c r="C59" s="181" t="n">
        <v>4795.16</v>
      </c>
      <c r="D59" s="181" t="n">
        <v>4804.5251</v>
      </c>
      <c r="E59" s="181" t="n">
        <v>-9.3651</v>
      </c>
      <c r="F59" s="181" t="n">
        <v>87.70569999999999</v>
      </c>
      <c r="G59" s="181" t="n">
        <v>2304</v>
      </c>
      <c r="H59" s="181" t="inlineStr"/>
      <c r="I59" s="181" t="inlineStr"/>
    </row>
    <row r="60" ht="15" customHeight="1" s="28">
      <c r="A60" s="182" t="n">
        <v>50</v>
      </c>
      <c r="B60" s="182" t="n">
        <v>49</v>
      </c>
      <c r="C60" s="182" t="n">
        <v>4795.87</v>
      </c>
      <c r="D60" s="182" t="n">
        <v>4804.2575</v>
      </c>
      <c r="E60" s="182" t="n">
        <v>-8.387499999999999</v>
      </c>
      <c r="F60" s="182" t="n">
        <v>70.3507</v>
      </c>
      <c r="G60" s="182" t="n">
        <v>2401</v>
      </c>
      <c r="H60" s="182" t="inlineStr"/>
      <c r="I60" s="182" t="inlineStr"/>
    </row>
    <row r="61" ht="15" customHeight="1" s="28">
      <c r="A61" s="181" t="n">
        <v>51</v>
      </c>
      <c r="B61" s="181" t="n">
        <v>50</v>
      </c>
      <c r="C61" s="181" t="n">
        <v>4801.05</v>
      </c>
      <c r="D61" s="181" t="n">
        <v>4803.9899</v>
      </c>
      <c r="E61" s="181" t="n">
        <v>-2.9399</v>
      </c>
      <c r="F61" s="181" t="n">
        <v>8.6431</v>
      </c>
      <c r="G61" s="181" t="n">
        <v>2500</v>
      </c>
      <c r="H61" s="181" t="inlineStr"/>
      <c r="I61" s="181" t="inlineStr"/>
    </row>
    <row r="62" ht="15" customHeight="1" s="28">
      <c r="A62" s="182" t="n">
        <v>52</v>
      </c>
      <c r="B62" s="182" t="n">
        <v>51</v>
      </c>
      <c r="C62" s="182" t="n">
        <v>4803.04</v>
      </c>
      <c r="D62" s="182" t="n">
        <v>4803.7223</v>
      </c>
      <c r="E62" s="182" t="n">
        <v>-0.6823</v>
      </c>
      <c r="F62" s="182" t="n">
        <v>0.4656</v>
      </c>
      <c r="G62" s="182" t="n">
        <v>2601</v>
      </c>
      <c r="H62" s="182" t="inlineStr"/>
      <c r="I62" s="182" t="inlineStr"/>
    </row>
    <row r="63" ht="15" customHeight="1" s="28">
      <c r="A63" s="181" t="n">
        <v>53</v>
      </c>
      <c r="B63" s="181" t="n">
        <v>52</v>
      </c>
      <c r="C63" s="181" t="n">
        <v>4804.78</v>
      </c>
      <c r="D63" s="181" t="n">
        <v>4803.4547</v>
      </c>
      <c r="E63" s="181" t="n">
        <v>1.3253</v>
      </c>
      <c r="F63" s="181" t="n">
        <v>1.7564</v>
      </c>
      <c r="G63" s="181" t="n">
        <v>2704</v>
      </c>
      <c r="H63" s="181" t="inlineStr"/>
      <c r="I63" s="181" t="inlineStr"/>
    </row>
    <row r="64" ht="15" customHeight="1" s="28">
      <c r="A64" s="182" t="n">
        <v>54</v>
      </c>
      <c r="B64" s="182" t="n">
        <v>53</v>
      </c>
      <c r="C64" s="182" t="n">
        <v>4803.25</v>
      </c>
      <c r="D64" s="182" t="n">
        <v>4803.1871</v>
      </c>
      <c r="E64" s="182" t="n">
        <v>0.0629</v>
      </c>
      <c r="F64" s="182" t="n">
        <v>0.004</v>
      </c>
      <c r="G64" s="182" t="n">
        <v>2809</v>
      </c>
      <c r="H64" s="182" t="inlineStr"/>
      <c r="I64" s="182" t="inlineStr"/>
    </row>
    <row r="65" ht="15" customHeight="1" s="28">
      <c r="A65" s="181" t="n">
        <v>55</v>
      </c>
      <c r="B65" s="181" t="n">
        <v>54</v>
      </c>
      <c r="C65" s="181" t="n">
        <v>4796.48</v>
      </c>
      <c r="D65" s="181" t="n">
        <v>4802.9195</v>
      </c>
      <c r="E65" s="181" t="n">
        <v>-6.4395</v>
      </c>
      <c r="F65" s="181" t="n">
        <v>41.4673</v>
      </c>
      <c r="G65" s="181" t="n">
        <v>2916</v>
      </c>
      <c r="H65" s="181" t="inlineStr"/>
      <c r="I65" s="181" t="inlineStr"/>
    </row>
    <row r="66" ht="15" customHeight="1" s="28">
      <c r="A66" s="182" t="n">
        <v>56</v>
      </c>
      <c r="B66" s="182" t="n">
        <v>55</v>
      </c>
      <c r="C66" s="182" t="n">
        <v>4794.41</v>
      </c>
      <c r="D66" s="182" t="n">
        <v>4802.6519</v>
      </c>
      <c r="E66" s="182" t="n">
        <v>-8.241899999999999</v>
      </c>
      <c r="F66" s="182" t="n">
        <v>67.9289</v>
      </c>
      <c r="G66" s="182" t="n">
        <v>3025</v>
      </c>
      <c r="H66" s="182" t="inlineStr"/>
      <c r="I66" s="182" t="inlineStr"/>
    </row>
    <row r="67" ht="15" customHeight="1" s="28">
      <c r="A67" s="181" t="n">
        <v>57</v>
      </c>
      <c r="B67" s="181" t="n">
        <v>56</v>
      </c>
      <c r="C67" s="181" t="n">
        <v>4787.73</v>
      </c>
      <c r="D67" s="181" t="n">
        <v>4802.3843</v>
      </c>
      <c r="E67" s="181" t="n">
        <v>-14.6543</v>
      </c>
      <c r="F67" s="181" t="n">
        <v>214.7485</v>
      </c>
      <c r="G67" s="181" t="n">
        <v>3136</v>
      </c>
      <c r="H67" s="181" t="inlineStr"/>
      <c r="I67" s="181" t="inlineStr"/>
    </row>
    <row r="68" ht="15" customHeight="1" s="28">
      <c r="A68" s="182" t="n">
        <v>58</v>
      </c>
      <c r="B68" s="182" t="n">
        <v>57</v>
      </c>
      <c r="C68" s="182" t="n">
        <v>4783.78</v>
      </c>
      <c r="D68" s="182" t="n">
        <v>4802.1167</v>
      </c>
      <c r="E68" s="182" t="n">
        <v>-18.3367</v>
      </c>
      <c r="F68" s="182" t="n">
        <v>336.2342</v>
      </c>
      <c r="G68" s="182" t="n">
        <v>3249</v>
      </c>
      <c r="H68" s="182" t="inlineStr"/>
      <c r="I68" s="182" t="inlineStr"/>
    </row>
    <row r="69" ht="15" customHeight="1" s="28">
      <c r="A69" s="181" t="n">
        <v>59</v>
      </c>
      <c r="B69" s="181" t="n">
        <v>58</v>
      </c>
      <c r="C69" s="181" t="n">
        <v>4785.67</v>
      </c>
      <c r="D69" s="181" t="n">
        <v>4801.8491</v>
      </c>
      <c r="E69" s="181" t="n">
        <v>-16.1791</v>
      </c>
      <c r="F69" s="181" t="n">
        <v>261.763</v>
      </c>
      <c r="G69" s="181" t="n">
        <v>3364</v>
      </c>
      <c r="H69" s="181" t="inlineStr"/>
      <c r="I69" s="181" t="inlineStr"/>
    </row>
    <row r="70" ht="15" customHeight="1" s="28">
      <c r="A70" s="182" t="n">
        <v>60</v>
      </c>
      <c r="B70" s="182" t="n">
        <v>59</v>
      </c>
      <c r="C70" s="182" t="n">
        <v>4785.07</v>
      </c>
      <c r="D70" s="182" t="n">
        <v>4801.5815</v>
      </c>
      <c r="E70" s="182" t="n">
        <v>-16.5115</v>
      </c>
      <c r="F70" s="182" t="n">
        <v>272.6293</v>
      </c>
      <c r="G70" s="182" t="n">
        <v>3481</v>
      </c>
      <c r="H70" s="182" t="inlineStr"/>
      <c r="I70" s="182" t="inlineStr"/>
    </row>
    <row r="71" ht="15" customHeight="1" s="28">
      <c r="A71" s="181" t="n">
        <v>61</v>
      </c>
      <c r="B71" s="181" t="n">
        <v>60</v>
      </c>
      <c r="C71" s="181" t="n">
        <v>4787.12</v>
      </c>
      <c r="D71" s="181" t="n">
        <v>4801.3139</v>
      </c>
      <c r="E71" s="181" t="n">
        <v>-14.1939</v>
      </c>
      <c r="F71" s="181" t="n">
        <v>201.4662</v>
      </c>
      <c r="G71" s="181" t="n">
        <v>3600</v>
      </c>
      <c r="H71" s="181" t="inlineStr"/>
      <c r="I71" s="181" t="inlineStr"/>
    </row>
    <row r="72" ht="15" customHeight="1" s="28">
      <c r="A72" s="182" t="n">
        <v>62</v>
      </c>
      <c r="B72" s="182" t="n">
        <v>61</v>
      </c>
      <c r="C72" s="182" t="n">
        <v>4791.72</v>
      </c>
      <c r="D72" s="182" t="n">
        <v>4801.0463</v>
      </c>
      <c r="E72" s="182" t="n">
        <v>-9.3263</v>
      </c>
      <c r="F72" s="182" t="n">
        <v>86.9795</v>
      </c>
      <c r="G72" s="182" t="n">
        <v>3721</v>
      </c>
      <c r="H72" s="182" t="inlineStr"/>
      <c r="I72" s="182" t="inlineStr"/>
    </row>
    <row r="73" ht="15" customHeight="1" s="28">
      <c r="A73" s="181" t="n">
        <v>63</v>
      </c>
      <c r="B73" s="181" t="n">
        <v>62</v>
      </c>
      <c r="C73" s="181" t="n">
        <v>4785.87</v>
      </c>
      <c r="D73" s="181" t="n">
        <v>4800.7787</v>
      </c>
      <c r="E73" s="181" t="n">
        <v>-14.9087</v>
      </c>
      <c r="F73" s="181" t="n">
        <v>222.2684</v>
      </c>
      <c r="G73" s="181" t="n">
        <v>3844</v>
      </c>
      <c r="H73" s="181" t="inlineStr"/>
      <c r="I73" s="181" t="inlineStr"/>
    </row>
    <row r="74" ht="15" customHeight="1" s="28">
      <c r="A74" s="182" t="n">
        <v>64</v>
      </c>
      <c r="B74" s="182" t="n">
        <v>63</v>
      </c>
      <c r="C74" s="182" t="n">
        <v>4784.38</v>
      </c>
      <c r="D74" s="182" t="n">
        <v>4800.5111</v>
      </c>
      <c r="E74" s="182" t="n">
        <v>-16.1311</v>
      </c>
      <c r="F74" s="182" t="n">
        <v>260.2114</v>
      </c>
      <c r="G74" s="182" t="n">
        <v>3969</v>
      </c>
      <c r="H74" s="182" t="inlineStr"/>
      <c r="I74" s="182" t="inlineStr"/>
    </row>
    <row r="75" ht="15" customHeight="1" s="28">
      <c r="A75" s="181" t="n">
        <v>65</v>
      </c>
      <c r="B75" s="181" t="n">
        <v>64</v>
      </c>
      <c r="C75" s="181" t="n">
        <v>4783.7</v>
      </c>
      <c r="D75" s="181" t="n">
        <v>4800.2435</v>
      </c>
      <c r="E75" s="181" t="n">
        <v>-16.5435</v>
      </c>
      <c r="F75" s="181" t="n">
        <v>273.6864</v>
      </c>
      <c r="G75" s="181" t="n">
        <v>4096</v>
      </c>
      <c r="H75" s="181" t="inlineStr"/>
      <c r="I75" s="181" t="inlineStr"/>
    </row>
    <row r="76" ht="15" customHeight="1" s="28">
      <c r="A76" s="182" t="n">
        <v>66</v>
      </c>
      <c r="B76" s="182" t="n">
        <v>65</v>
      </c>
      <c r="C76" s="182" t="n">
        <v>4784.58</v>
      </c>
      <c r="D76" s="182" t="n">
        <v>4799.9759</v>
      </c>
      <c r="E76" s="182" t="n">
        <v>-15.3959</v>
      </c>
      <c r="F76" s="182" t="n">
        <v>237.0325</v>
      </c>
      <c r="G76" s="182" t="n">
        <v>4225</v>
      </c>
      <c r="H76" s="182" t="inlineStr"/>
      <c r="I76" s="182" t="inlineStr"/>
    </row>
    <row r="77" ht="15" customHeight="1" s="28">
      <c r="A77" s="181" t="n">
        <v>67</v>
      </c>
      <c r="B77" s="181" t="n">
        <v>66</v>
      </c>
      <c r="C77" s="181" t="n">
        <v>4797.03</v>
      </c>
      <c r="D77" s="181" t="n">
        <v>4799.7083</v>
      </c>
      <c r="E77" s="181" t="n">
        <v>-2.6783</v>
      </c>
      <c r="F77" s="181" t="n">
        <v>7.1731</v>
      </c>
      <c r="G77" s="181" t="n">
        <v>4356</v>
      </c>
      <c r="H77" s="181" t="inlineStr"/>
      <c r="I77" s="181" t="inlineStr"/>
    </row>
    <row r="78" ht="15" customHeight="1" s="28">
      <c r="A78" s="182" t="n">
        <v>68</v>
      </c>
      <c r="B78" s="182" t="n">
        <v>67</v>
      </c>
      <c r="C78" s="182" t="n">
        <v>4796.09</v>
      </c>
      <c r="D78" s="182" t="n">
        <v>4799.4406</v>
      </c>
      <c r="E78" s="182" t="n">
        <v>-3.3506</v>
      </c>
      <c r="F78" s="182" t="n">
        <v>11.2269</v>
      </c>
      <c r="G78" s="182" t="n">
        <v>4489</v>
      </c>
      <c r="H78" s="182" t="inlineStr"/>
      <c r="I78" s="182" t="inlineStr"/>
    </row>
    <row r="79" ht="15" customHeight="1" s="28">
      <c r="A79" s="181" t="n">
        <v>69</v>
      </c>
      <c r="B79" s="181" t="n">
        <v>68</v>
      </c>
      <c r="C79" s="181" t="n">
        <v>4793.1</v>
      </c>
      <c r="D79" s="181" t="n">
        <v>4799.1731</v>
      </c>
      <c r="E79" s="181" t="n">
        <v>-6.073</v>
      </c>
      <c r="F79" s="181" t="n">
        <v>36.8819</v>
      </c>
      <c r="G79" s="181" t="n">
        <v>4624</v>
      </c>
      <c r="H79" s="181" t="inlineStr"/>
      <c r="I79" s="181" t="inlineStr"/>
    </row>
    <row r="80" ht="15" customHeight="1" s="28">
      <c r="A80" s="182" t="n">
        <v>70</v>
      </c>
      <c r="B80" s="182" t="n">
        <v>69</v>
      </c>
      <c r="C80" s="182" t="n">
        <v>4795.93</v>
      </c>
      <c r="D80" s="182" t="n">
        <v>4798.9054</v>
      </c>
      <c r="E80" s="182" t="n">
        <v>-2.9754</v>
      </c>
      <c r="F80" s="182" t="n">
        <v>8.853199999999999</v>
      </c>
      <c r="G80" s="182" t="n">
        <v>4761</v>
      </c>
      <c r="H80" s="182" t="inlineStr"/>
      <c r="I80" s="182" t="inlineStr"/>
    </row>
    <row r="81" ht="15" customHeight="1" s="28">
      <c r="A81" s="181" t="n">
        <v>71</v>
      </c>
      <c r="B81" s="181" t="n">
        <v>70</v>
      </c>
      <c r="C81" s="181" t="n">
        <v>4794.67</v>
      </c>
      <c r="D81" s="181" t="n">
        <v>4798.6378</v>
      </c>
      <c r="E81" s="181" t="n">
        <v>-3.9678</v>
      </c>
      <c r="F81" s="181" t="n">
        <v>15.7438</v>
      </c>
      <c r="G81" s="181" t="n">
        <v>4900</v>
      </c>
      <c r="H81" s="181" t="inlineStr"/>
      <c r="I81" s="181" t="inlineStr"/>
    </row>
    <row r="82" ht="15" customHeight="1" s="28">
      <c r="A82" s="182" t="n">
        <v>72</v>
      </c>
      <c r="B82" s="182" t="n">
        <v>71</v>
      </c>
      <c r="C82" s="182" t="n">
        <v>4790.39</v>
      </c>
      <c r="D82" s="182" t="n">
        <v>4798.3702</v>
      </c>
      <c r="E82" s="182" t="n">
        <v>-7.9802</v>
      </c>
      <c r="F82" s="182" t="n">
        <v>63.6842</v>
      </c>
      <c r="G82" s="182" t="n">
        <v>5041</v>
      </c>
      <c r="H82" s="182" t="inlineStr"/>
      <c r="I82" s="182" t="inlineStr"/>
    </row>
    <row r="83" ht="15" customHeight="1" s="28">
      <c r="A83" s="181" t="n">
        <v>73</v>
      </c>
      <c r="B83" s="181" t="n">
        <v>72</v>
      </c>
      <c r="C83" s="181" t="n">
        <v>4791.33</v>
      </c>
      <c r="D83" s="181" t="n">
        <v>4798.1026</v>
      </c>
      <c r="E83" s="181" t="n">
        <v>-6.7726</v>
      </c>
      <c r="F83" s="181" t="n">
        <v>45.8685</v>
      </c>
      <c r="G83" s="181" t="n">
        <v>5184</v>
      </c>
      <c r="H83" s="181" t="inlineStr"/>
      <c r="I83" s="181" t="inlineStr"/>
    </row>
    <row r="84" ht="15" customHeight="1" s="28">
      <c r="A84" s="182" t="n">
        <v>74</v>
      </c>
      <c r="B84" s="182" t="n">
        <v>73</v>
      </c>
      <c r="C84" s="182" t="n">
        <v>4789.59</v>
      </c>
      <c r="D84" s="182" t="n">
        <v>4797.835</v>
      </c>
      <c r="E84" s="182" t="n">
        <v>-8.244999999999999</v>
      </c>
      <c r="F84" s="182" t="n">
        <v>67.98050000000001</v>
      </c>
      <c r="G84" s="182" t="n">
        <v>5329</v>
      </c>
      <c r="H84" s="182" t="inlineStr"/>
      <c r="I84" s="182" t="inlineStr"/>
    </row>
    <row r="85" ht="15" customHeight="1" s="28">
      <c r="A85" s="181" t="n">
        <v>75</v>
      </c>
      <c r="B85" s="181" t="n">
        <v>74</v>
      </c>
      <c r="C85" s="181" t="n">
        <v>4784.95</v>
      </c>
      <c r="D85" s="181" t="n">
        <v>4797.5674</v>
      </c>
      <c r="E85" s="181" t="n">
        <v>-12.6174</v>
      </c>
      <c r="F85" s="181" t="n">
        <v>159.1993</v>
      </c>
      <c r="G85" s="181" t="n">
        <v>5476</v>
      </c>
      <c r="H85" s="181" t="inlineStr"/>
      <c r="I85" s="181" t="inlineStr"/>
    </row>
    <row r="86" ht="15" customHeight="1" s="28">
      <c r="A86" s="182" t="n">
        <v>76</v>
      </c>
      <c r="B86" s="182" t="n">
        <v>75</v>
      </c>
      <c r="C86" s="182" t="n">
        <v>4787.41</v>
      </c>
      <c r="D86" s="182" t="n">
        <v>4797.2998</v>
      </c>
      <c r="E86" s="182" t="n">
        <v>-9.889799999999999</v>
      </c>
      <c r="F86" s="182" t="n">
        <v>97.8085</v>
      </c>
      <c r="G86" s="182" t="n">
        <v>5625</v>
      </c>
      <c r="H86" s="182" t="inlineStr"/>
      <c r="I86" s="182" t="inlineStr"/>
    </row>
    <row r="87" ht="15" customHeight="1" s="28">
      <c r="A87" s="181" t="n">
        <v>77</v>
      </c>
      <c r="B87" s="181" t="n">
        <v>76</v>
      </c>
      <c r="C87" s="181" t="n">
        <v>4786.45</v>
      </c>
      <c r="D87" s="181" t="n">
        <v>4797.0322</v>
      </c>
      <c r="E87" s="181" t="n">
        <v>-10.5822</v>
      </c>
      <c r="F87" s="181" t="n">
        <v>111.9834</v>
      </c>
      <c r="G87" s="181" t="n">
        <v>5776</v>
      </c>
      <c r="H87" s="181" t="inlineStr"/>
      <c r="I87" s="181" t="inlineStr"/>
    </row>
    <row r="88" ht="15" customHeight="1" s="28">
      <c r="A88" s="182" t="n">
        <v>78</v>
      </c>
      <c r="B88" s="182" t="n">
        <v>77</v>
      </c>
      <c r="C88" s="182" t="n">
        <v>4793.07</v>
      </c>
      <c r="D88" s="182" t="n">
        <v>4796.7646</v>
      </c>
      <c r="E88" s="182" t="n">
        <v>-3.6946</v>
      </c>
      <c r="F88" s="182" t="n">
        <v>13.6501</v>
      </c>
      <c r="G88" s="182" t="n">
        <v>5929</v>
      </c>
      <c r="H88" s="182" t="inlineStr"/>
      <c r="I88" s="182" t="inlineStr"/>
    </row>
    <row r="89" ht="15" customHeight="1" s="28">
      <c r="A89" s="181" t="n">
        <v>79</v>
      </c>
      <c r="B89" s="181" t="n">
        <v>78</v>
      </c>
      <c r="C89" s="181" t="n">
        <v>4798.64</v>
      </c>
      <c r="D89" s="181" t="n">
        <v>4796.497</v>
      </c>
      <c r="E89" s="181" t="n">
        <v>2.143</v>
      </c>
      <c r="F89" s="181" t="n">
        <v>4.5924</v>
      </c>
      <c r="G89" s="181" t="n">
        <v>6084</v>
      </c>
      <c r="H89" s="181" t="inlineStr"/>
      <c r="I89" s="181" t="inlineStr"/>
    </row>
    <row r="90" ht="15" customHeight="1" s="28">
      <c r="A90" s="182" t="n">
        <v>80</v>
      </c>
      <c r="B90" s="182" t="n">
        <v>79</v>
      </c>
      <c r="C90" s="182" t="n">
        <v>4799.19</v>
      </c>
      <c r="D90" s="182" t="n">
        <v>4796.2294</v>
      </c>
      <c r="E90" s="182" t="n">
        <v>2.9606</v>
      </c>
      <c r="F90" s="182" t="n">
        <v>8.7652</v>
      </c>
      <c r="G90" s="182" t="n">
        <v>6241</v>
      </c>
      <c r="H90" s="182" t="inlineStr"/>
      <c r="I90" s="182" t="inlineStr"/>
    </row>
    <row r="91" ht="15" customHeight="1" s="28">
      <c r="A91" s="181" t="n">
        <v>81</v>
      </c>
      <c r="B91" s="181" t="n">
        <v>80</v>
      </c>
      <c r="C91" s="181" t="n">
        <v>4803.86</v>
      </c>
      <c r="D91" s="181" t="n">
        <v>4795.9618</v>
      </c>
      <c r="E91" s="181" t="n">
        <v>7.8982</v>
      </c>
      <c r="F91" s="181" t="n">
        <v>62.3816</v>
      </c>
      <c r="G91" s="181" t="n">
        <v>6400</v>
      </c>
      <c r="H91" s="181" t="inlineStr"/>
      <c r="I91" s="181" t="inlineStr"/>
    </row>
    <row r="92" ht="15" customHeight="1" s="28">
      <c r="A92" s="182" t="n">
        <v>82</v>
      </c>
      <c r="B92" s="182" t="n">
        <v>81</v>
      </c>
      <c r="C92" s="182" t="n">
        <v>4816.87</v>
      </c>
      <c r="D92" s="182" t="n">
        <v>4795.6942</v>
      </c>
      <c r="E92" s="182" t="n">
        <v>21.1758</v>
      </c>
      <c r="F92" s="182" t="n">
        <v>448.4145</v>
      </c>
      <c r="G92" s="182" t="n">
        <v>6561</v>
      </c>
      <c r="H92" s="182" t="inlineStr"/>
      <c r="I92" s="182" t="inlineStr"/>
    </row>
    <row r="93" ht="15" customHeight="1" s="28">
      <c r="A93" s="181" t="n">
        <v>83</v>
      </c>
      <c r="B93" s="181" t="n">
        <v>82</v>
      </c>
      <c r="C93" s="181" t="n">
        <v>4823.45</v>
      </c>
      <c r="D93" s="181" t="n">
        <v>4795.4266</v>
      </c>
      <c r="E93" s="181" t="n">
        <v>28.0234</v>
      </c>
      <c r="F93" s="181" t="n">
        <v>785.3115</v>
      </c>
      <c r="G93" s="181" t="n">
        <v>6724</v>
      </c>
      <c r="H93" s="181" t="inlineStr"/>
      <c r="I93" s="181" t="inlineStr"/>
    </row>
    <row r="94" ht="15" customHeight="1" s="28">
      <c r="A94" s="182" t="n">
        <v>84</v>
      </c>
      <c r="B94" s="182" t="n">
        <v>83</v>
      </c>
      <c r="C94" s="182" t="n">
        <v>4846.75</v>
      </c>
      <c r="D94" s="182" t="n">
        <v>4795.159</v>
      </c>
      <c r="E94" s="182" t="n">
        <v>51.591</v>
      </c>
      <c r="F94" s="182" t="n">
        <v>2661.6323</v>
      </c>
      <c r="G94" s="182" t="n">
        <v>6889</v>
      </c>
      <c r="H94" s="182" t="inlineStr"/>
      <c r="I94" s="182" t="inlineStr"/>
    </row>
    <row r="95" ht="15" customHeight="1" s="28">
      <c r="A95" s="181" t="n">
        <v>85</v>
      </c>
      <c r="B95" s="181" t="n">
        <v>84</v>
      </c>
      <c r="C95" s="181" t="n">
        <v>4883.6</v>
      </c>
      <c r="D95" s="181" t="n">
        <v>4794.8914</v>
      </c>
      <c r="E95" s="181" t="n">
        <v>88.7086</v>
      </c>
      <c r="F95" s="181" t="n">
        <v>7869.2193</v>
      </c>
      <c r="G95" s="181" t="n">
        <v>7056</v>
      </c>
      <c r="H95" s="181" t="inlineStr"/>
      <c r="I95" s="181" t="inlineStr"/>
    </row>
    <row r="96" ht="15" customHeight="1" s="28">
      <c r="A96" s="182" t="n">
        <v>86</v>
      </c>
      <c r="B96" s="182" t="n">
        <v>85</v>
      </c>
      <c r="C96" s="182" t="n">
        <v>4851.59</v>
      </c>
      <c r="D96" s="182" t="n">
        <v>4794.6238</v>
      </c>
      <c r="E96" s="182" t="n">
        <v>56.9662</v>
      </c>
      <c r="F96" s="182" t="n">
        <v>3245.1502</v>
      </c>
      <c r="G96" s="182" t="n">
        <v>7225</v>
      </c>
      <c r="H96" s="182" t="inlineStr"/>
      <c r="I96" s="182" t="inlineStr"/>
    </row>
    <row r="97" ht="15" customHeight="1" s="28">
      <c r="A97" s="181" t="n">
        <v>87</v>
      </c>
      <c r="B97" s="181" t="n">
        <v>86</v>
      </c>
      <c r="C97" s="181" t="n">
        <v>4864.42</v>
      </c>
      <c r="D97" s="181" t="n">
        <v>4794.3562</v>
      </c>
      <c r="E97" s="181" t="n">
        <v>70.0638</v>
      </c>
      <c r="F97" s="181" t="n">
        <v>4908.9389</v>
      </c>
      <c r="G97" s="181" t="n">
        <v>7396</v>
      </c>
      <c r="H97" s="181" t="inlineStr"/>
      <c r="I97" s="181" t="inlineStr"/>
    </row>
    <row r="98" ht="15" customHeight="1" s="28">
      <c r="A98" s="182" t="n">
        <v>88</v>
      </c>
      <c r="B98" s="182" t="n">
        <v>87</v>
      </c>
      <c r="C98" s="182" t="n">
        <v>4880.26</v>
      </c>
      <c r="D98" s="182" t="n">
        <v>4794.0886</v>
      </c>
      <c r="E98" s="182" t="n">
        <v>86.17140000000001</v>
      </c>
      <c r="F98" s="182" t="n">
        <v>7425.5153</v>
      </c>
      <c r="G98" s="182" t="n">
        <v>7569</v>
      </c>
      <c r="H98" s="182" t="inlineStr"/>
      <c r="I98" s="182" t="inlineStr"/>
    </row>
    <row r="99" ht="15" customHeight="1" s="28">
      <c r="A99" s="181" t="n">
        <v>89</v>
      </c>
      <c r="B99" s="181" t="n">
        <v>88</v>
      </c>
      <c r="C99" s="181" t="n">
        <v>4867.03</v>
      </c>
      <c r="D99" s="181" t="n">
        <v>4793.821</v>
      </c>
      <c r="E99" s="181" t="n">
        <v>73.209</v>
      </c>
      <c r="F99" s="181" t="n">
        <v>5359.5621</v>
      </c>
      <c r="G99" s="181" t="n">
        <v>7744</v>
      </c>
      <c r="H99" s="181" t="inlineStr"/>
      <c r="I99" s="181" t="inlineStr"/>
    </row>
    <row r="100" ht="15" customHeight="1" s="28">
      <c r="A100" s="182" t="n">
        <v>90</v>
      </c>
      <c r="B100" s="182" t="n">
        <v>89</v>
      </c>
      <c r="C100" s="182" t="n">
        <v>4871.43</v>
      </c>
      <c r="D100" s="182" t="n">
        <v>4793.5534</v>
      </c>
      <c r="E100" s="182" t="n">
        <v>77.8766</v>
      </c>
      <c r="F100" s="182" t="n">
        <v>6064.7711</v>
      </c>
      <c r="G100" s="182" t="n">
        <v>7921</v>
      </c>
      <c r="H100" s="182" t="inlineStr"/>
      <c r="I100" s="182" t="inlineStr"/>
    </row>
    <row r="101" ht="15" customHeight="1" s="28">
      <c r="A101" s="181" t="n">
        <v>91</v>
      </c>
      <c r="B101" s="181" t="n">
        <v>90</v>
      </c>
      <c r="C101" s="181" t="n">
        <v>4877.31</v>
      </c>
      <c r="D101" s="181" t="n">
        <v>4793.2858</v>
      </c>
      <c r="E101" s="181" t="n">
        <v>84.02419999999999</v>
      </c>
      <c r="F101" s="181" t="n">
        <v>7060.0729</v>
      </c>
      <c r="G101" s="181" t="n">
        <v>8100</v>
      </c>
      <c r="H101" s="181" t="inlineStr"/>
      <c r="I101" s="181" t="inlineStr"/>
    </row>
    <row r="102" ht="15" customHeight="1" s="28">
      <c r="A102" s="182" t="n">
        <v>92</v>
      </c>
      <c r="B102" s="182" t="n">
        <v>91</v>
      </c>
      <c r="C102" s="182" t="n">
        <v>4873.15</v>
      </c>
      <c r="D102" s="182" t="n">
        <v>4793.0181</v>
      </c>
      <c r="E102" s="182" t="n">
        <v>80.1318</v>
      </c>
      <c r="F102" s="182" t="n">
        <v>6421.1134</v>
      </c>
      <c r="G102" s="182" t="n">
        <v>8281</v>
      </c>
      <c r="H102" s="182" t="inlineStr"/>
      <c r="I102" s="182" t="inlineStr"/>
    </row>
    <row r="103" ht="15" customHeight="1" s="28">
      <c r="A103" s="181" t="n">
        <v>93</v>
      </c>
      <c r="B103" s="181" t="n">
        <v>92</v>
      </c>
      <c r="C103" s="181" t="n">
        <v>4867.01</v>
      </c>
      <c r="D103" s="181" t="n">
        <v>4792.7505</v>
      </c>
      <c r="E103" s="181" t="n">
        <v>74.2595</v>
      </c>
      <c r="F103" s="181" t="n">
        <v>5514.4659</v>
      </c>
      <c r="G103" s="181" t="n">
        <v>8464</v>
      </c>
      <c r="H103" s="181" t="inlineStr"/>
      <c r="I103" s="181" t="inlineStr"/>
    </row>
    <row r="104" ht="15" customHeight="1" s="28">
      <c r="A104" s="182" t="n">
        <v>94</v>
      </c>
      <c r="B104" s="182" t="n">
        <v>93</v>
      </c>
      <c r="C104" s="182" t="n">
        <v>4865.86</v>
      </c>
      <c r="D104" s="182" t="n">
        <v>4792.4829</v>
      </c>
      <c r="E104" s="182" t="n">
        <v>73.3771</v>
      </c>
      <c r="F104" s="182" t="n">
        <v>5384.1915</v>
      </c>
      <c r="G104" s="182" t="n">
        <v>8649</v>
      </c>
      <c r="H104" s="182" t="inlineStr"/>
      <c r="I104" s="182" t="inlineStr"/>
    </row>
    <row r="105" ht="15" customHeight="1" s="28">
      <c r="A105" s="181" t="n">
        <v>95</v>
      </c>
      <c r="B105" s="181" t="n">
        <v>94</v>
      </c>
      <c r="C105" s="181" t="n">
        <v>4858.58</v>
      </c>
      <c r="D105" s="181" t="n">
        <v>4792.2153</v>
      </c>
      <c r="E105" s="181" t="n">
        <v>66.3647</v>
      </c>
      <c r="F105" s="181" t="n">
        <v>4404.2681</v>
      </c>
      <c r="G105" s="181" t="n">
        <v>8836</v>
      </c>
      <c r="H105" s="181" t="inlineStr"/>
      <c r="I105" s="181" t="inlineStr"/>
    </row>
    <row r="106" ht="15" customHeight="1" s="28">
      <c r="A106" s="182" t="n">
        <v>96</v>
      </c>
      <c r="B106" s="182" t="n">
        <v>95</v>
      </c>
      <c r="C106" s="182" t="n">
        <v>4867.57</v>
      </c>
      <c r="D106" s="182" t="n">
        <v>4791.9477</v>
      </c>
      <c r="E106" s="182" t="n">
        <v>75.6223</v>
      </c>
      <c r="F106" s="182" t="n">
        <v>5718.7262</v>
      </c>
      <c r="G106" s="182" t="n">
        <v>9025</v>
      </c>
      <c r="H106" s="182" t="inlineStr"/>
      <c r="I106" s="182" t="inlineStr"/>
    </row>
    <row r="107" ht="15" customHeight="1" s="28">
      <c r="A107" s="181" t="n">
        <v>97</v>
      </c>
      <c r="B107" s="181" t="n">
        <v>96</v>
      </c>
      <c r="C107" s="181" t="n">
        <v>4871.66</v>
      </c>
      <c r="D107" s="181" t="n">
        <v>4791.6801</v>
      </c>
      <c r="E107" s="181" t="n">
        <v>79.9799</v>
      </c>
      <c r="F107" s="181" t="n">
        <v>6396.7796</v>
      </c>
      <c r="G107" s="181" t="n">
        <v>9216</v>
      </c>
      <c r="H107" s="181" t="inlineStr"/>
      <c r="I107" s="181" t="inlineStr"/>
    </row>
    <row r="108" ht="15" customHeight="1" s="28">
      <c r="A108" s="182" t="n">
        <v>98</v>
      </c>
      <c r="B108" s="182" t="n">
        <v>97</v>
      </c>
      <c r="C108" s="182" t="n">
        <v>4867.71</v>
      </c>
      <c r="D108" s="182" t="n">
        <v>4791.4125</v>
      </c>
      <c r="E108" s="182" t="n">
        <v>76.2975</v>
      </c>
      <c r="F108" s="182" t="n">
        <v>5821.3039</v>
      </c>
      <c r="G108" s="182" t="n">
        <v>9409</v>
      </c>
      <c r="H108" s="182" t="inlineStr"/>
      <c r="I108" s="182" t="inlineStr"/>
    </row>
    <row r="109" ht="15" customHeight="1" s="28">
      <c r="A109" s="181" t="n">
        <v>99</v>
      </c>
      <c r="B109" s="181" t="n">
        <v>98</v>
      </c>
      <c r="C109" s="181" t="n">
        <v>4868.37</v>
      </c>
      <c r="D109" s="181" t="n">
        <v>4791.1449</v>
      </c>
      <c r="E109" s="181" t="n">
        <v>77.2251</v>
      </c>
      <c r="F109" s="181" t="n">
        <v>5963.7114</v>
      </c>
      <c r="G109" s="181" t="n">
        <v>9604</v>
      </c>
      <c r="H109" s="181" t="inlineStr"/>
      <c r="I109" s="181" t="inlineStr"/>
    </row>
    <row r="110" ht="15" customHeight="1" s="28">
      <c r="A110" s="182" t="n">
        <v>100</v>
      </c>
      <c r="B110" s="182" t="n">
        <v>99</v>
      </c>
      <c r="C110" s="182" t="n">
        <v>4867.12</v>
      </c>
      <c r="D110" s="182" t="n">
        <v>4790.8773</v>
      </c>
      <c r="E110" s="182" t="n">
        <v>76.2427</v>
      </c>
      <c r="F110" s="182" t="n">
        <v>5812.9463</v>
      </c>
      <c r="G110" s="182" t="n">
        <v>9801</v>
      </c>
      <c r="H110" s="182" t="inlineStr"/>
      <c r="I110" s="182" t="inlineStr"/>
    </row>
    <row r="111" ht="15" customHeight="1" s="28">
      <c r="A111" s="181" t="n">
        <v>101</v>
      </c>
      <c r="B111" s="181" t="n">
        <v>100</v>
      </c>
      <c r="C111" s="181" t="n">
        <v>4862.89</v>
      </c>
      <c r="D111" s="181" t="n">
        <v>4790.6097</v>
      </c>
      <c r="E111" s="181" t="n">
        <v>72.2803</v>
      </c>
      <c r="F111" s="181" t="n">
        <v>5224.4389</v>
      </c>
      <c r="G111" s="181" t="n">
        <v>10000</v>
      </c>
      <c r="H111" s="181" t="inlineStr"/>
      <c r="I111" s="181" t="inlineStr"/>
    </row>
    <row r="112" ht="15" customHeight="1" s="28">
      <c r="A112" s="182" t="n">
        <v>102</v>
      </c>
      <c r="B112" s="182" t="n">
        <v>101</v>
      </c>
      <c r="C112" s="182" t="n">
        <v>4858.63</v>
      </c>
      <c r="D112" s="182" t="n">
        <v>4790.3421</v>
      </c>
      <c r="E112" s="182" t="n">
        <v>68.28789999999999</v>
      </c>
      <c r="F112" s="182" t="n">
        <v>4663.2359</v>
      </c>
      <c r="G112" s="182" t="n">
        <v>10201</v>
      </c>
      <c r="H112" s="182" t="inlineStr"/>
      <c r="I112" s="182" t="inlineStr"/>
    </row>
    <row r="113" ht="15" customHeight="1" s="28">
      <c r="A113" s="181" t="n">
        <v>103</v>
      </c>
      <c r="B113" s="181" t="n">
        <v>102</v>
      </c>
      <c r="C113" s="181" t="n">
        <v>4855.01</v>
      </c>
      <c r="D113" s="181" t="n">
        <v>4790.0745</v>
      </c>
      <c r="E113" s="181" t="n">
        <v>64.9355</v>
      </c>
      <c r="F113" s="181" t="n">
        <v>4216.6179</v>
      </c>
      <c r="G113" s="181" t="n">
        <v>10404</v>
      </c>
      <c r="H113" s="181" t="inlineStr"/>
      <c r="I113" s="181" t="inlineStr"/>
    </row>
    <row r="114" ht="15" customHeight="1" s="28">
      <c r="A114" s="182" t="n">
        <v>104</v>
      </c>
      <c r="B114" s="182" t="n">
        <v>103</v>
      </c>
      <c r="C114" s="182" t="n">
        <v>4862.6</v>
      </c>
      <c r="D114" s="182" t="n">
        <v>4789.8069</v>
      </c>
      <c r="E114" s="182" t="n">
        <v>72.7931</v>
      </c>
      <c r="F114" s="182" t="n">
        <v>5298.834</v>
      </c>
      <c r="G114" s="182" t="n">
        <v>10609</v>
      </c>
      <c r="H114" s="182" t="inlineStr"/>
      <c r="I114" s="182" t="inlineStr"/>
    </row>
    <row r="115" ht="15" customHeight="1" s="28">
      <c r="A115" s="181" t="n">
        <v>105</v>
      </c>
      <c r="B115" s="181" t="n">
        <v>104</v>
      </c>
      <c r="C115" s="181" t="n">
        <v>4861.17</v>
      </c>
      <c r="D115" s="181" t="n">
        <v>4789.5393</v>
      </c>
      <c r="E115" s="181" t="n">
        <v>71.6307</v>
      </c>
      <c r="F115" s="181" t="n">
        <v>5130.9572</v>
      </c>
      <c r="G115" s="181" t="n">
        <v>10816</v>
      </c>
      <c r="H115" s="181" t="inlineStr"/>
      <c r="I115" s="181" t="inlineStr"/>
    </row>
    <row r="116" ht="15" customHeight="1" s="28">
      <c r="A116" s="182" t="n">
        <v>106</v>
      </c>
      <c r="B116" s="182" t="n">
        <v>105</v>
      </c>
      <c r="C116" s="182" t="n">
        <v>4860.87</v>
      </c>
      <c r="D116" s="182" t="n">
        <v>4789.2717</v>
      </c>
      <c r="E116" s="182" t="n">
        <v>71.59829999999999</v>
      </c>
      <c r="F116" s="182" t="n">
        <v>5126.3166</v>
      </c>
      <c r="G116" s="182" t="n">
        <v>11025</v>
      </c>
      <c r="H116" s="182" t="inlineStr"/>
      <c r="I116" s="182" t="inlineStr"/>
    </row>
    <row r="117" ht="15" customHeight="1" s="28">
      <c r="A117" s="181" t="n">
        <v>107</v>
      </c>
      <c r="B117" s="181" t="n">
        <v>106</v>
      </c>
      <c r="C117" s="181" t="n">
        <v>4862.4</v>
      </c>
      <c r="D117" s="181" t="n">
        <v>4789.0041</v>
      </c>
      <c r="E117" s="181" t="n">
        <v>73.3959</v>
      </c>
      <c r="F117" s="181" t="n">
        <v>5386.9596</v>
      </c>
      <c r="G117" s="181" t="n">
        <v>11236</v>
      </c>
      <c r="H117" s="181" t="inlineStr"/>
      <c r="I117" s="181" t="inlineStr"/>
    </row>
    <row r="118" ht="15" customHeight="1" s="28">
      <c r="A118" s="182" t="n">
        <v>108</v>
      </c>
      <c r="B118" s="182" t="n">
        <v>107</v>
      </c>
      <c r="C118" s="182" t="n">
        <v>4858.16</v>
      </c>
      <c r="D118" s="182" t="n">
        <v>4788.7365</v>
      </c>
      <c r="E118" s="182" t="n">
        <v>69.4235</v>
      </c>
      <c r="F118" s="182" t="n">
        <v>4819.6237</v>
      </c>
      <c r="G118" s="182" t="n">
        <v>11449</v>
      </c>
      <c r="H118" s="182" t="inlineStr"/>
      <c r="I118" s="182" t="inlineStr"/>
    </row>
    <row r="119" ht="15" customHeight="1" s="28">
      <c r="A119" s="181" t="n">
        <v>109</v>
      </c>
      <c r="B119" s="181" t="n">
        <v>108</v>
      </c>
      <c r="C119" s="181" t="n">
        <v>4856.59</v>
      </c>
      <c r="D119" s="181" t="n">
        <v>4788.4689</v>
      </c>
      <c r="E119" s="181" t="n">
        <v>68.1211</v>
      </c>
      <c r="F119" s="181" t="n">
        <v>4640.4856</v>
      </c>
      <c r="G119" s="181" t="n">
        <v>11664</v>
      </c>
      <c r="H119" s="181" t="inlineStr"/>
      <c r="I119" s="181" t="inlineStr"/>
    </row>
    <row r="120" ht="15" customHeight="1" s="28">
      <c r="A120" s="182" t="n">
        <v>110</v>
      </c>
      <c r="B120" s="182" t="n">
        <v>109</v>
      </c>
      <c r="C120" s="182" t="n">
        <v>4856.91</v>
      </c>
      <c r="D120" s="182" t="n">
        <v>4788.2013</v>
      </c>
      <c r="E120" s="182" t="n">
        <v>68.70869999999999</v>
      </c>
      <c r="F120" s="182" t="n">
        <v>4720.8882</v>
      </c>
      <c r="G120" s="182" t="n">
        <v>11881</v>
      </c>
      <c r="H120" s="182" t="inlineStr"/>
      <c r="I120" s="182" t="inlineStr"/>
    </row>
    <row r="121" ht="15" customHeight="1" s="28">
      <c r="A121" s="181" t="n">
        <v>111</v>
      </c>
      <c r="B121" s="181" t="n">
        <v>110</v>
      </c>
      <c r="C121" s="181" t="n">
        <v>4860.34</v>
      </c>
      <c r="D121" s="181" t="n">
        <v>4787.9337</v>
      </c>
      <c r="E121" s="181" t="n">
        <v>72.4063</v>
      </c>
      <c r="F121" s="181" t="n">
        <v>5242.6752</v>
      </c>
      <c r="G121" s="181" t="n">
        <v>12100</v>
      </c>
      <c r="H121" s="181" t="inlineStr"/>
      <c r="I121" s="181" t="inlineStr"/>
    </row>
    <row r="122" ht="15" customHeight="1" s="28">
      <c r="A122" s="182" t="n">
        <v>112</v>
      </c>
      <c r="B122" s="182" t="n">
        <v>111</v>
      </c>
      <c r="C122" s="182" t="n">
        <v>4854.73</v>
      </c>
      <c r="D122" s="182" t="n">
        <v>4787.6661</v>
      </c>
      <c r="E122" s="182" t="n">
        <v>67.0639</v>
      </c>
      <c r="F122" s="182" t="n">
        <v>4497.5707</v>
      </c>
      <c r="G122" s="182" t="n">
        <v>12321</v>
      </c>
      <c r="H122" s="182" t="inlineStr"/>
      <c r="I122" s="182" t="inlineStr"/>
    </row>
    <row r="123" ht="15" customHeight="1" s="28">
      <c r="A123" s="181" t="n">
        <v>113</v>
      </c>
      <c r="B123" s="181" t="n">
        <v>112</v>
      </c>
      <c r="C123" s="181" t="n">
        <v>4845.91</v>
      </c>
      <c r="D123" s="181" t="n">
        <v>4787.3985</v>
      </c>
      <c r="E123" s="181" t="n">
        <v>58.5115</v>
      </c>
      <c r="F123" s="181" t="n">
        <v>3423.5991</v>
      </c>
      <c r="G123" s="181" t="n">
        <v>12544</v>
      </c>
      <c r="H123" s="181" t="inlineStr"/>
      <c r="I123" s="181" t="inlineStr"/>
    </row>
    <row r="124" ht="15" customHeight="1" s="28">
      <c r="A124" s="182" t="n">
        <v>114</v>
      </c>
      <c r="B124" s="182" t="n">
        <v>113</v>
      </c>
      <c r="C124" s="182" t="n">
        <v>4845.96</v>
      </c>
      <c r="D124" s="182" t="n">
        <v>4787.1309</v>
      </c>
      <c r="E124" s="182" t="n">
        <v>58.8291</v>
      </c>
      <c r="F124" s="182" t="n">
        <v>3460.8677</v>
      </c>
      <c r="G124" s="182" t="n">
        <v>12769</v>
      </c>
      <c r="H124" s="182" t="inlineStr"/>
      <c r="I124" s="182" t="inlineStr"/>
    </row>
    <row r="125" ht="15" customHeight="1" s="28">
      <c r="A125" s="181" t="n">
        <v>115</v>
      </c>
      <c r="B125" s="181" t="n">
        <v>114</v>
      </c>
      <c r="C125" s="181" t="n">
        <v>4835.81</v>
      </c>
      <c r="D125" s="181" t="n">
        <v>4786.8633</v>
      </c>
      <c r="E125" s="181" t="n">
        <v>48.9467</v>
      </c>
      <c r="F125" s="181" t="n">
        <v>2395.7834</v>
      </c>
      <c r="G125" s="181" t="n">
        <v>12996</v>
      </c>
      <c r="H125" s="181" t="inlineStr"/>
      <c r="I125" s="181" t="inlineStr"/>
    </row>
    <row r="126" ht="15" customHeight="1" s="28">
      <c r="A126" s="182" t="n">
        <v>116</v>
      </c>
      <c r="B126" s="182" t="n">
        <v>115</v>
      </c>
      <c r="C126" s="182" t="n">
        <v>4833.02</v>
      </c>
      <c r="D126" s="182" t="n">
        <v>4786.5957</v>
      </c>
      <c r="E126" s="182" t="n">
        <v>46.4243</v>
      </c>
      <c r="F126" s="182" t="n">
        <v>2155.2193</v>
      </c>
      <c r="G126" s="182" t="n">
        <v>13225</v>
      </c>
      <c r="H126" s="182" t="inlineStr"/>
      <c r="I126" s="182" t="inlineStr"/>
    </row>
    <row r="127" ht="15" customHeight="1" s="28">
      <c r="A127" s="181" t="n">
        <v>117</v>
      </c>
      <c r="B127" s="181" t="n">
        <v>116</v>
      </c>
      <c r="C127" s="181" t="n">
        <v>4790.21</v>
      </c>
      <c r="D127" s="181" t="n">
        <v>4786.3281</v>
      </c>
      <c r="E127" s="181" t="n">
        <v>3.8819</v>
      </c>
      <c r="F127" s="181" t="n">
        <v>15.0695</v>
      </c>
      <c r="G127" s="181" t="n">
        <v>13456</v>
      </c>
      <c r="H127" s="181" t="inlineStr"/>
      <c r="I127" s="181" t="inlineStr"/>
    </row>
    <row r="128" ht="15" customHeight="1" s="28">
      <c r="A128" s="182" t="n">
        <v>118</v>
      </c>
      <c r="B128" s="182" t="n">
        <v>117</v>
      </c>
      <c r="C128" s="182" t="n">
        <v>4784.84</v>
      </c>
      <c r="D128" s="182" t="n">
        <v>4786.0604</v>
      </c>
      <c r="E128" s="182" t="n">
        <v>-1.2204</v>
      </c>
      <c r="F128" s="182" t="n">
        <v>1.4895</v>
      </c>
      <c r="G128" s="182" t="n">
        <v>13689</v>
      </c>
      <c r="H128" s="182" t="inlineStr"/>
      <c r="I128" s="182" t="inlineStr"/>
    </row>
    <row r="129" ht="15" customHeight="1" s="28">
      <c r="A129" s="181" t="n">
        <v>119</v>
      </c>
      <c r="B129" s="181" t="n">
        <v>118</v>
      </c>
      <c r="C129" s="181" t="n">
        <v>4780.29</v>
      </c>
      <c r="D129" s="181" t="n">
        <v>4785.7928</v>
      </c>
      <c r="E129" s="181" t="n">
        <v>-5.5028</v>
      </c>
      <c r="F129" s="181" t="n">
        <v>30.2812</v>
      </c>
      <c r="G129" s="181" t="n">
        <v>13924</v>
      </c>
      <c r="H129" s="181" t="inlineStr"/>
      <c r="I129" s="181" t="inlineStr"/>
    </row>
    <row r="130" ht="15" customHeight="1" s="28">
      <c r="A130" s="182" t="n">
        <v>120</v>
      </c>
      <c r="B130" s="182" t="n">
        <v>119</v>
      </c>
      <c r="C130" s="182" t="n">
        <v>4779.23</v>
      </c>
      <c r="D130" s="182" t="n">
        <v>4785.5252</v>
      </c>
      <c r="E130" s="182" t="n">
        <v>-6.2952</v>
      </c>
      <c r="F130" s="182" t="n">
        <v>39.63</v>
      </c>
      <c r="G130" s="182" t="n">
        <v>14161</v>
      </c>
      <c r="H130" s="182" t="inlineStr"/>
      <c r="I130" s="182" t="inlineStr"/>
    </row>
    <row r="131" ht="15" customHeight="1" s="28">
      <c r="A131" s="181" t="n">
        <v>121</v>
      </c>
      <c r="B131" s="181" t="n">
        <v>120</v>
      </c>
      <c r="C131" s="181" t="n">
        <v>4772.65</v>
      </c>
      <c r="D131" s="181" t="n">
        <v>4785.2576</v>
      </c>
      <c r="E131" s="181" t="n">
        <v>-12.6076</v>
      </c>
      <c r="F131" s="181" t="n">
        <v>158.9526</v>
      </c>
      <c r="G131" s="181" t="n">
        <v>14400</v>
      </c>
      <c r="H131" s="181" t="inlineStr"/>
      <c r="I131" s="181" t="inlineStr"/>
    </row>
    <row r="132" ht="15" customHeight="1" s="28">
      <c r="A132" s="182" t="n">
        <v>122</v>
      </c>
      <c r="B132" s="182" t="n">
        <v>121</v>
      </c>
      <c r="C132" s="182" t="n">
        <v>4769.43</v>
      </c>
      <c r="D132" s="182" t="n">
        <v>4784.99</v>
      </c>
      <c r="E132" s="182" t="n">
        <v>-15.56</v>
      </c>
      <c r="F132" s="182" t="n">
        <v>242.1145</v>
      </c>
      <c r="G132" s="182" t="n">
        <v>14641</v>
      </c>
      <c r="H132" s="182" t="inlineStr"/>
      <c r="I132" s="182" t="inlineStr"/>
    </row>
    <row r="133" ht="15" customHeight="1" s="28">
      <c r="A133" s="181" t="n">
        <v>123</v>
      </c>
      <c r="B133" s="181" t="n">
        <v>122</v>
      </c>
      <c r="C133" s="181" t="n">
        <v>4752.06</v>
      </c>
      <c r="D133" s="181" t="n">
        <v>4784.7224</v>
      </c>
      <c r="E133" s="181" t="n">
        <v>-32.6624</v>
      </c>
      <c r="F133" s="181" t="n">
        <v>1066.8343</v>
      </c>
      <c r="G133" s="181" t="n">
        <v>14884</v>
      </c>
      <c r="H133" s="181" t="inlineStr"/>
      <c r="I133" s="181" t="inlineStr"/>
    </row>
    <row r="134" ht="15" customHeight="1" s="28">
      <c r="A134" s="182" t="n">
        <v>124</v>
      </c>
      <c r="B134" s="182" t="n">
        <v>123</v>
      </c>
      <c r="C134" s="182" t="n">
        <v>4755.07</v>
      </c>
      <c r="D134" s="182" t="n">
        <v>4784.4548</v>
      </c>
      <c r="E134" s="182" t="n">
        <v>-29.3848</v>
      </c>
      <c r="F134" s="182" t="n">
        <v>863.4675999999999</v>
      </c>
      <c r="G134" s="182" t="n">
        <v>15129</v>
      </c>
      <c r="H134" s="182" t="inlineStr"/>
      <c r="I134" s="182" t="inlineStr"/>
    </row>
    <row r="135" ht="15" customHeight="1" s="28">
      <c r="A135" s="181" t="n">
        <v>125</v>
      </c>
      <c r="B135" s="181" t="n">
        <v>124</v>
      </c>
      <c r="C135" s="181" t="n">
        <v>4752.17</v>
      </c>
      <c r="D135" s="181" t="n">
        <v>4784.1872</v>
      </c>
      <c r="E135" s="181" t="n">
        <v>-32.0172</v>
      </c>
      <c r="F135" s="181" t="n">
        <v>1025.1024</v>
      </c>
      <c r="G135" s="181" t="n">
        <v>15376</v>
      </c>
      <c r="H135" s="181" t="inlineStr"/>
      <c r="I135" s="181" t="inlineStr"/>
    </row>
    <row r="136" ht="15" customHeight="1" s="28">
      <c r="A136" s="182" t="n">
        <v>126</v>
      </c>
      <c r="B136" s="182" t="n">
        <v>125</v>
      </c>
      <c r="C136" s="182" t="n">
        <v>4765.66</v>
      </c>
      <c r="D136" s="182" t="n">
        <v>4783.9196</v>
      </c>
      <c r="E136" s="182" t="n">
        <v>-18.2596</v>
      </c>
      <c r="F136" s="182" t="n">
        <v>333.4137</v>
      </c>
      <c r="G136" s="182" t="n">
        <v>15625</v>
      </c>
      <c r="H136" s="182" t="inlineStr"/>
      <c r="I136" s="182" t="inlineStr"/>
    </row>
    <row r="137" ht="15" customHeight="1" s="28">
      <c r="A137" s="181" t="n">
        <v>127</v>
      </c>
      <c r="B137" s="181" t="n">
        <v>126</v>
      </c>
      <c r="C137" s="181" t="n">
        <v>4764.3</v>
      </c>
      <c r="D137" s="181" t="n">
        <v>4783.652</v>
      </c>
      <c r="E137" s="181" t="n">
        <v>-19.352</v>
      </c>
      <c r="F137" s="181" t="n">
        <v>374.5003</v>
      </c>
      <c r="G137" s="181" t="n">
        <v>15876</v>
      </c>
      <c r="H137" s="181" t="inlineStr"/>
      <c r="I137" s="181" t="inlineStr"/>
    </row>
    <row r="138" ht="15" customHeight="1" s="28">
      <c r="A138" s="182" t="n">
        <v>128</v>
      </c>
      <c r="B138" s="182" t="n">
        <v>127</v>
      </c>
      <c r="C138" s="182" t="n">
        <v>4772.93</v>
      </c>
      <c r="D138" s="182" t="n">
        <v>4783.3844</v>
      </c>
      <c r="E138" s="182" t="n">
        <v>-10.4544</v>
      </c>
      <c r="F138" s="182" t="n">
        <v>109.2947</v>
      </c>
      <c r="G138" s="182" t="n">
        <v>16129</v>
      </c>
      <c r="H138" s="182" t="inlineStr"/>
      <c r="I138" s="182" t="inlineStr"/>
    </row>
    <row r="139" ht="15" customHeight="1" s="28">
      <c r="A139" s="181" t="n">
        <v>129</v>
      </c>
      <c r="B139" s="181" t="n">
        <v>128</v>
      </c>
      <c r="C139" s="181" t="n">
        <v>4793.92</v>
      </c>
      <c r="D139" s="181" t="n">
        <v>4783.1168</v>
      </c>
      <c r="E139" s="181" t="n">
        <v>10.8032</v>
      </c>
      <c r="F139" s="181" t="n">
        <v>116.7091</v>
      </c>
      <c r="G139" s="181" t="n">
        <v>16384</v>
      </c>
      <c r="H139" s="181" t="inlineStr"/>
      <c r="I139" s="181" t="inlineStr"/>
    </row>
    <row r="140" ht="15" customHeight="1" s="28">
      <c r="A140" s="182" t="n">
        <v>130</v>
      </c>
      <c r="B140" s="182" t="n">
        <v>129</v>
      </c>
      <c r="C140" s="182" t="n">
        <v>4802.69</v>
      </c>
      <c r="D140" s="182" t="n">
        <v>4782.8492</v>
      </c>
      <c r="E140" s="182" t="n">
        <v>19.8408</v>
      </c>
      <c r="F140" s="182" t="n">
        <v>393.6573</v>
      </c>
      <c r="G140" s="182" t="n">
        <v>16641</v>
      </c>
      <c r="H140" s="182" t="inlineStr"/>
      <c r="I140" s="182" t="inlineStr"/>
    </row>
    <row r="141" ht="15" customHeight="1" s="28">
      <c r="A141" s="181" t="n">
        <v>131</v>
      </c>
      <c r="B141" s="181" t="n">
        <v>130</v>
      </c>
      <c r="C141" s="181" t="n">
        <v>4807.2</v>
      </c>
      <c r="D141" s="181" t="n">
        <v>4782.5816</v>
      </c>
      <c r="E141" s="181" t="n">
        <v>24.6184</v>
      </c>
      <c r="F141" s="181" t="n">
        <v>606.0656</v>
      </c>
      <c r="G141" s="181" t="n">
        <v>16900</v>
      </c>
      <c r="H141" s="181" t="inlineStr"/>
      <c r="I141" s="181" t="inlineStr"/>
    </row>
    <row r="142" ht="15" customHeight="1" s="28">
      <c r="A142" s="182" t="n">
        <v>132</v>
      </c>
      <c r="B142" s="182" t="n">
        <v>131</v>
      </c>
      <c r="C142" s="182" t="n">
        <v>4807.6</v>
      </c>
      <c r="D142" s="182" t="n">
        <v>4782.314</v>
      </c>
      <c r="E142" s="182" t="n">
        <v>25.286</v>
      </c>
      <c r="F142" s="182" t="n">
        <v>639.3823</v>
      </c>
      <c r="G142" s="182" t="n">
        <v>17161</v>
      </c>
      <c r="H142" s="182" t="inlineStr"/>
      <c r="I142" s="182" t="inlineStr"/>
    </row>
    <row r="143" ht="15" customHeight="1" s="28">
      <c r="A143" s="181" t="n">
        <v>133</v>
      </c>
      <c r="B143" s="181" t="n">
        <v>132</v>
      </c>
      <c r="C143" s="181" t="n">
        <v>4800.99</v>
      </c>
      <c r="D143" s="181" t="n">
        <v>4782.0464</v>
      </c>
      <c r="E143" s="181" t="n">
        <v>18.9436</v>
      </c>
      <c r="F143" s="181" t="n">
        <v>358.8604</v>
      </c>
      <c r="G143" s="181" t="n">
        <v>17424</v>
      </c>
      <c r="H143" s="181" t="inlineStr"/>
      <c r="I143" s="181" t="inlineStr"/>
    </row>
    <row r="144" ht="15" customHeight="1" s="28">
      <c r="A144" s="182" t="n">
        <v>134</v>
      </c>
      <c r="B144" s="182" t="n">
        <v>133</v>
      </c>
      <c r="C144" s="182" t="n">
        <v>4800.46</v>
      </c>
      <c r="D144" s="182" t="n">
        <v>4781.7788</v>
      </c>
      <c r="E144" s="182" t="n">
        <v>18.6812</v>
      </c>
      <c r="F144" s="182" t="n">
        <v>348.988</v>
      </c>
      <c r="G144" s="182" t="n">
        <v>17689</v>
      </c>
      <c r="H144" s="182" t="inlineStr"/>
      <c r="I144" s="182" t="inlineStr"/>
    </row>
    <row r="145" ht="15" customHeight="1" s="28">
      <c r="A145" s="181" t="n">
        <v>135</v>
      </c>
      <c r="B145" s="181" t="n">
        <v>134</v>
      </c>
      <c r="C145" s="181" t="n">
        <v>4796.33</v>
      </c>
      <c r="D145" s="181" t="n">
        <v>4781.5112</v>
      </c>
      <c r="E145" s="181" t="n">
        <v>14.8188</v>
      </c>
      <c r="F145" s="181" t="n">
        <v>219.5974</v>
      </c>
      <c r="G145" s="181" t="n">
        <v>17956</v>
      </c>
      <c r="H145" s="181" t="inlineStr"/>
      <c r="I145" s="181" t="inlineStr"/>
    </row>
    <row r="146" ht="15" customHeight="1" s="28">
      <c r="A146" s="182" t="n">
        <v>136</v>
      </c>
      <c r="B146" s="182" t="n">
        <v>135</v>
      </c>
      <c r="C146" s="182" t="n">
        <v>4797.41</v>
      </c>
      <c r="D146" s="182" t="n">
        <v>4781.2436</v>
      </c>
      <c r="E146" s="182" t="n">
        <v>16.1664</v>
      </c>
      <c r="F146" s="182" t="n">
        <v>261.3535</v>
      </c>
      <c r="G146" s="182" t="n">
        <v>18225</v>
      </c>
      <c r="H146" s="182" t="inlineStr"/>
      <c r="I146" s="182" t="inlineStr"/>
    </row>
    <row r="147" ht="15" customHeight="1" s="28">
      <c r="A147" s="181" t="n">
        <v>137</v>
      </c>
      <c r="B147" s="181" t="n">
        <v>136</v>
      </c>
      <c r="C147" s="181" t="n">
        <v>4791.47</v>
      </c>
      <c r="D147" s="181" t="n">
        <v>4780.976</v>
      </c>
      <c r="E147" s="181" t="n">
        <v>10.494</v>
      </c>
      <c r="F147" s="181" t="n">
        <v>110.1247</v>
      </c>
      <c r="G147" s="181" t="n">
        <v>18496</v>
      </c>
      <c r="H147" s="181" t="inlineStr"/>
      <c r="I147" s="181" t="inlineStr"/>
    </row>
    <row r="148" ht="15" customHeight="1" s="28">
      <c r="A148" s="182" t="n">
        <v>138</v>
      </c>
      <c r="B148" s="182" t="n">
        <v>137</v>
      </c>
      <c r="C148" s="182" t="n">
        <v>4795.1</v>
      </c>
      <c r="D148" s="182" t="n">
        <v>4780.7084</v>
      </c>
      <c r="E148" s="182" t="n">
        <v>14.3916</v>
      </c>
      <c r="F148" s="182" t="n">
        <v>207.119</v>
      </c>
      <c r="G148" s="182" t="n">
        <v>18769</v>
      </c>
      <c r="H148" s="182" t="inlineStr"/>
      <c r="I148" s="182" t="inlineStr"/>
    </row>
    <row r="149" ht="15" customHeight="1" s="28">
      <c r="A149" s="181" t="n">
        <v>139</v>
      </c>
      <c r="B149" s="181" t="n">
        <v>138</v>
      </c>
      <c r="C149" s="181" t="n">
        <v>4793.76</v>
      </c>
      <c r="D149" s="181" t="n">
        <v>4780.4408</v>
      </c>
      <c r="E149" s="181" t="n">
        <v>13.3192</v>
      </c>
      <c r="F149" s="181" t="n">
        <v>177.4022</v>
      </c>
      <c r="G149" s="181" t="n">
        <v>19044</v>
      </c>
      <c r="H149" s="181" t="inlineStr"/>
      <c r="I149" s="181" t="inlineStr"/>
    </row>
    <row r="150" ht="15" customHeight="1" s="28">
      <c r="A150" s="182" t="n">
        <v>140</v>
      </c>
      <c r="B150" s="182" t="n">
        <v>139</v>
      </c>
      <c r="C150" s="182" t="n">
        <v>4790.91</v>
      </c>
      <c r="D150" s="182" t="n">
        <v>4780.1732</v>
      </c>
      <c r="E150" s="182" t="n">
        <v>10.7368</v>
      </c>
      <c r="F150" s="182" t="n">
        <v>115.2797</v>
      </c>
      <c r="G150" s="182" t="n">
        <v>19321</v>
      </c>
      <c r="H150" s="182" t="inlineStr"/>
      <c r="I150" s="182" t="inlineStr"/>
    </row>
    <row r="151" ht="15" customHeight="1" s="28">
      <c r="A151" s="181" t="n">
        <v>141</v>
      </c>
      <c r="B151" s="181" t="n">
        <v>140</v>
      </c>
      <c r="C151" s="181" t="n">
        <v>4793.12</v>
      </c>
      <c r="D151" s="181" t="n">
        <v>4779.9056</v>
      </c>
      <c r="E151" s="181" t="n">
        <v>13.2144</v>
      </c>
      <c r="F151" s="181" t="n">
        <v>174.6217</v>
      </c>
      <c r="G151" s="181" t="n">
        <v>19600</v>
      </c>
      <c r="H151" s="181" t="inlineStr"/>
      <c r="I151" s="181" t="inlineStr"/>
    </row>
    <row r="152" ht="15" customHeight="1" s="28">
      <c r="A152" s="182" t="n">
        <v>142</v>
      </c>
      <c r="B152" s="182" t="n">
        <v>141</v>
      </c>
      <c r="C152" s="182" t="n">
        <v>4794.79</v>
      </c>
      <c r="D152" s="182" t="n">
        <v>4779.638</v>
      </c>
      <c r="E152" s="182" t="n">
        <v>15.152</v>
      </c>
      <c r="F152" s="182" t="n">
        <v>229.5846</v>
      </c>
      <c r="G152" s="182" t="n">
        <v>19881</v>
      </c>
      <c r="H152" s="182" t="inlineStr"/>
      <c r="I152" s="182" t="inlineStr"/>
    </row>
    <row r="153" ht="15" customHeight="1" s="28">
      <c r="A153" s="181" t="n">
        <v>143</v>
      </c>
      <c r="B153" s="181" t="n">
        <v>142</v>
      </c>
      <c r="C153" s="181" t="n">
        <v>4787.34</v>
      </c>
      <c r="D153" s="181" t="n">
        <v>4779.3704</v>
      </c>
      <c r="E153" s="181" t="n">
        <v>7.9697</v>
      </c>
      <c r="F153" s="181" t="n">
        <v>63.5153</v>
      </c>
      <c r="G153" s="181" t="n">
        <v>20164</v>
      </c>
      <c r="H153" s="181" t="inlineStr"/>
      <c r="I153" s="181" t="inlineStr"/>
    </row>
    <row r="154" ht="15" customHeight="1" s="28">
      <c r="A154" s="182" t="n">
        <v>144</v>
      </c>
      <c r="B154" s="182" t="n">
        <v>143</v>
      </c>
      <c r="C154" s="182" t="n">
        <v>4789.02</v>
      </c>
      <c r="D154" s="182" t="n">
        <v>4779.1027</v>
      </c>
      <c r="E154" s="182" t="n">
        <v>9.917299999999999</v>
      </c>
      <c r="F154" s="182" t="n">
        <v>98.352</v>
      </c>
      <c r="G154" s="182" t="n">
        <v>20449</v>
      </c>
      <c r="H154" s="182" t="inlineStr"/>
      <c r="I154" s="182" t="inlineStr"/>
    </row>
    <row r="155" ht="15" customHeight="1" s="28">
      <c r="A155" s="181" t="n">
        <v>145</v>
      </c>
      <c r="B155" s="181" t="n">
        <v>144</v>
      </c>
      <c r="C155" s="181" t="n">
        <v>4786.62</v>
      </c>
      <c r="D155" s="181" t="n">
        <v>4778.8351</v>
      </c>
      <c r="E155" s="181" t="n">
        <v>7.7849</v>
      </c>
      <c r="F155" s="181" t="n">
        <v>60.604</v>
      </c>
      <c r="G155" s="181" t="n">
        <v>20736</v>
      </c>
      <c r="H155" s="181" t="inlineStr"/>
      <c r="I155" s="181" t="inlineStr"/>
    </row>
    <row r="156" ht="15" customHeight="1" s="28">
      <c r="A156" s="182" t="n">
        <v>146</v>
      </c>
      <c r="B156" s="182" t="n">
        <v>145</v>
      </c>
      <c r="C156" s="182" t="n">
        <v>4788.05</v>
      </c>
      <c r="D156" s="182" t="n">
        <v>4778.5675</v>
      </c>
      <c r="E156" s="182" t="n">
        <v>9.4825</v>
      </c>
      <c r="F156" s="182" t="n">
        <v>89.91719999999999</v>
      </c>
      <c r="G156" s="182" t="n">
        <v>21025</v>
      </c>
      <c r="H156" s="182" t="inlineStr"/>
      <c r="I156" s="182" t="inlineStr"/>
    </row>
    <row r="157" ht="15" customHeight="1" s="28">
      <c r="A157" s="181" t="n">
        <v>147</v>
      </c>
      <c r="B157" s="181" t="n">
        <v>146</v>
      </c>
      <c r="C157" s="181" t="n">
        <v>4780.97</v>
      </c>
      <c r="D157" s="181" t="n">
        <v>4778.2999</v>
      </c>
      <c r="E157" s="181" t="n">
        <v>2.6701</v>
      </c>
      <c r="F157" s="181" t="n">
        <v>7.1293</v>
      </c>
      <c r="G157" s="181" t="n">
        <v>21316</v>
      </c>
      <c r="H157" s="181" t="inlineStr"/>
      <c r="I157" s="181" t="inlineStr"/>
    </row>
    <row r="158" ht="15" customHeight="1" s="28">
      <c r="A158" s="182" t="n">
        <v>148</v>
      </c>
      <c r="B158" s="182" t="n">
        <v>147</v>
      </c>
      <c r="C158" s="182" t="n">
        <v>4790.87</v>
      </c>
      <c r="D158" s="182" t="n">
        <v>4778.0323</v>
      </c>
      <c r="E158" s="182" t="n">
        <v>12.8377</v>
      </c>
      <c r="F158" s="182" t="n">
        <v>164.8058</v>
      </c>
      <c r="G158" s="182" t="n">
        <v>21609</v>
      </c>
      <c r="H158" s="182" t="inlineStr"/>
      <c r="I158" s="182" t="inlineStr"/>
    </row>
    <row r="159" ht="15" customHeight="1" s="28">
      <c r="A159" s="181" t="n">
        <v>149</v>
      </c>
      <c r="B159" s="181" t="n">
        <v>148</v>
      </c>
      <c r="C159" s="181" t="n">
        <v>4790.56</v>
      </c>
      <c r="D159" s="181" t="n">
        <v>4777.7647</v>
      </c>
      <c r="E159" s="181" t="n">
        <v>12.7953</v>
      </c>
      <c r="F159" s="181" t="n">
        <v>163.7192</v>
      </c>
      <c r="G159" s="181" t="n">
        <v>21904</v>
      </c>
      <c r="H159" s="181" t="inlineStr"/>
      <c r="I159" s="181" t="inlineStr"/>
    </row>
    <row r="160" ht="15" customHeight="1" s="28">
      <c r="A160" s="182" t="n">
        <v>150</v>
      </c>
      <c r="B160" s="182" t="n">
        <v>149</v>
      </c>
      <c r="C160" s="182" t="n">
        <v>4786.12</v>
      </c>
      <c r="D160" s="182" t="n">
        <v>4777.4971</v>
      </c>
      <c r="E160" s="182" t="n">
        <v>8.6229</v>
      </c>
      <c r="F160" s="182" t="n">
        <v>74.3541</v>
      </c>
      <c r="G160" s="182" t="n">
        <v>22201</v>
      </c>
      <c r="H160" s="182" t="inlineStr"/>
      <c r="I160" s="182" t="inlineStr"/>
    </row>
    <row r="161" ht="15" customHeight="1" s="28">
      <c r="A161" s="181" t="n">
        <v>151</v>
      </c>
      <c r="B161" s="181" t="n">
        <v>150</v>
      </c>
      <c r="C161" s="181" t="n">
        <v>4790.24</v>
      </c>
      <c r="D161" s="181" t="n">
        <v>4777.2295</v>
      </c>
      <c r="E161" s="181" t="n">
        <v>13.0105</v>
      </c>
      <c r="F161" s="181" t="n">
        <v>169.2729</v>
      </c>
      <c r="G161" s="181" t="n">
        <v>22500</v>
      </c>
      <c r="H161" s="181" t="inlineStr"/>
      <c r="I161" s="181" t="inlineStr"/>
    </row>
    <row r="162" ht="15" customHeight="1" s="28">
      <c r="A162" s="182" t="n">
        <v>152</v>
      </c>
      <c r="B162" s="182" t="n">
        <v>151</v>
      </c>
      <c r="C162" s="182" t="n">
        <v>4795.46</v>
      </c>
      <c r="D162" s="182" t="n">
        <v>4776.9619</v>
      </c>
      <c r="E162" s="182" t="n">
        <v>18.4981</v>
      </c>
      <c r="F162" s="182" t="n">
        <v>342.1793</v>
      </c>
      <c r="G162" s="182" t="n">
        <v>22801</v>
      </c>
      <c r="H162" s="182" t="inlineStr"/>
      <c r="I162" s="182" t="inlineStr"/>
    </row>
    <row r="163" ht="15" customHeight="1" s="28">
      <c r="A163" s="181" t="n">
        <v>153</v>
      </c>
      <c r="B163" s="181" t="n">
        <v>152</v>
      </c>
      <c r="C163" s="181" t="n">
        <v>4797.47</v>
      </c>
      <c r="D163" s="181" t="n">
        <v>4776.6943</v>
      </c>
      <c r="E163" s="181" t="n">
        <v>20.7757</v>
      </c>
      <c r="F163" s="181" t="n">
        <v>431.6293</v>
      </c>
      <c r="G163" s="181" t="n">
        <v>23104</v>
      </c>
      <c r="H163" s="181" t="inlineStr"/>
      <c r="I163" s="181" t="inlineStr"/>
    </row>
    <row r="164" ht="15" customHeight="1" s="28">
      <c r="A164" s="182" t="n">
        <v>154</v>
      </c>
      <c r="B164" s="182" t="n">
        <v>153</v>
      </c>
      <c r="C164" s="182" t="n">
        <v>4797.92</v>
      </c>
      <c r="D164" s="182" t="n">
        <v>4776.4267</v>
      </c>
      <c r="E164" s="182" t="n">
        <v>21.4933</v>
      </c>
      <c r="F164" s="182" t="n">
        <v>461.9619</v>
      </c>
      <c r="G164" s="182" t="n">
        <v>23409</v>
      </c>
      <c r="H164" s="182" t="inlineStr"/>
      <c r="I164" s="182" t="inlineStr"/>
    </row>
    <row r="165" ht="15" customHeight="1" s="28">
      <c r="A165" s="181" t="n">
        <v>155</v>
      </c>
      <c r="B165" s="181" t="n">
        <v>154</v>
      </c>
      <c r="C165" s="181" t="n">
        <v>4797.69</v>
      </c>
      <c r="D165" s="181" t="n">
        <v>4776.1591</v>
      </c>
      <c r="E165" s="181" t="n">
        <v>21.5309</v>
      </c>
      <c r="F165" s="181" t="n">
        <v>463.5797</v>
      </c>
      <c r="G165" s="181" t="n">
        <v>23716</v>
      </c>
      <c r="H165" s="181" t="inlineStr"/>
      <c r="I165" s="181" t="inlineStr"/>
    </row>
    <row r="166" ht="15" customHeight="1" s="28">
      <c r="A166" s="182" t="n">
        <v>156</v>
      </c>
      <c r="B166" s="182" t="n">
        <v>155</v>
      </c>
      <c r="C166" s="182" t="n">
        <v>4789.7</v>
      </c>
      <c r="D166" s="182" t="n">
        <v>4775.8915</v>
      </c>
      <c r="E166" s="182" t="n">
        <v>13.8085</v>
      </c>
      <c r="F166" s="182" t="n">
        <v>190.6749</v>
      </c>
      <c r="G166" s="182" t="n">
        <v>24025</v>
      </c>
      <c r="H166" s="182" t="inlineStr"/>
      <c r="I166" s="182" t="inlineStr"/>
    </row>
    <row r="167" ht="15" customHeight="1" s="28">
      <c r="A167" s="181" t="n">
        <v>157</v>
      </c>
      <c r="B167" s="181" t="n">
        <v>156</v>
      </c>
      <c r="C167" s="181" t="n">
        <v>4789.48</v>
      </c>
      <c r="D167" s="181" t="n">
        <v>4775.6239</v>
      </c>
      <c r="E167" s="181" t="n">
        <v>13.8561</v>
      </c>
      <c r="F167" s="181" t="n">
        <v>191.9918</v>
      </c>
      <c r="G167" s="181" t="n">
        <v>24336</v>
      </c>
      <c r="H167" s="181" t="inlineStr"/>
      <c r="I167" s="181" t="inlineStr"/>
    </row>
    <row r="168" ht="15" customHeight="1" s="28">
      <c r="A168" s="182" t="n">
        <v>158</v>
      </c>
      <c r="B168" s="182" t="n">
        <v>157</v>
      </c>
      <c r="C168" s="182" t="n">
        <v>4792.11</v>
      </c>
      <c r="D168" s="182" t="n">
        <v>4775.3563</v>
      </c>
      <c r="E168" s="182" t="n">
        <v>16.7537</v>
      </c>
      <c r="F168" s="182" t="n">
        <v>280.6871</v>
      </c>
      <c r="G168" s="182" t="n">
        <v>24649</v>
      </c>
      <c r="H168" s="182" t="inlineStr"/>
      <c r="I168" s="182" t="inlineStr"/>
    </row>
    <row r="169" ht="15" customHeight="1" s="28">
      <c r="A169" s="181" t="n">
        <v>159</v>
      </c>
      <c r="B169" s="181" t="n">
        <v>158</v>
      </c>
      <c r="C169" s="181" t="n">
        <v>4792.48</v>
      </c>
      <c r="D169" s="181" t="n">
        <v>4775.0887</v>
      </c>
      <c r="E169" s="181" t="n">
        <v>17.3913</v>
      </c>
      <c r="F169" s="181" t="n">
        <v>302.458</v>
      </c>
      <c r="G169" s="181" t="n">
        <v>24964</v>
      </c>
      <c r="H169" s="181" t="inlineStr"/>
      <c r="I169" s="181" t="inlineStr"/>
    </row>
    <row r="170" ht="15" customHeight="1" s="28">
      <c r="A170" s="182" t="n">
        <v>160</v>
      </c>
      <c r="B170" s="182" t="n">
        <v>159</v>
      </c>
      <c r="C170" s="182" t="n">
        <v>4796.19</v>
      </c>
      <c r="D170" s="182" t="n">
        <v>4774.8211</v>
      </c>
      <c r="E170" s="182" t="n">
        <v>21.3689</v>
      </c>
      <c r="F170" s="182" t="n">
        <v>456.6307</v>
      </c>
      <c r="G170" s="182" t="n">
        <v>25281</v>
      </c>
      <c r="H170" s="182" t="inlineStr"/>
      <c r="I170" s="182" t="inlineStr"/>
    </row>
    <row r="171" ht="15" customHeight="1" s="28">
      <c r="A171" s="181" t="n">
        <v>161</v>
      </c>
      <c r="B171" s="181" t="n">
        <v>160</v>
      </c>
      <c r="C171" s="181" t="n">
        <v>4796.07</v>
      </c>
      <c r="D171" s="181" t="n">
        <v>4774.5535</v>
      </c>
      <c r="E171" s="181" t="n">
        <v>21.5165</v>
      </c>
      <c r="F171" s="181" t="n">
        <v>462.9611</v>
      </c>
      <c r="G171" s="181" t="n">
        <v>25600</v>
      </c>
      <c r="H171" s="181" t="inlineStr"/>
      <c r="I171" s="181" t="inlineStr"/>
    </row>
    <row r="172" ht="15" customHeight="1" s="28">
      <c r="A172" s="182" t="n">
        <v>162</v>
      </c>
      <c r="B172" s="182" t="n">
        <v>161</v>
      </c>
      <c r="C172" s="182" t="n">
        <v>4792.33</v>
      </c>
      <c r="D172" s="182" t="n">
        <v>4774.2859</v>
      </c>
      <c r="E172" s="182" t="n">
        <v>18.0441</v>
      </c>
      <c r="F172" s="182" t="n">
        <v>325.5906</v>
      </c>
      <c r="G172" s="182" t="n">
        <v>25921</v>
      </c>
      <c r="H172" s="182" t="inlineStr"/>
      <c r="I172" s="182" t="inlineStr"/>
    </row>
    <row r="173" ht="15" customHeight="1" s="28">
      <c r="A173" s="181" t="n">
        <v>163</v>
      </c>
      <c r="B173" s="181" t="n">
        <v>162</v>
      </c>
      <c r="C173" s="181" t="n">
        <v>4791.96</v>
      </c>
      <c r="D173" s="181" t="n">
        <v>4774.0183</v>
      </c>
      <c r="E173" s="181" t="n">
        <v>17.9417</v>
      </c>
      <c r="F173" s="181" t="n">
        <v>321.906</v>
      </c>
      <c r="G173" s="181" t="n">
        <v>26244</v>
      </c>
      <c r="H173" s="181" t="inlineStr"/>
      <c r="I173" s="181" t="inlineStr"/>
    </row>
    <row r="174" ht="15" customHeight="1" s="28">
      <c r="A174" s="182" t="n">
        <v>164</v>
      </c>
      <c r="B174" s="182" t="n">
        <v>163</v>
      </c>
      <c r="C174" s="182" t="n">
        <v>4791.6</v>
      </c>
      <c r="D174" s="182" t="n">
        <v>4773.7507</v>
      </c>
      <c r="E174" s="182" t="n">
        <v>17.8493</v>
      </c>
      <c r="F174" s="182" t="n">
        <v>318.5989</v>
      </c>
      <c r="G174" s="182" t="n">
        <v>26569</v>
      </c>
      <c r="H174" s="182" t="inlineStr"/>
      <c r="I174" s="182" t="inlineStr"/>
    </row>
    <row r="175" ht="15" customHeight="1" s="28">
      <c r="A175" s="181" t="n">
        <v>165</v>
      </c>
      <c r="B175" s="181" t="n">
        <v>164</v>
      </c>
      <c r="C175" s="181" t="n">
        <v>4795.76</v>
      </c>
      <c r="D175" s="181" t="n">
        <v>4773.4831</v>
      </c>
      <c r="E175" s="181" t="n">
        <v>22.2769</v>
      </c>
      <c r="F175" s="181" t="n">
        <v>496.2621</v>
      </c>
      <c r="G175" s="181" t="n">
        <v>26896</v>
      </c>
      <c r="H175" s="181" t="inlineStr"/>
      <c r="I175" s="181" t="inlineStr"/>
    </row>
    <row r="176" ht="15" customHeight="1" s="28">
      <c r="A176" s="182" t="n">
        <v>166</v>
      </c>
      <c r="B176" s="182" t="n">
        <v>165</v>
      </c>
      <c r="C176" s="182" t="n">
        <v>4798.24</v>
      </c>
      <c r="D176" s="182" t="n">
        <v>4773.2154</v>
      </c>
      <c r="E176" s="182" t="n">
        <v>25.0246</v>
      </c>
      <c r="F176" s="182" t="n">
        <v>626.2281</v>
      </c>
      <c r="G176" s="182" t="n">
        <v>27225</v>
      </c>
      <c r="H176" s="182" t="inlineStr"/>
      <c r="I176" s="182" t="inlineStr"/>
    </row>
    <row r="177" ht="15" customHeight="1" s="28">
      <c r="A177" s="181" t="n">
        <v>167</v>
      </c>
      <c r="B177" s="181" t="n">
        <v>166</v>
      </c>
      <c r="C177" s="181" t="n">
        <v>4795.08</v>
      </c>
      <c r="D177" s="181" t="n">
        <v>4772.9478</v>
      </c>
      <c r="E177" s="181" t="n">
        <v>22.1322</v>
      </c>
      <c r="F177" s="181" t="n">
        <v>489.8321</v>
      </c>
      <c r="G177" s="181" t="n">
        <v>27556</v>
      </c>
      <c r="H177" s="181" t="inlineStr"/>
      <c r="I177" s="181" t="inlineStr"/>
    </row>
    <row r="178" ht="15" customHeight="1" s="28">
      <c r="A178" s="182" t="n">
        <v>168</v>
      </c>
      <c r="B178" s="182" t="n">
        <v>167</v>
      </c>
      <c r="C178" s="182" t="n">
        <v>4795.91</v>
      </c>
      <c r="D178" s="182" t="n">
        <v>4772.6802</v>
      </c>
      <c r="E178" s="182" t="n">
        <v>23.2298</v>
      </c>
      <c r="F178" s="182" t="n">
        <v>539.6217</v>
      </c>
      <c r="G178" s="182" t="n">
        <v>27889</v>
      </c>
      <c r="H178" s="182" t="inlineStr"/>
      <c r="I178" s="182" t="inlineStr"/>
    </row>
    <row r="179" ht="15" customHeight="1" s="28">
      <c r="A179" s="181" t="n">
        <v>169</v>
      </c>
      <c r="B179" s="181" t="n">
        <v>168</v>
      </c>
      <c r="C179" s="181" t="n">
        <v>4789.77</v>
      </c>
      <c r="D179" s="181" t="n">
        <v>4772.4126</v>
      </c>
      <c r="E179" s="181" t="n">
        <v>17.3574</v>
      </c>
      <c r="F179" s="181" t="n">
        <v>301.2779</v>
      </c>
      <c r="G179" s="181" t="n">
        <v>28224</v>
      </c>
      <c r="H179" s="181" t="inlineStr"/>
      <c r="I179" s="181" t="inlineStr"/>
    </row>
    <row r="180" ht="15" customHeight="1" s="28">
      <c r="A180" s="182" t="n">
        <v>170</v>
      </c>
      <c r="B180" s="182" t="n">
        <v>169</v>
      </c>
      <c r="C180" s="182" t="n">
        <v>4788.34</v>
      </c>
      <c r="D180" s="182" t="n">
        <v>4772.145</v>
      </c>
      <c r="E180" s="182" t="n">
        <v>16.195</v>
      </c>
      <c r="F180" s="182" t="n">
        <v>262.2767</v>
      </c>
      <c r="G180" s="182" t="n">
        <v>28561</v>
      </c>
      <c r="H180" s="182" t="inlineStr"/>
      <c r="I180" s="182" t="inlineStr"/>
    </row>
    <row r="181" ht="15" customHeight="1" s="28">
      <c r="A181" s="181" t="n">
        <v>171</v>
      </c>
      <c r="B181" s="181" t="n">
        <v>170</v>
      </c>
      <c r="C181" s="181" t="n">
        <v>4794.36</v>
      </c>
      <c r="D181" s="181" t="n">
        <v>4771.8774</v>
      </c>
      <c r="E181" s="181" t="n">
        <v>22.4826</v>
      </c>
      <c r="F181" s="181" t="n">
        <v>505.466</v>
      </c>
      <c r="G181" s="181" t="n">
        <v>28900</v>
      </c>
      <c r="H181" s="181" t="inlineStr"/>
      <c r="I181" s="181" t="inlineStr"/>
    </row>
    <row r="182" ht="15" customHeight="1" s="28">
      <c r="A182" s="182" t="n">
        <v>172</v>
      </c>
      <c r="B182" s="182" t="n">
        <v>171</v>
      </c>
      <c r="C182" s="182" t="n">
        <v>4810.44</v>
      </c>
      <c r="D182" s="182" t="n">
        <v>4771.6098</v>
      </c>
      <c r="E182" s="182" t="n">
        <v>38.8302</v>
      </c>
      <c r="F182" s="182" t="n">
        <v>1507.7821</v>
      </c>
      <c r="G182" s="182" t="n">
        <v>29241</v>
      </c>
      <c r="H182" s="182" t="inlineStr"/>
      <c r="I182" s="182" t="inlineStr"/>
    </row>
    <row r="183" ht="15" customHeight="1" s="28">
      <c r="A183" s="181" t="n">
        <v>173</v>
      </c>
      <c r="B183" s="181" t="n">
        <v>172</v>
      </c>
      <c r="C183" s="181" t="n">
        <v>4811.06</v>
      </c>
      <c r="D183" s="181" t="n">
        <v>4771.3422</v>
      </c>
      <c r="E183" s="181" t="n">
        <v>39.7178</v>
      </c>
      <c r="F183" s="181" t="n">
        <v>1577.502</v>
      </c>
      <c r="G183" s="181" t="n">
        <v>29584</v>
      </c>
      <c r="H183" s="181" t="inlineStr"/>
      <c r="I183" s="181" t="inlineStr"/>
    </row>
    <row r="184" ht="15" customHeight="1" s="28">
      <c r="A184" s="182" t="n">
        <v>174</v>
      </c>
      <c r="B184" s="182" t="n">
        <v>173</v>
      </c>
      <c r="C184" s="182" t="n">
        <v>4805.51</v>
      </c>
      <c r="D184" s="182" t="n">
        <v>4771.0746</v>
      </c>
      <c r="E184" s="182" t="n">
        <v>34.4354</v>
      </c>
      <c r="F184" s="182" t="n">
        <v>1185.7954</v>
      </c>
      <c r="G184" s="182" t="n">
        <v>29929</v>
      </c>
      <c r="H184" s="182" t="inlineStr"/>
      <c r="I184" s="182" t="inlineStr"/>
    </row>
    <row r="185" ht="15" customHeight="1" s="28">
      <c r="A185" s="181" t="n">
        <v>175</v>
      </c>
      <c r="B185" s="181" t="n">
        <v>174</v>
      </c>
      <c r="C185" s="181" t="n">
        <v>4806.11</v>
      </c>
      <c r="D185" s="181" t="n">
        <v>4770.807</v>
      </c>
      <c r="E185" s="181" t="n">
        <v>35.303</v>
      </c>
      <c r="F185" s="181" t="n">
        <v>1246.3004</v>
      </c>
      <c r="G185" s="181" t="n">
        <v>30276</v>
      </c>
      <c r="H185" s="181" t="inlineStr"/>
      <c r="I185" s="181" t="inlineStr"/>
    </row>
    <row r="186" ht="15" customHeight="1" s="28">
      <c r="A186" s="182" t="n">
        <v>176</v>
      </c>
      <c r="B186" s="182" t="n">
        <v>175</v>
      </c>
      <c r="C186" s="182" t="n">
        <v>4803.49</v>
      </c>
      <c r="D186" s="182" t="n">
        <v>4770.5394</v>
      </c>
      <c r="E186" s="182" t="n">
        <v>32.9506</v>
      </c>
      <c r="F186" s="182" t="n">
        <v>1085.7414</v>
      </c>
      <c r="G186" s="182" t="n">
        <v>30625</v>
      </c>
      <c r="H186" s="182" t="inlineStr"/>
      <c r="I186" s="182" t="inlineStr"/>
    </row>
    <row r="187" ht="15" customHeight="1" s="28">
      <c r="A187" s="181" t="n">
        <v>177</v>
      </c>
      <c r="B187" s="181" t="n">
        <v>176</v>
      </c>
      <c r="C187" s="181" t="n">
        <v>4815.51</v>
      </c>
      <c r="D187" s="181" t="n">
        <v>4770.2718</v>
      </c>
      <c r="E187" s="181" t="n">
        <v>45.2382</v>
      </c>
      <c r="F187" s="181" t="n">
        <v>2046.4938</v>
      </c>
      <c r="G187" s="181" t="n">
        <v>30976</v>
      </c>
      <c r="H187" s="181" t="inlineStr"/>
      <c r="I187" s="181" t="inlineStr"/>
    </row>
    <row r="188" ht="15" customHeight="1" s="28">
      <c r="A188" s="182" t="n">
        <v>178</v>
      </c>
      <c r="B188" s="182" t="n">
        <v>177</v>
      </c>
      <c r="C188" s="182" t="n">
        <v>4824.19</v>
      </c>
      <c r="D188" s="182" t="n">
        <v>4770.0042</v>
      </c>
      <c r="E188" s="182" t="n">
        <v>54.1858</v>
      </c>
      <c r="F188" s="182" t="n">
        <v>2936.1009</v>
      </c>
      <c r="G188" s="182" t="n">
        <v>31329</v>
      </c>
      <c r="H188" s="182" t="inlineStr"/>
      <c r="I188" s="182" t="inlineStr"/>
    </row>
    <row r="189" ht="15" customHeight="1" s="28">
      <c r="A189" s="181" t="n">
        <v>179</v>
      </c>
      <c r="B189" s="181" t="n">
        <v>178</v>
      </c>
      <c r="C189" s="181" t="n">
        <v>4822.18</v>
      </c>
      <c r="D189" s="181" t="n">
        <v>4769.7366</v>
      </c>
      <c r="E189" s="181" t="n">
        <v>52.4434</v>
      </c>
      <c r="F189" s="181" t="n">
        <v>2750.3102</v>
      </c>
      <c r="G189" s="181" t="n">
        <v>31684</v>
      </c>
      <c r="H189" s="181" t="inlineStr"/>
      <c r="I189" s="181" t="inlineStr"/>
    </row>
    <row r="190" ht="15" customHeight="1" s="28">
      <c r="A190" s="182" t="n">
        <v>180</v>
      </c>
      <c r="B190" s="182" t="n">
        <v>179</v>
      </c>
      <c r="C190" s="182" t="n">
        <v>4817.9</v>
      </c>
      <c r="D190" s="182" t="n">
        <v>4769.469</v>
      </c>
      <c r="E190" s="182" t="n">
        <v>48.431</v>
      </c>
      <c r="F190" s="182" t="n">
        <v>2345.5627</v>
      </c>
      <c r="G190" s="182" t="n">
        <v>32041</v>
      </c>
      <c r="H190" s="182" t="inlineStr"/>
      <c r="I190" s="182" t="inlineStr"/>
    </row>
    <row r="191" ht="15" customHeight="1" s="28">
      <c r="A191" s="181" t="n">
        <v>181</v>
      </c>
      <c r="B191" s="181" t="n">
        <v>180</v>
      </c>
      <c r="C191" s="181" t="n">
        <v>4816.39</v>
      </c>
      <c r="D191" s="181" t="n">
        <v>4769.2014</v>
      </c>
      <c r="E191" s="181" t="n">
        <v>47.1886</v>
      </c>
      <c r="F191" s="181" t="n">
        <v>2226.7649</v>
      </c>
      <c r="G191" s="181" t="n">
        <v>32400</v>
      </c>
      <c r="H191" s="181" t="inlineStr"/>
      <c r="I191" s="181" t="inlineStr"/>
    </row>
    <row r="192" ht="15" customHeight="1" s="28">
      <c r="A192" s="182" t="n">
        <v>182</v>
      </c>
      <c r="B192" s="182" t="n">
        <v>181</v>
      </c>
      <c r="C192" s="182" t="n">
        <v>4823.4</v>
      </c>
      <c r="D192" s="182" t="n">
        <v>4768.9338</v>
      </c>
      <c r="E192" s="182" t="n">
        <v>54.4662</v>
      </c>
      <c r="F192" s="182" t="n">
        <v>2966.568</v>
      </c>
      <c r="G192" s="182" t="n">
        <v>32761</v>
      </c>
      <c r="H192" s="182" t="inlineStr"/>
      <c r="I192" s="182" t="inlineStr"/>
    </row>
    <row r="193" ht="15" customHeight="1" s="28">
      <c r="A193" s="181" t="n">
        <v>183</v>
      </c>
      <c r="B193" s="181" t="n">
        <v>182</v>
      </c>
      <c r="C193" s="181" t="n">
        <v>4814.18</v>
      </c>
      <c r="D193" s="181" t="n">
        <v>4768.6662</v>
      </c>
      <c r="E193" s="181" t="n">
        <v>45.5138</v>
      </c>
      <c r="F193" s="181" t="n">
        <v>2071.5078</v>
      </c>
      <c r="G193" s="181" t="n">
        <v>33124</v>
      </c>
      <c r="H193" s="181" t="inlineStr"/>
      <c r="I193" s="181" t="inlineStr"/>
    </row>
    <row r="194" ht="15" customHeight="1" s="28">
      <c r="A194" s="182" t="n">
        <v>184</v>
      </c>
      <c r="B194" s="182" t="n">
        <v>183</v>
      </c>
      <c r="C194" s="182" t="n">
        <v>4805.31</v>
      </c>
      <c r="D194" s="182" t="n">
        <v>4768.3986</v>
      </c>
      <c r="E194" s="182" t="n">
        <v>36.9114</v>
      </c>
      <c r="F194" s="182" t="n">
        <v>1362.4529</v>
      </c>
      <c r="G194" s="182" t="n">
        <v>33489</v>
      </c>
      <c r="H194" s="182" t="inlineStr"/>
      <c r="I194" s="182" t="inlineStr"/>
    </row>
    <row r="195" ht="15" customHeight="1" s="28">
      <c r="A195" s="181" t="n">
        <v>185</v>
      </c>
      <c r="B195" s="181" t="n">
        <v>184</v>
      </c>
      <c r="C195" s="181" t="n">
        <v>4798.2</v>
      </c>
      <c r="D195" s="181" t="n">
        <v>4768.131</v>
      </c>
      <c r="E195" s="181" t="n">
        <v>30.069</v>
      </c>
      <c r="F195" s="181" t="n">
        <v>904.1466</v>
      </c>
      <c r="G195" s="181" t="n">
        <v>33856</v>
      </c>
      <c r="H195" s="181" t="inlineStr"/>
      <c r="I195" s="181" t="inlineStr"/>
    </row>
    <row r="196" ht="15" customHeight="1" s="28">
      <c r="A196" s="182" t="n">
        <v>186</v>
      </c>
      <c r="B196" s="182" t="n">
        <v>185</v>
      </c>
      <c r="C196" s="182" t="n">
        <v>4808.64</v>
      </c>
      <c r="D196" s="182" t="n">
        <v>4767.8634</v>
      </c>
      <c r="E196" s="182" t="n">
        <v>40.7766</v>
      </c>
      <c r="F196" s="182" t="n">
        <v>1662.7336</v>
      </c>
      <c r="G196" s="182" t="n">
        <v>34225</v>
      </c>
      <c r="H196" s="182" t="inlineStr"/>
      <c r="I196" s="182" t="inlineStr"/>
    </row>
    <row r="197" ht="15" customHeight="1" s="28">
      <c r="A197" s="181" t="n">
        <v>187</v>
      </c>
      <c r="B197" s="181" t="n">
        <v>186</v>
      </c>
      <c r="C197" s="181" t="n">
        <v>4800.36</v>
      </c>
      <c r="D197" s="181" t="n">
        <v>4767.5958</v>
      </c>
      <c r="E197" s="181" t="n">
        <v>32.7642</v>
      </c>
      <c r="F197" s="181" t="n">
        <v>1073.4948</v>
      </c>
      <c r="G197" s="181" t="n">
        <v>34596</v>
      </c>
      <c r="H197" s="181" t="inlineStr"/>
      <c r="I197" s="181" t="inlineStr"/>
    </row>
    <row r="198" ht="15" customHeight="1" s="28">
      <c r="A198" s="182" t="n">
        <v>188</v>
      </c>
      <c r="B198" s="182" t="n">
        <v>187</v>
      </c>
      <c r="C198" s="182" t="n">
        <v>4799.8</v>
      </c>
      <c r="D198" s="182" t="n">
        <v>4767.3282</v>
      </c>
      <c r="E198" s="182" t="n">
        <v>32.4718</v>
      </c>
      <c r="F198" s="182" t="n">
        <v>1054.4204</v>
      </c>
      <c r="G198" s="182" t="n">
        <v>34969</v>
      </c>
      <c r="H198" s="182" t="inlineStr"/>
      <c r="I198" s="182" t="inlineStr"/>
    </row>
    <row r="199" ht="15" customHeight="1" s="28">
      <c r="A199" s="181" t="n">
        <v>189</v>
      </c>
      <c r="B199" s="181" t="n">
        <v>188</v>
      </c>
      <c r="C199" s="181" t="n">
        <v>4798.42</v>
      </c>
      <c r="D199" s="181" t="n">
        <v>4767.0606</v>
      </c>
      <c r="E199" s="181" t="n">
        <v>31.3594</v>
      </c>
      <c r="F199" s="181" t="n">
        <v>983.4145</v>
      </c>
      <c r="G199" s="181" t="n">
        <v>35344</v>
      </c>
      <c r="H199" s="181" t="inlineStr"/>
      <c r="I199" s="181" t="inlineStr"/>
    </row>
    <row r="200" ht="15" customHeight="1" s="28">
      <c r="A200" s="182" t="n">
        <v>190</v>
      </c>
      <c r="B200" s="182" t="n">
        <v>189</v>
      </c>
      <c r="C200" s="182" t="n">
        <v>4801.22</v>
      </c>
      <c r="D200" s="182" t="n">
        <v>4766.793</v>
      </c>
      <c r="E200" s="182" t="n">
        <v>34.4271</v>
      </c>
      <c r="F200" s="182" t="n">
        <v>1185.2218</v>
      </c>
      <c r="G200" s="182" t="n">
        <v>35721</v>
      </c>
      <c r="H200" s="182" t="inlineStr"/>
      <c r="I200" s="182" t="inlineStr"/>
    </row>
    <row r="201" ht="15" customHeight="1" s="28">
      <c r="A201" s="181" t="n">
        <v>191</v>
      </c>
      <c r="B201" s="181" t="n">
        <v>190</v>
      </c>
      <c r="C201" s="181" t="n">
        <v>4801.79</v>
      </c>
      <c r="D201" s="181" t="n">
        <v>4766.5253</v>
      </c>
      <c r="E201" s="181" t="n">
        <v>35.2647</v>
      </c>
      <c r="F201" s="181" t="n">
        <v>1243.5955</v>
      </c>
      <c r="G201" s="181" t="n">
        <v>36100</v>
      </c>
      <c r="H201" s="181" t="inlineStr"/>
      <c r="I201" s="181" t="inlineStr"/>
    </row>
    <row r="202" ht="15" customHeight="1" s="28">
      <c r="A202" s="182" t="n">
        <v>192</v>
      </c>
      <c r="B202" s="182" t="n">
        <v>191</v>
      </c>
      <c r="C202" s="182" t="n">
        <v>4805.59</v>
      </c>
      <c r="D202" s="182" t="n">
        <v>4766.2577</v>
      </c>
      <c r="E202" s="182" t="n">
        <v>39.3323</v>
      </c>
      <c r="F202" s="182" t="n">
        <v>1547.0259</v>
      </c>
      <c r="G202" s="182" t="n">
        <v>36481</v>
      </c>
      <c r="H202" s="182" t="inlineStr"/>
      <c r="I202" s="182" t="inlineStr"/>
    </row>
    <row r="203" ht="15" customHeight="1" s="28">
      <c r="A203" s="181" t="n">
        <v>193</v>
      </c>
      <c r="B203" s="181" t="n">
        <v>192</v>
      </c>
      <c r="C203" s="181" t="n">
        <v>4808.86</v>
      </c>
      <c r="D203" s="181" t="n">
        <v>4765.9901</v>
      </c>
      <c r="E203" s="181" t="n">
        <v>42.8699</v>
      </c>
      <c r="F203" s="181" t="n">
        <v>1837.8249</v>
      </c>
      <c r="G203" s="181" t="n">
        <v>36864</v>
      </c>
      <c r="H203" s="181" t="inlineStr"/>
      <c r="I203" s="181" t="inlineStr"/>
    </row>
    <row r="204" ht="15" customHeight="1" s="28">
      <c r="A204" s="182" t="n">
        <v>194</v>
      </c>
      <c r="B204" s="182" t="n">
        <v>193</v>
      </c>
      <c r="C204" s="182" t="n">
        <v>4810.07</v>
      </c>
      <c r="D204" s="182" t="n">
        <v>4765.7225</v>
      </c>
      <c r="E204" s="182" t="n">
        <v>44.3475</v>
      </c>
      <c r="F204" s="182" t="n">
        <v>1966.6972</v>
      </c>
      <c r="G204" s="182" t="n">
        <v>37249</v>
      </c>
      <c r="H204" s="182" t="inlineStr"/>
      <c r="I204" s="182" t="inlineStr"/>
    </row>
    <row r="205" ht="15" customHeight="1" s="28">
      <c r="A205" s="181" t="n">
        <v>195</v>
      </c>
      <c r="B205" s="181" t="n">
        <v>194</v>
      </c>
      <c r="C205" s="181" t="n">
        <v>4809.55</v>
      </c>
      <c r="D205" s="181" t="n">
        <v>4765.4549</v>
      </c>
      <c r="E205" s="181" t="n">
        <v>44.0951</v>
      </c>
      <c r="F205" s="181" t="n">
        <v>1944.3752</v>
      </c>
      <c r="G205" s="181" t="n">
        <v>37636</v>
      </c>
      <c r="H205" s="181" t="inlineStr"/>
      <c r="I205" s="181" t="inlineStr"/>
    </row>
    <row r="206" ht="15" customHeight="1" s="28">
      <c r="A206" s="182" t="n">
        <v>196</v>
      </c>
      <c r="B206" s="182" t="n">
        <v>195</v>
      </c>
      <c r="C206" s="182" t="n">
        <v>4806.62</v>
      </c>
      <c r="D206" s="182" t="n">
        <v>4765.1873</v>
      </c>
      <c r="E206" s="182" t="n">
        <v>41.4327</v>
      </c>
      <c r="F206" s="182" t="n">
        <v>1716.6661</v>
      </c>
      <c r="G206" s="182" t="n">
        <v>38025</v>
      </c>
      <c r="H206" s="182" t="inlineStr"/>
      <c r="I206" s="182" t="inlineStr"/>
    </row>
    <row r="207" ht="15" customHeight="1" s="28">
      <c r="A207" s="181" t="n">
        <v>197</v>
      </c>
      <c r="B207" s="181" t="n">
        <v>196</v>
      </c>
      <c r="C207" s="181" t="n">
        <v>4815.51</v>
      </c>
      <c r="D207" s="181" t="n">
        <v>4764.9197</v>
      </c>
      <c r="E207" s="181" t="n">
        <v>50.5903</v>
      </c>
      <c r="F207" s="181" t="n">
        <v>2559.3754</v>
      </c>
      <c r="G207" s="181" t="n">
        <v>38416</v>
      </c>
      <c r="H207" s="181" t="inlineStr"/>
      <c r="I207" s="181" t="inlineStr"/>
    </row>
    <row r="208" ht="15" customHeight="1" s="28">
      <c r="A208" s="182" t="n">
        <v>198</v>
      </c>
      <c r="B208" s="182" t="n">
        <v>197</v>
      </c>
      <c r="C208" s="182" t="n">
        <v>4813.5</v>
      </c>
      <c r="D208" s="182" t="n">
        <v>4764.6521</v>
      </c>
      <c r="E208" s="182" t="n">
        <v>48.8479</v>
      </c>
      <c r="F208" s="182" t="n">
        <v>2386.1154</v>
      </c>
      <c r="G208" s="182" t="n">
        <v>38809</v>
      </c>
      <c r="H208" s="182" t="inlineStr"/>
      <c r="I208" s="182" t="inlineStr"/>
    </row>
    <row r="209" ht="15" customHeight="1" s="28">
      <c r="A209" s="181" t="n">
        <v>199</v>
      </c>
      <c r="B209" s="181" t="n">
        <v>198</v>
      </c>
      <c r="C209" s="181" t="n">
        <v>4814.44</v>
      </c>
      <c r="D209" s="181" t="n">
        <v>4764.3845</v>
      </c>
      <c r="E209" s="181" t="n">
        <v>50.0555</v>
      </c>
      <c r="F209" s="181" t="n">
        <v>2505.5511</v>
      </c>
      <c r="G209" s="181" t="n">
        <v>39204</v>
      </c>
      <c r="H209" s="181" t="inlineStr"/>
      <c r="I209" s="181" t="inlineStr"/>
    </row>
    <row r="210" ht="15" customHeight="1" s="28">
      <c r="A210" s="182" t="n">
        <v>200</v>
      </c>
      <c r="B210" s="182" t="n">
        <v>199</v>
      </c>
      <c r="C210" s="182" t="n">
        <v>4814.05</v>
      </c>
      <c r="D210" s="182" t="n">
        <v>4764.1169</v>
      </c>
      <c r="E210" s="182" t="n">
        <v>49.9331</v>
      </c>
      <c r="F210" s="182" t="n">
        <v>2493.3135</v>
      </c>
      <c r="G210" s="182" t="n">
        <v>39601</v>
      </c>
      <c r="H210" s="182" t="inlineStr"/>
      <c r="I210" s="182" t="inlineStr"/>
    </row>
    <row r="211" ht="15" customHeight="1" s="28">
      <c r="A211" s="181" t="n">
        <v>201</v>
      </c>
      <c r="B211" s="181" t="n">
        <v>200</v>
      </c>
      <c r="C211" s="181" t="n">
        <v>4820.26</v>
      </c>
      <c r="D211" s="181" t="n">
        <v>4763.8493</v>
      </c>
      <c r="E211" s="181" t="n">
        <v>56.4107</v>
      </c>
      <c r="F211" s="181" t="n">
        <v>3182.1659</v>
      </c>
      <c r="G211" s="181" t="n">
        <v>40000</v>
      </c>
      <c r="H211" s="181" t="inlineStr"/>
      <c r="I211" s="181" t="inlineStr"/>
    </row>
    <row r="212" ht="15" customHeight="1" s="28">
      <c r="A212" s="182" t="n">
        <v>202</v>
      </c>
      <c r="B212" s="182" t="n">
        <v>201</v>
      </c>
      <c r="C212" s="182" t="n">
        <v>4817.26</v>
      </c>
      <c r="D212" s="182" t="n">
        <v>4763.5817</v>
      </c>
      <c r="E212" s="182" t="n">
        <v>53.6783</v>
      </c>
      <c r="F212" s="182" t="n">
        <v>2881.3599</v>
      </c>
      <c r="G212" s="182" t="n">
        <v>40401</v>
      </c>
      <c r="H212" s="182" t="inlineStr"/>
      <c r="I212" s="182" t="inlineStr"/>
    </row>
    <row r="213" ht="15" customHeight="1" s="28">
      <c r="A213" s="181" t="n">
        <v>203</v>
      </c>
      <c r="B213" s="181" t="n">
        <v>202</v>
      </c>
      <c r="C213" s="181" t="n">
        <v>4811.66</v>
      </c>
      <c r="D213" s="181" t="n">
        <v>4763.3141</v>
      </c>
      <c r="E213" s="181" t="n">
        <v>48.3459</v>
      </c>
      <c r="F213" s="181" t="n">
        <v>2337.326</v>
      </c>
      <c r="G213" s="181" t="n">
        <v>40804</v>
      </c>
      <c r="H213" s="181" t="inlineStr"/>
      <c r="I213" s="181" t="inlineStr"/>
    </row>
    <row r="214" ht="15" customHeight="1" s="28">
      <c r="A214" s="182" t="n">
        <v>204</v>
      </c>
      <c r="B214" s="182" t="n">
        <v>203</v>
      </c>
      <c r="C214" s="182" t="n">
        <v>4814.24</v>
      </c>
      <c r="D214" s="182" t="n">
        <v>4763.0465</v>
      </c>
      <c r="E214" s="182" t="n">
        <v>51.1935</v>
      </c>
      <c r="F214" s="182" t="n">
        <v>2620.7744</v>
      </c>
      <c r="G214" s="182" t="n">
        <v>41209</v>
      </c>
      <c r="H214" s="182" t="inlineStr"/>
      <c r="I214" s="182" t="inlineStr"/>
    </row>
    <row r="215" ht="15" customHeight="1" s="28">
      <c r="A215" s="181" t="n">
        <v>205</v>
      </c>
      <c r="B215" s="181" t="n">
        <v>204</v>
      </c>
      <c r="C215" s="181" t="n">
        <v>4813.42</v>
      </c>
      <c r="D215" s="181" t="n">
        <v>4762.7789</v>
      </c>
      <c r="E215" s="181" t="n">
        <v>50.6411</v>
      </c>
      <c r="F215" s="181" t="n">
        <v>2564.522</v>
      </c>
      <c r="G215" s="181" t="n">
        <v>41616</v>
      </c>
      <c r="H215" s="181" t="inlineStr"/>
      <c r="I215" s="181" t="inlineStr"/>
    </row>
    <row r="216" ht="15" customHeight="1" s="28">
      <c r="A216" s="182" t="n">
        <v>206</v>
      </c>
      <c r="B216" s="182" t="n">
        <v>205</v>
      </c>
      <c r="C216" s="182" t="n">
        <v>4815.85</v>
      </c>
      <c r="D216" s="182" t="n">
        <v>4762.5113</v>
      </c>
      <c r="E216" s="182" t="n">
        <v>53.3387</v>
      </c>
      <c r="F216" s="182" t="n">
        <v>2845.018</v>
      </c>
      <c r="G216" s="182" t="n">
        <v>42025</v>
      </c>
      <c r="H216" s="182" t="inlineStr"/>
      <c r="I216" s="182" t="inlineStr"/>
    </row>
    <row r="217" ht="15" customHeight="1" s="28">
      <c r="A217" s="181" t="n">
        <v>207</v>
      </c>
      <c r="B217" s="181" t="n">
        <v>206</v>
      </c>
      <c r="C217" s="181" t="n">
        <v>4816.71</v>
      </c>
      <c r="D217" s="181" t="n">
        <v>4762.2437</v>
      </c>
      <c r="E217" s="181" t="n">
        <v>54.4663</v>
      </c>
      <c r="F217" s="181" t="n">
        <v>2966.58</v>
      </c>
      <c r="G217" s="181" t="n">
        <v>42436</v>
      </c>
      <c r="H217" s="181" t="inlineStr"/>
      <c r="I217" s="181" t="inlineStr"/>
    </row>
    <row r="218" ht="15" customHeight="1" s="28">
      <c r="A218" s="182" t="n">
        <v>208</v>
      </c>
      <c r="B218" s="182" t="n">
        <v>207</v>
      </c>
      <c r="C218" s="182" t="n">
        <v>4820.81</v>
      </c>
      <c r="D218" s="182" t="n">
        <v>4761.9761</v>
      </c>
      <c r="E218" s="182" t="n">
        <v>58.8339</v>
      </c>
      <c r="F218" s="182" t="n">
        <v>3461.4301</v>
      </c>
      <c r="G218" s="182" t="n">
        <v>42849</v>
      </c>
      <c r="H218" s="182" t="inlineStr"/>
      <c r="I218" s="182" t="inlineStr"/>
    </row>
    <row r="219" ht="15" customHeight="1" s="28">
      <c r="A219" s="181" t="n">
        <v>209</v>
      </c>
      <c r="B219" s="181" t="n">
        <v>208</v>
      </c>
      <c r="C219" s="181" t="n">
        <v>4829.14</v>
      </c>
      <c r="D219" s="181" t="n">
        <v>4761.7085</v>
      </c>
      <c r="E219" s="181" t="n">
        <v>67.4315</v>
      </c>
      <c r="F219" s="181" t="n">
        <v>4547.0099</v>
      </c>
      <c r="G219" s="181" t="n">
        <v>43264</v>
      </c>
      <c r="H219" s="181" t="inlineStr"/>
      <c r="I219" s="181" t="inlineStr"/>
    </row>
    <row r="220" ht="15" customHeight="1" s="28">
      <c r="A220" s="182" t="n">
        <v>210</v>
      </c>
      <c r="B220" s="182" t="n">
        <v>209</v>
      </c>
      <c r="C220" s="182" t="n">
        <v>4828.53</v>
      </c>
      <c r="D220" s="182" t="n">
        <v>4761.4409</v>
      </c>
      <c r="E220" s="182" t="n">
        <v>67.0891</v>
      </c>
      <c r="F220" s="182" t="n">
        <v>4500.9514</v>
      </c>
      <c r="G220" s="182" t="n">
        <v>43681</v>
      </c>
      <c r="H220" s="182" t="inlineStr"/>
      <c r="I220" s="182" t="inlineStr"/>
    </row>
    <row r="221" ht="15" customHeight="1" s="28">
      <c r="A221" s="181" t="n">
        <v>211</v>
      </c>
      <c r="B221" s="181" t="n">
        <v>210</v>
      </c>
      <c r="C221" s="181" t="n">
        <v>4830.44</v>
      </c>
      <c r="D221" s="181" t="n">
        <v>4761.1733</v>
      </c>
      <c r="E221" s="181" t="n">
        <v>69.2667</v>
      </c>
      <c r="F221" s="181" t="n">
        <v>4797.8799</v>
      </c>
      <c r="G221" s="181" t="n">
        <v>44100</v>
      </c>
      <c r="H221" s="181" t="inlineStr"/>
      <c r="I221" s="181" t="inlineStr"/>
    </row>
    <row r="222" ht="15" customHeight="1" s="28">
      <c r="A222" s="182" t="n">
        <v>212</v>
      </c>
      <c r="B222" s="182" t="n">
        <v>211</v>
      </c>
      <c r="C222" s="182" t="n">
        <v>4827.62</v>
      </c>
      <c r="D222" s="182" t="n">
        <v>4760.9057</v>
      </c>
      <c r="E222" s="182" t="n">
        <v>66.71429999999999</v>
      </c>
      <c r="F222" s="182" t="n">
        <v>4450.8032</v>
      </c>
      <c r="G222" s="182" t="n">
        <v>44521</v>
      </c>
      <c r="H222" s="182" t="inlineStr"/>
      <c r="I222" s="182" t="inlineStr"/>
    </row>
    <row r="223" ht="15" customHeight="1" s="28">
      <c r="A223" s="181" t="n">
        <v>213</v>
      </c>
      <c r="B223" s="181" t="n">
        <v>212</v>
      </c>
      <c r="C223" s="181" t="n">
        <v>4825.77</v>
      </c>
      <c r="D223" s="181" t="n">
        <v>4760.6381</v>
      </c>
      <c r="E223" s="181" t="n">
        <v>65.1319</v>
      </c>
      <c r="F223" s="181" t="n">
        <v>4242.1696</v>
      </c>
      <c r="G223" s="181" t="n">
        <v>44944</v>
      </c>
      <c r="H223" s="181" t="inlineStr"/>
      <c r="I223" s="181" t="inlineStr"/>
    </row>
    <row r="224" ht="15" customHeight="1" s="28">
      <c r="A224" s="182" t="n">
        <v>214</v>
      </c>
      <c r="B224" s="182" t="n">
        <v>213</v>
      </c>
      <c r="C224" s="182" t="n">
        <v>4825.84</v>
      </c>
      <c r="D224" s="182" t="n">
        <v>4760.3705</v>
      </c>
      <c r="E224" s="182" t="n">
        <v>65.4695</v>
      </c>
      <c r="F224" s="182" t="n">
        <v>4286.2607</v>
      </c>
      <c r="G224" s="182" t="n">
        <v>45369</v>
      </c>
      <c r="H224" s="182" t="inlineStr"/>
      <c r="I224" s="182" t="inlineStr"/>
    </row>
    <row r="225" ht="15" customHeight="1" s="28">
      <c r="A225" s="181" t="n">
        <v>215</v>
      </c>
      <c r="B225" s="181" t="n">
        <v>214</v>
      </c>
      <c r="C225" s="181" t="n">
        <v>4824.16</v>
      </c>
      <c r="D225" s="181" t="n">
        <v>4760.1029</v>
      </c>
      <c r="E225" s="181" t="n">
        <v>64.05710000000001</v>
      </c>
      <c r="F225" s="181" t="n">
        <v>4103.3185</v>
      </c>
      <c r="G225" s="181" t="n">
        <v>45796</v>
      </c>
      <c r="H225" s="181" t="inlineStr"/>
      <c r="I225" s="181" t="inlineStr"/>
    </row>
    <row r="226" ht="15" customHeight="1" s="28">
      <c r="A226" s="182" t="n">
        <v>216</v>
      </c>
      <c r="B226" s="182" t="n">
        <v>215</v>
      </c>
      <c r="C226" s="182" t="n">
        <v>4821.76</v>
      </c>
      <c r="D226" s="182" t="n">
        <v>4759.8353</v>
      </c>
      <c r="E226" s="182" t="n">
        <v>61.9248</v>
      </c>
      <c r="F226" s="182" t="n">
        <v>3834.6747</v>
      </c>
      <c r="G226" s="182" t="n">
        <v>46225</v>
      </c>
      <c r="H226" s="182" t="inlineStr"/>
      <c r="I226" s="182" t="inlineStr"/>
    </row>
    <row r="227" ht="15" customHeight="1" s="28">
      <c r="A227" s="181" t="n">
        <v>217</v>
      </c>
      <c r="B227" s="181" t="n">
        <v>216</v>
      </c>
      <c r="C227" s="181" t="n">
        <v>4828.53</v>
      </c>
      <c r="D227" s="181" t="n">
        <v>4759.5676</v>
      </c>
      <c r="E227" s="181" t="n">
        <v>68.9624</v>
      </c>
      <c r="F227" s="181" t="n">
        <v>4755.8071</v>
      </c>
      <c r="G227" s="181" t="n">
        <v>46656</v>
      </c>
      <c r="H227" s="181" t="inlineStr"/>
      <c r="I227" s="181" t="inlineStr"/>
    </row>
    <row r="228" ht="15" customHeight="1" s="28">
      <c r="A228" s="182" t="n">
        <v>218</v>
      </c>
      <c r="B228" s="182" t="n">
        <v>217</v>
      </c>
      <c r="C228" s="182" t="n">
        <v>4819.92</v>
      </c>
      <c r="D228" s="182" t="n">
        <v>4759.3</v>
      </c>
      <c r="E228" s="182" t="n">
        <v>60.62</v>
      </c>
      <c r="F228" s="182" t="n">
        <v>3674.7796</v>
      </c>
      <c r="G228" s="182" t="n">
        <v>47089</v>
      </c>
      <c r="H228" s="182" t="inlineStr"/>
      <c r="I228" s="182" t="inlineStr"/>
    </row>
    <row r="229" ht="15" customHeight="1" s="28">
      <c r="A229" s="181" t="n">
        <v>219</v>
      </c>
      <c r="B229" s="181" t="n">
        <v>218</v>
      </c>
      <c r="C229" s="181" t="n">
        <v>4822.66</v>
      </c>
      <c r="D229" s="181" t="n">
        <v>4759.0324</v>
      </c>
      <c r="E229" s="181" t="n">
        <v>63.6276</v>
      </c>
      <c r="F229" s="181" t="n">
        <v>4048.4664</v>
      </c>
      <c r="G229" s="181" t="n">
        <v>47524</v>
      </c>
      <c r="H229" s="181" t="inlineStr"/>
      <c r="I229" s="181" t="inlineStr"/>
    </row>
    <row r="230" ht="15" customHeight="1" s="28">
      <c r="A230" s="182" t="n">
        <v>220</v>
      </c>
      <c r="B230" s="182" t="n">
        <v>219</v>
      </c>
      <c r="C230" s="182" t="n">
        <v>4823.76</v>
      </c>
      <c r="D230" s="182" t="n">
        <v>4758.7648</v>
      </c>
      <c r="E230" s="182" t="n">
        <v>64.9952</v>
      </c>
      <c r="F230" s="182" t="n">
        <v>4224.3721</v>
      </c>
      <c r="G230" s="182" t="n">
        <v>47961</v>
      </c>
      <c r="H230" s="182" t="inlineStr"/>
      <c r="I230" s="182" t="inlineStr"/>
    </row>
    <row r="231" ht="15" customHeight="1" s="28">
      <c r="A231" s="181" t="n">
        <v>221</v>
      </c>
      <c r="B231" s="181" t="n">
        <v>220</v>
      </c>
      <c r="C231" s="181" t="n">
        <v>4814.78</v>
      </c>
      <c r="D231" s="181" t="n">
        <v>4758.4972</v>
      </c>
      <c r="E231" s="181" t="n">
        <v>56.2828</v>
      </c>
      <c r="F231" s="181" t="n">
        <v>3167.7502</v>
      </c>
      <c r="G231" s="181" t="n">
        <v>48400</v>
      </c>
      <c r="H231" s="181" t="inlineStr"/>
      <c r="I231" s="181" t="inlineStr"/>
    </row>
    <row r="232" ht="15" customHeight="1" s="28">
      <c r="A232" s="182" t="n">
        <v>222</v>
      </c>
      <c r="B232" s="182" t="n">
        <v>221</v>
      </c>
      <c r="C232" s="182" t="n">
        <v>4818.7</v>
      </c>
      <c r="D232" s="182" t="n">
        <v>4758.2296</v>
      </c>
      <c r="E232" s="182" t="n">
        <v>60.4704</v>
      </c>
      <c r="F232" s="182" t="n">
        <v>3656.6669</v>
      </c>
      <c r="G232" s="182" t="n">
        <v>48841</v>
      </c>
      <c r="H232" s="182" t="inlineStr"/>
      <c r="I232" s="182" t="inlineStr"/>
    </row>
    <row r="233" ht="15" customHeight="1" s="28">
      <c r="A233" s="181" t="n">
        <v>223</v>
      </c>
      <c r="B233" s="181" t="n">
        <v>222</v>
      </c>
      <c r="C233" s="181" t="n">
        <v>4813.59</v>
      </c>
      <c r="D233" s="181" t="n">
        <v>4757.962</v>
      </c>
      <c r="E233" s="181" t="n">
        <v>55.628</v>
      </c>
      <c r="F233" s="181" t="n">
        <v>3094.4722</v>
      </c>
      <c r="G233" s="181" t="n">
        <v>49284</v>
      </c>
      <c r="H233" s="181" t="inlineStr"/>
      <c r="I233" s="181" t="inlineStr"/>
    </row>
    <row r="234" ht="15" customHeight="1" s="28">
      <c r="A234" s="182" t="n">
        <v>224</v>
      </c>
      <c r="B234" s="182" t="n">
        <v>223</v>
      </c>
      <c r="C234" s="182" t="n">
        <v>4810.06</v>
      </c>
      <c r="D234" s="182" t="n">
        <v>4757.6944</v>
      </c>
      <c r="E234" s="182" t="n">
        <v>52.3656</v>
      </c>
      <c r="F234" s="182" t="n">
        <v>2742.155</v>
      </c>
      <c r="G234" s="182" t="n">
        <v>49729</v>
      </c>
      <c r="H234" s="182" t="inlineStr"/>
      <c r="I234" s="182" t="inlineStr"/>
    </row>
    <row r="235" ht="15" customHeight="1" s="28">
      <c r="A235" s="181" t="n">
        <v>225</v>
      </c>
      <c r="B235" s="181" t="n">
        <v>224</v>
      </c>
      <c r="C235" s="181" t="n">
        <v>4807.3</v>
      </c>
      <c r="D235" s="181" t="n">
        <v>4757.4268</v>
      </c>
      <c r="E235" s="181" t="n">
        <v>49.8732</v>
      </c>
      <c r="F235" s="181" t="n">
        <v>2487.3351</v>
      </c>
      <c r="G235" s="181" t="n">
        <v>50176</v>
      </c>
      <c r="H235" s="181" t="inlineStr"/>
      <c r="I235" s="181" t="inlineStr"/>
    </row>
    <row r="236" ht="15" customHeight="1" s="28">
      <c r="A236" s="182" t="n">
        <v>226</v>
      </c>
      <c r="B236" s="182" t="n">
        <v>225</v>
      </c>
      <c r="C236" s="182" t="n">
        <v>4807.73</v>
      </c>
      <c r="D236" s="182" t="n">
        <v>4757.1592</v>
      </c>
      <c r="E236" s="182" t="n">
        <v>50.5708</v>
      </c>
      <c r="F236" s="182" t="n">
        <v>2557.4048</v>
      </c>
      <c r="G236" s="182" t="n">
        <v>50625</v>
      </c>
      <c r="H236" s="182" t="inlineStr"/>
      <c r="I236" s="182" t="inlineStr"/>
    </row>
    <row r="237" ht="15" customHeight="1" s="28">
      <c r="A237" s="181" t="n">
        <v>227</v>
      </c>
      <c r="B237" s="181" t="n">
        <v>226</v>
      </c>
      <c r="C237" s="181" t="n">
        <v>4806.61</v>
      </c>
      <c r="D237" s="181" t="n">
        <v>4756.8916</v>
      </c>
      <c r="E237" s="181" t="n">
        <v>49.7184</v>
      </c>
      <c r="F237" s="181" t="n">
        <v>2471.9193</v>
      </c>
      <c r="G237" s="181" t="n">
        <v>51076</v>
      </c>
      <c r="H237" s="181" t="inlineStr"/>
      <c r="I237" s="181" t="inlineStr"/>
    </row>
    <row r="238" ht="15" customHeight="1" s="28">
      <c r="A238" s="182" t="n">
        <v>228</v>
      </c>
      <c r="B238" s="182" t="n">
        <v>227</v>
      </c>
      <c r="C238" s="182" t="n">
        <v>4806.9</v>
      </c>
      <c r="D238" s="182" t="n">
        <v>4756.624</v>
      </c>
      <c r="E238" s="182" t="n">
        <v>50.276</v>
      </c>
      <c r="F238" s="182" t="n">
        <v>2527.6762</v>
      </c>
      <c r="G238" s="182" t="n">
        <v>51529</v>
      </c>
      <c r="H238" s="182" t="inlineStr"/>
      <c r="I238" s="182" t="inlineStr"/>
    </row>
    <row r="239" ht="15" customHeight="1" s="28">
      <c r="A239" s="181" t="n">
        <v>229</v>
      </c>
      <c r="B239" s="181" t="n">
        <v>228</v>
      </c>
      <c r="C239" s="181" t="n">
        <v>4800.74</v>
      </c>
      <c r="D239" s="181" t="n">
        <v>4756.3564</v>
      </c>
      <c r="E239" s="181" t="n">
        <v>44.3836</v>
      </c>
      <c r="F239" s="181" t="n">
        <v>1969.9048</v>
      </c>
      <c r="G239" s="181" t="n">
        <v>51984</v>
      </c>
      <c r="H239" s="181" t="inlineStr"/>
      <c r="I239" s="181" t="inlineStr"/>
    </row>
    <row r="240" ht="15" customHeight="1" s="28">
      <c r="A240" s="182" t="n">
        <v>230</v>
      </c>
      <c r="B240" s="182" t="n">
        <v>229</v>
      </c>
      <c r="C240" s="182" t="n">
        <v>4798.75</v>
      </c>
      <c r="D240" s="182" t="n">
        <v>4756.0888</v>
      </c>
      <c r="E240" s="182" t="n">
        <v>42.6612</v>
      </c>
      <c r="F240" s="182" t="n">
        <v>1819.9788</v>
      </c>
      <c r="G240" s="182" t="n">
        <v>52441</v>
      </c>
      <c r="H240" s="182" t="inlineStr"/>
      <c r="I240" s="182" t="inlineStr"/>
    </row>
    <row r="241" ht="15" customHeight="1" s="28">
      <c r="A241" s="181" t="n">
        <v>231</v>
      </c>
      <c r="B241" s="181" t="n">
        <v>230</v>
      </c>
      <c r="C241" s="181" t="n">
        <v>4795.2</v>
      </c>
      <c r="D241" s="181" t="n">
        <v>4755.8212</v>
      </c>
      <c r="E241" s="181" t="n">
        <v>39.3788</v>
      </c>
      <c r="F241" s="181" t="n">
        <v>1550.6907</v>
      </c>
      <c r="G241" s="181" t="n">
        <v>52900</v>
      </c>
      <c r="H241" s="181" t="inlineStr"/>
      <c r="I241" s="181" t="inlineStr"/>
    </row>
    <row r="242" ht="15" customHeight="1" s="28">
      <c r="A242" s="182" t="n">
        <v>232</v>
      </c>
      <c r="B242" s="182" t="n">
        <v>231</v>
      </c>
      <c r="C242" s="182" t="n">
        <v>4797.36</v>
      </c>
      <c r="D242" s="182" t="n">
        <v>4755.5536</v>
      </c>
      <c r="E242" s="182" t="n">
        <v>41.8064</v>
      </c>
      <c r="F242" s="182" t="n">
        <v>1747.7768</v>
      </c>
      <c r="G242" s="182" t="n">
        <v>53361</v>
      </c>
      <c r="H242" s="182" t="inlineStr"/>
      <c r="I242" s="182" t="inlineStr"/>
    </row>
    <row r="243" ht="15" customHeight="1" s="28">
      <c r="A243" s="181" t="n">
        <v>233</v>
      </c>
      <c r="B243" s="181" t="n">
        <v>232</v>
      </c>
      <c r="C243" s="181" t="n">
        <v>4794.24</v>
      </c>
      <c r="D243" s="181" t="n">
        <v>4755.286</v>
      </c>
      <c r="E243" s="181" t="n">
        <v>38.954</v>
      </c>
      <c r="F243" s="181" t="n">
        <v>1517.4157</v>
      </c>
      <c r="G243" s="181" t="n">
        <v>53824</v>
      </c>
      <c r="H243" s="181" t="inlineStr"/>
      <c r="I243" s="181" t="inlineStr"/>
    </row>
    <row r="244" ht="15" customHeight="1" s="28">
      <c r="A244" s="182" t="n">
        <v>234</v>
      </c>
      <c r="B244" s="182" t="n">
        <v>233</v>
      </c>
      <c r="C244" s="182" t="n">
        <v>4792.33</v>
      </c>
      <c r="D244" s="182" t="n">
        <v>4755.0184</v>
      </c>
      <c r="E244" s="182" t="n">
        <v>37.3116</v>
      </c>
      <c r="F244" s="182" t="n">
        <v>1392.1577</v>
      </c>
      <c r="G244" s="182" t="n">
        <v>54289</v>
      </c>
      <c r="H244" s="182" t="inlineStr"/>
      <c r="I244" s="182" t="inlineStr"/>
    </row>
    <row r="245" ht="15" customHeight="1" s="28">
      <c r="A245" s="181" t="n">
        <v>235</v>
      </c>
      <c r="B245" s="181" t="n">
        <v>234</v>
      </c>
      <c r="C245" s="181" t="n">
        <v>4791.74</v>
      </c>
      <c r="D245" s="181" t="n">
        <v>4754.7508</v>
      </c>
      <c r="E245" s="181" t="n">
        <v>36.9892</v>
      </c>
      <c r="F245" s="181" t="n">
        <v>1368.2031</v>
      </c>
      <c r="G245" s="181" t="n">
        <v>54756</v>
      </c>
      <c r="H245" s="181" t="inlineStr"/>
      <c r="I245" s="181" t="inlineStr"/>
    </row>
    <row r="246" ht="15" customHeight="1" s="28">
      <c r="A246" s="182" t="n">
        <v>236</v>
      </c>
      <c r="B246" s="182" t="n">
        <v>235</v>
      </c>
      <c r="C246" s="182" t="n">
        <v>4789.16</v>
      </c>
      <c r="D246" s="182" t="n">
        <v>4754.4832</v>
      </c>
      <c r="E246" s="182" t="n">
        <v>34.6768</v>
      </c>
      <c r="F246" s="182" t="n">
        <v>1202.4825</v>
      </c>
      <c r="G246" s="182" t="n">
        <v>55225</v>
      </c>
      <c r="H246" s="182" t="inlineStr"/>
      <c r="I246" s="182" t="inlineStr"/>
    </row>
    <row r="247" ht="15" customHeight="1" s="28">
      <c r="A247" s="181" t="n">
        <v>237</v>
      </c>
      <c r="B247" s="181" t="n">
        <v>236</v>
      </c>
      <c r="C247" s="181" t="n">
        <v>4789.51</v>
      </c>
      <c r="D247" s="181" t="n">
        <v>4754.2156</v>
      </c>
      <c r="E247" s="181" t="n">
        <v>35.2944</v>
      </c>
      <c r="F247" s="181" t="n">
        <v>1245.6975</v>
      </c>
      <c r="G247" s="181" t="n">
        <v>55696</v>
      </c>
      <c r="H247" s="181" t="inlineStr"/>
      <c r="I247" s="181" t="inlineStr"/>
    </row>
    <row r="248" ht="15" customHeight="1" s="28">
      <c r="A248" s="182" t="n">
        <v>238</v>
      </c>
      <c r="B248" s="182" t="n">
        <v>237</v>
      </c>
      <c r="C248" s="182" t="n">
        <v>4787.58</v>
      </c>
      <c r="D248" s="182" t="n">
        <v>4753.948</v>
      </c>
      <c r="E248" s="182" t="n">
        <v>33.632</v>
      </c>
      <c r="F248" s="182" t="n">
        <v>1131.1141</v>
      </c>
      <c r="G248" s="182" t="n">
        <v>56169</v>
      </c>
      <c r="H248" s="182" t="inlineStr"/>
      <c r="I248" s="182" t="inlineStr"/>
    </row>
    <row r="249" ht="15" customHeight="1" s="28">
      <c r="A249" s="181" t="n">
        <v>239</v>
      </c>
      <c r="B249" s="181" t="n">
        <v>238</v>
      </c>
      <c r="C249" s="181" t="n">
        <v>4796.37</v>
      </c>
      <c r="D249" s="181" t="n">
        <v>4753.6803</v>
      </c>
      <c r="E249" s="181" t="n">
        <v>42.6897</v>
      </c>
      <c r="F249" s="181" t="n">
        <v>1822.4062</v>
      </c>
      <c r="G249" s="181" t="n">
        <v>56644</v>
      </c>
      <c r="H249" s="181" t="inlineStr"/>
      <c r="I249" s="181" t="inlineStr"/>
    </row>
    <row r="250" ht="15" customHeight="1" s="28">
      <c r="A250" s="182" t="n">
        <v>240</v>
      </c>
      <c r="B250" s="182" t="n">
        <v>239</v>
      </c>
      <c r="C250" s="182" t="n">
        <v>4784.33</v>
      </c>
      <c r="D250" s="182" t="n">
        <v>4753.4128</v>
      </c>
      <c r="E250" s="182" t="n">
        <v>30.9172</v>
      </c>
      <c r="F250" s="182" t="n">
        <v>955.8763</v>
      </c>
      <c r="G250" s="182" t="n">
        <v>57121</v>
      </c>
      <c r="H250" s="182" t="inlineStr"/>
      <c r="I250" s="182" t="inlineStr"/>
    </row>
    <row r="251" ht="15" customHeight="1" s="28">
      <c r="A251" s="181" t="n">
        <v>241</v>
      </c>
      <c r="B251" s="181" t="n">
        <v>240</v>
      </c>
      <c r="C251" s="181" t="n">
        <v>4785.01</v>
      </c>
      <c r="D251" s="181" t="n">
        <v>4753.1452</v>
      </c>
      <c r="E251" s="181" t="n">
        <v>31.8648</v>
      </c>
      <c r="F251" s="181" t="n">
        <v>1015.3687</v>
      </c>
      <c r="G251" s="181" t="n">
        <v>57600</v>
      </c>
      <c r="H251" s="181" t="inlineStr"/>
      <c r="I251" s="181" t="inlineStr"/>
    </row>
    <row r="252" ht="15" customHeight="1" s="28">
      <c r="A252" s="182" t="n">
        <v>242</v>
      </c>
      <c r="B252" s="182" t="n">
        <v>241</v>
      </c>
      <c r="C252" s="182" t="n">
        <v>4778.93</v>
      </c>
      <c r="D252" s="182" t="n">
        <v>4752.8775</v>
      </c>
      <c r="E252" s="182" t="n">
        <v>26.0525</v>
      </c>
      <c r="F252" s="182" t="n">
        <v>678.7307</v>
      </c>
      <c r="G252" s="182" t="n">
        <v>58081</v>
      </c>
      <c r="H252" s="182" t="inlineStr"/>
      <c r="I252" s="182" t="inlineStr"/>
    </row>
    <row r="253" ht="15" customHeight="1" s="28">
      <c r="A253" s="181" t="n">
        <v>243</v>
      </c>
      <c r="B253" s="181" t="n">
        <v>242</v>
      </c>
      <c r="C253" s="181" t="n">
        <v>4780.6</v>
      </c>
      <c r="D253" s="181" t="n">
        <v>4752.6099</v>
      </c>
      <c r="E253" s="181" t="n">
        <v>27.9901</v>
      </c>
      <c r="F253" s="181" t="n">
        <v>783.4435</v>
      </c>
      <c r="G253" s="181" t="n">
        <v>58564</v>
      </c>
      <c r="H253" s="181" t="inlineStr"/>
      <c r="I253" s="181" t="inlineStr"/>
    </row>
    <row r="254" ht="15" customHeight="1" s="28">
      <c r="A254" s="182" t="n">
        <v>244</v>
      </c>
      <c r="B254" s="182" t="n">
        <v>243</v>
      </c>
      <c r="C254" s="182" t="n">
        <v>4778.73</v>
      </c>
      <c r="D254" s="182" t="n">
        <v>4752.3423</v>
      </c>
      <c r="E254" s="182" t="n">
        <v>26.3877</v>
      </c>
      <c r="F254" s="182" t="n">
        <v>696.3090999999999</v>
      </c>
      <c r="G254" s="182" t="n">
        <v>59049</v>
      </c>
      <c r="H254" s="182" t="inlineStr"/>
      <c r="I254" s="182" t="inlineStr"/>
    </row>
    <row r="255" ht="15" customHeight="1" s="28">
      <c r="A255" s="181" t="n">
        <v>245</v>
      </c>
      <c r="B255" s="181" t="n">
        <v>244</v>
      </c>
      <c r="C255" s="181" t="n">
        <v>4782.82</v>
      </c>
      <c r="D255" s="181" t="n">
        <v>4752.0747</v>
      </c>
      <c r="E255" s="181" t="n">
        <v>30.7453</v>
      </c>
      <c r="F255" s="181" t="n">
        <v>945.2716</v>
      </c>
      <c r="G255" s="181" t="n">
        <v>59536</v>
      </c>
      <c r="H255" s="181" t="inlineStr"/>
      <c r="I255" s="181" t="inlineStr"/>
    </row>
    <row r="256" ht="15" customHeight="1" s="28">
      <c r="A256" s="182" t="n">
        <v>246</v>
      </c>
      <c r="B256" s="182" t="n">
        <v>245</v>
      </c>
      <c r="C256" s="182" t="n">
        <v>4783.35</v>
      </c>
      <c r="D256" s="182" t="n">
        <v>4751.8071</v>
      </c>
      <c r="E256" s="182" t="n">
        <v>31.5429</v>
      </c>
      <c r="F256" s="182" t="n">
        <v>994.9533</v>
      </c>
      <c r="G256" s="182" t="n">
        <v>60025</v>
      </c>
      <c r="H256" s="182" t="inlineStr"/>
      <c r="I256" s="182" t="inlineStr"/>
    </row>
    <row r="257" ht="15" customHeight="1" s="28">
      <c r="A257" s="181" t="n">
        <v>247</v>
      </c>
      <c r="B257" s="181" t="n">
        <v>246</v>
      </c>
      <c r="C257" s="181" t="n">
        <v>4786.75</v>
      </c>
      <c r="D257" s="181" t="n">
        <v>4751.5395</v>
      </c>
      <c r="E257" s="181" t="n">
        <v>35.2105</v>
      </c>
      <c r="F257" s="181" t="n">
        <v>1239.7779</v>
      </c>
      <c r="G257" s="181" t="n">
        <v>60516</v>
      </c>
      <c r="H257" s="181" t="inlineStr"/>
      <c r="I257" s="181" t="inlineStr"/>
    </row>
    <row r="258" ht="15" customHeight="1" s="28">
      <c r="A258" s="182" t="n">
        <v>248</v>
      </c>
      <c r="B258" s="182" t="n">
        <v>247</v>
      </c>
      <c r="C258" s="182" t="n">
        <v>4785.87</v>
      </c>
      <c r="D258" s="182" t="n">
        <v>4751.2719</v>
      </c>
      <c r="E258" s="182" t="n">
        <v>34.5981</v>
      </c>
      <c r="F258" s="182" t="n">
        <v>1197.0271</v>
      </c>
      <c r="G258" s="182" t="n">
        <v>61009</v>
      </c>
      <c r="H258" s="182" t="inlineStr"/>
      <c r="I258" s="182" t="inlineStr"/>
    </row>
    <row r="259" ht="15" customHeight="1" s="28">
      <c r="A259" s="181" t="n">
        <v>249</v>
      </c>
      <c r="B259" s="181" t="n">
        <v>248</v>
      </c>
      <c r="C259" s="181" t="n">
        <v>4776.03</v>
      </c>
      <c r="D259" s="181" t="n">
        <v>4751.0043</v>
      </c>
      <c r="E259" s="181" t="n">
        <v>25.0257</v>
      </c>
      <c r="F259" s="181" t="n">
        <v>626.2852</v>
      </c>
      <c r="G259" s="181" t="n">
        <v>61504</v>
      </c>
      <c r="H259" s="181" t="inlineStr"/>
      <c r="I259" s="181" t="inlineStr"/>
    </row>
    <row r="260" ht="15" customHeight="1" s="28">
      <c r="A260" s="182" t="n">
        <v>250</v>
      </c>
      <c r="B260" s="182" t="n">
        <v>249</v>
      </c>
      <c r="C260" s="182" t="n">
        <v>4787.2</v>
      </c>
      <c r="D260" s="182" t="n">
        <v>4750.7367</v>
      </c>
      <c r="E260" s="182" t="n">
        <v>36.4633</v>
      </c>
      <c r="F260" s="182" t="n">
        <v>1329.5715</v>
      </c>
      <c r="G260" s="182" t="n">
        <v>62001</v>
      </c>
      <c r="H260" s="182" t="inlineStr"/>
      <c r="I260" s="182" t="inlineStr"/>
    </row>
    <row r="261" ht="15" customHeight="1" s="28">
      <c r="A261" s="181" t="n">
        <v>251</v>
      </c>
      <c r="B261" s="181" t="n">
        <v>250</v>
      </c>
      <c r="C261" s="181" t="n">
        <v>4791.78</v>
      </c>
      <c r="D261" s="181" t="n">
        <v>4750.4691</v>
      </c>
      <c r="E261" s="181" t="n">
        <v>41.3109</v>
      </c>
      <c r="F261" s="181" t="n">
        <v>1706.5905</v>
      </c>
      <c r="G261" s="181" t="n">
        <v>62500</v>
      </c>
      <c r="H261" s="181" t="inlineStr"/>
      <c r="I261" s="181" t="inlineStr"/>
    </row>
    <row r="262" ht="15" customHeight="1" s="28">
      <c r="A262" s="182" t="n">
        <v>252</v>
      </c>
      <c r="B262" s="182" t="n">
        <v>251</v>
      </c>
      <c r="C262" s="182" t="n">
        <v>4786.04</v>
      </c>
      <c r="D262" s="182" t="n">
        <v>4750.2015</v>
      </c>
      <c r="E262" s="182" t="n">
        <v>35.8385</v>
      </c>
      <c r="F262" s="182" t="n">
        <v>1284.3981</v>
      </c>
      <c r="G262" s="182" t="n">
        <v>63001</v>
      </c>
      <c r="H262" s="182" t="inlineStr"/>
      <c r="I262" s="182" t="inlineStr"/>
    </row>
    <row r="263" ht="15" customHeight="1" s="28">
      <c r="A263" s="181" t="n">
        <v>253</v>
      </c>
      <c r="B263" s="181" t="n">
        <v>252</v>
      </c>
      <c r="C263" s="181" t="n">
        <v>4784.2</v>
      </c>
      <c r="D263" s="181" t="n">
        <v>4749.9339</v>
      </c>
      <c r="E263" s="181" t="n">
        <v>34.2661</v>
      </c>
      <c r="F263" s="181" t="n">
        <v>1174.1656</v>
      </c>
      <c r="G263" s="181" t="n">
        <v>63504</v>
      </c>
      <c r="H263" s="181" t="inlineStr"/>
      <c r="I263" s="181" t="inlineStr"/>
    </row>
    <row r="264" ht="15" customHeight="1" s="28">
      <c r="A264" s="182" t="n">
        <v>254</v>
      </c>
      <c r="B264" s="182" t="n">
        <v>253</v>
      </c>
      <c r="C264" s="182" t="n">
        <v>4782.14</v>
      </c>
      <c r="D264" s="182" t="n">
        <v>4749.6663</v>
      </c>
      <c r="E264" s="182" t="n">
        <v>32.4737</v>
      </c>
      <c r="F264" s="182" t="n">
        <v>1054.5418</v>
      </c>
      <c r="G264" s="182" t="n">
        <v>64009</v>
      </c>
      <c r="H264" s="182" t="inlineStr"/>
      <c r="I264" s="182" t="inlineStr"/>
    </row>
    <row r="265" ht="15" customHeight="1" s="28">
      <c r="A265" s="181" t="n">
        <v>255</v>
      </c>
      <c r="B265" s="181" t="n">
        <v>254</v>
      </c>
      <c r="C265" s="181" t="n">
        <v>4787.2</v>
      </c>
      <c r="D265" s="181" t="n">
        <v>4749.3987</v>
      </c>
      <c r="E265" s="181" t="n">
        <v>37.8013</v>
      </c>
      <c r="F265" s="181" t="n">
        <v>1428.939</v>
      </c>
      <c r="G265" s="181" t="n">
        <v>64516</v>
      </c>
      <c r="H265" s="181" t="inlineStr"/>
      <c r="I265" s="181" t="inlineStr"/>
    </row>
    <row r="266" ht="15" customHeight="1" s="28">
      <c r="A266" s="182" t="n">
        <v>256</v>
      </c>
      <c r="B266" s="182" t="n">
        <v>255</v>
      </c>
      <c r="C266" s="182" t="n">
        <v>4783.8</v>
      </c>
      <c r="D266" s="182" t="n">
        <v>4749.1311</v>
      </c>
      <c r="E266" s="182" t="n">
        <v>34.6689</v>
      </c>
      <c r="F266" s="182" t="n">
        <v>1201.934</v>
      </c>
      <c r="G266" s="182" t="n">
        <v>65025</v>
      </c>
      <c r="H266" s="182" t="inlineStr"/>
      <c r="I266" s="182" t="inlineStr"/>
    </row>
    <row r="267" ht="15" customHeight="1" s="28">
      <c r="A267" s="181" t="n">
        <v>257</v>
      </c>
      <c r="B267" s="181" t="n">
        <v>256</v>
      </c>
      <c r="C267" s="181" t="n">
        <v>4783.02</v>
      </c>
      <c r="D267" s="181" t="n">
        <v>4748.8635</v>
      </c>
      <c r="E267" s="181" t="n">
        <v>34.1565</v>
      </c>
      <c r="F267" s="181" t="n">
        <v>1166.6679</v>
      </c>
      <c r="G267" s="181" t="n">
        <v>65536</v>
      </c>
      <c r="H267" s="181" t="inlineStr"/>
      <c r="I267" s="181" t="inlineStr"/>
    </row>
    <row r="268" ht="15" customHeight="1" s="28">
      <c r="A268" s="182" t="n">
        <v>258</v>
      </c>
      <c r="B268" s="182" t="n">
        <v>257</v>
      </c>
      <c r="C268" s="182" t="n">
        <v>4783.07</v>
      </c>
      <c r="D268" s="182" t="n">
        <v>4748.5959</v>
      </c>
      <c r="E268" s="182" t="n">
        <v>34.4741</v>
      </c>
      <c r="F268" s="182" t="n">
        <v>1188.4649</v>
      </c>
      <c r="G268" s="182" t="n">
        <v>66049</v>
      </c>
      <c r="H268" s="182" t="inlineStr"/>
      <c r="I268" s="182" t="inlineStr"/>
    </row>
    <row r="269" ht="15" customHeight="1" s="28">
      <c r="A269" s="181" t="n">
        <v>259</v>
      </c>
      <c r="B269" s="181" t="n">
        <v>258</v>
      </c>
      <c r="C269" s="181" t="n">
        <v>4786.25</v>
      </c>
      <c r="D269" s="181" t="n">
        <v>4748.3283</v>
      </c>
      <c r="E269" s="181" t="n">
        <v>37.9217</v>
      </c>
      <c r="F269" s="181" t="n">
        <v>1438.0576</v>
      </c>
      <c r="G269" s="181" t="n">
        <v>66564</v>
      </c>
      <c r="H269" s="181" t="inlineStr"/>
      <c r="I269" s="181" t="inlineStr"/>
    </row>
    <row r="270" ht="15" customHeight="1" s="28">
      <c r="A270" s="182" t="n">
        <v>260</v>
      </c>
      <c r="B270" s="182" t="n">
        <v>259</v>
      </c>
      <c r="C270" s="182" t="n">
        <v>4789.79</v>
      </c>
      <c r="D270" s="182" t="n">
        <v>4748.0607</v>
      </c>
      <c r="E270" s="182" t="n">
        <v>41.7293</v>
      </c>
      <c r="F270" s="182" t="n">
        <v>1741.337</v>
      </c>
      <c r="G270" s="182" t="n">
        <v>67081</v>
      </c>
      <c r="H270" s="182" t="inlineStr"/>
      <c r="I270" s="182" t="inlineStr"/>
    </row>
    <row r="271" ht="15" customHeight="1" s="28">
      <c r="A271" s="181" t="n">
        <v>261</v>
      </c>
      <c r="B271" s="181" t="n">
        <v>260</v>
      </c>
      <c r="C271" s="181" t="n">
        <v>4781.77</v>
      </c>
      <c r="D271" s="181" t="n">
        <v>4747.7931</v>
      </c>
      <c r="E271" s="181" t="n">
        <v>33.9769</v>
      </c>
      <c r="F271" s="181" t="n">
        <v>1154.4325</v>
      </c>
      <c r="G271" s="181" t="n">
        <v>67600</v>
      </c>
      <c r="H271" s="181" t="inlineStr"/>
      <c r="I271" s="181" t="inlineStr"/>
    </row>
    <row r="272" ht="15" customHeight="1" s="28">
      <c r="A272" s="182" t="n">
        <v>262</v>
      </c>
      <c r="B272" s="182" t="n">
        <v>261</v>
      </c>
      <c r="C272" s="182" t="n">
        <v>4783.57</v>
      </c>
      <c r="D272" s="182" t="n">
        <v>4747.5255</v>
      </c>
      <c r="E272" s="182" t="n">
        <v>36.0445</v>
      </c>
      <c r="F272" s="182" t="n">
        <v>1299.2089</v>
      </c>
      <c r="G272" s="182" t="n">
        <v>68121</v>
      </c>
      <c r="H272" s="182" t="inlineStr"/>
      <c r="I272" s="182" t="inlineStr"/>
    </row>
    <row r="273" ht="15" customHeight="1" s="28">
      <c r="A273" s="181" t="n">
        <v>263</v>
      </c>
      <c r="B273" s="181" t="n">
        <v>262</v>
      </c>
      <c r="C273" s="181" t="n">
        <v>4793.1</v>
      </c>
      <c r="D273" s="181" t="n">
        <v>4747.2579</v>
      </c>
      <c r="E273" s="181" t="n">
        <v>45.8421</v>
      </c>
      <c r="F273" s="181" t="n">
        <v>2101.5018</v>
      </c>
      <c r="G273" s="181" t="n">
        <v>68644</v>
      </c>
      <c r="H273" s="181" t="inlineStr"/>
      <c r="I273" s="181" t="inlineStr"/>
    </row>
    <row r="274" ht="15" customHeight="1" s="28">
      <c r="A274" s="182" t="n">
        <v>264</v>
      </c>
      <c r="B274" s="182" t="n">
        <v>263</v>
      </c>
      <c r="C274" s="182" t="n">
        <v>4794.61</v>
      </c>
      <c r="D274" s="182" t="n">
        <v>4746.9902</v>
      </c>
      <c r="E274" s="182" t="n">
        <v>47.6197</v>
      </c>
      <c r="F274" s="182" t="n">
        <v>2267.6406</v>
      </c>
      <c r="G274" s="182" t="n">
        <v>69169</v>
      </c>
      <c r="H274" s="182" t="inlineStr"/>
      <c r="I274" s="182" t="inlineStr"/>
    </row>
    <row r="275" ht="15" customHeight="1" s="28">
      <c r="A275" s="181" t="n">
        <v>265</v>
      </c>
      <c r="B275" s="181" t="n">
        <v>264</v>
      </c>
      <c r="C275" s="181" t="n">
        <v>4791.06</v>
      </c>
      <c r="D275" s="181" t="n">
        <v>4746.7226</v>
      </c>
      <c r="E275" s="181" t="n">
        <v>44.3374</v>
      </c>
      <c r="F275" s="181" t="n">
        <v>1965.8006</v>
      </c>
      <c r="G275" s="181" t="n">
        <v>69696</v>
      </c>
      <c r="H275" s="181" t="inlineStr"/>
      <c r="I275" s="181" t="inlineStr"/>
    </row>
    <row r="276" ht="15" customHeight="1" s="28">
      <c r="A276" s="182" t="n">
        <v>266</v>
      </c>
      <c r="B276" s="182" t="n">
        <v>265</v>
      </c>
      <c r="C276" s="182" t="n">
        <v>4780.61</v>
      </c>
      <c r="D276" s="182" t="n">
        <v>4746.455</v>
      </c>
      <c r="E276" s="182" t="n">
        <v>34.155</v>
      </c>
      <c r="F276" s="182" t="n">
        <v>1166.5613</v>
      </c>
      <c r="G276" s="182" t="n">
        <v>70225</v>
      </c>
      <c r="H276" s="182" t="inlineStr"/>
      <c r="I276" s="182" t="inlineStr"/>
    </row>
    <row r="277" ht="15" customHeight="1" s="28">
      <c r="A277" s="181" t="n">
        <v>267</v>
      </c>
      <c r="B277" s="181" t="n">
        <v>266</v>
      </c>
      <c r="C277" s="181" t="n">
        <v>4778.89</v>
      </c>
      <c r="D277" s="181" t="n">
        <v>4746.1874</v>
      </c>
      <c r="E277" s="181" t="n">
        <v>32.7026</v>
      </c>
      <c r="F277" s="181" t="n">
        <v>1069.4574</v>
      </c>
      <c r="G277" s="181" t="n">
        <v>70756</v>
      </c>
      <c r="H277" s="181" t="inlineStr"/>
      <c r="I277" s="181" t="inlineStr"/>
    </row>
    <row r="278" ht="15" customHeight="1" s="28">
      <c r="A278" s="182" t="n">
        <v>268</v>
      </c>
      <c r="B278" s="182" t="n">
        <v>267</v>
      </c>
      <c r="C278" s="182" t="n">
        <v>4778.78</v>
      </c>
      <c r="D278" s="182" t="n">
        <v>4745.9198</v>
      </c>
      <c r="E278" s="182" t="n">
        <v>32.8602</v>
      </c>
      <c r="F278" s="182" t="n">
        <v>1079.7901</v>
      </c>
      <c r="G278" s="182" t="n">
        <v>71289</v>
      </c>
      <c r="H278" s="182" t="inlineStr"/>
      <c r="I278" s="182" t="inlineStr"/>
    </row>
    <row r="279" ht="15" customHeight="1" s="28">
      <c r="A279" s="181" t="n">
        <v>269</v>
      </c>
      <c r="B279" s="181" t="n">
        <v>268</v>
      </c>
      <c r="C279" s="181" t="n">
        <v>4765.33</v>
      </c>
      <c r="D279" s="181" t="n">
        <v>4745.6522</v>
      </c>
      <c r="E279" s="181" t="n">
        <v>19.6778</v>
      </c>
      <c r="F279" s="181" t="n">
        <v>387.2146</v>
      </c>
      <c r="G279" s="181" t="n">
        <v>71824</v>
      </c>
      <c r="H279" s="181" t="inlineStr"/>
      <c r="I279" s="181" t="inlineStr"/>
    </row>
    <row r="280" ht="15" customHeight="1" s="28">
      <c r="A280" s="182" t="n">
        <v>270</v>
      </c>
      <c r="B280" s="182" t="n">
        <v>269</v>
      </c>
      <c r="C280" s="182" t="n">
        <v>4774.96</v>
      </c>
      <c r="D280" s="182" t="n">
        <v>4745.3846</v>
      </c>
      <c r="E280" s="182" t="n">
        <v>29.5754</v>
      </c>
      <c r="F280" s="182" t="n">
        <v>874.7025</v>
      </c>
      <c r="G280" s="182" t="n">
        <v>72361</v>
      </c>
      <c r="H280" s="182" t="inlineStr"/>
      <c r="I280" s="182" t="inlineStr"/>
    </row>
    <row r="281" ht="15" customHeight="1" s="28">
      <c r="A281" s="181" t="n">
        <v>271</v>
      </c>
      <c r="B281" s="181" t="n">
        <v>270</v>
      </c>
      <c r="C281" s="181" t="n">
        <v>4789.04</v>
      </c>
      <c r="D281" s="181" t="n">
        <v>4745.117</v>
      </c>
      <c r="E281" s="181" t="n">
        <v>43.923</v>
      </c>
      <c r="F281" s="181" t="n">
        <v>1929.2282</v>
      </c>
      <c r="G281" s="181" t="n">
        <v>72900</v>
      </c>
      <c r="H281" s="181" t="inlineStr"/>
      <c r="I281" s="181" t="inlineStr"/>
    </row>
    <row r="282" ht="15" customHeight="1" s="28">
      <c r="A282" s="182" t="n">
        <v>272</v>
      </c>
      <c r="B282" s="182" t="n">
        <v>271</v>
      </c>
      <c r="C282" s="182" t="n">
        <v>4779.16</v>
      </c>
      <c r="D282" s="182" t="n">
        <v>4744.8494</v>
      </c>
      <c r="E282" s="182" t="n">
        <v>34.3106</v>
      </c>
      <c r="F282" s="182" t="n">
        <v>1177.2159</v>
      </c>
      <c r="G282" s="182" t="n">
        <v>73441</v>
      </c>
      <c r="H282" s="182" t="inlineStr"/>
      <c r="I282" s="182" t="inlineStr"/>
    </row>
    <row r="283" ht="15" customHeight="1" s="28">
      <c r="A283" s="181" t="n">
        <v>273</v>
      </c>
      <c r="B283" s="181" t="n">
        <v>272</v>
      </c>
      <c r="C283" s="181" t="n">
        <v>4778.53</v>
      </c>
      <c r="D283" s="181" t="n">
        <v>4744.5818</v>
      </c>
      <c r="E283" s="181" t="n">
        <v>33.9482</v>
      </c>
      <c r="F283" s="181" t="n">
        <v>1152.4796</v>
      </c>
      <c r="G283" s="181" t="n">
        <v>73984</v>
      </c>
      <c r="H283" s="181" t="inlineStr"/>
      <c r="I283" s="181" t="inlineStr"/>
    </row>
    <row r="284" ht="15" customHeight="1" s="28">
      <c r="A284" s="182" t="n">
        <v>274</v>
      </c>
      <c r="B284" s="182" t="n">
        <v>273</v>
      </c>
      <c r="C284" s="182" t="n">
        <v>4774.24</v>
      </c>
      <c r="D284" s="182" t="n">
        <v>4744.3142</v>
      </c>
      <c r="E284" s="182" t="n">
        <v>29.9258</v>
      </c>
      <c r="F284" s="182" t="n">
        <v>895.5529</v>
      </c>
      <c r="G284" s="182" t="n">
        <v>74529</v>
      </c>
      <c r="H284" s="182" t="inlineStr"/>
      <c r="I284" s="182" t="inlineStr"/>
    </row>
    <row r="285" ht="15" customHeight="1" s="28">
      <c r="A285" s="181" t="n">
        <v>275</v>
      </c>
      <c r="B285" s="181" t="n">
        <v>274</v>
      </c>
      <c r="C285" s="181" t="n">
        <v>4744.7</v>
      </c>
      <c r="D285" s="181" t="n">
        <v>4744.0466</v>
      </c>
      <c r="E285" s="181" t="n">
        <v>0.6534</v>
      </c>
      <c r="F285" s="181" t="n">
        <v>0.4269</v>
      </c>
      <c r="G285" s="181" t="n">
        <v>75076</v>
      </c>
      <c r="H285" s="181" t="inlineStr"/>
      <c r="I285" s="181" t="inlineStr"/>
    </row>
    <row r="286" ht="15" customHeight="1" s="28">
      <c r="A286" s="182" t="n">
        <v>276</v>
      </c>
      <c r="B286" s="182" t="n">
        <v>275</v>
      </c>
      <c r="C286" s="182" t="n">
        <v>4738.97</v>
      </c>
      <c r="D286" s="182" t="n">
        <v>4743.779</v>
      </c>
      <c r="E286" s="182" t="n">
        <v>-4.809</v>
      </c>
      <c r="F286" s="182" t="n">
        <v>23.1265</v>
      </c>
      <c r="G286" s="182" t="n">
        <v>75625</v>
      </c>
      <c r="H286" s="182" t="inlineStr"/>
      <c r="I286" s="182" t="inlineStr"/>
    </row>
    <row r="287" ht="15" customHeight="1" s="28">
      <c r="A287" s="181" t="n">
        <v>277</v>
      </c>
      <c r="B287" s="181" t="n">
        <v>276</v>
      </c>
      <c r="C287" s="181" t="n">
        <v>4748.21</v>
      </c>
      <c r="D287" s="181" t="n">
        <v>4743.5114</v>
      </c>
      <c r="E287" s="181" t="n">
        <v>4.6986</v>
      </c>
      <c r="F287" s="181" t="n">
        <v>22.0768</v>
      </c>
      <c r="G287" s="181" t="n">
        <v>76176</v>
      </c>
      <c r="H287" s="181" t="inlineStr"/>
      <c r="I287" s="181" t="inlineStr"/>
    </row>
    <row r="288" ht="15" customHeight="1" s="28">
      <c r="A288" s="182" t="n">
        <v>278</v>
      </c>
      <c r="B288" s="182" t="n">
        <v>277</v>
      </c>
      <c r="C288" s="182" t="n">
        <v>4742.57</v>
      </c>
      <c r="D288" s="182" t="n">
        <v>4743.2438</v>
      </c>
      <c r="E288" s="182" t="n">
        <v>-0.6738</v>
      </c>
      <c r="F288" s="182" t="n">
        <v>0.454</v>
      </c>
      <c r="G288" s="182" t="n">
        <v>76729</v>
      </c>
      <c r="H288" s="182" t="inlineStr"/>
      <c r="I288" s="182" t="inlineStr"/>
    </row>
    <row r="289" ht="15" customHeight="1" s="28">
      <c r="A289" s="181" t="n">
        <v>279</v>
      </c>
      <c r="B289" s="181" t="n">
        <v>278</v>
      </c>
      <c r="C289" s="181" t="n">
        <v>4745.93</v>
      </c>
      <c r="D289" s="181" t="n">
        <v>4742.9762</v>
      </c>
      <c r="E289" s="181" t="n">
        <v>2.9538</v>
      </c>
      <c r="F289" s="181" t="n">
        <v>8.725</v>
      </c>
      <c r="G289" s="181" t="n">
        <v>77284</v>
      </c>
      <c r="H289" s="181" t="inlineStr"/>
      <c r="I289" s="181" t="inlineStr"/>
    </row>
    <row r="290" ht="15" customHeight="1" s="28">
      <c r="A290" s="182" t="n">
        <v>280</v>
      </c>
      <c r="B290" s="182" t="n">
        <v>279</v>
      </c>
      <c r="C290" s="182" t="n">
        <v>4741.81</v>
      </c>
      <c r="D290" s="182" t="n">
        <v>4742.7086</v>
      </c>
      <c r="E290" s="182" t="n">
        <v>-0.8986</v>
      </c>
      <c r="F290" s="182" t="n">
        <v>0.8075</v>
      </c>
      <c r="G290" s="182" t="n">
        <v>77841</v>
      </c>
      <c r="H290" s="182" t="inlineStr"/>
      <c r="I290" s="182" t="inlineStr"/>
    </row>
    <row r="291" ht="15" customHeight="1" s="28">
      <c r="A291" s="181" t="n">
        <v>281</v>
      </c>
      <c r="B291" s="181" t="n">
        <v>280</v>
      </c>
      <c r="C291" s="181" t="n">
        <v>4730.44</v>
      </c>
      <c r="D291" s="181" t="n">
        <v>4742.441</v>
      </c>
      <c r="E291" s="181" t="n">
        <v>-12.001</v>
      </c>
      <c r="F291" s="181" t="n">
        <v>144.0235</v>
      </c>
      <c r="G291" s="181" t="n">
        <v>78400</v>
      </c>
      <c r="H291" s="181" t="inlineStr"/>
      <c r="I291" s="181" t="inlineStr"/>
    </row>
    <row r="292" ht="15" customHeight="1" s="28">
      <c r="A292" s="182" t="n">
        <v>282</v>
      </c>
      <c r="B292" s="182" t="n">
        <v>281</v>
      </c>
      <c r="C292" s="182" t="n">
        <v>4720.86</v>
      </c>
      <c r="D292" s="182" t="n">
        <v>4742.1734</v>
      </c>
      <c r="E292" s="182" t="n">
        <v>-21.3134</v>
      </c>
      <c r="F292" s="182" t="n">
        <v>454.2602</v>
      </c>
      <c r="G292" s="182" t="n">
        <v>78961</v>
      </c>
      <c r="H292" s="182" t="inlineStr"/>
      <c r="I292" s="182" t="inlineStr"/>
    </row>
    <row r="293" ht="15" customHeight="1" s="28">
      <c r="A293" s="181" t="n">
        <v>283</v>
      </c>
      <c r="B293" s="181" t="n">
        <v>282</v>
      </c>
      <c r="C293" s="181" t="n">
        <v>4721.05</v>
      </c>
      <c r="D293" s="181" t="n">
        <v>4741.9058</v>
      </c>
      <c r="E293" s="181" t="n">
        <v>-20.8558</v>
      </c>
      <c r="F293" s="181" t="n">
        <v>434.9631</v>
      </c>
      <c r="G293" s="181" t="n">
        <v>79524</v>
      </c>
      <c r="H293" s="181" t="inlineStr"/>
      <c r="I293" s="181" t="inlineStr"/>
    </row>
    <row r="294" ht="15" customHeight="1" s="28">
      <c r="A294" s="182" t="n">
        <v>284</v>
      </c>
      <c r="B294" s="182" t="n">
        <v>283</v>
      </c>
      <c r="C294" s="182" t="n">
        <v>4711.56</v>
      </c>
      <c r="D294" s="182" t="n">
        <v>4741.6382</v>
      </c>
      <c r="E294" s="182" t="n">
        <v>-30.0782</v>
      </c>
      <c r="F294" s="182" t="n">
        <v>904.6963</v>
      </c>
      <c r="G294" s="182" t="n">
        <v>80089</v>
      </c>
      <c r="H294" s="182" t="inlineStr"/>
      <c r="I294" s="182" t="inlineStr"/>
    </row>
    <row r="295" ht="15" customHeight="1" s="28">
      <c r="A295" s="181" t="n">
        <v>285</v>
      </c>
      <c r="B295" s="181" t="n">
        <v>284</v>
      </c>
      <c r="C295" s="181" t="n">
        <v>4706.5</v>
      </c>
      <c r="D295" s="181" t="n">
        <v>4741.3706</v>
      </c>
      <c r="E295" s="181" t="n">
        <v>-34.8706</v>
      </c>
      <c r="F295" s="181" t="n">
        <v>1215.9567</v>
      </c>
      <c r="G295" s="181" t="n">
        <v>80656</v>
      </c>
      <c r="H295" s="181" t="inlineStr"/>
      <c r="I295" s="181" t="inlineStr"/>
    </row>
    <row r="296" ht="15" customHeight="1" s="28">
      <c r="A296" s="182" t="n">
        <v>286</v>
      </c>
      <c r="B296" s="182" t="n">
        <v>285</v>
      </c>
      <c r="C296" s="182" t="n">
        <v>4700.29</v>
      </c>
      <c r="D296" s="182" t="n">
        <v>4741.103</v>
      </c>
      <c r="E296" s="182" t="n">
        <v>-40.813</v>
      </c>
      <c r="F296" s="182" t="n">
        <v>1665.6977</v>
      </c>
      <c r="G296" s="182" t="n">
        <v>81225</v>
      </c>
      <c r="H296" s="182" t="inlineStr"/>
      <c r="I296" s="182" t="inlineStr"/>
    </row>
    <row r="297" ht="15" customHeight="1" s="28">
      <c r="A297" s="181" t="n">
        <v>287</v>
      </c>
      <c r="B297" s="181" t="n">
        <v>286</v>
      </c>
      <c r="C297" s="181" t="n">
        <v>4717.89</v>
      </c>
      <c r="D297" s="181" t="n">
        <v>4740.8354</v>
      </c>
      <c r="E297" s="181" t="n">
        <v>-22.9454</v>
      </c>
      <c r="F297" s="181" t="n">
        <v>526.4895</v>
      </c>
      <c r="G297" s="181" t="n">
        <v>81796</v>
      </c>
      <c r="H297" s="181" t="inlineStr"/>
      <c r="I297" s="181" t="inlineStr"/>
    </row>
    <row r="298" ht="15" customHeight="1" s="28">
      <c r="A298" s="182" t="n">
        <v>288</v>
      </c>
      <c r="B298" s="182" t="n">
        <v>287</v>
      </c>
      <c r="C298" s="182" t="n">
        <v>4711.38</v>
      </c>
      <c r="D298" s="182" t="n">
        <v>4740.5678</v>
      </c>
      <c r="E298" s="182" t="n">
        <v>-29.1878</v>
      </c>
      <c r="F298" s="182" t="n">
        <v>851.9248</v>
      </c>
      <c r="G298" s="182" t="n">
        <v>82369</v>
      </c>
      <c r="H298" s="182" t="inlineStr"/>
      <c r="I298" s="182" t="inlineStr"/>
    </row>
    <row r="299" ht="15" customHeight="1" s="28">
      <c r="A299" s="181" t="n">
        <v>289</v>
      </c>
      <c r="B299" s="181" t="n">
        <v>288</v>
      </c>
      <c r="C299" s="181" t="n">
        <v>4704.63</v>
      </c>
      <c r="D299" s="181" t="n">
        <v>4740.3002</v>
      </c>
      <c r="E299" s="181" t="n">
        <v>-35.6701</v>
      </c>
      <c r="F299" s="181" t="n">
        <v>1272.3596</v>
      </c>
      <c r="G299" s="181" t="n">
        <v>82944</v>
      </c>
      <c r="H299" s="181" t="inlineStr"/>
      <c r="I299" s="181" t="inlineStr"/>
    </row>
    <row r="300" ht="15" customHeight="1" s="28">
      <c r="A300" s="182" t="n">
        <v>290</v>
      </c>
      <c r="B300" s="182" t="n">
        <v>289</v>
      </c>
      <c r="C300" s="182" t="n">
        <v>4696.62</v>
      </c>
      <c r="D300" s="182" t="n">
        <v>4740.0325</v>
      </c>
      <c r="E300" s="182" t="n">
        <v>-43.4126</v>
      </c>
      <c r="F300" s="182" t="n">
        <v>1884.6495</v>
      </c>
      <c r="G300" s="182" t="n">
        <v>83521</v>
      </c>
      <c r="H300" s="182" t="inlineStr"/>
      <c r="I300" s="182" t="inlineStr"/>
    </row>
    <row r="301" ht="15" customHeight="1" s="28">
      <c r="A301" s="181" t="n">
        <v>291</v>
      </c>
      <c r="B301" s="181" t="n">
        <v>290</v>
      </c>
      <c r="C301" s="181" t="n">
        <v>4703.21</v>
      </c>
      <c r="D301" s="181" t="n">
        <v>4739.7649</v>
      </c>
      <c r="E301" s="181" t="n">
        <v>-36.5549</v>
      </c>
      <c r="F301" s="181" t="n">
        <v>1336.2636</v>
      </c>
      <c r="G301" s="181" t="n">
        <v>84100</v>
      </c>
      <c r="H301" s="181" t="inlineStr"/>
      <c r="I301" s="181" t="inlineStr"/>
    </row>
    <row r="302" ht="15" customHeight="1" s="28">
      <c r="A302" s="182" t="n">
        <v>292</v>
      </c>
      <c r="B302" s="182" t="n">
        <v>291</v>
      </c>
      <c r="C302" s="182" t="n">
        <v>4709.51</v>
      </c>
      <c r="D302" s="182" t="n">
        <v>4739.4973</v>
      </c>
      <c r="E302" s="182" t="n">
        <v>-29.9873</v>
      </c>
      <c r="F302" s="182" t="n">
        <v>899.2406</v>
      </c>
      <c r="G302" s="182" t="n">
        <v>84681</v>
      </c>
      <c r="H302" s="182" t="inlineStr"/>
      <c r="I302" s="182" t="inlineStr"/>
    </row>
    <row r="303" ht="15" customHeight="1" s="28">
      <c r="A303" s="181" t="n">
        <v>293</v>
      </c>
      <c r="B303" s="181" t="n">
        <v>292</v>
      </c>
      <c r="C303" s="181" t="n">
        <v>4707.33</v>
      </c>
      <c r="D303" s="181" t="n">
        <v>4739.2297</v>
      </c>
      <c r="E303" s="181" t="n">
        <v>-31.8997</v>
      </c>
      <c r="F303" s="181" t="n">
        <v>1017.5928</v>
      </c>
      <c r="G303" s="181" t="n">
        <v>85264</v>
      </c>
      <c r="H303" s="181" t="inlineStr"/>
      <c r="I303" s="181" t="inlineStr"/>
    </row>
    <row r="304" ht="15" customHeight="1" s="28">
      <c r="A304" s="182" t="n">
        <v>294</v>
      </c>
      <c r="B304" s="182" t="n">
        <v>293</v>
      </c>
      <c r="C304" s="182" t="n">
        <v>4714.21</v>
      </c>
      <c r="D304" s="182" t="n">
        <v>4738.9621</v>
      </c>
      <c r="E304" s="182" t="n">
        <v>-24.7521</v>
      </c>
      <c r="F304" s="182" t="n">
        <v>612.6679</v>
      </c>
      <c r="G304" s="182" t="n">
        <v>85849</v>
      </c>
      <c r="H304" s="182" t="inlineStr"/>
      <c r="I304" s="182" t="inlineStr"/>
    </row>
    <row r="305" ht="15" customHeight="1" s="28">
      <c r="A305" s="181" t="n">
        <v>295</v>
      </c>
      <c r="B305" s="181" t="n">
        <v>294</v>
      </c>
      <c r="C305" s="181" t="n">
        <v>4671.47</v>
      </c>
      <c r="D305" s="181" t="n">
        <v>4738.6945</v>
      </c>
      <c r="E305" s="181" t="n">
        <v>-67.22450000000001</v>
      </c>
      <c r="F305" s="181" t="n">
        <v>4519.1361</v>
      </c>
      <c r="G305" s="181" t="n">
        <v>86436</v>
      </c>
      <c r="H305" s="181" t="inlineStr"/>
      <c r="I305" s="181" t="inlineStr"/>
    </row>
    <row r="306" ht="15" customHeight="1" s="28">
      <c r="A306" s="182" t="n">
        <v>296</v>
      </c>
      <c r="B306" s="182" t="n">
        <v>295</v>
      </c>
      <c r="C306" s="182" t="n">
        <v>4679.23</v>
      </c>
      <c r="D306" s="182" t="n">
        <v>4738.4269</v>
      </c>
      <c r="E306" s="182" t="n">
        <v>-59.1969</v>
      </c>
      <c r="F306" s="182" t="n">
        <v>3504.2753</v>
      </c>
      <c r="G306" s="182" t="n">
        <v>87025</v>
      </c>
      <c r="H306" s="182" t="inlineStr"/>
      <c r="I306" s="182" t="inlineStr"/>
    </row>
    <row r="307" ht="15" customHeight="1" s="28">
      <c r="A307" s="181" t="n">
        <v>297</v>
      </c>
      <c r="B307" s="181" t="n">
        <v>296</v>
      </c>
      <c r="C307" s="181" t="n">
        <v>4696.98</v>
      </c>
      <c r="D307" s="181" t="n">
        <v>4738.1593</v>
      </c>
      <c r="E307" s="181" t="n">
        <v>-41.1793</v>
      </c>
      <c r="F307" s="181" t="n">
        <v>1695.7364</v>
      </c>
      <c r="G307" s="181" t="n">
        <v>87616</v>
      </c>
      <c r="H307" s="181" t="inlineStr"/>
      <c r="I307" s="181" t="inlineStr"/>
    </row>
    <row r="308" ht="15" customHeight="1" s="28">
      <c r="A308" s="182" t="n">
        <v>298</v>
      </c>
      <c r="B308" s="182" t="n">
        <v>297</v>
      </c>
      <c r="C308" s="182" t="n">
        <v>4705.65</v>
      </c>
      <c r="D308" s="182" t="n">
        <v>4737.8917</v>
      </c>
      <c r="E308" s="182" t="n">
        <v>-32.2417</v>
      </c>
      <c r="F308" s="182" t="n">
        <v>1039.5279</v>
      </c>
      <c r="G308" s="182" t="n">
        <v>88209</v>
      </c>
      <c r="H308" s="182" t="inlineStr"/>
      <c r="I308" s="182" t="inlineStr"/>
    </row>
    <row r="309" ht="15" customHeight="1" s="28">
      <c r="A309" s="181" t="n">
        <v>299</v>
      </c>
      <c r="B309" s="181" t="n">
        <v>298</v>
      </c>
      <c r="C309" s="181" t="n">
        <v>4711.42</v>
      </c>
      <c r="D309" s="181" t="n">
        <v>4737.6241</v>
      </c>
      <c r="E309" s="181" t="n">
        <v>-26.2041</v>
      </c>
      <c r="F309" s="181" t="n">
        <v>686.6554</v>
      </c>
      <c r="G309" s="181" t="n">
        <v>88804</v>
      </c>
      <c r="H309" s="181" t="inlineStr"/>
      <c r="I309" s="181" t="inlineStr"/>
    </row>
    <row r="310" ht="15" customHeight="1" s="28">
      <c r="A310" s="182" t="n">
        <v>300</v>
      </c>
      <c r="B310" s="182" t="n">
        <v>299</v>
      </c>
      <c r="C310" s="182" t="n">
        <v>4720.16</v>
      </c>
      <c r="D310" s="182" t="n">
        <v>4737.3565</v>
      </c>
      <c r="E310" s="182" t="n">
        <v>-17.1965</v>
      </c>
      <c r="F310" s="182" t="n">
        <v>295.7196</v>
      </c>
      <c r="G310" s="182" t="n">
        <v>89401</v>
      </c>
      <c r="H310" s="182" t="inlineStr"/>
      <c r="I310" s="182" t="inlineStr"/>
    </row>
    <row r="311" ht="15" customHeight="1" s="28">
      <c r="A311" s="181" t="n">
        <v>301</v>
      </c>
      <c r="B311" s="181" t="n">
        <v>300</v>
      </c>
      <c r="C311" s="181" t="n">
        <v>4721.88</v>
      </c>
      <c r="D311" s="181" t="n">
        <v>4737.0889</v>
      </c>
      <c r="E311" s="181" t="n">
        <v>-15.2089</v>
      </c>
      <c r="F311" s="181" t="n">
        <v>231.3106</v>
      </c>
      <c r="G311" s="181" t="n">
        <v>90000</v>
      </c>
      <c r="H311" s="181" t="inlineStr"/>
      <c r="I311" s="181" t="inlineStr"/>
    </row>
    <row r="312" ht="15" customHeight="1" s="28">
      <c r="A312" s="182" t="n">
        <v>302</v>
      </c>
      <c r="B312" s="182" t="n">
        <v>301</v>
      </c>
      <c r="C312" s="182" t="n">
        <v>4719.05</v>
      </c>
      <c r="D312" s="182" t="n">
        <v>4736.8213</v>
      </c>
      <c r="E312" s="182" t="n">
        <v>-17.7713</v>
      </c>
      <c r="F312" s="182" t="n">
        <v>315.8191</v>
      </c>
      <c r="G312" s="182" t="n">
        <v>90601</v>
      </c>
      <c r="H312" s="182" t="inlineStr"/>
      <c r="I312" s="182" t="inlineStr"/>
    </row>
    <row r="313" ht="15" customHeight="1" s="28">
      <c r="A313" s="181" t="n">
        <v>303</v>
      </c>
      <c r="B313" s="181" t="n">
        <v>302</v>
      </c>
      <c r="C313" s="181" t="n">
        <v>4716.95</v>
      </c>
      <c r="D313" s="181" t="n">
        <v>4736.5537</v>
      </c>
      <c r="E313" s="181" t="n">
        <v>-19.6037</v>
      </c>
      <c r="F313" s="181" t="n">
        <v>384.3047</v>
      </c>
      <c r="G313" s="181" t="n">
        <v>91204</v>
      </c>
      <c r="H313" s="181" t="inlineStr"/>
      <c r="I313" s="181" t="inlineStr"/>
    </row>
    <row r="314" ht="15" customHeight="1" s="28">
      <c r="A314" s="182" t="n">
        <v>304</v>
      </c>
      <c r="B314" s="182" t="n">
        <v>303</v>
      </c>
      <c r="C314" s="182" t="n">
        <v>4719.51</v>
      </c>
      <c r="D314" s="182" t="n">
        <v>4736.2861</v>
      </c>
      <c r="E314" s="182" t="n">
        <v>-16.7761</v>
      </c>
      <c r="F314" s="182" t="n">
        <v>281.4372</v>
      </c>
      <c r="G314" s="182" t="n">
        <v>91809</v>
      </c>
      <c r="H314" s="182" t="inlineStr"/>
      <c r="I314" s="182" t="inlineStr"/>
    </row>
    <row r="315" ht="15" customHeight="1" s="28">
      <c r="A315" s="181" t="n">
        <v>305</v>
      </c>
      <c r="B315" s="181" t="n">
        <v>304</v>
      </c>
      <c r="C315" s="181" t="n">
        <v>4727.47</v>
      </c>
      <c r="D315" s="181" t="n">
        <v>4736.0185</v>
      </c>
      <c r="E315" s="181" t="n">
        <v>-8.548500000000001</v>
      </c>
      <c r="F315" s="181" t="n">
        <v>73.0765</v>
      </c>
      <c r="G315" s="181" t="n">
        <v>92416</v>
      </c>
      <c r="H315" s="181" t="inlineStr"/>
      <c r="I315" s="181" t="inlineStr"/>
    </row>
    <row r="316" ht="15" customHeight="1" s="28">
      <c r="A316" s="182" t="n">
        <v>306</v>
      </c>
      <c r="B316" s="182" t="n">
        <v>305</v>
      </c>
      <c r="C316" s="182" t="n">
        <v>4730</v>
      </c>
      <c r="D316" s="182" t="n">
        <v>4735.7509</v>
      </c>
      <c r="E316" s="182" t="n">
        <v>-5.7509</v>
      </c>
      <c r="F316" s="182" t="n">
        <v>33.0726</v>
      </c>
      <c r="G316" s="182" t="n">
        <v>93025</v>
      </c>
      <c r="H316" s="182" t="inlineStr"/>
      <c r="I316" s="182" t="inlineStr"/>
    </row>
    <row r="317" ht="15" customHeight="1" s="28">
      <c r="A317" s="181" t="n">
        <v>307</v>
      </c>
      <c r="B317" s="181" t="n">
        <v>306</v>
      </c>
      <c r="C317" s="181" t="n">
        <v>4731.94</v>
      </c>
      <c r="D317" s="181" t="n">
        <v>4735.4833</v>
      </c>
      <c r="E317" s="181" t="n">
        <v>-3.5433</v>
      </c>
      <c r="F317" s="181" t="n">
        <v>12.5548</v>
      </c>
      <c r="G317" s="181" t="n">
        <v>93636</v>
      </c>
      <c r="H317" s="181" t="inlineStr"/>
      <c r="I317" s="181" t="inlineStr"/>
    </row>
    <row r="318" ht="15" customHeight="1" s="28">
      <c r="A318" s="182" t="n">
        <v>308</v>
      </c>
      <c r="B318" s="182" t="n">
        <v>307</v>
      </c>
      <c r="C318" s="182" t="n">
        <v>4737.96</v>
      </c>
      <c r="D318" s="182" t="n">
        <v>4735.2157</v>
      </c>
      <c r="E318" s="182" t="n">
        <v>2.7443</v>
      </c>
      <c r="F318" s="182" t="n">
        <v>7.5313</v>
      </c>
      <c r="G318" s="182" t="n">
        <v>94249</v>
      </c>
      <c r="H318" s="182" t="inlineStr"/>
      <c r="I318" s="182" t="inlineStr"/>
    </row>
    <row r="319" ht="15" customHeight="1" s="28">
      <c r="A319" s="181" t="n">
        <v>309</v>
      </c>
      <c r="B319" s="181" t="n">
        <v>308</v>
      </c>
      <c r="C319" s="181" t="n">
        <v>4742.93</v>
      </c>
      <c r="D319" s="181" t="n">
        <v>4734.9481</v>
      </c>
      <c r="E319" s="181" t="n">
        <v>7.9819</v>
      </c>
      <c r="F319" s="181" t="n">
        <v>63.7112</v>
      </c>
      <c r="G319" s="181" t="n">
        <v>94864</v>
      </c>
      <c r="H319" s="181" t="inlineStr"/>
      <c r="I319" s="181" t="inlineStr"/>
    </row>
    <row r="320" ht="15" customHeight="1" s="28">
      <c r="A320" s="182" t="n">
        <v>310</v>
      </c>
      <c r="B320" s="182" t="n">
        <v>309</v>
      </c>
      <c r="C320" s="182" t="n">
        <v>4742.51</v>
      </c>
      <c r="D320" s="182" t="n">
        <v>4734.6805</v>
      </c>
      <c r="E320" s="182" t="n">
        <v>7.8295</v>
      </c>
      <c r="F320" s="182" t="n">
        <v>61.3017</v>
      </c>
      <c r="G320" s="182" t="n">
        <v>95481</v>
      </c>
      <c r="H320" s="182" t="inlineStr"/>
      <c r="I320" s="182" t="inlineStr"/>
    </row>
    <row r="321" ht="15" customHeight="1" s="28">
      <c r="A321" s="181" t="n">
        <v>311</v>
      </c>
      <c r="B321" s="181" t="n">
        <v>310</v>
      </c>
      <c r="C321" s="181" t="n">
        <v>4742.11</v>
      </c>
      <c r="D321" s="181" t="n">
        <v>4734.4129</v>
      </c>
      <c r="E321" s="181" t="n">
        <v>7.6971</v>
      </c>
      <c r="F321" s="181" t="n">
        <v>59.246</v>
      </c>
      <c r="G321" s="181" t="n">
        <v>96100</v>
      </c>
      <c r="H321" s="181" t="inlineStr"/>
      <c r="I321" s="181" t="inlineStr"/>
    </row>
    <row r="322" ht="15" customHeight="1" s="28">
      <c r="A322" s="182" t="n">
        <v>312</v>
      </c>
      <c r="B322" s="182" t="n">
        <v>311</v>
      </c>
      <c r="C322" s="182" t="n">
        <v>4739.77</v>
      </c>
      <c r="D322" s="182" t="n">
        <v>4734.1453</v>
      </c>
      <c r="E322" s="182" t="n">
        <v>5.6247</v>
      </c>
      <c r="F322" s="182" t="n">
        <v>31.6377</v>
      </c>
      <c r="G322" s="182" t="n">
        <v>96721</v>
      </c>
      <c r="H322" s="182" t="inlineStr"/>
      <c r="I322" s="182" t="inlineStr"/>
    </row>
    <row r="323" ht="15" customHeight="1" s="28">
      <c r="A323" s="181" t="n">
        <v>313</v>
      </c>
      <c r="B323" s="181" t="n">
        <v>312</v>
      </c>
      <c r="C323" s="181" t="n">
        <v>4738.28</v>
      </c>
      <c r="D323" s="181" t="n">
        <v>4733.8777</v>
      </c>
      <c r="E323" s="181" t="n">
        <v>4.4023</v>
      </c>
      <c r="F323" s="181" t="n">
        <v>19.3807</v>
      </c>
      <c r="G323" s="181" t="n">
        <v>97344</v>
      </c>
      <c r="H323" s="181" t="inlineStr"/>
      <c r="I323" s="181" t="inlineStr"/>
    </row>
    <row r="324" ht="15" customHeight="1" s="28">
      <c r="A324" s="182" t="n">
        <v>314</v>
      </c>
      <c r="B324" s="182" t="n">
        <v>313</v>
      </c>
      <c r="C324" s="182" t="n">
        <v>4746.52</v>
      </c>
      <c r="D324" s="182" t="n">
        <v>4733.6101</v>
      </c>
      <c r="E324" s="182" t="n">
        <v>12.91</v>
      </c>
      <c r="F324" s="182" t="n">
        <v>166.6668</v>
      </c>
      <c r="G324" s="182" t="n">
        <v>97969</v>
      </c>
      <c r="H324" s="182" t="inlineStr"/>
      <c r="I324" s="182" t="inlineStr"/>
    </row>
    <row r="325" ht="15" customHeight="1" s="28">
      <c r="A325" s="181" t="n">
        <v>315</v>
      </c>
      <c r="B325" s="181" t="n">
        <v>314</v>
      </c>
      <c r="C325" s="181" t="n">
        <v>4749.74</v>
      </c>
      <c r="D325" s="181" t="n">
        <v>4733.3424</v>
      </c>
      <c r="E325" s="181" t="n">
        <v>16.3976</v>
      </c>
      <c r="F325" s="181" t="n">
        <v>268.88</v>
      </c>
      <c r="G325" s="181" t="n">
        <v>98596</v>
      </c>
      <c r="H325" s="181" t="inlineStr"/>
      <c r="I325" s="181" t="inlineStr"/>
    </row>
    <row r="326" ht="15" customHeight="1" s="28">
      <c r="A326" s="182" t="n">
        <v>316</v>
      </c>
      <c r="B326" s="182" t="n">
        <v>315</v>
      </c>
      <c r="C326" s="182" t="n">
        <v>4752.31</v>
      </c>
      <c r="D326" s="182" t="n">
        <v>4733.0748</v>
      </c>
      <c r="E326" s="182" t="n">
        <v>19.2352</v>
      </c>
      <c r="F326" s="182" t="n">
        <v>369.9914</v>
      </c>
      <c r="G326" s="182" t="n">
        <v>99225</v>
      </c>
      <c r="H326" s="182" t="inlineStr"/>
      <c r="I326" s="182" t="inlineStr"/>
    </row>
    <row r="327" ht="15" customHeight="1" s="28">
      <c r="A327" s="181" t="n">
        <v>317</v>
      </c>
      <c r="B327" s="181" t="n">
        <v>316</v>
      </c>
      <c r="C327" s="181" t="n">
        <v>4755.68</v>
      </c>
      <c r="D327" s="181" t="n">
        <v>4732.8072</v>
      </c>
      <c r="E327" s="181" t="n">
        <v>22.8728</v>
      </c>
      <c r="F327" s="181" t="n">
        <v>523.1636</v>
      </c>
      <c r="G327" s="181" t="n">
        <v>99856</v>
      </c>
      <c r="H327" s="181" t="inlineStr"/>
      <c r="I327" s="181" t="inlineStr"/>
    </row>
    <row r="328" ht="15" customHeight="1" s="28">
      <c r="A328" s="182" t="n">
        <v>318</v>
      </c>
      <c r="B328" s="182" t="n">
        <v>317</v>
      </c>
      <c r="C328" s="182" t="n">
        <v>4755.59</v>
      </c>
      <c r="D328" s="182" t="n">
        <v>4732.5396</v>
      </c>
      <c r="E328" s="182" t="n">
        <v>23.0504</v>
      </c>
      <c r="F328" s="182" t="n">
        <v>531.3196</v>
      </c>
      <c r="G328" s="182" t="n">
        <v>100489</v>
      </c>
      <c r="H328" s="182" t="inlineStr"/>
      <c r="I328" s="182" t="inlineStr"/>
    </row>
    <row r="329" ht="15" customHeight="1" s="28">
      <c r="A329" s="181" t="n">
        <v>319</v>
      </c>
      <c r="B329" s="181" t="n">
        <v>318</v>
      </c>
      <c r="C329" s="181" t="n">
        <v>4751.37</v>
      </c>
      <c r="D329" s="181" t="n">
        <v>4732.272</v>
      </c>
      <c r="E329" s="181" t="n">
        <v>19.098</v>
      </c>
      <c r="F329" s="181" t="n">
        <v>364.7325</v>
      </c>
      <c r="G329" s="181" t="n">
        <v>101124</v>
      </c>
      <c r="H329" s="181" t="inlineStr"/>
      <c r="I329" s="181" t="inlineStr"/>
    </row>
    <row r="330" ht="15" customHeight="1" s="28">
      <c r="A330" s="182" t="n">
        <v>320</v>
      </c>
      <c r="B330" s="182" t="n">
        <v>319</v>
      </c>
      <c r="C330" s="182" t="n">
        <v>4755.81</v>
      </c>
      <c r="D330" s="182" t="n">
        <v>4732.0044</v>
      </c>
      <c r="E330" s="182" t="n">
        <v>23.8056</v>
      </c>
      <c r="F330" s="182" t="n">
        <v>566.7056</v>
      </c>
      <c r="G330" s="182" t="n">
        <v>101761</v>
      </c>
      <c r="H330" s="182" t="inlineStr"/>
      <c r="I330" s="182" t="inlineStr"/>
    </row>
    <row r="331" ht="15" customHeight="1" s="28">
      <c r="A331" s="181" t="n">
        <v>321</v>
      </c>
      <c r="B331" s="181" t="n">
        <v>320</v>
      </c>
      <c r="C331" s="181" t="n">
        <v>4757.61</v>
      </c>
      <c r="D331" s="181" t="n">
        <v>4731.7368</v>
      </c>
      <c r="E331" s="181" t="n">
        <v>25.8732</v>
      </c>
      <c r="F331" s="181" t="n">
        <v>669.4213999999999</v>
      </c>
      <c r="G331" s="181" t="n">
        <v>102400</v>
      </c>
      <c r="H331" s="181" t="inlineStr"/>
      <c r="I331" s="181" t="inlineStr"/>
    </row>
    <row r="332" ht="15" customHeight="1" s="28">
      <c r="A332" s="182" t="n">
        <v>322</v>
      </c>
      <c r="B332" s="182" t="n">
        <v>321</v>
      </c>
      <c r="C332" s="182" t="n">
        <v>4763.12</v>
      </c>
      <c r="D332" s="182" t="n">
        <v>4731.4692</v>
      </c>
      <c r="E332" s="182" t="n">
        <v>31.6508</v>
      </c>
      <c r="F332" s="182" t="n">
        <v>1001.7725</v>
      </c>
      <c r="G332" s="182" t="n">
        <v>103041</v>
      </c>
      <c r="H332" s="182" t="inlineStr"/>
      <c r="I332" s="182" t="inlineStr"/>
    </row>
    <row r="333" ht="15" customHeight="1" s="28">
      <c r="A333" s="181" t="n">
        <v>323</v>
      </c>
      <c r="B333" s="181" t="n">
        <v>322</v>
      </c>
      <c r="C333" s="181" t="n">
        <v>4759.16</v>
      </c>
      <c r="D333" s="181" t="n">
        <v>4731.2016</v>
      </c>
      <c r="E333" s="181" t="n">
        <v>27.9584</v>
      </c>
      <c r="F333" s="181" t="n">
        <v>781.6716</v>
      </c>
      <c r="G333" s="181" t="n">
        <v>103684</v>
      </c>
      <c r="H333" s="181" t="inlineStr"/>
      <c r="I333" s="181" t="inlineStr"/>
    </row>
    <row r="334" ht="15" customHeight="1" s="28">
      <c r="A334" s="182" t="n">
        <v>324</v>
      </c>
      <c r="B334" s="182" t="n">
        <v>323</v>
      </c>
      <c r="C334" s="182" t="n">
        <v>4758.09</v>
      </c>
      <c r="D334" s="182" t="n">
        <v>4730.934</v>
      </c>
      <c r="E334" s="182" t="n">
        <v>27.156</v>
      </c>
      <c r="F334" s="182" t="n">
        <v>737.4478</v>
      </c>
      <c r="G334" s="182" t="n">
        <v>104329</v>
      </c>
      <c r="H334" s="182" t="inlineStr"/>
      <c r="I334" s="182" t="inlineStr"/>
    </row>
    <row r="335" ht="15" customHeight="1" s="28">
      <c r="A335" s="181" t="n">
        <v>325</v>
      </c>
      <c r="B335" s="181" t="n">
        <v>324</v>
      </c>
      <c r="C335" s="181" t="n">
        <v>4757.32</v>
      </c>
      <c r="D335" s="181" t="n">
        <v>4730.6664</v>
      </c>
      <c r="E335" s="181" t="n">
        <v>26.6536</v>
      </c>
      <c r="F335" s="181" t="n">
        <v>710.4144</v>
      </c>
      <c r="G335" s="181" t="n">
        <v>104976</v>
      </c>
      <c r="H335" s="181" t="inlineStr"/>
      <c r="I335" s="181" t="inlineStr"/>
    </row>
    <row r="336" ht="15" customHeight="1" s="28">
      <c r="A336" s="182" t="n">
        <v>326</v>
      </c>
      <c r="B336" s="182" t="n">
        <v>325</v>
      </c>
      <c r="C336" s="182" t="n">
        <v>4755.87</v>
      </c>
      <c r="D336" s="182" t="n">
        <v>4730.3988</v>
      </c>
      <c r="E336" s="182" t="n">
        <v>25.4712</v>
      </c>
      <c r="F336" s="182" t="n">
        <v>648.782</v>
      </c>
      <c r="G336" s="182" t="n">
        <v>105625</v>
      </c>
      <c r="H336" s="182" t="inlineStr"/>
      <c r="I336" s="182" t="inlineStr"/>
    </row>
    <row r="337" ht="15" customHeight="1" s="28">
      <c r="A337" s="181" t="n">
        <v>327</v>
      </c>
      <c r="B337" s="181" t="n">
        <v>326</v>
      </c>
      <c r="C337" s="181" t="n">
        <v>4756.36</v>
      </c>
      <c r="D337" s="181" t="n">
        <v>4730.1312</v>
      </c>
      <c r="E337" s="181" t="n">
        <v>26.2288</v>
      </c>
      <c r="F337" s="181" t="n">
        <v>687.9505</v>
      </c>
      <c r="G337" s="181" t="n">
        <v>106276</v>
      </c>
      <c r="H337" s="181" t="inlineStr"/>
      <c r="I337" s="181" t="inlineStr"/>
    </row>
    <row r="338" ht="15" customHeight="1" s="28">
      <c r="A338" s="182" t="n">
        <v>328</v>
      </c>
      <c r="B338" s="182" t="n">
        <v>327</v>
      </c>
      <c r="C338" s="182" t="n">
        <v>4754.62</v>
      </c>
      <c r="D338" s="182" t="n">
        <v>4729.8636</v>
      </c>
      <c r="E338" s="182" t="n">
        <v>24.7564</v>
      </c>
      <c r="F338" s="182" t="n">
        <v>612.8798</v>
      </c>
      <c r="G338" s="182" t="n">
        <v>106929</v>
      </c>
      <c r="H338" s="182" t="inlineStr"/>
      <c r="I338" s="182" t="inlineStr"/>
    </row>
    <row r="339" ht="15" customHeight="1" s="28">
      <c r="A339" s="181" t="n">
        <v>329</v>
      </c>
      <c r="B339" s="181" t="n">
        <v>328</v>
      </c>
      <c r="C339" s="181" t="n">
        <v>4756.8</v>
      </c>
      <c r="D339" s="181" t="n">
        <v>4729.596</v>
      </c>
      <c r="E339" s="181" t="n">
        <v>27.204</v>
      </c>
      <c r="F339" s="181" t="n">
        <v>740.0582000000001</v>
      </c>
      <c r="G339" s="181" t="n">
        <v>107584</v>
      </c>
      <c r="H339" s="181" t="inlineStr"/>
      <c r="I339" s="181" t="inlineStr"/>
    </row>
    <row r="340" ht="15" customHeight="1" s="28">
      <c r="A340" s="182" t="n">
        <v>330</v>
      </c>
      <c r="B340" s="182" t="n">
        <v>329</v>
      </c>
      <c r="C340" s="182" t="n">
        <v>4766.19</v>
      </c>
      <c r="D340" s="182" t="n">
        <v>4729.3284</v>
      </c>
      <c r="E340" s="182" t="n">
        <v>36.8616</v>
      </c>
      <c r="F340" s="182" t="n">
        <v>1358.779</v>
      </c>
      <c r="G340" s="182" t="n">
        <v>108241</v>
      </c>
      <c r="H340" s="182" t="inlineStr"/>
      <c r="I340" s="182" t="inlineStr"/>
    </row>
    <row r="341" ht="15" customHeight="1" s="28">
      <c r="A341" s="181" t="n">
        <v>331</v>
      </c>
      <c r="B341" s="181" t="n">
        <v>330</v>
      </c>
      <c r="C341" s="181" t="n">
        <v>4767.48</v>
      </c>
      <c r="D341" s="181" t="n">
        <v>4729.0608</v>
      </c>
      <c r="E341" s="181" t="n">
        <v>38.4192</v>
      </c>
      <c r="F341" s="181" t="n">
        <v>1476.0365</v>
      </c>
      <c r="G341" s="181" t="n">
        <v>108900</v>
      </c>
      <c r="H341" s="181" t="inlineStr"/>
      <c r="I341" s="181" t="inlineStr"/>
    </row>
    <row r="342" ht="15" customHeight="1" s="28">
      <c r="A342" s="182" t="n">
        <v>332</v>
      </c>
      <c r="B342" s="182" t="n">
        <v>331</v>
      </c>
      <c r="C342" s="182" t="n">
        <v>4767.64</v>
      </c>
      <c r="D342" s="182" t="n">
        <v>4728.7932</v>
      </c>
      <c r="E342" s="182" t="n">
        <v>38.8468</v>
      </c>
      <c r="F342" s="182" t="n">
        <v>1509.0762</v>
      </c>
      <c r="G342" s="182" t="n">
        <v>109561</v>
      </c>
      <c r="H342" s="182" t="inlineStr"/>
      <c r="I342" s="182" t="inlineStr"/>
    </row>
    <row r="343" ht="15" customHeight="1" s="28">
      <c r="A343" s="181" t="n">
        <v>333</v>
      </c>
      <c r="B343" s="181" t="n">
        <v>332</v>
      </c>
      <c r="C343" s="181" t="n">
        <v>4762.84</v>
      </c>
      <c r="D343" s="181" t="n">
        <v>4728.5256</v>
      </c>
      <c r="E343" s="181" t="n">
        <v>34.3144</v>
      </c>
      <c r="F343" s="181" t="n">
        <v>1177.4801</v>
      </c>
      <c r="G343" s="181" t="n">
        <v>110224</v>
      </c>
      <c r="H343" s="181" t="inlineStr"/>
      <c r="I343" s="181" t="inlineStr"/>
    </row>
    <row r="344" ht="15" customHeight="1" s="28">
      <c r="A344" s="182" t="n">
        <v>334</v>
      </c>
      <c r="B344" s="182" t="n">
        <v>333</v>
      </c>
      <c r="C344" s="182" t="n">
        <v>4767.37</v>
      </c>
      <c r="D344" s="182" t="n">
        <v>4728.258</v>
      </c>
      <c r="E344" s="182" t="n">
        <v>39.112</v>
      </c>
      <c r="F344" s="182" t="n">
        <v>1529.7509</v>
      </c>
      <c r="G344" s="182" t="n">
        <v>110889</v>
      </c>
      <c r="H344" s="182" t="inlineStr"/>
      <c r="I344" s="182" t="inlineStr"/>
    </row>
    <row r="345" ht="15" customHeight="1" s="28">
      <c r="A345" s="181" t="n">
        <v>335</v>
      </c>
      <c r="B345" s="181" t="n">
        <v>334</v>
      </c>
      <c r="C345" s="181" t="n">
        <v>4763.8</v>
      </c>
      <c r="D345" s="181" t="n">
        <v>4727.9904</v>
      </c>
      <c r="E345" s="181" t="n">
        <v>35.8096</v>
      </c>
      <c r="F345" s="181" t="n">
        <v>1282.3303</v>
      </c>
      <c r="G345" s="181" t="n">
        <v>111556</v>
      </c>
      <c r="H345" s="181" t="inlineStr"/>
      <c r="I345" s="181" t="inlineStr"/>
    </row>
    <row r="346" ht="15" customHeight="1" s="28">
      <c r="A346" s="182" t="n">
        <v>336</v>
      </c>
      <c r="B346" s="182" t="n">
        <v>335</v>
      </c>
      <c r="C346" s="182" t="n">
        <v>4767.69</v>
      </c>
      <c r="D346" s="182" t="n">
        <v>4727.7228</v>
      </c>
      <c r="E346" s="182" t="n">
        <v>39.9672</v>
      </c>
      <c r="F346" s="182" t="n">
        <v>1597.3803</v>
      </c>
      <c r="G346" s="182" t="n">
        <v>112225</v>
      </c>
      <c r="H346" s="182" t="inlineStr"/>
      <c r="I346" s="182" t="inlineStr"/>
    </row>
    <row r="347" ht="15" customHeight="1" s="28">
      <c r="A347" s="181" t="n">
        <v>337</v>
      </c>
      <c r="B347" s="181" t="n">
        <v>336</v>
      </c>
      <c r="C347" s="181" t="n">
        <v>4765.67</v>
      </c>
      <c r="D347" s="181" t="n">
        <v>4727.4551</v>
      </c>
      <c r="E347" s="181" t="n">
        <v>38.2149</v>
      </c>
      <c r="F347" s="181" t="n">
        <v>1460.3748</v>
      </c>
      <c r="G347" s="181" t="n">
        <v>112896</v>
      </c>
      <c r="H347" s="181" t="inlineStr"/>
      <c r="I347" s="181" t="inlineStr"/>
    </row>
    <row r="348" ht="15" customHeight="1" s="28">
      <c r="A348" s="182" t="n">
        <v>338</v>
      </c>
      <c r="B348" s="182" t="n">
        <v>337</v>
      </c>
      <c r="C348" s="182" t="n">
        <v>4766.08</v>
      </c>
      <c r="D348" s="182" t="n">
        <v>4727.1875</v>
      </c>
      <c r="E348" s="182" t="n">
        <v>38.8925</v>
      </c>
      <c r="F348" s="182" t="n">
        <v>1512.6227</v>
      </c>
      <c r="G348" s="182" t="n">
        <v>113569</v>
      </c>
      <c r="H348" s="182" t="inlineStr"/>
      <c r="I348" s="182" t="inlineStr"/>
    </row>
    <row r="349" ht="15" customHeight="1" s="28">
      <c r="A349" s="181" t="n">
        <v>339</v>
      </c>
      <c r="B349" s="181" t="n">
        <v>338</v>
      </c>
      <c r="C349" s="181" t="n">
        <v>4763.82</v>
      </c>
      <c r="D349" s="181" t="n">
        <v>4726.9199</v>
      </c>
      <c r="E349" s="181" t="n">
        <v>36.9001</v>
      </c>
      <c r="F349" s="181" t="n">
        <v>1361.6144</v>
      </c>
      <c r="G349" s="181" t="n">
        <v>114244</v>
      </c>
      <c r="H349" s="181" t="inlineStr"/>
      <c r="I349" s="181" t="inlineStr"/>
    </row>
    <row r="350" ht="15" customHeight="1" s="28">
      <c r="A350" s="182" t="n">
        <v>340</v>
      </c>
      <c r="B350" s="182" t="n">
        <v>339</v>
      </c>
      <c r="C350" s="182" t="n">
        <v>4760.46</v>
      </c>
      <c r="D350" s="182" t="n">
        <v>4726.6523</v>
      </c>
      <c r="E350" s="182" t="n">
        <v>33.8077</v>
      </c>
      <c r="F350" s="182" t="n">
        <v>1142.9579</v>
      </c>
      <c r="G350" s="182" t="n">
        <v>114921</v>
      </c>
      <c r="H350" s="182" t="inlineStr"/>
      <c r="I350" s="182" t="inlineStr"/>
    </row>
    <row r="351" ht="15" customHeight="1" s="28">
      <c r="A351" s="181" t="n">
        <v>341</v>
      </c>
      <c r="B351" s="181" t="n">
        <v>340</v>
      </c>
      <c r="C351" s="181" t="n">
        <v>4758.02</v>
      </c>
      <c r="D351" s="181" t="n">
        <v>4726.3847</v>
      </c>
      <c r="E351" s="181" t="n">
        <v>31.6353</v>
      </c>
      <c r="F351" s="181" t="n">
        <v>1000.7897</v>
      </c>
      <c r="G351" s="181" t="n">
        <v>115600</v>
      </c>
      <c r="H351" s="181" t="inlineStr"/>
      <c r="I351" s="181" t="inlineStr"/>
    </row>
    <row r="352" ht="15" customHeight="1" s="28">
      <c r="A352" s="182" t="n">
        <v>342</v>
      </c>
      <c r="B352" s="182" t="n">
        <v>341</v>
      </c>
      <c r="C352" s="182" t="n">
        <v>4754.37</v>
      </c>
      <c r="D352" s="182" t="n">
        <v>4726.1171</v>
      </c>
      <c r="E352" s="182" t="n">
        <v>28.2529</v>
      </c>
      <c r="F352" s="182" t="n">
        <v>798.2247</v>
      </c>
      <c r="G352" s="182" t="n">
        <v>116281</v>
      </c>
      <c r="H352" s="182" t="inlineStr"/>
      <c r="I352" s="182" t="inlineStr"/>
    </row>
    <row r="353" ht="15" customHeight="1" s="28">
      <c r="A353" s="181" t="n">
        <v>343</v>
      </c>
      <c r="B353" s="181" t="n">
        <v>342</v>
      </c>
      <c r="C353" s="181" t="n">
        <v>4756.15</v>
      </c>
      <c r="D353" s="181" t="n">
        <v>4725.8495</v>
      </c>
      <c r="E353" s="181" t="n">
        <v>30.3005</v>
      </c>
      <c r="F353" s="181" t="n">
        <v>918.1185</v>
      </c>
      <c r="G353" s="181" t="n">
        <v>116964</v>
      </c>
      <c r="H353" s="181" t="inlineStr"/>
      <c r="I353" s="181" t="inlineStr"/>
    </row>
    <row r="354" ht="15" customHeight="1" s="28">
      <c r="A354" s="182" t="n">
        <v>344</v>
      </c>
      <c r="B354" s="182" t="n">
        <v>343</v>
      </c>
      <c r="C354" s="182" t="n">
        <v>4757.14</v>
      </c>
      <c r="D354" s="182" t="n">
        <v>4725.5819</v>
      </c>
      <c r="E354" s="182" t="n">
        <v>31.5581</v>
      </c>
      <c r="F354" s="182" t="n">
        <v>995.9124</v>
      </c>
      <c r="G354" s="182" t="n">
        <v>117649</v>
      </c>
      <c r="H354" s="182" t="inlineStr"/>
      <c r="I354" s="182" t="inlineStr"/>
    </row>
    <row r="355" ht="15" customHeight="1" s="28">
      <c r="A355" s="181" t="n">
        <v>345</v>
      </c>
      <c r="B355" s="181" t="n">
        <v>344</v>
      </c>
      <c r="C355" s="181" t="n">
        <v>4760.72</v>
      </c>
      <c r="D355" s="181" t="n">
        <v>4725.3143</v>
      </c>
      <c r="E355" s="181" t="n">
        <v>35.4057</v>
      </c>
      <c r="F355" s="181" t="n">
        <v>1253.5622</v>
      </c>
      <c r="G355" s="181" t="n">
        <v>118336</v>
      </c>
      <c r="H355" s="181" t="inlineStr"/>
      <c r="I355" s="181" t="inlineStr"/>
    </row>
    <row r="356" ht="15" customHeight="1" s="28">
      <c r="A356" s="182" t="n">
        <v>346</v>
      </c>
      <c r="B356" s="182" t="n">
        <v>345</v>
      </c>
      <c r="C356" s="182" t="n">
        <v>4756.45</v>
      </c>
      <c r="D356" s="182" t="n">
        <v>4725.0467</v>
      </c>
      <c r="E356" s="182" t="n">
        <v>31.4033</v>
      </c>
      <c r="F356" s="182" t="n">
        <v>986.1660000000001</v>
      </c>
      <c r="G356" s="182" t="n">
        <v>119025</v>
      </c>
      <c r="H356" s="182" t="inlineStr"/>
      <c r="I356" s="182" t="inlineStr"/>
    </row>
    <row r="357" ht="15" customHeight="1" s="28">
      <c r="A357" s="181" t="n">
        <v>347</v>
      </c>
      <c r="B357" s="181" t="n">
        <v>346</v>
      </c>
      <c r="C357" s="181" t="n">
        <v>4758.47</v>
      </c>
      <c r="D357" s="181" t="n">
        <v>4724.7791</v>
      </c>
      <c r="E357" s="181" t="n">
        <v>33.6909</v>
      </c>
      <c r="F357" s="181" t="n">
        <v>1135.0761</v>
      </c>
      <c r="G357" s="181" t="n">
        <v>119716</v>
      </c>
      <c r="H357" s="181" t="inlineStr"/>
      <c r="I357" s="181" t="inlineStr"/>
    </row>
    <row r="358" ht="15" customHeight="1" s="28">
      <c r="A358" s="182" t="n">
        <v>348</v>
      </c>
      <c r="B358" s="182" t="n">
        <v>347</v>
      </c>
      <c r="C358" s="182" t="n">
        <v>4755.32</v>
      </c>
      <c r="D358" s="182" t="n">
        <v>4724.5115</v>
      </c>
      <c r="E358" s="182" t="n">
        <v>30.8085</v>
      </c>
      <c r="F358" s="182" t="n">
        <v>949.1631</v>
      </c>
      <c r="G358" s="182" t="n">
        <v>120409</v>
      </c>
      <c r="H358" s="182" t="inlineStr"/>
      <c r="I358" s="182" t="inlineStr"/>
    </row>
    <row r="359" ht="15" customHeight="1" s="28">
      <c r="A359" s="181" t="n">
        <v>349</v>
      </c>
      <c r="B359" s="181" t="n">
        <v>348</v>
      </c>
      <c r="C359" s="181" t="n">
        <v>4748.72</v>
      </c>
      <c r="D359" s="181" t="n">
        <v>4724.2439</v>
      </c>
      <c r="E359" s="181" t="n">
        <v>24.4761</v>
      </c>
      <c r="F359" s="181" t="n">
        <v>599.0795000000001</v>
      </c>
      <c r="G359" s="181" t="n">
        <v>121104</v>
      </c>
      <c r="H359" s="181" t="inlineStr"/>
      <c r="I359" s="181" t="inlineStr"/>
    </row>
    <row r="360" ht="15" customHeight="1" s="28">
      <c r="A360" s="182" t="n">
        <v>350</v>
      </c>
      <c r="B360" s="182" t="n">
        <v>349</v>
      </c>
      <c r="C360" s="182" t="n">
        <v>4754.63</v>
      </c>
      <c r="D360" s="182" t="n">
        <v>4723.9763</v>
      </c>
      <c r="E360" s="182" t="n">
        <v>30.6537</v>
      </c>
      <c r="F360" s="182" t="n">
        <v>939.6493</v>
      </c>
      <c r="G360" s="182" t="n">
        <v>121801</v>
      </c>
      <c r="H360" s="182" t="inlineStr"/>
      <c r="I360" s="182" t="inlineStr"/>
    </row>
    <row r="361" ht="15" customHeight="1" s="28">
      <c r="A361" s="181" t="n">
        <v>351</v>
      </c>
      <c r="B361" s="181" t="n">
        <v>350</v>
      </c>
      <c r="C361" s="181" t="n">
        <v>4756.53</v>
      </c>
      <c r="D361" s="181" t="n">
        <v>4723.7087</v>
      </c>
      <c r="E361" s="181" t="n">
        <v>32.8213</v>
      </c>
      <c r="F361" s="181" t="n">
        <v>1077.2377</v>
      </c>
      <c r="G361" s="181" t="n">
        <v>122500</v>
      </c>
      <c r="H361" s="181" t="inlineStr"/>
      <c r="I361" s="181" t="inlineStr"/>
    </row>
    <row r="362" ht="15" customHeight="1" s="28">
      <c r="A362" s="182" t="n">
        <v>352</v>
      </c>
      <c r="B362" s="182" t="n">
        <v>351</v>
      </c>
      <c r="C362" s="182" t="n">
        <v>4759.21</v>
      </c>
      <c r="D362" s="182" t="n">
        <v>4723.4411</v>
      </c>
      <c r="E362" s="182" t="n">
        <v>35.7689</v>
      </c>
      <c r="F362" s="182" t="n">
        <v>1279.4149</v>
      </c>
      <c r="G362" s="182" t="n">
        <v>123201</v>
      </c>
      <c r="H362" s="182" t="inlineStr"/>
      <c r="I362" s="182" t="inlineStr"/>
    </row>
    <row r="363" ht="15" customHeight="1" s="28">
      <c r="A363" s="181" t="n">
        <v>353</v>
      </c>
      <c r="B363" s="181" t="n">
        <v>352</v>
      </c>
      <c r="C363" s="181" t="n">
        <v>4757.27</v>
      </c>
      <c r="D363" s="181" t="n">
        <v>4723.1735</v>
      </c>
      <c r="E363" s="181" t="n">
        <v>34.0965</v>
      </c>
      <c r="F363" s="181" t="n">
        <v>1162.572</v>
      </c>
      <c r="G363" s="181" t="n">
        <v>123904</v>
      </c>
      <c r="H363" s="181" t="inlineStr"/>
      <c r="I363" s="181" t="inlineStr"/>
    </row>
    <row r="364" ht="15" customHeight="1" s="28">
      <c r="A364" s="182" t="n">
        <v>354</v>
      </c>
      <c r="B364" s="182" t="n">
        <v>353</v>
      </c>
      <c r="C364" s="182" t="n">
        <v>4757.36</v>
      </c>
      <c r="D364" s="182" t="n">
        <v>4722.9059</v>
      </c>
      <c r="E364" s="182" t="n">
        <v>34.4541</v>
      </c>
      <c r="F364" s="182" t="n">
        <v>1187.0864</v>
      </c>
      <c r="G364" s="182" t="n">
        <v>124609</v>
      </c>
      <c r="H364" s="182" t="inlineStr"/>
      <c r="I364" s="182" t="inlineStr"/>
    </row>
    <row r="365" ht="15" customHeight="1" s="28">
      <c r="A365" s="181" t="n">
        <v>355</v>
      </c>
      <c r="B365" s="181" t="n">
        <v>354</v>
      </c>
      <c r="C365" s="181" t="n">
        <v>4748.68</v>
      </c>
      <c r="D365" s="181" t="n">
        <v>4722.6383</v>
      </c>
      <c r="E365" s="181" t="n">
        <v>26.0417</v>
      </c>
      <c r="F365" s="181" t="n">
        <v>678.1712</v>
      </c>
      <c r="G365" s="181" t="n">
        <v>125316</v>
      </c>
      <c r="H365" s="181" t="inlineStr"/>
      <c r="I365" s="181" t="inlineStr"/>
    </row>
    <row r="366" ht="15" customHeight="1" s="28">
      <c r="A366" s="182" t="n">
        <v>356</v>
      </c>
      <c r="B366" s="182" t="n">
        <v>355</v>
      </c>
      <c r="C366" s="182" t="n">
        <v>4750.31</v>
      </c>
      <c r="D366" s="182" t="n">
        <v>4722.3707</v>
      </c>
      <c r="E366" s="182" t="n">
        <v>27.9393</v>
      </c>
      <c r="F366" s="182" t="n">
        <v>780.6056</v>
      </c>
      <c r="G366" s="182" t="n">
        <v>126025</v>
      </c>
      <c r="H366" s="182" t="inlineStr"/>
      <c r="I366" s="182" t="inlineStr"/>
    </row>
    <row r="367" ht="15" customHeight="1" s="28">
      <c r="A367" s="181" t="n">
        <v>357</v>
      </c>
      <c r="B367" s="181" t="n">
        <v>356</v>
      </c>
      <c r="C367" s="181" t="n">
        <v>4752.51</v>
      </c>
      <c r="D367" s="181" t="n">
        <v>4722.1031</v>
      </c>
      <c r="E367" s="181" t="n">
        <v>30.4069</v>
      </c>
      <c r="F367" s="181" t="n">
        <v>924.5814</v>
      </c>
      <c r="G367" s="181" t="n">
        <v>126736</v>
      </c>
      <c r="H367" s="181" t="inlineStr"/>
      <c r="I367" s="181" t="inlineStr"/>
    </row>
    <row r="368" ht="15" customHeight="1" s="28">
      <c r="A368" s="182" t="n">
        <v>358</v>
      </c>
      <c r="B368" s="182" t="n">
        <v>357</v>
      </c>
      <c r="C368" s="182" t="n">
        <v>4753.2</v>
      </c>
      <c r="D368" s="182" t="n">
        <v>4721.8355</v>
      </c>
      <c r="E368" s="182" t="n">
        <v>31.3645</v>
      </c>
      <c r="F368" s="182" t="n">
        <v>983.7337</v>
      </c>
      <c r="G368" s="182" t="n">
        <v>127449</v>
      </c>
      <c r="H368" s="182" t="inlineStr"/>
      <c r="I368" s="182" t="inlineStr"/>
    </row>
    <row r="369" ht="15" customHeight="1" s="28">
      <c r="A369" s="181" t="n">
        <v>359</v>
      </c>
      <c r="B369" s="181" t="n">
        <v>358</v>
      </c>
      <c r="C369" s="181" t="n">
        <v>4746.73</v>
      </c>
      <c r="D369" s="181" t="n">
        <v>4721.5679</v>
      </c>
      <c r="E369" s="181" t="n">
        <v>25.1621</v>
      </c>
      <c r="F369" s="181" t="n">
        <v>633.1333</v>
      </c>
      <c r="G369" s="181" t="n">
        <v>128164</v>
      </c>
      <c r="H369" s="181" t="inlineStr"/>
      <c r="I369" s="181" t="inlineStr"/>
    </row>
    <row r="370" ht="15" customHeight="1" s="28">
      <c r="A370" s="182" t="n">
        <v>360</v>
      </c>
      <c r="B370" s="182" t="n">
        <v>359</v>
      </c>
      <c r="C370" s="182" t="n">
        <v>4744.23</v>
      </c>
      <c r="D370" s="182" t="n">
        <v>4721.3003</v>
      </c>
      <c r="E370" s="182" t="n">
        <v>22.9297</v>
      </c>
      <c r="F370" s="182" t="n">
        <v>525.773</v>
      </c>
      <c r="G370" s="182" t="n">
        <v>128881</v>
      </c>
      <c r="H370" s="182" t="inlineStr"/>
      <c r="I370" s="182" t="inlineStr"/>
    </row>
    <row r="371" ht="15" customHeight="1" s="28">
      <c r="A371" s="181" t="n">
        <v>361</v>
      </c>
      <c r="B371" s="181" t="n">
        <v>360</v>
      </c>
      <c r="C371" s="181" t="n">
        <v>4742.39</v>
      </c>
      <c r="D371" s="181" t="n">
        <v>4721.0327</v>
      </c>
      <c r="E371" s="181" t="n">
        <v>21.3574</v>
      </c>
      <c r="F371" s="181" t="n">
        <v>456.1364</v>
      </c>
      <c r="G371" s="181" t="n">
        <v>129600</v>
      </c>
      <c r="H371" s="181" t="inlineStr"/>
      <c r="I371" s="181" t="inlineStr"/>
    </row>
    <row r="372" ht="15" customHeight="1" s="28">
      <c r="A372" s="182" t="n">
        <v>362</v>
      </c>
      <c r="B372" s="182" t="n">
        <v>361</v>
      </c>
      <c r="C372" s="182" t="n">
        <v>4750.2</v>
      </c>
      <c r="D372" s="182" t="n">
        <v>4720.765</v>
      </c>
      <c r="E372" s="182" t="n">
        <v>29.4349</v>
      </c>
      <c r="F372" s="182" t="n">
        <v>866.4163</v>
      </c>
      <c r="G372" s="182" t="n">
        <v>130321</v>
      </c>
      <c r="H372" s="182" t="inlineStr"/>
      <c r="I372" s="182" t="inlineStr"/>
    </row>
    <row r="373" ht="15" customHeight="1" s="28">
      <c r="A373" s="181" t="n">
        <v>363</v>
      </c>
      <c r="B373" s="181" t="n">
        <v>362</v>
      </c>
      <c r="C373" s="181" t="n">
        <v>4755.33</v>
      </c>
      <c r="D373" s="181" t="n">
        <v>4720.4974</v>
      </c>
      <c r="E373" s="181" t="n">
        <v>34.8326</v>
      </c>
      <c r="F373" s="181" t="n">
        <v>1213.3065</v>
      </c>
      <c r="G373" s="181" t="n">
        <v>131044</v>
      </c>
      <c r="H373" s="181" t="inlineStr"/>
      <c r="I373" s="181" t="inlineStr"/>
    </row>
    <row r="374" ht="15" customHeight="1" s="28">
      <c r="A374" s="182" t="n">
        <v>364</v>
      </c>
      <c r="B374" s="182" t="n">
        <v>363</v>
      </c>
      <c r="C374" s="182" t="n">
        <v>4752.94</v>
      </c>
      <c r="D374" s="182" t="n">
        <v>4720.2298</v>
      </c>
      <c r="E374" s="182" t="n">
        <v>32.7102</v>
      </c>
      <c r="F374" s="182" t="n">
        <v>1069.9546</v>
      </c>
      <c r="G374" s="182" t="n">
        <v>131769</v>
      </c>
      <c r="H374" s="182" t="inlineStr"/>
      <c r="I374" s="182" t="inlineStr"/>
    </row>
    <row r="375" ht="15" customHeight="1" s="28">
      <c r="A375" s="181" t="n">
        <v>365</v>
      </c>
      <c r="B375" s="181" t="n">
        <v>364</v>
      </c>
      <c r="C375" s="181" t="n">
        <v>4745.59</v>
      </c>
      <c r="D375" s="181" t="n">
        <v>4719.9622</v>
      </c>
      <c r="E375" s="181" t="n">
        <v>25.6278</v>
      </c>
      <c r="F375" s="181" t="n">
        <v>656.7821</v>
      </c>
      <c r="G375" s="181" t="n">
        <v>132496</v>
      </c>
      <c r="H375" s="181" t="inlineStr"/>
      <c r="I375" s="181" t="inlineStr"/>
    </row>
    <row r="376" ht="15" customHeight="1" s="28">
      <c r="A376" s="182" t="n">
        <v>366</v>
      </c>
      <c r="B376" s="182" t="n">
        <v>365</v>
      </c>
      <c r="C376" s="182" t="n">
        <v>4743.96</v>
      </c>
      <c r="D376" s="182" t="n">
        <v>4719.6946</v>
      </c>
      <c r="E376" s="182" t="n">
        <v>24.2654</v>
      </c>
      <c r="F376" s="182" t="n">
        <v>588.8082000000001</v>
      </c>
      <c r="G376" s="182" t="n">
        <v>133225</v>
      </c>
      <c r="H376" s="182" t="inlineStr"/>
      <c r="I376" s="182" t="inlineStr"/>
    </row>
    <row r="377" ht="15" customHeight="1" s="28">
      <c r="A377" s="181" t="n">
        <v>367</v>
      </c>
      <c r="B377" s="181" t="n">
        <v>366</v>
      </c>
      <c r="C377" s="181" t="n">
        <v>4733.08</v>
      </c>
      <c r="D377" s="181" t="n">
        <v>4719.427</v>
      </c>
      <c r="E377" s="181" t="n">
        <v>13.653</v>
      </c>
      <c r="F377" s="181" t="n">
        <v>186.4036</v>
      </c>
      <c r="G377" s="181" t="n">
        <v>133956</v>
      </c>
      <c r="H377" s="181" t="inlineStr"/>
      <c r="I377" s="181" t="inlineStr"/>
    </row>
    <row r="378" ht="15" customHeight="1" s="28">
      <c r="A378" s="182" t="n">
        <v>368</v>
      </c>
      <c r="B378" s="182" t="n">
        <v>367</v>
      </c>
      <c r="C378" s="182" t="n">
        <v>4736.03</v>
      </c>
      <c r="D378" s="182" t="n">
        <v>4719.1594</v>
      </c>
      <c r="E378" s="182" t="n">
        <v>16.8706</v>
      </c>
      <c r="F378" s="182" t="n">
        <v>284.6161</v>
      </c>
      <c r="G378" s="182" t="n">
        <v>134689</v>
      </c>
      <c r="H378" s="182" t="inlineStr"/>
      <c r="I378" s="182" t="inlineStr"/>
    </row>
    <row r="379" ht="15" customHeight="1" s="28">
      <c r="A379" s="181" t="n">
        <v>369</v>
      </c>
      <c r="B379" s="181" t="n">
        <v>368</v>
      </c>
      <c r="C379" s="181" t="n">
        <v>4737.74</v>
      </c>
      <c r="D379" s="181" t="n">
        <v>4718.8918</v>
      </c>
      <c r="E379" s="181" t="n">
        <v>18.8482</v>
      </c>
      <c r="F379" s="181" t="n">
        <v>355.2539</v>
      </c>
      <c r="G379" s="181" t="n">
        <v>135424</v>
      </c>
      <c r="H379" s="181" t="inlineStr"/>
      <c r="I379" s="181" t="inlineStr"/>
    </row>
    <row r="380" ht="15" customHeight="1" s="28">
      <c r="A380" s="182" t="n">
        <v>370</v>
      </c>
      <c r="B380" s="182" t="n">
        <v>369</v>
      </c>
      <c r="C380" s="182" t="n">
        <v>4735.09</v>
      </c>
      <c r="D380" s="182" t="n">
        <v>4718.6242</v>
      </c>
      <c r="E380" s="182" t="n">
        <v>16.4658</v>
      </c>
      <c r="F380" s="182" t="n">
        <v>271.1219</v>
      </c>
      <c r="G380" s="182" t="n">
        <v>136161</v>
      </c>
      <c r="H380" s="182" t="inlineStr"/>
      <c r="I380" s="182" t="inlineStr"/>
    </row>
    <row r="381" ht="15" customHeight="1" s="28">
      <c r="A381" s="181" t="n">
        <v>371</v>
      </c>
      <c r="B381" s="181" t="n">
        <v>370</v>
      </c>
      <c r="C381" s="181" t="n">
        <v>4727.2</v>
      </c>
      <c r="D381" s="181" t="n">
        <v>4718.3566</v>
      </c>
      <c r="E381" s="181" t="n">
        <v>8.843400000000001</v>
      </c>
      <c r="F381" s="181" t="n">
        <v>78.2055</v>
      </c>
      <c r="G381" s="181" t="n">
        <v>136900</v>
      </c>
      <c r="H381" s="181" t="inlineStr"/>
      <c r="I381" s="181" t="inlineStr"/>
    </row>
    <row r="382" ht="15" customHeight="1" s="28">
      <c r="A382" s="182" t="n">
        <v>372</v>
      </c>
      <c r="B382" s="182" t="n">
        <v>371</v>
      </c>
      <c r="C382" s="182" t="n">
        <v>4727.69</v>
      </c>
      <c r="D382" s="182" t="n">
        <v>4718.089</v>
      </c>
      <c r="E382" s="182" t="n">
        <v>9.601000000000001</v>
      </c>
      <c r="F382" s="182" t="n">
        <v>92.179</v>
      </c>
      <c r="G382" s="182" t="n">
        <v>137641</v>
      </c>
      <c r="H382" s="182" t="inlineStr"/>
      <c r="I382" s="182" t="inlineStr"/>
    </row>
    <row r="383" ht="15" customHeight="1" s="28">
      <c r="A383" s="181" t="n">
        <v>373</v>
      </c>
      <c r="B383" s="181" t="n">
        <v>372</v>
      </c>
      <c r="C383" s="181" t="n">
        <v>4730.22</v>
      </c>
      <c r="D383" s="181" t="n">
        <v>4717.8214</v>
      </c>
      <c r="E383" s="181" t="n">
        <v>12.3986</v>
      </c>
      <c r="F383" s="181" t="n">
        <v>153.725</v>
      </c>
      <c r="G383" s="181" t="n">
        <v>138384</v>
      </c>
      <c r="H383" s="181" t="inlineStr"/>
      <c r="I383" s="181" t="inlineStr"/>
    </row>
    <row r="384" ht="15" customHeight="1" s="28">
      <c r="A384" s="182" t="n">
        <v>374</v>
      </c>
      <c r="B384" s="182" t="n">
        <v>373</v>
      </c>
      <c r="C384" s="182" t="n">
        <v>4727.08</v>
      </c>
      <c r="D384" s="182" t="n">
        <v>4717.5538</v>
      </c>
      <c r="E384" s="182" t="n">
        <v>9.526199999999999</v>
      </c>
      <c r="F384" s="182" t="n">
        <v>90.74850000000001</v>
      </c>
      <c r="G384" s="182" t="n">
        <v>139129</v>
      </c>
      <c r="H384" s="182" t="inlineStr"/>
      <c r="I384" s="182" t="inlineStr"/>
    </row>
    <row r="385" ht="15" customHeight="1" s="28">
      <c r="A385" s="181" t="n">
        <v>375</v>
      </c>
      <c r="B385" s="181" t="n">
        <v>374</v>
      </c>
      <c r="C385" s="181" t="n">
        <v>4728.3</v>
      </c>
      <c r="D385" s="181" t="n">
        <v>4717.2862</v>
      </c>
      <c r="E385" s="181" t="n">
        <v>11.0138</v>
      </c>
      <c r="F385" s="181" t="n">
        <v>121.3038</v>
      </c>
      <c r="G385" s="181" t="n">
        <v>139876</v>
      </c>
      <c r="H385" s="181" t="inlineStr"/>
      <c r="I385" s="181" t="inlineStr"/>
    </row>
    <row r="386" ht="15" customHeight="1" s="28">
      <c r="A386" s="182" t="n">
        <v>376</v>
      </c>
      <c r="B386" s="182" t="n">
        <v>375</v>
      </c>
      <c r="C386" s="182" t="n">
        <v>4728.79</v>
      </c>
      <c r="D386" s="182" t="n">
        <v>4717.0186</v>
      </c>
      <c r="E386" s="182" t="n">
        <v>11.7714</v>
      </c>
      <c r="F386" s="182" t="n">
        <v>138.5661</v>
      </c>
      <c r="G386" s="182" t="n">
        <v>140625</v>
      </c>
      <c r="H386" s="182" t="inlineStr"/>
      <c r="I386" s="182" t="inlineStr"/>
    </row>
    <row r="387" ht="15" customHeight="1" s="28">
      <c r="A387" s="181" t="n">
        <v>377</v>
      </c>
      <c r="B387" s="181" t="n">
        <v>376</v>
      </c>
      <c r="C387" s="181" t="n">
        <v>4735.49</v>
      </c>
      <c r="D387" s="181" t="n">
        <v>4716.751</v>
      </c>
      <c r="E387" s="181" t="n">
        <v>18.739</v>
      </c>
      <c r="F387" s="181" t="n">
        <v>351.1505</v>
      </c>
      <c r="G387" s="181" t="n">
        <v>141376</v>
      </c>
      <c r="H387" s="181" t="inlineStr"/>
      <c r="I387" s="181" t="inlineStr"/>
    </row>
    <row r="388" ht="15" customHeight="1" s="28">
      <c r="A388" s="182" t="n">
        <v>378</v>
      </c>
      <c r="B388" s="182" t="n">
        <v>377</v>
      </c>
      <c r="C388" s="182" t="n">
        <v>4735.05</v>
      </c>
      <c r="D388" s="182" t="n">
        <v>4716.4834</v>
      </c>
      <c r="E388" s="182" t="n">
        <v>18.5666</v>
      </c>
      <c r="F388" s="182" t="n">
        <v>344.719</v>
      </c>
      <c r="G388" s="182" t="n">
        <v>142129</v>
      </c>
      <c r="H388" s="182" t="inlineStr"/>
      <c r="I388" s="182" t="inlineStr"/>
    </row>
    <row r="389" ht="15" customHeight="1" s="28">
      <c r="A389" s="181" t="n">
        <v>379</v>
      </c>
      <c r="B389" s="181" t="n">
        <v>378</v>
      </c>
      <c r="C389" s="181" t="n">
        <v>4736.17</v>
      </c>
      <c r="D389" s="181" t="n">
        <v>4716.2158</v>
      </c>
      <c r="E389" s="181" t="n">
        <v>19.9542</v>
      </c>
      <c r="F389" s="181" t="n">
        <v>398.1709</v>
      </c>
      <c r="G389" s="181" t="n">
        <v>142884</v>
      </c>
      <c r="H389" s="181" t="inlineStr"/>
      <c r="I389" s="181" t="inlineStr"/>
    </row>
    <row r="390" ht="15" customHeight="1" s="28">
      <c r="A390" s="182" t="n">
        <v>380</v>
      </c>
      <c r="B390" s="182" t="n">
        <v>379</v>
      </c>
      <c r="C390" s="182" t="n">
        <v>4737.15</v>
      </c>
      <c r="D390" s="182" t="n">
        <v>4715.9482</v>
      </c>
      <c r="E390" s="182" t="n">
        <v>21.2018</v>
      </c>
      <c r="F390" s="182" t="n">
        <v>449.5172</v>
      </c>
      <c r="G390" s="182" t="n">
        <v>143641</v>
      </c>
      <c r="H390" s="182" t="inlineStr"/>
      <c r="I390" s="182" t="inlineStr"/>
    </row>
    <row r="391" ht="15" customHeight="1" s="28">
      <c r="A391" s="181" t="n">
        <v>381</v>
      </c>
      <c r="B391" s="181" t="n">
        <v>380</v>
      </c>
      <c r="C391" s="181" t="n">
        <v>4735.94</v>
      </c>
      <c r="D391" s="181" t="n">
        <v>4715.6806</v>
      </c>
      <c r="E391" s="181" t="n">
        <v>20.2594</v>
      </c>
      <c r="F391" s="181" t="n">
        <v>410.4445</v>
      </c>
      <c r="G391" s="181" t="n">
        <v>144400</v>
      </c>
      <c r="H391" s="181" t="inlineStr"/>
      <c r="I391" s="181" t="inlineStr"/>
    </row>
    <row r="392" ht="15" customHeight="1" s="28">
      <c r="A392" s="182" t="n">
        <v>382</v>
      </c>
      <c r="B392" s="182" t="n">
        <v>381</v>
      </c>
      <c r="C392" s="182" t="n">
        <v>4730.43</v>
      </c>
      <c r="D392" s="182" t="n">
        <v>4715.413</v>
      </c>
      <c r="E392" s="182" t="n">
        <v>15.017</v>
      </c>
      <c r="F392" s="182" t="n">
        <v>225.5112</v>
      </c>
      <c r="G392" s="182" t="n">
        <v>145161</v>
      </c>
      <c r="H392" s="182" t="inlineStr"/>
      <c r="I392" s="182" t="inlineStr"/>
    </row>
    <row r="393" ht="15" customHeight="1" s="28">
      <c r="A393" s="181" t="n">
        <v>383</v>
      </c>
      <c r="B393" s="181" t="n">
        <v>382</v>
      </c>
      <c r="C393" s="181" t="n">
        <v>4739.45</v>
      </c>
      <c r="D393" s="181" t="n">
        <v>4715.1454</v>
      </c>
      <c r="E393" s="181" t="n">
        <v>24.3046</v>
      </c>
      <c r="F393" s="181" t="n">
        <v>590.7155</v>
      </c>
      <c r="G393" s="181" t="n">
        <v>145924</v>
      </c>
      <c r="H393" s="181" t="inlineStr"/>
      <c r="I393" s="181" t="inlineStr"/>
    </row>
    <row r="394" ht="15" customHeight="1" s="28">
      <c r="A394" s="182" t="n">
        <v>384</v>
      </c>
      <c r="B394" s="182" t="n">
        <v>383</v>
      </c>
      <c r="C394" s="182" t="n">
        <v>4741.69</v>
      </c>
      <c r="D394" s="182" t="n">
        <v>4714.8778</v>
      </c>
      <c r="E394" s="182" t="n">
        <v>26.8122</v>
      </c>
      <c r="F394" s="182" t="n">
        <v>718.8962</v>
      </c>
      <c r="G394" s="182" t="n">
        <v>146689</v>
      </c>
      <c r="H394" s="182" t="inlineStr"/>
      <c r="I394" s="182" t="inlineStr"/>
    </row>
    <row r="395" ht="15" customHeight="1" s="28">
      <c r="A395" s="181" t="n">
        <v>385</v>
      </c>
      <c r="B395" s="181" t="n">
        <v>384</v>
      </c>
      <c r="C395" s="181" t="n">
        <v>4738.64</v>
      </c>
      <c r="D395" s="181" t="n">
        <v>4714.6102</v>
      </c>
      <c r="E395" s="181" t="n">
        <v>24.0298</v>
      </c>
      <c r="F395" s="181" t="n">
        <v>577.4332000000001</v>
      </c>
      <c r="G395" s="181" t="n">
        <v>147456</v>
      </c>
      <c r="H395" s="181" t="inlineStr"/>
      <c r="I395" s="181" t="inlineStr"/>
    </row>
    <row r="396" ht="15" customHeight="1" s="28">
      <c r="A396" s="182" t="n">
        <v>386</v>
      </c>
      <c r="B396" s="182" t="n">
        <v>385</v>
      </c>
      <c r="C396" s="182" t="n">
        <v>4744.32</v>
      </c>
      <c r="D396" s="182" t="n">
        <v>4714.3426</v>
      </c>
      <c r="E396" s="182" t="n">
        <v>29.9774</v>
      </c>
      <c r="F396" s="182" t="n">
        <v>898.6475</v>
      </c>
      <c r="G396" s="182" t="n">
        <v>148225</v>
      </c>
      <c r="H396" s="182" t="inlineStr"/>
      <c r="I396" s="182" t="inlineStr"/>
    </row>
    <row r="397" ht="15" customHeight="1" s="28">
      <c r="A397" s="181" t="n">
        <v>387</v>
      </c>
      <c r="B397" s="181" t="n">
        <v>386</v>
      </c>
      <c r="C397" s="181" t="n">
        <v>4739.38</v>
      </c>
      <c r="D397" s="181" t="n">
        <v>4714.075</v>
      </c>
      <c r="E397" s="181" t="n">
        <v>25.305</v>
      </c>
      <c r="F397" s="181" t="n">
        <v>640.3456</v>
      </c>
      <c r="G397" s="181" t="n">
        <v>148996</v>
      </c>
      <c r="H397" s="181" t="inlineStr"/>
      <c r="I397" s="181" t="inlineStr"/>
    </row>
    <row r="398" ht="15" customHeight="1" s="28">
      <c r="A398" s="182" t="n">
        <v>388</v>
      </c>
      <c r="B398" s="182" t="n">
        <v>387</v>
      </c>
      <c r="C398" s="182" t="n">
        <v>4740.36</v>
      </c>
      <c r="D398" s="182" t="n">
        <v>4713.8073</v>
      </c>
      <c r="E398" s="182" t="n">
        <v>26.5527</v>
      </c>
      <c r="F398" s="182" t="n">
        <v>705.0438</v>
      </c>
      <c r="G398" s="182" t="n">
        <v>149769</v>
      </c>
      <c r="H398" s="182" t="inlineStr"/>
      <c r="I398" s="182" t="inlineStr"/>
    </row>
    <row r="399" ht="15" customHeight="1" s="28">
      <c r="A399" s="181" t="n">
        <v>389</v>
      </c>
      <c r="B399" s="181" t="n">
        <v>388</v>
      </c>
      <c r="C399" s="181" t="n">
        <v>4736.16</v>
      </c>
      <c r="D399" s="181" t="n">
        <v>4713.5397</v>
      </c>
      <c r="E399" s="181" t="n">
        <v>22.6203</v>
      </c>
      <c r="F399" s="181" t="n">
        <v>511.6762</v>
      </c>
      <c r="G399" s="181" t="n">
        <v>150544</v>
      </c>
      <c r="H399" s="181" t="inlineStr"/>
      <c r="I399" s="181" t="inlineStr"/>
    </row>
    <row r="400" ht="15" customHeight="1" s="28">
      <c r="A400" s="182" t="n">
        <v>390</v>
      </c>
      <c r="B400" s="182" t="n">
        <v>389</v>
      </c>
      <c r="C400" s="182" t="n">
        <v>4736.99</v>
      </c>
      <c r="D400" s="182" t="n">
        <v>4713.2721</v>
      </c>
      <c r="E400" s="182" t="n">
        <v>23.7179</v>
      </c>
      <c r="F400" s="182" t="n">
        <v>562.5368999999999</v>
      </c>
      <c r="G400" s="182" t="n">
        <v>151321</v>
      </c>
      <c r="H400" s="182" t="inlineStr"/>
      <c r="I400" s="182" t="inlineStr"/>
    </row>
    <row r="401" ht="15" customHeight="1" s="28">
      <c r="A401" s="181" t="n">
        <v>391</v>
      </c>
      <c r="B401" s="181" t="n">
        <v>390</v>
      </c>
      <c r="C401" s="181" t="n">
        <v>4737.48</v>
      </c>
      <c r="D401" s="181" t="n">
        <v>4713.0045</v>
      </c>
      <c r="E401" s="181" t="n">
        <v>24.4755</v>
      </c>
      <c r="F401" s="181" t="n">
        <v>599.0486</v>
      </c>
      <c r="G401" s="181" t="n">
        <v>152100</v>
      </c>
      <c r="H401" s="181" t="inlineStr"/>
      <c r="I401" s="181" t="inlineStr"/>
    </row>
    <row r="402" ht="15" customHeight="1" s="28">
      <c r="A402" s="182" t="n">
        <v>392</v>
      </c>
      <c r="B402" s="182" t="n">
        <v>391</v>
      </c>
      <c r="C402" s="182" t="n">
        <v>4740.38</v>
      </c>
      <c r="D402" s="182" t="n">
        <v>4712.7369</v>
      </c>
      <c r="E402" s="182" t="n">
        <v>27.6431</v>
      </c>
      <c r="F402" s="182" t="n">
        <v>764.1393</v>
      </c>
      <c r="G402" s="182" t="n">
        <v>152881</v>
      </c>
      <c r="H402" s="182" t="inlineStr"/>
      <c r="I402" s="182" t="inlineStr"/>
    </row>
    <row r="403" ht="15" customHeight="1" s="28">
      <c r="A403" s="181" t="n">
        <v>393</v>
      </c>
      <c r="B403" s="181" t="n">
        <v>392</v>
      </c>
      <c r="C403" s="181" t="n">
        <v>4736.69</v>
      </c>
      <c r="D403" s="181" t="n">
        <v>4712.4693</v>
      </c>
      <c r="E403" s="181" t="n">
        <v>24.2207</v>
      </c>
      <c r="F403" s="181" t="n">
        <v>586.6413</v>
      </c>
      <c r="G403" s="181" t="n">
        <v>153664</v>
      </c>
      <c r="H403" s="181" t="inlineStr"/>
      <c r="I403" s="181" t="inlineStr"/>
    </row>
    <row r="404" ht="15" customHeight="1" s="28">
      <c r="A404" s="182" t="n">
        <v>394</v>
      </c>
      <c r="B404" s="182" t="n">
        <v>393</v>
      </c>
      <c r="C404" s="182" t="n">
        <v>4732.96</v>
      </c>
      <c r="D404" s="182" t="n">
        <v>4712.2017</v>
      </c>
      <c r="E404" s="182" t="n">
        <v>20.7583</v>
      </c>
      <c r="F404" s="182" t="n">
        <v>430.9062</v>
      </c>
      <c r="G404" s="182" t="n">
        <v>154449</v>
      </c>
      <c r="H404" s="182" t="inlineStr"/>
      <c r="I404" s="182" t="inlineStr"/>
    </row>
    <row r="405" ht="15" customHeight="1" s="28">
      <c r="A405" s="181" t="n">
        <v>395</v>
      </c>
      <c r="B405" s="181" t="n">
        <v>394</v>
      </c>
      <c r="C405" s="181" t="n">
        <v>4729.94</v>
      </c>
      <c r="D405" s="181" t="n">
        <v>4711.9341</v>
      </c>
      <c r="E405" s="181" t="n">
        <v>18.0059</v>
      </c>
      <c r="F405" s="181" t="n">
        <v>324.2117</v>
      </c>
      <c r="G405" s="181" t="n">
        <v>155236</v>
      </c>
      <c r="H405" s="181" t="inlineStr"/>
      <c r="I405" s="181" t="inlineStr"/>
    </row>
    <row r="406" ht="15" customHeight="1" s="28">
      <c r="A406" s="182" t="n">
        <v>396</v>
      </c>
      <c r="B406" s="182" t="n">
        <v>395</v>
      </c>
      <c r="C406" s="182" t="n">
        <v>4725.92</v>
      </c>
      <c r="D406" s="182" t="n">
        <v>4711.6665</v>
      </c>
      <c r="E406" s="182" t="n">
        <v>14.2535</v>
      </c>
      <c r="F406" s="182" t="n">
        <v>203.162</v>
      </c>
      <c r="G406" s="182" t="n">
        <v>156025</v>
      </c>
      <c r="H406" s="182" t="inlineStr"/>
      <c r="I406" s="182" t="inlineStr"/>
    </row>
    <row r="407" ht="15" customHeight="1" s="28">
      <c r="A407" s="181" t="n">
        <v>397</v>
      </c>
      <c r="B407" s="181" t="n">
        <v>396</v>
      </c>
      <c r="C407" s="181" t="n">
        <v>4725.95</v>
      </c>
      <c r="D407" s="181" t="n">
        <v>4711.3989</v>
      </c>
      <c r="E407" s="181" t="n">
        <v>14.5511</v>
      </c>
      <c r="F407" s="181" t="n">
        <v>211.7342</v>
      </c>
      <c r="G407" s="181" t="n">
        <v>156816</v>
      </c>
      <c r="H407" s="181" t="inlineStr"/>
      <c r="I407" s="181" t="inlineStr"/>
    </row>
    <row r="408" ht="15" customHeight="1" s="28">
      <c r="A408" s="182" t="n">
        <v>398</v>
      </c>
      <c r="B408" s="182" t="n">
        <v>397</v>
      </c>
      <c r="C408" s="182" t="n">
        <v>4728.14</v>
      </c>
      <c r="D408" s="182" t="n">
        <v>4711.1313</v>
      </c>
      <c r="E408" s="182" t="n">
        <v>17.0087</v>
      </c>
      <c r="F408" s="182" t="n">
        <v>289.2959</v>
      </c>
      <c r="G408" s="182" t="n">
        <v>157609</v>
      </c>
      <c r="H408" s="182" t="inlineStr"/>
      <c r="I408" s="182" t="inlineStr"/>
    </row>
    <row r="409" ht="15" customHeight="1" s="28">
      <c r="A409" s="181" t="n">
        <v>399</v>
      </c>
      <c r="B409" s="181" t="n">
        <v>398</v>
      </c>
      <c r="C409" s="181" t="n">
        <v>4724.57</v>
      </c>
      <c r="D409" s="181" t="n">
        <v>4710.8637</v>
      </c>
      <c r="E409" s="181" t="n">
        <v>13.7063</v>
      </c>
      <c r="F409" s="181" t="n">
        <v>187.8627</v>
      </c>
      <c r="G409" s="181" t="n">
        <v>158404</v>
      </c>
      <c r="H409" s="181" t="inlineStr"/>
      <c r="I409" s="181" t="inlineStr"/>
    </row>
    <row r="410" ht="15" customHeight="1" s="28">
      <c r="A410" s="182" t="n">
        <v>400</v>
      </c>
      <c r="B410" s="182" t="n">
        <v>399</v>
      </c>
      <c r="C410" s="182" t="n">
        <v>4727.72</v>
      </c>
      <c r="D410" s="182" t="n">
        <v>4710.5961</v>
      </c>
      <c r="E410" s="182" t="n">
        <v>17.1239</v>
      </c>
      <c r="F410" s="182" t="n">
        <v>293.228</v>
      </c>
      <c r="G410" s="182" t="n">
        <v>159201</v>
      </c>
      <c r="H410" s="182" t="inlineStr"/>
      <c r="I410" s="182" t="inlineStr"/>
    </row>
    <row r="411" ht="15" customHeight="1" s="28">
      <c r="A411" s="181" t="n">
        <v>401</v>
      </c>
      <c r="B411" s="181" t="n">
        <v>400</v>
      </c>
      <c r="C411" s="181" t="n">
        <v>4699.48</v>
      </c>
      <c r="D411" s="181" t="n">
        <v>4710.3285</v>
      </c>
      <c r="E411" s="181" t="n">
        <v>-10.8485</v>
      </c>
      <c r="F411" s="181" t="n">
        <v>117.6897</v>
      </c>
      <c r="G411" s="181" t="n">
        <v>160000</v>
      </c>
      <c r="H411" s="181" t="inlineStr"/>
      <c r="I411" s="181" t="inlineStr"/>
    </row>
    <row r="412" ht="15" customHeight="1" s="28">
      <c r="A412" s="182" t="n">
        <v>402</v>
      </c>
      <c r="B412" s="182" t="n">
        <v>401</v>
      </c>
      <c r="C412" s="182" t="n">
        <v>4741.59</v>
      </c>
      <c r="D412" s="182" t="n">
        <v>4710.0609</v>
      </c>
      <c r="E412" s="182" t="n">
        <v>31.5291</v>
      </c>
      <c r="F412" s="182" t="n">
        <v>994.0848</v>
      </c>
      <c r="G412" s="182" t="n">
        <v>160801</v>
      </c>
      <c r="H412" s="182" t="inlineStr"/>
      <c r="I412" s="182" t="inlineStr"/>
    </row>
    <row r="413" ht="15" customHeight="1" s="28">
      <c r="A413" s="181" t="n">
        <v>403</v>
      </c>
      <c r="B413" s="181" t="n">
        <v>402</v>
      </c>
      <c r="C413" s="181" t="n">
        <v>4744.84</v>
      </c>
      <c r="D413" s="181" t="n">
        <v>4709.7933</v>
      </c>
      <c r="E413" s="181" t="n">
        <v>35.0467</v>
      </c>
      <c r="F413" s="181" t="n">
        <v>1228.2726</v>
      </c>
      <c r="G413" s="181" t="n">
        <v>161604</v>
      </c>
      <c r="H413" s="181" t="inlineStr"/>
      <c r="I413" s="181" t="inlineStr"/>
    </row>
    <row r="414" ht="15" customHeight="1" s="28">
      <c r="A414" s="182" t="n">
        <v>404</v>
      </c>
      <c r="B414" s="182" t="n">
        <v>403</v>
      </c>
      <c r="C414" s="182" t="n">
        <v>4748.05</v>
      </c>
      <c r="D414" s="182" t="n">
        <v>4709.5257</v>
      </c>
      <c r="E414" s="182" t="n">
        <v>38.5243</v>
      </c>
      <c r="F414" s="182" t="n">
        <v>1484.1232</v>
      </c>
      <c r="G414" s="182" t="n">
        <v>162409</v>
      </c>
      <c r="H414" s="182" t="inlineStr"/>
      <c r="I414" s="182" t="inlineStr"/>
    </row>
    <row r="415" ht="15" customHeight="1" s="28">
      <c r="A415" s="181" t="n">
        <v>405</v>
      </c>
      <c r="B415" s="181" t="n">
        <v>404</v>
      </c>
      <c r="C415" s="181" t="n">
        <v>4737</v>
      </c>
      <c r="D415" s="181" t="n">
        <v>4709.2581</v>
      </c>
      <c r="E415" s="181" t="n">
        <v>27.7419</v>
      </c>
      <c r="F415" s="181" t="n">
        <v>769.6147</v>
      </c>
      <c r="G415" s="181" t="n">
        <v>163216</v>
      </c>
      <c r="H415" s="181" t="inlineStr"/>
      <c r="I415" s="181" t="inlineStr"/>
    </row>
    <row r="416" ht="15" customHeight="1" s="28">
      <c r="A416" s="182" t="n">
        <v>406</v>
      </c>
      <c r="B416" s="182" t="n">
        <v>405</v>
      </c>
      <c r="C416" s="182" t="n">
        <v>4728.26</v>
      </c>
      <c r="D416" s="182" t="n">
        <v>4708.9905</v>
      </c>
      <c r="E416" s="182" t="n">
        <v>19.2695</v>
      </c>
      <c r="F416" s="182" t="n">
        <v>371.3148</v>
      </c>
      <c r="G416" s="182" t="n">
        <v>164025</v>
      </c>
      <c r="H416" s="182" t="inlineStr"/>
      <c r="I416" s="182" t="inlineStr"/>
    </row>
    <row r="417" ht="15" customHeight="1" s="28">
      <c r="A417" s="181" t="n">
        <v>407</v>
      </c>
      <c r="B417" s="181" t="n">
        <v>406</v>
      </c>
      <c r="C417" s="181" t="n">
        <v>4733.91</v>
      </c>
      <c r="D417" s="181" t="n">
        <v>4708.7229</v>
      </c>
      <c r="E417" s="181" t="n">
        <v>25.1871</v>
      </c>
      <c r="F417" s="181" t="n">
        <v>634.3915</v>
      </c>
      <c r="G417" s="181" t="n">
        <v>164836</v>
      </c>
      <c r="H417" s="181" t="inlineStr"/>
      <c r="I417" s="181" t="inlineStr"/>
    </row>
    <row r="418" ht="15" customHeight="1" s="28">
      <c r="A418" s="182" t="n">
        <v>408</v>
      </c>
      <c r="B418" s="182" t="n">
        <v>407</v>
      </c>
      <c r="C418" s="182" t="n">
        <v>4723.33</v>
      </c>
      <c r="D418" s="182" t="n">
        <v>4708.4553</v>
      </c>
      <c r="E418" s="182" t="n">
        <v>14.8747</v>
      </c>
      <c r="F418" s="182" t="n">
        <v>221.2579</v>
      </c>
      <c r="G418" s="182" t="n">
        <v>165649</v>
      </c>
      <c r="H418" s="182" t="inlineStr"/>
      <c r="I418" s="182" t="inlineStr"/>
    </row>
    <row r="419" ht="15" customHeight="1" s="28">
      <c r="A419" s="181" t="n">
        <v>409</v>
      </c>
      <c r="B419" s="181" t="n">
        <v>408</v>
      </c>
      <c r="C419" s="181" t="n">
        <v>4707.19</v>
      </c>
      <c r="D419" s="181" t="n">
        <v>4708.1877</v>
      </c>
      <c r="E419" s="181" t="n">
        <v>-0.9977</v>
      </c>
      <c r="F419" s="181" t="n">
        <v>0.9953</v>
      </c>
      <c r="G419" s="181" t="n">
        <v>166464</v>
      </c>
      <c r="H419" s="181" t="inlineStr"/>
      <c r="I419" s="181" t="inlineStr"/>
    </row>
    <row r="420" ht="15" customHeight="1" s="28">
      <c r="A420" s="182" t="n">
        <v>410</v>
      </c>
      <c r="B420" s="182" t="n">
        <v>409</v>
      </c>
      <c r="C420" s="182" t="n">
        <v>4714.1</v>
      </c>
      <c r="D420" s="182" t="n">
        <v>4707.92</v>
      </c>
      <c r="E420" s="182" t="n">
        <v>6.18</v>
      </c>
      <c r="F420" s="182" t="n">
        <v>38.1918</v>
      </c>
      <c r="G420" s="182" t="n">
        <v>167281</v>
      </c>
      <c r="H420" s="182" t="inlineStr"/>
      <c r="I420" s="182" t="inlineStr"/>
    </row>
    <row r="421" ht="15" customHeight="1" s="28">
      <c r="A421" s="181" t="n">
        <v>411</v>
      </c>
      <c r="B421" s="181" t="n">
        <v>410</v>
      </c>
      <c r="C421" s="181" t="n">
        <v>4701.42</v>
      </c>
      <c r="D421" s="181" t="n">
        <v>4707.6524</v>
      </c>
      <c r="E421" s="181" t="n">
        <v>-6.2324</v>
      </c>
      <c r="F421" s="181" t="n">
        <v>38.8434</v>
      </c>
      <c r="G421" s="181" t="n">
        <v>168100</v>
      </c>
      <c r="H421" s="181" t="inlineStr"/>
      <c r="I421" s="181" t="inlineStr"/>
    </row>
    <row r="422" ht="15" customHeight="1" s="28">
      <c r="A422" s="182" t="n">
        <v>412</v>
      </c>
      <c r="B422" s="182" t="n">
        <v>411</v>
      </c>
      <c r="C422" s="182" t="n">
        <v>4699.23</v>
      </c>
      <c r="D422" s="182" t="n">
        <v>4707.3849</v>
      </c>
      <c r="E422" s="182" t="n">
        <v>-8.1549</v>
      </c>
      <c r="F422" s="182" t="n">
        <v>66.5016</v>
      </c>
      <c r="G422" s="182" t="n">
        <v>168921</v>
      </c>
      <c r="H422" s="182" t="inlineStr"/>
      <c r="I422" s="182" t="inlineStr"/>
    </row>
    <row r="423" ht="15" customHeight="1" s="28">
      <c r="A423" s="181" t="n">
        <v>413</v>
      </c>
      <c r="B423" s="181" t="n">
        <v>412</v>
      </c>
      <c r="C423" s="181" t="n">
        <v>4702.06</v>
      </c>
      <c r="D423" s="181" t="n">
        <v>4707.1172</v>
      </c>
      <c r="E423" s="181" t="n">
        <v>-5.0572</v>
      </c>
      <c r="F423" s="181" t="n">
        <v>25.5757</v>
      </c>
      <c r="G423" s="181" t="n">
        <v>169744</v>
      </c>
      <c r="H423" s="181" t="inlineStr"/>
      <c r="I423" s="181" t="inlineStr"/>
    </row>
    <row r="424" ht="15" customHeight="1" s="28">
      <c r="A424" s="182" t="n">
        <v>414</v>
      </c>
      <c r="B424" s="182" t="n">
        <v>413</v>
      </c>
      <c r="C424" s="182" t="n">
        <v>4703.22</v>
      </c>
      <c r="D424" s="182" t="n">
        <v>4706.8496</v>
      </c>
      <c r="E424" s="182" t="n">
        <v>-3.6296</v>
      </c>
      <c r="F424" s="182" t="n">
        <v>13.1743</v>
      </c>
      <c r="G424" s="182" t="n">
        <v>170569</v>
      </c>
      <c r="H424" s="182" t="inlineStr"/>
      <c r="I424" s="182" t="inlineStr"/>
    </row>
    <row r="425" ht="15" customHeight="1" s="28">
      <c r="A425" s="181" t="n">
        <v>415</v>
      </c>
      <c r="B425" s="181" t="n">
        <v>414</v>
      </c>
      <c r="C425" s="181" t="n">
        <v>4704.99</v>
      </c>
      <c r="D425" s="181" t="n">
        <v>4706.582</v>
      </c>
      <c r="E425" s="181" t="n">
        <v>-1.592</v>
      </c>
      <c r="F425" s="181" t="n">
        <v>2.5346</v>
      </c>
      <c r="G425" s="181" t="n">
        <v>171396</v>
      </c>
      <c r="H425" s="181" t="inlineStr"/>
      <c r="I425" s="181" t="inlineStr"/>
    </row>
    <row r="426" ht="15" customHeight="1" s="28">
      <c r="A426" s="182" t="n">
        <v>416</v>
      </c>
      <c r="B426" s="182" t="n">
        <v>415</v>
      </c>
      <c r="C426" s="182" t="n">
        <v>4704.1</v>
      </c>
      <c r="D426" s="182" t="n">
        <v>4706.3144</v>
      </c>
      <c r="E426" s="182" t="n">
        <v>-2.2144</v>
      </c>
      <c r="F426" s="182" t="n">
        <v>4.9037</v>
      </c>
      <c r="G426" s="182" t="n">
        <v>172225</v>
      </c>
      <c r="H426" s="182" t="inlineStr"/>
      <c r="I426" s="182" t="inlineStr"/>
    </row>
    <row r="427" ht="15" customHeight="1" s="28">
      <c r="A427" s="181" t="n">
        <v>417</v>
      </c>
      <c r="B427" s="181" t="n">
        <v>416</v>
      </c>
      <c r="C427" s="181" t="n">
        <v>4706.25</v>
      </c>
      <c r="D427" s="181" t="n">
        <v>4706.0468</v>
      </c>
      <c r="E427" s="181" t="n">
        <v>0.2032</v>
      </c>
      <c r="F427" s="181" t="n">
        <v>0.0413</v>
      </c>
      <c r="G427" s="181" t="n">
        <v>173056</v>
      </c>
      <c r="H427" s="181" t="inlineStr"/>
      <c r="I427" s="181" t="inlineStr"/>
    </row>
    <row r="428" ht="15" customHeight="1" s="28">
      <c r="A428" s="182" t="n">
        <v>418</v>
      </c>
      <c r="B428" s="182" t="n">
        <v>417</v>
      </c>
      <c r="C428" s="182" t="n">
        <v>4705.73</v>
      </c>
      <c r="D428" s="182" t="n">
        <v>4705.7792</v>
      </c>
      <c r="E428" s="182" t="n">
        <v>-0.0492</v>
      </c>
      <c r="F428" s="182" t="n">
        <v>0.0024</v>
      </c>
      <c r="G428" s="182" t="n">
        <v>173889</v>
      </c>
      <c r="H428" s="182" t="inlineStr"/>
      <c r="I428" s="182" t="inlineStr"/>
    </row>
    <row r="429" ht="15" customHeight="1" s="28">
      <c r="A429" s="181" t="n">
        <v>419</v>
      </c>
      <c r="B429" s="181" t="n">
        <v>418</v>
      </c>
      <c r="C429" s="181" t="n">
        <v>4701.88</v>
      </c>
      <c r="D429" s="181" t="n">
        <v>4705.5116</v>
      </c>
      <c r="E429" s="181" t="n">
        <v>-3.6316</v>
      </c>
      <c r="F429" s="181" t="n">
        <v>13.1887</v>
      </c>
      <c r="G429" s="181" t="n">
        <v>174724</v>
      </c>
      <c r="H429" s="181" t="inlineStr"/>
      <c r="I429" s="181" t="inlineStr"/>
    </row>
    <row r="430" ht="15" customHeight="1" s="28">
      <c r="A430" s="182" t="n">
        <v>420</v>
      </c>
      <c r="B430" s="182" t="n">
        <v>419</v>
      </c>
      <c r="C430" s="182" t="n">
        <v>4704.35</v>
      </c>
      <c r="D430" s="182" t="n">
        <v>4705.244</v>
      </c>
      <c r="E430" s="182" t="n">
        <v>-0.894</v>
      </c>
      <c r="F430" s="182" t="n">
        <v>0.7993</v>
      </c>
      <c r="G430" s="182" t="n">
        <v>175561</v>
      </c>
      <c r="H430" s="182" t="inlineStr"/>
      <c r="I430" s="182" t="inlineStr"/>
    </row>
    <row r="431" ht="15" customHeight="1" s="28">
      <c r="A431" s="181" t="n">
        <v>421</v>
      </c>
      <c r="B431" s="181" t="n">
        <v>420</v>
      </c>
      <c r="C431" s="181" t="n">
        <v>4707.71</v>
      </c>
      <c r="D431" s="181" t="n">
        <v>4704.9764</v>
      </c>
      <c r="E431" s="181" t="n">
        <v>2.7336</v>
      </c>
      <c r="F431" s="181" t="n">
        <v>7.4725</v>
      </c>
      <c r="G431" s="181" t="n">
        <v>176400</v>
      </c>
      <c r="H431" s="181" t="inlineStr"/>
      <c r="I431" s="181" t="inlineStr"/>
    </row>
    <row r="432" ht="15" customHeight="1" s="28">
      <c r="A432" s="182" t="n">
        <v>422</v>
      </c>
      <c r="B432" s="182" t="n">
        <v>421</v>
      </c>
      <c r="C432" s="182" t="n">
        <v>4705.92</v>
      </c>
      <c r="D432" s="182" t="n">
        <v>4704.7088</v>
      </c>
      <c r="E432" s="182" t="n">
        <v>1.2112</v>
      </c>
      <c r="F432" s="182" t="n">
        <v>1.467</v>
      </c>
      <c r="G432" s="182" t="n">
        <v>177241</v>
      </c>
      <c r="H432" s="182" t="inlineStr"/>
      <c r="I432" s="182" t="inlineStr"/>
    </row>
    <row r="433" ht="15" customHeight="1" s="28">
      <c r="A433" s="181" t="n">
        <v>423</v>
      </c>
      <c r="B433" s="181" t="n">
        <v>422</v>
      </c>
      <c r="C433" s="181" t="n">
        <v>4701.58</v>
      </c>
      <c r="D433" s="181" t="n">
        <v>4704.4412</v>
      </c>
      <c r="E433" s="181" t="n">
        <v>-2.8612</v>
      </c>
      <c r="F433" s="181" t="n">
        <v>8.186500000000001</v>
      </c>
      <c r="G433" s="181" t="n">
        <v>178084</v>
      </c>
      <c r="H433" s="181" t="inlineStr"/>
      <c r="I433" s="181" t="inlineStr"/>
    </row>
    <row r="434" ht="15" customHeight="1" s="28">
      <c r="A434" s="182" t="n">
        <v>424</v>
      </c>
      <c r="B434" s="182" t="n">
        <v>423</v>
      </c>
      <c r="C434" s="182" t="n">
        <v>4713.6</v>
      </c>
      <c r="D434" s="182" t="n">
        <v>4704.1736</v>
      </c>
      <c r="E434" s="182" t="n">
        <v>9.426399999999999</v>
      </c>
      <c r="F434" s="182" t="n">
        <v>88.857</v>
      </c>
      <c r="G434" s="182" t="n">
        <v>178929</v>
      </c>
      <c r="H434" s="182" t="inlineStr"/>
      <c r="I434" s="182" t="inlineStr"/>
    </row>
    <row r="435" ht="15" customHeight="1" s="28">
      <c r="A435" s="181" t="n">
        <v>425</v>
      </c>
      <c r="B435" s="181" t="n">
        <v>424</v>
      </c>
      <c r="C435" s="181" t="n">
        <v>4711.99</v>
      </c>
      <c r="D435" s="181" t="n">
        <v>4703.906</v>
      </c>
      <c r="E435" s="181" t="n">
        <v>8.084</v>
      </c>
      <c r="F435" s="181" t="n">
        <v>65.35120000000001</v>
      </c>
      <c r="G435" s="181" t="n">
        <v>179776</v>
      </c>
      <c r="H435" s="181" t="inlineStr"/>
      <c r="I435" s="181" t="inlineStr"/>
    </row>
    <row r="436" ht="15" customHeight="1" s="28">
      <c r="A436" s="182" t="n">
        <v>426</v>
      </c>
      <c r="B436" s="182" t="n">
        <v>425</v>
      </c>
      <c r="C436" s="182" t="n">
        <v>4712.13</v>
      </c>
      <c r="D436" s="182" t="n">
        <v>4703.6384</v>
      </c>
      <c r="E436" s="182" t="n">
        <v>8.4916</v>
      </c>
      <c r="F436" s="182" t="n">
        <v>72.1074</v>
      </c>
      <c r="G436" s="182" t="n">
        <v>180625</v>
      </c>
      <c r="H436" s="182" t="inlineStr"/>
      <c r="I436" s="182" t="inlineStr"/>
    </row>
    <row r="437" ht="15" customHeight="1" s="28">
      <c r="A437" s="181" t="n">
        <v>427</v>
      </c>
      <c r="B437" s="181" t="n">
        <v>426</v>
      </c>
      <c r="C437" s="181" t="n">
        <v>4714.98</v>
      </c>
      <c r="D437" s="181" t="n">
        <v>4703.3708</v>
      </c>
      <c r="E437" s="181" t="n">
        <v>11.6092</v>
      </c>
      <c r="F437" s="181" t="n">
        <v>134.774</v>
      </c>
      <c r="G437" s="181" t="n">
        <v>181476</v>
      </c>
      <c r="H437" s="181" t="inlineStr"/>
      <c r="I437" s="181" t="inlineStr"/>
    </row>
    <row r="438" ht="15" customHeight="1" s="28">
      <c r="A438" s="182" t="n">
        <v>428</v>
      </c>
      <c r="B438" s="182" t="n">
        <v>427</v>
      </c>
      <c r="C438" s="182" t="n">
        <v>4713.02</v>
      </c>
      <c r="D438" s="182" t="n">
        <v>4703.1032</v>
      </c>
      <c r="E438" s="182" t="n">
        <v>9.9168</v>
      </c>
      <c r="F438" s="182" t="n">
        <v>98.3433</v>
      </c>
      <c r="G438" s="182" t="n">
        <v>182329</v>
      </c>
      <c r="H438" s="182" t="inlineStr"/>
      <c r="I438" s="182" t="inlineStr"/>
    </row>
    <row r="439" ht="15" customHeight="1" s="28">
      <c r="A439" s="181" t="n">
        <v>429</v>
      </c>
      <c r="B439" s="181" t="n">
        <v>428</v>
      </c>
      <c r="C439" s="181" t="n">
        <v>4712.47</v>
      </c>
      <c r="D439" s="181" t="n">
        <v>4702.8356</v>
      </c>
      <c r="E439" s="181" t="n">
        <v>9.634399999999999</v>
      </c>
      <c r="F439" s="181" t="n">
        <v>92.822</v>
      </c>
      <c r="G439" s="181" t="n">
        <v>183184</v>
      </c>
      <c r="H439" s="181" t="inlineStr"/>
      <c r="I439" s="181" t="inlineStr"/>
    </row>
    <row r="440" ht="15" customHeight="1" s="28">
      <c r="A440" s="182" t="n">
        <v>430</v>
      </c>
      <c r="B440" s="182" t="n">
        <v>429</v>
      </c>
      <c r="C440" s="182" t="n">
        <v>4706.12</v>
      </c>
      <c r="D440" s="182" t="n">
        <v>4702.568</v>
      </c>
      <c r="E440" s="182" t="n">
        <v>3.552</v>
      </c>
      <c r="F440" s="182" t="n">
        <v>12.6169</v>
      </c>
      <c r="G440" s="182" t="n">
        <v>184041</v>
      </c>
      <c r="H440" s="182" t="inlineStr"/>
      <c r="I440" s="182" t="inlineStr"/>
    </row>
    <row r="441" ht="15" customHeight="1" s="28">
      <c r="A441" s="181" t="n">
        <v>431</v>
      </c>
      <c r="B441" s="181" t="n">
        <v>430</v>
      </c>
      <c r="C441" s="181" t="n">
        <v>4713.77</v>
      </c>
      <c r="D441" s="181" t="n">
        <v>4702.3004</v>
      </c>
      <c r="E441" s="181" t="n">
        <v>11.4696</v>
      </c>
      <c r="F441" s="181" t="n">
        <v>131.5524</v>
      </c>
      <c r="G441" s="181" t="n">
        <v>184900</v>
      </c>
      <c r="H441" s="181" t="inlineStr"/>
      <c r="I441" s="181" t="inlineStr"/>
    </row>
    <row r="442" ht="15" customHeight="1" s="28">
      <c r="A442" s="182" t="n">
        <v>432</v>
      </c>
      <c r="B442" s="182" t="n">
        <v>431</v>
      </c>
      <c r="C442" s="182" t="n">
        <v>4719.22</v>
      </c>
      <c r="D442" s="182" t="n">
        <v>4702.0328</v>
      </c>
      <c r="E442" s="182" t="n">
        <v>17.1872</v>
      </c>
      <c r="F442" s="182" t="n">
        <v>295.4012</v>
      </c>
      <c r="G442" s="182" t="n">
        <v>185761</v>
      </c>
      <c r="H442" s="182" t="inlineStr"/>
      <c r="I442" s="182" t="inlineStr"/>
    </row>
    <row r="443" ht="15" customHeight="1" s="28">
      <c r="A443" s="181" t="n">
        <v>433</v>
      </c>
      <c r="B443" s="181" t="n">
        <v>432</v>
      </c>
      <c r="C443" s="181" t="n">
        <v>4718.21</v>
      </c>
      <c r="D443" s="181" t="n">
        <v>4701.7652</v>
      </c>
      <c r="E443" s="181" t="n">
        <v>16.4448</v>
      </c>
      <c r="F443" s="181" t="n">
        <v>270.4328</v>
      </c>
      <c r="G443" s="181" t="n">
        <v>186624</v>
      </c>
      <c r="H443" s="181" t="inlineStr"/>
      <c r="I443" s="181" t="inlineStr"/>
    </row>
    <row r="444" ht="15" customHeight="1" s="28">
      <c r="A444" s="182" t="n">
        <v>434</v>
      </c>
      <c r="B444" s="182" t="n">
        <v>433</v>
      </c>
      <c r="C444" s="182" t="n">
        <v>4715.43</v>
      </c>
      <c r="D444" s="182" t="n">
        <v>4701.4976</v>
      </c>
      <c r="E444" s="182" t="n">
        <v>13.9324</v>
      </c>
      <c r="F444" s="182" t="n">
        <v>194.1129</v>
      </c>
      <c r="G444" s="182" t="n">
        <v>187489</v>
      </c>
      <c r="H444" s="182" t="inlineStr"/>
      <c r="I444" s="182" t="inlineStr"/>
    </row>
    <row r="445" ht="15" customHeight="1" s="28">
      <c r="A445" s="181" t="n">
        <v>435</v>
      </c>
      <c r="B445" s="181" t="n">
        <v>434</v>
      </c>
      <c r="C445" s="181" t="n">
        <v>4703.76</v>
      </c>
      <c r="D445" s="181" t="n">
        <v>4701.2299</v>
      </c>
      <c r="E445" s="181" t="n">
        <v>2.5301</v>
      </c>
      <c r="F445" s="181" t="n">
        <v>6.4012</v>
      </c>
      <c r="G445" s="181" t="n">
        <v>188356</v>
      </c>
      <c r="H445" s="181" t="inlineStr"/>
      <c r="I445" s="181" t="inlineStr"/>
    </row>
    <row r="446" ht="15" customHeight="1" s="28">
      <c r="A446" s="182" t="n">
        <v>436</v>
      </c>
      <c r="B446" s="182" t="n">
        <v>435</v>
      </c>
      <c r="C446" s="182" t="n">
        <v>4703.28</v>
      </c>
      <c r="D446" s="182" t="n">
        <v>4700.9623</v>
      </c>
      <c r="E446" s="182" t="n">
        <v>2.3176</v>
      </c>
      <c r="F446" s="182" t="n">
        <v>5.3715</v>
      </c>
      <c r="G446" s="182" t="n">
        <v>189225</v>
      </c>
      <c r="H446" s="182" t="inlineStr"/>
      <c r="I446" s="182" t="inlineStr"/>
    </row>
    <row r="447" ht="15" customHeight="1" s="28">
      <c r="A447" s="181" t="n">
        <v>437</v>
      </c>
      <c r="B447" s="181" t="n">
        <v>436</v>
      </c>
      <c r="C447" s="181" t="n">
        <v>4696.92</v>
      </c>
      <c r="D447" s="181" t="n">
        <v>4700.6947</v>
      </c>
      <c r="E447" s="181" t="n">
        <v>-3.7747</v>
      </c>
      <c r="F447" s="181" t="n">
        <v>14.2487</v>
      </c>
      <c r="G447" s="181" t="n">
        <v>190096</v>
      </c>
      <c r="H447" s="181" t="inlineStr"/>
      <c r="I447" s="181" t="inlineStr"/>
    </row>
    <row r="448" ht="15" customHeight="1" s="28">
      <c r="A448" s="182" t="n">
        <v>438</v>
      </c>
      <c r="B448" s="182" t="n">
        <v>437</v>
      </c>
      <c r="C448" s="182" t="n">
        <v>4700.94</v>
      </c>
      <c r="D448" s="182" t="n">
        <v>4700.4271</v>
      </c>
      <c r="E448" s="182" t="n">
        <v>0.5129</v>
      </c>
      <c r="F448" s="182" t="n">
        <v>0.263</v>
      </c>
      <c r="G448" s="182" t="n">
        <v>190969</v>
      </c>
      <c r="H448" s="182" t="inlineStr"/>
      <c r="I448" s="182" t="inlineStr"/>
    </row>
    <row r="449" ht="15" customHeight="1" s="28">
      <c r="A449" s="181" t="n">
        <v>439</v>
      </c>
      <c r="B449" s="181" t="n">
        <v>438</v>
      </c>
      <c r="C449" s="181" t="n">
        <v>4700.99</v>
      </c>
      <c r="D449" s="181" t="n">
        <v>4700.1595</v>
      </c>
      <c r="E449" s="181" t="n">
        <v>0.8305</v>
      </c>
      <c r="F449" s="181" t="n">
        <v>0.6897</v>
      </c>
      <c r="G449" s="181" t="n">
        <v>191844</v>
      </c>
      <c r="H449" s="181" t="inlineStr"/>
      <c r="I449" s="181" t="inlineStr"/>
    </row>
    <row r="450" ht="15" customHeight="1" s="28">
      <c r="A450" s="182" t="n">
        <v>440</v>
      </c>
      <c r="B450" s="182" t="n">
        <v>439</v>
      </c>
      <c r="C450" s="182" t="n">
        <v>4697.62</v>
      </c>
      <c r="D450" s="182" t="n">
        <v>4699.8919</v>
      </c>
      <c r="E450" s="182" t="n">
        <v>-2.2719</v>
      </c>
      <c r="F450" s="182" t="n">
        <v>5.1617</v>
      </c>
      <c r="G450" s="182" t="n">
        <v>192721</v>
      </c>
      <c r="H450" s="182" t="inlineStr"/>
      <c r="I450" s="182" t="inlineStr"/>
    </row>
    <row r="451" ht="15" customHeight="1" s="28">
      <c r="A451" s="181" t="n">
        <v>441</v>
      </c>
      <c r="B451" s="181" t="n">
        <v>440</v>
      </c>
      <c r="C451" s="181" t="n">
        <v>4689.14</v>
      </c>
      <c r="D451" s="181" t="n">
        <v>4699.6243</v>
      </c>
      <c r="E451" s="181" t="n">
        <v>-10.4843</v>
      </c>
      <c r="F451" s="181" t="n">
        <v>109.9212</v>
      </c>
      <c r="G451" s="181" t="n">
        <v>193600</v>
      </c>
      <c r="H451" s="181" t="inlineStr"/>
      <c r="I451" s="181" t="inlineStr"/>
    </row>
    <row r="452" ht="15" customHeight="1" s="28">
      <c r="A452" s="182" t="n">
        <v>442</v>
      </c>
      <c r="B452" s="182" t="n">
        <v>441</v>
      </c>
      <c r="C452" s="182" t="n">
        <v>4686.7</v>
      </c>
      <c r="D452" s="182" t="n">
        <v>4699.3567</v>
      </c>
      <c r="E452" s="182" t="n">
        <v>-12.6567</v>
      </c>
      <c r="F452" s="182" t="n">
        <v>160.1926</v>
      </c>
      <c r="G452" s="182" t="n">
        <v>194481</v>
      </c>
      <c r="H452" s="182" t="inlineStr"/>
      <c r="I452" s="182" t="inlineStr"/>
    </row>
    <row r="453" ht="15" customHeight="1" s="28">
      <c r="A453" s="181" t="n">
        <v>443</v>
      </c>
      <c r="B453" s="181" t="n">
        <v>442</v>
      </c>
      <c r="C453" s="181" t="n">
        <v>4690.77</v>
      </c>
      <c r="D453" s="181" t="n">
        <v>4699.0891</v>
      </c>
      <c r="E453" s="181" t="n">
        <v>-8.319100000000001</v>
      </c>
      <c r="F453" s="181" t="n">
        <v>69.20780000000001</v>
      </c>
      <c r="G453" s="181" t="n">
        <v>195364</v>
      </c>
      <c r="H453" s="181" t="inlineStr"/>
      <c r="I453" s="181" t="inlineStr"/>
    </row>
    <row r="454" ht="15" customHeight="1" s="28">
      <c r="A454" s="182" t="n">
        <v>444</v>
      </c>
      <c r="B454" s="182" t="n">
        <v>443</v>
      </c>
      <c r="C454" s="182" t="n">
        <v>4696.61</v>
      </c>
      <c r="D454" s="182" t="n">
        <v>4698.8215</v>
      </c>
      <c r="E454" s="182" t="n">
        <v>-2.2115</v>
      </c>
      <c r="F454" s="182" t="n">
        <v>4.8908</v>
      </c>
      <c r="G454" s="182" t="n">
        <v>196249</v>
      </c>
      <c r="H454" s="182" t="inlineStr"/>
      <c r="I454" s="182" t="inlineStr"/>
    </row>
    <row r="455" ht="15" customHeight="1" s="28">
      <c r="A455" s="181" t="n">
        <v>445</v>
      </c>
      <c r="B455" s="181" t="n">
        <v>444</v>
      </c>
      <c r="C455" s="181" t="n">
        <v>4697.96</v>
      </c>
      <c r="D455" s="181" t="n">
        <v>4698.5539</v>
      </c>
      <c r="E455" s="181" t="n">
        <v>-0.5939</v>
      </c>
      <c r="F455" s="181" t="n">
        <v>0.3527</v>
      </c>
      <c r="G455" s="181" t="n">
        <v>197136</v>
      </c>
      <c r="H455" s="181" t="inlineStr"/>
      <c r="I455" s="181" t="inlineStr"/>
    </row>
    <row r="456" ht="15" customHeight="1" s="28">
      <c r="A456" s="182" t="n">
        <v>446</v>
      </c>
      <c r="B456" s="182" t="n">
        <v>445</v>
      </c>
      <c r="C456" s="182" t="n">
        <v>4699.27</v>
      </c>
      <c r="D456" s="182" t="n">
        <v>4698.2863</v>
      </c>
      <c r="E456" s="182" t="n">
        <v>0.9837</v>
      </c>
      <c r="F456" s="182" t="n">
        <v>0.9676</v>
      </c>
      <c r="G456" s="182" t="n">
        <v>198025</v>
      </c>
      <c r="H456" s="182" t="inlineStr"/>
      <c r="I456" s="182" t="inlineStr"/>
    </row>
    <row r="457" ht="15" customHeight="1" s="28">
      <c r="A457" s="181" t="n">
        <v>447</v>
      </c>
      <c r="B457" s="181" t="n">
        <v>446</v>
      </c>
      <c r="C457" s="181" t="n">
        <v>4705.48</v>
      </c>
      <c r="D457" s="181" t="n">
        <v>4698.0187</v>
      </c>
      <c r="E457" s="181" t="n">
        <v>7.4613</v>
      </c>
      <c r="F457" s="181" t="n">
        <v>55.671</v>
      </c>
      <c r="G457" s="181" t="n">
        <v>198916</v>
      </c>
      <c r="H457" s="181" t="inlineStr"/>
      <c r="I457" s="181" t="inlineStr"/>
    </row>
    <row r="458" ht="15" customHeight="1" s="28">
      <c r="A458" s="182" t="n">
        <v>448</v>
      </c>
      <c r="B458" s="182" t="n">
        <v>447</v>
      </c>
      <c r="C458" s="182" t="n">
        <v>4720.71</v>
      </c>
      <c r="D458" s="182" t="n">
        <v>4697.7511</v>
      </c>
      <c r="E458" s="182" t="n">
        <v>22.9589</v>
      </c>
      <c r="F458" s="182" t="n">
        <v>527.1111</v>
      </c>
      <c r="G458" s="182" t="n">
        <v>199809</v>
      </c>
      <c r="H458" s="182" t="inlineStr"/>
      <c r="I458" s="182" t="inlineStr"/>
    </row>
    <row r="459" ht="15" customHeight="1" s="28">
      <c r="A459" s="181" t="n">
        <v>449</v>
      </c>
      <c r="B459" s="181" t="n">
        <v>448</v>
      </c>
      <c r="C459" s="181" t="n">
        <v>4729.21</v>
      </c>
      <c r="D459" s="181" t="n">
        <v>4697.4835</v>
      </c>
      <c r="E459" s="181" t="n">
        <v>31.7265</v>
      </c>
      <c r="F459" s="181" t="n">
        <v>1006.5714</v>
      </c>
      <c r="G459" s="181" t="n">
        <v>200704</v>
      </c>
      <c r="H459" s="181" t="inlineStr"/>
      <c r="I459" s="181" t="inlineStr"/>
    </row>
    <row r="460" ht="15" customHeight="1" s="28">
      <c r="A460" s="182" t="n">
        <v>450</v>
      </c>
      <c r="B460" s="182" t="n">
        <v>449</v>
      </c>
      <c r="C460" s="182" t="n">
        <v>4733.39</v>
      </c>
      <c r="D460" s="182" t="n">
        <v>4697.2159</v>
      </c>
      <c r="E460" s="182" t="n">
        <v>36.1741</v>
      </c>
      <c r="F460" s="182" t="n">
        <v>1308.5662</v>
      </c>
      <c r="G460" s="182" t="n">
        <v>201601</v>
      </c>
      <c r="H460" s="182" t="inlineStr"/>
      <c r="I460" s="182" t="inlineStr"/>
    </row>
    <row r="461" ht="15" customHeight="1" s="28">
      <c r="A461" s="181" t="n">
        <v>451</v>
      </c>
      <c r="B461" s="181" t="n">
        <v>450</v>
      </c>
      <c r="C461" s="181" t="n">
        <v>4739.41</v>
      </c>
      <c r="D461" s="181" t="n">
        <v>4696.9483</v>
      </c>
      <c r="E461" s="181" t="n">
        <v>42.4617</v>
      </c>
      <c r="F461" s="181" t="n">
        <v>1802.9968</v>
      </c>
      <c r="G461" s="181" t="n">
        <v>202500</v>
      </c>
      <c r="H461" s="181" t="inlineStr"/>
      <c r="I461" s="181" t="inlineStr"/>
    </row>
    <row r="462" ht="15" customHeight="1" s="28">
      <c r="A462" s="182" t="n">
        <v>452</v>
      </c>
      <c r="B462" s="182" t="n">
        <v>451</v>
      </c>
      <c r="C462" s="182" t="n">
        <v>4740.04</v>
      </c>
      <c r="D462" s="182" t="n">
        <v>4696.6807</v>
      </c>
      <c r="E462" s="182" t="n">
        <v>43.3593</v>
      </c>
      <c r="F462" s="182" t="n">
        <v>1880.0306</v>
      </c>
      <c r="G462" s="182" t="n">
        <v>203401</v>
      </c>
      <c r="H462" s="182" t="inlineStr"/>
      <c r="I462" s="182" t="inlineStr"/>
    </row>
    <row r="463" ht="15" customHeight="1" s="28">
      <c r="A463" s="181" t="n">
        <v>453</v>
      </c>
      <c r="B463" s="181" t="n">
        <v>452</v>
      </c>
      <c r="C463" s="181" t="n">
        <v>4725.95</v>
      </c>
      <c r="D463" s="181" t="n">
        <v>4696.4131</v>
      </c>
      <c r="E463" s="181" t="n">
        <v>29.5369</v>
      </c>
      <c r="F463" s="181" t="n">
        <v>872.4296000000001</v>
      </c>
      <c r="G463" s="181" t="n">
        <v>204304</v>
      </c>
      <c r="H463" s="181" t="inlineStr"/>
      <c r="I463" s="181" t="inlineStr"/>
    </row>
    <row r="464" ht="15" customHeight="1" s="28">
      <c r="A464" s="182" t="n">
        <v>454</v>
      </c>
      <c r="B464" s="182" t="n">
        <v>453</v>
      </c>
      <c r="C464" s="182" t="n">
        <v>4727.53</v>
      </c>
      <c r="D464" s="182" t="n">
        <v>4696.1455</v>
      </c>
      <c r="E464" s="182" t="n">
        <v>31.3845</v>
      </c>
      <c r="F464" s="182" t="n">
        <v>984.9887</v>
      </c>
      <c r="G464" s="182" t="n">
        <v>205209</v>
      </c>
      <c r="H464" s="182" t="inlineStr"/>
      <c r="I464" s="182" t="inlineStr"/>
    </row>
    <row r="465" ht="15" customHeight="1" s="28">
      <c r="A465" s="181" t="n">
        <v>455</v>
      </c>
      <c r="B465" s="181" t="n">
        <v>454</v>
      </c>
      <c r="C465" s="181" t="n">
        <v>4734.55</v>
      </c>
      <c r="D465" s="181" t="n">
        <v>4695.8779</v>
      </c>
      <c r="E465" s="181" t="n">
        <v>38.6721</v>
      </c>
      <c r="F465" s="181" t="n">
        <v>1495.5336</v>
      </c>
      <c r="G465" s="181" t="n">
        <v>206116</v>
      </c>
      <c r="H465" s="181" t="inlineStr"/>
      <c r="I465" s="181" t="inlineStr"/>
    </row>
    <row r="466" ht="15" customHeight="1" s="28">
      <c r="A466" s="182" t="n">
        <v>456</v>
      </c>
      <c r="B466" s="182" t="n">
        <v>455</v>
      </c>
      <c r="C466" s="182" t="n">
        <v>4724.46</v>
      </c>
      <c r="D466" s="182" t="n">
        <v>4695.6103</v>
      </c>
      <c r="E466" s="182" t="n">
        <v>28.8497</v>
      </c>
      <c r="F466" s="182" t="n">
        <v>832.3069</v>
      </c>
      <c r="G466" s="182" t="n">
        <v>207025</v>
      </c>
      <c r="H466" s="182" t="inlineStr"/>
      <c r="I466" s="182" t="inlineStr"/>
    </row>
    <row r="467" ht="15" customHeight="1" s="28">
      <c r="A467" s="181" t="n">
        <v>457</v>
      </c>
      <c r="B467" s="181" t="n">
        <v>456</v>
      </c>
      <c r="C467" s="181" t="n">
        <v>4724.31</v>
      </c>
      <c r="D467" s="181" t="n">
        <v>4695.3427</v>
      </c>
      <c r="E467" s="181" t="n">
        <v>28.9673</v>
      </c>
      <c r="F467" s="181" t="n">
        <v>839.1068</v>
      </c>
      <c r="G467" s="181" t="n">
        <v>207936</v>
      </c>
      <c r="H467" s="181" t="inlineStr"/>
      <c r="I467" s="181" t="inlineStr"/>
    </row>
    <row r="468" ht="15" customHeight="1" s="28">
      <c r="A468" s="182" t="n">
        <v>458</v>
      </c>
      <c r="B468" s="182" t="n">
        <v>457</v>
      </c>
      <c r="C468" s="182" t="n">
        <v>4731.54</v>
      </c>
      <c r="D468" s="182" t="n">
        <v>4695.0751</v>
      </c>
      <c r="E468" s="182" t="n">
        <v>36.4649</v>
      </c>
      <c r="F468" s="182" t="n">
        <v>1329.6918</v>
      </c>
      <c r="G468" s="182" t="n">
        <v>208849</v>
      </c>
      <c r="H468" s="182" t="inlineStr"/>
      <c r="I468" s="182" t="inlineStr"/>
    </row>
    <row r="469" ht="15" customHeight="1" s="28">
      <c r="A469" s="181" t="n">
        <v>459</v>
      </c>
      <c r="B469" s="181" t="n">
        <v>458</v>
      </c>
      <c r="C469" s="181" t="n">
        <v>4730.97</v>
      </c>
      <c r="D469" s="181" t="n">
        <v>4694.8075</v>
      </c>
      <c r="E469" s="181" t="n">
        <v>36.1626</v>
      </c>
      <c r="F469" s="181" t="n">
        <v>1307.73</v>
      </c>
      <c r="G469" s="181" t="n">
        <v>209764</v>
      </c>
      <c r="H469" s="181" t="inlineStr"/>
      <c r="I469" s="181" t="inlineStr"/>
    </row>
    <row r="470" ht="15" customHeight="1" s="28">
      <c r="A470" s="182" t="n">
        <v>460</v>
      </c>
      <c r="B470" s="182" t="n">
        <v>459</v>
      </c>
      <c r="C470" s="182" t="n">
        <v>4733.72</v>
      </c>
      <c r="D470" s="182" t="n">
        <v>4694.5399</v>
      </c>
      <c r="E470" s="182" t="n">
        <v>39.1802</v>
      </c>
      <c r="F470" s="182" t="n">
        <v>1535.0842</v>
      </c>
      <c r="G470" s="182" t="n">
        <v>210681</v>
      </c>
      <c r="H470" s="182" t="inlineStr"/>
      <c r="I470" s="182" t="inlineStr"/>
    </row>
    <row r="471" ht="15" customHeight="1" s="28">
      <c r="A471" s="181" t="n">
        <v>461</v>
      </c>
      <c r="B471" s="181" t="n">
        <v>460</v>
      </c>
      <c r="C471" s="181" t="n">
        <v>4730.76</v>
      </c>
      <c r="D471" s="181" t="n">
        <v>4694.2722</v>
      </c>
      <c r="E471" s="181" t="n">
        <v>36.4878</v>
      </c>
      <c r="F471" s="181" t="n">
        <v>1331.3559</v>
      </c>
      <c r="G471" s="181" t="n">
        <v>211600</v>
      </c>
      <c r="H471" s="181" t="inlineStr"/>
      <c r="I471" s="181" t="inlineStr"/>
    </row>
    <row r="472" ht="15" customHeight="1" s="28">
      <c r="A472" s="182" t="n">
        <v>462</v>
      </c>
      <c r="B472" s="182" t="n">
        <v>461</v>
      </c>
      <c r="C472" s="182" t="n">
        <v>4733.6</v>
      </c>
      <c r="D472" s="182" t="n">
        <v>4694.0046</v>
      </c>
      <c r="E472" s="182" t="n">
        <v>39.5954</v>
      </c>
      <c r="F472" s="182" t="n">
        <v>1567.7925</v>
      </c>
      <c r="G472" s="182" t="n">
        <v>212521</v>
      </c>
      <c r="H472" s="182" t="inlineStr"/>
      <c r="I472" s="182" t="inlineStr"/>
    </row>
    <row r="473" ht="15" customHeight="1" s="28">
      <c r="A473" s="181" t="n">
        <v>463</v>
      </c>
      <c r="B473" s="181" t="n">
        <v>462</v>
      </c>
      <c r="C473" s="181" t="n">
        <v>4728.34</v>
      </c>
      <c r="D473" s="181" t="n">
        <v>4693.737</v>
      </c>
      <c r="E473" s="181" t="n">
        <v>34.603</v>
      </c>
      <c r="F473" s="181" t="n">
        <v>1197.3648</v>
      </c>
      <c r="G473" s="181" t="n">
        <v>213444</v>
      </c>
      <c r="H473" s="181" t="inlineStr"/>
      <c r="I473" s="181" t="inlineStr"/>
    </row>
    <row r="474" ht="15" customHeight="1" s="28">
      <c r="A474" s="182" t="n">
        <v>464</v>
      </c>
      <c r="B474" s="182" t="n">
        <v>463</v>
      </c>
      <c r="C474" s="182" t="n">
        <v>4720.42</v>
      </c>
      <c r="D474" s="182" t="n">
        <v>4693.4694</v>
      </c>
      <c r="E474" s="182" t="n">
        <v>26.9506</v>
      </c>
      <c r="F474" s="182" t="n">
        <v>726.3332</v>
      </c>
      <c r="G474" s="182" t="n">
        <v>214369</v>
      </c>
      <c r="H474" s="182" t="inlineStr"/>
      <c r="I474" s="182" t="inlineStr"/>
    </row>
    <row r="475" ht="15" customHeight="1" s="28">
      <c r="A475" s="181" t="n">
        <v>465</v>
      </c>
      <c r="B475" s="181" t="n">
        <v>464</v>
      </c>
      <c r="C475" s="181" t="n">
        <v>4719.39</v>
      </c>
      <c r="D475" s="181" t="n">
        <v>4693.2018</v>
      </c>
      <c r="E475" s="181" t="n">
        <v>26.1882</v>
      </c>
      <c r="F475" s="181" t="n">
        <v>685.8202</v>
      </c>
      <c r="G475" s="181" t="n">
        <v>215296</v>
      </c>
      <c r="H475" s="181" t="inlineStr"/>
      <c r="I475" s="181" t="inlineStr"/>
    </row>
    <row r="476" ht="15" customHeight="1" s="28">
      <c r="A476" s="182" t="n">
        <v>466</v>
      </c>
      <c r="B476" s="182" t="n">
        <v>465</v>
      </c>
      <c r="C476" s="182" t="n">
        <v>4723.22</v>
      </c>
      <c r="D476" s="182" t="n">
        <v>4692.9342</v>
      </c>
      <c r="E476" s="182" t="n">
        <v>30.2858</v>
      </c>
      <c r="F476" s="182" t="n">
        <v>917.2279</v>
      </c>
      <c r="G476" s="182" t="n">
        <v>216225</v>
      </c>
      <c r="H476" s="182" t="inlineStr"/>
      <c r="I476" s="182" t="inlineStr"/>
    </row>
    <row r="477" ht="15" customHeight="1" s="28">
      <c r="A477" s="181" t="n">
        <v>467</v>
      </c>
      <c r="B477" s="181" t="n">
        <v>466</v>
      </c>
      <c r="C477" s="181" t="n">
        <v>4734.05</v>
      </c>
      <c r="D477" s="181" t="n">
        <v>4692.6666</v>
      </c>
      <c r="E477" s="181" t="n">
        <v>41.3834</v>
      </c>
      <c r="F477" s="181" t="n">
        <v>1712.5841</v>
      </c>
      <c r="G477" s="181" t="n">
        <v>217156</v>
      </c>
      <c r="H477" s="181" t="inlineStr"/>
      <c r="I477" s="181" t="inlineStr"/>
    </row>
    <row r="478" ht="15" customHeight="1" s="28">
      <c r="A478" s="182" t="n">
        <v>468</v>
      </c>
      <c r="B478" s="182" t="n">
        <v>467</v>
      </c>
      <c r="C478" s="182" t="n">
        <v>4733.09</v>
      </c>
      <c r="D478" s="182" t="n">
        <v>4692.399</v>
      </c>
      <c r="E478" s="182" t="n">
        <v>40.691</v>
      </c>
      <c r="F478" s="182" t="n">
        <v>1655.7559</v>
      </c>
      <c r="G478" s="182" t="n">
        <v>218089</v>
      </c>
      <c r="H478" s="182" t="inlineStr"/>
      <c r="I478" s="182" t="inlineStr"/>
    </row>
    <row r="479" ht="15" customHeight="1" s="28">
      <c r="A479" s="181" t="n">
        <v>469</v>
      </c>
      <c r="B479" s="181" t="n">
        <v>468</v>
      </c>
      <c r="C479" s="181" t="n">
        <v>4716.04</v>
      </c>
      <c r="D479" s="181" t="n">
        <v>4692.1314</v>
      </c>
      <c r="E479" s="181" t="n">
        <v>23.9086</v>
      </c>
      <c r="F479" s="181" t="n">
        <v>571.6207000000001</v>
      </c>
      <c r="G479" s="181" t="n">
        <v>219024</v>
      </c>
      <c r="H479" s="181" t="inlineStr"/>
      <c r="I479" s="181" t="inlineStr"/>
    </row>
    <row r="480" ht="15" customHeight="1" s="28">
      <c r="A480" s="182" t="n">
        <v>470</v>
      </c>
      <c r="B480" s="182" t="n">
        <v>469</v>
      </c>
      <c r="C480" s="182" t="n">
        <v>4706.47</v>
      </c>
      <c r="D480" s="182" t="n">
        <v>4691.8638</v>
      </c>
      <c r="E480" s="182" t="n">
        <v>14.6062</v>
      </c>
      <c r="F480" s="182" t="n">
        <v>213.3408</v>
      </c>
      <c r="G480" s="182" t="n">
        <v>219961</v>
      </c>
      <c r="H480" s="182" t="inlineStr"/>
      <c r="I480" s="182" t="inlineStr"/>
    </row>
    <row r="481" ht="15" customHeight="1" s="28">
      <c r="A481" s="181" t="n">
        <v>471</v>
      </c>
      <c r="B481" s="181" t="n">
        <v>470</v>
      </c>
      <c r="C481" s="181" t="n">
        <v>4677.41</v>
      </c>
      <c r="D481" s="181" t="n">
        <v>4691.5962</v>
      </c>
      <c r="E481" s="181" t="n">
        <v>-14.1862</v>
      </c>
      <c r="F481" s="181" t="n">
        <v>201.2486</v>
      </c>
      <c r="G481" s="181" t="n">
        <v>220900</v>
      </c>
      <c r="H481" s="181" t="inlineStr"/>
      <c r="I481" s="181" t="inlineStr"/>
    </row>
    <row r="482" ht="15" customHeight="1" s="28">
      <c r="A482" s="182" t="n">
        <v>472</v>
      </c>
      <c r="B482" s="182" t="n">
        <v>471</v>
      </c>
      <c r="C482" s="182" t="n">
        <v>4709.41</v>
      </c>
      <c r="D482" s="182" t="n">
        <v>4691.3286</v>
      </c>
      <c r="E482" s="182" t="n">
        <v>18.0814</v>
      </c>
      <c r="F482" s="182" t="n">
        <v>326.937</v>
      </c>
      <c r="G482" s="182" t="n">
        <v>221841</v>
      </c>
      <c r="H482" s="182" t="inlineStr"/>
      <c r="I482" s="182" t="inlineStr"/>
    </row>
    <row r="483" ht="15" customHeight="1" s="28">
      <c r="A483" s="181" t="n">
        <v>473</v>
      </c>
      <c r="B483" s="181" t="n">
        <v>472</v>
      </c>
      <c r="C483" s="181" t="n">
        <v>4713.84</v>
      </c>
      <c r="D483" s="181" t="n">
        <v>4691.061</v>
      </c>
      <c r="E483" s="181" t="n">
        <v>22.779</v>
      </c>
      <c r="F483" s="181" t="n">
        <v>518.8828</v>
      </c>
      <c r="G483" s="181" t="n">
        <v>222784</v>
      </c>
      <c r="H483" s="181" t="inlineStr"/>
      <c r="I483" s="181" t="inlineStr"/>
    </row>
    <row r="484" ht="15" customHeight="1" s="28">
      <c r="A484" s="182" t="n">
        <v>474</v>
      </c>
      <c r="B484" s="182" t="n">
        <v>473</v>
      </c>
      <c r="C484" s="182" t="n">
        <v>4716.58</v>
      </c>
      <c r="D484" s="182" t="n">
        <v>4690.7934</v>
      </c>
      <c r="E484" s="182" t="n">
        <v>25.7866</v>
      </c>
      <c r="F484" s="182" t="n">
        <v>664.9493</v>
      </c>
      <c r="G484" s="182" t="n">
        <v>223729</v>
      </c>
      <c r="H484" s="182" t="inlineStr"/>
      <c r="I484" s="182" t="inlineStr"/>
    </row>
    <row r="485" ht="15" customHeight="1" s="28">
      <c r="A485" s="181" t="n">
        <v>475</v>
      </c>
      <c r="B485" s="181" t="n">
        <v>474</v>
      </c>
      <c r="C485" s="181" t="n">
        <v>4711.31</v>
      </c>
      <c r="D485" s="181" t="n">
        <v>4690.5258</v>
      </c>
      <c r="E485" s="181" t="n">
        <v>20.7842</v>
      </c>
      <c r="F485" s="181" t="n">
        <v>431.9834</v>
      </c>
      <c r="G485" s="181" t="n">
        <v>224676</v>
      </c>
      <c r="H485" s="181" t="inlineStr"/>
      <c r="I485" s="181" t="inlineStr"/>
    </row>
    <row r="486" ht="15" customHeight="1" s="28">
      <c r="A486" s="182" t="n">
        <v>476</v>
      </c>
      <c r="B486" s="182" t="n">
        <v>475</v>
      </c>
      <c r="C486" s="182" t="n">
        <v>4700.9</v>
      </c>
      <c r="D486" s="182" t="n">
        <v>4690.2582</v>
      </c>
      <c r="E486" s="182" t="n">
        <v>10.6418</v>
      </c>
      <c r="F486" s="182" t="n">
        <v>113.2483</v>
      </c>
      <c r="G486" s="182" t="n">
        <v>225625</v>
      </c>
      <c r="H486" s="182" t="inlineStr"/>
      <c r="I486" s="182" t="inlineStr"/>
    </row>
    <row r="487" ht="15" customHeight="1" s="28">
      <c r="A487" s="181" t="n">
        <v>477</v>
      </c>
      <c r="B487" s="181" t="n">
        <v>476</v>
      </c>
      <c r="C487" s="181" t="n">
        <v>4696.41</v>
      </c>
      <c r="D487" s="181" t="n">
        <v>4689.9906</v>
      </c>
      <c r="E487" s="181" t="n">
        <v>6.4194</v>
      </c>
      <c r="F487" s="181" t="n">
        <v>41.209</v>
      </c>
      <c r="G487" s="181" t="n">
        <v>226576</v>
      </c>
      <c r="H487" s="181" t="inlineStr"/>
      <c r="I487" s="181" t="inlineStr"/>
    </row>
    <row r="488" ht="15" customHeight="1" s="28">
      <c r="A488" s="182" t="n">
        <v>478</v>
      </c>
      <c r="B488" s="182" t="n">
        <v>477</v>
      </c>
      <c r="C488" s="182" t="n">
        <v>4700.16</v>
      </c>
      <c r="D488" s="182" t="n">
        <v>4689.723</v>
      </c>
      <c r="E488" s="182" t="n">
        <v>10.437</v>
      </c>
      <c r="F488" s="182" t="n">
        <v>108.9314</v>
      </c>
      <c r="G488" s="182" t="n">
        <v>227529</v>
      </c>
      <c r="H488" s="182" t="inlineStr"/>
      <c r="I488" s="182" t="inlineStr"/>
    </row>
    <row r="489" ht="15" customHeight="1" s="28">
      <c r="A489" s="181" t="n">
        <v>479</v>
      </c>
      <c r="B489" s="181" t="n">
        <v>478</v>
      </c>
      <c r="C489" s="181" t="n">
        <v>4692.49</v>
      </c>
      <c r="D489" s="181" t="n">
        <v>4689.4554</v>
      </c>
      <c r="E489" s="181" t="n">
        <v>3.0346</v>
      </c>
      <c r="F489" s="181" t="n">
        <v>9.209</v>
      </c>
      <c r="G489" s="181" t="n">
        <v>228484</v>
      </c>
      <c r="H489" s="181" t="inlineStr"/>
      <c r="I489" s="181" t="inlineStr"/>
    </row>
    <row r="490" ht="15" customHeight="1" s="28">
      <c r="A490" s="182" t="n">
        <v>480</v>
      </c>
      <c r="B490" s="182" t="n">
        <v>479</v>
      </c>
      <c r="C490" s="182" t="n">
        <v>4696.1</v>
      </c>
      <c r="D490" s="182" t="n">
        <v>4689.1878</v>
      </c>
      <c r="E490" s="182" t="n">
        <v>6.9122</v>
      </c>
      <c r="F490" s="182" t="n">
        <v>47.7789</v>
      </c>
      <c r="G490" s="182" t="n">
        <v>229441</v>
      </c>
      <c r="H490" s="182" t="inlineStr"/>
      <c r="I490" s="182" t="inlineStr"/>
    </row>
    <row r="491" ht="15" customHeight="1" s="28">
      <c r="A491" s="181" t="n">
        <v>481</v>
      </c>
      <c r="B491" s="181" t="n">
        <v>480</v>
      </c>
      <c r="C491" s="181" t="n">
        <v>4690.84</v>
      </c>
      <c r="D491" s="181" t="n">
        <v>4688.9202</v>
      </c>
      <c r="E491" s="181" t="n">
        <v>1.9198</v>
      </c>
      <c r="F491" s="181" t="n">
        <v>3.6858</v>
      </c>
      <c r="G491" s="181" t="n">
        <v>230400</v>
      </c>
      <c r="H491" s="181" t="inlineStr"/>
      <c r="I491" s="181" t="inlineStr"/>
    </row>
    <row r="492" ht="15" customHeight="1" s="28">
      <c r="A492" s="182" t="n">
        <v>482</v>
      </c>
      <c r="B492" s="182" t="n">
        <v>481</v>
      </c>
      <c r="C492" s="182" t="n">
        <v>4689.41</v>
      </c>
      <c r="D492" s="182" t="n">
        <v>4688.6526</v>
      </c>
      <c r="E492" s="182" t="n">
        <v>0.7574</v>
      </c>
      <c r="F492" s="182" t="n">
        <v>0.5737</v>
      </c>
      <c r="G492" s="182" t="n">
        <v>231361</v>
      </c>
      <c r="H492" s="182" t="inlineStr"/>
      <c r="I492" s="182" t="inlineStr"/>
    </row>
    <row r="493" ht="15" customHeight="1" s="28">
      <c r="A493" s="181" t="n">
        <v>483</v>
      </c>
      <c r="B493" s="181" t="n">
        <v>482</v>
      </c>
      <c r="C493" s="181" t="n">
        <v>4691.39</v>
      </c>
      <c r="D493" s="181" t="n">
        <v>4688.385</v>
      </c>
      <c r="E493" s="181" t="n">
        <v>3.005</v>
      </c>
      <c r="F493" s="181" t="n">
        <v>9.0303</v>
      </c>
      <c r="G493" s="181" t="n">
        <v>232324</v>
      </c>
      <c r="H493" s="181" t="inlineStr"/>
      <c r="I493" s="181" t="inlineStr"/>
    </row>
    <row r="494" ht="15" customHeight="1" s="28">
      <c r="A494" s="182" t="n">
        <v>484</v>
      </c>
      <c r="B494" s="182" t="n">
        <v>483</v>
      </c>
      <c r="C494" s="182" t="n">
        <v>4694.41</v>
      </c>
      <c r="D494" s="182" t="n">
        <v>4688.1174</v>
      </c>
      <c r="E494" s="182" t="n">
        <v>6.2926</v>
      </c>
      <c r="F494" s="182" t="n">
        <v>39.5974</v>
      </c>
      <c r="G494" s="182" t="n">
        <v>233289</v>
      </c>
      <c r="H494" s="182" t="inlineStr"/>
      <c r="I494" s="182" t="inlineStr"/>
    </row>
    <row r="495" ht="15" customHeight="1" s="28">
      <c r="A495" s="181" t="n">
        <v>485</v>
      </c>
      <c r="B495" s="181" t="n">
        <v>484</v>
      </c>
      <c r="C495" s="181" t="n">
        <v>4697.43</v>
      </c>
      <c r="D495" s="181" t="n">
        <v>4687.8498</v>
      </c>
      <c r="E495" s="181" t="n">
        <v>9.5802</v>
      </c>
      <c r="F495" s="181" t="n">
        <v>91.7812</v>
      </c>
      <c r="G495" s="181" t="n">
        <v>234256</v>
      </c>
      <c r="H495" s="181" t="inlineStr"/>
      <c r="I495" s="181" t="inlineStr"/>
    </row>
    <row r="496" ht="15" customHeight="1" s="28">
      <c r="A496" s="182" t="n">
        <v>486</v>
      </c>
      <c r="B496" s="182" t="n">
        <v>485</v>
      </c>
      <c r="C496" s="182" t="n">
        <v>4692.9</v>
      </c>
      <c r="D496" s="182" t="n">
        <v>4687.5821</v>
      </c>
      <c r="E496" s="182" t="n">
        <v>5.3179</v>
      </c>
      <c r="F496" s="182" t="n">
        <v>28.2796</v>
      </c>
      <c r="G496" s="182" t="n">
        <v>235225</v>
      </c>
      <c r="H496" s="182" t="inlineStr"/>
      <c r="I496" s="182" t="inlineStr"/>
    </row>
    <row r="497" ht="15" customHeight="1" s="28">
      <c r="A497" s="181" t="n">
        <v>487</v>
      </c>
      <c r="B497" s="181" t="n">
        <v>486</v>
      </c>
      <c r="C497" s="181" t="n">
        <v>4693.76</v>
      </c>
      <c r="D497" s="181" t="n">
        <v>4687.3145</v>
      </c>
      <c r="E497" s="181" t="n">
        <v>6.4455</v>
      </c>
      <c r="F497" s="181" t="n">
        <v>41.544</v>
      </c>
      <c r="G497" s="181" t="n">
        <v>236196</v>
      </c>
      <c r="H497" s="181" t="inlineStr"/>
      <c r="I497" s="181" t="inlineStr"/>
    </row>
    <row r="498" ht="15" customHeight="1" s="28">
      <c r="A498" s="182" t="n">
        <v>488</v>
      </c>
      <c r="B498" s="182" t="n">
        <v>487</v>
      </c>
      <c r="C498" s="182" t="n">
        <v>4693.35</v>
      </c>
      <c r="D498" s="182" t="n">
        <v>4687.0469</v>
      </c>
      <c r="E498" s="182" t="n">
        <v>6.3031</v>
      </c>
      <c r="F498" s="182" t="n">
        <v>39.7286</v>
      </c>
      <c r="G498" s="182" t="n">
        <v>237169</v>
      </c>
      <c r="H498" s="182" t="inlineStr"/>
      <c r="I498" s="182" t="inlineStr"/>
    </row>
    <row r="499" ht="15" customHeight="1" s="28">
      <c r="A499" s="181" t="n">
        <v>489</v>
      </c>
      <c r="B499" s="181" t="n">
        <v>488</v>
      </c>
      <c r="C499" s="181" t="n">
        <v>4689.74</v>
      </c>
      <c r="D499" s="181" t="n">
        <v>4686.7793</v>
      </c>
      <c r="E499" s="181" t="n">
        <v>2.9607</v>
      </c>
      <c r="F499" s="181" t="n">
        <v>8.765599999999999</v>
      </c>
      <c r="G499" s="181" t="n">
        <v>238144</v>
      </c>
      <c r="H499" s="181" t="inlineStr"/>
      <c r="I499" s="181" t="inlineStr"/>
    </row>
    <row r="500" ht="15" customHeight="1" s="28">
      <c r="A500" s="182" t="n">
        <v>490</v>
      </c>
      <c r="B500" s="182" t="n">
        <v>489</v>
      </c>
      <c r="C500" s="182" t="n">
        <v>4694.54</v>
      </c>
      <c r="D500" s="182" t="n">
        <v>4686.5117</v>
      </c>
      <c r="E500" s="182" t="n">
        <v>8.0283</v>
      </c>
      <c r="F500" s="182" t="n">
        <v>64.45310000000001</v>
      </c>
      <c r="G500" s="182" t="n">
        <v>239121</v>
      </c>
      <c r="H500" s="182" t="inlineStr"/>
      <c r="I500" s="182" t="inlineStr"/>
    </row>
    <row r="501" ht="15" customHeight="1" s="28">
      <c r="A501" s="181" t="n">
        <v>491</v>
      </c>
      <c r="B501" s="181" t="n">
        <v>490</v>
      </c>
      <c r="C501" s="181" t="n">
        <v>4697.37</v>
      </c>
      <c r="D501" s="181" t="n">
        <v>4686.2441</v>
      </c>
      <c r="E501" s="181" t="n">
        <v>11.1259</v>
      </c>
      <c r="F501" s="181" t="n">
        <v>123.7852</v>
      </c>
      <c r="G501" s="181" t="n">
        <v>240100</v>
      </c>
      <c r="H501" s="181" t="inlineStr"/>
      <c r="I501" s="181" t="inlineStr"/>
    </row>
    <row r="502" ht="15" customHeight="1" s="28">
      <c r="A502" s="182" t="n">
        <v>492</v>
      </c>
      <c r="B502" s="182" t="n">
        <v>491</v>
      </c>
      <c r="C502" s="182" t="n">
        <v>4695.41</v>
      </c>
      <c r="D502" s="182" t="n">
        <v>4685.9765</v>
      </c>
      <c r="E502" s="182" t="n">
        <v>9.4335</v>
      </c>
      <c r="F502" s="182" t="n">
        <v>88.9905</v>
      </c>
      <c r="G502" s="182" t="n">
        <v>241081</v>
      </c>
      <c r="H502" s="182" t="inlineStr"/>
      <c r="I502" s="182" t="inlineStr"/>
    </row>
    <row r="503" ht="15" customHeight="1" s="28">
      <c r="A503" s="181" t="n">
        <v>493</v>
      </c>
      <c r="B503" s="181" t="n">
        <v>492</v>
      </c>
      <c r="C503" s="181" t="n">
        <v>4698.34</v>
      </c>
      <c r="D503" s="181" t="n">
        <v>4685.7089</v>
      </c>
      <c r="E503" s="181" t="n">
        <v>12.6311</v>
      </c>
      <c r="F503" s="181" t="n">
        <v>159.5442</v>
      </c>
      <c r="G503" s="181" t="n">
        <v>242064</v>
      </c>
      <c r="H503" s="181" t="inlineStr"/>
      <c r="I503" s="181" t="inlineStr"/>
    </row>
    <row r="504" ht="15" customHeight="1" s="28">
      <c r="A504" s="182" t="n">
        <v>494</v>
      </c>
      <c r="B504" s="182" t="n">
        <v>493</v>
      </c>
      <c r="C504" s="182" t="n">
        <v>4705.83</v>
      </c>
      <c r="D504" s="182" t="n">
        <v>4685.4413</v>
      </c>
      <c r="E504" s="182" t="n">
        <v>20.3887</v>
      </c>
      <c r="F504" s="182" t="n">
        <v>415.6987</v>
      </c>
      <c r="G504" s="182" t="n">
        <v>243049</v>
      </c>
      <c r="H504" s="182" t="inlineStr"/>
      <c r="I504" s="182" t="inlineStr"/>
    </row>
    <row r="505" ht="15" customHeight="1" s="28">
      <c r="A505" s="181" t="n">
        <v>495</v>
      </c>
      <c r="B505" s="181" t="n">
        <v>494</v>
      </c>
      <c r="C505" s="181" t="n">
        <v>4701.8</v>
      </c>
      <c r="D505" s="181" t="n">
        <v>4685.1737</v>
      </c>
      <c r="E505" s="181" t="n">
        <v>16.6263</v>
      </c>
      <c r="F505" s="181" t="n">
        <v>276.4335</v>
      </c>
      <c r="G505" s="181" t="n">
        <v>244036</v>
      </c>
      <c r="H505" s="181" t="inlineStr"/>
      <c r="I505" s="181" t="inlineStr"/>
    </row>
    <row r="506" ht="15" customHeight="1" s="28">
      <c r="A506" s="182" t="n">
        <v>496</v>
      </c>
      <c r="B506" s="182" t="n">
        <v>495</v>
      </c>
      <c r="C506" s="182" t="n">
        <v>4704.71</v>
      </c>
      <c r="D506" s="182" t="n">
        <v>4684.9061</v>
      </c>
      <c r="E506" s="182" t="n">
        <v>19.8039</v>
      </c>
      <c r="F506" s="182" t="n">
        <v>392.1945</v>
      </c>
      <c r="G506" s="182" t="n">
        <v>245025</v>
      </c>
      <c r="H506" s="182" t="inlineStr"/>
      <c r="I506" s="182" t="inlineStr"/>
    </row>
    <row r="507" ht="15" customHeight="1" s="28">
      <c r="A507" s="181" t="n">
        <v>497</v>
      </c>
      <c r="B507" s="181" t="n">
        <v>496</v>
      </c>
      <c r="C507" s="181" t="n">
        <v>4709.47</v>
      </c>
      <c r="D507" s="181" t="n">
        <v>4684.6385</v>
      </c>
      <c r="E507" s="181" t="n">
        <v>24.8315</v>
      </c>
      <c r="F507" s="181" t="n">
        <v>616.6034</v>
      </c>
      <c r="G507" s="181" t="n">
        <v>246016</v>
      </c>
      <c r="H507" s="181" t="inlineStr"/>
      <c r="I507" s="181" t="inlineStr"/>
    </row>
    <row r="508" ht="15" customHeight="1" s="28">
      <c r="A508" s="182" t="n">
        <v>498</v>
      </c>
      <c r="B508" s="182" t="n">
        <v>497</v>
      </c>
      <c r="C508" s="182" t="n">
        <v>4698.41</v>
      </c>
      <c r="D508" s="182" t="n">
        <v>4684.3709</v>
      </c>
      <c r="E508" s="182" t="n">
        <v>14.0391</v>
      </c>
      <c r="F508" s="182" t="n">
        <v>197.0966</v>
      </c>
      <c r="G508" s="182" t="n">
        <v>247009</v>
      </c>
      <c r="H508" s="182" t="inlineStr"/>
      <c r="I508" s="182" t="inlineStr"/>
    </row>
    <row r="509" ht="15" customHeight="1" s="28">
      <c r="A509" s="181" t="n">
        <v>499</v>
      </c>
      <c r="B509" s="181" t="n">
        <v>498</v>
      </c>
      <c r="C509" s="181" t="n">
        <v>4690.81</v>
      </c>
      <c r="D509" s="181" t="n">
        <v>4684.1033</v>
      </c>
      <c r="E509" s="181" t="n">
        <v>6.7067</v>
      </c>
      <c r="F509" s="181" t="n">
        <v>44.98</v>
      </c>
      <c r="G509" s="181" t="n">
        <v>248004</v>
      </c>
      <c r="H509" s="181" t="inlineStr"/>
      <c r="I509" s="181" t="inlineStr"/>
    </row>
    <row r="510" ht="15" customHeight="1" s="28">
      <c r="A510" s="182" t="n">
        <v>500</v>
      </c>
      <c r="B510" s="182" t="n">
        <v>499</v>
      </c>
      <c r="C510" s="182" t="n">
        <v>4699.09</v>
      </c>
      <c r="D510" s="182" t="n">
        <v>4683.8357</v>
      </c>
      <c r="E510" s="182" t="n">
        <v>15.2543</v>
      </c>
      <c r="F510" s="182" t="n">
        <v>232.694</v>
      </c>
      <c r="G510" s="182" t="n">
        <v>249001</v>
      </c>
      <c r="H510" s="182" t="inlineStr"/>
      <c r="I510" s="182" t="inlineStr"/>
    </row>
    <row r="511" ht="15" customHeight="1" s="28">
      <c r="A511" s="181" t="n">
        <v>501</v>
      </c>
      <c r="B511" s="181" t="n">
        <v>500</v>
      </c>
      <c r="C511" s="181" t="n">
        <v>4693.29</v>
      </c>
      <c r="D511" s="181" t="n">
        <v>4683.5681</v>
      </c>
      <c r="E511" s="181" t="n">
        <v>9.7219</v>
      </c>
      <c r="F511" s="181" t="n">
        <v>94.5157</v>
      </c>
      <c r="G511" s="181" t="n">
        <v>250000</v>
      </c>
      <c r="H511" s="181" t="inlineStr"/>
      <c r="I511" s="181" t="inlineStr"/>
    </row>
    <row r="512" ht="15" customHeight="1" s="28">
      <c r="A512" s="182" t="n">
        <v>502</v>
      </c>
      <c r="B512" s="182" t="n">
        <v>501</v>
      </c>
      <c r="C512" s="182" t="n">
        <v>4684.14</v>
      </c>
      <c r="D512" s="182" t="n">
        <v>4683.3005</v>
      </c>
      <c r="E512" s="182" t="n">
        <v>0.8395</v>
      </c>
      <c r="F512" s="182" t="n">
        <v>0.7048</v>
      </c>
      <c r="G512" s="182" t="n">
        <v>251001</v>
      </c>
      <c r="H512" s="182" t="inlineStr"/>
      <c r="I512" s="182" t="inlineStr"/>
    </row>
    <row r="513" ht="15" customHeight="1" s="28">
      <c r="A513" s="181" t="n">
        <v>503</v>
      </c>
      <c r="B513" s="181" t="n">
        <v>502</v>
      </c>
      <c r="C513" s="181" t="n">
        <v>4683.54</v>
      </c>
      <c r="D513" s="181" t="n">
        <v>4683.0329</v>
      </c>
      <c r="E513" s="181" t="n">
        <v>0.5071</v>
      </c>
      <c r="F513" s="181" t="n">
        <v>0.2572</v>
      </c>
      <c r="G513" s="181" t="n">
        <v>252004</v>
      </c>
      <c r="H513" s="181" t="inlineStr"/>
      <c r="I513" s="181" t="inlineStr"/>
    </row>
    <row r="514" ht="15" customHeight="1" s="28">
      <c r="A514" s="182" t="n">
        <v>504</v>
      </c>
      <c r="B514" s="182" t="n">
        <v>503</v>
      </c>
      <c r="C514" s="182" t="n">
        <v>4676.83</v>
      </c>
      <c r="D514" s="182" t="n">
        <v>4682.7653</v>
      </c>
      <c r="E514" s="182" t="n">
        <v>-5.9353</v>
      </c>
      <c r="F514" s="182" t="n">
        <v>35.2274</v>
      </c>
      <c r="G514" s="182" t="n">
        <v>253009</v>
      </c>
      <c r="H514" s="182" t="inlineStr"/>
      <c r="I514" s="182" t="inlineStr"/>
    </row>
    <row r="515" ht="15" customHeight="1" s="28">
      <c r="A515" s="181" t="n">
        <v>505</v>
      </c>
      <c r="B515" s="181" t="n">
        <v>504</v>
      </c>
      <c r="C515" s="181" t="n">
        <v>4670.5</v>
      </c>
      <c r="D515" s="181" t="n">
        <v>4682.4977</v>
      </c>
      <c r="E515" s="181" t="n">
        <v>-11.9977</v>
      </c>
      <c r="F515" s="181" t="n">
        <v>143.9441</v>
      </c>
      <c r="G515" s="181" t="n">
        <v>254016</v>
      </c>
      <c r="H515" s="181" t="inlineStr"/>
      <c r="I515" s="181" t="inlineStr"/>
    </row>
    <row r="516" ht="15" customHeight="1" s="28">
      <c r="A516" s="182" t="n">
        <v>506</v>
      </c>
      <c r="B516" s="182" t="n">
        <v>505</v>
      </c>
      <c r="C516" s="182" t="n">
        <v>4674.62</v>
      </c>
      <c r="D516" s="182" t="n">
        <v>4682.2301</v>
      </c>
      <c r="E516" s="182" t="n">
        <v>-7.6101</v>
      </c>
      <c r="F516" s="182" t="n">
        <v>57.913</v>
      </c>
      <c r="G516" s="182" t="n">
        <v>255025</v>
      </c>
      <c r="H516" s="182" t="inlineStr"/>
      <c r="I516" s="182" t="inlineStr"/>
    </row>
    <row r="517" ht="15" customHeight="1" s="28">
      <c r="A517" s="181" t="n">
        <v>507</v>
      </c>
      <c r="B517" s="181" t="n">
        <v>506</v>
      </c>
      <c r="C517" s="181" t="n">
        <v>4675.32</v>
      </c>
      <c r="D517" s="181" t="n">
        <v>4681.9625</v>
      </c>
      <c r="E517" s="181" t="n">
        <v>-6.6425</v>
      </c>
      <c r="F517" s="181" t="n">
        <v>44.1223</v>
      </c>
      <c r="G517" s="181" t="n">
        <v>256036</v>
      </c>
      <c r="H517" s="181" t="inlineStr"/>
      <c r="I517" s="181" t="inlineStr"/>
    </row>
    <row r="518" ht="15" customHeight="1" s="28">
      <c r="A518" s="182" t="n">
        <v>508</v>
      </c>
      <c r="B518" s="182" t="n">
        <v>507</v>
      </c>
      <c r="C518" s="182" t="n">
        <v>4672.16</v>
      </c>
      <c r="D518" s="182" t="n">
        <v>4681.6948</v>
      </c>
      <c r="E518" s="182" t="n">
        <v>-9.5349</v>
      </c>
      <c r="F518" s="182" t="n">
        <v>90.9134</v>
      </c>
      <c r="G518" s="182" t="n">
        <v>257049</v>
      </c>
      <c r="H518" s="182" t="inlineStr"/>
      <c r="I518" s="182" t="inlineStr"/>
    </row>
    <row r="519" ht="15" customHeight="1" s="28">
      <c r="A519" s="181" t="n">
        <v>509</v>
      </c>
      <c r="B519" s="181" t="n">
        <v>508</v>
      </c>
      <c r="C519" s="181" t="n">
        <v>4670.01</v>
      </c>
      <c r="D519" s="181" t="n">
        <v>4681.4272</v>
      </c>
      <c r="E519" s="181" t="n">
        <v>-11.4172</v>
      </c>
      <c r="F519" s="181" t="n">
        <v>130.3536</v>
      </c>
      <c r="G519" s="181" t="n">
        <v>258064</v>
      </c>
      <c r="H519" s="181" t="inlineStr"/>
      <c r="I519" s="181" t="inlineStr"/>
    </row>
    <row r="520" ht="15" customHeight="1" s="28">
      <c r="A520" s="182" t="n">
        <v>510</v>
      </c>
      <c r="B520" s="182" t="n">
        <v>509</v>
      </c>
      <c r="C520" s="182" t="n">
        <v>4659.65</v>
      </c>
      <c r="D520" s="182" t="n">
        <v>4681.1596</v>
      </c>
      <c r="E520" s="182" t="n">
        <v>-21.5096</v>
      </c>
      <c r="F520" s="182" t="n">
        <v>462.665</v>
      </c>
      <c r="G520" s="182" t="n">
        <v>259081</v>
      </c>
      <c r="H520" s="182" t="inlineStr"/>
      <c r="I520" s="182" t="inlineStr"/>
    </row>
    <row r="521" ht="15" customHeight="1" s="28">
      <c r="A521" s="181" t="n">
        <v>511</v>
      </c>
      <c r="B521" s="181" t="n">
        <v>510</v>
      </c>
      <c r="C521" s="181" t="n">
        <v>4668.58</v>
      </c>
      <c r="D521" s="181" t="n">
        <v>4680.892</v>
      </c>
      <c r="E521" s="181" t="n">
        <v>-12.312</v>
      </c>
      <c r="F521" s="181" t="n">
        <v>151.5863</v>
      </c>
      <c r="G521" s="181" t="n">
        <v>260100</v>
      </c>
      <c r="H521" s="181" t="inlineStr"/>
      <c r="I521" s="181" t="inlineStr"/>
    </row>
    <row r="522" ht="15" customHeight="1" s="28">
      <c r="A522" s="182" t="n">
        <v>512</v>
      </c>
      <c r="B522" s="182" t="n">
        <v>511</v>
      </c>
      <c r="C522" s="182" t="n">
        <v>4674.53</v>
      </c>
      <c r="D522" s="182" t="n">
        <v>4680.6244</v>
      </c>
      <c r="E522" s="182" t="n">
        <v>-6.0944</v>
      </c>
      <c r="F522" s="182" t="n">
        <v>37.1422</v>
      </c>
      <c r="G522" s="182" t="n">
        <v>261121</v>
      </c>
      <c r="H522" s="182" t="inlineStr"/>
      <c r="I522" s="182" t="inlineStr"/>
    </row>
    <row r="523" ht="15" customHeight="1" s="28">
      <c r="A523" s="181" t="n">
        <v>513</v>
      </c>
      <c r="B523" s="181" t="n">
        <v>512</v>
      </c>
      <c r="C523" s="181" t="n">
        <v>4673.44</v>
      </c>
      <c r="D523" s="181" t="n">
        <v>4680.3568</v>
      </c>
      <c r="E523" s="181" t="n">
        <v>-6.9168</v>
      </c>
      <c r="F523" s="181" t="n">
        <v>47.8425</v>
      </c>
      <c r="G523" s="181" t="n">
        <v>262144</v>
      </c>
      <c r="H523" s="181" t="inlineStr"/>
      <c r="I523" s="181" t="inlineStr"/>
    </row>
    <row r="524" ht="15" customHeight="1" s="28">
      <c r="A524" s="182" t="n">
        <v>514</v>
      </c>
      <c r="B524" s="182" t="n">
        <v>513</v>
      </c>
      <c r="C524" s="182" t="n">
        <v>4676.49</v>
      </c>
      <c r="D524" s="182" t="n">
        <v>4680.0892</v>
      </c>
      <c r="E524" s="182" t="n">
        <v>-3.5992</v>
      </c>
      <c r="F524" s="182" t="n">
        <v>12.9545</v>
      </c>
      <c r="G524" s="182" t="n">
        <v>263169</v>
      </c>
      <c r="H524" s="182" t="inlineStr"/>
      <c r="I524" s="182" t="inlineStr"/>
    </row>
    <row r="525" ht="15" customHeight="1" s="28">
      <c r="A525" s="181" t="n">
        <v>515</v>
      </c>
      <c r="B525" s="181" t="n">
        <v>514</v>
      </c>
      <c r="C525" s="181" t="n">
        <v>4682.65</v>
      </c>
      <c r="D525" s="181" t="n">
        <v>4679.8216</v>
      </c>
      <c r="E525" s="181" t="n">
        <v>2.8284</v>
      </c>
      <c r="F525" s="181" t="n">
        <v>7.9997</v>
      </c>
      <c r="G525" s="181" t="n">
        <v>264196</v>
      </c>
      <c r="H525" s="181" t="inlineStr"/>
      <c r="I525" s="181" t="inlineStr"/>
    </row>
    <row r="526" ht="15" customHeight="1" s="28">
      <c r="A526" s="182" t="n">
        <v>516</v>
      </c>
      <c r="B526" s="182" t="n">
        <v>515</v>
      </c>
      <c r="C526" s="182" t="n">
        <v>4686.43</v>
      </c>
      <c r="D526" s="182" t="n">
        <v>4679.554</v>
      </c>
      <c r="E526" s="182" t="n">
        <v>6.876</v>
      </c>
      <c r="F526" s="182" t="n">
        <v>47.2791</v>
      </c>
      <c r="G526" s="182" t="n">
        <v>265225</v>
      </c>
      <c r="H526" s="182" t="inlineStr"/>
      <c r="I526" s="182" t="inlineStr"/>
    </row>
    <row r="527" ht="15" customHeight="1" s="28">
      <c r="A527" s="181" t="n">
        <v>517</v>
      </c>
      <c r="B527" s="181" t="n">
        <v>516</v>
      </c>
      <c r="C527" s="181" t="n">
        <v>4681.83</v>
      </c>
      <c r="D527" s="181" t="n">
        <v>4679.2864</v>
      </c>
      <c r="E527" s="181" t="n">
        <v>2.5436</v>
      </c>
      <c r="F527" s="181" t="n">
        <v>6.4698</v>
      </c>
      <c r="G527" s="181" t="n">
        <v>266256</v>
      </c>
      <c r="H527" s="181" t="inlineStr"/>
      <c r="I527" s="181" t="inlineStr"/>
    </row>
    <row r="528" ht="15" customHeight="1" s="28">
      <c r="A528" s="182" t="n">
        <v>518</v>
      </c>
      <c r="B528" s="182" t="n">
        <v>517</v>
      </c>
      <c r="C528" s="182" t="n">
        <v>4671.45</v>
      </c>
      <c r="D528" s="182" t="n">
        <v>4679.0188</v>
      </c>
      <c r="E528" s="182" t="n">
        <v>-7.5688</v>
      </c>
      <c r="F528" s="182" t="n">
        <v>57.2869</v>
      </c>
      <c r="G528" s="182" t="n">
        <v>267289</v>
      </c>
      <c r="H528" s="182" t="inlineStr"/>
      <c r="I528" s="182" t="inlineStr"/>
    </row>
    <row r="529" ht="15" customHeight="1" s="28">
      <c r="A529" s="181" t="n">
        <v>519</v>
      </c>
      <c r="B529" s="181" t="n">
        <v>518</v>
      </c>
      <c r="C529" s="181" t="n">
        <v>4673.71</v>
      </c>
      <c r="D529" s="181" t="n">
        <v>4678.7512</v>
      </c>
      <c r="E529" s="181" t="n">
        <v>-5.0412</v>
      </c>
      <c r="F529" s="181" t="n">
        <v>25.4138</v>
      </c>
      <c r="G529" s="181" t="n">
        <v>268324</v>
      </c>
      <c r="H529" s="181" t="inlineStr"/>
      <c r="I529" s="181" t="inlineStr"/>
    </row>
    <row r="530" ht="15" customHeight="1" s="28">
      <c r="A530" s="182" t="n">
        <v>520</v>
      </c>
      <c r="B530" s="182" t="n">
        <v>519</v>
      </c>
      <c r="C530" s="182" t="n">
        <v>4671.98</v>
      </c>
      <c r="D530" s="182" t="n">
        <v>4678.4836</v>
      </c>
      <c r="E530" s="182" t="n">
        <v>-6.5036</v>
      </c>
      <c r="F530" s="182" t="n">
        <v>42.2968</v>
      </c>
      <c r="G530" s="182" t="n">
        <v>269361</v>
      </c>
      <c r="H530" s="182" t="inlineStr"/>
      <c r="I530" s="182" t="inlineStr"/>
    </row>
    <row r="531" ht="15" customHeight="1" s="28">
      <c r="A531" s="181" t="n">
        <v>521</v>
      </c>
      <c r="B531" s="181" t="n">
        <v>520</v>
      </c>
      <c r="C531" s="181" t="n">
        <v>4680.61</v>
      </c>
      <c r="D531" s="181" t="n">
        <v>4678.216</v>
      </c>
      <c r="E531" s="181" t="n">
        <v>2.394</v>
      </c>
      <c r="F531" s="181" t="n">
        <v>5.7312</v>
      </c>
      <c r="G531" s="181" t="n">
        <v>270400</v>
      </c>
      <c r="H531" s="181" t="inlineStr"/>
      <c r="I531" s="181" t="inlineStr"/>
    </row>
    <row r="532" ht="15" customHeight="1" s="28">
      <c r="A532" s="182" t="n">
        <v>522</v>
      </c>
      <c r="B532" s="182" t="n">
        <v>521</v>
      </c>
      <c r="C532" s="182" t="n">
        <v>4684.49</v>
      </c>
      <c r="D532" s="182" t="n">
        <v>4677.9484</v>
      </c>
      <c r="E532" s="182" t="n">
        <v>6.5416</v>
      </c>
      <c r="F532" s="182" t="n">
        <v>42.7925</v>
      </c>
      <c r="G532" s="182" t="n">
        <v>271441</v>
      </c>
      <c r="H532" s="182" t="inlineStr"/>
      <c r="I532" s="182" t="inlineStr"/>
    </row>
    <row r="533" ht="15" customHeight="1" s="28">
      <c r="A533" s="181" t="n">
        <v>523</v>
      </c>
      <c r="B533" s="181" t="n">
        <v>522</v>
      </c>
      <c r="C533" s="181" t="n">
        <v>4685.61</v>
      </c>
      <c r="D533" s="181" t="n">
        <v>4677.6808</v>
      </c>
      <c r="E533" s="181" t="n">
        <v>7.9292</v>
      </c>
      <c r="F533" s="181" t="n">
        <v>62.8724</v>
      </c>
      <c r="G533" s="181" t="n">
        <v>272484</v>
      </c>
      <c r="H533" s="181" t="inlineStr"/>
      <c r="I533" s="181" t="inlineStr"/>
    </row>
    <row r="534" ht="15" customHeight="1" s="28">
      <c r="A534" s="182" t="n">
        <v>524</v>
      </c>
      <c r="B534" s="182" t="n">
        <v>523</v>
      </c>
      <c r="C534" s="182" t="n">
        <v>4694.57</v>
      </c>
      <c r="D534" s="182" t="n">
        <v>4677.4132</v>
      </c>
      <c r="E534" s="182" t="n">
        <v>17.1568</v>
      </c>
      <c r="F534" s="182" t="n">
        <v>294.3561</v>
      </c>
      <c r="G534" s="182" t="n">
        <v>273529</v>
      </c>
      <c r="H534" s="182" t="inlineStr"/>
      <c r="I534" s="182" t="inlineStr"/>
    </row>
    <row r="535" ht="15" customHeight="1" s="28">
      <c r="A535" s="181" t="n">
        <v>525</v>
      </c>
      <c r="B535" s="181" t="n">
        <v>524</v>
      </c>
      <c r="C535" s="181" t="n">
        <v>4687.45</v>
      </c>
      <c r="D535" s="181" t="n">
        <v>4677.1456</v>
      </c>
      <c r="E535" s="181" t="n">
        <v>10.3044</v>
      </c>
      <c r="F535" s="181" t="n">
        <v>106.1811</v>
      </c>
      <c r="G535" s="181" t="n">
        <v>274576</v>
      </c>
      <c r="H535" s="181" t="inlineStr"/>
      <c r="I535" s="181" t="inlineStr"/>
    </row>
    <row r="536" ht="15" customHeight="1" s="28">
      <c r="A536" s="182" t="n">
        <v>526</v>
      </c>
      <c r="B536" s="182" t="n">
        <v>525</v>
      </c>
      <c r="C536" s="182" t="n">
        <v>4687.83</v>
      </c>
      <c r="D536" s="182" t="n">
        <v>4676.878</v>
      </c>
      <c r="E536" s="182" t="n">
        <v>10.952</v>
      </c>
      <c r="F536" s="182" t="n">
        <v>119.9467</v>
      </c>
      <c r="G536" s="182" t="n">
        <v>275625</v>
      </c>
      <c r="H536" s="182" t="inlineStr"/>
      <c r="I536" s="182" t="inlineStr"/>
    </row>
    <row r="537" ht="15" customHeight="1" s="28">
      <c r="A537" s="181" t="n">
        <v>527</v>
      </c>
      <c r="B537" s="181" t="n">
        <v>526</v>
      </c>
      <c r="C537" s="181" t="n">
        <v>4688.13</v>
      </c>
      <c r="D537" s="181" t="n">
        <v>4676.6104</v>
      </c>
      <c r="E537" s="181" t="n">
        <v>11.5196</v>
      </c>
      <c r="F537" s="181" t="n">
        <v>132.7016</v>
      </c>
      <c r="G537" s="181" t="n">
        <v>276676</v>
      </c>
      <c r="H537" s="181" t="inlineStr"/>
      <c r="I537" s="181" t="inlineStr"/>
    </row>
    <row r="538" ht="15" customHeight="1" s="28">
      <c r="A538" s="182" t="n">
        <v>528</v>
      </c>
      <c r="B538" s="182" t="n">
        <v>527</v>
      </c>
      <c r="C538" s="182" t="n">
        <v>4690.84</v>
      </c>
      <c r="D538" s="182" t="n">
        <v>4676.3428</v>
      </c>
      <c r="E538" s="182" t="n">
        <v>14.4972</v>
      </c>
      <c r="F538" s="182" t="n">
        <v>210.1697</v>
      </c>
      <c r="G538" s="182" t="n">
        <v>277729</v>
      </c>
      <c r="H538" s="182" t="inlineStr"/>
      <c r="I538" s="182" t="inlineStr"/>
    </row>
    <row r="539" ht="15" customHeight="1" s="28">
      <c r="A539" s="181" t="n">
        <v>529</v>
      </c>
      <c r="B539" s="181" t="n">
        <v>528</v>
      </c>
      <c r="C539" s="181" t="n">
        <v>4695.33</v>
      </c>
      <c r="D539" s="181" t="n">
        <v>4676.0752</v>
      </c>
      <c r="E539" s="181" t="n">
        <v>19.2548</v>
      </c>
      <c r="F539" s="181" t="n">
        <v>370.7485</v>
      </c>
      <c r="G539" s="181" t="n">
        <v>278784</v>
      </c>
      <c r="H539" s="181" t="inlineStr"/>
      <c r="I539" s="181" t="inlineStr"/>
    </row>
    <row r="540" ht="15" customHeight="1" s="28">
      <c r="A540" s="182" t="n">
        <v>530</v>
      </c>
      <c r="B540" s="182" t="n">
        <v>529</v>
      </c>
      <c r="C540" s="182" t="n">
        <v>4683.3</v>
      </c>
      <c r="D540" s="182" t="n">
        <v>4675.8076</v>
      </c>
      <c r="E540" s="182" t="n">
        <v>7.4924</v>
      </c>
      <c r="F540" s="182" t="n">
        <v>56.1367</v>
      </c>
      <c r="G540" s="182" t="n">
        <v>279841</v>
      </c>
      <c r="H540" s="182" t="inlineStr"/>
      <c r="I540" s="182" t="inlineStr"/>
    </row>
    <row r="541" ht="15" customHeight="1" s="28">
      <c r="A541" s="181" t="n">
        <v>531</v>
      </c>
      <c r="B541" s="181" t="n">
        <v>530</v>
      </c>
      <c r="C541" s="181" t="n">
        <v>4685.99</v>
      </c>
      <c r="D541" s="181" t="n">
        <v>4675.54</v>
      </c>
      <c r="E541" s="181" t="n">
        <v>10.45</v>
      </c>
      <c r="F541" s="181" t="n">
        <v>109.2033</v>
      </c>
      <c r="G541" s="181" t="n">
        <v>280900</v>
      </c>
      <c r="H541" s="181" t="inlineStr"/>
      <c r="I541" s="181" t="inlineStr"/>
    </row>
    <row r="542" ht="15" customHeight="1" s="28">
      <c r="A542" s="182" t="n">
        <v>532</v>
      </c>
      <c r="B542" s="182" t="n">
        <v>531</v>
      </c>
      <c r="C542" s="182" t="n">
        <v>4682.04</v>
      </c>
      <c r="D542" s="182" t="n">
        <v>4675.2724</v>
      </c>
      <c r="E542" s="182" t="n">
        <v>6.7676</v>
      </c>
      <c r="F542" s="182" t="n">
        <v>45.801</v>
      </c>
      <c r="G542" s="182" t="n">
        <v>281961</v>
      </c>
      <c r="H542" s="182" t="inlineStr"/>
      <c r="I542" s="182" t="inlineStr"/>
    </row>
    <row r="543" ht="15" customHeight="1" s="28">
      <c r="A543" s="181" t="n">
        <v>533</v>
      </c>
      <c r="B543" s="181" t="n">
        <v>532</v>
      </c>
      <c r="C543" s="181" t="n">
        <v>4682.45</v>
      </c>
      <c r="D543" s="181" t="n">
        <v>4675.0048</v>
      </c>
      <c r="E543" s="181" t="n">
        <v>7.4452</v>
      </c>
      <c r="F543" s="181" t="n">
        <v>55.4317</v>
      </c>
      <c r="G543" s="181" t="n">
        <v>283024</v>
      </c>
      <c r="H543" s="181" t="inlineStr"/>
      <c r="I543" s="181" t="inlineStr"/>
    </row>
    <row r="544" ht="15" customHeight="1" s="28">
      <c r="A544" s="182" t="n">
        <v>534</v>
      </c>
      <c r="B544" s="182" t="n">
        <v>533</v>
      </c>
      <c r="C544" s="182" t="n">
        <v>4682.25</v>
      </c>
      <c r="D544" s="182" t="n">
        <v>4674.7371</v>
      </c>
      <c r="E544" s="182" t="n">
        <v>7.5129</v>
      </c>
      <c r="F544" s="182" t="n">
        <v>56.4429</v>
      </c>
      <c r="G544" s="182" t="n">
        <v>284089</v>
      </c>
      <c r="H544" s="182" t="inlineStr"/>
      <c r="I544" s="182" t="inlineStr"/>
    </row>
    <row r="545" ht="15" customHeight="1" s="28">
      <c r="A545" s="181" t="n">
        <v>535</v>
      </c>
      <c r="B545" s="181" t="n">
        <v>534</v>
      </c>
      <c r="C545" s="181" t="n">
        <v>4679.01</v>
      </c>
      <c r="D545" s="181" t="n">
        <v>4674.4695</v>
      </c>
      <c r="E545" s="181" t="n">
        <v>4.5405</v>
      </c>
      <c r="F545" s="181" t="n">
        <v>20.6158</v>
      </c>
      <c r="G545" s="181" t="n">
        <v>285156</v>
      </c>
      <c r="H545" s="181" t="inlineStr"/>
      <c r="I545" s="181" t="inlineStr"/>
    </row>
    <row r="546" ht="15" customHeight="1" s="28">
      <c r="A546" s="182" t="n">
        <v>536</v>
      </c>
      <c r="B546" s="182" t="n">
        <v>535</v>
      </c>
      <c r="C546" s="182" t="n">
        <v>4678.04</v>
      </c>
      <c r="D546" s="182" t="n">
        <v>4674.2019</v>
      </c>
      <c r="E546" s="182" t="n">
        <v>3.8381</v>
      </c>
      <c r="F546" s="182" t="n">
        <v>14.7307</v>
      </c>
      <c r="G546" s="182" t="n">
        <v>286225</v>
      </c>
      <c r="H546" s="182" t="inlineStr"/>
      <c r="I546" s="182" t="inlineStr"/>
    </row>
    <row r="547" ht="15" customHeight="1" s="28">
      <c r="A547" s="181" t="n">
        <v>537</v>
      </c>
      <c r="B547" s="181" t="n">
        <v>536</v>
      </c>
      <c r="C547" s="181" t="n">
        <v>4696.78</v>
      </c>
      <c r="D547" s="181" t="n">
        <v>4673.9343</v>
      </c>
      <c r="E547" s="181" t="n">
        <v>22.8457</v>
      </c>
      <c r="F547" s="181" t="n">
        <v>521.9242</v>
      </c>
      <c r="G547" s="181" t="n">
        <v>287296</v>
      </c>
      <c r="H547" s="181" t="inlineStr"/>
      <c r="I547" s="181" t="inlineStr"/>
    </row>
    <row r="548" ht="15" customHeight="1" s="28">
      <c r="A548" s="182" t="n">
        <v>538</v>
      </c>
      <c r="B548" s="182" t="n">
        <v>537</v>
      </c>
      <c r="C548" s="182" t="n">
        <v>4715.3</v>
      </c>
      <c r="D548" s="182" t="n">
        <v>4673.6667</v>
      </c>
      <c r="E548" s="182" t="n">
        <v>41.6333</v>
      </c>
      <c r="F548" s="182" t="n">
        <v>1733.3292</v>
      </c>
      <c r="G548" s="182" t="n">
        <v>288369</v>
      </c>
      <c r="H548" s="182" t="inlineStr"/>
      <c r="I548" s="182" t="inlineStr"/>
    </row>
    <row r="549" ht="15" customHeight="1" s="28">
      <c r="A549" s="181" t="n">
        <v>539</v>
      </c>
      <c r="B549" s="181" t="n">
        <v>538</v>
      </c>
      <c r="C549" s="181" t="n">
        <v>4705.4</v>
      </c>
      <c r="D549" s="181" t="n">
        <v>4673.3991</v>
      </c>
      <c r="E549" s="181" t="n">
        <v>32.0009</v>
      </c>
      <c r="F549" s="181" t="n">
        <v>1024.0557</v>
      </c>
      <c r="G549" s="181" t="n">
        <v>289444</v>
      </c>
      <c r="H549" s="181" t="inlineStr"/>
      <c r="I549" s="181" t="inlineStr"/>
    </row>
    <row r="550" ht="15" customHeight="1" s="28">
      <c r="A550" s="182" t="n">
        <v>540</v>
      </c>
      <c r="B550" s="182" t="n">
        <v>539</v>
      </c>
      <c r="C550" s="182" t="n">
        <v>4706.76</v>
      </c>
      <c r="D550" s="182" t="n">
        <v>4673.1315</v>
      </c>
      <c r="E550" s="182" t="n">
        <v>33.6285</v>
      </c>
      <c r="F550" s="182" t="n">
        <v>1130.8747</v>
      </c>
      <c r="G550" s="182" t="n">
        <v>290521</v>
      </c>
      <c r="H550" s="182" t="inlineStr"/>
      <c r="I550" s="182" t="inlineStr"/>
    </row>
    <row r="551" ht="15" customHeight="1" s="28">
      <c r="A551" s="181" t="n">
        <v>541</v>
      </c>
      <c r="B551" s="181" t="n">
        <v>540</v>
      </c>
      <c r="C551" s="181" t="n">
        <v>4708.7</v>
      </c>
      <c r="D551" s="181" t="n">
        <v>4672.8639</v>
      </c>
      <c r="E551" s="181" t="n">
        <v>35.8361</v>
      </c>
      <c r="F551" s="181" t="n">
        <v>1284.2246</v>
      </c>
      <c r="G551" s="181" t="n">
        <v>291600</v>
      </c>
      <c r="H551" s="181" t="inlineStr"/>
      <c r="I551" s="181" t="inlineStr"/>
    </row>
    <row r="552" ht="15" customHeight="1" s="28">
      <c r="A552" s="182" t="n">
        <v>542</v>
      </c>
      <c r="B552" s="182" t="n">
        <v>541</v>
      </c>
      <c r="C552" s="182" t="n">
        <v>4710.63</v>
      </c>
      <c r="D552" s="182" t="n">
        <v>4672.5963</v>
      </c>
      <c r="E552" s="182" t="n">
        <v>38.0337</v>
      </c>
      <c r="F552" s="182" t="n">
        <v>1446.5616</v>
      </c>
      <c r="G552" s="182" t="n">
        <v>292681</v>
      </c>
      <c r="H552" s="182" t="inlineStr"/>
      <c r="I552" s="182" t="inlineStr"/>
    </row>
    <row r="553" ht="15" customHeight="1" s="28">
      <c r="A553" s="181" t="n">
        <v>543</v>
      </c>
      <c r="B553" s="181" t="n">
        <v>542</v>
      </c>
      <c r="C553" s="181" t="n">
        <v>4698.83</v>
      </c>
      <c r="D553" s="181" t="n">
        <v>4672.3287</v>
      </c>
      <c r="E553" s="181" t="n">
        <v>26.5013</v>
      </c>
      <c r="F553" s="181" t="n">
        <v>702.3184</v>
      </c>
      <c r="G553" s="181" t="n">
        <v>293764</v>
      </c>
      <c r="H553" s="181" t="inlineStr"/>
      <c r="I553" s="181" t="inlineStr"/>
    </row>
    <row r="554" ht="15" customHeight="1" s="28">
      <c r="A554" s="182" t="n">
        <v>544</v>
      </c>
      <c r="B554" s="182" t="n">
        <v>543</v>
      </c>
      <c r="C554" s="182" t="n">
        <v>4700.67</v>
      </c>
      <c r="D554" s="182" t="n">
        <v>4672.0611</v>
      </c>
      <c r="E554" s="182" t="n">
        <v>28.6089</v>
      </c>
      <c r="F554" s="182" t="n">
        <v>818.4686</v>
      </c>
      <c r="G554" s="182" t="n">
        <v>294849</v>
      </c>
      <c r="H554" s="182" t="inlineStr"/>
      <c r="I554" s="182" t="inlineStr"/>
    </row>
    <row r="555" ht="15" customHeight="1" s="28">
      <c r="A555" s="181" t="n">
        <v>545</v>
      </c>
      <c r="B555" s="181" t="n">
        <v>544</v>
      </c>
      <c r="C555" s="181" t="n">
        <v>4702.99</v>
      </c>
      <c r="D555" s="181" t="n">
        <v>4671.7935</v>
      </c>
      <c r="E555" s="181" t="n">
        <v>31.1965</v>
      </c>
      <c r="F555" s="181" t="n">
        <v>973.2216</v>
      </c>
      <c r="G555" s="181" t="n">
        <v>295936</v>
      </c>
      <c r="H555" s="181" t="inlineStr"/>
      <c r="I555" s="181" t="inlineStr"/>
    </row>
    <row r="556" ht="15" customHeight="1" s="28">
      <c r="A556" s="182" t="n">
        <v>546</v>
      </c>
      <c r="B556" s="182" t="n">
        <v>545</v>
      </c>
      <c r="C556" s="182" t="n">
        <v>4697.13</v>
      </c>
      <c r="D556" s="182" t="n">
        <v>4671.5259</v>
      </c>
      <c r="E556" s="182" t="n">
        <v>25.6041</v>
      </c>
      <c r="F556" s="182" t="n">
        <v>655.5699</v>
      </c>
      <c r="G556" s="182" t="n">
        <v>297025</v>
      </c>
      <c r="H556" s="182" t="inlineStr"/>
      <c r="I556" s="182" t="inlineStr"/>
    </row>
    <row r="557" ht="15" customHeight="1" s="28">
      <c r="A557" s="181" t="n">
        <v>547</v>
      </c>
      <c r="B557" s="181" t="n">
        <v>546</v>
      </c>
      <c r="C557" s="181" t="n">
        <v>4708.23</v>
      </c>
      <c r="D557" s="181" t="n">
        <v>4671.2583</v>
      </c>
      <c r="E557" s="181" t="n">
        <v>36.9717</v>
      </c>
      <c r="F557" s="181" t="n">
        <v>1366.9073</v>
      </c>
      <c r="G557" s="181" t="n">
        <v>298116</v>
      </c>
      <c r="H557" s="181" t="inlineStr"/>
      <c r="I557" s="181" t="inlineStr"/>
    </row>
    <row r="558" ht="15" customHeight="1" s="28">
      <c r="A558" s="182" t="n">
        <v>548</v>
      </c>
      <c r="B558" s="182" t="n">
        <v>547</v>
      </c>
      <c r="C558" s="182" t="n">
        <v>4711.2</v>
      </c>
      <c r="D558" s="182" t="n">
        <v>4670.9907</v>
      </c>
      <c r="E558" s="182" t="n">
        <v>40.2093</v>
      </c>
      <c r="F558" s="182" t="n">
        <v>1616.7886</v>
      </c>
      <c r="G558" s="182" t="n">
        <v>299209</v>
      </c>
      <c r="H558" s="182" t="inlineStr"/>
      <c r="I558" s="182" t="inlineStr"/>
    </row>
    <row r="559" ht="15" customHeight="1" s="28">
      <c r="A559" s="181" t="n">
        <v>549</v>
      </c>
      <c r="B559" s="181" t="n">
        <v>548</v>
      </c>
      <c r="C559" s="181" t="n">
        <v>4731.95</v>
      </c>
      <c r="D559" s="181" t="n">
        <v>4670.7231</v>
      </c>
      <c r="E559" s="181" t="n">
        <v>61.2269</v>
      </c>
      <c r="F559" s="181" t="n">
        <v>3748.7345</v>
      </c>
      <c r="G559" s="181" t="n">
        <v>300304</v>
      </c>
      <c r="H559" s="181" t="inlineStr"/>
      <c r="I559" s="181" t="inlineStr"/>
    </row>
    <row r="560" ht="15" customHeight="1" s="28">
      <c r="A560" s="182" t="n">
        <v>550</v>
      </c>
      <c r="B560" s="182" t="n">
        <v>549</v>
      </c>
      <c r="C560" s="182" t="n">
        <v>4725.46</v>
      </c>
      <c r="D560" s="182" t="n">
        <v>4670.4555</v>
      </c>
      <c r="E560" s="182" t="n">
        <v>55.0045</v>
      </c>
      <c r="F560" s="182" t="n">
        <v>3025.4972</v>
      </c>
      <c r="G560" s="182" t="n">
        <v>301401</v>
      </c>
      <c r="H560" s="182" t="inlineStr"/>
      <c r="I560" s="182" t="inlineStr"/>
    </row>
    <row r="561" ht="15" customHeight="1" s="28">
      <c r="A561" s="181" t="n">
        <v>551</v>
      </c>
      <c r="B561" s="181" t="n">
        <v>550</v>
      </c>
      <c r="C561" s="181" t="n">
        <v>4730.38</v>
      </c>
      <c r="D561" s="181" t="n">
        <v>4670.1879</v>
      </c>
      <c r="E561" s="181" t="n">
        <v>60.1921</v>
      </c>
      <c r="F561" s="181" t="n">
        <v>3623.0913</v>
      </c>
      <c r="G561" s="181" t="n">
        <v>302500</v>
      </c>
      <c r="H561" s="181" t="inlineStr"/>
      <c r="I561" s="181" t="inlineStr"/>
    </row>
    <row r="562" ht="15" customHeight="1" s="28">
      <c r="A562" s="182" t="n">
        <v>552</v>
      </c>
      <c r="B562" s="182" t="n">
        <v>551</v>
      </c>
      <c r="C562" s="182" t="n">
        <v>4726.41</v>
      </c>
      <c r="D562" s="182" t="n">
        <v>4669.9203</v>
      </c>
      <c r="E562" s="182" t="n">
        <v>56.4897</v>
      </c>
      <c r="F562" s="182" t="n">
        <v>3191.0896</v>
      </c>
      <c r="G562" s="182" t="n">
        <v>303601</v>
      </c>
      <c r="H562" s="182" t="inlineStr"/>
      <c r="I562" s="182" t="inlineStr"/>
    </row>
    <row r="563" ht="15" customHeight="1" s="28">
      <c r="A563" s="181" t="n">
        <v>553</v>
      </c>
      <c r="B563" s="181" t="n">
        <v>552</v>
      </c>
      <c r="C563" s="181" t="n">
        <v>4721.97</v>
      </c>
      <c r="D563" s="181" t="n">
        <v>4669.6527</v>
      </c>
      <c r="E563" s="181" t="n">
        <v>52.3173</v>
      </c>
      <c r="F563" s="181" t="n">
        <v>2737.103</v>
      </c>
      <c r="G563" s="181" t="n">
        <v>304704</v>
      </c>
      <c r="H563" s="181" t="inlineStr"/>
      <c r="I563" s="181" t="inlineStr"/>
    </row>
    <row r="564" ht="15" customHeight="1" s="28">
      <c r="A564" s="182" t="n">
        <v>554</v>
      </c>
      <c r="B564" s="182" t="n">
        <v>553</v>
      </c>
      <c r="C564" s="182" t="n">
        <v>4721.74</v>
      </c>
      <c r="D564" s="182" t="n">
        <v>4669.3851</v>
      </c>
      <c r="E564" s="182" t="n">
        <v>52.3549</v>
      </c>
      <c r="F564" s="182" t="n">
        <v>2741.0387</v>
      </c>
      <c r="G564" s="182" t="n">
        <v>305809</v>
      </c>
      <c r="H564" s="182" t="inlineStr"/>
      <c r="I564" s="182" t="inlineStr"/>
    </row>
    <row r="565" ht="15" customHeight="1" s="28">
      <c r="A565" s="181" t="n">
        <v>555</v>
      </c>
      <c r="B565" s="181" t="n">
        <v>554</v>
      </c>
      <c r="C565" s="181" t="n">
        <v>4728.12</v>
      </c>
      <c r="D565" s="181" t="n">
        <v>4669.1175</v>
      </c>
      <c r="E565" s="181" t="n">
        <v>59.0025</v>
      </c>
      <c r="F565" s="181" t="n">
        <v>3481.2997</v>
      </c>
      <c r="G565" s="181" t="n">
        <v>306916</v>
      </c>
      <c r="H565" s="181" t="inlineStr"/>
      <c r="I565" s="181" t="inlineStr"/>
    </row>
    <row r="566" ht="15" customHeight="1" s="28">
      <c r="A566" s="182" t="n">
        <v>556</v>
      </c>
      <c r="B566" s="182" t="n">
        <v>555</v>
      </c>
      <c r="C566" s="182" t="n">
        <v>4727.24</v>
      </c>
      <c r="D566" s="182" t="n">
        <v>4668.8499</v>
      </c>
      <c r="E566" s="182" t="n">
        <v>58.3901</v>
      </c>
      <c r="F566" s="182" t="n">
        <v>3409.4084</v>
      </c>
      <c r="G566" s="182" t="n">
        <v>308025</v>
      </c>
      <c r="H566" s="182" t="inlineStr"/>
      <c r="I566" s="182" t="inlineStr"/>
    </row>
    <row r="567" ht="15" customHeight="1" s="28">
      <c r="A567" s="181" t="n">
        <v>557</v>
      </c>
      <c r="B567" s="181" t="n">
        <v>556</v>
      </c>
      <c r="C567" s="181" t="n">
        <v>4720.65</v>
      </c>
      <c r="D567" s="181" t="n">
        <v>4668.5823</v>
      </c>
      <c r="E567" s="181" t="n">
        <v>52.0677</v>
      </c>
      <c r="F567" s="181" t="n">
        <v>2711.0506</v>
      </c>
      <c r="G567" s="181" t="n">
        <v>309136</v>
      </c>
      <c r="H567" s="181" t="inlineStr"/>
      <c r="I567" s="181" t="inlineStr"/>
    </row>
    <row r="568" ht="15" customHeight="1" s="28">
      <c r="A568" s="182" t="n">
        <v>558</v>
      </c>
      <c r="B568" s="182" t="n">
        <v>557</v>
      </c>
      <c r="C568" s="182" t="n">
        <v>4723.32</v>
      </c>
      <c r="D568" s="182" t="n">
        <v>4668.3147</v>
      </c>
      <c r="E568" s="182" t="n">
        <v>55.0053</v>
      </c>
      <c r="F568" s="182" t="n">
        <v>3025.5885</v>
      </c>
      <c r="G568" s="182" t="n">
        <v>310249</v>
      </c>
      <c r="H568" s="182" t="inlineStr"/>
      <c r="I568" s="182" t="inlineStr"/>
    </row>
    <row r="569" ht="15" customHeight="1" s="28">
      <c r="A569" s="181" t="n">
        <v>559</v>
      </c>
      <c r="B569" s="181" t="n">
        <v>558</v>
      </c>
      <c r="C569" s="181" t="n">
        <v>4722.58</v>
      </c>
      <c r="D569" s="181" t="n">
        <v>4668.0471</v>
      </c>
      <c r="E569" s="181" t="n">
        <v>54.5329</v>
      </c>
      <c r="F569" s="181" t="n">
        <v>2973.8426</v>
      </c>
      <c r="G569" s="181" t="n">
        <v>311364</v>
      </c>
      <c r="H569" s="181" t="inlineStr"/>
      <c r="I569" s="181" t="inlineStr"/>
    </row>
    <row r="570" ht="15" customHeight="1" s="28">
      <c r="A570" s="182" t="n">
        <v>560</v>
      </c>
      <c r="B570" s="182" t="n">
        <v>559</v>
      </c>
      <c r="C570" s="182" t="n">
        <v>4726.84</v>
      </c>
      <c r="D570" s="182" t="n">
        <v>4667.7794</v>
      </c>
      <c r="E570" s="182" t="n">
        <v>59.0606</v>
      </c>
      <c r="F570" s="182" t="n">
        <v>3488.1497</v>
      </c>
      <c r="G570" s="182" t="n">
        <v>312481</v>
      </c>
      <c r="H570" s="182" t="inlineStr"/>
      <c r="I570" s="182" t="inlineStr"/>
    </row>
    <row r="571" ht="15" customHeight="1" s="28">
      <c r="A571" s="181" t="n">
        <v>561</v>
      </c>
      <c r="B571" s="181" t="n">
        <v>560</v>
      </c>
      <c r="C571" s="181" t="n">
        <v>4727.78</v>
      </c>
      <c r="D571" s="181" t="n">
        <v>4667.5118</v>
      </c>
      <c r="E571" s="181" t="n">
        <v>60.2682</v>
      </c>
      <c r="F571" s="181" t="n">
        <v>3632.2511</v>
      </c>
      <c r="G571" s="181" t="n">
        <v>313600</v>
      </c>
      <c r="H571" s="181" t="inlineStr"/>
      <c r="I571" s="181" t="inlineStr"/>
    </row>
    <row r="572" ht="15" customHeight="1" s="28">
      <c r="A572" s="182" t="n">
        <v>562</v>
      </c>
      <c r="B572" s="182" t="n">
        <v>561</v>
      </c>
      <c r="C572" s="182" t="n">
        <v>4723.06</v>
      </c>
      <c r="D572" s="182" t="n">
        <v>4667.2442</v>
      </c>
      <c r="E572" s="182" t="n">
        <v>55.8158</v>
      </c>
      <c r="F572" s="182" t="n">
        <v>3115.4002</v>
      </c>
      <c r="G572" s="182" t="n">
        <v>314721</v>
      </c>
      <c r="H572" s="182" t="inlineStr"/>
      <c r="I572" s="182" t="inlineStr"/>
    </row>
    <row r="573" ht="15" customHeight="1" s="28">
      <c r="A573" s="181" t="n">
        <v>563</v>
      </c>
      <c r="B573" s="181" t="n">
        <v>562</v>
      </c>
      <c r="C573" s="181" t="n">
        <v>4722.48</v>
      </c>
      <c r="D573" s="181" t="n">
        <v>4666.9766</v>
      </c>
      <c r="E573" s="181" t="n">
        <v>55.5034</v>
      </c>
      <c r="F573" s="181" t="n">
        <v>3080.6241</v>
      </c>
      <c r="G573" s="181" t="n">
        <v>315844</v>
      </c>
      <c r="H573" s="181" t="inlineStr"/>
      <c r="I573" s="181" t="inlineStr"/>
    </row>
    <row r="574" ht="15" customHeight="1" s="28">
      <c r="A574" s="182" t="n">
        <v>564</v>
      </c>
      <c r="B574" s="182" t="n">
        <v>563</v>
      </c>
      <c r="C574" s="182" t="n">
        <v>4723.38</v>
      </c>
      <c r="D574" s="182" t="n">
        <v>4666.709</v>
      </c>
      <c r="E574" s="182" t="n">
        <v>56.671</v>
      </c>
      <c r="F574" s="182" t="n">
        <v>3211.6</v>
      </c>
      <c r="G574" s="182" t="n">
        <v>316969</v>
      </c>
      <c r="H574" s="182" t="inlineStr"/>
      <c r="I574" s="182" t="inlineStr"/>
    </row>
    <row r="575" ht="15" customHeight="1" s="28">
      <c r="A575" s="181" t="n">
        <v>565</v>
      </c>
      <c r="B575" s="181" t="n">
        <v>564</v>
      </c>
      <c r="C575" s="181" t="n">
        <v>4723.94</v>
      </c>
      <c r="D575" s="181" t="n">
        <v>4666.4414</v>
      </c>
      <c r="E575" s="181" t="n">
        <v>57.4986</v>
      </c>
      <c r="F575" s="181" t="n">
        <v>3306.0867</v>
      </c>
      <c r="G575" s="181" t="n">
        <v>318096</v>
      </c>
      <c r="H575" s="181" t="inlineStr"/>
      <c r="I575" s="181" t="inlineStr"/>
    </row>
    <row r="576" ht="15" customHeight="1" s="28">
      <c r="A576" s="182" t="n">
        <v>566</v>
      </c>
      <c r="B576" s="182" t="n">
        <v>565</v>
      </c>
      <c r="C576" s="182" t="n">
        <v>4717.26</v>
      </c>
      <c r="D576" s="182" t="n">
        <v>4666.1738</v>
      </c>
      <c r="E576" s="182" t="n">
        <v>51.0862</v>
      </c>
      <c r="F576" s="182" t="n">
        <v>2609.7978</v>
      </c>
      <c r="G576" s="182" t="n">
        <v>319225</v>
      </c>
      <c r="H576" s="182" t="inlineStr"/>
      <c r="I576" s="182" t="inlineStr"/>
    </row>
    <row r="577" ht="15" customHeight="1" s="28">
      <c r="A577" s="181" t="n">
        <v>567</v>
      </c>
      <c r="B577" s="181" t="n">
        <v>566</v>
      </c>
      <c r="C577" s="181" t="n">
        <v>4718.98</v>
      </c>
      <c r="D577" s="181" t="n">
        <v>4665.9062</v>
      </c>
      <c r="E577" s="181" t="n">
        <v>53.0738</v>
      </c>
      <c r="F577" s="181" t="n">
        <v>2816.8272</v>
      </c>
      <c r="G577" s="181" t="n">
        <v>320356</v>
      </c>
      <c r="H577" s="181" t="inlineStr"/>
      <c r="I577" s="181" t="inlineStr"/>
    </row>
    <row r="578" ht="15" customHeight="1" s="28">
      <c r="A578" s="182" t="n">
        <v>568</v>
      </c>
      <c r="B578" s="182" t="n">
        <v>567</v>
      </c>
      <c r="C578" s="182" t="n">
        <v>4722.91</v>
      </c>
      <c r="D578" s="182" t="n">
        <v>4665.6386</v>
      </c>
      <c r="E578" s="182" t="n">
        <v>57.2714</v>
      </c>
      <c r="F578" s="182" t="n">
        <v>3280.0121</v>
      </c>
      <c r="G578" s="182" t="n">
        <v>321489</v>
      </c>
      <c r="H578" s="182" t="inlineStr"/>
      <c r="I578" s="182" t="inlineStr"/>
    </row>
    <row r="579" ht="15" customHeight="1" s="28">
      <c r="A579" s="181" t="n">
        <v>569</v>
      </c>
      <c r="B579" s="181" t="n">
        <v>568</v>
      </c>
      <c r="C579" s="181" t="n">
        <v>4722.47</v>
      </c>
      <c r="D579" s="181" t="n">
        <v>4665.371</v>
      </c>
      <c r="E579" s="181" t="n">
        <v>57.099</v>
      </c>
      <c r="F579" s="181" t="n">
        <v>3260.2958</v>
      </c>
      <c r="G579" s="181" t="n">
        <v>322624</v>
      </c>
      <c r="H579" s="181" t="inlineStr"/>
      <c r="I579" s="181" t="inlineStr"/>
    </row>
    <row r="580" ht="15" customHeight="1" s="28">
      <c r="A580" s="182" t="n">
        <v>570</v>
      </c>
      <c r="B580" s="182" t="n">
        <v>569</v>
      </c>
      <c r="C580" s="182" t="n">
        <v>4719.08</v>
      </c>
      <c r="D580" s="182" t="n">
        <v>4665.1034</v>
      </c>
      <c r="E580" s="182" t="n">
        <v>53.9766</v>
      </c>
      <c r="F580" s="182" t="n">
        <v>2913.4733</v>
      </c>
      <c r="G580" s="182" t="n">
        <v>323761</v>
      </c>
      <c r="H580" s="182" t="inlineStr"/>
      <c r="I580" s="182" t="inlineStr"/>
    </row>
    <row r="581" ht="15" customHeight="1" s="28">
      <c r="A581" s="181" t="n">
        <v>571</v>
      </c>
      <c r="B581" s="181" t="n">
        <v>570</v>
      </c>
      <c r="C581" s="181" t="n">
        <v>4716.82</v>
      </c>
      <c r="D581" s="181" t="n">
        <v>4664.8358</v>
      </c>
      <c r="E581" s="181" t="n">
        <v>51.9842</v>
      </c>
      <c r="F581" s="181" t="n">
        <v>2702.357</v>
      </c>
      <c r="G581" s="181" t="n">
        <v>324900</v>
      </c>
      <c r="H581" s="181" t="inlineStr"/>
      <c r="I581" s="181" t="inlineStr"/>
    </row>
    <row r="582" ht="15" customHeight="1" s="28">
      <c r="A582" s="182" t="n">
        <v>572</v>
      </c>
      <c r="B582" s="182" t="n">
        <v>571</v>
      </c>
      <c r="C582" s="182" t="n">
        <v>4717.02</v>
      </c>
      <c r="D582" s="182" t="n">
        <v>4664.5682</v>
      </c>
      <c r="E582" s="182" t="n">
        <v>52.4518</v>
      </c>
      <c r="F582" s="182" t="n">
        <v>2751.1924</v>
      </c>
      <c r="G582" s="182" t="n">
        <v>326041</v>
      </c>
      <c r="H582" s="182" t="inlineStr"/>
      <c r="I582" s="182" t="inlineStr"/>
    </row>
    <row r="583" ht="15" customHeight="1" s="28">
      <c r="A583" s="181" t="n">
        <v>573</v>
      </c>
      <c r="B583" s="181" t="n">
        <v>572</v>
      </c>
      <c r="C583" s="181" t="n">
        <v>4706.56</v>
      </c>
      <c r="D583" s="181" t="n">
        <v>4664.3006</v>
      </c>
      <c r="E583" s="181" t="n">
        <v>42.2594</v>
      </c>
      <c r="F583" s="181" t="n">
        <v>1785.8577</v>
      </c>
      <c r="G583" s="181" t="n">
        <v>327184</v>
      </c>
      <c r="H583" s="181" t="inlineStr"/>
      <c r="I583" s="181" t="inlineStr"/>
    </row>
    <row r="584" ht="15" customHeight="1" s="28">
      <c r="A584" s="182" t="n">
        <v>574</v>
      </c>
      <c r="B584" s="182" t="n">
        <v>573</v>
      </c>
      <c r="C584" s="182" t="n">
        <v>4708.18</v>
      </c>
      <c r="D584" s="182" t="n">
        <v>4664.033</v>
      </c>
      <c r="E584" s="182" t="n">
        <v>44.147</v>
      </c>
      <c r="F584" s="182" t="n">
        <v>1948.9594</v>
      </c>
      <c r="G584" s="182" t="n">
        <v>328329</v>
      </c>
      <c r="H584" s="182" t="inlineStr"/>
      <c r="I584" s="182" t="inlineStr"/>
    </row>
    <row r="585" ht="15" customHeight="1" s="28">
      <c r="A585" s="181" t="n">
        <v>575</v>
      </c>
      <c r="B585" s="181" t="n">
        <v>574</v>
      </c>
      <c r="C585" s="181" t="n">
        <v>4707.61</v>
      </c>
      <c r="D585" s="181" t="n">
        <v>4663.7654</v>
      </c>
      <c r="E585" s="181" t="n">
        <v>43.8446</v>
      </c>
      <c r="F585" s="181" t="n">
        <v>1922.3507</v>
      </c>
      <c r="G585" s="181" t="n">
        <v>329476</v>
      </c>
      <c r="H585" s="181" t="inlineStr"/>
      <c r="I585" s="181" t="inlineStr"/>
    </row>
    <row r="586" ht="15" customHeight="1" s="28">
      <c r="A586" s="182" t="n">
        <v>576</v>
      </c>
      <c r="B586" s="182" t="n">
        <v>575</v>
      </c>
      <c r="C586" s="182" t="n">
        <v>4708.24</v>
      </c>
      <c r="D586" s="182" t="n">
        <v>4663.4978</v>
      </c>
      <c r="E586" s="182" t="n">
        <v>44.7422</v>
      </c>
      <c r="F586" s="182" t="n">
        <v>2001.8663</v>
      </c>
      <c r="G586" s="182" t="n">
        <v>330625</v>
      </c>
      <c r="H586" s="182" t="inlineStr"/>
      <c r="I586" s="182" t="inlineStr"/>
    </row>
    <row r="587" ht="15" customHeight="1" s="28">
      <c r="A587" s="181" t="n">
        <v>577</v>
      </c>
      <c r="B587" s="181" t="n">
        <v>576</v>
      </c>
      <c r="C587" s="181" t="n">
        <v>4685.5</v>
      </c>
      <c r="D587" s="181" t="n">
        <v>4663.2302</v>
      </c>
      <c r="E587" s="181" t="n">
        <v>22.2698</v>
      </c>
      <c r="F587" s="181" t="n">
        <v>495.9453</v>
      </c>
      <c r="G587" s="181" t="n">
        <v>331776</v>
      </c>
      <c r="H587" s="181" t="inlineStr"/>
      <c r="I587" s="181" t="inlineStr"/>
    </row>
    <row r="588" ht="15" customHeight="1" s="28">
      <c r="A588" s="182" t="n">
        <v>578</v>
      </c>
      <c r="B588" s="182" t="n">
        <v>577</v>
      </c>
      <c r="C588" s="182" t="n">
        <v>4686.88</v>
      </c>
      <c r="D588" s="182" t="n">
        <v>4662.9626</v>
      </c>
      <c r="E588" s="182" t="n">
        <v>23.9174</v>
      </c>
      <c r="F588" s="182" t="n">
        <v>572.0435</v>
      </c>
      <c r="G588" s="182" t="n">
        <v>332929</v>
      </c>
      <c r="H588" s="182" t="inlineStr"/>
      <c r="I588" s="182" t="inlineStr"/>
    </row>
    <row r="589" ht="15" customHeight="1" s="28">
      <c r="A589" s="181" t="n">
        <v>579</v>
      </c>
      <c r="B589" s="181" t="n">
        <v>578</v>
      </c>
      <c r="C589" s="181" t="n">
        <v>4684.48</v>
      </c>
      <c r="D589" s="181" t="n">
        <v>4662.695</v>
      </c>
      <c r="E589" s="181" t="n">
        <v>21.785</v>
      </c>
      <c r="F589" s="181" t="n">
        <v>474.588</v>
      </c>
      <c r="G589" s="181" t="n">
        <v>334084</v>
      </c>
      <c r="H589" s="181" t="inlineStr"/>
      <c r="I589" s="181" t="inlineStr"/>
    </row>
    <row r="590" ht="15" customHeight="1" s="28">
      <c r="A590" s="182" t="n">
        <v>580</v>
      </c>
      <c r="B590" s="182" t="n">
        <v>579</v>
      </c>
      <c r="C590" s="182" t="n">
        <v>4684.52</v>
      </c>
      <c r="D590" s="182" t="n">
        <v>4662.4274</v>
      </c>
      <c r="E590" s="182" t="n">
        <v>22.0926</v>
      </c>
      <c r="F590" s="182" t="n">
        <v>488.0847</v>
      </c>
      <c r="G590" s="182" t="n">
        <v>335241</v>
      </c>
      <c r="H590" s="182" t="inlineStr"/>
      <c r="I590" s="182" t="inlineStr"/>
    </row>
    <row r="591" ht="15" customHeight="1" s="28">
      <c r="A591" s="181" t="n">
        <v>581</v>
      </c>
      <c r="B591" s="181" t="n">
        <v>580</v>
      </c>
      <c r="C591" s="181" t="n">
        <v>4683.71</v>
      </c>
      <c r="D591" s="181" t="n">
        <v>4662.1598</v>
      </c>
      <c r="E591" s="181" t="n">
        <v>21.5502</v>
      </c>
      <c r="F591" s="181" t="n">
        <v>464.4128</v>
      </c>
      <c r="G591" s="181" t="n">
        <v>336400</v>
      </c>
      <c r="H591" s="181" t="inlineStr"/>
      <c r="I591" s="181" t="inlineStr"/>
    </row>
    <row r="592" ht="15" customHeight="1" s="28">
      <c r="A592" s="182" t="n">
        <v>582</v>
      </c>
      <c r="B592" s="182" t="n">
        <v>581</v>
      </c>
      <c r="C592" s="182" t="n">
        <v>4677.41</v>
      </c>
      <c r="D592" s="182" t="n">
        <v>4661.8921</v>
      </c>
      <c r="E592" s="182" t="n">
        <v>15.5179</v>
      </c>
      <c r="F592" s="182" t="n">
        <v>240.8037</v>
      </c>
      <c r="G592" s="182" t="n">
        <v>337561</v>
      </c>
      <c r="H592" s="182" t="inlineStr"/>
      <c r="I592" s="182" t="inlineStr"/>
    </row>
    <row r="593" ht="15" customHeight="1" s="28">
      <c r="A593" s="181" t="n">
        <v>583</v>
      </c>
      <c r="B593" s="181" t="n">
        <v>582</v>
      </c>
      <c r="C593" s="181" t="n">
        <v>4676.93</v>
      </c>
      <c r="D593" s="181" t="n">
        <v>4661.6246</v>
      </c>
      <c r="E593" s="181" t="n">
        <v>15.3054</v>
      </c>
      <c r="F593" s="181" t="n">
        <v>234.2568</v>
      </c>
      <c r="G593" s="181" t="n">
        <v>338724</v>
      </c>
      <c r="H593" s="181" t="inlineStr"/>
      <c r="I593" s="181" t="inlineStr"/>
    </row>
    <row r="594" ht="15" customHeight="1" s="28">
      <c r="A594" s="182" t="n">
        <v>584</v>
      </c>
      <c r="B594" s="182" t="n">
        <v>583</v>
      </c>
      <c r="C594" s="182" t="n">
        <v>4680.04</v>
      </c>
      <c r="D594" s="182" t="n">
        <v>4661.3569</v>
      </c>
      <c r="E594" s="182" t="n">
        <v>18.6831</v>
      </c>
      <c r="F594" s="182" t="n">
        <v>349.0567</v>
      </c>
      <c r="G594" s="182" t="n">
        <v>339889</v>
      </c>
      <c r="H594" s="182" t="inlineStr"/>
      <c r="I594" s="182" t="inlineStr"/>
    </row>
    <row r="595" ht="15" customHeight="1" s="28">
      <c r="A595" s="181" t="n">
        <v>585</v>
      </c>
      <c r="B595" s="181" t="n">
        <v>584</v>
      </c>
      <c r="C595" s="181" t="n">
        <v>4679.86</v>
      </c>
      <c r="D595" s="181" t="n">
        <v>4661.0893</v>
      </c>
      <c r="E595" s="181" t="n">
        <v>18.7707</v>
      </c>
      <c r="F595" s="181" t="n">
        <v>352.3377</v>
      </c>
      <c r="G595" s="181" t="n">
        <v>341056</v>
      </c>
      <c r="H595" s="181" t="inlineStr"/>
      <c r="I595" s="181" t="inlineStr"/>
    </row>
    <row r="596" ht="15" customHeight="1" s="28">
      <c r="A596" s="182" t="n">
        <v>586</v>
      </c>
      <c r="B596" s="182" t="n">
        <v>585</v>
      </c>
      <c r="C596" s="182" t="n">
        <v>4680.65</v>
      </c>
      <c r="D596" s="182" t="n">
        <v>4660.8217</v>
      </c>
      <c r="E596" s="182" t="n">
        <v>19.8283</v>
      </c>
      <c r="F596" s="182" t="n">
        <v>393.1603</v>
      </c>
      <c r="G596" s="182" t="n">
        <v>342225</v>
      </c>
      <c r="H596" s="182" t="inlineStr"/>
      <c r="I596" s="182" t="inlineStr"/>
    </row>
    <row r="597" ht="15" customHeight="1" s="28">
      <c r="A597" s="181" t="n">
        <v>587</v>
      </c>
      <c r="B597" s="181" t="n">
        <v>586</v>
      </c>
      <c r="C597" s="181" t="n">
        <v>4680.47</v>
      </c>
      <c r="D597" s="181" t="n">
        <v>4660.5541</v>
      </c>
      <c r="E597" s="181" t="n">
        <v>19.9159</v>
      </c>
      <c r="F597" s="181" t="n">
        <v>396.6419</v>
      </c>
      <c r="G597" s="181" t="n">
        <v>343396</v>
      </c>
      <c r="H597" s="181" t="inlineStr"/>
      <c r="I597" s="181" t="inlineStr"/>
    </row>
    <row r="598" ht="15" customHeight="1" s="28">
      <c r="A598" s="182" t="n">
        <v>588</v>
      </c>
      <c r="B598" s="182" t="n">
        <v>587</v>
      </c>
      <c r="C598" s="182" t="n">
        <v>4697.98</v>
      </c>
      <c r="D598" s="182" t="n">
        <v>4660.2865</v>
      </c>
      <c r="E598" s="182" t="n">
        <v>37.6935</v>
      </c>
      <c r="F598" s="182" t="n">
        <v>1420.7977</v>
      </c>
      <c r="G598" s="182" t="n">
        <v>344569</v>
      </c>
      <c r="H598" s="182" t="inlineStr"/>
      <c r="I598" s="182" t="inlineStr"/>
    </row>
    <row r="599" ht="15" customHeight="1" s="28">
      <c r="A599" s="181" t="n">
        <v>589</v>
      </c>
      <c r="B599" s="181" t="n">
        <v>588</v>
      </c>
      <c r="C599" s="181" t="n">
        <v>4692.94</v>
      </c>
      <c r="D599" s="181" t="n">
        <v>4660.0189</v>
      </c>
      <c r="E599" s="181" t="n">
        <v>32.9211</v>
      </c>
      <c r="F599" s="181" t="n">
        <v>1083.7975</v>
      </c>
      <c r="G599" s="181" t="n">
        <v>345744</v>
      </c>
      <c r="H599" s="181" t="inlineStr"/>
      <c r="I599" s="181" t="inlineStr"/>
    </row>
    <row r="600" ht="15" customHeight="1" s="28">
      <c r="A600" s="182" t="n">
        <v>590</v>
      </c>
      <c r="B600" s="182" t="n">
        <v>589</v>
      </c>
      <c r="C600" s="182" t="n">
        <v>4697.97</v>
      </c>
      <c r="D600" s="182" t="n">
        <v>4659.7513</v>
      </c>
      <c r="E600" s="182" t="n">
        <v>38.2187</v>
      </c>
      <c r="F600" s="182" t="n">
        <v>1460.6675</v>
      </c>
      <c r="G600" s="182" t="n">
        <v>346921</v>
      </c>
      <c r="H600" s="182" t="inlineStr"/>
      <c r="I600" s="182" t="inlineStr"/>
    </row>
    <row r="601" ht="15" customHeight="1" s="28">
      <c r="A601" s="181" t="n">
        <v>591</v>
      </c>
      <c r="B601" s="181" t="n">
        <v>590</v>
      </c>
      <c r="C601" s="181" t="n">
        <v>4697.87</v>
      </c>
      <c r="D601" s="181" t="n">
        <v>4659.4837</v>
      </c>
      <c r="E601" s="181" t="n">
        <v>38.3863</v>
      </c>
      <c r="F601" s="181" t="n">
        <v>1473.5073</v>
      </c>
      <c r="G601" s="181" t="n">
        <v>348100</v>
      </c>
      <c r="H601" s="181" t="inlineStr"/>
      <c r="I601" s="181" t="inlineStr"/>
    </row>
    <row r="602" ht="15" customHeight="1" s="28">
      <c r="A602" s="182" t="n">
        <v>592</v>
      </c>
      <c r="B602" s="182" t="n">
        <v>591</v>
      </c>
      <c r="C602" s="182" t="n">
        <v>4702.74</v>
      </c>
      <c r="D602" s="182" t="n">
        <v>4659.2161</v>
      </c>
      <c r="E602" s="182" t="n">
        <v>43.5239</v>
      </c>
      <c r="F602" s="182" t="n">
        <v>1894.329</v>
      </c>
      <c r="G602" s="182" t="n">
        <v>349281</v>
      </c>
      <c r="H602" s="182" t="inlineStr"/>
      <c r="I602" s="182" t="inlineStr"/>
    </row>
    <row r="603" ht="15" customHeight="1" s="28">
      <c r="A603" s="181" t="n">
        <v>593</v>
      </c>
      <c r="B603" s="181" t="n">
        <v>592</v>
      </c>
      <c r="C603" s="181" t="n">
        <v>4699.73</v>
      </c>
      <c r="D603" s="181" t="n">
        <v>4658.9485</v>
      </c>
      <c r="E603" s="181" t="n">
        <v>40.7815</v>
      </c>
      <c r="F603" s="181" t="n">
        <v>1663.1299</v>
      </c>
      <c r="G603" s="181" t="n">
        <v>350464</v>
      </c>
      <c r="H603" s="181" t="inlineStr"/>
      <c r="I603" s="181" t="inlineStr"/>
    </row>
    <row r="604" ht="15" customHeight="1" s="28">
      <c r="A604" s="182" t="n">
        <v>594</v>
      </c>
      <c r="B604" s="182" t="n">
        <v>593</v>
      </c>
      <c r="C604" s="182" t="n">
        <v>4705.71</v>
      </c>
      <c r="D604" s="182" t="n">
        <v>4658.6809</v>
      </c>
      <c r="E604" s="182" t="n">
        <v>47.0291</v>
      </c>
      <c r="F604" s="182" t="n">
        <v>2211.7362</v>
      </c>
      <c r="G604" s="182" t="n">
        <v>351649</v>
      </c>
      <c r="H604" s="182" t="inlineStr"/>
      <c r="I604" s="182" t="inlineStr"/>
    </row>
    <row r="605" ht="15" customHeight="1" s="28">
      <c r="A605" s="181" t="n">
        <v>595</v>
      </c>
      <c r="B605" s="181" t="n">
        <v>594</v>
      </c>
      <c r="C605" s="181" t="n">
        <v>4713.51</v>
      </c>
      <c r="D605" s="181" t="n">
        <v>4658.4133</v>
      </c>
      <c r="E605" s="181" t="n">
        <v>55.0967</v>
      </c>
      <c r="F605" s="181" t="n">
        <v>3035.6464</v>
      </c>
      <c r="G605" s="181" t="n">
        <v>352836</v>
      </c>
      <c r="H605" s="181" t="inlineStr"/>
      <c r="I605" s="181" t="inlineStr"/>
    </row>
    <row r="606" ht="15" customHeight="1" s="28">
      <c r="A606" s="182" t="n">
        <v>596</v>
      </c>
      <c r="B606" s="182" t="n">
        <v>595</v>
      </c>
      <c r="C606" s="182" t="n">
        <v>4718.18</v>
      </c>
      <c r="D606" s="182" t="n">
        <v>4658.1457</v>
      </c>
      <c r="E606" s="182" t="n">
        <v>60.0343</v>
      </c>
      <c r="F606" s="182" t="n">
        <v>3604.1184</v>
      </c>
      <c r="G606" s="182" t="n">
        <v>354025</v>
      </c>
      <c r="H606" s="182" t="inlineStr"/>
      <c r="I606" s="182" t="inlineStr"/>
    </row>
    <row r="607" ht="15" customHeight="1" s="28">
      <c r="A607" s="181" t="n">
        <v>597</v>
      </c>
      <c r="B607" s="181" t="n">
        <v>596</v>
      </c>
      <c r="C607" s="181" t="n">
        <v>4717.72</v>
      </c>
      <c r="D607" s="181" t="n">
        <v>4657.8781</v>
      </c>
      <c r="E607" s="181" t="n">
        <v>59.8419</v>
      </c>
      <c r="F607" s="181" t="n">
        <v>3581.0542</v>
      </c>
      <c r="G607" s="181" t="n">
        <v>355216</v>
      </c>
      <c r="H607" s="181" t="inlineStr"/>
      <c r="I607" s="181" t="inlineStr"/>
    </row>
    <row r="608" ht="15" customHeight="1" s="28">
      <c r="A608" s="182" t="n">
        <v>598</v>
      </c>
      <c r="B608" s="182" t="n">
        <v>597</v>
      </c>
      <c r="C608" s="182" t="n">
        <v>4715.68</v>
      </c>
      <c r="D608" s="182" t="n">
        <v>4657.6105</v>
      </c>
      <c r="E608" s="182" t="n">
        <v>58.0695</v>
      </c>
      <c r="F608" s="182" t="n">
        <v>3372.068</v>
      </c>
      <c r="G608" s="182" t="n">
        <v>356409</v>
      </c>
      <c r="H608" s="182" t="inlineStr"/>
      <c r="I608" s="182" t="inlineStr"/>
    </row>
    <row r="609" ht="15" customHeight="1" s="28">
      <c r="A609" s="181" t="n">
        <v>599</v>
      </c>
      <c r="B609" s="181" t="n">
        <v>598</v>
      </c>
      <c r="C609" s="181" t="n">
        <v>4728.4</v>
      </c>
      <c r="D609" s="181" t="n">
        <v>4657.3429</v>
      </c>
      <c r="E609" s="181" t="n">
        <v>71.05710000000001</v>
      </c>
      <c r="F609" s="181" t="n">
        <v>5049.1143</v>
      </c>
      <c r="G609" s="181" t="n">
        <v>357604</v>
      </c>
      <c r="H609" s="181" t="inlineStr"/>
      <c r="I609" s="181" t="inlineStr"/>
    </row>
    <row r="610" ht="15" customHeight="1" s="28">
      <c r="A610" s="182" t="n">
        <v>600</v>
      </c>
      <c r="B610" s="182" t="n">
        <v>599</v>
      </c>
      <c r="C610" s="182" t="n">
        <v>4724.1</v>
      </c>
      <c r="D610" s="182" t="n">
        <v>4657.0753</v>
      </c>
      <c r="E610" s="182" t="n">
        <v>67.0247</v>
      </c>
      <c r="F610" s="182" t="n">
        <v>4492.3131</v>
      </c>
      <c r="G610" s="182" t="n">
        <v>358801</v>
      </c>
      <c r="H610" s="182" t="inlineStr"/>
      <c r="I610" s="182" t="inlineStr"/>
    </row>
    <row r="611" ht="15" customHeight="1" s="28">
      <c r="A611" s="181" t="n">
        <v>601</v>
      </c>
      <c r="B611" s="181" t="n">
        <v>600</v>
      </c>
      <c r="C611" s="181" t="n">
        <v>4727.47</v>
      </c>
      <c r="D611" s="181" t="n">
        <v>4656.8077</v>
      </c>
      <c r="E611" s="181" t="n">
        <v>70.6623</v>
      </c>
      <c r="F611" s="181" t="n">
        <v>4993.1649</v>
      </c>
      <c r="G611" s="181" t="n">
        <v>360000</v>
      </c>
      <c r="H611" s="181" t="inlineStr"/>
      <c r="I611" s="181" t="inlineStr"/>
    </row>
    <row r="612" ht="15" customHeight="1" s="28">
      <c r="A612" s="182" t="n">
        <v>602</v>
      </c>
      <c r="B612" s="182" t="n">
        <v>601</v>
      </c>
      <c r="C612" s="182" t="n">
        <v>4726.85</v>
      </c>
      <c r="D612" s="182" t="n">
        <v>4656.5401</v>
      </c>
      <c r="E612" s="182" t="n">
        <v>70.3099</v>
      </c>
      <c r="F612" s="182" t="n">
        <v>4943.4863</v>
      </c>
      <c r="G612" s="182" t="n">
        <v>361201</v>
      </c>
      <c r="H612" s="182" t="inlineStr"/>
      <c r="I612" s="182" t="inlineStr"/>
    </row>
    <row r="613" ht="15" customHeight="1" s="28">
      <c r="A613" s="181" t="n">
        <v>603</v>
      </c>
      <c r="B613" s="181" t="n">
        <v>602</v>
      </c>
      <c r="C613" s="181" t="n">
        <v>4726.18</v>
      </c>
      <c r="D613" s="181" t="n">
        <v>4656.2725</v>
      </c>
      <c r="E613" s="181" t="n">
        <v>69.9075</v>
      </c>
      <c r="F613" s="181" t="n">
        <v>4887.0628</v>
      </c>
      <c r="G613" s="181" t="n">
        <v>362404</v>
      </c>
      <c r="H613" s="181" t="inlineStr"/>
      <c r="I613" s="181" t="inlineStr"/>
    </row>
    <row r="614" ht="15" customHeight="1" s="28">
      <c r="A614" s="182" t="n">
        <v>604</v>
      </c>
      <c r="B614" s="182" t="n">
        <v>603</v>
      </c>
      <c r="C614" s="182" t="n">
        <v>4724.74</v>
      </c>
      <c r="D614" s="182" t="n">
        <v>4656.0049</v>
      </c>
      <c r="E614" s="182" t="n">
        <v>68.7351</v>
      </c>
      <c r="F614" s="182" t="n">
        <v>4724.5195</v>
      </c>
      <c r="G614" s="182" t="n">
        <v>363609</v>
      </c>
      <c r="H614" s="182" t="inlineStr"/>
      <c r="I614" s="182" t="inlineStr"/>
    </row>
    <row r="615" ht="15" customHeight="1" s="28">
      <c r="A615" s="181" t="n">
        <v>605</v>
      </c>
      <c r="B615" s="181" t="n">
        <v>604</v>
      </c>
      <c r="C615" s="181" t="n">
        <v>4718.21</v>
      </c>
      <c r="D615" s="181" t="n">
        <v>4655.7373</v>
      </c>
      <c r="E615" s="181" t="n">
        <v>62.4727</v>
      </c>
      <c r="F615" s="181" t="n">
        <v>3902.8432</v>
      </c>
      <c r="G615" s="181" t="n">
        <v>364816</v>
      </c>
      <c r="H615" s="181" t="inlineStr"/>
      <c r="I615" s="181" t="inlineStr"/>
    </row>
    <row r="616" ht="15" customHeight="1" s="28">
      <c r="A616" s="182" t="n">
        <v>606</v>
      </c>
      <c r="B616" s="182" t="n">
        <v>605</v>
      </c>
      <c r="C616" s="182" t="n">
        <v>4718.25</v>
      </c>
      <c r="D616" s="182" t="n">
        <v>4655.4697</v>
      </c>
      <c r="E616" s="182" t="n">
        <v>62.7804</v>
      </c>
      <c r="F616" s="182" t="n">
        <v>3941.3723</v>
      </c>
      <c r="G616" s="182" t="n">
        <v>366025</v>
      </c>
      <c r="H616" s="182" t="inlineStr"/>
      <c r="I616" s="182" t="inlineStr"/>
    </row>
    <row r="617" ht="15" customHeight="1" s="28">
      <c r="A617" s="181" t="n">
        <v>607</v>
      </c>
      <c r="B617" s="181" t="n">
        <v>606</v>
      </c>
      <c r="C617" s="181" t="n">
        <v>4711.84</v>
      </c>
      <c r="D617" s="181" t="n">
        <v>4655.202</v>
      </c>
      <c r="E617" s="181" t="n">
        <v>56.638</v>
      </c>
      <c r="F617" s="181" t="n">
        <v>3207.8574</v>
      </c>
      <c r="G617" s="181" t="n">
        <v>367236</v>
      </c>
      <c r="H617" s="181" t="inlineStr"/>
      <c r="I617" s="181" t="inlineStr"/>
    </row>
    <row r="618" ht="15" customHeight="1" s="28">
      <c r="A618" s="182" t="n">
        <v>608</v>
      </c>
      <c r="B618" s="182" t="n">
        <v>607</v>
      </c>
      <c r="C618" s="182" t="n">
        <v>4710.13</v>
      </c>
      <c r="D618" s="182" t="n">
        <v>4654.9344</v>
      </c>
      <c r="E618" s="182" t="n">
        <v>55.1956</v>
      </c>
      <c r="F618" s="182" t="n">
        <v>3046.5498</v>
      </c>
      <c r="G618" s="182" t="n">
        <v>368449</v>
      </c>
      <c r="H618" s="182" t="inlineStr"/>
      <c r="I618" s="182" t="inlineStr"/>
    </row>
    <row r="619" ht="15" customHeight="1" s="28">
      <c r="A619" s="181" t="n">
        <v>609</v>
      </c>
      <c r="B619" s="181" t="n">
        <v>608</v>
      </c>
      <c r="C619" s="181" t="n">
        <v>4714.43</v>
      </c>
      <c r="D619" s="181" t="n">
        <v>4654.6668</v>
      </c>
      <c r="E619" s="181" t="n">
        <v>59.7632</v>
      </c>
      <c r="F619" s="181" t="n">
        <v>3571.6353</v>
      </c>
      <c r="G619" s="181" t="n">
        <v>369664</v>
      </c>
      <c r="H619" s="181" t="inlineStr"/>
      <c r="I619" s="181" t="inlineStr"/>
    </row>
    <row r="620" ht="15" customHeight="1" s="28">
      <c r="A620" s="182" t="n">
        <v>610</v>
      </c>
      <c r="B620" s="182" t="n">
        <v>609</v>
      </c>
      <c r="C620" s="182" t="n">
        <v>4714.53</v>
      </c>
      <c r="D620" s="182" t="n">
        <v>4654.3992</v>
      </c>
      <c r="E620" s="182" t="n">
        <v>60.1308</v>
      </c>
      <c r="F620" s="182" t="n">
        <v>3615.7083</v>
      </c>
      <c r="G620" s="182" t="n">
        <v>370881</v>
      </c>
      <c r="H620" s="182" t="inlineStr"/>
      <c r="I620" s="182" t="inlineStr"/>
    </row>
    <row r="621" ht="15" customHeight="1" s="28">
      <c r="A621" s="181" t="n">
        <v>611</v>
      </c>
      <c r="B621" s="181" t="n">
        <v>610</v>
      </c>
      <c r="C621" s="181" t="n">
        <v>4710.77</v>
      </c>
      <c r="D621" s="181" t="n">
        <v>4654.1316</v>
      </c>
      <c r="E621" s="181" t="n">
        <v>56.6384</v>
      </c>
      <c r="F621" s="181" t="n">
        <v>3207.905</v>
      </c>
      <c r="G621" s="181" t="n">
        <v>372100</v>
      </c>
      <c r="H621" s="181" t="inlineStr"/>
      <c r="I621" s="181" t="inlineStr"/>
    </row>
    <row r="622" ht="15" customHeight="1" s="28">
      <c r="A622" s="182" t="n">
        <v>612</v>
      </c>
      <c r="B622" s="182" t="n">
        <v>611</v>
      </c>
      <c r="C622" s="182" t="n">
        <v>4712.84</v>
      </c>
      <c r="D622" s="182" t="n">
        <v>4653.864</v>
      </c>
      <c r="E622" s="182" t="n">
        <v>58.976</v>
      </c>
      <c r="F622" s="182" t="n">
        <v>3478.165</v>
      </c>
      <c r="G622" s="182" t="n">
        <v>373321</v>
      </c>
      <c r="H622" s="182" t="inlineStr"/>
      <c r="I622" s="182" t="inlineStr"/>
    </row>
    <row r="623" ht="15" customHeight="1" s="28">
      <c r="A623" s="181" t="n">
        <v>613</v>
      </c>
      <c r="B623" s="181" t="n">
        <v>612</v>
      </c>
      <c r="C623" s="181" t="n">
        <v>4717.2</v>
      </c>
      <c r="D623" s="181" t="n">
        <v>4653.5964</v>
      </c>
      <c r="E623" s="181" t="n">
        <v>63.6036</v>
      </c>
      <c r="F623" s="181" t="n">
        <v>4045.4154</v>
      </c>
      <c r="G623" s="181" t="n">
        <v>374544</v>
      </c>
      <c r="H623" s="181" t="inlineStr"/>
      <c r="I623" s="181" t="inlineStr"/>
    </row>
    <row r="624" ht="15" customHeight="1" s="28">
      <c r="A624" s="182" t="n">
        <v>614</v>
      </c>
      <c r="B624" s="182" t="n">
        <v>613</v>
      </c>
      <c r="C624" s="182" t="n">
        <v>4716.12</v>
      </c>
      <c r="D624" s="182" t="n">
        <v>4653.3288</v>
      </c>
      <c r="E624" s="182" t="n">
        <v>62.7912</v>
      </c>
      <c r="F624" s="182" t="n">
        <v>3942.7323</v>
      </c>
      <c r="G624" s="182" t="n">
        <v>375769</v>
      </c>
      <c r="H624" s="182" t="inlineStr"/>
      <c r="I624" s="182" t="inlineStr"/>
    </row>
    <row r="625" ht="15" customHeight="1" s="28">
      <c r="A625" s="181" t="n">
        <v>615</v>
      </c>
      <c r="B625" s="181" t="n">
        <v>614</v>
      </c>
      <c r="C625" s="181" t="n">
        <v>4714.85</v>
      </c>
      <c r="D625" s="181" t="n">
        <v>4653.0612</v>
      </c>
      <c r="E625" s="181" t="n">
        <v>61.7888</v>
      </c>
      <c r="F625" s="181" t="n">
        <v>3817.8533</v>
      </c>
      <c r="G625" s="181" t="n">
        <v>376996</v>
      </c>
      <c r="H625" s="181" t="inlineStr"/>
      <c r="I625" s="181" t="inlineStr"/>
    </row>
    <row r="626" ht="15" customHeight="1" s="28">
      <c r="A626" s="182" t="n">
        <v>616</v>
      </c>
      <c r="B626" s="182" t="n">
        <v>615</v>
      </c>
      <c r="C626" s="182" t="n">
        <v>4713.36</v>
      </c>
      <c r="D626" s="182" t="n">
        <v>4652.7936</v>
      </c>
      <c r="E626" s="182" t="n">
        <v>60.5664</v>
      </c>
      <c r="F626" s="182" t="n">
        <v>3668.2876</v>
      </c>
      <c r="G626" s="182" t="n">
        <v>378225</v>
      </c>
      <c r="H626" s="182" t="inlineStr"/>
      <c r="I626" s="182" t="inlineStr"/>
    </row>
    <row r="627" ht="15" customHeight="1" s="28">
      <c r="A627" s="181" t="n">
        <v>617</v>
      </c>
      <c r="B627" s="181" t="n">
        <v>616</v>
      </c>
      <c r="C627" s="181" t="n">
        <v>4710.86</v>
      </c>
      <c r="D627" s="181" t="n">
        <v>4652.526</v>
      </c>
      <c r="E627" s="181" t="n">
        <v>58.334</v>
      </c>
      <c r="F627" s="181" t="n">
        <v>3402.8544</v>
      </c>
      <c r="G627" s="181" t="n">
        <v>379456</v>
      </c>
      <c r="H627" s="181" t="inlineStr"/>
      <c r="I627" s="181" t="inlineStr"/>
    </row>
    <row r="628" ht="15" customHeight="1" s="28">
      <c r="A628" s="182" t="n">
        <v>618</v>
      </c>
      <c r="B628" s="182" t="n">
        <v>617</v>
      </c>
      <c r="C628" s="182" t="n">
        <v>4710.86</v>
      </c>
      <c r="D628" s="182" t="n">
        <v>4652.2584</v>
      </c>
      <c r="E628" s="182" t="n">
        <v>58.6016</v>
      </c>
      <c r="F628" s="182" t="n">
        <v>3434.1475</v>
      </c>
      <c r="G628" s="182" t="n">
        <v>380689</v>
      </c>
      <c r="H628" s="182" t="inlineStr"/>
      <c r="I628" s="182" t="inlineStr"/>
    </row>
    <row r="629" ht="15" customHeight="1" s="28">
      <c r="A629" s="181" t="n">
        <v>619</v>
      </c>
      <c r="B629" s="181" t="n">
        <v>618</v>
      </c>
      <c r="C629" s="181" t="n">
        <v>4711.89</v>
      </c>
      <c r="D629" s="181" t="n">
        <v>4651.9908</v>
      </c>
      <c r="E629" s="181" t="n">
        <v>59.8992</v>
      </c>
      <c r="F629" s="181" t="n">
        <v>3587.9142</v>
      </c>
      <c r="G629" s="181" t="n">
        <v>381924</v>
      </c>
      <c r="H629" s="181" t="inlineStr"/>
      <c r="I629" s="181" t="inlineStr"/>
    </row>
    <row r="630" ht="15" customHeight="1" s="28">
      <c r="A630" s="182" t="n">
        <v>620</v>
      </c>
      <c r="B630" s="182" t="n">
        <v>619</v>
      </c>
      <c r="C630" s="182" t="n">
        <v>4706.71</v>
      </c>
      <c r="D630" s="182" t="n">
        <v>4651.7232</v>
      </c>
      <c r="E630" s="182" t="n">
        <v>54.9868</v>
      </c>
      <c r="F630" s="182" t="n">
        <v>3023.5482</v>
      </c>
      <c r="G630" s="182" t="n">
        <v>383161</v>
      </c>
      <c r="H630" s="182" t="inlineStr"/>
      <c r="I630" s="182" t="inlineStr"/>
    </row>
    <row r="631" ht="15" customHeight="1" s="28">
      <c r="A631" s="181" t="n">
        <v>621</v>
      </c>
      <c r="B631" s="181" t="n">
        <v>620</v>
      </c>
      <c r="C631" s="181" t="n">
        <v>4705.12</v>
      </c>
      <c r="D631" s="181" t="n">
        <v>4651.4556</v>
      </c>
      <c r="E631" s="181" t="n">
        <v>53.6644</v>
      </c>
      <c r="F631" s="181" t="n">
        <v>2879.8689</v>
      </c>
      <c r="G631" s="181" t="n">
        <v>384400</v>
      </c>
      <c r="H631" s="181" t="inlineStr"/>
      <c r="I631" s="181" t="inlineStr"/>
    </row>
    <row r="632" ht="15" customHeight="1" s="28">
      <c r="A632" s="182" t="n">
        <v>622</v>
      </c>
      <c r="B632" s="182" t="n">
        <v>621</v>
      </c>
      <c r="C632" s="182" t="n">
        <v>4702.32</v>
      </c>
      <c r="D632" s="182" t="n">
        <v>4651.188</v>
      </c>
      <c r="E632" s="182" t="n">
        <v>51.132</v>
      </c>
      <c r="F632" s="182" t="n">
        <v>2614.4824</v>
      </c>
      <c r="G632" s="182" t="n">
        <v>385641</v>
      </c>
      <c r="H632" s="182" t="inlineStr"/>
      <c r="I632" s="182" t="inlineStr"/>
    </row>
    <row r="633" ht="15" customHeight="1" s="28">
      <c r="A633" s="181" t="n">
        <v>623</v>
      </c>
      <c r="B633" s="181" t="n">
        <v>622</v>
      </c>
      <c r="C633" s="181" t="n">
        <v>4704.64</v>
      </c>
      <c r="D633" s="181" t="n">
        <v>4650.9204</v>
      </c>
      <c r="E633" s="181" t="n">
        <v>53.7196</v>
      </c>
      <c r="F633" s="181" t="n">
        <v>2885.7976</v>
      </c>
      <c r="G633" s="181" t="n">
        <v>386884</v>
      </c>
      <c r="H633" s="181" t="inlineStr"/>
      <c r="I633" s="181" t="inlineStr"/>
    </row>
    <row r="634" ht="15" customHeight="1" s="28">
      <c r="A634" s="182" t="n">
        <v>624</v>
      </c>
      <c r="B634" s="182" t="n">
        <v>623</v>
      </c>
      <c r="C634" s="182" t="n">
        <v>4703.64</v>
      </c>
      <c r="D634" s="182" t="n">
        <v>4650.6528</v>
      </c>
      <c r="E634" s="182" t="n">
        <v>52.9872</v>
      </c>
      <c r="F634" s="182" t="n">
        <v>2807.6455</v>
      </c>
      <c r="G634" s="182" t="n">
        <v>388129</v>
      </c>
      <c r="H634" s="182" t="inlineStr"/>
      <c r="I634" s="182" t="inlineStr"/>
    </row>
    <row r="635" ht="15" customHeight="1" s="28">
      <c r="A635" s="181" t="n">
        <v>625</v>
      </c>
      <c r="B635" s="181" t="n">
        <v>624</v>
      </c>
      <c r="C635" s="181" t="n">
        <v>4701.91</v>
      </c>
      <c r="D635" s="181" t="n">
        <v>4650.3852</v>
      </c>
      <c r="E635" s="181" t="n">
        <v>51.5248</v>
      </c>
      <c r="F635" s="181" t="n">
        <v>2654.8071</v>
      </c>
      <c r="G635" s="181" t="n">
        <v>389376</v>
      </c>
      <c r="H635" s="181" t="inlineStr"/>
      <c r="I635" s="181" t="inlineStr"/>
    </row>
    <row r="636" ht="15" customHeight="1" s="28">
      <c r="A636" s="182" t="n">
        <v>626</v>
      </c>
      <c r="B636" s="182" t="n">
        <v>625</v>
      </c>
      <c r="C636" s="182" t="n">
        <v>4705.08</v>
      </c>
      <c r="D636" s="182" t="n">
        <v>4650.1176</v>
      </c>
      <c r="E636" s="182" t="n">
        <v>54.9624</v>
      </c>
      <c r="F636" s="182" t="n">
        <v>3020.8687</v>
      </c>
      <c r="G636" s="182" t="n">
        <v>390625</v>
      </c>
      <c r="H636" s="182" t="inlineStr"/>
      <c r="I636" s="182" t="inlineStr"/>
    </row>
    <row r="637" ht="15" customHeight="1" s="28">
      <c r="A637" s="181" t="n">
        <v>627</v>
      </c>
      <c r="B637" s="181" t="n">
        <v>626</v>
      </c>
      <c r="C637" s="181" t="n">
        <v>4709.07</v>
      </c>
      <c r="D637" s="181" t="n">
        <v>4649.85</v>
      </c>
      <c r="E637" s="181" t="n">
        <v>59.22</v>
      </c>
      <c r="F637" s="181" t="n">
        <v>3507.012</v>
      </c>
      <c r="G637" s="181" t="n">
        <v>391876</v>
      </c>
      <c r="H637" s="181" t="inlineStr"/>
      <c r="I637" s="181" t="inlineStr"/>
    </row>
    <row r="638" ht="15" customHeight="1" s="28">
      <c r="A638" s="182" t="n">
        <v>628</v>
      </c>
      <c r="B638" s="182" t="n">
        <v>627</v>
      </c>
      <c r="C638" s="182" t="n">
        <v>4708.79</v>
      </c>
      <c r="D638" s="182" t="n">
        <v>4649.5824</v>
      </c>
      <c r="E638" s="182" t="n">
        <v>59.2076</v>
      </c>
      <c r="F638" s="182" t="n">
        <v>3505.5446</v>
      </c>
      <c r="G638" s="182" t="n">
        <v>393129</v>
      </c>
      <c r="H638" s="182" t="inlineStr"/>
      <c r="I638" s="182" t="inlineStr"/>
    </row>
    <row r="639" ht="15" customHeight="1" s="28">
      <c r="A639" s="181" t="n">
        <v>629</v>
      </c>
      <c r="B639" s="181" t="n">
        <v>628</v>
      </c>
      <c r="C639" s="181" t="n">
        <v>4704.04</v>
      </c>
      <c r="D639" s="181" t="n">
        <v>4649.3148</v>
      </c>
      <c r="E639" s="181" t="n">
        <v>54.7252</v>
      </c>
      <c r="F639" s="181" t="n">
        <v>2994.8519</v>
      </c>
      <c r="G639" s="181" t="n">
        <v>394384</v>
      </c>
      <c r="H639" s="181" t="inlineStr"/>
      <c r="I639" s="181" t="inlineStr"/>
    </row>
    <row r="640" ht="15" customHeight="1" s="28">
      <c r="A640" s="182" t="n">
        <v>630</v>
      </c>
      <c r="B640" s="182" t="n">
        <v>629</v>
      </c>
      <c r="C640" s="182" t="n">
        <v>4705.21</v>
      </c>
      <c r="D640" s="182" t="n">
        <v>4649.0472</v>
      </c>
      <c r="E640" s="182" t="n">
        <v>56.1628</v>
      </c>
      <c r="F640" s="182" t="n">
        <v>3154.2657</v>
      </c>
      <c r="G640" s="182" t="n">
        <v>395641</v>
      </c>
      <c r="H640" s="182" t="inlineStr"/>
      <c r="I640" s="182" t="inlineStr"/>
    </row>
    <row r="641" ht="15" customHeight="1" s="28">
      <c r="A641" s="181" t="n">
        <v>631</v>
      </c>
      <c r="B641" s="181" t="n">
        <v>630</v>
      </c>
      <c r="C641" s="181" t="n">
        <v>4702.72</v>
      </c>
      <c r="D641" s="181" t="n">
        <v>4648.7796</v>
      </c>
      <c r="E641" s="181" t="n">
        <v>53.9405</v>
      </c>
      <c r="F641" s="181" t="n">
        <v>2909.5721</v>
      </c>
      <c r="G641" s="181" t="n">
        <v>396900</v>
      </c>
      <c r="H641" s="181" t="inlineStr"/>
      <c r="I641" s="181" t="inlineStr"/>
    </row>
    <row r="642" ht="15" customHeight="1" s="28">
      <c r="A642" s="182" t="n">
        <v>632</v>
      </c>
      <c r="B642" s="182" t="n">
        <v>631</v>
      </c>
      <c r="C642" s="182" t="n">
        <v>4704.89</v>
      </c>
      <c r="D642" s="182" t="n">
        <v>4648.512</v>
      </c>
      <c r="E642" s="182" t="n">
        <v>56.3781</v>
      </c>
      <c r="F642" s="182" t="n">
        <v>3178.4845</v>
      </c>
      <c r="G642" s="182" t="n">
        <v>398161</v>
      </c>
      <c r="H642" s="182" t="inlineStr"/>
      <c r="I642" s="182" t="inlineStr"/>
    </row>
    <row r="643" ht="15" customHeight="1" s="28">
      <c r="A643" s="181" t="n">
        <v>633</v>
      </c>
      <c r="B643" s="181" t="n">
        <v>632</v>
      </c>
      <c r="C643" s="181" t="n">
        <v>4708.83</v>
      </c>
      <c r="D643" s="181" t="n">
        <v>4648.2443</v>
      </c>
      <c r="E643" s="181" t="n">
        <v>60.5857</v>
      </c>
      <c r="F643" s="181" t="n">
        <v>3670.6222</v>
      </c>
      <c r="G643" s="181" t="n">
        <v>399424</v>
      </c>
      <c r="H643" s="181" t="inlineStr"/>
      <c r="I643" s="181" t="inlineStr"/>
    </row>
    <row r="644" ht="15" customHeight="1" s="28">
      <c r="A644" s="182" t="n">
        <v>634</v>
      </c>
      <c r="B644" s="182" t="n">
        <v>633</v>
      </c>
      <c r="C644" s="182" t="n">
        <v>4707.09</v>
      </c>
      <c r="D644" s="182" t="n">
        <v>4647.9767</v>
      </c>
      <c r="E644" s="182" t="n">
        <v>59.1133</v>
      </c>
      <c r="F644" s="182" t="n">
        <v>3494.3775</v>
      </c>
      <c r="G644" s="182" t="n">
        <v>400689</v>
      </c>
      <c r="H644" s="182" t="inlineStr"/>
      <c r="I644" s="182" t="inlineStr"/>
    </row>
    <row r="645" ht="15" customHeight="1" s="28">
      <c r="A645" s="181" t="n">
        <v>635</v>
      </c>
      <c r="B645" s="181" t="n">
        <v>634</v>
      </c>
      <c r="C645" s="181" t="n">
        <v>4698.81</v>
      </c>
      <c r="D645" s="181" t="n">
        <v>4647.7091</v>
      </c>
      <c r="E645" s="181" t="n">
        <v>51.1009</v>
      </c>
      <c r="F645" s="181" t="n">
        <v>2611.2989</v>
      </c>
      <c r="G645" s="181" t="n">
        <v>401956</v>
      </c>
      <c r="H645" s="181" t="inlineStr"/>
      <c r="I645" s="181" t="inlineStr"/>
    </row>
    <row r="646" ht="15" customHeight="1" s="28">
      <c r="A646" s="182" t="n">
        <v>636</v>
      </c>
      <c r="B646" s="182" t="n">
        <v>635</v>
      </c>
      <c r="C646" s="182" t="n">
        <v>4699.24</v>
      </c>
      <c r="D646" s="182" t="n">
        <v>4647.4415</v>
      </c>
      <c r="E646" s="182" t="n">
        <v>51.7985</v>
      </c>
      <c r="F646" s="182" t="n">
        <v>2683.0815</v>
      </c>
      <c r="G646" s="182" t="n">
        <v>403225</v>
      </c>
      <c r="H646" s="182" t="inlineStr"/>
      <c r="I646" s="182" t="inlineStr"/>
    </row>
    <row r="647" ht="15" customHeight="1" s="28">
      <c r="A647" s="181" t="n">
        <v>637</v>
      </c>
      <c r="B647" s="181" t="n">
        <v>636</v>
      </c>
      <c r="C647" s="181" t="n">
        <v>4695.99</v>
      </c>
      <c r="D647" s="181" t="n">
        <v>4647.1739</v>
      </c>
      <c r="E647" s="181" t="n">
        <v>48.8161</v>
      </c>
      <c r="F647" s="181" t="n">
        <v>2383.0087</v>
      </c>
      <c r="G647" s="181" t="n">
        <v>404496</v>
      </c>
      <c r="H647" s="181" t="inlineStr"/>
      <c r="I647" s="181" t="inlineStr"/>
    </row>
    <row r="648" ht="15" customHeight="1" s="28">
      <c r="A648" s="182" t="n">
        <v>638</v>
      </c>
      <c r="B648" s="182" t="n">
        <v>637</v>
      </c>
      <c r="C648" s="182" t="n">
        <v>4699.95</v>
      </c>
      <c r="D648" s="182" t="n">
        <v>4646.9063</v>
      </c>
      <c r="E648" s="182" t="n">
        <v>53.0437</v>
      </c>
      <c r="F648" s="182" t="n">
        <v>2813.632</v>
      </c>
      <c r="G648" s="182" t="n">
        <v>405769</v>
      </c>
      <c r="H648" s="182" t="inlineStr"/>
      <c r="I648" s="182" t="inlineStr"/>
    </row>
    <row r="649" ht="15" customHeight="1" s="28">
      <c r="A649" s="181" t="n">
        <v>639</v>
      </c>
      <c r="B649" s="181" t="n">
        <v>638</v>
      </c>
      <c r="C649" s="181" t="n">
        <v>4693.29</v>
      </c>
      <c r="D649" s="181" t="n">
        <v>4646.6387</v>
      </c>
      <c r="E649" s="181" t="n">
        <v>46.6513</v>
      </c>
      <c r="F649" s="181" t="n">
        <v>2176.3419</v>
      </c>
      <c r="G649" s="181" t="n">
        <v>407044</v>
      </c>
      <c r="H649" s="181" t="inlineStr"/>
      <c r="I649" s="181" t="inlineStr"/>
    </row>
    <row r="650" ht="15" customHeight="1" s="28">
      <c r="A650" s="182" t="n">
        <v>640</v>
      </c>
      <c r="B650" s="182" t="n">
        <v>639</v>
      </c>
      <c r="C650" s="182" t="n">
        <v>4696.1</v>
      </c>
      <c r="D650" s="182" t="n">
        <v>4646.3711</v>
      </c>
      <c r="E650" s="182" t="n">
        <v>49.7289</v>
      </c>
      <c r="F650" s="182" t="n">
        <v>2472.9625</v>
      </c>
      <c r="G650" s="182" t="n">
        <v>408321</v>
      </c>
      <c r="H650" s="182" t="inlineStr"/>
      <c r="I650" s="182" t="inlineStr"/>
    </row>
    <row r="651" ht="15" customHeight="1" s="28">
      <c r="A651" s="181" t="n">
        <v>641</v>
      </c>
      <c r="B651" s="181" t="n">
        <v>640</v>
      </c>
      <c r="C651" s="181" t="n">
        <v>4692.58</v>
      </c>
      <c r="D651" s="181" t="n">
        <v>4646.1035</v>
      </c>
      <c r="E651" s="181" t="n">
        <v>46.4765</v>
      </c>
      <c r="F651" s="181" t="n">
        <v>2160.0641</v>
      </c>
      <c r="G651" s="181" t="n">
        <v>409600</v>
      </c>
      <c r="H651" s="181" t="inlineStr"/>
      <c r="I651" s="181" t="inlineStr"/>
    </row>
    <row r="652" ht="15" customHeight="1" s="28">
      <c r="A652" s="182" t="n">
        <v>642</v>
      </c>
      <c r="B652" s="182" t="n">
        <v>641</v>
      </c>
      <c r="C652" s="182" t="n">
        <v>4689.03</v>
      </c>
      <c r="D652" s="182" t="n">
        <v>4645.8359</v>
      </c>
      <c r="E652" s="182" t="n">
        <v>43.1941</v>
      </c>
      <c r="F652" s="182" t="n">
        <v>1865.7294</v>
      </c>
      <c r="G652" s="182" t="n">
        <v>410881</v>
      </c>
      <c r="H652" s="182" t="inlineStr"/>
      <c r="I652" s="182" t="inlineStr"/>
    </row>
    <row r="653" ht="15" customHeight="1" s="28">
      <c r="A653" s="181" t="n">
        <v>643</v>
      </c>
      <c r="B653" s="181" t="n">
        <v>642</v>
      </c>
      <c r="C653" s="181" t="n">
        <v>4693.62</v>
      </c>
      <c r="D653" s="181" t="n">
        <v>4645.5683</v>
      </c>
      <c r="E653" s="181" t="n">
        <v>48.0517</v>
      </c>
      <c r="F653" s="181" t="n">
        <v>2308.9659</v>
      </c>
      <c r="G653" s="181" t="n">
        <v>412164</v>
      </c>
      <c r="H653" s="181" t="inlineStr"/>
      <c r="I653" s="181" t="inlineStr"/>
    </row>
    <row r="654" ht="15" customHeight="1" s="28">
      <c r="A654" s="182" t="n">
        <v>644</v>
      </c>
      <c r="B654" s="182" t="n">
        <v>643</v>
      </c>
      <c r="C654" s="182" t="n">
        <v>4678.21</v>
      </c>
      <c r="D654" s="182" t="n">
        <v>4645.3007</v>
      </c>
      <c r="E654" s="182" t="n">
        <v>32.9093</v>
      </c>
      <c r="F654" s="182" t="n">
        <v>1083.022</v>
      </c>
      <c r="G654" s="182" t="n">
        <v>413449</v>
      </c>
      <c r="H654" s="182" t="inlineStr"/>
      <c r="I654" s="182" t="inlineStr"/>
    </row>
    <row r="655" ht="15" customHeight="1" s="28">
      <c r="A655" s="181" t="n">
        <v>645</v>
      </c>
      <c r="B655" s="181" t="n">
        <v>644</v>
      </c>
      <c r="C655" s="181" t="n">
        <v>4674.65</v>
      </c>
      <c r="D655" s="181" t="n">
        <v>4645.0331</v>
      </c>
      <c r="E655" s="181" t="n">
        <v>29.6169</v>
      </c>
      <c r="F655" s="181" t="n">
        <v>877.1614</v>
      </c>
      <c r="G655" s="181" t="n">
        <v>414736</v>
      </c>
      <c r="H655" s="181" t="inlineStr"/>
      <c r="I655" s="181" t="inlineStr"/>
    </row>
    <row r="656" ht="15" customHeight="1" s="28">
      <c r="A656" s="182" t="n">
        <v>646</v>
      </c>
      <c r="B656" s="182" t="n">
        <v>645</v>
      </c>
      <c r="C656" s="182" t="n">
        <v>4681.21</v>
      </c>
      <c r="D656" s="182" t="n">
        <v>4644.7655</v>
      </c>
      <c r="E656" s="182" t="n">
        <v>36.4445</v>
      </c>
      <c r="F656" s="182" t="n">
        <v>1328.2023</v>
      </c>
      <c r="G656" s="182" t="n">
        <v>416025</v>
      </c>
      <c r="H656" s="182" t="inlineStr"/>
      <c r="I656" s="182" t="inlineStr"/>
    </row>
    <row r="657" ht="15" customHeight="1" s="28">
      <c r="A657" s="181" t="n">
        <v>647</v>
      </c>
      <c r="B657" s="181" t="n">
        <v>646</v>
      </c>
      <c r="C657" s="181" t="n">
        <v>4677.6</v>
      </c>
      <c r="D657" s="181" t="n">
        <v>4644.4979</v>
      </c>
      <c r="E657" s="181" t="n">
        <v>33.1021</v>
      </c>
      <c r="F657" s="181" t="n">
        <v>1095.7497</v>
      </c>
      <c r="G657" s="181" t="n">
        <v>417316</v>
      </c>
      <c r="H657" s="181" t="inlineStr"/>
      <c r="I657" s="181" t="inlineStr"/>
    </row>
    <row r="658" ht="15" customHeight="1" s="28">
      <c r="A658" s="182" t="n">
        <v>648</v>
      </c>
      <c r="B658" s="182" t="n">
        <v>647</v>
      </c>
      <c r="C658" s="182" t="n">
        <v>4670.04</v>
      </c>
      <c r="D658" s="182" t="n">
        <v>4644.2303</v>
      </c>
      <c r="E658" s="182" t="n">
        <v>25.8097</v>
      </c>
      <c r="F658" s="182" t="n">
        <v>666.1416</v>
      </c>
      <c r="G658" s="182" t="n">
        <v>418609</v>
      </c>
      <c r="H658" s="182" t="inlineStr"/>
      <c r="I658" s="182" t="inlineStr"/>
    </row>
    <row r="659" ht="15" customHeight="1" s="28">
      <c r="A659" s="181" t="n">
        <v>649</v>
      </c>
      <c r="B659" s="181" t="n">
        <v>648</v>
      </c>
      <c r="C659" s="181" t="n">
        <v>4674.71</v>
      </c>
      <c r="D659" s="181" t="n">
        <v>4643.9627</v>
      </c>
      <c r="E659" s="181" t="n">
        <v>30.7473</v>
      </c>
      <c r="F659" s="181" t="n">
        <v>945.3977</v>
      </c>
      <c r="G659" s="181" t="n">
        <v>419904</v>
      </c>
      <c r="H659" s="181" t="inlineStr"/>
      <c r="I659" s="181" t="inlineStr"/>
    </row>
    <row r="660" ht="15" customHeight="1" s="28">
      <c r="A660" s="182" t="n">
        <v>650</v>
      </c>
      <c r="B660" s="182" t="n">
        <v>649</v>
      </c>
      <c r="C660" s="182" t="n">
        <v>4676.38</v>
      </c>
      <c r="D660" s="182" t="n">
        <v>4643.6951</v>
      </c>
      <c r="E660" s="182" t="n">
        <v>32.6849</v>
      </c>
      <c r="F660" s="182" t="n">
        <v>1068.3046</v>
      </c>
      <c r="G660" s="182" t="n">
        <v>421201</v>
      </c>
      <c r="H660" s="182" t="inlineStr"/>
      <c r="I660" s="182" t="inlineStr"/>
    </row>
    <row r="661" ht="15" customHeight="1" s="28">
      <c r="A661" s="181" t="n">
        <v>651</v>
      </c>
      <c r="B661" s="181" t="n">
        <v>650</v>
      </c>
      <c r="C661" s="181" t="n">
        <v>4674.98</v>
      </c>
      <c r="D661" s="181" t="n">
        <v>4643.4275</v>
      </c>
      <c r="E661" s="181" t="n">
        <v>31.5525</v>
      </c>
      <c r="F661" s="181" t="n">
        <v>995.5621</v>
      </c>
      <c r="G661" s="181" t="n">
        <v>422500</v>
      </c>
      <c r="H661" s="181" t="inlineStr"/>
      <c r="I661" s="181" t="inlineStr"/>
    </row>
    <row r="662" ht="15" customHeight="1" s="28">
      <c r="A662" s="182" t="n">
        <v>652</v>
      </c>
      <c r="B662" s="182" t="n">
        <v>651</v>
      </c>
      <c r="C662" s="182" t="n">
        <v>4676.82</v>
      </c>
      <c r="D662" s="182" t="n">
        <v>4643.1599</v>
      </c>
      <c r="E662" s="182" t="n">
        <v>33.6601</v>
      </c>
      <c r="F662" s="182" t="n">
        <v>1133.005</v>
      </c>
      <c r="G662" s="182" t="n">
        <v>423801</v>
      </c>
      <c r="H662" s="182" t="inlineStr"/>
      <c r="I662" s="182" t="inlineStr"/>
    </row>
    <row r="663" ht="15" customHeight="1" s="28">
      <c r="A663" s="181" t="n">
        <v>653</v>
      </c>
      <c r="B663" s="181" t="n">
        <v>652</v>
      </c>
      <c r="C663" s="181" t="n">
        <v>4673.86</v>
      </c>
      <c r="D663" s="181" t="n">
        <v>4642.8923</v>
      </c>
      <c r="E663" s="181" t="n">
        <v>30.9677</v>
      </c>
      <c r="F663" s="181" t="n">
        <v>959.0009</v>
      </c>
      <c r="G663" s="181" t="n">
        <v>425104</v>
      </c>
      <c r="H663" s="181" t="inlineStr"/>
      <c r="I663" s="181" t="inlineStr"/>
    </row>
    <row r="664" ht="15" customHeight="1" s="28">
      <c r="A664" s="182" t="n">
        <v>654</v>
      </c>
      <c r="B664" s="182" t="n">
        <v>653</v>
      </c>
      <c r="C664" s="182" t="n">
        <v>4679.82</v>
      </c>
      <c r="D664" s="182" t="n">
        <v>4642.6247</v>
      </c>
      <c r="E664" s="182" t="n">
        <v>37.1953</v>
      </c>
      <c r="F664" s="182" t="n">
        <v>1383.4933</v>
      </c>
      <c r="G664" s="182" t="n">
        <v>426409</v>
      </c>
      <c r="H664" s="182" t="inlineStr"/>
      <c r="I664" s="182" t="inlineStr"/>
    </row>
    <row r="665" ht="15" customHeight="1" s="28">
      <c r="A665" s="181" t="n">
        <v>655</v>
      </c>
      <c r="B665" s="181" t="n">
        <v>654</v>
      </c>
      <c r="C665" s="181" t="n">
        <v>4683.29</v>
      </c>
      <c r="D665" s="181" t="n">
        <v>4642.357</v>
      </c>
      <c r="E665" s="181" t="n">
        <v>40.933</v>
      </c>
      <c r="F665" s="181" t="n">
        <v>1675.5064</v>
      </c>
      <c r="G665" s="181" t="n">
        <v>427716</v>
      </c>
      <c r="H665" s="181" t="inlineStr"/>
      <c r="I665" s="181" t="inlineStr"/>
    </row>
    <row r="666" ht="15" customHeight="1" s="28">
      <c r="A666" s="182" t="n">
        <v>656</v>
      </c>
      <c r="B666" s="182" t="n">
        <v>655</v>
      </c>
      <c r="C666" s="182" t="n">
        <v>4682.1</v>
      </c>
      <c r="D666" s="182" t="n">
        <v>4642.0895</v>
      </c>
      <c r="E666" s="182" t="n">
        <v>40.0105</v>
      </c>
      <c r="F666" s="182" t="n">
        <v>1600.8441</v>
      </c>
      <c r="G666" s="182" t="n">
        <v>429025</v>
      </c>
      <c r="H666" s="182" t="inlineStr"/>
      <c r="I666" s="182" t="inlineStr"/>
    </row>
    <row r="667" ht="15" customHeight="1" s="28">
      <c r="A667" s="181" t="n">
        <v>657</v>
      </c>
      <c r="B667" s="181" t="n">
        <v>656</v>
      </c>
      <c r="C667" s="181" t="n">
        <v>4681.62</v>
      </c>
      <c r="D667" s="181" t="n">
        <v>4641.8218</v>
      </c>
      <c r="E667" s="181" t="n">
        <v>39.7982</v>
      </c>
      <c r="F667" s="181" t="n">
        <v>1583.8935</v>
      </c>
      <c r="G667" s="181" t="n">
        <v>430336</v>
      </c>
      <c r="H667" s="181" t="inlineStr"/>
      <c r="I667" s="181" t="inlineStr"/>
    </row>
    <row r="668" ht="15" customHeight="1" s="28">
      <c r="A668" s="182" t="n">
        <v>658</v>
      </c>
      <c r="B668" s="182" t="n">
        <v>657</v>
      </c>
      <c r="C668" s="182" t="n">
        <v>4684.05</v>
      </c>
      <c r="D668" s="182" t="n">
        <v>4641.5542</v>
      </c>
      <c r="E668" s="182" t="n">
        <v>42.4958</v>
      </c>
      <c r="F668" s="182" t="n">
        <v>1805.8896</v>
      </c>
      <c r="G668" s="182" t="n">
        <v>431649</v>
      </c>
      <c r="H668" s="182" t="inlineStr"/>
      <c r="I668" s="182" t="inlineStr"/>
    </row>
    <row r="669" ht="15" customHeight="1" s="28">
      <c r="A669" s="181" t="n">
        <v>659</v>
      </c>
      <c r="B669" s="181" t="n">
        <v>658</v>
      </c>
      <c r="C669" s="181" t="n">
        <v>4682.77</v>
      </c>
      <c r="D669" s="181" t="n">
        <v>4641.2866</v>
      </c>
      <c r="E669" s="181" t="n">
        <v>41.4834</v>
      </c>
      <c r="F669" s="181" t="n">
        <v>1720.8692</v>
      </c>
      <c r="G669" s="181" t="n">
        <v>432964</v>
      </c>
      <c r="H669" s="181" t="inlineStr"/>
      <c r="I669" s="181" t="inlineStr"/>
    </row>
    <row r="670" ht="15" customHeight="1" s="28">
      <c r="A670" s="182" t="n">
        <v>660</v>
      </c>
      <c r="B670" s="182" t="n">
        <v>659</v>
      </c>
      <c r="C670" s="182" t="n">
        <v>4680.74</v>
      </c>
      <c r="D670" s="182" t="n">
        <v>4641.019</v>
      </c>
      <c r="E670" s="182" t="n">
        <v>39.721</v>
      </c>
      <c r="F670" s="182" t="n">
        <v>1577.7555</v>
      </c>
      <c r="G670" s="182" t="n">
        <v>434281</v>
      </c>
      <c r="H670" s="182" t="inlineStr"/>
      <c r="I670" s="182" t="inlineStr"/>
    </row>
    <row r="671" ht="15" customHeight="1" s="28">
      <c r="A671" s="181" t="n">
        <v>661</v>
      </c>
      <c r="B671" s="181" t="n">
        <v>660</v>
      </c>
      <c r="C671" s="181" t="n">
        <v>4680.36</v>
      </c>
      <c r="D671" s="181" t="n">
        <v>4640.7514</v>
      </c>
      <c r="E671" s="181" t="n">
        <v>39.6086</v>
      </c>
      <c r="F671" s="181" t="n">
        <v>1568.8388</v>
      </c>
      <c r="G671" s="181" t="n">
        <v>435600</v>
      </c>
      <c r="H671" s="181" t="inlineStr"/>
      <c r="I671" s="181" t="inlineStr"/>
    </row>
    <row r="672" ht="15" customHeight="1" s="28">
      <c r="A672" s="182" t="n">
        <v>662</v>
      </c>
      <c r="B672" s="182" t="n">
        <v>661</v>
      </c>
      <c r="C672" s="182" t="n">
        <v>4682.18</v>
      </c>
      <c r="D672" s="182" t="n">
        <v>4640.4838</v>
      </c>
      <c r="E672" s="182" t="n">
        <v>41.6962</v>
      </c>
      <c r="F672" s="182" t="n">
        <v>1738.5714</v>
      </c>
      <c r="G672" s="182" t="n">
        <v>436921</v>
      </c>
      <c r="H672" s="182" t="inlineStr"/>
      <c r="I672" s="182" t="inlineStr"/>
    </row>
    <row r="673" ht="15" customHeight="1" s="28">
      <c r="A673" s="181" t="n">
        <v>663</v>
      </c>
      <c r="B673" s="181" t="n">
        <v>662</v>
      </c>
      <c r="C673" s="181" t="n">
        <v>4679.98</v>
      </c>
      <c r="D673" s="181" t="n">
        <v>4640.2162</v>
      </c>
      <c r="E673" s="181" t="n">
        <v>39.7638</v>
      </c>
      <c r="F673" s="181" t="n">
        <v>1581.1582</v>
      </c>
      <c r="G673" s="181" t="n">
        <v>438244</v>
      </c>
      <c r="H673" s="181" t="inlineStr"/>
      <c r="I673" s="181" t="inlineStr"/>
    </row>
    <row r="674" ht="15" customHeight="1" s="28">
      <c r="A674" s="182" t="n">
        <v>664</v>
      </c>
      <c r="B674" s="182" t="n">
        <v>663</v>
      </c>
      <c r="C674" s="182" t="n">
        <v>4680.71</v>
      </c>
      <c r="D674" s="182" t="n">
        <v>4639.9486</v>
      </c>
      <c r="E674" s="182" t="n">
        <v>40.7614</v>
      </c>
      <c r="F674" s="182" t="n">
        <v>1661.4901</v>
      </c>
      <c r="G674" s="182" t="n">
        <v>439569</v>
      </c>
      <c r="H674" s="182" t="inlineStr"/>
      <c r="I674" s="182" t="inlineStr"/>
    </row>
    <row r="675" ht="15" customHeight="1" s="28">
      <c r="A675" s="181" t="n">
        <v>665</v>
      </c>
      <c r="B675" s="181" t="n">
        <v>664</v>
      </c>
      <c r="C675" s="181" t="n">
        <v>4679.22</v>
      </c>
      <c r="D675" s="181" t="n">
        <v>4639.681</v>
      </c>
      <c r="E675" s="181" t="n">
        <v>39.539</v>
      </c>
      <c r="F675" s="181" t="n">
        <v>1563.3317</v>
      </c>
      <c r="G675" s="181" t="n">
        <v>440896</v>
      </c>
      <c r="H675" s="181" t="inlineStr"/>
      <c r="I675" s="181" t="inlineStr"/>
    </row>
    <row r="676" ht="15" customHeight="1" s="28">
      <c r="A676" s="182" t="n">
        <v>666</v>
      </c>
      <c r="B676" s="182" t="n">
        <v>665</v>
      </c>
      <c r="C676" s="182" t="n">
        <v>4679.83</v>
      </c>
      <c r="D676" s="182" t="n">
        <v>4639.4134</v>
      </c>
      <c r="E676" s="182" t="n">
        <v>40.4166</v>
      </c>
      <c r="F676" s="182" t="n">
        <v>1633.5007</v>
      </c>
      <c r="G676" s="182" t="n">
        <v>442225</v>
      </c>
      <c r="H676" s="182" t="inlineStr"/>
      <c r="I676" s="182" t="inlineStr"/>
    </row>
    <row r="677" ht="15" customHeight="1" s="28">
      <c r="A677" s="181" t="n">
        <v>667</v>
      </c>
      <c r="B677" s="181" t="n">
        <v>666</v>
      </c>
      <c r="C677" s="181" t="n">
        <v>4680.18</v>
      </c>
      <c r="D677" s="181" t="n">
        <v>4639.1458</v>
      </c>
      <c r="E677" s="181" t="n">
        <v>41.0342</v>
      </c>
      <c r="F677" s="181" t="n">
        <v>1683.8056</v>
      </c>
      <c r="G677" s="181" t="n">
        <v>443556</v>
      </c>
      <c r="H677" s="181" t="inlineStr"/>
      <c r="I677" s="181" t="inlineStr"/>
    </row>
    <row r="678" ht="15" customHeight="1" s="28">
      <c r="A678" s="182" t="n">
        <v>668</v>
      </c>
      <c r="B678" s="182" t="n">
        <v>667</v>
      </c>
      <c r="C678" s="182" t="n">
        <v>4681.84</v>
      </c>
      <c r="D678" s="182" t="n">
        <v>4638.8782</v>
      </c>
      <c r="E678" s="182" t="n">
        <v>42.9618</v>
      </c>
      <c r="F678" s="182" t="n">
        <v>1845.7163</v>
      </c>
      <c r="G678" s="182" t="n">
        <v>444889</v>
      </c>
      <c r="H678" s="182" t="inlineStr"/>
      <c r="I678" s="182" t="inlineStr"/>
    </row>
    <row r="679" ht="15" customHeight="1" s="28">
      <c r="A679" s="181" t="n">
        <v>669</v>
      </c>
      <c r="B679" s="181" t="n">
        <v>668</v>
      </c>
      <c r="C679" s="181" t="n">
        <v>4689.32</v>
      </c>
      <c r="D679" s="181" t="n">
        <v>4638.6106</v>
      </c>
      <c r="E679" s="181" t="n">
        <v>50.7094</v>
      </c>
      <c r="F679" s="181" t="n">
        <v>2571.4432</v>
      </c>
      <c r="G679" s="181" t="n">
        <v>446224</v>
      </c>
      <c r="H679" s="181" t="inlineStr"/>
      <c r="I679" s="181" t="inlineStr"/>
    </row>
    <row r="680" ht="15" customHeight="1" s="28">
      <c r="A680" s="182" t="n">
        <v>670</v>
      </c>
      <c r="B680" s="182" t="n">
        <v>669</v>
      </c>
      <c r="C680" s="182" t="n">
        <v>4689.07</v>
      </c>
      <c r="D680" s="182" t="n">
        <v>4638.343</v>
      </c>
      <c r="E680" s="182" t="n">
        <v>50.727</v>
      </c>
      <c r="F680" s="182" t="n">
        <v>2573.2295</v>
      </c>
      <c r="G680" s="182" t="n">
        <v>447561</v>
      </c>
      <c r="H680" s="182" t="inlineStr"/>
      <c r="I680" s="182" t="inlineStr"/>
    </row>
    <row r="681" ht="15" customHeight="1" s="28">
      <c r="A681" s="181" t="n">
        <v>671</v>
      </c>
      <c r="B681" s="181" t="n">
        <v>670</v>
      </c>
      <c r="C681" s="181" t="n">
        <v>4687.28</v>
      </c>
      <c r="D681" s="181" t="n">
        <v>4638.0754</v>
      </c>
      <c r="E681" s="181" t="n">
        <v>49.2046</v>
      </c>
      <c r="F681" s="181" t="n">
        <v>2421.0936</v>
      </c>
      <c r="G681" s="181" t="n">
        <v>448900</v>
      </c>
      <c r="H681" s="181" t="inlineStr"/>
      <c r="I681" s="181" t="inlineStr"/>
    </row>
    <row r="682" ht="15" customHeight="1" s="28">
      <c r="A682" s="182" t="n">
        <v>672</v>
      </c>
      <c r="B682" s="182" t="n">
        <v>671</v>
      </c>
      <c r="C682" s="182" t="n">
        <v>4687.93</v>
      </c>
      <c r="D682" s="182" t="n">
        <v>4637.8078</v>
      </c>
      <c r="E682" s="182" t="n">
        <v>50.1222</v>
      </c>
      <c r="F682" s="182" t="n">
        <v>2512.2369</v>
      </c>
      <c r="G682" s="182" t="n">
        <v>450241</v>
      </c>
      <c r="H682" s="182" t="inlineStr"/>
      <c r="I682" s="182" t="inlineStr"/>
    </row>
    <row r="683" ht="15" customHeight="1" s="28">
      <c r="A683" s="181" t="n">
        <v>673</v>
      </c>
      <c r="B683" s="181" t="n">
        <v>672</v>
      </c>
      <c r="C683" s="181" t="n">
        <v>4689.83</v>
      </c>
      <c r="D683" s="181" t="n">
        <v>4637.5402</v>
      </c>
      <c r="E683" s="181" t="n">
        <v>52.2898</v>
      </c>
      <c r="F683" s="181" t="n">
        <v>2734.2253</v>
      </c>
      <c r="G683" s="181" t="n">
        <v>451584</v>
      </c>
      <c r="H683" s="181" t="inlineStr"/>
      <c r="I683" s="181" t="inlineStr"/>
    </row>
    <row r="684" ht="15" customHeight="1" s="28">
      <c r="A684" s="182" t="n">
        <v>674</v>
      </c>
      <c r="B684" s="182" t="n">
        <v>673</v>
      </c>
      <c r="C684" s="182" t="n">
        <v>4690.82</v>
      </c>
      <c r="D684" s="182" t="n">
        <v>4637.2726</v>
      </c>
      <c r="E684" s="182" t="n">
        <v>53.5474</v>
      </c>
      <c r="F684" s="182" t="n">
        <v>2867.3262</v>
      </c>
      <c r="G684" s="182" t="n">
        <v>452929</v>
      </c>
      <c r="H684" s="182" t="inlineStr"/>
      <c r="I684" s="182" t="inlineStr"/>
    </row>
    <row r="685" ht="15" customHeight="1" s="28">
      <c r="A685" s="181" t="n">
        <v>675</v>
      </c>
      <c r="B685" s="181" t="n">
        <v>674</v>
      </c>
      <c r="C685" s="181" t="n">
        <v>4694.41</v>
      </c>
      <c r="D685" s="181" t="n">
        <v>4637.005</v>
      </c>
      <c r="E685" s="181" t="n">
        <v>57.405</v>
      </c>
      <c r="F685" s="181" t="n">
        <v>3295.3375</v>
      </c>
      <c r="G685" s="181" t="n">
        <v>454276</v>
      </c>
      <c r="H685" s="181" t="inlineStr"/>
      <c r="I685" s="181" t="inlineStr"/>
    </row>
    <row r="686" ht="15" customHeight="1" s="28">
      <c r="A686" s="182" t="n">
        <v>676</v>
      </c>
      <c r="B686" s="182" t="n">
        <v>675</v>
      </c>
      <c r="C686" s="182" t="n">
        <v>4691.85</v>
      </c>
      <c r="D686" s="182" t="n">
        <v>4636.7374</v>
      </c>
      <c r="E686" s="182" t="n">
        <v>55.1126</v>
      </c>
      <c r="F686" s="182" t="n">
        <v>3037.402</v>
      </c>
      <c r="G686" s="182" t="n">
        <v>455625</v>
      </c>
      <c r="H686" s="182" t="inlineStr"/>
      <c r="I686" s="182" t="inlineStr"/>
    </row>
    <row r="687" ht="15" customHeight="1" s="28">
      <c r="A687" s="181" t="n">
        <v>677</v>
      </c>
      <c r="B687" s="181" t="n">
        <v>676</v>
      </c>
      <c r="C687" s="181" t="n">
        <v>4697.91</v>
      </c>
      <c r="D687" s="181" t="n">
        <v>4636.4698</v>
      </c>
      <c r="E687" s="181" t="n">
        <v>61.4402</v>
      </c>
      <c r="F687" s="181" t="n">
        <v>3774.9031</v>
      </c>
      <c r="G687" s="181" t="n">
        <v>456976</v>
      </c>
      <c r="H687" s="181" t="inlineStr"/>
      <c r="I687" s="181" t="inlineStr"/>
    </row>
    <row r="688" ht="15" customHeight="1" s="28">
      <c r="A688" s="182" t="n">
        <v>678</v>
      </c>
      <c r="B688" s="182" t="n">
        <v>677</v>
      </c>
      <c r="C688" s="182" t="n">
        <v>4695.01</v>
      </c>
      <c r="D688" s="182" t="n">
        <v>4636.2022</v>
      </c>
      <c r="E688" s="182" t="n">
        <v>58.8078</v>
      </c>
      <c r="F688" s="182" t="n">
        <v>3458.362</v>
      </c>
      <c r="G688" s="182" t="n">
        <v>458329</v>
      </c>
      <c r="H688" s="182" t="inlineStr"/>
      <c r="I688" s="182" t="inlineStr"/>
    </row>
    <row r="689" ht="15" customHeight="1" s="28">
      <c r="A689" s="181" t="n">
        <v>679</v>
      </c>
      <c r="B689" s="181" t="n">
        <v>678</v>
      </c>
      <c r="C689" s="181" t="n">
        <v>4693.71</v>
      </c>
      <c r="D689" s="181" t="n">
        <v>4635.9345</v>
      </c>
      <c r="E689" s="181" t="n">
        <v>57.7755</v>
      </c>
      <c r="F689" s="181" t="n">
        <v>3338.0026</v>
      </c>
      <c r="G689" s="181" t="n">
        <v>459684</v>
      </c>
      <c r="H689" s="181" t="inlineStr"/>
      <c r="I689" s="181" t="inlineStr"/>
    </row>
    <row r="690" ht="15" customHeight="1" s="28">
      <c r="A690" s="182" t="n">
        <v>680</v>
      </c>
      <c r="B690" s="182" t="n">
        <v>679</v>
      </c>
      <c r="C690" s="182" t="n">
        <v>4690.53</v>
      </c>
      <c r="D690" s="182" t="n">
        <v>4635.6669</v>
      </c>
      <c r="E690" s="182" t="n">
        <v>54.863</v>
      </c>
      <c r="F690" s="182" t="n">
        <v>3009.9543</v>
      </c>
      <c r="G690" s="182" t="n">
        <v>461041</v>
      </c>
      <c r="H690" s="182" t="inlineStr"/>
      <c r="I690" s="182" t="inlineStr"/>
    </row>
    <row r="691" ht="15" customHeight="1" s="28">
      <c r="A691" s="181" t="n">
        <v>681</v>
      </c>
      <c r="B691" s="181" t="n">
        <v>680</v>
      </c>
      <c r="C691" s="181" t="n">
        <v>4688.24</v>
      </c>
      <c r="D691" s="181" t="n">
        <v>4635.3993</v>
      </c>
      <c r="E691" s="181" t="n">
        <v>52.8407</v>
      </c>
      <c r="F691" s="181" t="n">
        <v>2792.1343</v>
      </c>
      <c r="G691" s="181" t="n">
        <v>462400</v>
      </c>
      <c r="H691" s="181" t="inlineStr"/>
      <c r="I691" s="181" t="inlineStr"/>
    </row>
    <row r="692" ht="15" customHeight="1" s="28">
      <c r="A692" s="182" t="n">
        <v>682</v>
      </c>
      <c r="B692" s="182" t="n">
        <v>681</v>
      </c>
      <c r="C692" s="182" t="n">
        <v>4687.7</v>
      </c>
      <c r="D692" s="182" t="n">
        <v>4635.1317</v>
      </c>
      <c r="E692" s="182" t="n">
        <v>52.5683</v>
      </c>
      <c r="F692" s="182" t="n">
        <v>2763.422</v>
      </c>
      <c r="G692" s="182" t="n">
        <v>463761</v>
      </c>
      <c r="H692" s="182" t="inlineStr"/>
      <c r="I692" s="182" t="inlineStr"/>
    </row>
    <row r="693" ht="15" customHeight="1" s="28">
      <c r="A693" s="181" t="n">
        <v>683</v>
      </c>
      <c r="B693" s="181" t="n">
        <v>682</v>
      </c>
      <c r="C693" s="181" t="n">
        <v>4687.37</v>
      </c>
      <c r="D693" s="181" t="n">
        <v>4634.8641</v>
      </c>
      <c r="E693" s="181" t="n">
        <v>52.5059</v>
      </c>
      <c r="F693" s="181" t="n">
        <v>2756.8653</v>
      </c>
      <c r="G693" s="181" t="n">
        <v>465124</v>
      </c>
      <c r="H693" s="181" t="inlineStr"/>
      <c r="I693" s="181" t="inlineStr"/>
    </row>
    <row r="694" ht="15" customHeight="1" s="28">
      <c r="A694" s="182" t="n">
        <v>684</v>
      </c>
      <c r="B694" s="182" t="n">
        <v>683</v>
      </c>
      <c r="C694" s="182" t="n">
        <v>4670.88</v>
      </c>
      <c r="D694" s="182" t="n">
        <v>4634.5965</v>
      </c>
      <c r="E694" s="182" t="n">
        <v>36.2835</v>
      </c>
      <c r="F694" s="182" t="n">
        <v>1316.4902</v>
      </c>
      <c r="G694" s="182" t="n">
        <v>466489</v>
      </c>
      <c r="H694" s="182" t="inlineStr"/>
      <c r="I694" s="182" t="inlineStr"/>
    </row>
    <row r="695" ht="15" customHeight="1" s="28">
      <c r="A695" s="181" t="n">
        <v>685</v>
      </c>
      <c r="B695" s="181" t="n">
        <v>684</v>
      </c>
      <c r="C695" s="181" t="n">
        <v>4677.52</v>
      </c>
      <c r="D695" s="181" t="n">
        <v>4634.3289</v>
      </c>
      <c r="E695" s="181" t="n">
        <v>43.1911</v>
      </c>
      <c r="F695" s="181" t="n">
        <v>1865.4685</v>
      </c>
      <c r="G695" s="181" t="n">
        <v>467856</v>
      </c>
      <c r="H695" s="181" t="inlineStr"/>
      <c r="I695" s="181" t="inlineStr"/>
    </row>
    <row r="696" ht="15" customHeight="1" s="28">
      <c r="A696" s="182" t="n">
        <v>686</v>
      </c>
      <c r="B696" s="182" t="n">
        <v>685</v>
      </c>
      <c r="C696" s="182" t="n">
        <v>4675.58</v>
      </c>
      <c r="D696" s="182" t="n">
        <v>4634.0613</v>
      </c>
      <c r="E696" s="182" t="n">
        <v>41.5187</v>
      </c>
      <c r="F696" s="182" t="n">
        <v>1723.8</v>
      </c>
      <c r="G696" s="182" t="n">
        <v>469225</v>
      </c>
      <c r="H696" s="182" t="inlineStr"/>
      <c r="I696" s="182" t="inlineStr"/>
    </row>
    <row r="697" ht="15" customHeight="1" s="28">
      <c r="A697" s="181" t="n">
        <v>687</v>
      </c>
      <c r="B697" s="181" t="n">
        <v>686</v>
      </c>
      <c r="C697" s="181" t="n">
        <v>4671.15</v>
      </c>
      <c r="D697" s="181" t="n">
        <v>4633.7937</v>
      </c>
      <c r="E697" s="181" t="n">
        <v>37.3563</v>
      </c>
      <c r="F697" s="181" t="n">
        <v>1395.4917</v>
      </c>
      <c r="G697" s="181" t="n">
        <v>470596</v>
      </c>
      <c r="H697" s="181" t="inlineStr"/>
      <c r="I697" s="181" t="inlineStr"/>
    </row>
    <row r="698" ht="15" customHeight="1" s="28">
      <c r="A698" s="182" t="n">
        <v>688</v>
      </c>
      <c r="B698" s="182" t="n">
        <v>687</v>
      </c>
      <c r="C698" s="182" t="n">
        <v>4669.14</v>
      </c>
      <c r="D698" s="182" t="n">
        <v>4633.5261</v>
      </c>
      <c r="E698" s="182" t="n">
        <v>35.6139</v>
      </c>
      <c r="F698" s="182" t="n">
        <v>1268.3484</v>
      </c>
      <c r="G698" s="182" t="n">
        <v>471969</v>
      </c>
      <c r="H698" s="182" t="inlineStr"/>
      <c r="I698" s="182" t="inlineStr"/>
    </row>
    <row r="699" ht="15" customHeight="1" s="28">
      <c r="A699" s="181" t="n">
        <v>689</v>
      </c>
      <c r="B699" s="181" t="n">
        <v>688</v>
      </c>
      <c r="C699" s="181" t="n">
        <v>4672.91</v>
      </c>
      <c r="D699" s="181" t="n">
        <v>4633.2585</v>
      </c>
      <c r="E699" s="181" t="n">
        <v>39.6515</v>
      </c>
      <c r="F699" s="181" t="n">
        <v>1572.2407</v>
      </c>
      <c r="G699" s="181" t="n">
        <v>473344</v>
      </c>
      <c r="H699" s="181" t="inlineStr"/>
      <c r="I699" s="181" t="inlineStr"/>
    </row>
    <row r="700" ht="15" customHeight="1" s="28">
      <c r="A700" s="182" t="n">
        <v>690</v>
      </c>
      <c r="B700" s="182" t="n">
        <v>689</v>
      </c>
      <c r="C700" s="182" t="n">
        <v>4674.86</v>
      </c>
      <c r="D700" s="182" t="n">
        <v>4632.9909</v>
      </c>
      <c r="E700" s="182" t="n">
        <v>41.8691</v>
      </c>
      <c r="F700" s="182" t="n">
        <v>1753.0207</v>
      </c>
      <c r="G700" s="182" t="n">
        <v>474721</v>
      </c>
      <c r="H700" s="182" t="inlineStr"/>
      <c r="I700" s="182" t="inlineStr"/>
    </row>
    <row r="701" ht="15" customHeight="1" s="28">
      <c r="A701" s="181" t="n">
        <v>691</v>
      </c>
      <c r="B701" s="181" t="n">
        <v>690</v>
      </c>
      <c r="C701" s="181" t="n">
        <v>4672.11</v>
      </c>
      <c r="D701" s="181" t="n">
        <v>4632.7233</v>
      </c>
      <c r="E701" s="181" t="n">
        <v>39.3867</v>
      </c>
      <c r="F701" s="181" t="n">
        <v>1551.3113</v>
      </c>
      <c r="G701" s="181" t="n">
        <v>476100</v>
      </c>
      <c r="H701" s="181" t="inlineStr"/>
      <c r="I701" s="181" t="inlineStr"/>
    </row>
    <row r="702" ht="15" customHeight="1" s="28">
      <c r="A702" s="182" t="n">
        <v>692</v>
      </c>
      <c r="B702" s="182" t="n">
        <v>691</v>
      </c>
      <c r="C702" s="182" t="n">
        <v>4671.02</v>
      </c>
      <c r="D702" s="182" t="n">
        <v>4632.4557</v>
      </c>
      <c r="E702" s="182" t="n">
        <v>38.5643</v>
      </c>
      <c r="F702" s="182" t="n">
        <v>1487.2052</v>
      </c>
      <c r="G702" s="182" t="n">
        <v>477481</v>
      </c>
      <c r="H702" s="182" t="inlineStr"/>
      <c r="I702" s="182" t="inlineStr"/>
    </row>
    <row r="703" ht="15" customHeight="1" s="28">
      <c r="A703" s="181" t="n">
        <v>693</v>
      </c>
      <c r="B703" s="181" t="n">
        <v>692</v>
      </c>
      <c r="C703" s="181" t="n">
        <v>4669.93</v>
      </c>
      <c r="D703" s="181" t="n">
        <v>4632.1881</v>
      </c>
      <c r="E703" s="181" t="n">
        <v>37.7419</v>
      </c>
      <c r="F703" s="181" t="n">
        <v>1424.451</v>
      </c>
      <c r="G703" s="181" t="n">
        <v>478864</v>
      </c>
      <c r="H703" s="181" t="inlineStr"/>
      <c r="I703" s="181" t="inlineStr"/>
    </row>
    <row r="704" ht="15" customHeight="1" s="28">
      <c r="A704" s="182" t="n">
        <v>694</v>
      </c>
      <c r="B704" s="182" t="n">
        <v>693</v>
      </c>
      <c r="C704" s="182" t="n">
        <v>4667.66</v>
      </c>
      <c r="D704" s="182" t="n">
        <v>4631.9205</v>
      </c>
      <c r="E704" s="182" t="n">
        <v>35.7395</v>
      </c>
      <c r="F704" s="182" t="n">
        <v>1277.3126</v>
      </c>
      <c r="G704" s="182" t="n">
        <v>480249</v>
      </c>
      <c r="H704" s="182" t="inlineStr"/>
      <c r="I704" s="182" t="inlineStr"/>
    </row>
    <row r="705" ht="15" customHeight="1" s="28">
      <c r="A705" s="181" t="n">
        <v>695</v>
      </c>
      <c r="B705" s="181" t="n">
        <v>694</v>
      </c>
      <c r="C705" s="181" t="n">
        <v>4669.92</v>
      </c>
      <c r="D705" s="181" t="n">
        <v>4631.6529</v>
      </c>
      <c r="E705" s="181" t="n">
        <v>38.2671</v>
      </c>
      <c r="F705" s="181" t="n">
        <v>1464.3717</v>
      </c>
      <c r="G705" s="181" t="n">
        <v>481636</v>
      </c>
      <c r="H705" s="181" t="inlineStr"/>
      <c r="I705" s="181" t="inlineStr"/>
    </row>
    <row r="706" ht="15" customHeight="1" s="28">
      <c r="A706" s="182" t="n">
        <v>696</v>
      </c>
      <c r="B706" s="182" t="n">
        <v>695</v>
      </c>
      <c r="C706" s="182" t="n">
        <v>4667.71</v>
      </c>
      <c r="D706" s="182" t="n">
        <v>4631.3853</v>
      </c>
      <c r="E706" s="182" t="n">
        <v>36.3247</v>
      </c>
      <c r="F706" s="182" t="n">
        <v>1319.4846</v>
      </c>
      <c r="G706" s="182" t="n">
        <v>483025</v>
      </c>
      <c r="H706" s="182" t="inlineStr"/>
      <c r="I706" s="182" t="inlineStr"/>
    </row>
    <row r="707" ht="15" customHeight="1" s="28">
      <c r="A707" s="181" t="n">
        <v>697</v>
      </c>
      <c r="B707" s="181" t="n">
        <v>696</v>
      </c>
      <c r="C707" s="181" t="n">
        <v>4652.57</v>
      </c>
      <c r="D707" s="181" t="n">
        <v>4631.1177</v>
      </c>
      <c r="E707" s="181" t="n">
        <v>21.4523</v>
      </c>
      <c r="F707" s="181" t="n">
        <v>460.202</v>
      </c>
      <c r="G707" s="181" t="n">
        <v>484416</v>
      </c>
      <c r="H707" s="181" t="inlineStr"/>
      <c r="I707" s="181" t="inlineStr"/>
    </row>
    <row r="708" ht="15" customHeight="1" s="28">
      <c r="A708" s="182" t="n">
        <v>698</v>
      </c>
      <c r="B708" s="182" t="n">
        <v>697</v>
      </c>
      <c r="C708" s="182" t="n">
        <v>4658.38</v>
      </c>
      <c r="D708" s="182" t="n">
        <v>4630.8501</v>
      </c>
      <c r="E708" s="182" t="n">
        <v>27.5299</v>
      </c>
      <c r="F708" s="182" t="n">
        <v>757.8964999999999</v>
      </c>
      <c r="G708" s="182" t="n">
        <v>485809</v>
      </c>
      <c r="H708" s="182" t="inlineStr"/>
      <c r="I708" s="182" t="inlineStr"/>
    </row>
    <row r="709" ht="15" customHeight="1" s="28">
      <c r="A709" s="181" t="n">
        <v>699</v>
      </c>
      <c r="B709" s="181" t="n">
        <v>698</v>
      </c>
      <c r="C709" s="181" t="n">
        <v>4624.58</v>
      </c>
      <c r="D709" s="181" t="n">
        <v>4630.5825</v>
      </c>
      <c r="E709" s="181" t="n">
        <v>-6.0025</v>
      </c>
      <c r="F709" s="181" t="n">
        <v>36.0296</v>
      </c>
      <c r="G709" s="181" t="n">
        <v>487204</v>
      </c>
      <c r="H709" s="181" t="inlineStr"/>
      <c r="I709" s="181" t="inlineStr"/>
    </row>
    <row r="710" ht="15" customHeight="1" s="28">
      <c r="A710" s="182" t="n">
        <v>700</v>
      </c>
      <c r="B710" s="182" t="n">
        <v>699</v>
      </c>
      <c r="C710" s="182" t="n">
        <v>4632.23</v>
      </c>
      <c r="D710" s="182" t="n">
        <v>4630.3149</v>
      </c>
      <c r="E710" s="182" t="n">
        <v>1.9151</v>
      </c>
      <c r="F710" s="182" t="n">
        <v>3.6677</v>
      </c>
      <c r="G710" s="182" t="n">
        <v>488601</v>
      </c>
      <c r="H710" s="182" t="inlineStr"/>
      <c r="I710" s="182" t="inlineStr"/>
    </row>
    <row r="711" ht="15" customHeight="1" s="28">
      <c r="A711" s="181" t="n">
        <v>701</v>
      </c>
      <c r="B711" s="181" t="n">
        <v>700</v>
      </c>
      <c r="C711" s="181" t="n">
        <v>4640.69</v>
      </c>
      <c r="D711" s="181" t="n">
        <v>4630.0473</v>
      </c>
      <c r="E711" s="181" t="n">
        <v>10.6427</v>
      </c>
      <c r="F711" s="181" t="n">
        <v>113.2679</v>
      </c>
      <c r="G711" s="181" t="n">
        <v>490000</v>
      </c>
      <c r="H711" s="181" t="inlineStr"/>
      <c r="I711" s="181" t="inlineStr"/>
    </row>
    <row r="712" ht="15" customHeight="1" s="28">
      <c r="A712" s="182" t="n">
        <v>702</v>
      </c>
      <c r="B712" s="182" t="n">
        <v>701</v>
      </c>
      <c r="C712" s="182" t="n">
        <v>4631.64</v>
      </c>
      <c r="D712" s="182" t="n">
        <v>4629.7797</v>
      </c>
      <c r="E712" s="182" t="n">
        <v>1.8603</v>
      </c>
      <c r="F712" s="182" t="n">
        <v>3.4609</v>
      </c>
      <c r="G712" s="182" t="n">
        <v>491401</v>
      </c>
      <c r="H712" s="182" t="inlineStr"/>
      <c r="I712" s="182" t="inlineStr"/>
    </row>
    <row r="713" ht="15" customHeight="1" s="28">
      <c r="A713" s="181" t="n">
        <v>703</v>
      </c>
      <c r="B713" s="181" t="n">
        <v>702</v>
      </c>
      <c r="C713" s="181" t="n">
        <v>4629.83</v>
      </c>
      <c r="D713" s="181" t="n">
        <v>4629.5121</v>
      </c>
      <c r="E713" s="181" t="n">
        <v>0.3179</v>
      </c>
      <c r="F713" s="181" t="n">
        <v>0.1011</v>
      </c>
      <c r="G713" s="181" t="n">
        <v>492804</v>
      </c>
      <c r="H713" s="181" t="inlineStr"/>
      <c r="I713" s="181" t="inlineStr"/>
    </row>
    <row r="714" ht="15" customHeight="1" s="28">
      <c r="A714" s="182" t="n">
        <v>704</v>
      </c>
      <c r="B714" s="182" t="n">
        <v>703</v>
      </c>
      <c r="C714" s="182" t="n">
        <v>4628.99</v>
      </c>
      <c r="D714" s="182" t="n">
        <v>4629.2445</v>
      </c>
      <c r="E714" s="182" t="n">
        <v>-0.2545</v>
      </c>
      <c r="F714" s="182" t="n">
        <v>0.06469999999999999</v>
      </c>
      <c r="G714" s="182" t="n">
        <v>494209</v>
      </c>
      <c r="H714" s="182" t="inlineStr"/>
      <c r="I714" s="182" t="inlineStr"/>
    </row>
    <row r="715" ht="15" customHeight="1" s="28">
      <c r="A715" s="181" t="n">
        <v>705</v>
      </c>
      <c r="B715" s="181" t="n">
        <v>704</v>
      </c>
      <c r="C715" s="181" t="n">
        <v>4634.3</v>
      </c>
      <c r="D715" s="181" t="n">
        <v>4628.9769</v>
      </c>
      <c r="E715" s="181" t="n">
        <v>5.3232</v>
      </c>
      <c r="F715" s="181" t="n">
        <v>28.3359</v>
      </c>
      <c r="G715" s="181" t="n">
        <v>495616</v>
      </c>
      <c r="H715" s="181" t="inlineStr"/>
      <c r="I715" s="181" t="inlineStr"/>
    </row>
    <row r="716" ht="15" customHeight="1" s="28">
      <c r="A716" s="182" t="n">
        <v>706</v>
      </c>
      <c r="B716" s="182" t="n">
        <v>705</v>
      </c>
      <c r="C716" s="182" t="n">
        <v>4629.79</v>
      </c>
      <c r="D716" s="182" t="n">
        <v>4628.7092</v>
      </c>
      <c r="E716" s="182" t="n">
        <v>1.0808</v>
      </c>
      <c r="F716" s="182" t="n">
        <v>1.168</v>
      </c>
      <c r="G716" s="182" t="n">
        <v>497025</v>
      </c>
      <c r="H716" s="182" t="inlineStr"/>
      <c r="I716" s="182" t="inlineStr"/>
    </row>
    <row r="717" ht="15" customHeight="1" s="28">
      <c r="A717" s="181" t="n">
        <v>707</v>
      </c>
      <c r="B717" s="181" t="n">
        <v>706</v>
      </c>
      <c r="C717" s="181" t="n">
        <v>4629.38</v>
      </c>
      <c r="D717" s="181" t="n">
        <v>4628.4416</v>
      </c>
      <c r="E717" s="181" t="n">
        <v>0.9384</v>
      </c>
      <c r="F717" s="181" t="n">
        <v>0.8804999999999999</v>
      </c>
      <c r="G717" s="181" t="n">
        <v>498436</v>
      </c>
      <c r="H717" s="181" t="inlineStr"/>
      <c r="I717" s="181" t="inlineStr"/>
    </row>
    <row r="718" ht="15" customHeight="1" s="28">
      <c r="A718" s="182" t="n">
        <v>708</v>
      </c>
      <c r="B718" s="182" t="n">
        <v>707</v>
      </c>
      <c r="C718" s="182" t="n">
        <v>4633.24</v>
      </c>
      <c r="D718" s="182" t="n">
        <v>4628.174</v>
      </c>
      <c r="E718" s="182" t="n">
        <v>5.066</v>
      </c>
      <c r="F718" s="182" t="n">
        <v>25.664</v>
      </c>
      <c r="G718" s="182" t="n">
        <v>499849</v>
      </c>
      <c r="H718" s="182" t="inlineStr"/>
      <c r="I718" s="182" t="inlineStr"/>
    </row>
    <row r="719" ht="15" customHeight="1" s="28">
      <c r="A719" s="181" t="n">
        <v>709</v>
      </c>
      <c r="B719" s="181" t="n">
        <v>708</v>
      </c>
      <c r="C719" s="181" t="n">
        <v>4620.29</v>
      </c>
      <c r="D719" s="181" t="n">
        <v>4627.9064</v>
      </c>
      <c r="E719" s="181" t="n">
        <v>-7.6164</v>
      </c>
      <c r="F719" s="181" t="n">
        <v>58.01</v>
      </c>
      <c r="G719" s="181" t="n">
        <v>501264</v>
      </c>
      <c r="H719" s="181" t="inlineStr"/>
      <c r="I719" s="181" t="inlineStr"/>
    </row>
    <row r="720" ht="15" customHeight="1" s="28">
      <c r="A720" s="182" t="n">
        <v>710</v>
      </c>
      <c r="B720" s="182" t="n">
        <v>709</v>
      </c>
      <c r="C720" s="182" t="n">
        <v>4626.98</v>
      </c>
      <c r="D720" s="182" t="n">
        <v>4627.6388</v>
      </c>
      <c r="E720" s="182" t="n">
        <v>-0.6588000000000001</v>
      </c>
      <c r="F720" s="182" t="n">
        <v>0.4341</v>
      </c>
      <c r="G720" s="182" t="n">
        <v>502681</v>
      </c>
      <c r="H720" s="182" t="inlineStr"/>
      <c r="I720" s="182" t="inlineStr"/>
    </row>
    <row r="721" ht="15" customHeight="1" s="28">
      <c r="A721" s="181" t="n">
        <v>711</v>
      </c>
      <c r="B721" s="181" t="n">
        <v>710</v>
      </c>
      <c r="C721" s="181" t="n">
        <v>4628.21</v>
      </c>
      <c r="D721" s="181" t="n">
        <v>4627.3712</v>
      </c>
      <c r="E721" s="181" t="n">
        <v>0.8388</v>
      </c>
      <c r="F721" s="181" t="n">
        <v>0.7036</v>
      </c>
      <c r="G721" s="181" t="n">
        <v>504100</v>
      </c>
      <c r="H721" s="181" t="inlineStr"/>
      <c r="I721" s="181" t="inlineStr"/>
    </row>
    <row r="722" ht="15" customHeight="1" s="28">
      <c r="A722" s="182" t="n">
        <v>712</v>
      </c>
      <c r="B722" s="182" t="n">
        <v>711</v>
      </c>
      <c r="C722" s="182" t="n">
        <v>4629.62</v>
      </c>
      <c r="D722" s="182" t="n">
        <v>4627.1036</v>
      </c>
      <c r="E722" s="182" t="n">
        <v>2.5164</v>
      </c>
      <c r="F722" s="182" t="n">
        <v>6.3322</v>
      </c>
      <c r="G722" s="182" t="n">
        <v>505521</v>
      </c>
      <c r="H722" s="182" t="inlineStr"/>
      <c r="I722" s="182" t="inlineStr"/>
    </row>
    <row r="723" ht="15" customHeight="1" s="28">
      <c r="A723" s="181" t="n">
        <v>713</v>
      </c>
      <c r="B723" s="181" t="n">
        <v>712</v>
      </c>
      <c r="C723" s="181" t="n">
        <v>4625.52</v>
      </c>
      <c r="D723" s="181" t="n">
        <v>4626.836</v>
      </c>
      <c r="E723" s="181" t="n">
        <v>-1.316</v>
      </c>
      <c r="F723" s="181" t="n">
        <v>1.7319</v>
      </c>
      <c r="G723" s="181" t="n">
        <v>506944</v>
      </c>
      <c r="H723" s="181" t="inlineStr"/>
      <c r="I723" s="181" t="inlineStr"/>
    </row>
    <row r="724" ht="15" customHeight="1" s="28">
      <c r="A724" s="182" t="n">
        <v>714</v>
      </c>
      <c r="B724" s="182" t="n">
        <v>713</v>
      </c>
      <c r="C724" s="182" t="n">
        <v>4618.31</v>
      </c>
      <c r="D724" s="182" t="n">
        <v>4626.5684</v>
      </c>
      <c r="E724" s="182" t="n">
        <v>-8.2584</v>
      </c>
      <c r="F724" s="182" t="n">
        <v>68.2013</v>
      </c>
      <c r="G724" s="182" t="n">
        <v>508369</v>
      </c>
      <c r="H724" s="182" t="inlineStr"/>
      <c r="I724" s="182" t="inlineStr"/>
    </row>
    <row r="725" ht="15" customHeight="1" s="28">
      <c r="A725" s="181" t="n">
        <v>715</v>
      </c>
      <c r="B725" s="181" t="n">
        <v>714</v>
      </c>
      <c r="C725" s="181" t="n">
        <v>4613.05</v>
      </c>
      <c r="D725" s="181" t="n">
        <v>4626.3008</v>
      </c>
      <c r="E725" s="181" t="n">
        <v>-13.2508</v>
      </c>
      <c r="F725" s="181" t="n">
        <v>175.584</v>
      </c>
      <c r="G725" s="181" t="n">
        <v>509796</v>
      </c>
      <c r="H725" s="181" t="inlineStr"/>
      <c r="I725" s="181" t="inlineStr"/>
    </row>
    <row r="726" ht="15" customHeight="1" s="28">
      <c r="A726" s="182" t="n">
        <v>716</v>
      </c>
      <c r="B726" s="182" t="n">
        <v>715</v>
      </c>
      <c r="C726" s="182" t="n">
        <v>4604.84</v>
      </c>
      <c r="D726" s="182" t="n">
        <v>4626.0332</v>
      </c>
      <c r="E726" s="182" t="n">
        <v>-21.1932</v>
      </c>
      <c r="F726" s="182" t="n">
        <v>449.1517</v>
      </c>
      <c r="G726" s="182" t="n">
        <v>511225</v>
      </c>
      <c r="H726" s="182" t="inlineStr"/>
      <c r="I726" s="182" t="inlineStr"/>
    </row>
    <row r="727" ht="15" customHeight="1" s="28">
      <c r="A727" s="181" t="n">
        <v>717</v>
      </c>
      <c r="B727" s="181" t="n">
        <v>716</v>
      </c>
      <c r="C727" s="181" t="n">
        <v>4612.7</v>
      </c>
      <c r="D727" s="181" t="n">
        <v>4625.7656</v>
      </c>
      <c r="E727" s="181" t="n">
        <v>-13.0656</v>
      </c>
      <c r="F727" s="181" t="n">
        <v>170.7099</v>
      </c>
      <c r="G727" s="181" t="n">
        <v>512656</v>
      </c>
      <c r="H727" s="181" t="inlineStr"/>
      <c r="I727" s="181" t="inlineStr"/>
    </row>
    <row r="728" ht="15" customHeight="1" s="28">
      <c r="A728" s="182" t="n">
        <v>718</v>
      </c>
      <c r="B728" s="182" t="n">
        <v>717</v>
      </c>
      <c r="C728" s="182" t="n">
        <v>4611.77</v>
      </c>
      <c r="D728" s="182" t="n">
        <v>4625.498</v>
      </c>
      <c r="E728" s="182" t="n">
        <v>-13.728</v>
      </c>
      <c r="F728" s="182" t="n">
        <v>188.458</v>
      </c>
      <c r="G728" s="182" t="n">
        <v>514089</v>
      </c>
      <c r="H728" s="182" t="inlineStr"/>
      <c r="I728" s="182" t="inlineStr"/>
    </row>
    <row r="729" ht="15" customHeight="1" s="28">
      <c r="A729" s="181" t="n">
        <v>719</v>
      </c>
      <c r="B729" s="181" t="n">
        <v>718</v>
      </c>
      <c r="C729" s="181" t="n">
        <v>4613.29</v>
      </c>
      <c r="D729" s="181" t="n">
        <v>4625.2304</v>
      </c>
      <c r="E729" s="181" t="n">
        <v>-11.9404</v>
      </c>
      <c r="F729" s="181" t="n">
        <v>142.5729</v>
      </c>
      <c r="G729" s="181" t="n">
        <v>515524</v>
      </c>
      <c r="H729" s="181" t="inlineStr"/>
      <c r="I729" s="181" t="inlineStr"/>
    </row>
    <row r="730" ht="15" customHeight="1" s="28">
      <c r="A730" s="182" t="n">
        <v>720</v>
      </c>
      <c r="B730" s="182" t="n">
        <v>719</v>
      </c>
      <c r="C730" s="182" t="n">
        <v>4603.3</v>
      </c>
      <c r="D730" s="182" t="n">
        <v>4624.9628</v>
      </c>
      <c r="E730" s="182" t="n">
        <v>-21.6628</v>
      </c>
      <c r="F730" s="182" t="n">
        <v>469.2765</v>
      </c>
      <c r="G730" s="182" t="n">
        <v>516961</v>
      </c>
      <c r="H730" s="182" t="inlineStr"/>
      <c r="I730" s="182" t="inlineStr"/>
    </row>
    <row r="731" ht="15" customHeight="1" s="28">
      <c r="A731" s="181" t="n">
        <v>721</v>
      </c>
      <c r="B731" s="181" t="n">
        <v>720</v>
      </c>
      <c r="C731" s="181" t="n">
        <v>4598.69</v>
      </c>
      <c r="D731" s="181" t="n">
        <v>4624.6952</v>
      </c>
      <c r="E731" s="181" t="n">
        <v>-26.0052</v>
      </c>
      <c r="F731" s="181" t="n">
        <v>676.2694</v>
      </c>
      <c r="G731" s="181" t="n">
        <v>518400</v>
      </c>
      <c r="H731" s="181" t="inlineStr"/>
      <c r="I731" s="181" t="inlineStr"/>
    </row>
    <row r="732" ht="15" customHeight="1" s="28">
      <c r="A732" s="182" t="n">
        <v>722</v>
      </c>
      <c r="B732" s="182" t="n">
        <v>721</v>
      </c>
      <c r="C732" s="182" t="n">
        <v>4599.45</v>
      </c>
      <c r="D732" s="182" t="n">
        <v>4624.4276</v>
      </c>
      <c r="E732" s="182" t="n">
        <v>-24.9776</v>
      </c>
      <c r="F732" s="182" t="n">
        <v>623.8795</v>
      </c>
      <c r="G732" s="182" t="n">
        <v>519841</v>
      </c>
      <c r="H732" s="182" t="inlineStr"/>
      <c r="I732" s="182" t="inlineStr"/>
    </row>
    <row r="733" ht="15" customHeight="1" s="28">
      <c r="A733" s="181" t="n">
        <v>723</v>
      </c>
      <c r="B733" s="181" t="n">
        <v>722</v>
      </c>
      <c r="C733" s="181" t="n">
        <v>4572.22</v>
      </c>
      <c r="D733" s="181" t="n">
        <v>4624.16</v>
      </c>
      <c r="E733" s="181" t="n">
        <v>-51.94</v>
      </c>
      <c r="F733" s="181" t="n">
        <v>2697.7605</v>
      </c>
      <c r="G733" s="181" t="n">
        <v>521284</v>
      </c>
      <c r="H733" s="181" t="inlineStr"/>
      <c r="I733" s="181" t="inlineStr"/>
    </row>
    <row r="734" ht="15" customHeight="1" s="28">
      <c r="A734" s="182" t="n">
        <v>724</v>
      </c>
      <c r="B734" s="182" t="n">
        <v>723</v>
      </c>
      <c r="C734" s="182" t="n">
        <v>4562.88</v>
      </c>
      <c r="D734" s="182" t="n">
        <v>4623.8924</v>
      </c>
      <c r="E734" s="182" t="n">
        <v>-61.0124</v>
      </c>
      <c r="F734" s="182" t="n">
        <v>3722.5093</v>
      </c>
      <c r="G734" s="182" t="n">
        <v>522729</v>
      </c>
      <c r="H734" s="182" t="inlineStr"/>
      <c r="I734" s="182" t="inlineStr"/>
    </row>
    <row r="735" ht="15" customHeight="1" s="28">
      <c r="A735" s="181" t="n">
        <v>725</v>
      </c>
      <c r="B735" s="181" t="n">
        <v>724</v>
      </c>
      <c r="C735" s="181" t="n">
        <v>4581.73</v>
      </c>
      <c r="D735" s="181" t="n">
        <v>4623.6248</v>
      </c>
      <c r="E735" s="181" t="n">
        <v>-41.8948</v>
      </c>
      <c r="F735" s="181" t="n">
        <v>1755.1718</v>
      </c>
      <c r="G735" s="181" t="n">
        <v>524176</v>
      </c>
      <c r="H735" s="181" t="inlineStr"/>
      <c r="I735" s="181" t="inlineStr"/>
    </row>
    <row r="736" ht="15" customHeight="1" s="28">
      <c r="A736" s="182" t="n">
        <v>726</v>
      </c>
      <c r="B736" s="182" t="n">
        <v>725</v>
      </c>
      <c r="C736" s="182" t="n">
        <v>4580.32</v>
      </c>
      <c r="D736" s="182" t="n">
        <v>4623.3572</v>
      </c>
      <c r="E736" s="182" t="n">
        <v>-43.0372</v>
      </c>
      <c r="F736" s="182" t="n">
        <v>1852.1971</v>
      </c>
      <c r="G736" s="182" t="n">
        <v>525625</v>
      </c>
      <c r="H736" s="182" t="inlineStr"/>
      <c r="I736" s="182" t="inlineStr"/>
    </row>
    <row r="737" ht="15" customHeight="1" s="28">
      <c r="A737" s="181" t="n">
        <v>727</v>
      </c>
      <c r="B737" s="181" t="n">
        <v>726</v>
      </c>
      <c r="C737" s="181" t="n">
        <v>4586.96</v>
      </c>
      <c r="D737" s="181" t="n">
        <v>4623.0896</v>
      </c>
      <c r="E737" s="181" t="n">
        <v>-36.1296</v>
      </c>
      <c r="F737" s="181" t="n">
        <v>1305.3451</v>
      </c>
      <c r="G737" s="181" t="n">
        <v>527076</v>
      </c>
      <c r="H737" s="181" t="inlineStr"/>
      <c r="I737" s="181" t="inlineStr"/>
    </row>
    <row r="738" ht="15" customHeight="1" s="28">
      <c r="A738" s="182" t="n">
        <v>728</v>
      </c>
      <c r="B738" s="182" t="n">
        <v>727</v>
      </c>
      <c r="C738" s="182" t="n">
        <v>4593.98</v>
      </c>
      <c r="D738" s="182" t="n">
        <v>4622.8219</v>
      </c>
      <c r="E738" s="182" t="n">
        <v>-28.842</v>
      </c>
      <c r="F738" s="182" t="n">
        <v>831.8581</v>
      </c>
      <c r="G738" s="182" t="n">
        <v>528529</v>
      </c>
      <c r="H738" s="182" t="inlineStr"/>
      <c r="I738" s="182" t="inlineStr"/>
    </row>
    <row r="739" ht="15" customHeight="1" s="28">
      <c r="A739" s="181" t="n">
        <v>729</v>
      </c>
      <c r="B739" s="181" t="n">
        <v>728</v>
      </c>
      <c r="C739" s="181" t="n">
        <v>4576.38</v>
      </c>
      <c r="D739" s="181" t="n">
        <v>4622.5544</v>
      </c>
      <c r="E739" s="181" t="n">
        <v>-46.1744</v>
      </c>
      <c r="F739" s="181" t="n">
        <v>2132.0706</v>
      </c>
      <c r="G739" s="181" t="n">
        <v>529984</v>
      </c>
      <c r="H739" s="181" t="inlineStr"/>
      <c r="I739" s="181" t="inlineStr"/>
    </row>
    <row r="740" ht="15" customHeight="1" s="28">
      <c r="A740" s="182" t="n">
        <v>730</v>
      </c>
      <c r="B740" s="182" t="n">
        <v>729</v>
      </c>
      <c r="C740" s="182" t="n">
        <v>4581.88</v>
      </c>
      <c r="D740" s="182" t="n">
        <v>4622.2868</v>
      </c>
      <c r="E740" s="182" t="n">
        <v>-40.4068</v>
      </c>
      <c r="F740" s="182" t="n">
        <v>1632.7054</v>
      </c>
      <c r="G740" s="182" t="n">
        <v>531441</v>
      </c>
      <c r="H740" s="182" t="inlineStr"/>
      <c r="I740" s="182" t="inlineStr"/>
    </row>
    <row r="741" ht="15" customHeight="1" s="28">
      <c r="A741" s="181" t="n">
        <v>731</v>
      </c>
      <c r="B741" s="181" t="n">
        <v>730</v>
      </c>
      <c r="C741" s="181" t="n">
        <v>4581.73</v>
      </c>
      <c r="D741" s="181" t="n">
        <v>4622.0191</v>
      </c>
      <c r="E741" s="181" t="n">
        <v>-40.2891</v>
      </c>
      <c r="F741" s="181" t="n">
        <v>1623.2148</v>
      </c>
      <c r="G741" s="181" t="n">
        <v>532900</v>
      </c>
      <c r="H741" s="181" t="inlineStr"/>
      <c r="I741" s="181" t="inlineStr"/>
    </row>
    <row r="742" ht="15" customHeight="1" s="28">
      <c r="A742" s="182" t="n">
        <v>732</v>
      </c>
      <c r="B742" s="182" t="n">
        <v>731</v>
      </c>
      <c r="C742" s="182" t="n">
        <v>4580.32</v>
      </c>
      <c r="D742" s="182" t="n">
        <v>4621.7515</v>
      </c>
      <c r="E742" s="182" t="n">
        <v>-41.4315</v>
      </c>
      <c r="F742" s="182" t="n">
        <v>1716.5725</v>
      </c>
      <c r="G742" s="182" t="n">
        <v>534361</v>
      </c>
      <c r="H742" s="182" t="inlineStr"/>
      <c r="I742" s="182" t="inlineStr"/>
    </row>
    <row r="743" ht="15" customHeight="1" s="28">
      <c r="A743" s="181" t="n">
        <v>733</v>
      </c>
      <c r="B743" s="181" t="n">
        <v>732</v>
      </c>
      <c r="C743" s="181" t="n">
        <v>4568.29</v>
      </c>
      <c r="D743" s="181" t="n">
        <v>4621.4839</v>
      </c>
      <c r="E743" s="181" t="n">
        <v>-53.1939</v>
      </c>
      <c r="F743" s="181" t="n">
        <v>2829.5942</v>
      </c>
      <c r="G743" s="181" t="n">
        <v>535824</v>
      </c>
      <c r="H743" s="181" t="inlineStr"/>
      <c r="I743" s="181" t="inlineStr"/>
    </row>
    <row r="744" ht="15" customHeight="1" s="28">
      <c r="A744" s="182" t="n">
        <v>734</v>
      </c>
      <c r="B744" s="182" t="n">
        <v>733</v>
      </c>
      <c r="C744" s="182" t="n">
        <v>4571.47</v>
      </c>
      <c r="D744" s="182" t="n">
        <v>4621.2163</v>
      </c>
      <c r="E744" s="182" t="n">
        <v>-49.7463</v>
      </c>
      <c r="F744" s="182" t="n">
        <v>2474.6973</v>
      </c>
      <c r="G744" s="182" t="n">
        <v>537289</v>
      </c>
      <c r="H744" s="182" t="inlineStr"/>
      <c r="I744" s="182" t="inlineStr"/>
    </row>
    <row r="745" ht="15" customHeight="1" s="28">
      <c r="A745" s="181" t="n">
        <v>735</v>
      </c>
      <c r="B745" s="181" t="n">
        <v>734</v>
      </c>
      <c r="C745" s="181" t="n">
        <v>4564.18</v>
      </c>
      <c r="D745" s="181" t="n">
        <v>4620.9487</v>
      </c>
      <c r="E745" s="181" t="n">
        <v>-56.7687</v>
      </c>
      <c r="F745" s="181" t="n">
        <v>3222.6887</v>
      </c>
      <c r="G745" s="181" t="n">
        <v>538756</v>
      </c>
      <c r="H745" s="181" t="inlineStr"/>
      <c r="I745" s="181" t="inlineStr"/>
    </row>
    <row r="746" ht="15" customHeight="1" s="28">
      <c r="A746" s="182" t="n">
        <v>736</v>
      </c>
      <c r="B746" s="182" t="n">
        <v>735</v>
      </c>
      <c r="C746" s="182" t="n">
        <v>4574.6</v>
      </c>
      <c r="D746" s="182" t="n">
        <v>4620.6811</v>
      </c>
      <c r="E746" s="182" t="n">
        <v>-46.0811</v>
      </c>
      <c r="F746" s="182" t="n">
        <v>2123.4696</v>
      </c>
      <c r="G746" s="182" t="n">
        <v>540225</v>
      </c>
      <c r="H746" s="182" t="inlineStr"/>
      <c r="I746" s="182" t="inlineStr"/>
    </row>
    <row r="747" ht="15" customHeight="1" s="28">
      <c r="A747" s="181" t="n">
        <v>737</v>
      </c>
      <c r="B747" s="181" t="n">
        <v>736</v>
      </c>
      <c r="C747" s="181" t="n">
        <v>4572.73</v>
      </c>
      <c r="D747" s="181" t="n">
        <v>4620.4135</v>
      </c>
      <c r="E747" s="181" t="n">
        <v>-47.6835</v>
      </c>
      <c r="F747" s="181" t="n">
        <v>2273.7181</v>
      </c>
      <c r="G747" s="181" t="n">
        <v>541696</v>
      </c>
      <c r="H747" s="181" t="inlineStr"/>
      <c r="I747" s="181" t="inlineStr"/>
    </row>
    <row r="748" ht="15" customHeight="1" s="28">
      <c r="A748" s="182" t="n">
        <v>738</v>
      </c>
      <c r="B748" s="182" t="n">
        <v>737</v>
      </c>
      <c r="C748" s="182" t="n">
        <v>4577.09</v>
      </c>
      <c r="D748" s="182" t="n">
        <v>4620.1459</v>
      </c>
      <c r="E748" s="182" t="n">
        <v>-43.0559</v>
      </c>
      <c r="F748" s="182" t="n">
        <v>1853.8114</v>
      </c>
      <c r="G748" s="182" t="n">
        <v>543169</v>
      </c>
      <c r="H748" s="182" t="inlineStr"/>
      <c r="I748" s="182" t="inlineStr"/>
    </row>
    <row r="749" ht="15" customHeight="1" s="28">
      <c r="A749" s="181" t="n">
        <v>739</v>
      </c>
      <c r="B749" s="181" t="n">
        <v>738</v>
      </c>
      <c r="C749" s="181" t="n">
        <v>4577.82</v>
      </c>
      <c r="D749" s="181" t="n">
        <v>4619.8783</v>
      </c>
      <c r="E749" s="181" t="n">
        <v>-42.0583</v>
      </c>
      <c r="F749" s="181" t="n">
        <v>1768.9014</v>
      </c>
      <c r="G749" s="181" t="n">
        <v>544644</v>
      </c>
      <c r="H749" s="181" t="inlineStr"/>
      <c r="I749" s="181" t="inlineStr"/>
    </row>
    <row r="750" ht="15" customHeight="1" s="28">
      <c r="A750" s="182" t="n">
        <v>740</v>
      </c>
      <c r="B750" s="182" t="n">
        <v>739</v>
      </c>
      <c r="C750" s="182" t="n">
        <v>4586.48</v>
      </c>
      <c r="D750" s="182" t="n">
        <v>4619.6107</v>
      </c>
      <c r="E750" s="182" t="n">
        <v>-33.1307</v>
      </c>
      <c r="F750" s="182" t="n">
        <v>1097.6439</v>
      </c>
      <c r="G750" s="182" t="n">
        <v>546121</v>
      </c>
      <c r="H750" s="182" t="inlineStr"/>
      <c r="I750" s="182" t="inlineStr"/>
    </row>
    <row r="751" ht="15" customHeight="1" s="28">
      <c r="A751" s="181" t="n">
        <v>741</v>
      </c>
      <c r="B751" s="181" t="n">
        <v>740</v>
      </c>
      <c r="C751" s="181" t="n">
        <v>4585.4</v>
      </c>
      <c r="D751" s="181" t="n">
        <v>4619.3431</v>
      </c>
      <c r="E751" s="181" t="n">
        <v>-33.9431</v>
      </c>
      <c r="F751" s="181" t="n">
        <v>1152.134</v>
      </c>
      <c r="G751" s="181" t="n">
        <v>547600</v>
      </c>
      <c r="H751" s="181" t="inlineStr"/>
      <c r="I751" s="181" t="inlineStr"/>
    </row>
    <row r="752" ht="15" customHeight="1" s="28">
      <c r="A752" s="182" t="n">
        <v>742</v>
      </c>
      <c r="B752" s="182" t="n">
        <v>741</v>
      </c>
      <c r="C752" s="182" t="n">
        <v>4582.74</v>
      </c>
      <c r="D752" s="182" t="n">
        <v>4619.0755</v>
      </c>
      <c r="E752" s="182" t="n">
        <v>-36.3355</v>
      </c>
      <c r="F752" s="182" t="n">
        <v>1320.2686</v>
      </c>
      <c r="G752" s="182" t="n">
        <v>549081</v>
      </c>
      <c r="H752" s="182" t="inlineStr"/>
      <c r="I752" s="182" t="inlineStr"/>
    </row>
    <row r="753" ht="15" customHeight="1" s="28">
      <c r="A753" s="181" t="n">
        <v>743</v>
      </c>
      <c r="B753" s="181" t="n">
        <v>742</v>
      </c>
      <c r="C753" s="181" t="n">
        <v>4585.06</v>
      </c>
      <c r="D753" s="181" t="n">
        <v>4618.8079</v>
      </c>
      <c r="E753" s="181" t="n">
        <v>-33.7479</v>
      </c>
      <c r="F753" s="181" t="n">
        <v>1138.9201</v>
      </c>
      <c r="G753" s="181" t="n">
        <v>550564</v>
      </c>
      <c r="H753" s="181" t="inlineStr"/>
      <c r="I753" s="181" t="inlineStr"/>
    </row>
    <row r="754" ht="15" customHeight="1" s="28">
      <c r="A754" s="182" t="n">
        <v>744</v>
      </c>
      <c r="B754" s="182" t="n">
        <v>743</v>
      </c>
      <c r="C754" s="182" t="n">
        <v>4592.2</v>
      </c>
      <c r="D754" s="182" t="n">
        <v>4618.5403</v>
      </c>
      <c r="E754" s="182" t="n">
        <v>-26.3403</v>
      </c>
      <c r="F754" s="182" t="n">
        <v>693.8108999999999</v>
      </c>
      <c r="G754" s="182" t="n">
        <v>552049</v>
      </c>
      <c r="H754" s="182" t="inlineStr"/>
      <c r="I754" s="182" t="inlineStr"/>
    </row>
    <row r="755" ht="15" customHeight="1" s="28">
      <c r="A755" s="181" t="n">
        <v>745</v>
      </c>
      <c r="B755" s="181" t="n">
        <v>744</v>
      </c>
      <c r="C755" s="181" t="n">
        <v>4593.67</v>
      </c>
      <c r="D755" s="181" t="n">
        <v>4618.2727</v>
      </c>
      <c r="E755" s="181" t="n">
        <v>-24.6027</v>
      </c>
      <c r="F755" s="181" t="n">
        <v>605.2919000000001</v>
      </c>
      <c r="G755" s="181" t="n">
        <v>553536</v>
      </c>
      <c r="H755" s="181" t="inlineStr"/>
      <c r="I755" s="181" t="inlineStr"/>
    </row>
    <row r="756" ht="15" customHeight="1" s="28">
      <c r="A756" s="182" t="n">
        <v>746</v>
      </c>
      <c r="B756" s="182" t="n">
        <v>745</v>
      </c>
      <c r="C756" s="182" t="n">
        <v>4593.49</v>
      </c>
      <c r="D756" s="182" t="n">
        <v>4618.0051</v>
      </c>
      <c r="E756" s="182" t="n">
        <v>-24.5151</v>
      </c>
      <c r="F756" s="182" t="n">
        <v>600.9891</v>
      </c>
      <c r="G756" s="182" t="n">
        <v>555025</v>
      </c>
      <c r="H756" s="182" t="inlineStr"/>
      <c r="I756" s="182" t="inlineStr"/>
    </row>
    <row r="757" ht="15" customHeight="1" s="28">
      <c r="A757" s="181" t="n">
        <v>747</v>
      </c>
      <c r="B757" s="181" t="n">
        <v>746</v>
      </c>
      <c r="C757" s="181" t="n">
        <v>4599.02</v>
      </c>
      <c r="D757" s="181" t="n">
        <v>4617.7375</v>
      </c>
      <c r="E757" s="181" t="n">
        <v>-18.7175</v>
      </c>
      <c r="F757" s="181" t="n">
        <v>350.3441</v>
      </c>
      <c r="G757" s="181" t="n">
        <v>556516</v>
      </c>
      <c r="H757" s="181" t="inlineStr"/>
      <c r="I757" s="181" t="inlineStr"/>
    </row>
    <row r="758" ht="15" customHeight="1" s="28">
      <c r="A758" s="182" t="n">
        <v>748</v>
      </c>
      <c r="B758" s="182" t="n">
        <v>747</v>
      </c>
      <c r="C758" s="182" t="n">
        <v>4594.77</v>
      </c>
      <c r="D758" s="182" t="n">
        <v>4617.4699</v>
      </c>
      <c r="E758" s="182" t="n">
        <v>-22.6999</v>
      </c>
      <c r="F758" s="182" t="n">
        <v>515.2841</v>
      </c>
      <c r="G758" s="182" t="n">
        <v>558009</v>
      </c>
      <c r="H758" s="182" t="inlineStr"/>
      <c r="I758" s="182" t="inlineStr"/>
    </row>
    <row r="759" ht="15" customHeight="1" s="28">
      <c r="A759" s="181" t="n">
        <v>749</v>
      </c>
      <c r="B759" s="181" t="n">
        <v>748</v>
      </c>
      <c r="C759" s="181" t="n">
        <v>4596.1</v>
      </c>
      <c r="D759" s="181" t="n">
        <v>4617.2023</v>
      </c>
      <c r="E759" s="181" t="n">
        <v>-21.1023</v>
      </c>
      <c r="F759" s="181" t="n">
        <v>445.3058</v>
      </c>
      <c r="G759" s="181" t="n">
        <v>559504</v>
      </c>
      <c r="H759" s="181" t="inlineStr"/>
      <c r="I759" s="181" t="inlineStr"/>
    </row>
    <row r="760" ht="15" customHeight="1" s="28">
      <c r="A760" s="182" t="n">
        <v>750</v>
      </c>
      <c r="B760" s="182" t="n">
        <v>749</v>
      </c>
      <c r="C760" s="182" t="n">
        <v>4598.91</v>
      </c>
      <c r="D760" s="182" t="n">
        <v>4616.9347</v>
      </c>
      <c r="E760" s="182" t="n">
        <v>-18.0247</v>
      </c>
      <c r="F760" s="182" t="n">
        <v>324.8884</v>
      </c>
      <c r="G760" s="182" t="n">
        <v>561001</v>
      </c>
      <c r="H760" s="182" t="inlineStr"/>
      <c r="I760" s="182" t="inlineStr"/>
    </row>
    <row r="761" ht="15" customHeight="1" s="28">
      <c r="A761" s="181" t="n">
        <v>751</v>
      </c>
      <c r="B761" s="181" t="n">
        <v>750</v>
      </c>
      <c r="C761" s="181" t="n">
        <v>4597.74</v>
      </c>
      <c r="D761" s="181" t="n">
        <v>4616.6671</v>
      </c>
      <c r="E761" s="181" t="n">
        <v>-18.9271</v>
      </c>
      <c r="F761" s="181" t="n">
        <v>358.2336</v>
      </c>
      <c r="G761" s="181" t="n">
        <v>562500</v>
      </c>
      <c r="H761" s="181" t="inlineStr"/>
      <c r="I761" s="181" t="inlineStr"/>
    </row>
    <row r="762" ht="15" customHeight="1" s="28">
      <c r="A762" s="182" t="n">
        <v>752</v>
      </c>
      <c r="B762" s="182" t="n">
        <v>751</v>
      </c>
      <c r="C762" s="182" t="n">
        <v>4594.2</v>
      </c>
      <c r="D762" s="182" t="n">
        <v>4616.3995</v>
      </c>
      <c r="E762" s="182" t="n">
        <v>-22.1995</v>
      </c>
      <c r="F762" s="182" t="n">
        <v>492.816</v>
      </c>
      <c r="G762" s="182" t="n">
        <v>564001</v>
      </c>
      <c r="H762" s="182" t="inlineStr"/>
      <c r="I762" s="182" t="inlineStr"/>
    </row>
    <row r="763" ht="15" customHeight="1" s="28">
      <c r="A763" s="181" t="n">
        <v>753</v>
      </c>
      <c r="B763" s="181" t="n">
        <v>752</v>
      </c>
      <c r="C763" s="181" t="n">
        <v>4595.75</v>
      </c>
      <c r="D763" s="181" t="n">
        <v>4616.1318</v>
      </c>
      <c r="E763" s="181" t="n">
        <v>-20.3818</v>
      </c>
      <c r="F763" s="181" t="n">
        <v>415.4198</v>
      </c>
      <c r="G763" s="181" t="n">
        <v>565504</v>
      </c>
      <c r="H763" s="181" t="inlineStr"/>
      <c r="I763" s="181" t="inlineStr"/>
    </row>
    <row r="764" ht="15" customHeight="1" s="28">
      <c r="A764" s="182" t="n">
        <v>754</v>
      </c>
      <c r="B764" s="182" t="n">
        <v>753</v>
      </c>
      <c r="C764" s="182" t="n">
        <v>4596.22</v>
      </c>
      <c r="D764" s="182" t="n">
        <v>4615.8642</v>
      </c>
      <c r="E764" s="182" t="n">
        <v>-19.6442</v>
      </c>
      <c r="F764" s="182" t="n">
        <v>385.8966</v>
      </c>
      <c r="G764" s="182" t="n">
        <v>567009</v>
      </c>
      <c r="H764" s="182" t="inlineStr"/>
      <c r="I764" s="182" t="inlineStr"/>
    </row>
    <row r="765" ht="15" customHeight="1" s="28">
      <c r="A765" s="181" t="n">
        <v>755</v>
      </c>
      <c r="B765" s="181" t="n">
        <v>754</v>
      </c>
      <c r="C765" s="181" t="n">
        <v>4598.52</v>
      </c>
      <c r="D765" s="181" t="n">
        <v>4615.5966</v>
      </c>
      <c r="E765" s="181" t="n">
        <v>-17.0766</v>
      </c>
      <c r="F765" s="181" t="n">
        <v>291.6116</v>
      </c>
      <c r="G765" s="181" t="n">
        <v>568516</v>
      </c>
      <c r="H765" s="181" t="inlineStr"/>
      <c r="I765" s="181" t="inlineStr"/>
    </row>
    <row r="766" ht="15" customHeight="1" s="28">
      <c r="A766" s="182" t="n">
        <v>756</v>
      </c>
      <c r="B766" s="182" t="n">
        <v>755</v>
      </c>
      <c r="C766" s="182" t="n">
        <v>4595.7</v>
      </c>
      <c r="D766" s="182" t="n">
        <v>4615.329</v>
      </c>
      <c r="E766" s="182" t="n">
        <v>-19.629</v>
      </c>
      <c r="F766" s="182" t="n">
        <v>385.2992</v>
      </c>
      <c r="G766" s="182" t="n">
        <v>570025</v>
      </c>
      <c r="H766" s="182" t="inlineStr"/>
      <c r="I766" s="182" t="inlineStr"/>
    </row>
    <row r="767" ht="15" customHeight="1" s="28">
      <c r="A767" s="181" t="n">
        <v>757</v>
      </c>
      <c r="B767" s="181" t="n">
        <v>756</v>
      </c>
      <c r="C767" s="181" t="n">
        <v>4597.28</v>
      </c>
      <c r="D767" s="181" t="n">
        <v>4615.0614</v>
      </c>
      <c r="E767" s="181" t="n">
        <v>-17.7814</v>
      </c>
      <c r="F767" s="181" t="n">
        <v>316.1796</v>
      </c>
      <c r="G767" s="181" t="n">
        <v>571536</v>
      </c>
      <c r="H767" s="181" t="inlineStr"/>
      <c r="I767" s="181" t="inlineStr"/>
    </row>
    <row r="768" ht="15" customHeight="1" s="28">
      <c r="A768" s="182" t="n">
        <v>758</v>
      </c>
      <c r="B768" s="182" t="n">
        <v>757</v>
      </c>
      <c r="C768" s="182" t="n">
        <v>4592.85</v>
      </c>
      <c r="D768" s="182" t="n">
        <v>4614.7938</v>
      </c>
      <c r="E768" s="182" t="n">
        <v>-21.9438</v>
      </c>
      <c r="F768" s="182" t="n">
        <v>481.5317</v>
      </c>
      <c r="G768" s="182" t="n">
        <v>573049</v>
      </c>
      <c r="H768" s="182" t="inlineStr"/>
      <c r="I768" s="182" t="inlineStr"/>
    </row>
    <row r="769" ht="15" customHeight="1" s="28">
      <c r="A769" s="181" t="n">
        <v>759</v>
      </c>
      <c r="B769" s="181" t="n">
        <v>758</v>
      </c>
      <c r="C769" s="181" t="n">
        <v>4593.44</v>
      </c>
      <c r="D769" s="181" t="n">
        <v>4614.5262</v>
      </c>
      <c r="E769" s="181" t="n">
        <v>-21.0862</v>
      </c>
      <c r="F769" s="181" t="n">
        <v>444.6291</v>
      </c>
      <c r="G769" s="181" t="n">
        <v>574564</v>
      </c>
      <c r="H769" s="181" t="inlineStr"/>
      <c r="I769" s="181" t="inlineStr"/>
    </row>
    <row r="770" ht="15" customHeight="1" s="28">
      <c r="A770" s="182" t="n">
        <v>760</v>
      </c>
      <c r="B770" s="182" t="n">
        <v>759</v>
      </c>
      <c r="C770" s="182" t="n">
        <v>4597.18</v>
      </c>
      <c r="D770" s="182" t="n">
        <v>4614.2586</v>
      </c>
      <c r="E770" s="182" t="n">
        <v>-17.0786</v>
      </c>
      <c r="F770" s="182" t="n">
        <v>291.6793</v>
      </c>
      <c r="G770" s="182" t="n">
        <v>576081</v>
      </c>
      <c r="H770" s="182" t="inlineStr"/>
      <c r="I770" s="182" t="inlineStr"/>
    </row>
    <row r="771" ht="15" customHeight="1" s="28">
      <c r="A771" s="181" t="n">
        <v>761</v>
      </c>
      <c r="B771" s="181" t="n">
        <v>760</v>
      </c>
      <c r="C771" s="181" t="n">
        <v>4596.42</v>
      </c>
      <c r="D771" s="181" t="n">
        <v>4613.991</v>
      </c>
      <c r="E771" s="181" t="n">
        <v>-17.571</v>
      </c>
      <c r="F771" s="181" t="n">
        <v>308.7407</v>
      </c>
      <c r="G771" s="181" t="n">
        <v>577600</v>
      </c>
      <c r="H771" s="181" t="inlineStr"/>
      <c r="I771" s="181" t="inlineStr"/>
    </row>
    <row r="772" ht="15" customHeight="1" s="28">
      <c r="A772" s="182" t="n">
        <v>762</v>
      </c>
      <c r="B772" s="182" t="n">
        <v>761</v>
      </c>
      <c r="C772" s="182" t="n">
        <v>4595.82</v>
      </c>
      <c r="D772" s="182" t="n">
        <v>4613.7234</v>
      </c>
      <c r="E772" s="182" t="n">
        <v>-17.9034</v>
      </c>
      <c r="F772" s="182" t="n">
        <v>320.5324</v>
      </c>
      <c r="G772" s="182" t="n">
        <v>579121</v>
      </c>
      <c r="H772" s="182" t="inlineStr"/>
      <c r="I772" s="182" t="inlineStr"/>
    </row>
    <row r="773" ht="15" customHeight="1" s="28">
      <c r="A773" s="181" t="n">
        <v>763</v>
      </c>
      <c r="B773" s="181" t="n">
        <v>762</v>
      </c>
      <c r="C773" s="181" t="n">
        <v>4593.71</v>
      </c>
      <c r="D773" s="181" t="n">
        <v>4613.4558</v>
      </c>
      <c r="E773" s="181" t="n">
        <v>-19.7458</v>
      </c>
      <c r="F773" s="181" t="n">
        <v>389.897</v>
      </c>
      <c r="G773" s="181" t="n">
        <v>580644</v>
      </c>
      <c r="H773" s="181" t="inlineStr"/>
      <c r="I773" s="181" t="inlineStr"/>
    </row>
    <row r="774" ht="15" customHeight="1" s="28">
      <c r="A774" s="182" t="n">
        <v>764</v>
      </c>
      <c r="B774" s="182" t="n">
        <v>763</v>
      </c>
      <c r="C774" s="182" t="n">
        <v>4594.16</v>
      </c>
      <c r="D774" s="182" t="n">
        <v>4613.1882</v>
      </c>
      <c r="E774" s="182" t="n">
        <v>-19.0282</v>
      </c>
      <c r="F774" s="182" t="n">
        <v>362.0728</v>
      </c>
      <c r="G774" s="182" t="n">
        <v>582169</v>
      </c>
      <c r="H774" s="182" t="inlineStr"/>
      <c r="I774" s="182" t="inlineStr"/>
    </row>
    <row r="775" ht="15" customHeight="1" s="28">
      <c r="A775" s="181" t="n">
        <v>765</v>
      </c>
      <c r="B775" s="181" t="n">
        <v>764</v>
      </c>
      <c r="C775" s="181" t="n">
        <v>4590.84</v>
      </c>
      <c r="D775" s="181" t="n">
        <v>4612.9206</v>
      </c>
      <c r="E775" s="181" t="n">
        <v>-22.0806</v>
      </c>
      <c r="F775" s="181" t="n">
        <v>487.5529</v>
      </c>
      <c r="G775" s="181" t="n">
        <v>583696</v>
      </c>
      <c r="H775" s="181" t="inlineStr"/>
      <c r="I775" s="181" t="inlineStr"/>
    </row>
    <row r="776" ht="15" customHeight="1" s="28">
      <c r="A776" s="182" t="n">
        <v>766</v>
      </c>
      <c r="B776" s="182" t="n">
        <v>765</v>
      </c>
      <c r="C776" s="182" t="n">
        <v>4592.2</v>
      </c>
      <c r="D776" s="182" t="n">
        <v>4612.653</v>
      </c>
      <c r="E776" s="182" t="n">
        <v>-20.453</v>
      </c>
      <c r="F776" s="182" t="n">
        <v>418.3252</v>
      </c>
      <c r="G776" s="182" t="n">
        <v>585225</v>
      </c>
      <c r="H776" s="182" t="inlineStr"/>
      <c r="I776" s="182" t="inlineStr"/>
    </row>
    <row r="777" ht="15" customHeight="1" s="28">
      <c r="A777" s="181" t="n">
        <v>767</v>
      </c>
      <c r="B777" s="181" t="n">
        <v>766</v>
      </c>
      <c r="C777" s="181" t="n">
        <v>4589.91</v>
      </c>
      <c r="D777" s="181" t="n">
        <v>4612.3854</v>
      </c>
      <c r="E777" s="181" t="n">
        <v>-22.4754</v>
      </c>
      <c r="F777" s="181" t="n">
        <v>505.1432</v>
      </c>
      <c r="G777" s="181" t="n">
        <v>586756</v>
      </c>
      <c r="H777" s="181" t="inlineStr"/>
      <c r="I777" s="181" t="inlineStr"/>
    </row>
    <row r="778" ht="15" customHeight="1" s="28">
      <c r="A778" s="182" t="n">
        <v>768</v>
      </c>
      <c r="B778" s="182" t="n">
        <v>767</v>
      </c>
      <c r="C778" s="182" t="n">
        <v>4595.51</v>
      </c>
      <c r="D778" s="182" t="n">
        <v>4612.1178</v>
      </c>
      <c r="E778" s="182" t="n">
        <v>-16.6078</v>
      </c>
      <c r="F778" s="182" t="n">
        <v>275.8187</v>
      </c>
      <c r="G778" s="182" t="n">
        <v>588289</v>
      </c>
      <c r="H778" s="182" t="inlineStr"/>
      <c r="I778" s="182" t="inlineStr"/>
    </row>
    <row r="779" ht="15" customHeight="1" s="28">
      <c r="A779" s="181" t="n">
        <v>769</v>
      </c>
      <c r="B779" s="181" t="n">
        <v>768</v>
      </c>
      <c r="C779" s="181" t="n">
        <v>4607.37</v>
      </c>
      <c r="D779" s="181" t="n">
        <v>4611.8502</v>
      </c>
      <c r="E779" s="181" t="n">
        <v>-4.4802</v>
      </c>
      <c r="F779" s="181" t="n">
        <v>20.0721</v>
      </c>
      <c r="G779" s="181" t="n">
        <v>589824</v>
      </c>
      <c r="H779" s="181" t="inlineStr"/>
      <c r="I779" s="181" t="inlineStr"/>
    </row>
    <row r="780" ht="15" customHeight="1" s="28">
      <c r="A780" s="182" t="n">
        <v>770</v>
      </c>
      <c r="B780" s="182" t="n">
        <v>769</v>
      </c>
      <c r="C780" s="182" t="n">
        <v>4600.13</v>
      </c>
      <c r="D780" s="182" t="n">
        <v>4611.5826</v>
      </c>
      <c r="E780" s="182" t="n">
        <v>-11.4526</v>
      </c>
      <c r="F780" s="182" t="n">
        <v>131.1616</v>
      </c>
      <c r="G780" s="182" t="n">
        <v>591361</v>
      </c>
      <c r="H780" s="182" t="inlineStr"/>
      <c r="I780" s="182" t="inlineStr"/>
    </row>
    <row r="781" ht="15" customHeight="1" s="28">
      <c r="A781" s="181" t="n">
        <v>771</v>
      </c>
      <c r="B781" s="181" t="n">
        <v>770</v>
      </c>
      <c r="C781" s="181" t="n">
        <v>4603.88</v>
      </c>
      <c r="D781" s="181" t="n">
        <v>4611.315</v>
      </c>
      <c r="E781" s="181" t="n">
        <v>-7.435</v>
      </c>
      <c r="F781" s="181" t="n">
        <v>55.2789</v>
      </c>
      <c r="G781" s="181" t="n">
        <v>592900</v>
      </c>
      <c r="H781" s="181" t="inlineStr"/>
      <c r="I781" s="181" t="inlineStr"/>
    </row>
    <row r="782" ht="15" customHeight="1" s="28">
      <c r="A782" s="182" t="n">
        <v>772</v>
      </c>
      <c r="B782" s="182" t="n">
        <v>771</v>
      </c>
      <c r="C782" s="182" t="n">
        <v>4600.27</v>
      </c>
      <c r="D782" s="182" t="n">
        <v>4611.0474</v>
      </c>
      <c r="E782" s="182" t="n">
        <v>-10.7774</v>
      </c>
      <c r="F782" s="182" t="n">
        <v>116.1517</v>
      </c>
      <c r="G782" s="182" t="n">
        <v>594441</v>
      </c>
      <c r="H782" s="182" t="inlineStr"/>
      <c r="I782" s="182" t="inlineStr"/>
    </row>
    <row r="783" ht="15" customHeight="1" s="28">
      <c r="A783" s="181" t="n">
        <v>773</v>
      </c>
      <c r="B783" s="181" t="n">
        <v>772</v>
      </c>
      <c r="C783" s="181" t="n">
        <v>4582.65</v>
      </c>
      <c r="D783" s="181" t="n">
        <v>4610.7798</v>
      </c>
      <c r="E783" s="181" t="n">
        <v>-28.1298</v>
      </c>
      <c r="F783" s="181" t="n">
        <v>791.284</v>
      </c>
      <c r="G783" s="181" t="n">
        <v>595984</v>
      </c>
      <c r="H783" s="181" t="inlineStr"/>
      <c r="I783" s="181" t="inlineStr"/>
    </row>
    <row r="784" ht="15" customHeight="1" s="28">
      <c r="A784" s="182" t="n">
        <v>774</v>
      </c>
      <c r="B784" s="182" t="n">
        <v>773</v>
      </c>
      <c r="C784" s="182" t="n">
        <v>4580.48</v>
      </c>
      <c r="D784" s="182" t="n">
        <v>4610.5122</v>
      </c>
      <c r="E784" s="182" t="n">
        <v>-30.0322</v>
      </c>
      <c r="F784" s="182" t="n">
        <v>901.9312</v>
      </c>
      <c r="G784" s="182" t="n">
        <v>597529</v>
      </c>
      <c r="H784" s="182" t="inlineStr"/>
      <c r="I784" s="182" t="inlineStr"/>
    </row>
    <row r="785" ht="15" customHeight="1" s="28">
      <c r="A785" s="181" t="n">
        <v>775</v>
      </c>
      <c r="B785" s="181" t="n">
        <v>774</v>
      </c>
      <c r="C785" s="181" t="n">
        <v>4590.56</v>
      </c>
      <c r="D785" s="181" t="n">
        <v>4610.2446</v>
      </c>
      <c r="E785" s="181" t="n">
        <v>-19.6846</v>
      </c>
      <c r="F785" s="181" t="n">
        <v>387.4819</v>
      </c>
      <c r="G785" s="181" t="n">
        <v>599076</v>
      </c>
      <c r="H785" s="181" t="inlineStr"/>
      <c r="I785" s="181" t="inlineStr"/>
    </row>
    <row r="786" ht="15" customHeight="1" s="28">
      <c r="A786" s="182" t="n">
        <v>776</v>
      </c>
      <c r="B786" s="182" t="n">
        <v>775</v>
      </c>
      <c r="C786" s="182" t="n">
        <v>4584.98</v>
      </c>
      <c r="D786" s="182" t="n">
        <v>4609.977</v>
      </c>
      <c r="E786" s="182" t="n">
        <v>-24.997</v>
      </c>
      <c r="F786" s="182" t="n">
        <v>624.848</v>
      </c>
      <c r="G786" s="182" t="n">
        <v>600625</v>
      </c>
      <c r="H786" s="182" t="inlineStr"/>
      <c r="I786" s="182" t="inlineStr"/>
    </row>
    <row r="787" ht="15" customHeight="1" s="28">
      <c r="A787" s="181" t="n">
        <v>777</v>
      </c>
      <c r="B787" s="181" t="n">
        <v>776</v>
      </c>
      <c r="C787" s="181" t="n">
        <v>4600.87</v>
      </c>
      <c r="D787" s="181" t="n">
        <v>4609.7094</v>
      </c>
      <c r="E787" s="181" t="n">
        <v>-8.839399999999999</v>
      </c>
      <c r="F787" s="181" t="n">
        <v>78.1341</v>
      </c>
      <c r="G787" s="181" t="n">
        <v>602176</v>
      </c>
      <c r="H787" s="181" t="inlineStr"/>
      <c r="I787" s="181" t="inlineStr"/>
    </row>
    <row r="788" ht="15" customHeight="1" s="28">
      <c r="A788" s="182" t="n">
        <v>778</v>
      </c>
      <c r="B788" s="182" t="n">
        <v>777</v>
      </c>
      <c r="C788" s="182" t="n">
        <v>4598.93</v>
      </c>
      <c r="D788" s="182" t="n">
        <v>4609.4417</v>
      </c>
      <c r="E788" s="182" t="n">
        <v>-10.5117</v>
      </c>
      <c r="F788" s="182" t="n">
        <v>110.4969</v>
      </c>
      <c r="G788" s="182" t="n">
        <v>603729</v>
      </c>
      <c r="H788" s="182" t="inlineStr"/>
      <c r="I788" s="182" t="inlineStr"/>
    </row>
    <row r="789" ht="15" customHeight="1" s="28">
      <c r="A789" s="181" t="n">
        <v>779</v>
      </c>
      <c r="B789" s="181" t="n">
        <v>778</v>
      </c>
      <c r="C789" s="181" t="n">
        <v>4596.92</v>
      </c>
      <c r="D789" s="181" t="n">
        <v>4609.1741</v>
      </c>
      <c r="E789" s="181" t="n">
        <v>-12.2541</v>
      </c>
      <c r="F789" s="181" t="n">
        <v>150.1642</v>
      </c>
      <c r="G789" s="181" t="n">
        <v>605284</v>
      </c>
      <c r="H789" s="181" t="inlineStr"/>
      <c r="I789" s="181" t="inlineStr"/>
    </row>
    <row r="790" ht="15" customHeight="1" s="28">
      <c r="A790" s="182" t="n">
        <v>780</v>
      </c>
      <c r="B790" s="182" t="n">
        <v>779</v>
      </c>
      <c r="C790" s="182" t="n">
        <v>4593.75</v>
      </c>
      <c r="D790" s="182" t="n">
        <v>4608.9065</v>
      </c>
      <c r="E790" s="182" t="n">
        <v>-15.1565</v>
      </c>
      <c r="F790" s="182" t="n">
        <v>229.7207</v>
      </c>
      <c r="G790" s="182" t="n">
        <v>606841</v>
      </c>
      <c r="H790" s="182" t="inlineStr"/>
      <c r="I790" s="182" t="inlineStr"/>
    </row>
    <row r="791" ht="15" customHeight="1" s="28">
      <c r="A791" s="181" t="n">
        <v>781</v>
      </c>
      <c r="B791" s="181" t="n">
        <v>780</v>
      </c>
      <c r="C791" s="181" t="n">
        <v>4601.89</v>
      </c>
      <c r="D791" s="181" t="n">
        <v>4608.6389</v>
      </c>
      <c r="E791" s="181" t="n">
        <v>-6.7489</v>
      </c>
      <c r="F791" s="181" t="n">
        <v>45.5482</v>
      </c>
      <c r="G791" s="181" t="n">
        <v>608400</v>
      </c>
      <c r="H791" s="181" t="inlineStr"/>
      <c r="I791" s="181" t="inlineStr"/>
    </row>
    <row r="792" ht="15" customHeight="1" s="28">
      <c r="A792" s="182" t="n">
        <v>782</v>
      </c>
      <c r="B792" s="182" t="n">
        <v>781</v>
      </c>
      <c r="C792" s="182" t="n">
        <v>4598.67</v>
      </c>
      <c r="D792" s="182" t="n">
        <v>4608.3713</v>
      </c>
      <c r="E792" s="182" t="n">
        <v>-9.7013</v>
      </c>
      <c r="F792" s="182" t="n">
        <v>94.11579999999999</v>
      </c>
      <c r="G792" s="182" t="n">
        <v>609961</v>
      </c>
      <c r="H792" s="182" t="inlineStr"/>
      <c r="I792" s="182" t="inlineStr"/>
    </row>
    <row r="793" ht="15" customHeight="1" s="28">
      <c r="A793" s="181" t="n">
        <v>783</v>
      </c>
      <c r="B793" s="181" t="n">
        <v>782</v>
      </c>
      <c r="C793" s="181" t="n">
        <v>4593.91</v>
      </c>
      <c r="D793" s="181" t="n">
        <v>4608.1037</v>
      </c>
      <c r="E793" s="181" t="n">
        <v>-14.1937</v>
      </c>
      <c r="F793" s="181" t="n">
        <v>201.462</v>
      </c>
      <c r="G793" s="181" t="n">
        <v>611524</v>
      </c>
      <c r="H793" s="181" t="inlineStr"/>
      <c r="I793" s="181" t="inlineStr"/>
    </row>
    <row r="794" ht="15" customHeight="1" s="28">
      <c r="A794" s="182" t="n">
        <v>784</v>
      </c>
      <c r="B794" s="182" t="n">
        <v>783</v>
      </c>
      <c r="C794" s="182" t="n">
        <v>4595.48</v>
      </c>
      <c r="D794" s="182" t="n">
        <v>4607.8361</v>
      </c>
      <c r="E794" s="182" t="n">
        <v>-12.3561</v>
      </c>
      <c r="F794" s="182" t="n">
        <v>152.6739</v>
      </c>
      <c r="G794" s="182" t="n">
        <v>613089</v>
      </c>
      <c r="H794" s="182" t="inlineStr"/>
      <c r="I794" s="182" t="inlineStr"/>
    </row>
    <row r="795" ht="15" customHeight="1" s="28">
      <c r="A795" s="181" t="n">
        <v>785</v>
      </c>
      <c r="B795" s="181" t="n">
        <v>784</v>
      </c>
      <c r="C795" s="181" t="n">
        <v>4600.68</v>
      </c>
      <c r="D795" s="181" t="n">
        <v>4607.5685</v>
      </c>
      <c r="E795" s="181" t="n">
        <v>-6.8885</v>
      </c>
      <c r="F795" s="181" t="n">
        <v>47.4517</v>
      </c>
      <c r="G795" s="181" t="n">
        <v>614656</v>
      </c>
      <c r="H795" s="181" t="inlineStr"/>
      <c r="I795" s="181" t="inlineStr"/>
    </row>
    <row r="796" ht="15" customHeight="1" s="28">
      <c r="A796" s="182" t="n">
        <v>786</v>
      </c>
      <c r="B796" s="182" t="n">
        <v>785</v>
      </c>
      <c r="C796" s="182" t="n">
        <v>4601.86</v>
      </c>
      <c r="D796" s="182" t="n">
        <v>4607.3009</v>
      </c>
      <c r="E796" s="182" t="n">
        <v>-5.4409</v>
      </c>
      <c r="F796" s="182" t="n">
        <v>29.6036</v>
      </c>
      <c r="G796" s="182" t="n">
        <v>616225</v>
      </c>
      <c r="H796" s="182" t="inlineStr"/>
      <c r="I796" s="182" t="inlineStr"/>
    </row>
    <row r="797" ht="15" customHeight="1" s="28">
      <c r="A797" s="181" t="n">
        <v>787</v>
      </c>
      <c r="B797" s="181" t="n">
        <v>786</v>
      </c>
      <c r="C797" s="181" t="n">
        <v>4602.15</v>
      </c>
      <c r="D797" s="181" t="n">
        <v>4607.0333</v>
      </c>
      <c r="E797" s="181" t="n">
        <v>-4.8833</v>
      </c>
      <c r="F797" s="181" t="n">
        <v>23.8467</v>
      </c>
      <c r="G797" s="181" t="n">
        <v>617796</v>
      </c>
      <c r="H797" s="181" t="inlineStr"/>
      <c r="I797" s="181" t="inlineStr"/>
    </row>
    <row r="798" ht="15" customHeight="1" s="28">
      <c r="A798" s="182" t="n">
        <v>788</v>
      </c>
      <c r="B798" s="182" t="n">
        <v>787</v>
      </c>
      <c r="C798" s="182" t="n">
        <v>4604.85</v>
      </c>
      <c r="D798" s="182" t="n">
        <v>4606.7657</v>
      </c>
      <c r="E798" s="182" t="n">
        <v>-1.9157</v>
      </c>
      <c r="F798" s="182" t="n">
        <v>3.6699</v>
      </c>
      <c r="G798" s="182" t="n">
        <v>619369</v>
      </c>
      <c r="H798" s="182" t="inlineStr"/>
      <c r="I798" s="182" t="inlineStr"/>
    </row>
    <row r="799" ht="15" customHeight="1" s="28">
      <c r="A799" s="181" t="n">
        <v>789</v>
      </c>
      <c r="B799" s="181" t="n">
        <v>788</v>
      </c>
      <c r="C799" s="181" t="n">
        <v>4601.15</v>
      </c>
      <c r="D799" s="181" t="n">
        <v>4606.4981</v>
      </c>
      <c r="E799" s="181" t="n">
        <v>-5.3481</v>
      </c>
      <c r="F799" s="181" t="n">
        <v>28.6022</v>
      </c>
      <c r="G799" s="181" t="n">
        <v>620944</v>
      </c>
      <c r="H799" s="181" t="inlineStr"/>
      <c r="I799" s="181" t="inlineStr"/>
    </row>
    <row r="800" ht="15" customHeight="1" s="28">
      <c r="A800" s="182" t="n">
        <v>790</v>
      </c>
      <c r="B800" s="182" t="n">
        <v>789</v>
      </c>
      <c r="C800" s="182" t="n">
        <v>4600.72</v>
      </c>
      <c r="D800" s="182" t="n">
        <v>4606.2305</v>
      </c>
      <c r="E800" s="182" t="n">
        <v>-5.5105</v>
      </c>
      <c r="F800" s="182" t="n">
        <v>30.3656</v>
      </c>
      <c r="G800" s="182" t="n">
        <v>622521</v>
      </c>
      <c r="H800" s="182" t="inlineStr"/>
      <c r="I800" s="182" t="inlineStr"/>
    </row>
    <row r="801" ht="15" customHeight="1" s="28">
      <c r="A801" s="181" t="n">
        <v>791</v>
      </c>
      <c r="B801" s="181" t="n">
        <v>790</v>
      </c>
      <c r="C801" s="181" t="n">
        <v>4599.05</v>
      </c>
      <c r="D801" s="181" t="n">
        <v>4605.9629</v>
      </c>
      <c r="E801" s="181" t="n">
        <v>-6.9129</v>
      </c>
      <c r="F801" s="181" t="n">
        <v>47.7882</v>
      </c>
      <c r="G801" s="181" t="n">
        <v>624100</v>
      </c>
      <c r="H801" s="181" t="inlineStr"/>
      <c r="I801" s="181" t="inlineStr"/>
    </row>
    <row r="802" ht="15" customHeight="1" s="28">
      <c r="A802" s="182" t="n">
        <v>792</v>
      </c>
      <c r="B802" s="182" t="n">
        <v>791</v>
      </c>
      <c r="C802" s="182" t="n">
        <v>4590.9</v>
      </c>
      <c r="D802" s="182" t="n">
        <v>4605.6953</v>
      </c>
      <c r="E802" s="182" t="n">
        <v>-14.7953</v>
      </c>
      <c r="F802" s="182" t="n">
        <v>218.9006</v>
      </c>
      <c r="G802" s="182" t="n">
        <v>625681</v>
      </c>
      <c r="H802" s="182" t="inlineStr"/>
      <c r="I802" s="182" t="inlineStr"/>
    </row>
    <row r="803" ht="15" customHeight="1" s="28">
      <c r="A803" s="181" t="n">
        <v>793</v>
      </c>
      <c r="B803" s="181" t="n">
        <v>792</v>
      </c>
      <c r="C803" s="181" t="n">
        <v>4588.73</v>
      </c>
      <c r="D803" s="181" t="n">
        <v>4605.4277</v>
      </c>
      <c r="E803" s="181" t="n">
        <v>-16.6977</v>
      </c>
      <c r="F803" s="181" t="n">
        <v>278.8129</v>
      </c>
      <c r="G803" s="181" t="n">
        <v>627264</v>
      </c>
      <c r="H803" s="181" t="inlineStr"/>
      <c r="I803" s="181" t="inlineStr"/>
    </row>
    <row r="804" ht="15" customHeight="1" s="28">
      <c r="A804" s="182" t="n">
        <v>794</v>
      </c>
      <c r="B804" s="182" t="n">
        <v>793</v>
      </c>
      <c r="C804" s="182" t="n">
        <v>4585.04</v>
      </c>
      <c r="D804" s="182" t="n">
        <v>4605.1601</v>
      </c>
      <c r="E804" s="182" t="n">
        <v>-20.1201</v>
      </c>
      <c r="F804" s="182" t="n">
        <v>404.8176</v>
      </c>
      <c r="G804" s="182" t="n">
        <v>628849</v>
      </c>
      <c r="H804" s="182" t="inlineStr"/>
      <c r="I804" s="182" t="inlineStr"/>
    </row>
    <row r="805" ht="15" customHeight="1" s="28">
      <c r="A805" s="181" t="n">
        <v>795</v>
      </c>
      <c r="B805" s="181" t="n">
        <v>794</v>
      </c>
      <c r="C805" s="181" t="n">
        <v>4585.03</v>
      </c>
      <c r="D805" s="181" t="n">
        <v>4604.8925</v>
      </c>
      <c r="E805" s="181" t="n">
        <v>-19.8625</v>
      </c>
      <c r="F805" s="181" t="n">
        <v>394.5181</v>
      </c>
      <c r="G805" s="181" t="n">
        <v>630436</v>
      </c>
      <c r="H805" s="181" t="inlineStr"/>
      <c r="I805" s="181" t="inlineStr"/>
    </row>
    <row r="806" ht="15" customHeight="1" s="28">
      <c r="A806" s="182" t="n">
        <v>796</v>
      </c>
      <c r="B806" s="182" t="n">
        <v>795</v>
      </c>
      <c r="C806" s="182" t="n">
        <v>4584.52</v>
      </c>
      <c r="D806" s="182" t="n">
        <v>4604.6249</v>
      </c>
      <c r="E806" s="182" t="n">
        <v>-20.1049</v>
      </c>
      <c r="F806" s="182" t="n">
        <v>404.2062</v>
      </c>
      <c r="G806" s="182" t="n">
        <v>632025</v>
      </c>
      <c r="H806" s="182" t="inlineStr"/>
      <c r="I806" s="182" t="inlineStr"/>
    </row>
    <row r="807" ht="15" customHeight="1" s="28">
      <c r="A807" s="181" t="n">
        <v>797</v>
      </c>
      <c r="B807" s="181" t="n">
        <v>796</v>
      </c>
      <c r="C807" s="181" t="n">
        <v>4578.72</v>
      </c>
      <c r="D807" s="181" t="n">
        <v>4604.3573</v>
      </c>
      <c r="E807" s="181" t="n">
        <v>-25.6373</v>
      </c>
      <c r="F807" s="181" t="n">
        <v>657.2696</v>
      </c>
      <c r="G807" s="181" t="n">
        <v>633616</v>
      </c>
      <c r="H807" s="181" t="inlineStr"/>
      <c r="I807" s="181" t="inlineStr"/>
    </row>
    <row r="808" ht="15" customHeight="1" s="28">
      <c r="A808" s="182" t="n">
        <v>798</v>
      </c>
      <c r="B808" s="182" t="n">
        <v>797</v>
      </c>
      <c r="C808" s="182" t="n">
        <v>4575.11</v>
      </c>
      <c r="D808" s="182" t="n">
        <v>4604.0897</v>
      </c>
      <c r="E808" s="182" t="n">
        <v>-28.9797</v>
      </c>
      <c r="F808" s="182" t="n">
        <v>839.8213</v>
      </c>
      <c r="G808" s="182" t="n">
        <v>635209</v>
      </c>
      <c r="H808" s="182" t="inlineStr"/>
      <c r="I808" s="182" t="inlineStr"/>
    </row>
    <row r="809" ht="15" customHeight="1" s="28">
      <c r="A809" s="181" t="n">
        <v>799</v>
      </c>
      <c r="B809" s="181" t="n">
        <v>798</v>
      </c>
      <c r="C809" s="181" t="n">
        <v>4570.56</v>
      </c>
      <c r="D809" s="181" t="n">
        <v>4603.8221</v>
      </c>
      <c r="E809" s="181" t="n">
        <v>-33.2621</v>
      </c>
      <c r="F809" s="181" t="n">
        <v>1106.3646</v>
      </c>
      <c r="G809" s="181" t="n">
        <v>636804</v>
      </c>
      <c r="H809" s="181" t="inlineStr"/>
      <c r="I809" s="181" t="inlineStr"/>
    </row>
    <row r="810" ht="15" customHeight="1" s="28">
      <c r="A810" s="182" t="n">
        <v>800</v>
      </c>
      <c r="B810" s="182" t="n">
        <v>799</v>
      </c>
      <c r="C810" s="182" t="n">
        <v>4567.92</v>
      </c>
      <c r="D810" s="182" t="n">
        <v>4603.5545</v>
      </c>
      <c r="E810" s="182" t="n">
        <v>-35.6345</v>
      </c>
      <c r="F810" s="182" t="n">
        <v>1269.8147</v>
      </c>
      <c r="G810" s="182" t="n">
        <v>638401</v>
      </c>
      <c r="H810" s="182" t="inlineStr"/>
      <c r="I810" s="182" t="inlineStr"/>
    </row>
    <row r="811" ht="15" customHeight="1" s="28">
      <c r="A811" s="181" t="n">
        <v>801</v>
      </c>
      <c r="B811" s="181" t="n">
        <v>800</v>
      </c>
      <c r="C811" s="181" t="n">
        <v>4565.44</v>
      </c>
      <c r="D811" s="181" t="n">
        <v>4603.2869</v>
      </c>
      <c r="E811" s="181" t="n">
        <v>-37.8469</v>
      </c>
      <c r="F811" s="181" t="n">
        <v>1432.3848</v>
      </c>
      <c r="G811" s="181" t="n">
        <v>640000</v>
      </c>
      <c r="H811" s="181" t="inlineStr"/>
      <c r="I811" s="181" t="inlineStr"/>
    </row>
    <row r="812" ht="15" customHeight="1" s="28">
      <c r="A812" s="182" t="n">
        <v>802</v>
      </c>
      <c r="B812" s="182" t="n">
        <v>801</v>
      </c>
      <c r="C812" s="182" t="n">
        <v>4566.65</v>
      </c>
      <c r="D812" s="182" t="n">
        <v>4603.0193</v>
      </c>
      <c r="E812" s="182" t="n">
        <v>-36.3693</v>
      </c>
      <c r="F812" s="182" t="n">
        <v>1322.7223</v>
      </c>
      <c r="G812" s="182" t="n">
        <v>641601</v>
      </c>
      <c r="H812" s="182" t="inlineStr"/>
      <c r="I812" s="182" t="inlineStr"/>
    </row>
    <row r="813" ht="15" customHeight="1" s="28">
      <c r="A813" s="181" t="n">
        <v>803</v>
      </c>
      <c r="B813" s="181" t="n">
        <v>802</v>
      </c>
      <c r="C813" s="181" t="n">
        <v>4568.37</v>
      </c>
      <c r="D813" s="181" t="n">
        <v>4602.7517</v>
      </c>
      <c r="E813" s="181" t="n">
        <v>-34.3817</v>
      </c>
      <c r="F813" s="181" t="n">
        <v>1182.0979</v>
      </c>
      <c r="G813" s="181" t="n">
        <v>643204</v>
      </c>
      <c r="H813" s="181" t="inlineStr"/>
      <c r="I813" s="181" t="inlineStr"/>
    </row>
    <row r="814" ht="15" customHeight="1" s="28">
      <c r="A814" s="182" t="n">
        <v>804</v>
      </c>
      <c r="B814" s="182" t="n">
        <v>803</v>
      </c>
      <c r="C814" s="182" t="n">
        <v>4573.2</v>
      </c>
      <c r="D814" s="182" t="n">
        <v>4602.484</v>
      </c>
      <c r="E814" s="182" t="n">
        <v>-29.284</v>
      </c>
      <c r="F814" s="182" t="n">
        <v>857.5549999999999</v>
      </c>
      <c r="G814" s="182" t="n">
        <v>644809</v>
      </c>
      <c r="H814" s="182" t="inlineStr"/>
      <c r="I814" s="182" t="inlineStr"/>
    </row>
    <row r="815" ht="15" customHeight="1" s="28">
      <c r="A815" s="181" t="n">
        <v>805</v>
      </c>
      <c r="B815" s="181" t="n">
        <v>804</v>
      </c>
      <c r="C815" s="181" t="n">
        <v>4574.2</v>
      </c>
      <c r="D815" s="181" t="n">
        <v>4602.2164</v>
      </c>
      <c r="E815" s="181" t="n">
        <v>-28.0164</v>
      </c>
      <c r="F815" s="181" t="n">
        <v>784.9209</v>
      </c>
      <c r="G815" s="181" t="n">
        <v>646416</v>
      </c>
      <c r="H815" s="181" t="inlineStr"/>
      <c r="I815" s="181" t="inlineStr"/>
    </row>
    <row r="816" ht="15" customHeight="1" s="28">
      <c r="A816" s="182" t="n">
        <v>806</v>
      </c>
      <c r="B816" s="182" t="n">
        <v>805</v>
      </c>
      <c r="C816" s="182" t="n">
        <v>4565.69</v>
      </c>
      <c r="D816" s="182" t="n">
        <v>4601.9488</v>
      </c>
      <c r="E816" s="182" t="n">
        <v>-36.2588</v>
      </c>
      <c r="F816" s="182" t="n">
        <v>1314.7035</v>
      </c>
      <c r="G816" s="182" t="n">
        <v>648025</v>
      </c>
      <c r="H816" s="182" t="inlineStr"/>
      <c r="I816" s="182" t="inlineStr"/>
    </row>
    <row r="817" ht="15" customHeight="1" s="28">
      <c r="A817" s="181" t="n">
        <v>807</v>
      </c>
      <c r="B817" s="181" t="n">
        <v>806</v>
      </c>
      <c r="C817" s="181" t="n">
        <v>4558.86</v>
      </c>
      <c r="D817" s="181" t="n">
        <v>4601.6812</v>
      </c>
      <c r="E817" s="181" t="n">
        <v>-42.8212</v>
      </c>
      <c r="F817" s="181" t="n">
        <v>1833.6577</v>
      </c>
      <c r="G817" s="181" t="n">
        <v>649636</v>
      </c>
      <c r="H817" s="181" t="inlineStr"/>
      <c r="I817" s="181" t="inlineStr"/>
    </row>
    <row r="818" ht="15" customHeight="1" s="28">
      <c r="A818" s="182" t="n">
        <v>808</v>
      </c>
      <c r="B818" s="182" t="n">
        <v>807</v>
      </c>
      <c r="C818" s="182" t="n">
        <v>4555.94</v>
      </c>
      <c r="D818" s="182" t="n">
        <v>4601.4136</v>
      </c>
      <c r="E818" s="182" t="n">
        <v>-45.4736</v>
      </c>
      <c r="F818" s="182" t="n">
        <v>2067.851</v>
      </c>
      <c r="G818" s="182" t="n">
        <v>651249</v>
      </c>
      <c r="H818" s="182" t="inlineStr"/>
      <c r="I818" s="182" t="inlineStr"/>
    </row>
    <row r="819" ht="15" customHeight="1" s="28">
      <c r="A819" s="181" t="n">
        <v>809</v>
      </c>
      <c r="B819" s="181" t="n">
        <v>808</v>
      </c>
      <c r="C819" s="181" t="n">
        <v>4568.04</v>
      </c>
      <c r="D819" s="181" t="n">
        <v>4601.146</v>
      </c>
      <c r="E819" s="181" t="n">
        <v>-33.106</v>
      </c>
      <c r="F819" s="181" t="n">
        <v>1096.0086</v>
      </c>
      <c r="G819" s="181" t="n">
        <v>652864</v>
      </c>
      <c r="H819" s="181" t="inlineStr"/>
      <c r="I819" s="181" t="inlineStr"/>
    </row>
    <row r="820" ht="15" customHeight="1" s="28">
      <c r="A820" s="182" t="n">
        <v>810</v>
      </c>
      <c r="B820" s="182" t="n">
        <v>809</v>
      </c>
      <c r="C820" s="182" t="n">
        <v>4571.78</v>
      </c>
      <c r="D820" s="182" t="n">
        <v>4600.8784</v>
      </c>
      <c r="E820" s="182" t="n">
        <v>-29.0984</v>
      </c>
      <c r="F820" s="182" t="n">
        <v>846.718</v>
      </c>
      <c r="G820" s="182" t="n">
        <v>654481</v>
      </c>
      <c r="H820" s="182" t="inlineStr"/>
      <c r="I820" s="182" t="inlineStr"/>
    </row>
    <row r="821" ht="15" customHeight="1" s="28">
      <c r="A821" s="181" t="n">
        <v>811</v>
      </c>
      <c r="B821" s="181" t="n">
        <v>810</v>
      </c>
      <c r="C821" s="181" t="n">
        <v>4566.36</v>
      </c>
      <c r="D821" s="181" t="n">
        <v>4600.6108</v>
      </c>
      <c r="E821" s="181" t="n">
        <v>-34.2508</v>
      </c>
      <c r="F821" s="181" t="n">
        <v>1173.118</v>
      </c>
      <c r="G821" s="181" t="n">
        <v>656100</v>
      </c>
      <c r="H821" s="181" t="inlineStr"/>
      <c r="I821" s="181" t="inlineStr"/>
    </row>
    <row r="822" ht="15" customHeight="1" s="28">
      <c r="A822" s="182" t="n">
        <v>812</v>
      </c>
      <c r="B822" s="182" t="n">
        <v>811</v>
      </c>
      <c r="C822" s="182" t="n">
        <v>4569.98</v>
      </c>
      <c r="D822" s="182" t="n">
        <v>4600.3432</v>
      </c>
      <c r="E822" s="182" t="n">
        <v>-30.3632</v>
      </c>
      <c r="F822" s="182" t="n">
        <v>921.9245</v>
      </c>
      <c r="G822" s="182" t="n">
        <v>657721</v>
      </c>
      <c r="H822" s="182" t="inlineStr"/>
      <c r="I822" s="182" t="inlineStr"/>
    </row>
    <row r="823" ht="15" customHeight="1" s="28">
      <c r="A823" s="181" t="n">
        <v>813</v>
      </c>
      <c r="B823" s="181" t="n">
        <v>812</v>
      </c>
      <c r="C823" s="181" t="n">
        <v>4568.02</v>
      </c>
      <c r="D823" s="181" t="n">
        <v>4600.0756</v>
      </c>
      <c r="E823" s="181" t="n">
        <v>-32.0556</v>
      </c>
      <c r="F823" s="181" t="n">
        <v>1027.5621</v>
      </c>
      <c r="G823" s="181" t="n">
        <v>659344</v>
      </c>
      <c r="H823" s="181" t="inlineStr"/>
      <c r="I823" s="181" t="inlineStr"/>
    </row>
    <row r="824" ht="15" customHeight="1" s="28">
      <c r="A824" s="182" t="n">
        <v>814</v>
      </c>
      <c r="B824" s="182" t="n">
        <v>813</v>
      </c>
      <c r="C824" s="182" t="n">
        <v>4564.76</v>
      </c>
      <c r="D824" s="182" t="n">
        <v>4599.808</v>
      </c>
      <c r="E824" s="182" t="n">
        <v>-35.048</v>
      </c>
      <c r="F824" s="182" t="n">
        <v>1228.3623</v>
      </c>
      <c r="G824" s="182" t="n">
        <v>660969</v>
      </c>
      <c r="H824" s="182" t="inlineStr"/>
      <c r="I824" s="182" t="inlineStr"/>
    </row>
    <row r="825" ht="15" customHeight="1" s="28">
      <c r="A825" s="181" t="n">
        <v>815</v>
      </c>
      <c r="B825" s="181" t="n">
        <v>814</v>
      </c>
      <c r="C825" s="181" t="n">
        <v>4567.03</v>
      </c>
      <c r="D825" s="181" t="n">
        <v>4599.5404</v>
      </c>
      <c r="E825" s="181" t="n">
        <v>-32.5104</v>
      </c>
      <c r="F825" s="181" t="n">
        <v>1056.9261</v>
      </c>
      <c r="G825" s="181" t="n">
        <v>662596</v>
      </c>
      <c r="H825" s="181" t="inlineStr"/>
      <c r="I825" s="181" t="inlineStr"/>
    </row>
    <row r="826" ht="15" customHeight="1" s="28">
      <c r="A826" s="182" t="n">
        <v>816</v>
      </c>
      <c r="B826" s="182" t="n">
        <v>815</v>
      </c>
      <c r="C826" s="182" t="n">
        <v>4561.87</v>
      </c>
      <c r="D826" s="182" t="n">
        <v>4599.2728</v>
      </c>
      <c r="E826" s="182" t="n">
        <v>-37.4028</v>
      </c>
      <c r="F826" s="182" t="n">
        <v>1398.9687</v>
      </c>
      <c r="G826" s="182" t="n">
        <v>664225</v>
      </c>
      <c r="H826" s="182" t="inlineStr"/>
      <c r="I826" s="182" t="inlineStr"/>
    </row>
    <row r="827" ht="15" customHeight="1" s="28">
      <c r="A827" s="181" t="n">
        <v>817</v>
      </c>
      <c r="B827" s="181" t="n">
        <v>816</v>
      </c>
      <c r="C827" s="181" t="n">
        <v>4564.41</v>
      </c>
      <c r="D827" s="181" t="n">
        <v>4599.0052</v>
      </c>
      <c r="E827" s="181" t="n">
        <v>-34.5952</v>
      </c>
      <c r="F827" s="181" t="n">
        <v>1196.8272</v>
      </c>
      <c r="G827" s="181" t="n">
        <v>665856</v>
      </c>
      <c r="H827" s="181" t="inlineStr"/>
      <c r="I827" s="181" t="inlineStr"/>
    </row>
    <row r="828" ht="15" customHeight="1" s="28">
      <c r="A828" s="182" t="n">
        <v>818</v>
      </c>
      <c r="B828" s="182" t="n">
        <v>817</v>
      </c>
      <c r="C828" s="182" t="n">
        <v>4559.4</v>
      </c>
      <c r="D828" s="182" t="n">
        <v>4598.7376</v>
      </c>
      <c r="E828" s="182" t="n">
        <v>-39.3376</v>
      </c>
      <c r="F828" s="182" t="n">
        <v>1547.446</v>
      </c>
      <c r="G828" s="182" t="n">
        <v>667489</v>
      </c>
      <c r="H828" s="182" t="inlineStr"/>
      <c r="I828" s="182" t="inlineStr"/>
    </row>
    <row r="829" ht="15" customHeight="1" s="28">
      <c r="A829" s="181" t="n">
        <v>819</v>
      </c>
      <c r="B829" s="181" t="n">
        <v>818</v>
      </c>
      <c r="C829" s="181" t="n">
        <v>4557.62</v>
      </c>
      <c r="D829" s="181" t="n">
        <v>4598.47</v>
      </c>
      <c r="E829" s="181" t="n">
        <v>-40.85</v>
      </c>
      <c r="F829" s="181" t="n">
        <v>1668.7209</v>
      </c>
      <c r="G829" s="181" t="n">
        <v>669124</v>
      </c>
      <c r="H829" s="181" t="inlineStr"/>
      <c r="I829" s="181" t="inlineStr"/>
    </row>
    <row r="830" ht="15" customHeight="1" s="28">
      <c r="A830" s="182" t="n">
        <v>820</v>
      </c>
      <c r="B830" s="182" t="n">
        <v>819</v>
      </c>
      <c r="C830" s="182" t="n">
        <v>4544.9</v>
      </c>
      <c r="D830" s="182" t="n">
        <v>4598.2024</v>
      </c>
      <c r="E830" s="182" t="n">
        <v>-53.3024</v>
      </c>
      <c r="F830" s="182" t="n">
        <v>2841.1437</v>
      </c>
      <c r="G830" s="182" t="n">
        <v>670761</v>
      </c>
      <c r="H830" s="182" t="inlineStr"/>
      <c r="I830" s="182" t="inlineStr"/>
    </row>
    <row r="831" ht="15" customHeight="1" s="28">
      <c r="A831" s="181" t="n">
        <v>821</v>
      </c>
      <c r="B831" s="181" t="n">
        <v>820</v>
      </c>
      <c r="C831" s="181" t="n">
        <v>4549.8</v>
      </c>
      <c r="D831" s="181" t="n">
        <v>4597.9348</v>
      </c>
      <c r="E831" s="181" t="n">
        <v>-48.1348</v>
      </c>
      <c r="F831" s="181" t="n">
        <v>2316.9561</v>
      </c>
      <c r="G831" s="181" t="n">
        <v>672400</v>
      </c>
      <c r="H831" s="181" t="inlineStr"/>
      <c r="I831" s="181" t="inlineStr"/>
    </row>
    <row r="832" ht="15" customHeight="1" s="28">
      <c r="A832" s="182" t="n">
        <v>822</v>
      </c>
      <c r="B832" s="182" t="n">
        <v>821</v>
      </c>
      <c r="C832" s="182" t="n">
        <v>4537.82</v>
      </c>
      <c r="D832" s="182" t="n">
        <v>4597.6672</v>
      </c>
      <c r="E832" s="182" t="n">
        <v>-59.8472</v>
      </c>
      <c r="F832" s="182" t="n">
        <v>3581.6838</v>
      </c>
      <c r="G832" s="182" t="n">
        <v>674041</v>
      </c>
      <c r="H832" s="182" t="inlineStr"/>
      <c r="I832" s="182" t="inlineStr"/>
    </row>
    <row r="833" ht="15" customHeight="1" s="28">
      <c r="A833" s="181" t="n">
        <v>823</v>
      </c>
      <c r="B833" s="181" t="n">
        <v>822</v>
      </c>
      <c r="C833" s="181" t="n">
        <v>4514.81</v>
      </c>
      <c r="D833" s="181" t="n">
        <v>4597.3996</v>
      </c>
      <c r="E833" s="181" t="n">
        <v>-82.5896</v>
      </c>
      <c r="F833" s="181" t="n">
        <v>6821.0371</v>
      </c>
      <c r="G833" s="181" t="n">
        <v>675684</v>
      </c>
      <c r="H833" s="181" t="inlineStr"/>
      <c r="I833" s="181" t="inlineStr"/>
    </row>
    <row r="834" ht="15" customHeight="1" s="28">
      <c r="A834" s="182" t="n">
        <v>824</v>
      </c>
      <c r="B834" s="182" t="n">
        <v>823</v>
      </c>
      <c r="C834" s="182" t="n">
        <v>4521.71</v>
      </c>
      <c r="D834" s="182" t="n">
        <v>4597.132</v>
      </c>
      <c r="E834" s="182" t="n">
        <v>-75.422</v>
      </c>
      <c r="F834" s="182" t="n">
        <v>5688.4721</v>
      </c>
      <c r="G834" s="182" t="n">
        <v>677329</v>
      </c>
      <c r="H834" s="182" t="inlineStr"/>
      <c r="I834" s="182" t="inlineStr"/>
    </row>
    <row r="835" ht="15" customHeight="1" s="28">
      <c r="A835" s="181" t="n">
        <v>825</v>
      </c>
      <c r="B835" s="181" t="n">
        <v>824</v>
      </c>
      <c r="C835" s="181" t="n">
        <v>4526.15</v>
      </c>
      <c r="D835" s="181" t="n">
        <v>4596.8644</v>
      </c>
      <c r="E835" s="181" t="n">
        <v>-70.7144</v>
      </c>
      <c r="F835" s="181" t="n">
        <v>5000.5207</v>
      </c>
      <c r="G835" s="181" t="n">
        <v>678976</v>
      </c>
      <c r="H835" s="181" t="inlineStr"/>
      <c r="I835" s="181" t="inlineStr"/>
    </row>
    <row r="836" ht="15" customHeight="1" s="28">
      <c r="A836" s="182" t="n">
        <v>826</v>
      </c>
      <c r="B836" s="182" t="n">
        <v>825</v>
      </c>
      <c r="C836" s="182" t="n">
        <v>4533.2</v>
      </c>
      <c r="D836" s="182" t="n">
        <v>4596.5967</v>
      </c>
      <c r="E836" s="182" t="n">
        <v>-63.3967</v>
      </c>
      <c r="F836" s="182" t="n">
        <v>4019.1479</v>
      </c>
      <c r="G836" s="182" t="n">
        <v>680625</v>
      </c>
      <c r="H836" s="182" t="inlineStr"/>
      <c r="I836" s="182" t="inlineStr"/>
    </row>
    <row r="837" ht="15" customHeight="1" s="28">
      <c r="A837" s="181" t="n">
        <v>827</v>
      </c>
      <c r="B837" s="181" t="n">
        <v>826</v>
      </c>
      <c r="C837" s="181" t="n">
        <v>4538.69</v>
      </c>
      <c r="D837" s="181" t="n">
        <v>4596.3291</v>
      </c>
      <c r="E837" s="181" t="n">
        <v>-57.6391</v>
      </c>
      <c r="F837" s="181" t="n">
        <v>3322.2716</v>
      </c>
      <c r="G837" s="181" t="n">
        <v>682276</v>
      </c>
      <c r="H837" s="181" t="inlineStr"/>
      <c r="I837" s="181" t="inlineStr"/>
    </row>
    <row r="838" ht="15" customHeight="1" s="28">
      <c r="A838" s="182" t="n">
        <v>828</v>
      </c>
      <c r="B838" s="182" t="n">
        <v>827</v>
      </c>
      <c r="C838" s="182" t="n">
        <v>4539.25</v>
      </c>
      <c r="D838" s="182" t="n">
        <v>4596.0616</v>
      </c>
      <c r="E838" s="182" t="n">
        <v>-56.8116</v>
      </c>
      <c r="F838" s="182" t="n">
        <v>3227.5522</v>
      </c>
      <c r="G838" s="182" t="n">
        <v>683929</v>
      </c>
      <c r="H838" s="182" t="inlineStr"/>
      <c r="I838" s="182" t="inlineStr"/>
    </row>
    <row r="839" ht="15" customHeight="1" s="28">
      <c r="A839" s="181" t="n">
        <v>829</v>
      </c>
      <c r="B839" s="181" t="n">
        <v>828</v>
      </c>
      <c r="C839" s="181" t="n">
        <v>4538.08</v>
      </c>
      <c r="D839" s="181" t="n">
        <v>4595.7939</v>
      </c>
      <c r="E839" s="181" t="n">
        <v>-57.7139</v>
      </c>
      <c r="F839" s="181" t="n">
        <v>3330.8989</v>
      </c>
      <c r="G839" s="181" t="n">
        <v>685584</v>
      </c>
      <c r="H839" s="181" t="inlineStr"/>
      <c r="I839" s="181" t="inlineStr"/>
    </row>
    <row r="840" ht="15" customHeight="1" s="28">
      <c r="A840" s="182" t="n">
        <v>830</v>
      </c>
      <c r="B840" s="182" t="n">
        <v>829</v>
      </c>
      <c r="C840" s="182" t="n">
        <v>4543.61</v>
      </c>
      <c r="D840" s="182" t="n">
        <v>4595.5263</v>
      </c>
      <c r="E840" s="182" t="n">
        <v>-51.9163</v>
      </c>
      <c r="F840" s="182" t="n">
        <v>2695.3064</v>
      </c>
      <c r="G840" s="182" t="n">
        <v>687241</v>
      </c>
      <c r="H840" s="182" t="inlineStr"/>
      <c r="I840" s="182" t="inlineStr"/>
    </row>
    <row r="841" ht="15" customHeight="1" s="28">
      <c r="A841" s="181" t="n">
        <v>831</v>
      </c>
      <c r="B841" s="181" t="n">
        <v>830</v>
      </c>
      <c r="C841" s="181" t="n">
        <v>4553.17</v>
      </c>
      <c r="D841" s="181" t="n">
        <v>4595.2587</v>
      </c>
      <c r="E841" s="181" t="n">
        <v>-42.0887</v>
      </c>
      <c r="F841" s="181" t="n">
        <v>1771.4612</v>
      </c>
      <c r="G841" s="181" t="n">
        <v>688900</v>
      </c>
      <c r="H841" s="181" t="inlineStr"/>
      <c r="I841" s="181" t="inlineStr"/>
    </row>
    <row r="842" ht="15" customHeight="1" s="28">
      <c r="A842" s="182" t="n">
        <v>832</v>
      </c>
      <c r="B842" s="182" t="n">
        <v>831</v>
      </c>
      <c r="C842" s="182" t="n">
        <v>4547.48</v>
      </c>
      <c r="D842" s="182" t="n">
        <v>4594.9911</v>
      </c>
      <c r="E842" s="182" t="n">
        <v>-47.5111</v>
      </c>
      <c r="F842" s="182" t="n">
        <v>2257.3075</v>
      </c>
      <c r="G842" s="182" t="n">
        <v>690561</v>
      </c>
      <c r="H842" s="182" t="inlineStr"/>
      <c r="I842" s="182" t="inlineStr"/>
    </row>
    <row r="843" ht="15" customHeight="1" s="28">
      <c r="A843" s="181" t="n">
        <v>833</v>
      </c>
      <c r="B843" s="181" t="n">
        <v>832</v>
      </c>
      <c r="C843" s="181" t="n">
        <v>4559.1</v>
      </c>
      <c r="D843" s="181" t="n">
        <v>4594.7235</v>
      </c>
      <c r="E843" s="181" t="n">
        <v>-35.6235</v>
      </c>
      <c r="F843" s="181" t="n">
        <v>1269.0352</v>
      </c>
      <c r="G843" s="181" t="n">
        <v>692224</v>
      </c>
      <c r="H843" s="181" t="inlineStr"/>
      <c r="I843" s="181" t="inlineStr"/>
    </row>
    <row r="844" ht="15" customHeight="1" s="28">
      <c r="A844" s="182" t="n">
        <v>834</v>
      </c>
      <c r="B844" s="182" t="n">
        <v>833</v>
      </c>
      <c r="C844" s="182" t="n">
        <v>4560.23</v>
      </c>
      <c r="D844" s="182" t="n">
        <v>4594.4559</v>
      </c>
      <c r="E844" s="182" t="n">
        <v>-34.2259</v>
      </c>
      <c r="F844" s="182" t="n">
        <v>1171.4136</v>
      </c>
      <c r="G844" s="182" t="n">
        <v>693889</v>
      </c>
      <c r="H844" s="182" t="inlineStr"/>
      <c r="I844" s="182" t="inlineStr"/>
    </row>
    <row r="845" ht="15" customHeight="1" s="28">
      <c r="A845" s="181" t="n">
        <v>835</v>
      </c>
      <c r="B845" s="181" t="n">
        <v>834</v>
      </c>
      <c r="C845" s="181" t="n">
        <v>4550.51</v>
      </c>
      <c r="D845" s="181" t="n">
        <v>4594.1883</v>
      </c>
      <c r="E845" s="181" t="n">
        <v>-43.6783</v>
      </c>
      <c r="F845" s="181" t="n">
        <v>1907.7956</v>
      </c>
      <c r="G845" s="181" t="n">
        <v>695556</v>
      </c>
      <c r="H845" s="181" t="inlineStr"/>
      <c r="I845" s="181" t="inlineStr"/>
    </row>
    <row r="846" ht="15" customHeight="1" s="28">
      <c r="A846" s="182" t="n">
        <v>836</v>
      </c>
      <c r="B846" s="182" t="n">
        <v>835</v>
      </c>
      <c r="C846" s="182" t="n">
        <v>4545.36</v>
      </c>
      <c r="D846" s="182" t="n">
        <v>4593.9207</v>
      </c>
      <c r="E846" s="182" t="n">
        <v>-48.5607</v>
      </c>
      <c r="F846" s="182" t="n">
        <v>2358.1426</v>
      </c>
      <c r="G846" s="182" t="n">
        <v>697225</v>
      </c>
      <c r="H846" s="182" t="inlineStr"/>
      <c r="I846" s="182" t="inlineStr"/>
    </row>
    <row r="847" ht="15" customHeight="1" s="28">
      <c r="A847" s="181" t="n">
        <v>837</v>
      </c>
      <c r="B847" s="181" t="n">
        <v>836</v>
      </c>
      <c r="C847" s="181" t="n">
        <v>4550.68</v>
      </c>
      <c r="D847" s="181" t="n">
        <v>4593.6531</v>
      </c>
      <c r="E847" s="181" t="n">
        <v>-42.9731</v>
      </c>
      <c r="F847" s="181" t="n">
        <v>1846.6882</v>
      </c>
      <c r="G847" s="181" t="n">
        <v>698896</v>
      </c>
      <c r="H847" s="181" t="inlineStr"/>
      <c r="I847" s="181" t="inlineStr"/>
    </row>
    <row r="848" ht="15" customHeight="1" s="28">
      <c r="A848" s="182" t="n">
        <v>838</v>
      </c>
      <c r="B848" s="182" t="n">
        <v>837</v>
      </c>
      <c r="C848" s="182" t="n">
        <v>4547.23</v>
      </c>
      <c r="D848" s="182" t="n">
        <v>4593.3855</v>
      </c>
      <c r="E848" s="182" t="n">
        <v>-46.1555</v>
      </c>
      <c r="F848" s="182" t="n">
        <v>2130.3302</v>
      </c>
      <c r="G848" s="182" t="n">
        <v>700569</v>
      </c>
      <c r="H848" s="182" t="inlineStr"/>
      <c r="I848" s="182" t="inlineStr"/>
    </row>
    <row r="849" ht="15" customHeight="1" s="28">
      <c r="A849" s="181" t="n">
        <v>839</v>
      </c>
      <c r="B849" s="181" t="n">
        <v>838</v>
      </c>
      <c r="C849" s="181" t="n">
        <v>4544.75</v>
      </c>
      <c r="D849" s="181" t="n">
        <v>4593.1179</v>
      </c>
      <c r="E849" s="181" t="n">
        <v>-48.3679</v>
      </c>
      <c r="F849" s="181" t="n">
        <v>2339.4538</v>
      </c>
      <c r="G849" s="181" t="n">
        <v>702244</v>
      </c>
      <c r="H849" s="181" t="inlineStr"/>
      <c r="I849" s="181" t="inlineStr"/>
    </row>
    <row r="850" ht="15" customHeight="1" s="28">
      <c r="A850" s="182" t="n">
        <v>840</v>
      </c>
      <c r="B850" s="182" t="n">
        <v>839</v>
      </c>
      <c r="C850" s="182" t="n">
        <v>4547.33</v>
      </c>
      <c r="D850" s="182" t="n">
        <v>4592.8503</v>
      </c>
      <c r="E850" s="182" t="n">
        <v>-45.5203</v>
      </c>
      <c r="F850" s="182" t="n">
        <v>2072.0977</v>
      </c>
      <c r="G850" s="182" t="n">
        <v>703921</v>
      </c>
      <c r="H850" s="182" t="inlineStr"/>
      <c r="I850" s="182" t="inlineStr"/>
    </row>
    <row r="851" ht="15" customHeight="1" s="28">
      <c r="A851" s="181" t="n">
        <v>841</v>
      </c>
      <c r="B851" s="181" t="n">
        <v>840</v>
      </c>
      <c r="C851" s="181" t="n">
        <v>4525.75</v>
      </c>
      <c r="D851" s="181" t="n">
        <v>4592.5827</v>
      </c>
      <c r="E851" s="181" t="n">
        <v>-66.8327</v>
      </c>
      <c r="F851" s="181" t="n">
        <v>4466.6085</v>
      </c>
      <c r="G851" s="181" t="n">
        <v>705600</v>
      </c>
      <c r="H851" s="181" t="inlineStr"/>
      <c r="I851" s="181" t="inlineStr"/>
    </row>
    <row r="852" ht="15" customHeight="1" s="28">
      <c r="A852" s="182" t="n">
        <v>842</v>
      </c>
      <c r="B852" s="182" t="n">
        <v>841</v>
      </c>
      <c r="C852" s="182" t="n">
        <v>4532.95</v>
      </c>
      <c r="D852" s="182" t="n">
        <v>4592.3151</v>
      </c>
      <c r="E852" s="182" t="n">
        <v>-59.3651</v>
      </c>
      <c r="F852" s="182" t="n">
        <v>3524.2139</v>
      </c>
      <c r="G852" s="182" t="n">
        <v>707281</v>
      </c>
      <c r="H852" s="182" t="inlineStr"/>
      <c r="I852" s="182" t="inlineStr"/>
    </row>
    <row r="853" ht="15" customHeight="1" s="28">
      <c r="A853" s="181" t="n">
        <v>843</v>
      </c>
      <c r="B853" s="181" t="n">
        <v>842</v>
      </c>
      <c r="C853" s="181" t="n">
        <v>4520.81</v>
      </c>
      <c r="D853" s="181" t="n">
        <v>4592.0475</v>
      </c>
      <c r="E853" s="181" t="n">
        <v>-71.2375</v>
      </c>
      <c r="F853" s="181" t="n">
        <v>5074.7786</v>
      </c>
      <c r="G853" s="181" t="n">
        <v>708964</v>
      </c>
      <c r="H853" s="181" t="inlineStr"/>
      <c r="I853" s="181" t="inlineStr"/>
    </row>
    <row r="854" ht="15" customHeight="1" s="28">
      <c r="A854" s="182" t="n">
        <v>844</v>
      </c>
      <c r="B854" s="182" t="n">
        <v>843</v>
      </c>
      <c r="C854" s="182" t="n">
        <v>4538.19</v>
      </c>
      <c r="D854" s="182" t="n">
        <v>4591.7799</v>
      </c>
      <c r="E854" s="182" t="n">
        <v>-53.5899</v>
      </c>
      <c r="F854" s="182" t="n">
        <v>2871.8752</v>
      </c>
      <c r="G854" s="182" t="n">
        <v>710649</v>
      </c>
      <c r="H854" s="182" t="inlineStr"/>
      <c r="I854" s="182" t="inlineStr"/>
    </row>
    <row r="855" ht="15" customHeight="1" s="28">
      <c r="A855" s="181" t="n">
        <v>845</v>
      </c>
      <c r="B855" s="181" t="n">
        <v>844</v>
      </c>
      <c r="C855" s="181" t="n">
        <v>4547.72</v>
      </c>
      <c r="D855" s="181" t="n">
        <v>4591.5123</v>
      </c>
      <c r="E855" s="181" t="n">
        <v>-43.7923</v>
      </c>
      <c r="F855" s="181" t="n">
        <v>1917.7638</v>
      </c>
      <c r="G855" s="181" t="n">
        <v>712336</v>
      </c>
      <c r="H855" s="181" t="inlineStr"/>
      <c r="I855" s="181" t="inlineStr"/>
    </row>
    <row r="856" ht="15" customHeight="1" s="28">
      <c r="A856" s="182" t="n">
        <v>846</v>
      </c>
      <c r="B856" s="182" t="n">
        <v>845</v>
      </c>
      <c r="C856" s="182" t="n">
        <v>4542.84</v>
      </c>
      <c r="D856" s="182" t="n">
        <v>4591.2447</v>
      </c>
      <c r="E856" s="182" t="n">
        <v>-48.4047</v>
      </c>
      <c r="F856" s="182" t="n">
        <v>2343.0121</v>
      </c>
      <c r="G856" s="182" t="n">
        <v>714025</v>
      </c>
      <c r="H856" s="182" t="inlineStr"/>
      <c r="I856" s="182" t="inlineStr"/>
    </row>
    <row r="857" ht="15" customHeight="1" s="28">
      <c r="A857" s="181" t="n">
        <v>847</v>
      </c>
      <c r="B857" s="181" t="n">
        <v>846</v>
      </c>
      <c r="C857" s="181" t="n">
        <v>4539.61</v>
      </c>
      <c r="D857" s="181" t="n">
        <v>4590.9771</v>
      </c>
      <c r="E857" s="181" t="n">
        <v>-51.3671</v>
      </c>
      <c r="F857" s="181" t="n">
        <v>2638.5759</v>
      </c>
      <c r="G857" s="181" t="n">
        <v>715716</v>
      </c>
      <c r="H857" s="181" t="inlineStr"/>
      <c r="I857" s="181" t="inlineStr"/>
    </row>
    <row r="858" ht="15" customHeight="1" s="28">
      <c r="A858" s="182" t="n">
        <v>848</v>
      </c>
      <c r="B858" s="182" t="n">
        <v>847</v>
      </c>
      <c r="C858" s="182" t="n">
        <v>4547.05</v>
      </c>
      <c r="D858" s="182" t="n">
        <v>4590.7095</v>
      </c>
      <c r="E858" s="182" t="n">
        <v>-43.6595</v>
      </c>
      <c r="F858" s="182" t="n">
        <v>1906.1484</v>
      </c>
      <c r="G858" s="182" t="n">
        <v>717409</v>
      </c>
      <c r="H858" s="182" t="inlineStr"/>
      <c r="I858" s="182" t="inlineStr"/>
    </row>
    <row r="859" ht="15" customHeight="1" s="28">
      <c r="A859" s="181" t="n">
        <v>849</v>
      </c>
      <c r="B859" s="181" t="n">
        <v>848</v>
      </c>
      <c r="C859" s="181" t="n">
        <v>4546.25</v>
      </c>
      <c r="D859" s="181" t="n">
        <v>4590.4419</v>
      </c>
      <c r="E859" s="181" t="n">
        <v>-44.1919</v>
      </c>
      <c r="F859" s="181" t="n">
        <v>1952.9205</v>
      </c>
      <c r="G859" s="181" t="n">
        <v>719104</v>
      </c>
      <c r="H859" s="181" t="inlineStr"/>
      <c r="I859" s="181" t="inlineStr"/>
    </row>
    <row r="860" ht="15" customHeight="1" s="28">
      <c r="A860" s="182" t="n">
        <v>850</v>
      </c>
      <c r="B860" s="182" t="n">
        <v>849</v>
      </c>
      <c r="C860" s="182" t="n">
        <v>4543.25</v>
      </c>
      <c r="D860" s="182" t="n">
        <v>4590.1743</v>
      </c>
      <c r="E860" s="182" t="n">
        <v>-46.9243</v>
      </c>
      <c r="F860" s="182" t="n">
        <v>2201.8862</v>
      </c>
      <c r="G860" s="182" t="n">
        <v>720801</v>
      </c>
      <c r="H860" s="182" t="inlineStr"/>
      <c r="I860" s="182" t="inlineStr"/>
    </row>
    <row r="861" ht="15" customHeight="1" s="28">
      <c r="A861" s="181" t="n">
        <v>851</v>
      </c>
      <c r="B861" s="181" t="n">
        <v>850</v>
      </c>
      <c r="C861" s="181" t="n">
        <v>4543.79</v>
      </c>
      <c r="D861" s="181" t="n">
        <v>4589.9066</v>
      </c>
      <c r="E861" s="181" t="n">
        <v>-46.1166</v>
      </c>
      <c r="F861" s="181" t="n">
        <v>2126.7454</v>
      </c>
      <c r="G861" s="181" t="n">
        <v>722500</v>
      </c>
      <c r="H861" s="181" t="inlineStr"/>
      <c r="I861" s="181" t="inlineStr"/>
    </row>
    <row r="862" ht="15" customHeight="1" s="28">
      <c r="A862" s="182" t="n">
        <v>852</v>
      </c>
      <c r="B862" s="182" t="n">
        <v>851</v>
      </c>
      <c r="C862" s="182" t="n">
        <v>4543.57</v>
      </c>
      <c r="D862" s="182" t="n">
        <v>4589.639</v>
      </c>
      <c r="E862" s="182" t="n">
        <v>-46.0691</v>
      </c>
      <c r="F862" s="182" t="n">
        <v>2122.3574</v>
      </c>
      <c r="G862" s="182" t="n">
        <v>724201</v>
      </c>
      <c r="H862" s="182" t="inlineStr"/>
      <c r="I862" s="182" t="inlineStr"/>
    </row>
    <row r="863" ht="15" customHeight="1" s="28">
      <c r="A863" s="181" t="n">
        <v>853</v>
      </c>
      <c r="B863" s="181" t="n">
        <v>852</v>
      </c>
      <c r="C863" s="181" t="n">
        <v>4546.4</v>
      </c>
      <c r="D863" s="181" t="n">
        <v>4589.3714</v>
      </c>
      <c r="E863" s="181" t="n">
        <v>-42.9714</v>
      </c>
      <c r="F863" s="181" t="n">
        <v>1846.5447</v>
      </c>
      <c r="G863" s="181" t="n">
        <v>725904</v>
      </c>
      <c r="H863" s="181" t="inlineStr"/>
      <c r="I863" s="181" t="inlineStr"/>
    </row>
    <row r="864" ht="15" customHeight="1" s="28">
      <c r="A864" s="182" t="n">
        <v>854</v>
      </c>
      <c r="B864" s="182" t="n">
        <v>853</v>
      </c>
      <c r="C864" s="182" t="n">
        <v>4549.14</v>
      </c>
      <c r="D864" s="182" t="n">
        <v>4589.1038</v>
      </c>
      <c r="E864" s="182" t="n">
        <v>-39.9638</v>
      </c>
      <c r="F864" s="182" t="n">
        <v>1597.1085</v>
      </c>
      <c r="G864" s="182" t="n">
        <v>727609</v>
      </c>
      <c r="H864" s="182" t="inlineStr"/>
      <c r="I864" s="182" t="inlineStr"/>
    </row>
    <row r="865" ht="15" customHeight="1" s="28">
      <c r="A865" s="181" t="n">
        <v>855</v>
      </c>
      <c r="B865" s="181" t="n">
        <v>854</v>
      </c>
      <c r="C865" s="181" t="n">
        <v>4548.51</v>
      </c>
      <c r="D865" s="181" t="n">
        <v>4588.8362</v>
      </c>
      <c r="E865" s="181" t="n">
        <v>-40.3262</v>
      </c>
      <c r="F865" s="181" t="n">
        <v>1626.2048</v>
      </c>
      <c r="G865" s="181" t="n">
        <v>729316</v>
      </c>
      <c r="H865" s="181" t="inlineStr"/>
      <c r="I865" s="181" t="inlineStr"/>
    </row>
    <row r="866" ht="15" customHeight="1" s="28">
      <c r="A866" s="182" t="n">
        <v>856</v>
      </c>
      <c r="B866" s="182" t="n">
        <v>855</v>
      </c>
      <c r="C866" s="182" t="n">
        <v>4552.08</v>
      </c>
      <c r="D866" s="182" t="n">
        <v>4588.5686</v>
      </c>
      <c r="E866" s="182" t="n">
        <v>-36.4886</v>
      </c>
      <c r="F866" s="182" t="n">
        <v>1331.4201</v>
      </c>
      <c r="G866" s="182" t="n">
        <v>731025</v>
      </c>
      <c r="H866" s="182" t="inlineStr"/>
      <c r="I866" s="182" t="inlineStr"/>
    </row>
    <row r="867" ht="15" customHeight="1" s="28">
      <c r="A867" s="181" t="n">
        <v>857</v>
      </c>
      <c r="B867" s="181" t="n">
        <v>856</v>
      </c>
      <c r="C867" s="181" t="n">
        <v>4553.33</v>
      </c>
      <c r="D867" s="181" t="n">
        <v>4588.301</v>
      </c>
      <c r="E867" s="181" t="n">
        <v>-34.971</v>
      </c>
      <c r="F867" s="181" t="n">
        <v>1222.9729</v>
      </c>
      <c r="G867" s="181" t="n">
        <v>732736</v>
      </c>
      <c r="H867" s="181" t="inlineStr"/>
      <c r="I867" s="181" t="inlineStr"/>
    </row>
    <row r="868" ht="15" customHeight="1" s="28">
      <c r="A868" s="182" t="n">
        <v>858</v>
      </c>
      <c r="B868" s="182" t="n">
        <v>857</v>
      </c>
      <c r="C868" s="182" t="n">
        <v>4551.63</v>
      </c>
      <c r="D868" s="182" t="n">
        <v>4588.0334</v>
      </c>
      <c r="E868" s="182" t="n">
        <v>-36.4034</v>
      </c>
      <c r="F868" s="182" t="n">
        <v>1325.209</v>
      </c>
      <c r="G868" s="182" t="n">
        <v>734449</v>
      </c>
      <c r="H868" s="182" t="inlineStr"/>
      <c r="I868" s="182" t="inlineStr"/>
    </row>
    <row r="869" ht="15" customHeight="1" s="28">
      <c r="A869" s="181" t="n">
        <v>859</v>
      </c>
      <c r="B869" s="181" t="n">
        <v>858</v>
      </c>
      <c r="C869" s="181" t="n">
        <v>4554.44</v>
      </c>
      <c r="D869" s="181" t="n">
        <v>4587.7658</v>
      </c>
      <c r="E869" s="181" t="n">
        <v>-33.3258</v>
      </c>
      <c r="F869" s="181" t="n">
        <v>1110.6103</v>
      </c>
      <c r="G869" s="181" t="n">
        <v>736164</v>
      </c>
      <c r="H869" s="181" t="inlineStr"/>
      <c r="I869" s="181" t="inlineStr"/>
    </row>
    <row r="870" ht="15" customHeight="1" s="28">
      <c r="A870" s="182" t="n">
        <v>860</v>
      </c>
      <c r="B870" s="182" t="n">
        <v>859</v>
      </c>
      <c r="C870" s="182" t="n">
        <v>4561.66</v>
      </c>
      <c r="D870" s="182" t="n">
        <v>4587.4982</v>
      </c>
      <c r="E870" s="182" t="n">
        <v>-25.8382</v>
      </c>
      <c r="F870" s="182" t="n">
        <v>667.6131</v>
      </c>
      <c r="G870" s="182" t="n">
        <v>737881</v>
      </c>
      <c r="H870" s="182" t="inlineStr"/>
      <c r="I870" s="182" t="inlineStr"/>
    </row>
    <row r="871" ht="15" customHeight="1" s="28">
      <c r="A871" s="181" t="n">
        <v>861</v>
      </c>
      <c r="B871" s="181" t="n">
        <v>860</v>
      </c>
      <c r="C871" s="181" t="n">
        <v>4557.93</v>
      </c>
      <c r="D871" s="181" t="n">
        <v>4587.2306</v>
      </c>
      <c r="E871" s="181" t="n">
        <v>-29.3006</v>
      </c>
      <c r="F871" s="181" t="n">
        <v>858.5257</v>
      </c>
      <c r="G871" s="181" t="n">
        <v>739600</v>
      </c>
      <c r="H871" s="181" t="inlineStr"/>
      <c r="I871" s="181" t="inlineStr"/>
    </row>
    <row r="872" ht="15" customHeight="1" s="28">
      <c r="A872" s="182" t="n">
        <v>862</v>
      </c>
      <c r="B872" s="182" t="n">
        <v>861</v>
      </c>
      <c r="C872" s="182" t="n">
        <v>4563.57</v>
      </c>
      <c r="D872" s="182" t="n">
        <v>4586.963</v>
      </c>
      <c r="E872" s="182" t="n">
        <v>-23.393</v>
      </c>
      <c r="F872" s="182" t="n">
        <v>547.2329</v>
      </c>
      <c r="G872" s="182" t="n">
        <v>741321</v>
      </c>
      <c r="H872" s="182" t="inlineStr"/>
      <c r="I872" s="182" t="inlineStr"/>
    </row>
    <row r="873" ht="15" customHeight="1" s="28">
      <c r="A873" s="181" t="n">
        <v>863</v>
      </c>
      <c r="B873" s="181" t="n">
        <v>862</v>
      </c>
      <c r="C873" s="181" t="n">
        <v>4567.11</v>
      </c>
      <c r="D873" s="181" t="n">
        <v>4586.6954</v>
      </c>
      <c r="E873" s="181" t="n">
        <v>-19.5854</v>
      </c>
      <c r="F873" s="181" t="n">
        <v>383.5879</v>
      </c>
      <c r="G873" s="181" t="n">
        <v>743044</v>
      </c>
      <c r="H873" s="181" t="inlineStr"/>
      <c r="I873" s="181" t="inlineStr"/>
    </row>
    <row r="874" ht="15" customHeight="1" s="28">
      <c r="A874" s="182" t="n">
        <v>864</v>
      </c>
      <c r="B874" s="182" t="n">
        <v>863</v>
      </c>
      <c r="C874" s="182" t="n">
        <v>4569.83</v>
      </c>
      <c r="D874" s="182" t="n">
        <v>4586.4278</v>
      </c>
      <c r="E874" s="182" t="n">
        <v>-16.5978</v>
      </c>
      <c r="F874" s="182" t="n">
        <v>275.487</v>
      </c>
      <c r="G874" s="182" t="n">
        <v>744769</v>
      </c>
      <c r="H874" s="182" t="inlineStr"/>
      <c r="I874" s="182" t="inlineStr"/>
    </row>
    <row r="875" ht="15" customHeight="1" s="28">
      <c r="A875" s="181" t="n">
        <v>865</v>
      </c>
      <c r="B875" s="181" t="n">
        <v>864</v>
      </c>
      <c r="C875" s="181" t="n">
        <v>4568.52</v>
      </c>
      <c r="D875" s="181" t="n">
        <v>4586.1602</v>
      </c>
      <c r="E875" s="181" t="n">
        <v>-17.6402</v>
      </c>
      <c r="F875" s="181" t="n">
        <v>311.1763</v>
      </c>
      <c r="G875" s="181" t="n">
        <v>746496</v>
      </c>
      <c r="H875" s="181" t="inlineStr"/>
      <c r="I875" s="181" t="inlineStr"/>
    </row>
    <row r="876" ht="15" customHeight="1" s="28">
      <c r="A876" s="182" t="n">
        <v>866</v>
      </c>
      <c r="B876" s="182" t="n">
        <v>865</v>
      </c>
      <c r="C876" s="182" t="n">
        <v>4579.79</v>
      </c>
      <c r="D876" s="182" t="n">
        <v>4585.8926</v>
      </c>
      <c r="E876" s="182" t="n">
        <v>-6.1026</v>
      </c>
      <c r="F876" s="182" t="n">
        <v>37.2416</v>
      </c>
      <c r="G876" s="182" t="n">
        <v>748225</v>
      </c>
      <c r="H876" s="182" t="inlineStr"/>
      <c r="I876" s="182" t="inlineStr"/>
    </row>
    <row r="877" ht="15" customHeight="1" s="28">
      <c r="A877" s="181" t="n">
        <v>867</v>
      </c>
      <c r="B877" s="181" t="n">
        <v>866</v>
      </c>
      <c r="C877" s="181" t="n">
        <v>4576.31</v>
      </c>
      <c r="D877" s="181" t="n">
        <v>4585.625</v>
      </c>
      <c r="E877" s="181" t="n">
        <v>-9.315</v>
      </c>
      <c r="F877" s="181" t="n">
        <v>86.76900000000001</v>
      </c>
      <c r="G877" s="181" t="n">
        <v>749956</v>
      </c>
      <c r="H877" s="181" t="inlineStr"/>
      <c r="I877" s="181" t="inlineStr"/>
    </row>
    <row r="878" ht="15" customHeight="1" s="28">
      <c r="A878" s="182" t="n">
        <v>868</v>
      </c>
      <c r="B878" s="182" t="n">
        <v>867</v>
      </c>
      <c r="C878" s="182" t="n">
        <v>4579.13</v>
      </c>
      <c r="D878" s="182" t="n">
        <v>4585.3574</v>
      </c>
      <c r="E878" s="182" t="n">
        <v>-6.2274</v>
      </c>
      <c r="F878" s="182" t="n">
        <v>38.7803</v>
      </c>
      <c r="G878" s="182" t="n">
        <v>751689</v>
      </c>
      <c r="H878" s="182" t="inlineStr"/>
      <c r="I878" s="182" t="inlineStr"/>
    </row>
    <row r="879" ht="15" customHeight="1" s="28">
      <c r="A879" s="181" t="n">
        <v>869</v>
      </c>
      <c r="B879" s="181" t="n">
        <v>868</v>
      </c>
      <c r="C879" s="181" t="n">
        <v>4579.74</v>
      </c>
      <c r="D879" s="181" t="n">
        <v>4585.0898</v>
      </c>
      <c r="E879" s="181" t="n">
        <v>-5.3498</v>
      </c>
      <c r="F879" s="181" t="n">
        <v>28.6201</v>
      </c>
      <c r="G879" s="181" t="n">
        <v>753424</v>
      </c>
      <c r="H879" s="181" t="inlineStr"/>
      <c r="I879" s="181" t="inlineStr"/>
    </row>
    <row r="880" ht="15" customHeight="1" s="28">
      <c r="A880" s="182" t="n">
        <v>870</v>
      </c>
      <c r="B880" s="182" t="n">
        <v>869</v>
      </c>
      <c r="C880" s="182" t="n">
        <v>4573.13</v>
      </c>
      <c r="D880" s="182" t="n">
        <v>4584.8222</v>
      </c>
      <c r="E880" s="182" t="n">
        <v>-11.6922</v>
      </c>
      <c r="F880" s="182" t="n">
        <v>136.7068</v>
      </c>
      <c r="G880" s="182" t="n">
        <v>755161</v>
      </c>
      <c r="H880" s="182" t="inlineStr"/>
      <c r="I880" s="182" t="inlineStr"/>
    </row>
    <row r="881" ht="15" customHeight="1" s="28">
      <c r="A881" s="181" t="n">
        <v>871</v>
      </c>
      <c r="B881" s="181" t="n">
        <v>870</v>
      </c>
      <c r="C881" s="181" t="n">
        <v>4562.53</v>
      </c>
      <c r="D881" s="181" t="n">
        <v>4584.5546</v>
      </c>
      <c r="E881" s="181" t="n">
        <v>-22.0246</v>
      </c>
      <c r="F881" s="181" t="n">
        <v>485.0817</v>
      </c>
      <c r="G881" s="181" t="n">
        <v>756900</v>
      </c>
      <c r="H881" s="181" t="inlineStr"/>
      <c r="I881" s="181" t="inlineStr"/>
    </row>
    <row r="882" ht="15" customHeight="1" s="28">
      <c r="A882" s="182" t="n">
        <v>872</v>
      </c>
      <c r="B882" s="182" t="n">
        <v>871</v>
      </c>
      <c r="C882" s="182" t="n">
        <v>4565.02</v>
      </c>
      <c r="D882" s="182" t="n">
        <v>4584.287</v>
      </c>
      <c r="E882" s="182" t="n">
        <v>-19.267</v>
      </c>
      <c r="F882" s="182" t="n">
        <v>371.2161</v>
      </c>
      <c r="G882" s="182" t="n">
        <v>758641</v>
      </c>
      <c r="H882" s="182" t="inlineStr"/>
      <c r="I882" s="182" t="inlineStr"/>
    </row>
    <row r="883" ht="15" customHeight="1" s="28">
      <c r="A883" s="181" t="n">
        <v>873</v>
      </c>
      <c r="B883" s="181" t="n">
        <v>872</v>
      </c>
      <c r="C883" s="181" t="n">
        <v>4564.98</v>
      </c>
      <c r="D883" s="181" t="n">
        <v>4584.0194</v>
      </c>
      <c r="E883" s="181" t="n">
        <v>-19.0394</v>
      </c>
      <c r="F883" s="181" t="n">
        <v>362.4972</v>
      </c>
      <c r="G883" s="181" t="n">
        <v>760384</v>
      </c>
      <c r="H883" s="181" t="inlineStr"/>
      <c r="I883" s="181" t="inlineStr"/>
    </row>
    <row r="884" ht="15" customHeight="1" s="28">
      <c r="A884" s="182" t="n">
        <v>874</v>
      </c>
      <c r="B884" s="182" t="n">
        <v>873</v>
      </c>
      <c r="C884" s="182" t="n">
        <v>4563.32</v>
      </c>
      <c r="D884" s="182" t="n">
        <v>4583.7518</v>
      </c>
      <c r="E884" s="182" t="n">
        <v>-20.4318</v>
      </c>
      <c r="F884" s="182" t="n">
        <v>417.4568</v>
      </c>
      <c r="G884" s="182" t="n">
        <v>762129</v>
      </c>
      <c r="H884" s="182" t="inlineStr"/>
      <c r="I884" s="182" t="inlineStr"/>
    </row>
    <row r="885" ht="15" customHeight="1" s="28">
      <c r="A885" s="181" t="n">
        <v>875</v>
      </c>
      <c r="B885" s="181" t="n">
        <v>874</v>
      </c>
      <c r="C885" s="181" t="n">
        <v>4561.66</v>
      </c>
      <c r="D885" s="181" t="n">
        <v>4583.4842</v>
      </c>
      <c r="E885" s="181" t="n">
        <v>-21.8242</v>
      </c>
      <c r="F885" s="181" t="n">
        <v>476.2935</v>
      </c>
      <c r="G885" s="181" t="n">
        <v>763876</v>
      </c>
      <c r="H885" s="181" t="inlineStr"/>
      <c r="I885" s="181" t="inlineStr"/>
    </row>
    <row r="886" ht="15" customHeight="1" s="28">
      <c r="A886" s="182" t="n">
        <v>876</v>
      </c>
      <c r="B886" s="182" t="n">
        <v>875</v>
      </c>
      <c r="C886" s="182" t="n">
        <v>4556.09</v>
      </c>
      <c r="D886" s="182" t="n">
        <v>4583.2166</v>
      </c>
      <c r="E886" s="182" t="n">
        <v>-27.1265</v>
      </c>
      <c r="F886" s="182" t="n">
        <v>735.8497</v>
      </c>
      <c r="G886" s="182" t="n">
        <v>765625</v>
      </c>
      <c r="H886" s="182" t="inlineStr"/>
      <c r="I886" s="182" t="inlineStr"/>
    </row>
    <row r="887" ht="15" customHeight="1" s="28">
      <c r="A887" s="181" t="n">
        <v>877</v>
      </c>
      <c r="B887" s="181" t="n">
        <v>876</v>
      </c>
      <c r="C887" s="181" t="n">
        <v>4555.41</v>
      </c>
      <c r="D887" s="181" t="n">
        <v>4582.9489</v>
      </c>
      <c r="E887" s="181" t="n">
        <v>-27.539</v>
      </c>
      <c r="F887" s="181" t="n">
        <v>758.3938000000001</v>
      </c>
      <c r="G887" s="181" t="n">
        <v>767376</v>
      </c>
      <c r="H887" s="181" t="inlineStr"/>
      <c r="I887" s="181" t="inlineStr"/>
    </row>
    <row r="888" ht="15" customHeight="1" s="28">
      <c r="A888" s="182" t="n">
        <v>878</v>
      </c>
      <c r="B888" s="182" t="n">
        <v>877</v>
      </c>
      <c r="C888" s="182" t="n">
        <v>4547.28</v>
      </c>
      <c r="D888" s="182" t="n">
        <v>4582.6813</v>
      </c>
      <c r="E888" s="182" t="n">
        <v>-35.4013</v>
      </c>
      <c r="F888" s="182" t="n">
        <v>1253.2549</v>
      </c>
      <c r="G888" s="182" t="n">
        <v>769129</v>
      </c>
      <c r="H888" s="182" t="inlineStr"/>
      <c r="I888" s="182" t="inlineStr"/>
    </row>
    <row r="889" ht="15" customHeight="1" s="28">
      <c r="A889" s="181" t="n">
        <v>879</v>
      </c>
      <c r="B889" s="181" t="n">
        <v>878</v>
      </c>
      <c r="C889" s="181" t="n">
        <v>4544.74</v>
      </c>
      <c r="D889" s="181" t="n">
        <v>4582.4137</v>
      </c>
      <c r="E889" s="181" t="n">
        <v>-37.6737</v>
      </c>
      <c r="F889" s="181" t="n">
        <v>1419.3107</v>
      </c>
      <c r="G889" s="181" t="n">
        <v>770884</v>
      </c>
      <c r="H889" s="181" t="inlineStr"/>
      <c r="I889" s="181" t="inlineStr"/>
    </row>
    <row r="890" ht="15" customHeight="1" s="28">
      <c r="A890" s="182" t="n">
        <v>880</v>
      </c>
      <c r="B890" s="182" t="n">
        <v>879</v>
      </c>
      <c r="C890" s="182" t="n">
        <v>4541.91</v>
      </c>
      <c r="D890" s="182" t="n">
        <v>4582.1461</v>
      </c>
      <c r="E890" s="182" t="n">
        <v>-40.2361</v>
      </c>
      <c r="F890" s="182" t="n">
        <v>1618.9462</v>
      </c>
      <c r="G890" s="182" t="n">
        <v>772641</v>
      </c>
      <c r="H890" s="182" t="inlineStr"/>
      <c r="I890" s="182" t="inlineStr"/>
    </row>
    <row r="891" ht="15" customHeight="1" s="28">
      <c r="A891" s="181" t="n">
        <v>881</v>
      </c>
      <c r="B891" s="181" t="n">
        <v>880</v>
      </c>
      <c r="C891" s="181" t="n">
        <v>4553.22</v>
      </c>
      <c r="D891" s="181" t="n">
        <v>4581.8785</v>
      </c>
      <c r="E891" s="181" t="n">
        <v>-28.6585</v>
      </c>
      <c r="F891" s="181" t="n">
        <v>821.3113</v>
      </c>
      <c r="G891" s="181" t="n">
        <v>774400</v>
      </c>
      <c r="H891" s="181" t="inlineStr"/>
      <c r="I891" s="181" t="inlineStr"/>
    </row>
    <row r="892" ht="15" customHeight="1" s="28">
      <c r="A892" s="182" t="n">
        <v>882</v>
      </c>
      <c r="B892" s="182" t="n">
        <v>881</v>
      </c>
      <c r="C892" s="182" t="n">
        <v>4555.73</v>
      </c>
      <c r="D892" s="182" t="n">
        <v>4581.6109</v>
      </c>
      <c r="E892" s="182" t="n">
        <v>-25.8809</v>
      </c>
      <c r="F892" s="182" t="n">
        <v>669.822</v>
      </c>
      <c r="G892" s="182" t="n">
        <v>776161</v>
      </c>
      <c r="H892" s="182" t="inlineStr"/>
      <c r="I892" s="182" t="inlineStr"/>
    </row>
    <row r="893" ht="15" customHeight="1" s="28">
      <c r="A893" s="181" t="n">
        <v>883</v>
      </c>
      <c r="B893" s="181" t="n">
        <v>882</v>
      </c>
      <c r="C893" s="181" t="n">
        <v>4564.04</v>
      </c>
      <c r="D893" s="181" t="n">
        <v>4581.3433</v>
      </c>
      <c r="E893" s="181" t="n">
        <v>-17.3033</v>
      </c>
      <c r="F893" s="181" t="n">
        <v>299.4049</v>
      </c>
      <c r="G893" s="181" t="n">
        <v>777924</v>
      </c>
      <c r="H893" s="181" t="inlineStr"/>
      <c r="I893" s="181" t="inlineStr"/>
    </row>
    <row r="894" ht="15" customHeight="1" s="28">
      <c r="A894" s="182" t="n">
        <v>884</v>
      </c>
      <c r="B894" s="182" t="n">
        <v>883</v>
      </c>
      <c r="C894" s="182" t="n">
        <v>4562.71</v>
      </c>
      <c r="D894" s="182" t="n">
        <v>4581.0757</v>
      </c>
      <c r="E894" s="182" t="n">
        <v>-18.3657</v>
      </c>
      <c r="F894" s="182" t="n">
        <v>337.2997</v>
      </c>
      <c r="G894" s="182" t="n">
        <v>779689</v>
      </c>
      <c r="H894" s="182" t="inlineStr"/>
      <c r="I894" s="182" t="inlineStr"/>
    </row>
    <row r="895" ht="15" customHeight="1" s="28">
      <c r="A895" s="181" t="n">
        <v>885</v>
      </c>
      <c r="B895" s="181" t="n">
        <v>884</v>
      </c>
      <c r="C895" s="181" t="n">
        <v>4566.21</v>
      </c>
      <c r="D895" s="181" t="n">
        <v>4580.8081</v>
      </c>
      <c r="E895" s="181" t="n">
        <v>-14.5981</v>
      </c>
      <c r="F895" s="181" t="n">
        <v>213.1048</v>
      </c>
      <c r="G895" s="181" t="n">
        <v>781456</v>
      </c>
      <c r="H895" s="181" t="inlineStr"/>
      <c r="I895" s="181" t="inlineStr"/>
    </row>
    <row r="896" ht="15" customHeight="1" s="28">
      <c r="A896" s="182" t="n">
        <v>886</v>
      </c>
      <c r="B896" s="182" t="n">
        <v>885</v>
      </c>
      <c r="C896" s="182" t="n">
        <v>4569.57</v>
      </c>
      <c r="D896" s="182" t="n">
        <v>4580.5405</v>
      </c>
      <c r="E896" s="182" t="n">
        <v>-10.9705</v>
      </c>
      <c r="F896" s="182" t="n">
        <v>120.3521</v>
      </c>
      <c r="G896" s="182" t="n">
        <v>783225</v>
      </c>
      <c r="H896" s="182" t="inlineStr"/>
      <c r="I896" s="182" t="inlineStr"/>
    </row>
    <row r="897" ht="15" customHeight="1" s="28">
      <c r="A897" s="181" t="n">
        <v>887</v>
      </c>
      <c r="B897" s="181" t="n">
        <v>886</v>
      </c>
      <c r="C897" s="181" t="n">
        <v>4575.23</v>
      </c>
      <c r="D897" s="181" t="n">
        <v>4580.2729</v>
      </c>
      <c r="E897" s="181" t="n">
        <v>-5.0429</v>
      </c>
      <c r="F897" s="181" t="n">
        <v>25.4308</v>
      </c>
      <c r="G897" s="181" t="n">
        <v>784996</v>
      </c>
      <c r="H897" s="181" t="inlineStr"/>
      <c r="I897" s="181" t="inlineStr"/>
    </row>
    <row r="898" ht="15" customHeight="1" s="28">
      <c r="A898" s="182" t="n">
        <v>888</v>
      </c>
      <c r="B898" s="182" t="n">
        <v>887</v>
      </c>
      <c r="C898" s="182" t="n">
        <v>4589.44</v>
      </c>
      <c r="D898" s="182" t="n">
        <v>4580.0053</v>
      </c>
      <c r="E898" s="182" t="n">
        <v>9.434699999999999</v>
      </c>
      <c r="F898" s="182" t="n">
        <v>89.0136</v>
      </c>
      <c r="G898" s="182" t="n">
        <v>786769</v>
      </c>
      <c r="H898" s="182" t="inlineStr"/>
      <c r="I898" s="182" t="inlineStr"/>
    </row>
    <row r="899" ht="15" customHeight="1" s="28">
      <c r="A899" s="181" t="n">
        <v>889</v>
      </c>
      <c r="B899" s="181" t="n">
        <v>888</v>
      </c>
      <c r="C899" s="181" t="n">
        <v>4591.59</v>
      </c>
      <c r="D899" s="181" t="n">
        <v>4579.7377</v>
      </c>
      <c r="E899" s="181" t="n">
        <v>11.8523</v>
      </c>
      <c r="F899" s="181" t="n">
        <v>140.477</v>
      </c>
      <c r="G899" s="181" t="n">
        <v>788544</v>
      </c>
      <c r="H899" s="181" t="inlineStr"/>
      <c r="I899" s="181" t="inlineStr"/>
    </row>
    <row r="900" ht="15" customHeight="1" s="28">
      <c r="A900" s="182" t="n">
        <v>890</v>
      </c>
      <c r="B900" s="182" t="n">
        <v>889</v>
      </c>
      <c r="C900" s="182" t="n">
        <v>4591.59</v>
      </c>
      <c r="D900" s="182" t="n">
        <v>4579.4701</v>
      </c>
      <c r="E900" s="182" t="n">
        <v>12.1199</v>
      </c>
      <c r="F900" s="182" t="n">
        <v>146.8922</v>
      </c>
      <c r="G900" s="182" t="n">
        <v>790321</v>
      </c>
      <c r="H900" s="182" t="inlineStr"/>
      <c r="I900" s="182" t="inlineStr"/>
    </row>
    <row r="901" ht="15" customHeight="1" s="28">
      <c r="A901" s="181" t="n">
        <v>891</v>
      </c>
      <c r="B901" s="181" t="n">
        <v>890</v>
      </c>
      <c r="C901" s="181" t="n">
        <v>4596.69</v>
      </c>
      <c r="D901" s="181" t="n">
        <v>4579.2025</v>
      </c>
      <c r="E901" s="181" t="n">
        <v>17.4875</v>
      </c>
      <c r="F901" s="181" t="n">
        <v>305.813</v>
      </c>
      <c r="G901" s="181" t="n">
        <v>792100</v>
      </c>
      <c r="H901" s="181" t="inlineStr"/>
      <c r="I901" s="181" t="inlineStr"/>
    </row>
    <row r="902" ht="15" customHeight="1" s="28">
      <c r="A902" s="182" t="n">
        <v>892</v>
      </c>
      <c r="B902" s="182" t="n">
        <v>891</v>
      </c>
      <c r="C902" s="182" t="n">
        <v>4598.44</v>
      </c>
      <c r="D902" s="182" t="n">
        <v>4578.9349</v>
      </c>
      <c r="E902" s="182" t="n">
        <v>19.5051</v>
      </c>
      <c r="F902" s="182" t="n">
        <v>380.4497</v>
      </c>
      <c r="G902" s="182" t="n">
        <v>793881</v>
      </c>
      <c r="H902" s="182" t="inlineStr"/>
      <c r="I902" s="182" t="inlineStr"/>
    </row>
    <row r="903" ht="15" customHeight="1" s="28">
      <c r="A903" s="181" t="n">
        <v>893</v>
      </c>
      <c r="B903" s="181" t="n">
        <v>892</v>
      </c>
      <c r="C903" s="181" t="n">
        <v>4618.7</v>
      </c>
      <c r="D903" s="181" t="n">
        <v>4578.6673</v>
      </c>
      <c r="E903" s="181" t="n">
        <v>40.0327</v>
      </c>
      <c r="F903" s="181" t="n">
        <v>1602.6187</v>
      </c>
      <c r="G903" s="181" t="n">
        <v>795664</v>
      </c>
      <c r="H903" s="181" t="inlineStr"/>
      <c r="I903" s="181" t="inlineStr"/>
    </row>
    <row r="904" ht="15" customHeight="1" s="28">
      <c r="A904" s="182" t="n">
        <v>894</v>
      </c>
      <c r="B904" s="182" t="n">
        <v>893</v>
      </c>
      <c r="C904" s="182" t="n">
        <v>4617.35</v>
      </c>
      <c r="D904" s="182" t="n">
        <v>4578.3997</v>
      </c>
      <c r="E904" s="182" t="n">
        <v>38.9503</v>
      </c>
      <c r="F904" s="182" t="n">
        <v>1517.1274</v>
      </c>
      <c r="G904" s="182" t="n">
        <v>797449</v>
      </c>
      <c r="H904" s="182" t="inlineStr"/>
      <c r="I904" s="182" t="inlineStr"/>
    </row>
    <row r="905" ht="15" customHeight="1" s="28">
      <c r="A905" s="181" t="n">
        <v>895</v>
      </c>
      <c r="B905" s="181" t="n">
        <v>894</v>
      </c>
      <c r="C905" s="181" t="n">
        <v>4614.82</v>
      </c>
      <c r="D905" s="181" t="n">
        <v>4578.1321</v>
      </c>
      <c r="E905" s="181" t="n">
        <v>36.6879</v>
      </c>
      <c r="F905" s="181" t="n">
        <v>1346.0042</v>
      </c>
      <c r="G905" s="181" t="n">
        <v>799236</v>
      </c>
      <c r="H905" s="181" t="inlineStr"/>
      <c r="I905" s="181" t="inlineStr"/>
    </row>
    <row r="906" ht="15" customHeight="1" s="28">
      <c r="A906" s="182" t="n">
        <v>896</v>
      </c>
      <c r="B906" s="182" t="n">
        <v>895</v>
      </c>
      <c r="C906" s="182" t="n">
        <v>4616</v>
      </c>
      <c r="D906" s="182" t="n">
        <v>4577.8645</v>
      </c>
      <c r="E906" s="182" t="n">
        <v>38.1355</v>
      </c>
      <c r="F906" s="182" t="n">
        <v>1454.3186</v>
      </c>
      <c r="G906" s="182" t="n">
        <v>801025</v>
      </c>
      <c r="H906" s="182" t="inlineStr"/>
      <c r="I906" s="182" t="inlineStr"/>
    </row>
    <row r="907" ht="15" customHeight="1" s="28">
      <c r="A907" s="181" t="n">
        <v>897</v>
      </c>
      <c r="B907" s="181" t="n">
        <v>896</v>
      </c>
      <c r="C907" s="181" t="n">
        <v>4618.96</v>
      </c>
      <c r="D907" s="181" t="n">
        <v>4577.5969</v>
      </c>
      <c r="E907" s="181" t="n">
        <v>41.3631</v>
      </c>
      <c r="F907" s="181" t="n">
        <v>1710.9094</v>
      </c>
      <c r="G907" s="181" t="n">
        <v>802816</v>
      </c>
      <c r="H907" s="181" t="inlineStr"/>
      <c r="I907" s="181" t="inlineStr"/>
    </row>
    <row r="908" ht="15" customHeight="1" s="28">
      <c r="A908" s="182" t="n">
        <v>898</v>
      </c>
      <c r="B908" s="182" t="n">
        <v>897</v>
      </c>
      <c r="C908" s="182" t="n">
        <v>4625.41</v>
      </c>
      <c r="D908" s="182" t="n">
        <v>4577.3293</v>
      </c>
      <c r="E908" s="182" t="n">
        <v>48.0807</v>
      </c>
      <c r="F908" s="182" t="n">
        <v>2311.7576</v>
      </c>
      <c r="G908" s="182" t="n">
        <v>804609</v>
      </c>
      <c r="H908" s="182" t="inlineStr"/>
      <c r="I908" s="182" t="inlineStr"/>
    </row>
    <row r="909" ht="15" customHeight="1" s="28">
      <c r="A909" s="181" t="n">
        <v>899</v>
      </c>
      <c r="B909" s="181" t="n">
        <v>898</v>
      </c>
      <c r="C909" s="181" t="n">
        <v>4619.35</v>
      </c>
      <c r="D909" s="181" t="n">
        <v>4577.0617</v>
      </c>
      <c r="E909" s="181" t="n">
        <v>42.2883</v>
      </c>
      <c r="F909" s="181" t="n">
        <v>1788.3037</v>
      </c>
      <c r="G909" s="181" t="n">
        <v>806404</v>
      </c>
      <c r="H909" s="181" t="inlineStr"/>
      <c r="I909" s="181" t="inlineStr"/>
    </row>
    <row r="910" ht="15" customHeight="1" s="28">
      <c r="A910" s="182" t="n">
        <v>900</v>
      </c>
      <c r="B910" s="182" t="n">
        <v>899</v>
      </c>
      <c r="C910" s="182" t="n">
        <v>4624.91</v>
      </c>
      <c r="D910" s="182" t="n">
        <v>4576.7941</v>
      </c>
      <c r="E910" s="182" t="n">
        <v>48.1159</v>
      </c>
      <c r="F910" s="182" t="n">
        <v>2315.1446</v>
      </c>
      <c r="G910" s="182" t="n">
        <v>808201</v>
      </c>
      <c r="H910" s="182" t="inlineStr"/>
      <c r="I910" s="182" t="inlineStr"/>
    </row>
    <row r="911" ht="15" customHeight="1" s="28">
      <c r="A911" s="181" t="n">
        <v>901</v>
      </c>
      <c r="B911" s="181" t="n">
        <v>900</v>
      </c>
      <c r="C911" s="181" t="n">
        <v>4626.92</v>
      </c>
      <c r="D911" s="181" t="n">
        <v>4576.5265</v>
      </c>
      <c r="E911" s="181" t="n">
        <v>50.3935</v>
      </c>
      <c r="F911" s="181" t="n">
        <v>2539.5099</v>
      </c>
      <c r="G911" s="181" t="n">
        <v>810000</v>
      </c>
      <c r="H911" s="181" t="inlineStr"/>
      <c r="I911" s="181" t="inlineStr"/>
    </row>
    <row r="912" ht="15" customHeight="1" s="28">
      <c r="A912" s="182" t="n">
        <v>902</v>
      </c>
      <c r="B912" s="182" t="n">
        <v>901</v>
      </c>
      <c r="C912" s="182" t="n">
        <v>4643.78</v>
      </c>
      <c r="D912" s="182" t="n">
        <v>4576.2588</v>
      </c>
      <c r="E912" s="182" t="n">
        <v>67.52119999999999</v>
      </c>
      <c r="F912" s="182" t="n">
        <v>4559.107</v>
      </c>
      <c r="G912" s="182" t="n">
        <v>811801</v>
      </c>
      <c r="H912" s="182" t="inlineStr"/>
      <c r="I912" s="182" t="inlineStr"/>
    </row>
    <row r="913" ht="15" customHeight="1" s="28">
      <c r="A913" s="181" t="n">
        <v>903</v>
      </c>
      <c r="B913" s="181" t="n">
        <v>902</v>
      </c>
      <c r="C913" s="181" t="n">
        <v>4636.62</v>
      </c>
      <c r="D913" s="181" t="n">
        <v>4575.9912</v>
      </c>
      <c r="E913" s="181" t="n">
        <v>60.6288</v>
      </c>
      <c r="F913" s="181" t="n">
        <v>3675.8465</v>
      </c>
      <c r="G913" s="181" t="n">
        <v>813604</v>
      </c>
      <c r="H913" s="181" t="inlineStr"/>
      <c r="I913" s="181" t="inlineStr"/>
    </row>
    <row r="914" ht="15" customHeight="1" s="28">
      <c r="A914" s="182" t="n">
        <v>904</v>
      </c>
      <c r="B914" s="182" t="n">
        <v>903</v>
      </c>
      <c r="C914" s="182" t="n">
        <v>4639.68</v>
      </c>
      <c r="D914" s="182" t="n">
        <v>4575.7236</v>
      </c>
      <c r="E914" s="182" t="n">
        <v>63.9564</v>
      </c>
      <c r="F914" s="182" t="n">
        <v>4090.4173</v>
      </c>
      <c r="G914" s="182" t="n">
        <v>815409</v>
      </c>
      <c r="H914" s="182" t="inlineStr"/>
      <c r="I914" s="182" t="inlineStr"/>
    </row>
    <row r="915" ht="15" customHeight="1" s="28">
      <c r="A915" s="181" t="n">
        <v>905</v>
      </c>
      <c r="B915" s="181" t="n">
        <v>904</v>
      </c>
      <c r="C915" s="181" t="n">
        <v>4635.99</v>
      </c>
      <c r="D915" s="181" t="n">
        <v>4575.456</v>
      </c>
      <c r="E915" s="181" t="n">
        <v>60.534</v>
      </c>
      <c r="F915" s="181" t="n">
        <v>3664.3615</v>
      </c>
      <c r="G915" s="181" t="n">
        <v>817216</v>
      </c>
      <c r="H915" s="181" t="inlineStr"/>
      <c r="I915" s="181" t="inlineStr"/>
    </row>
    <row r="916" ht="15" customHeight="1" s="28">
      <c r="A916" s="182" t="n">
        <v>906</v>
      </c>
      <c r="B916" s="182" t="n">
        <v>905</v>
      </c>
      <c r="C916" s="182" t="n">
        <v>4637.7</v>
      </c>
      <c r="D916" s="182" t="n">
        <v>4575.1884</v>
      </c>
      <c r="E916" s="182" t="n">
        <v>62.5116</v>
      </c>
      <c r="F916" s="182" t="n">
        <v>3907.6964</v>
      </c>
      <c r="G916" s="182" t="n">
        <v>819025</v>
      </c>
      <c r="H916" s="182" t="inlineStr"/>
      <c r="I916" s="182" t="inlineStr"/>
    </row>
    <row r="917" ht="15" customHeight="1" s="28">
      <c r="A917" s="181" t="n">
        <v>907</v>
      </c>
      <c r="B917" s="181" t="n">
        <v>906</v>
      </c>
      <c r="C917" s="181" t="n">
        <v>4629.82</v>
      </c>
      <c r="D917" s="181" t="n">
        <v>4574.9208</v>
      </c>
      <c r="E917" s="181" t="n">
        <v>54.8992</v>
      </c>
      <c r="F917" s="181" t="n">
        <v>3013.92</v>
      </c>
      <c r="G917" s="181" t="n">
        <v>820836</v>
      </c>
      <c r="H917" s="181" t="inlineStr"/>
      <c r="I917" s="181" t="inlineStr"/>
    </row>
    <row r="918" ht="15" customHeight="1" s="28">
      <c r="A918" s="182" t="n">
        <v>908</v>
      </c>
      <c r="B918" s="182" t="n">
        <v>907</v>
      </c>
      <c r="C918" s="182" t="n">
        <v>4630.21</v>
      </c>
      <c r="D918" s="182" t="n">
        <v>4574.6532</v>
      </c>
      <c r="E918" s="182" t="n">
        <v>55.5568</v>
      </c>
      <c r="F918" s="182" t="n">
        <v>3086.5558</v>
      </c>
      <c r="G918" s="182" t="n">
        <v>822649</v>
      </c>
      <c r="H918" s="182" t="inlineStr"/>
      <c r="I918" s="182" t="inlineStr"/>
    </row>
    <row r="919" ht="15" customHeight="1" s="28">
      <c r="A919" s="181" t="n">
        <v>909</v>
      </c>
      <c r="B919" s="181" t="n">
        <v>908</v>
      </c>
      <c r="C919" s="181" t="n">
        <v>4635.81</v>
      </c>
      <c r="D919" s="181" t="n">
        <v>4574.3856</v>
      </c>
      <c r="E919" s="181" t="n">
        <v>61.4244</v>
      </c>
      <c r="F919" s="181" t="n">
        <v>3772.9557</v>
      </c>
      <c r="G919" s="181" t="n">
        <v>824464</v>
      </c>
      <c r="H919" s="181" t="inlineStr"/>
      <c r="I919" s="181" t="inlineStr"/>
    </row>
    <row r="920" ht="15" customHeight="1" s="28">
      <c r="A920" s="182" t="n">
        <v>910</v>
      </c>
      <c r="B920" s="182" t="n">
        <v>909</v>
      </c>
      <c r="C920" s="182" t="n">
        <v>4630.51</v>
      </c>
      <c r="D920" s="182" t="n">
        <v>4574.118</v>
      </c>
      <c r="E920" s="182" t="n">
        <v>56.392</v>
      </c>
      <c r="F920" s="182" t="n">
        <v>3180.0565</v>
      </c>
      <c r="G920" s="182" t="n">
        <v>826281</v>
      </c>
      <c r="H920" s="182" t="inlineStr"/>
      <c r="I920" s="182" t="inlineStr"/>
    </row>
    <row r="921" ht="15" customHeight="1" s="28">
      <c r="A921" s="181" t="n">
        <v>911</v>
      </c>
      <c r="B921" s="181" t="n">
        <v>910</v>
      </c>
      <c r="C921" s="181" t="n">
        <v>4625.92</v>
      </c>
      <c r="D921" s="181" t="n">
        <v>4573.8504</v>
      </c>
      <c r="E921" s="181" t="n">
        <v>52.0696</v>
      </c>
      <c r="F921" s="181" t="n">
        <v>2711.2422</v>
      </c>
      <c r="G921" s="181" t="n">
        <v>828100</v>
      </c>
      <c r="H921" s="181" t="inlineStr"/>
      <c r="I921" s="181" t="inlineStr"/>
    </row>
    <row r="922" ht="15" customHeight="1" s="28">
      <c r="A922" s="182" t="n">
        <v>912</v>
      </c>
      <c r="B922" s="182" t="n">
        <v>911</v>
      </c>
      <c r="C922" s="182" t="n">
        <v>4639.57</v>
      </c>
      <c r="D922" s="182" t="n">
        <v>4573.5828</v>
      </c>
      <c r="E922" s="182" t="n">
        <v>65.9872</v>
      </c>
      <c r="F922" s="182" t="n">
        <v>4354.3106</v>
      </c>
      <c r="G922" s="182" t="n">
        <v>829921</v>
      </c>
      <c r="H922" s="182" t="inlineStr"/>
      <c r="I922" s="182" t="inlineStr"/>
    </row>
    <row r="923" ht="15" customHeight="1" s="28">
      <c r="A923" s="181" t="n">
        <v>913</v>
      </c>
      <c r="B923" s="181" t="n">
        <v>912</v>
      </c>
      <c r="C923" s="181" t="n">
        <v>4641.5</v>
      </c>
      <c r="D923" s="181" t="n">
        <v>4573.3152</v>
      </c>
      <c r="E923" s="181" t="n">
        <v>68.1848</v>
      </c>
      <c r="F923" s="181" t="n">
        <v>4649.167</v>
      </c>
      <c r="G923" s="181" t="n">
        <v>831744</v>
      </c>
      <c r="H923" s="181" t="inlineStr"/>
      <c r="I923" s="181" t="inlineStr"/>
    </row>
    <row r="924" ht="15" customHeight="1" s="28">
      <c r="A924" s="182" t="n">
        <v>914</v>
      </c>
      <c r="B924" s="182" t="n">
        <v>913</v>
      </c>
      <c r="C924" s="182" t="n">
        <v>4633.5</v>
      </c>
      <c r="D924" s="182" t="n">
        <v>4573.0476</v>
      </c>
      <c r="E924" s="182" t="n">
        <v>60.4524</v>
      </c>
      <c r="F924" s="182" t="n">
        <v>3654.4939</v>
      </c>
      <c r="G924" s="182" t="n">
        <v>833569</v>
      </c>
      <c r="H924" s="182" t="inlineStr"/>
      <c r="I924" s="182" t="inlineStr"/>
    </row>
    <row r="925" ht="15" customHeight="1" s="28">
      <c r="A925" s="181" t="n">
        <v>915</v>
      </c>
      <c r="B925" s="181" t="n">
        <v>914</v>
      </c>
      <c r="C925" s="181" t="n">
        <v>4625.44</v>
      </c>
      <c r="D925" s="181" t="n">
        <v>4572.78</v>
      </c>
      <c r="E925" s="181" t="n">
        <v>52.66</v>
      </c>
      <c r="F925" s="181" t="n">
        <v>2773.0767</v>
      </c>
      <c r="G925" s="181" t="n">
        <v>835396</v>
      </c>
      <c r="H925" s="181" t="inlineStr"/>
      <c r="I925" s="181" t="inlineStr"/>
    </row>
    <row r="926" ht="15" customHeight="1" s="28">
      <c r="A926" s="182" t="n">
        <v>916</v>
      </c>
      <c r="B926" s="182" t="n">
        <v>915</v>
      </c>
      <c r="C926" s="182" t="n">
        <v>4610.99</v>
      </c>
      <c r="D926" s="182" t="n">
        <v>4572.5124</v>
      </c>
      <c r="E926" s="182" t="n">
        <v>38.4776</v>
      </c>
      <c r="F926" s="182" t="n">
        <v>1480.5265</v>
      </c>
      <c r="G926" s="182" t="n">
        <v>837225</v>
      </c>
      <c r="H926" s="182" t="inlineStr"/>
      <c r="I926" s="182" t="inlineStr"/>
    </row>
    <row r="927" ht="15" customHeight="1" s="28">
      <c r="A927" s="181" t="n">
        <v>917</v>
      </c>
      <c r="B927" s="181" t="n">
        <v>916</v>
      </c>
      <c r="C927" s="181" t="n">
        <v>4620.39</v>
      </c>
      <c r="D927" s="181" t="n">
        <v>4572.2448</v>
      </c>
      <c r="E927" s="181" t="n">
        <v>48.1452</v>
      </c>
      <c r="F927" s="181" t="n">
        <v>2317.9622</v>
      </c>
      <c r="G927" s="181" t="n">
        <v>839056</v>
      </c>
      <c r="H927" s="181" t="inlineStr"/>
      <c r="I927" s="181" t="inlineStr"/>
    </row>
    <row r="928" ht="15" customHeight="1" s="28">
      <c r="A928" s="182" t="n">
        <v>918</v>
      </c>
      <c r="B928" s="182" t="n">
        <v>917</v>
      </c>
      <c r="C928" s="182" t="n">
        <v>4622.81</v>
      </c>
      <c r="D928" s="182" t="n">
        <v>4571.9772</v>
      </c>
      <c r="E928" s="182" t="n">
        <v>50.8328</v>
      </c>
      <c r="F928" s="182" t="n">
        <v>2583.9756</v>
      </c>
      <c r="G928" s="182" t="n">
        <v>840889</v>
      </c>
      <c r="H928" s="182" t="inlineStr"/>
      <c r="I928" s="182" t="inlineStr"/>
    </row>
    <row r="929" ht="15" customHeight="1" s="28">
      <c r="A929" s="181" t="n">
        <v>919</v>
      </c>
      <c r="B929" s="181" t="n">
        <v>918</v>
      </c>
      <c r="C929" s="181" t="n">
        <v>4617.7</v>
      </c>
      <c r="D929" s="181" t="n">
        <v>4571.7096</v>
      </c>
      <c r="E929" s="181" t="n">
        <v>45.9904</v>
      </c>
      <c r="F929" s="181" t="n">
        <v>2115.1197</v>
      </c>
      <c r="G929" s="181" t="n">
        <v>842724</v>
      </c>
      <c r="H929" s="181" t="inlineStr"/>
      <c r="I929" s="181" t="inlineStr"/>
    </row>
    <row r="930" ht="15" customHeight="1" s="28">
      <c r="A930" s="182" t="n">
        <v>920</v>
      </c>
      <c r="B930" s="182" t="n">
        <v>919</v>
      </c>
      <c r="C930" s="182" t="n">
        <v>4619.59</v>
      </c>
      <c r="D930" s="182" t="n">
        <v>4571.442</v>
      </c>
      <c r="E930" s="182" t="n">
        <v>48.148</v>
      </c>
      <c r="F930" s="182" t="n">
        <v>2318.2328</v>
      </c>
      <c r="G930" s="182" t="n">
        <v>844561</v>
      </c>
      <c r="H930" s="182" t="inlineStr"/>
      <c r="I930" s="182" t="inlineStr"/>
    </row>
    <row r="931" ht="15" customHeight="1" s="28">
      <c r="A931" s="181" t="n">
        <v>921</v>
      </c>
      <c r="B931" s="181" t="n">
        <v>920</v>
      </c>
      <c r="C931" s="181" t="n">
        <v>4620.13</v>
      </c>
      <c r="D931" s="181" t="n">
        <v>4571.1744</v>
      </c>
      <c r="E931" s="181" t="n">
        <v>48.9556</v>
      </c>
      <c r="F931" s="181" t="n">
        <v>2396.6537</v>
      </c>
      <c r="G931" s="181" t="n">
        <v>846400</v>
      </c>
      <c r="H931" s="181" t="inlineStr"/>
      <c r="I931" s="181" t="inlineStr"/>
    </row>
    <row r="932" ht="15" customHeight="1" s="28">
      <c r="A932" s="182" t="n">
        <v>922</v>
      </c>
      <c r="B932" s="182" t="n">
        <v>921</v>
      </c>
      <c r="C932" s="182" t="n">
        <v>4623.09</v>
      </c>
      <c r="D932" s="182" t="n">
        <v>4570.9068</v>
      </c>
      <c r="E932" s="182" t="n">
        <v>52.1832</v>
      </c>
      <c r="F932" s="182" t="n">
        <v>2723.0905</v>
      </c>
      <c r="G932" s="182" t="n">
        <v>848241</v>
      </c>
      <c r="H932" s="182" t="inlineStr"/>
      <c r="I932" s="182" t="inlineStr"/>
    </row>
    <row r="933" ht="15" customHeight="1" s="28">
      <c r="A933" s="181" t="n">
        <v>923</v>
      </c>
      <c r="B933" s="181" t="n">
        <v>922</v>
      </c>
      <c r="C933" s="181" t="n">
        <v>4615.65</v>
      </c>
      <c r="D933" s="181" t="n">
        <v>4570.6392</v>
      </c>
      <c r="E933" s="181" t="n">
        <v>45.0108</v>
      </c>
      <c r="F933" s="181" t="n">
        <v>2025.9757</v>
      </c>
      <c r="G933" s="181" t="n">
        <v>850084</v>
      </c>
      <c r="H933" s="181" t="inlineStr"/>
      <c r="I933" s="181" t="inlineStr"/>
    </row>
    <row r="934" ht="15" customHeight="1" s="28">
      <c r="A934" s="182" t="n">
        <v>924</v>
      </c>
      <c r="B934" s="182" t="n">
        <v>923</v>
      </c>
      <c r="C934" s="182" t="n">
        <v>4615.35</v>
      </c>
      <c r="D934" s="182" t="n">
        <v>4570.3715</v>
      </c>
      <c r="E934" s="182" t="n">
        <v>44.9785</v>
      </c>
      <c r="F934" s="182" t="n">
        <v>2023.061</v>
      </c>
      <c r="G934" s="182" t="n">
        <v>851929</v>
      </c>
      <c r="H934" s="182" t="inlineStr"/>
      <c r="I934" s="182" t="inlineStr"/>
    </row>
    <row r="935" ht="15" customHeight="1" s="28">
      <c r="A935" s="181" t="n">
        <v>925</v>
      </c>
      <c r="B935" s="181" t="n">
        <v>924</v>
      </c>
      <c r="C935" s="181" t="n">
        <v>4611.63</v>
      </c>
      <c r="D935" s="181" t="n">
        <v>4570.1039</v>
      </c>
      <c r="E935" s="181" t="n">
        <v>41.5261</v>
      </c>
      <c r="F935" s="181" t="n">
        <v>1724.4128</v>
      </c>
      <c r="G935" s="181" t="n">
        <v>853776</v>
      </c>
      <c r="H935" s="181" t="inlineStr"/>
      <c r="I935" s="181" t="inlineStr"/>
    </row>
    <row r="936" ht="15" customHeight="1" s="28">
      <c r="A936" s="182" t="n">
        <v>926</v>
      </c>
      <c r="B936" s="182" t="n">
        <v>925</v>
      </c>
      <c r="C936" s="182" t="n">
        <v>4608.08</v>
      </c>
      <c r="D936" s="182" t="n">
        <v>4569.8363</v>
      </c>
      <c r="E936" s="182" t="n">
        <v>38.2437</v>
      </c>
      <c r="F936" s="182" t="n">
        <v>1462.5775</v>
      </c>
      <c r="G936" s="182" t="n">
        <v>855625</v>
      </c>
      <c r="H936" s="182" t="inlineStr"/>
      <c r="I936" s="182" t="inlineStr"/>
    </row>
    <row r="937" ht="15" customHeight="1" s="28">
      <c r="A937" s="181" t="n">
        <v>927</v>
      </c>
      <c r="B937" s="181" t="n">
        <v>926</v>
      </c>
      <c r="C937" s="181" t="n">
        <v>4609.12</v>
      </c>
      <c r="D937" s="181" t="n">
        <v>4569.5687</v>
      </c>
      <c r="E937" s="181" t="n">
        <v>39.5513</v>
      </c>
      <c r="F937" s="181" t="n">
        <v>1564.3022</v>
      </c>
      <c r="G937" s="181" t="n">
        <v>857476</v>
      </c>
      <c r="H937" s="181" t="inlineStr"/>
      <c r="I937" s="181" t="inlineStr"/>
    </row>
    <row r="938" ht="15" customHeight="1" s="28">
      <c r="A938" s="182" t="n">
        <v>928</v>
      </c>
      <c r="B938" s="182" t="n">
        <v>927</v>
      </c>
      <c r="C938" s="182" t="n">
        <v>4607.62</v>
      </c>
      <c r="D938" s="182" t="n">
        <v>4569.3011</v>
      </c>
      <c r="E938" s="182" t="n">
        <v>38.3189</v>
      </c>
      <c r="F938" s="182" t="n">
        <v>1468.335</v>
      </c>
      <c r="G938" s="182" t="n">
        <v>859329</v>
      </c>
      <c r="H938" s="182" t="inlineStr"/>
      <c r="I938" s="182" t="inlineStr"/>
    </row>
    <row r="939" ht="15" customHeight="1" s="28">
      <c r="A939" s="181" t="n">
        <v>929</v>
      </c>
      <c r="B939" s="181" t="n">
        <v>928</v>
      </c>
      <c r="C939" s="181" t="n">
        <v>4615.95</v>
      </c>
      <c r="D939" s="181" t="n">
        <v>4569.0335</v>
      </c>
      <c r="E939" s="181" t="n">
        <v>46.9165</v>
      </c>
      <c r="F939" s="181" t="n">
        <v>2201.1552</v>
      </c>
      <c r="G939" s="181" t="n">
        <v>861184</v>
      </c>
      <c r="H939" s="181" t="inlineStr"/>
      <c r="I939" s="181" t="inlineStr"/>
    </row>
    <row r="940" ht="15" customHeight="1" s="28">
      <c r="A940" s="182" t="n">
        <v>930</v>
      </c>
      <c r="B940" s="182" t="n">
        <v>929</v>
      </c>
      <c r="C940" s="182" t="n">
        <v>4618</v>
      </c>
      <c r="D940" s="182" t="n">
        <v>4568.7659</v>
      </c>
      <c r="E940" s="182" t="n">
        <v>49.2341</v>
      </c>
      <c r="F940" s="182" t="n">
        <v>2423.9936</v>
      </c>
      <c r="G940" s="182" t="n">
        <v>863041</v>
      </c>
      <c r="H940" s="182" t="inlineStr"/>
      <c r="I940" s="182" t="inlineStr"/>
    </row>
    <row r="941" ht="15" customHeight="1" s="28">
      <c r="A941" s="181" t="n">
        <v>931</v>
      </c>
      <c r="B941" s="181" t="n">
        <v>930</v>
      </c>
      <c r="C941" s="181" t="n">
        <v>4617.86</v>
      </c>
      <c r="D941" s="181" t="n">
        <v>4568.4983</v>
      </c>
      <c r="E941" s="181" t="n">
        <v>49.3617</v>
      </c>
      <c r="F941" s="181" t="n">
        <v>2436.5755</v>
      </c>
      <c r="G941" s="181" t="n">
        <v>864900</v>
      </c>
      <c r="H941" s="181" t="inlineStr"/>
      <c r="I941" s="181" t="inlineStr"/>
    </row>
    <row r="942" ht="15" customHeight="1" s="28">
      <c r="A942" s="182" t="n">
        <v>932</v>
      </c>
      <c r="B942" s="182" t="n">
        <v>931</v>
      </c>
      <c r="C942" s="182" t="n">
        <v>4616.86</v>
      </c>
      <c r="D942" s="182" t="n">
        <v>4568.2307</v>
      </c>
      <c r="E942" s="182" t="n">
        <v>48.6293</v>
      </c>
      <c r="F942" s="182" t="n">
        <v>2364.8069</v>
      </c>
      <c r="G942" s="182" t="n">
        <v>866761</v>
      </c>
      <c r="H942" s="182" t="inlineStr"/>
      <c r="I942" s="182" t="inlineStr"/>
    </row>
    <row r="943" ht="15" customHeight="1" s="28">
      <c r="A943" s="181" t="n">
        <v>933</v>
      </c>
      <c r="B943" s="181" t="n">
        <v>932</v>
      </c>
      <c r="C943" s="181" t="n">
        <v>4620.57</v>
      </c>
      <c r="D943" s="181" t="n">
        <v>4567.9631</v>
      </c>
      <c r="E943" s="181" t="n">
        <v>52.6069</v>
      </c>
      <c r="F943" s="181" t="n">
        <v>2767.4838</v>
      </c>
      <c r="G943" s="181" t="n">
        <v>868624</v>
      </c>
      <c r="H943" s="181" t="inlineStr"/>
      <c r="I943" s="181" t="inlineStr"/>
    </row>
    <row r="944" ht="15" customHeight="1" s="28">
      <c r="A944" s="182" t="n">
        <v>934</v>
      </c>
      <c r="B944" s="182" t="n">
        <v>933</v>
      </c>
      <c r="C944" s="182" t="n">
        <v>4620.79</v>
      </c>
      <c r="D944" s="182" t="n">
        <v>4567.6955</v>
      </c>
      <c r="E944" s="182" t="n">
        <v>53.0945</v>
      </c>
      <c r="F944" s="182" t="n">
        <v>2819.0249</v>
      </c>
      <c r="G944" s="182" t="n">
        <v>870489</v>
      </c>
      <c r="H944" s="182" t="inlineStr"/>
      <c r="I944" s="182" t="inlineStr"/>
    </row>
    <row r="945" ht="15" customHeight="1" s="28">
      <c r="A945" s="181" t="n">
        <v>935</v>
      </c>
      <c r="B945" s="181" t="n">
        <v>934</v>
      </c>
      <c r="C945" s="181" t="n">
        <v>4620.7</v>
      </c>
      <c r="D945" s="181" t="n">
        <v>4567.4279</v>
      </c>
      <c r="E945" s="181" t="n">
        <v>53.2721</v>
      </c>
      <c r="F945" s="181" t="n">
        <v>2837.9156</v>
      </c>
      <c r="G945" s="181" t="n">
        <v>872356</v>
      </c>
      <c r="H945" s="181" t="inlineStr"/>
      <c r="I945" s="181" t="inlineStr"/>
    </row>
    <row r="946" ht="15" customHeight="1" s="28">
      <c r="A946" s="182" t="n">
        <v>936</v>
      </c>
      <c r="B946" s="182" t="n">
        <v>935</v>
      </c>
      <c r="C946" s="182" t="n">
        <v>4622.48</v>
      </c>
      <c r="D946" s="182" t="n">
        <v>4567.1603</v>
      </c>
      <c r="E946" s="182" t="n">
        <v>55.3197</v>
      </c>
      <c r="F946" s="182" t="n">
        <v>3060.2692</v>
      </c>
      <c r="G946" s="182" t="n">
        <v>874225</v>
      </c>
      <c r="H946" s="182" t="inlineStr"/>
      <c r="I946" s="182" t="inlineStr"/>
    </row>
    <row r="947" ht="15" customHeight="1" s="28">
      <c r="A947" s="181" t="n">
        <v>937</v>
      </c>
      <c r="B947" s="181" t="n">
        <v>936</v>
      </c>
      <c r="C947" s="181" t="n">
        <v>4624.33</v>
      </c>
      <c r="D947" s="181" t="n">
        <v>4566.8927</v>
      </c>
      <c r="E947" s="181" t="n">
        <v>57.4373</v>
      </c>
      <c r="F947" s="181" t="n">
        <v>3299.0434</v>
      </c>
      <c r="G947" s="181" t="n">
        <v>876096</v>
      </c>
      <c r="H947" s="181" t="inlineStr"/>
      <c r="I947" s="181" t="inlineStr"/>
    </row>
    <row r="948" ht="15" customHeight="1" s="28">
      <c r="A948" s="182" t="n">
        <v>938</v>
      </c>
      <c r="B948" s="182" t="n">
        <v>937</v>
      </c>
      <c r="C948" s="182" t="n">
        <v>4617.77</v>
      </c>
      <c r="D948" s="182" t="n">
        <v>4566.6251</v>
      </c>
      <c r="E948" s="182" t="n">
        <v>51.1449</v>
      </c>
      <c r="F948" s="182" t="n">
        <v>2615.8008</v>
      </c>
      <c r="G948" s="182" t="n">
        <v>877969</v>
      </c>
      <c r="H948" s="182" t="inlineStr"/>
      <c r="I948" s="182" t="inlineStr"/>
    </row>
    <row r="949" ht="15" customHeight="1" s="28">
      <c r="A949" s="181" t="n">
        <v>939</v>
      </c>
      <c r="B949" s="181" t="n">
        <v>938</v>
      </c>
      <c r="C949" s="181" t="n">
        <v>4622.49</v>
      </c>
      <c r="D949" s="181" t="n">
        <v>4566.3575</v>
      </c>
      <c r="E949" s="181" t="n">
        <v>56.1325</v>
      </c>
      <c r="F949" s="181" t="n">
        <v>3150.8587</v>
      </c>
      <c r="G949" s="181" t="n">
        <v>879844</v>
      </c>
      <c r="H949" s="181" t="inlineStr"/>
      <c r="I949" s="181" t="inlineStr"/>
    </row>
    <row r="950" ht="15" customHeight="1" s="28">
      <c r="A950" s="182" t="n">
        <v>940</v>
      </c>
      <c r="B950" s="182" t="n">
        <v>939</v>
      </c>
      <c r="C950" s="182" t="n">
        <v>4617.07</v>
      </c>
      <c r="D950" s="182" t="n">
        <v>4566.0899</v>
      </c>
      <c r="E950" s="182" t="n">
        <v>50.9801</v>
      </c>
      <c r="F950" s="182" t="n">
        <v>2598.9716</v>
      </c>
      <c r="G950" s="182" t="n">
        <v>881721</v>
      </c>
      <c r="H950" s="182" t="inlineStr"/>
      <c r="I950" s="182" t="inlineStr"/>
    </row>
    <row r="951" ht="15" customHeight="1" s="28">
      <c r="A951" s="181" t="n">
        <v>941</v>
      </c>
      <c r="B951" s="181" t="n">
        <v>940</v>
      </c>
      <c r="C951" s="181" t="n">
        <v>4616.16</v>
      </c>
      <c r="D951" s="181" t="n">
        <v>4565.8223</v>
      </c>
      <c r="E951" s="181" t="n">
        <v>50.3377</v>
      </c>
      <c r="F951" s="181" t="n">
        <v>2533.8861</v>
      </c>
      <c r="G951" s="181" t="n">
        <v>883600</v>
      </c>
      <c r="H951" s="181" t="inlineStr"/>
      <c r="I951" s="181" t="inlineStr"/>
    </row>
    <row r="952" ht="15" customHeight="1" s="28">
      <c r="A952" s="182" t="n">
        <v>942</v>
      </c>
      <c r="B952" s="182" t="n">
        <v>941</v>
      </c>
      <c r="C952" s="182" t="n">
        <v>4616.72</v>
      </c>
      <c r="D952" s="182" t="n">
        <v>4565.5547</v>
      </c>
      <c r="E952" s="182" t="n">
        <v>51.1653</v>
      </c>
      <c r="F952" s="182" t="n">
        <v>2617.89</v>
      </c>
      <c r="G952" s="182" t="n">
        <v>885481</v>
      </c>
      <c r="H952" s="182" t="inlineStr"/>
      <c r="I952" s="182" t="inlineStr"/>
    </row>
    <row r="953" ht="15" customHeight="1" s="28">
      <c r="A953" s="181" t="n">
        <v>943</v>
      </c>
      <c r="B953" s="181" t="n">
        <v>942</v>
      </c>
      <c r="C953" s="181" t="n">
        <v>4617.33</v>
      </c>
      <c r="D953" s="181" t="n">
        <v>4565.2871</v>
      </c>
      <c r="E953" s="181" t="n">
        <v>52.0429</v>
      </c>
      <c r="F953" s="181" t="n">
        <v>2708.4655</v>
      </c>
      <c r="G953" s="181" t="n">
        <v>887364</v>
      </c>
      <c r="H953" s="181" t="inlineStr"/>
      <c r="I953" s="181" t="inlineStr"/>
    </row>
    <row r="954" ht="15" customHeight="1" s="28">
      <c r="A954" s="182" t="n">
        <v>944</v>
      </c>
      <c r="B954" s="182" t="n">
        <v>943</v>
      </c>
      <c r="C954" s="182" t="n">
        <v>4621.81</v>
      </c>
      <c r="D954" s="182" t="n">
        <v>4565.0195</v>
      </c>
      <c r="E954" s="182" t="n">
        <v>56.7905</v>
      </c>
      <c r="F954" s="182" t="n">
        <v>3225.1643</v>
      </c>
      <c r="G954" s="182" t="n">
        <v>889249</v>
      </c>
      <c r="H954" s="182" t="inlineStr"/>
      <c r="I954" s="182" t="inlineStr"/>
    </row>
    <row r="955" ht="15" customHeight="1" s="28">
      <c r="A955" s="181" t="n">
        <v>945</v>
      </c>
      <c r="B955" s="181" t="n">
        <v>944</v>
      </c>
      <c r="C955" s="181" t="n">
        <v>4631.38</v>
      </c>
      <c r="D955" s="181" t="n">
        <v>4564.7519</v>
      </c>
      <c r="E955" s="181" t="n">
        <v>66.6281</v>
      </c>
      <c r="F955" s="181" t="n">
        <v>4439.3077</v>
      </c>
      <c r="G955" s="181" t="n">
        <v>891136</v>
      </c>
      <c r="H955" s="181" t="inlineStr"/>
      <c r="I955" s="181" t="inlineStr"/>
    </row>
    <row r="956" ht="15" customHeight="1" s="28">
      <c r="A956" s="182" t="n">
        <v>946</v>
      </c>
      <c r="B956" s="182" t="n">
        <v>945</v>
      </c>
      <c r="C956" s="182" t="n">
        <v>4631.38</v>
      </c>
      <c r="D956" s="182" t="n">
        <v>4564.4843</v>
      </c>
      <c r="E956" s="182" t="n">
        <v>66.89570000000001</v>
      </c>
      <c r="F956" s="182" t="n">
        <v>4475.04</v>
      </c>
      <c r="G956" s="182" t="n">
        <v>893025</v>
      </c>
      <c r="H956" s="182" t="inlineStr"/>
      <c r="I956" s="182" t="inlineStr"/>
    </row>
    <row r="957" ht="15" customHeight="1" s="28">
      <c r="A957" s="181" t="n">
        <v>947</v>
      </c>
      <c r="B957" s="181" t="n">
        <v>946</v>
      </c>
      <c r="C957" s="181" t="n">
        <v>4631.75</v>
      </c>
      <c r="D957" s="181" t="n">
        <v>4564.2167</v>
      </c>
      <c r="E957" s="181" t="n">
        <v>67.5333</v>
      </c>
      <c r="F957" s="181" t="n">
        <v>4560.752</v>
      </c>
      <c r="G957" s="181" t="n">
        <v>894916</v>
      </c>
      <c r="H957" s="181" t="inlineStr"/>
      <c r="I957" s="181" t="inlineStr"/>
    </row>
    <row r="958" ht="15" customHeight="1" s="28">
      <c r="A958" s="182" t="n">
        <v>948</v>
      </c>
      <c r="B958" s="182" t="n">
        <v>947</v>
      </c>
      <c r="C958" s="182" t="n">
        <v>4630.51</v>
      </c>
      <c r="D958" s="182" t="n">
        <v>4563.9491</v>
      </c>
      <c r="E958" s="182" t="n">
        <v>66.56100000000001</v>
      </c>
      <c r="F958" s="182" t="n">
        <v>4430.3601</v>
      </c>
      <c r="G958" s="182" t="n">
        <v>896809</v>
      </c>
      <c r="H958" s="182" t="inlineStr"/>
      <c r="I958" s="182" t="inlineStr"/>
    </row>
    <row r="959" ht="15" customHeight="1" s="28">
      <c r="A959" s="181" t="n">
        <v>949</v>
      </c>
      <c r="B959" s="181" t="n">
        <v>948</v>
      </c>
      <c r="C959" s="181" t="n">
        <v>4630.26</v>
      </c>
      <c r="D959" s="181" t="n">
        <v>4563.6815</v>
      </c>
      <c r="E959" s="181" t="n">
        <v>66.57859999999999</v>
      </c>
      <c r="F959" s="181" t="n">
        <v>4432.7033</v>
      </c>
      <c r="G959" s="181" t="n">
        <v>898704</v>
      </c>
      <c r="H959" s="181" t="inlineStr"/>
      <c r="I959" s="181" t="inlineStr"/>
    </row>
    <row r="960" ht="15" customHeight="1" s="28">
      <c r="A960" s="182" t="n">
        <v>950</v>
      </c>
      <c r="B960" s="182" t="n">
        <v>949</v>
      </c>
      <c r="C960" s="182" t="n">
        <v>4630.75</v>
      </c>
      <c r="D960" s="182" t="n">
        <v>4563.4138</v>
      </c>
      <c r="E960" s="182" t="n">
        <v>67.33620000000001</v>
      </c>
      <c r="F960" s="182" t="n">
        <v>4534.1571</v>
      </c>
      <c r="G960" s="182" t="n">
        <v>900601</v>
      </c>
      <c r="H960" s="182" t="inlineStr"/>
      <c r="I960" s="182" t="inlineStr"/>
    </row>
    <row r="961" ht="15" customHeight="1" s="28">
      <c r="A961" s="181" t="n">
        <v>951</v>
      </c>
      <c r="B961" s="181" t="n">
        <v>950</v>
      </c>
      <c r="C961" s="181" t="n">
        <v>4631.31</v>
      </c>
      <c r="D961" s="181" t="n">
        <v>4563.1462</v>
      </c>
      <c r="E961" s="181" t="n">
        <v>68.16379999999999</v>
      </c>
      <c r="F961" s="181" t="n">
        <v>4646.2982</v>
      </c>
      <c r="G961" s="181" t="n">
        <v>902500</v>
      </c>
      <c r="H961" s="181" t="inlineStr"/>
      <c r="I961" s="181" t="inlineStr"/>
    </row>
    <row r="962" ht="15" customHeight="1" s="28">
      <c r="A962" s="182" t="n">
        <v>952</v>
      </c>
      <c r="B962" s="182" t="n">
        <v>951</v>
      </c>
      <c r="C962" s="182" t="n">
        <v>4626.71</v>
      </c>
      <c r="D962" s="182" t="n">
        <v>4562.8786</v>
      </c>
      <c r="E962" s="182" t="n">
        <v>63.8314</v>
      </c>
      <c r="F962" s="182" t="n">
        <v>4074.4425</v>
      </c>
      <c r="G962" s="182" t="n">
        <v>904401</v>
      </c>
      <c r="H962" s="182" t="inlineStr"/>
      <c r="I962" s="182" t="inlineStr"/>
    </row>
    <row r="963" ht="15" customHeight="1" s="28">
      <c r="A963" s="181" t="n">
        <v>953</v>
      </c>
      <c r="B963" s="181" t="n">
        <v>952</v>
      </c>
      <c r="C963" s="181" t="n">
        <v>4622.55</v>
      </c>
      <c r="D963" s="181" t="n">
        <v>4562.611</v>
      </c>
      <c r="E963" s="181" t="n">
        <v>59.939</v>
      </c>
      <c r="F963" s="181" t="n">
        <v>3592.6801</v>
      </c>
      <c r="G963" s="181" t="n">
        <v>906304</v>
      </c>
      <c r="H963" s="181" t="inlineStr"/>
      <c r="I963" s="181" t="inlineStr"/>
    </row>
    <row r="964" ht="15" customHeight="1" s="28">
      <c r="A964" s="182" t="n">
        <v>954</v>
      </c>
      <c r="B964" s="182" t="n">
        <v>953</v>
      </c>
      <c r="C964" s="182" t="n">
        <v>4623.65</v>
      </c>
      <c r="D964" s="182" t="n">
        <v>4562.3434</v>
      </c>
      <c r="E964" s="182" t="n">
        <v>61.3066</v>
      </c>
      <c r="F964" s="182" t="n">
        <v>3758.4955</v>
      </c>
      <c r="G964" s="182" t="n">
        <v>908209</v>
      </c>
      <c r="H964" s="182" t="inlineStr"/>
      <c r="I964" s="182" t="inlineStr"/>
    </row>
    <row r="965" ht="15" customHeight="1" s="28">
      <c r="A965" s="181" t="n">
        <v>955</v>
      </c>
      <c r="B965" s="181" t="n">
        <v>954</v>
      </c>
      <c r="C965" s="181" t="n">
        <v>4620.9</v>
      </c>
      <c r="D965" s="181" t="n">
        <v>4562.0758</v>
      </c>
      <c r="E965" s="181" t="n">
        <v>58.8242</v>
      </c>
      <c r="F965" s="181" t="n">
        <v>3460.283</v>
      </c>
      <c r="G965" s="181" t="n">
        <v>910116</v>
      </c>
      <c r="H965" s="181" t="inlineStr"/>
      <c r="I965" s="181" t="inlineStr"/>
    </row>
    <row r="966" ht="15" customHeight="1" s="28">
      <c r="A966" s="182" t="n">
        <v>956</v>
      </c>
      <c r="B966" s="182" t="n">
        <v>955</v>
      </c>
      <c r="C966" s="182" t="n">
        <v>4620.02</v>
      </c>
      <c r="D966" s="182" t="n">
        <v>4561.8082</v>
      </c>
      <c r="E966" s="182" t="n">
        <v>58.2118</v>
      </c>
      <c r="F966" s="182" t="n">
        <v>3388.6113</v>
      </c>
      <c r="G966" s="182" t="n">
        <v>912025</v>
      </c>
      <c r="H966" s="182" t="inlineStr"/>
      <c r="I966" s="182" t="inlineStr"/>
    </row>
    <row r="967" ht="15" customHeight="1" s="28">
      <c r="A967" s="181" t="n">
        <v>957</v>
      </c>
      <c r="B967" s="181" t="n">
        <v>956</v>
      </c>
      <c r="C967" s="181" t="n">
        <v>4618.7</v>
      </c>
      <c r="D967" s="181" t="n">
        <v>4561.5406</v>
      </c>
      <c r="E967" s="181" t="n">
        <v>57.1594</v>
      </c>
      <c r="F967" s="181" t="n">
        <v>3267.1947</v>
      </c>
      <c r="G967" s="181" t="n">
        <v>913936</v>
      </c>
      <c r="H967" s="181" t="inlineStr"/>
      <c r="I967" s="181" t="inlineStr"/>
    </row>
    <row r="968" ht="15" customHeight="1" s="28">
      <c r="A968" s="182" t="n">
        <v>958</v>
      </c>
      <c r="B968" s="182" t="n">
        <v>957</v>
      </c>
      <c r="C968" s="182" t="n">
        <v>4616.68</v>
      </c>
      <c r="D968" s="182" t="n">
        <v>4561.273</v>
      </c>
      <c r="E968" s="182" t="n">
        <v>55.407</v>
      </c>
      <c r="F968" s="182" t="n">
        <v>3069.9345</v>
      </c>
      <c r="G968" s="182" t="n">
        <v>915849</v>
      </c>
      <c r="H968" s="182" t="inlineStr"/>
      <c r="I968" s="182" t="inlineStr"/>
    </row>
    <row r="969" ht="15" customHeight="1" s="28">
      <c r="A969" s="181" t="n">
        <v>959</v>
      </c>
      <c r="B969" s="181" t="n">
        <v>958</v>
      </c>
      <c r="C969" s="181" t="n">
        <v>4620.2</v>
      </c>
      <c r="D969" s="181" t="n">
        <v>4561.0054</v>
      </c>
      <c r="E969" s="181" t="n">
        <v>59.1946</v>
      </c>
      <c r="F969" s="181" t="n">
        <v>3503.9995</v>
      </c>
      <c r="G969" s="181" t="n">
        <v>917764</v>
      </c>
      <c r="H969" s="181" t="inlineStr"/>
      <c r="I969" s="181" t="inlineStr"/>
    </row>
    <row r="970" ht="15" customHeight="1" s="28">
      <c r="A970" s="182" t="n">
        <v>960</v>
      </c>
      <c r="B970" s="182" t="n">
        <v>959</v>
      </c>
      <c r="C970" s="182" t="n">
        <v>4621.05</v>
      </c>
      <c r="D970" s="182" t="n">
        <v>4560.7378</v>
      </c>
      <c r="E970" s="182" t="n">
        <v>60.3122</v>
      </c>
      <c r="F970" s="182" t="n">
        <v>3637.5603</v>
      </c>
      <c r="G970" s="182" t="n">
        <v>919681</v>
      </c>
      <c r="H970" s="182" t="inlineStr"/>
      <c r="I970" s="182" t="inlineStr"/>
    </row>
    <row r="971" ht="15" customHeight="1" s="28">
      <c r="A971" s="181" t="n">
        <v>961</v>
      </c>
      <c r="B971" s="181" t="n">
        <v>960</v>
      </c>
      <c r="C971" s="181" t="n">
        <v>4630.89</v>
      </c>
      <c r="D971" s="181" t="n">
        <v>4560.4702</v>
      </c>
      <c r="E971" s="181" t="n">
        <v>70.4198</v>
      </c>
      <c r="F971" s="181" t="n">
        <v>4958.9482</v>
      </c>
      <c r="G971" s="181" t="n">
        <v>921600</v>
      </c>
      <c r="H971" s="181" t="inlineStr"/>
      <c r="I971" s="181" t="inlineStr"/>
    </row>
    <row r="972" ht="15" customHeight="1" s="28">
      <c r="A972" s="182" t="n">
        <v>962</v>
      </c>
      <c r="B972" s="182" t="n">
        <v>961</v>
      </c>
      <c r="C972" s="182" t="n">
        <v>4629.39</v>
      </c>
      <c r="D972" s="182" t="n">
        <v>4560.2026</v>
      </c>
      <c r="E972" s="182" t="n">
        <v>69.1874</v>
      </c>
      <c r="F972" s="182" t="n">
        <v>4786.8963</v>
      </c>
      <c r="G972" s="182" t="n">
        <v>923521</v>
      </c>
      <c r="H972" s="182" t="inlineStr"/>
      <c r="I972" s="182" t="inlineStr"/>
    </row>
    <row r="973" ht="15" customHeight="1" s="28">
      <c r="A973" s="181" t="n">
        <v>963</v>
      </c>
      <c r="B973" s="181" t="n">
        <v>962</v>
      </c>
      <c r="C973" s="181" t="n">
        <v>4624.38</v>
      </c>
      <c r="D973" s="181" t="n">
        <v>4559.935</v>
      </c>
      <c r="E973" s="181" t="n">
        <v>64.44499999999999</v>
      </c>
      <c r="F973" s="181" t="n">
        <v>4153.1593</v>
      </c>
      <c r="G973" s="181" t="n">
        <v>925444</v>
      </c>
      <c r="H973" s="181" t="inlineStr"/>
      <c r="I973" s="181" t="inlineStr"/>
    </row>
    <row r="974" ht="15" customHeight="1" s="28">
      <c r="A974" s="182" t="n">
        <v>964</v>
      </c>
      <c r="B974" s="182" t="n">
        <v>963</v>
      </c>
      <c r="C974" s="182" t="n">
        <v>4619.15</v>
      </c>
      <c r="D974" s="182" t="n">
        <v>4559.6674</v>
      </c>
      <c r="E974" s="182" t="n">
        <v>59.4826</v>
      </c>
      <c r="F974" s="182" t="n">
        <v>3538.1809</v>
      </c>
      <c r="G974" s="182" t="n">
        <v>927369</v>
      </c>
      <c r="H974" s="182" t="inlineStr"/>
      <c r="I974" s="182" t="inlineStr"/>
    </row>
    <row r="975" ht="15" customHeight="1" s="28">
      <c r="A975" s="181" t="n">
        <v>965</v>
      </c>
      <c r="B975" s="181" t="n">
        <v>964</v>
      </c>
      <c r="C975" s="181" t="n">
        <v>4620.85</v>
      </c>
      <c r="D975" s="181" t="n">
        <v>4559.3998</v>
      </c>
      <c r="E975" s="181" t="n">
        <v>61.4502</v>
      </c>
      <c r="F975" s="181" t="n">
        <v>3776.1283</v>
      </c>
      <c r="G975" s="181" t="n">
        <v>929296</v>
      </c>
      <c r="H975" s="181" t="inlineStr"/>
      <c r="I975" s="181" t="inlineStr"/>
    </row>
    <row r="976" ht="15" customHeight="1" s="28">
      <c r="A976" s="182" t="n">
        <v>966</v>
      </c>
      <c r="B976" s="182" t="n">
        <v>965</v>
      </c>
      <c r="C976" s="182" t="n">
        <v>4626.13</v>
      </c>
      <c r="D976" s="182" t="n">
        <v>4559.1322</v>
      </c>
      <c r="E976" s="182" t="n">
        <v>66.9978</v>
      </c>
      <c r="F976" s="182" t="n">
        <v>4488.7079</v>
      </c>
      <c r="G976" s="182" t="n">
        <v>931225</v>
      </c>
      <c r="H976" s="182" t="inlineStr"/>
      <c r="I976" s="182" t="inlineStr"/>
    </row>
    <row r="977" ht="15" customHeight="1" s="28">
      <c r="A977" s="181" t="n">
        <v>967</v>
      </c>
      <c r="B977" s="181" t="n">
        <v>966</v>
      </c>
      <c r="C977" s="181" t="n">
        <v>4626.21</v>
      </c>
      <c r="D977" s="181" t="n">
        <v>4558.8646</v>
      </c>
      <c r="E977" s="181" t="n">
        <v>67.3454</v>
      </c>
      <c r="F977" s="181" t="n">
        <v>4535.4056</v>
      </c>
      <c r="G977" s="181" t="n">
        <v>933156</v>
      </c>
      <c r="H977" s="181" t="inlineStr"/>
      <c r="I977" s="181" t="inlineStr"/>
    </row>
    <row r="978" ht="15" customHeight="1" s="28">
      <c r="A978" s="182" t="n">
        <v>968</v>
      </c>
      <c r="B978" s="182" t="n">
        <v>967</v>
      </c>
      <c r="C978" s="182" t="n">
        <v>4626.67</v>
      </c>
      <c r="D978" s="182" t="n">
        <v>4558.597</v>
      </c>
      <c r="E978" s="182" t="n">
        <v>68.07299999999999</v>
      </c>
      <c r="F978" s="182" t="n">
        <v>4633.9374</v>
      </c>
      <c r="G978" s="182" t="n">
        <v>935089</v>
      </c>
      <c r="H978" s="182" t="inlineStr"/>
      <c r="I978" s="182" t="inlineStr"/>
    </row>
    <row r="979" ht="15" customHeight="1" s="28">
      <c r="A979" s="181" t="n">
        <v>969</v>
      </c>
      <c r="B979" s="181" t="n">
        <v>968</v>
      </c>
      <c r="C979" s="181" t="n">
        <v>4621.93</v>
      </c>
      <c r="D979" s="181" t="n">
        <v>4558.3294</v>
      </c>
      <c r="E979" s="181" t="n">
        <v>63.6006</v>
      </c>
      <c r="F979" s="181" t="n">
        <v>4045.0401</v>
      </c>
      <c r="G979" s="181" t="n">
        <v>937024</v>
      </c>
      <c r="H979" s="181" t="inlineStr"/>
      <c r="I979" s="181" t="inlineStr"/>
    </row>
    <row r="980" ht="15" customHeight="1" s="28">
      <c r="A980" s="182" t="n">
        <v>970</v>
      </c>
      <c r="B980" s="182" t="n">
        <v>969</v>
      </c>
      <c r="C980" s="182" t="n">
        <v>4617.53</v>
      </c>
      <c r="D980" s="182" t="n">
        <v>4558.0618</v>
      </c>
      <c r="E980" s="182" t="n">
        <v>59.4682</v>
      </c>
      <c r="F980" s="182" t="n">
        <v>3536.4716</v>
      </c>
      <c r="G980" s="182" t="n">
        <v>938961</v>
      </c>
      <c r="H980" s="182" t="inlineStr"/>
      <c r="I980" s="182" t="inlineStr"/>
    </row>
    <row r="981" ht="15" customHeight="1" s="28">
      <c r="A981" s="181" t="n">
        <v>971</v>
      </c>
      <c r="B981" s="181" t="n">
        <v>970</v>
      </c>
      <c r="C981" s="181" t="n">
        <v>4613.51</v>
      </c>
      <c r="D981" s="181" t="n">
        <v>4557.7942</v>
      </c>
      <c r="E981" s="181" t="n">
        <v>55.7158</v>
      </c>
      <c r="F981" s="181" t="n">
        <v>3104.2548</v>
      </c>
      <c r="G981" s="181" t="n">
        <v>940900</v>
      </c>
      <c r="H981" s="181" t="inlineStr"/>
      <c r="I981" s="181" t="inlineStr"/>
    </row>
    <row r="982" ht="15" customHeight="1" s="28">
      <c r="A982" s="182" t="n">
        <v>972</v>
      </c>
      <c r="B982" s="182" t="n">
        <v>971</v>
      </c>
      <c r="C982" s="182" t="n">
        <v>4609.18</v>
      </c>
      <c r="D982" s="182" t="n">
        <v>4557.5266</v>
      </c>
      <c r="E982" s="182" t="n">
        <v>51.6534</v>
      </c>
      <c r="F982" s="182" t="n">
        <v>2668.0779</v>
      </c>
      <c r="G982" s="182" t="n">
        <v>942841</v>
      </c>
      <c r="H982" s="182" t="inlineStr"/>
      <c r="I982" s="182" t="inlineStr"/>
    </row>
    <row r="983" ht="15" customHeight="1" s="28">
      <c r="A983" s="181" t="n">
        <v>973</v>
      </c>
      <c r="B983" s="181" t="n">
        <v>972</v>
      </c>
      <c r="C983" s="181" t="n">
        <v>4614.29</v>
      </c>
      <c r="D983" s="181" t="n">
        <v>4557.259</v>
      </c>
      <c r="E983" s="181" t="n">
        <v>57.031</v>
      </c>
      <c r="F983" s="181" t="n">
        <v>3252.5407</v>
      </c>
      <c r="G983" s="181" t="n">
        <v>944784</v>
      </c>
      <c r="H983" s="181" t="inlineStr"/>
      <c r="I983" s="181" t="inlineStr"/>
    </row>
    <row r="984" ht="15" customHeight="1" s="28">
      <c r="A984" s="182" t="n">
        <v>974</v>
      </c>
      <c r="B984" s="182" t="n">
        <v>973</v>
      </c>
      <c r="C984" s="182" t="n">
        <v>4614.64</v>
      </c>
      <c r="D984" s="182" t="n">
        <v>4556.9914</v>
      </c>
      <c r="E984" s="182" t="n">
        <v>57.6487</v>
      </c>
      <c r="F984" s="182" t="n">
        <v>3323.3668</v>
      </c>
      <c r="G984" s="182" t="n">
        <v>946729</v>
      </c>
      <c r="H984" s="182" t="inlineStr"/>
      <c r="I984" s="182" t="inlineStr"/>
    </row>
    <row r="985" ht="15" customHeight="1" s="28">
      <c r="A985" s="181" t="n">
        <v>975</v>
      </c>
      <c r="B985" s="181" t="n">
        <v>974</v>
      </c>
      <c r="C985" s="181" t="n">
        <v>4610</v>
      </c>
      <c r="D985" s="181" t="n">
        <v>4556.7237</v>
      </c>
      <c r="E985" s="181" t="n">
        <v>53.2763</v>
      </c>
      <c r="F985" s="181" t="n">
        <v>2838.3599</v>
      </c>
      <c r="G985" s="181" t="n">
        <v>948676</v>
      </c>
      <c r="H985" s="181" t="inlineStr"/>
      <c r="I985" s="181" t="inlineStr"/>
    </row>
    <row r="986" ht="15" customHeight="1" s="28">
      <c r="A986" s="182" t="n">
        <v>976</v>
      </c>
      <c r="B986" s="182" t="n">
        <v>975</v>
      </c>
      <c r="C986" s="182" t="n">
        <v>4605.03</v>
      </c>
      <c r="D986" s="182" t="n">
        <v>4556.4561</v>
      </c>
      <c r="E986" s="182" t="n">
        <v>48.5739</v>
      </c>
      <c r="F986" s="182" t="n">
        <v>2359.4199</v>
      </c>
      <c r="G986" s="182" t="n">
        <v>950625</v>
      </c>
      <c r="H986" s="182" t="inlineStr"/>
      <c r="I986" s="182" t="inlineStr"/>
    </row>
    <row r="987" ht="15" customHeight="1" s="28">
      <c r="A987" s="181" t="n">
        <v>977</v>
      </c>
      <c r="B987" s="181" t="n">
        <v>976</v>
      </c>
      <c r="C987" s="181" t="n">
        <v>4601.49</v>
      </c>
      <c r="D987" s="181" t="n">
        <v>4556.1885</v>
      </c>
      <c r="E987" s="181" t="n">
        <v>45.3015</v>
      </c>
      <c r="F987" s="181" t="n">
        <v>2052.2223</v>
      </c>
      <c r="G987" s="181" t="n">
        <v>952576</v>
      </c>
      <c r="H987" s="181" t="inlineStr"/>
      <c r="I987" s="181" t="inlineStr"/>
    </row>
    <row r="988" ht="15" customHeight="1" s="28">
      <c r="A988" s="182" t="n">
        <v>978</v>
      </c>
      <c r="B988" s="182" t="n">
        <v>977</v>
      </c>
      <c r="C988" s="182" t="n">
        <v>4593.44</v>
      </c>
      <c r="D988" s="182" t="n">
        <v>4555.9209</v>
      </c>
      <c r="E988" s="182" t="n">
        <v>37.5191</v>
      </c>
      <c r="F988" s="182" t="n">
        <v>1407.6806</v>
      </c>
      <c r="G988" s="182" t="n">
        <v>954529</v>
      </c>
      <c r="H988" s="182" t="inlineStr"/>
      <c r="I988" s="182" t="inlineStr"/>
    </row>
    <row r="989" ht="15" customHeight="1" s="28">
      <c r="A989" s="181" t="n">
        <v>979</v>
      </c>
      <c r="B989" s="181" t="n">
        <v>978</v>
      </c>
      <c r="C989" s="181" t="n">
        <v>4593.36</v>
      </c>
      <c r="D989" s="181" t="n">
        <v>4555.6533</v>
      </c>
      <c r="E989" s="181" t="n">
        <v>37.7067</v>
      </c>
      <c r="F989" s="181" t="n">
        <v>1421.793</v>
      </c>
      <c r="G989" s="181" t="n">
        <v>956484</v>
      </c>
      <c r="H989" s="181" t="inlineStr"/>
      <c r="I989" s="181" t="inlineStr"/>
    </row>
    <row r="990" ht="15" customHeight="1" s="28">
      <c r="A990" s="182" t="n">
        <v>980</v>
      </c>
      <c r="B990" s="182" t="n">
        <v>979</v>
      </c>
      <c r="C990" s="182" t="n">
        <v>4594.77</v>
      </c>
      <c r="D990" s="182" t="n">
        <v>4555.3857</v>
      </c>
      <c r="E990" s="182" t="n">
        <v>39.3843</v>
      </c>
      <c r="F990" s="182" t="n">
        <v>1551.1215</v>
      </c>
      <c r="G990" s="182" t="n">
        <v>958441</v>
      </c>
      <c r="H990" s="182" t="inlineStr"/>
      <c r="I990" s="182" t="inlineStr"/>
    </row>
    <row r="991" ht="15" customHeight="1" s="28">
      <c r="A991" s="181" t="n">
        <v>981</v>
      </c>
      <c r="B991" s="181" t="n">
        <v>980</v>
      </c>
      <c r="C991" s="181" t="n">
        <v>4595.97</v>
      </c>
      <c r="D991" s="181" t="n">
        <v>4555.1181</v>
      </c>
      <c r="E991" s="181" t="n">
        <v>40.8519</v>
      </c>
      <c r="F991" s="181" t="n">
        <v>1668.8761</v>
      </c>
      <c r="G991" s="181" t="n">
        <v>960400</v>
      </c>
      <c r="H991" s="181" t="inlineStr"/>
      <c r="I991" s="181" t="inlineStr"/>
    </row>
    <row r="992" ht="15" customHeight="1" s="28">
      <c r="A992" s="182" t="n">
        <v>982</v>
      </c>
      <c r="B992" s="182" t="n">
        <v>981</v>
      </c>
      <c r="C992" s="182" t="n">
        <v>4592.32</v>
      </c>
      <c r="D992" s="182" t="n">
        <v>4554.8505</v>
      </c>
      <c r="E992" s="182" t="n">
        <v>37.4695</v>
      </c>
      <c r="F992" s="182" t="n">
        <v>1403.9619</v>
      </c>
      <c r="G992" s="182" t="n">
        <v>962361</v>
      </c>
      <c r="H992" s="182" t="inlineStr"/>
      <c r="I992" s="182" t="inlineStr"/>
    </row>
    <row r="993" ht="15" customHeight="1" s="28">
      <c r="A993" s="181" t="n">
        <v>983</v>
      </c>
      <c r="B993" s="181" t="n">
        <v>982</v>
      </c>
      <c r="C993" s="181" t="n">
        <v>4585.41</v>
      </c>
      <c r="D993" s="181" t="n">
        <v>4554.5829</v>
      </c>
      <c r="E993" s="181" t="n">
        <v>30.8271</v>
      </c>
      <c r="F993" s="181" t="n">
        <v>950.3095</v>
      </c>
      <c r="G993" s="181" t="n">
        <v>964324</v>
      </c>
      <c r="H993" s="181" t="inlineStr"/>
      <c r="I993" s="181" t="inlineStr"/>
    </row>
    <row r="994" ht="15" customHeight="1" s="28">
      <c r="A994" s="182" t="n">
        <v>984</v>
      </c>
      <c r="B994" s="182" t="n">
        <v>983</v>
      </c>
      <c r="C994" s="182" t="n">
        <v>4578.16</v>
      </c>
      <c r="D994" s="182" t="n">
        <v>4554.3153</v>
      </c>
      <c r="E994" s="182" t="n">
        <v>23.8447</v>
      </c>
      <c r="F994" s="182" t="n">
        <v>568.5692</v>
      </c>
      <c r="G994" s="182" t="n">
        <v>966289</v>
      </c>
      <c r="H994" s="182" t="inlineStr"/>
      <c r="I994" s="182" t="inlineStr"/>
    </row>
    <row r="995" ht="15" customHeight="1" s="28">
      <c r="A995" s="181" t="n">
        <v>985</v>
      </c>
      <c r="B995" s="181" t="n">
        <v>984</v>
      </c>
      <c r="C995" s="181" t="n">
        <v>4574.06</v>
      </c>
      <c r="D995" s="181" t="n">
        <v>4554.0477</v>
      </c>
      <c r="E995" s="181" t="n">
        <v>20.0123</v>
      </c>
      <c r="F995" s="181" t="n">
        <v>400.4922</v>
      </c>
      <c r="G995" s="181" t="n">
        <v>968256</v>
      </c>
      <c r="H995" s="181" t="inlineStr"/>
      <c r="I995" s="181" t="inlineStr"/>
    </row>
    <row r="996" ht="15" customHeight="1" s="28">
      <c r="A996" s="182" t="n">
        <v>986</v>
      </c>
      <c r="B996" s="182" t="n">
        <v>985</v>
      </c>
      <c r="C996" s="182" t="n">
        <v>4567.37</v>
      </c>
      <c r="D996" s="182" t="n">
        <v>4553.7801</v>
      </c>
      <c r="E996" s="182" t="n">
        <v>13.5899</v>
      </c>
      <c r="F996" s="182" t="n">
        <v>184.6854</v>
      </c>
      <c r="G996" s="182" t="n">
        <v>970225</v>
      </c>
      <c r="H996" s="182" t="inlineStr"/>
      <c r="I996" s="182" t="inlineStr"/>
    </row>
    <row r="997" ht="15" customHeight="1" s="28">
      <c r="A997" s="181" t="n">
        <v>987</v>
      </c>
      <c r="B997" s="181" t="n">
        <v>986</v>
      </c>
      <c r="C997" s="181" t="n">
        <v>4571.29</v>
      </c>
      <c r="D997" s="181" t="n">
        <v>4553.5125</v>
      </c>
      <c r="E997" s="181" t="n">
        <v>17.7775</v>
      </c>
      <c r="F997" s="181" t="n">
        <v>316.0395</v>
      </c>
      <c r="G997" s="181" t="n">
        <v>972196</v>
      </c>
      <c r="H997" s="181" t="inlineStr"/>
      <c r="I997" s="181" t="inlineStr"/>
    </row>
    <row r="998" ht="15" customHeight="1" s="28">
      <c r="A998" s="182" t="n">
        <v>988</v>
      </c>
      <c r="B998" s="182" t="n">
        <v>987</v>
      </c>
      <c r="C998" s="182" t="n">
        <v>4568.51</v>
      </c>
      <c r="D998" s="182" t="n">
        <v>4553.2449</v>
      </c>
      <c r="E998" s="182" t="n">
        <v>15.2651</v>
      </c>
      <c r="F998" s="182" t="n">
        <v>233.0236</v>
      </c>
      <c r="G998" s="182" t="n">
        <v>974169</v>
      </c>
      <c r="H998" s="182" t="inlineStr"/>
      <c r="I998" s="182" t="inlineStr"/>
    </row>
    <row r="999" ht="15" customHeight="1" s="28">
      <c r="A999" s="181" t="n">
        <v>989</v>
      </c>
      <c r="B999" s="181" t="n">
        <v>988</v>
      </c>
      <c r="C999" s="181" t="n">
        <v>4565.87</v>
      </c>
      <c r="D999" s="181" t="n">
        <v>4552.9773</v>
      </c>
      <c r="E999" s="181" t="n">
        <v>12.8927</v>
      </c>
      <c r="F999" s="181" t="n">
        <v>166.222</v>
      </c>
      <c r="G999" s="181" t="n">
        <v>976144</v>
      </c>
      <c r="H999" s="181" t="inlineStr"/>
      <c r="I999" s="181" t="inlineStr"/>
    </row>
    <row r="1000" ht="15" customHeight="1" s="28">
      <c r="A1000" s="182" t="n">
        <v>990</v>
      </c>
      <c r="B1000" s="182" t="n">
        <v>989</v>
      </c>
      <c r="C1000" s="182" t="n">
        <v>4569.29</v>
      </c>
      <c r="D1000" s="182" t="n">
        <v>4552.7097</v>
      </c>
      <c r="E1000" s="182" t="n">
        <v>16.5803</v>
      </c>
      <c r="F1000" s="182" t="n">
        <v>274.907</v>
      </c>
      <c r="G1000" s="182" t="n">
        <v>978121</v>
      </c>
      <c r="H1000" s="182" t="inlineStr"/>
      <c r="I1000" s="182" t="inlineStr"/>
    </row>
    <row r="1001" ht="15" customHeight="1" s="28">
      <c r="A1001" s="181" t="n">
        <v>991</v>
      </c>
      <c r="B1001" s="181" t="n">
        <v>990</v>
      </c>
      <c r="C1001" s="181" t="n">
        <v>4570.62</v>
      </c>
      <c r="D1001" s="181" t="n">
        <v>4552.4421</v>
      </c>
      <c r="E1001" s="181" t="n">
        <v>18.1779</v>
      </c>
      <c r="F1001" s="181" t="n">
        <v>330.4368</v>
      </c>
      <c r="G1001" s="181" t="n">
        <v>980100</v>
      </c>
      <c r="H1001" s="181" t="inlineStr"/>
      <c r="I1001" s="181" t="inlineStr"/>
    </row>
    <row r="1002" ht="15" customHeight="1" s="28">
      <c r="A1002" s="182" t="n">
        <v>992</v>
      </c>
      <c r="B1002" s="182" t="n">
        <v>991</v>
      </c>
      <c r="C1002" s="182" t="n">
        <v>4563.12</v>
      </c>
      <c r="D1002" s="182" t="n">
        <v>4552.1745</v>
      </c>
      <c r="E1002" s="182" t="n">
        <v>10.9455</v>
      </c>
      <c r="F1002" s="182" t="n">
        <v>119.8046</v>
      </c>
      <c r="G1002" s="182" t="n">
        <v>982081</v>
      </c>
      <c r="H1002" s="182" t="inlineStr"/>
      <c r="I1002" s="182" t="inlineStr"/>
    </row>
    <row r="1003" ht="15" customHeight="1" s="28">
      <c r="A1003" s="181" t="n">
        <v>993</v>
      </c>
      <c r="B1003" s="181" t="n">
        <v>992</v>
      </c>
      <c r="C1003" s="181" t="n">
        <v>4566.78</v>
      </c>
      <c r="D1003" s="181" t="n">
        <v>4551.9069</v>
      </c>
      <c r="E1003" s="181" t="n">
        <v>14.8731</v>
      </c>
      <c r="F1003" s="181" t="n">
        <v>221.21</v>
      </c>
      <c r="G1003" s="181" t="n">
        <v>984064</v>
      </c>
      <c r="H1003" s="181" t="inlineStr"/>
      <c r="I1003" s="181" t="inlineStr"/>
    </row>
    <row r="1004" ht="15" customHeight="1" s="28">
      <c r="A1004" s="182" t="n">
        <v>994</v>
      </c>
      <c r="B1004" s="182" t="n">
        <v>993</v>
      </c>
      <c r="C1004" s="182" t="n">
        <v>4572.18</v>
      </c>
      <c r="D1004" s="182" t="n">
        <v>4551.6393</v>
      </c>
      <c r="E1004" s="182" t="n">
        <v>20.5407</v>
      </c>
      <c r="F1004" s="182" t="n">
        <v>421.9216</v>
      </c>
      <c r="G1004" s="182" t="n">
        <v>986049</v>
      </c>
      <c r="H1004" s="182" t="inlineStr"/>
      <c r="I1004" s="182" t="inlineStr"/>
    </row>
    <row r="1005" ht="15" customHeight="1" s="28">
      <c r="A1005" s="181" t="n">
        <v>995</v>
      </c>
      <c r="B1005" s="181" t="n">
        <v>994</v>
      </c>
      <c r="C1005" s="181" t="n">
        <v>4570.49</v>
      </c>
      <c r="D1005" s="181" t="n">
        <v>4551.3717</v>
      </c>
      <c r="E1005" s="181" t="n">
        <v>19.1183</v>
      </c>
      <c r="F1005" s="181" t="n">
        <v>365.5109</v>
      </c>
      <c r="G1005" s="181" t="n">
        <v>988036</v>
      </c>
      <c r="H1005" s="181" t="inlineStr"/>
      <c r="I1005" s="181" t="inlineStr"/>
    </row>
    <row r="1006" ht="15" customHeight="1" s="28">
      <c r="A1006" s="182" t="n">
        <v>996</v>
      </c>
      <c r="B1006" s="182" t="n">
        <v>995</v>
      </c>
      <c r="C1006" s="182" t="n">
        <v>4566.67</v>
      </c>
      <c r="D1006" s="182" t="n">
        <v>4551.1041</v>
      </c>
      <c r="E1006" s="182" t="n">
        <v>15.5659</v>
      </c>
      <c r="F1006" s="182" t="n">
        <v>242.2985</v>
      </c>
      <c r="G1006" s="182" t="n">
        <v>990025</v>
      </c>
      <c r="H1006" s="182" t="inlineStr"/>
      <c r="I1006" s="182" t="inlineStr"/>
    </row>
    <row r="1007" ht="15" customHeight="1" s="28">
      <c r="A1007" s="181" t="n">
        <v>997</v>
      </c>
      <c r="B1007" s="181" t="n">
        <v>996</v>
      </c>
      <c r="C1007" s="181" t="n">
        <v>4565.94</v>
      </c>
      <c r="D1007" s="181" t="n">
        <v>4550.8364</v>
      </c>
      <c r="E1007" s="181" t="n">
        <v>15.1035</v>
      </c>
      <c r="F1007" s="181" t="n">
        <v>228.1172</v>
      </c>
      <c r="G1007" s="181" t="n">
        <v>992016</v>
      </c>
      <c r="H1007" s="181" t="inlineStr"/>
      <c r="I1007" s="181" t="inlineStr"/>
    </row>
    <row r="1008" ht="15" customHeight="1" s="28">
      <c r="A1008" s="182" t="n">
        <v>998</v>
      </c>
      <c r="B1008" s="182" t="n">
        <v>997</v>
      </c>
      <c r="C1008" s="182" t="n">
        <v>4572.03</v>
      </c>
      <c r="D1008" s="182" t="n">
        <v>4550.5688</v>
      </c>
      <c r="E1008" s="182" t="n">
        <v>21.4612</v>
      </c>
      <c r="F1008" s="182" t="n">
        <v>460.581</v>
      </c>
      <c r="G1008" s="182" t="n">
        <v>994009</v>
      </c>
      <c r="H1008" s="182" t="inlineStr"/>
      <c r="I1008" s="182" t="inlineStr"/>
    </row>
    <row r="1009" ht="15" customHeight="1" s="28">
      <c r="A1009" s="181" t="n">
        <v>999</v>
      </c>
      <c r="B1009" s="181" t="n">
        <v>998</v>
      </c>
      <c r="C1009" s="181" t="n">
        <v>4575.75</v>
      </c>
      <c r="D1009" s="181" t="n">
        <v>4550.3013</v>
      </c>
      <c r="E1009" s="181" t="n">
        <v>25.4487</v>
      </c>
      <c r="F1009" s="181" t="n">
        <v>647.6389</v>
      </c>
      <c r="G1009" s="181" t="n">
        <v>996004</v>
      </c>
      <c r="H1009" s="181" t="inlineStr"/>
      <c r="I1009" s="181" t="inlineStr"/>
    </row>
    <row r="1010" ht="15" customHeight="1" s="28">
      <c r="A1010" s="182" t="n">
        <v>1000</v>
      </c>
      <c r="B1010" s="182" t="n">
        <v>999</v>
      </c>
      <c r="C1010" s="182" t="n">
        <v>4578.84</v>
      </c>
      <c r="D1010" s="182" t="n">
        <v>4550.0336</v>
      </c>
      <c r="E1010" s="182" t="n">
        <v>28.8064</v>
      </c>
      <c r="F1010" s="182" t="n">
        <v>829.8064000000001</v>
      </c>
      <c r="G1010" s="182" t="n">
        <v>998001</v>
      </c>
      <c r="H1010" s="182" t="inlineStr"/>
      <c r="I1010" s="182" t="inlineStr"/>
    </row>
    <row r="1011" ht="15" customHeight="1" s="28">
      <c r="A1011" s="181" t="n">
        <v>1001</v>
      </c>
      <c r="B1011" s="181" t="n">
        <v>1000</v>
      </c>
      <c r="C1011" s="181" t="n">
        <v>4584.86</v>
      </c>
      <c r="D1011" s="181" t="n">
        <v>4549.766</v>
      </c>
      <c r="E1011" s="181" t="n">
        <v>35.094</v>
      </c>
      <c r="F1011" s="181" t="n">
        <v>1231.586</v>
      </c>
      <c r="G1011" s="181" t="n">
        <v>1000000</v>
      </c>
      <c r="H1011" s="181" t="inlineStr"/>
      <c r="I1011" s="181" t="inlineStr"/>
    </row>
    <row r="1012" ht="15" customHeight="1" s="28">
      <c r="A1012" s="182" t="n">
        <v>1002</v>
      </c>
      <c r="B1012" s="182" t="n">
        <v>1001</v>
      </c>
      <c r="C1012" s="182" t="n">
        <v>4602.95</v>
      </c>
      <c r="D1012" s="182" t="n">
        <v>4549.4984</v>
      </c>
      <c r="E1012" s="182" t="n">
        <v>53.4516</v>
      </c>
      <c r="F1012" s="182" t="n">
        <v>2857.0703</v>
      </c>
      <c r="G1012" s="182" t="n">
        <v>1002001</v>
      </c>
      <c r="H1012" s="182" t="inlineStr"/>
      <c r="I1012" s="182" t="inlineStr"/>
    </row>
    <row r="1013" ht="15" customHeight="1" s="28">
      <c r="A1013" s="181" t="n">
        <v>1003</v>
      </c>
      <c r="B1013" s="181" t="n">
        <v>1002</v>
      </c>
      <c r="C1013" s="181" t="n">
        <v>4591.95</v>
      </c>
      <c r="D1013" s="181" t="n">
        <v>4549.2308</v>
      </c>
      <c r="E1013" s="181" t="n">
        <v>42.7192</v>
      </c>
      <c r="F1013" s="181" t="n">
        <v>1824.9275</v>
      </c>
      <c r="G1013" s="181" t="n">
        <v>1004004</v>
      </c>
      <c r="H1013" s="181" t="inlineStr"/>
      <c r="I1013" s="181" t="inlineStr"/>
    </row>
    <row r="1014" ht="15" customHeight="1" s="28">
      <c r="A1014" s="182" t="n">
        <v>1004</v>
      </c>
      <c r="B1014" s="182" t="n">
        <v>1003</v>
      </c>
      <c r="C1014" s="182" t="n">
        <v>4591.18</v>
      </c>
      <c r="D1014" s="182" t="n">
        <v>4548.9632</v>
      </c>
      <c r="E1014" s="182" t="n">
        <v>42.2168</v>
      </c>
      <c r="F1014" s="182" t="n">
        <v>1782.2557</v>
      </c>
      <c r="G1014" s="182" t="n">
        <v>1006009</v>
      </c>
      <c r="H1014" s="182" t="inlineStr"/>
      <c r="I1014" s="182" t="inlineStr"/>
    </row>
    <row r="1015" ht="15" customHeight="1" s="28">
      <c r="A1015" s="181" t="n">
        <v>1005</v>
      </c>
      <c r="B1015" s="181" t="n">
        <v>1004</v>
      </c>
      <c r="C1015" s="181" t="n">
        <v>4591.32</v>
      </c>
      <c r="D1015" s="181" t="n">
        <v>4548.6956</v>
      </c>
      <c r="E1015" s="181" t="n">
        <v>42.6244</v>
      </c>
      <c r="F1015" s="181" t="n">
        <v>1816.8378</v>
      </c>
      <c r="G1015" s="181" t="n">
        <v>1008016</v>
      </c>
      <c r="H1015" s="181" t="inlineStr"/>
      <c r="I1015" s="181" t="inlineStr"/>
    </row>
    <row r="1016" ht="15" customHeight="1" s="28">
      <c r="A1016" s="182" t="n">
        <v>1006</v>
      </c>
      <c r="B1016" s="182" t="n">
        <v>1005</v>
      </c>
      <c r="C1016" s="182" t="n">
        <v>4589.2</v>
      </c>
      <c r="D1016" s="182" t="n">
        <v>4548.428</v>
      </c>
      <c r="E1016" s="182" t="n">
        <v>40.772</v>
      </c>
      <c r="F1016" s="182" t="n">
        <v>1662.3544</v>
      </c>
      <c r="G1016" s="182" t="n">
        <v>1010025</v>
      </c>
      <c r="H1016" s="182" t="inlineStr"/>
      <c r="I1016" s="182" t="inlineStr"/>
    </row>
    <row r="1017" ht="15" customHeight="1" s="28">
      <c r="A1017" s="181" t="n">
        <v>1007</v>
      </c>
      <c r="B1017" s="181" t="n">
        <v>1006</v>
      </c>
      <c r="C1017" s="181" t="n">
        <v>4608.07</v>
      </c>
      <c r="D1017" s="181" t="n">
        <v>4548.1604</v>
      </c>
      <c r="E1017" s="181" t="n">
        <v>59.9096</v>
      </c>
      <c r="F1017" s="181" t="n">
        <v>3589.159</v>
      </c>
      <c r="G1017" s="181" t="n">
        <v>1012036</v>
      </c>
      <c r="H1017" s="181" t="inlineStr"/>
      <c r="I1017" s="181" t="inlineStr"/>
    </row>
    <row r="1018" ht="15" customHeight="1" s="28">
      <c r="A1018" s="182" t="n">
        <v>1008</v>
      </c>
      <c r="B1018" s="182" t="n">
        <v>1007</v>
      </c>
      <c r="C1018" s="182" t="n">
        <v>4625.7</v>
      </c>
      <c r="D1018" s="182" t="n">
        <v>4547.8928</v>
      </c>
      <c r="E1018" s="182" t="n">
        <v>77.80719999999999</v>
      </c>
      <c r="F1018" s="182" t="n">
        <v>6053.9588</v>
      </c>
      <c r="G1018" s="182" t="n">
        <v>1014049</v>
      </c>
      <c r="H1018" s="182" t="inlineStr"/>
      <c r="I1018" s="182" t="inlineStr"/>
    </row>
    <row r="1019" ht="15" customHeight="1" s="28">
      <c r="A1019" s="181" t="n">
        <v>1009</v>
      </c>
      <c r="B1019" s="181" t="n">
        <v>1008</v>
      </c>
      <c r="C1019" s="181" t="n">
        <v>4656.06</v>
      </c>
      <c r="D1019" s="181" t="n">
        <v>4547.6252</v>
      </c>
      <c r="E1019" s="181" t="n">
        <v>108.4348</v>
      </c>
      <c r="F1019" s="181" t="n">
        <v>11758.1037</v>
      </c>
      <c r="G1019" s="181" t="n">
        <v>1016064</v>
      </c>
      <c r="H1019" s="181" t="inlineStr"/>
      <c r="I1019" s="181" t="inlineStr"/>
    </row>
    <row r="1020" ht="15" customHeight="1" s="28">
      <c r="A1020" s="182" t="n">
        <v>1010</v>
      </c>
      <c r="B1020" s="182" t="n">
        <v>1009</v>
      </c>
      <c r="C1020" s="182" t="n">
        <v>4644.67</v>
      </c>
      <c r="D1020" s="182" t="n">
        <v>4547.3576</v>
      </c>
      <c r="E1020" s="182" t="n">
        <v>97.3124</v>
      </c>
      <c r="F1020" s="182" t="n">
        <v>9469.7032</v>
      </c>
      <c r="G1020" s="182" t="n">
        <v>1018081</v>
      </c>
      <c r="H1020" s="182" t="inlineStr"/>
      <c r="I1020" s="182" t="inlineStr"/>
    </row>
    <row r="1021" ht="15" customHeight="1" s="28">
      <c r="A1021" s="181" t="n">
        <v>1011</v>
      </c>
      <c r="B1021" s="181" t="n">
        <v>1010</v>
      </c>
      <c r="C1021" s="181" t="n">
        <v>4633.23</v>
      </c>
      <c r="D1021" s="181" t="n">
        <v>4547.09</v>
      </c>
      <c r="E1021" s="181" t="n">
        <v>86.14</v>
      </c>
      <c r="F1021" s="181" t="n">
        <v>7420.0996</v>
      </c>
      <c r="G1021" s="181" t="n">
        <v>1020100</v>
      </c>
      <c r="H1021" s="181" t="inlineStr"/>
      <c r="I1021" s="181" t="inlineStr"/>
    </row>
    <row r="1022" ht="15" customHeight="1" s="28">
      <c r="A1022" s="182" t="n">
        <v>1012</v>
      </c>
      <c r="B1022" s="182" t="n">
        <v>1011</v>
      </c>
      <c r="C1022" s="182" t="n">
        <v>4632.21</v>
      </c>
      <c r="D1022" s="182" t="n">
        <v>4546.8224</v>
      </c>
      <c r="E1022" s="182" t="n">
        <v>85.38760000000001</v>
      </c>
      <c r="F1022" s="182" t="n">
        <v>7291.0439</v>
      </c>
      <c r="G1022" s="182" t="n">
        <v>1022121</v>
      </c>
      <c r="H1022" s="182" t="inlineStr"/>
      <c r="I1022" s="182" t="inlineStr"/>
    </row>
    <row r="1023" ht="15" customHeight="1" s="28">
      <c r="A1023" s="181" t="n">
        <v>1013</v>
      </c>
      <c r="B1023" s="181" t="n">
        <v>1012</v>
      </c>
      <c r="C1023" s="181" t="n">
        <v>4636.58</v>
      </c>
      <c r="D1023" s="181" t="n">
        <v>4546.5548</v>
      </c>
      <c r="E1023" s="181" t="n">
        <v>90.0252</v>
      </c>
      <c r="F1023" s="181" t="n">
        <v>8104.5384</v>
      </c>
      <c r="G1023" s="181" t="n">
        <v>1024144</v>
      </c>
      <c r="H1023" s="181" t="inlineStr"/>
      <c r="I1023" s="181" t="inlineStr"/>
    </row>
    <row r="1024" ht="15" customHeight="1" s="28">
      <c r="A1024" s="182" t="n">
        <v>1014</v>
      </c>
      <c r="B1024" s="182" t="n">
        <v>1013</v>
      </c>
      <c r="C1024" s="182" t="n">
        <v>4636.46</v>
      </c>
      <c r="D1024" s="182" t="n">
        <v>4546.2872</v>
      </c>
      <c r="E1024" s="182" t="n">
        <v>90.1728</v>
      </c>
      <c r="F1024" s="182" t="n">
        <v>8131.1375</v>
      </c>
      <c r="G1024" s="182" t="n">
        <v>1026169</v>
      </c>
      <c r="H1024" s="182" t="inlineStr"/>
      <c r="I1024" s="182" t="inlineStr"/>
    </row>
    <row r="1025" ht="15" customHeight="1" s="28">
      <c r="A1025" s="181" t="n">
        <v>1015</v>
      </c>
      <c r="B1025" s="181" t="n">
        <v>1014</v>
      </c>
      <c r="C1025" s="181" t="n">
        <v>4643.6</v>
      </c>
      <c r="D1025" s="181" t="n">
        <v>4546.0196</v>
      </c>
      <c r="E1025" s="181" t="n">
        <v>97.5804</v>
      </c>
      <c r="F1025" s="181" t="n">
        <v>9521.938399999999</v>
      </c>
      <c r="G1025" s="181" t="n">
        <v>1028196</v>
      </c>
      <c r="H1025" s="181" t="inlineStr"/>
      <c r="I1025" s="181" t="inlineStr"/>
    </row>
    <row r="1026" ht="15" customHeight="1" s="28">
      <c r="A1026" s="182" t="n">
        <v>1016</v>
      </c>
      <c r="B1026" s="182" t="n">
        <v>1015</v>
      </c>
      <c r="C1026" s="182" t="n">
        <v>4643.3</v>
      </c>
      <c r="D1026" s="182" t="n">
        <v>4545.752</v>
      </c>
      <c r="E1026" s="182" t="n">
        <v>97.548</v>
      </c>
      <c r="F1026" s="182" t="n">
        <v>9515.6162</v>
      </c>
      <c r="G1026" s="182" t="n">
        <v>1030225</v>
      </c>
      <c r="H1026" s="182" t="inlineStr"/>
      <c r="I1026" s="182" t="inlineStr"/>
    </row>
    <row r="1027" ht="15" customHeight="1" s="28">
      <c r="A1027" s="181" t="n">
        <v>1017</v>
      </c>
      <c r="B1027" s="181" t="n">
        <v>1016</v>
      </c>
      <c r="C1027" s="181" t="n">
        <v>4642.75</v>
      </c>
      <c r="D1027" s="181" t="n">
        <v>4545.4844</v>
      </c>
      <c r="E1027" s="181" t="n">
        <v>97.26560000000001</v>
      </c>
      <c r="F1027" s="181" t="n">
        <v>9460.602800000001</v>
      </c>
      <c r="G1027" s="181" t="n">
        <v>1032256</v>
      </c>
      <c r="H1027" s="181" t="inlineStr"/>
      <c r="I1027" s="181" t="inlineStr"/>
    </row>
    <row r="1028" ht="15" customHeight="1" s="28">
      <c r="A1028" s="182" t="n">
        <v>1018</v>
      </c>
      <c r="B1028" s="182" t="n">
        <v>1017</v>
      </c>
      <c r="C1028" s="182" t="n">
        <v>4637.96</v>
      </c>
      <c r="D1028" s="182" t="n">
        <v>4545.2168</v>
      </c>
      <c r="E1028" s="182" t="n">
        <v>92.7432</v>
      </c>
      <c r="F1028" s="182" t="n">
        <v>8601.306699999999</v>
      </c>
      <c r="G1028" s="182" t="n">
        <v>1034289</v>
      </c>
      <c r="H1028" s="182" t="inlineStr"/>
      <c r="I1028" s="182" t="inlineStr"/>
    </row>
    <row r="1029" ht="15" customHeight="1" s="28">
      <c r="A1029" s="181" t="n">
        <v>1019</v>
      </c>
      <c r="B1029" s="181" t="n">
        <v>1018</v>
      </c>
      <c r="C1029" s="181" t="n">
        <v>4638.86</v>
      </c>
      <c r="D1029" s="181" t="n">
        <v>4544.9492</v>
      </c>
      <c r="E1029" s="181" t="n">
        <v>93.91079999999999</v>
      </c>
      <c r="F1029" s="181" t="n">
        <v>8819.2459</v>
      </c>
      <c r="G1029" s="181" t="n">
        <v>1036324</v>
      </c>
      <c r="H1029" s="181" t="inlineStr"/>
      <c r="I1029" s="181" t="inlineStr"/>
    </row>
    <row r="1030" ht="15" customHeight="1" s="28">
      <c r="A1030" s="182" t="n">
        <v>1020</v>
      </c>
      <c r="B1030" s="182" t="n">
        <v>1019</v>
      </c>
      <c r="C1030" s="182" t="n">
        <v>4638.72</v>
      </c>
      <c r="D1030" s="182" t="n">
        <v>4544.6816</v>
      </c>
      <c r="E1030" s="182" t="n">
        <v>94.0384</v>
      </c>
      <c r="F1030" s="182" t="n">
        <v>8843.2282</v>
      </c>
      <c r="G1030" s="182" t="n">
        <v>1038361</v>
      </c>
      <c r="H1030" s="182" t="inlineStr"/>
      <c r="I1030" s="182" t="inlineStr"/>
    </row>
    <row r="1031" ht="15" customHeight="1" s="28">
      <c r="A1031" s="181" t="n">
        <v>1021</v>
      </c>
      <c r="B1031" s="181" t="n">
        <v>1020</v>
      </c>
      <c r="C1031" s="181" t="n">
        <v>4639.73</v>
      </c>
      <c r="D1031" s="181" t="n">
        <v>4544.414</v>
      </c>
      <c r="E1031" s="181" t="n">
        <v>95.316</v>
      </c>
      <c r="F1031" s="181" t="n">
        <v>9085.147499999999</v>
      </c>
      <c r="G1031" s="181" t="n">
        <v>1040400</v>
      </c>
      <c r="H1031" s="181" t="inlineStr"/>
      <c r="I1031" s="181" t="inlineStr"/>
    </row>
    <row r="1032" ht="15" customHeight="1" s="28">
      <c r="A1032" s="182" t="n">
        <v>1022</v>
      </c>
      <c r="B1032" s="182" t="n">
        <v>1021</v>
      </c>
      <c r="C1032" s="182" t="n">
        <v>4631.67</v>
      </c>
      <c r="D1032" s="182" t="n">
        <v>4544.1463</v>
      </c>
      <c r="E1032" s="182" t="n">
        <v>87.52370000000001</v>
      </c>
      <c r="F1032" s="182" t="n">
        <v>7660.3893</v>
      </c>
      <c r="G1032" s="182" t="n">
        <v>1042441</v>
      </c>
      <c r="H1032" s="182" t="inlineStr"/>
      <c r="I1032" s="182" t="inlineStr"/>
    </row>
    <row r="1033" ht="15" customHeight="1" s="28">
      <c r="A1033" s="181" t="n">
        <v>1023</v>
      </c>
      <c r="B1033" s="181" t="n">
        <v>1022</v>
      </c>
      <c r="C1033" s="181" t="n">
        <v>4628</v>
      </c>
      <c r="D1033" s="181" t="n">
        <v>4543.8787</v>
      </c>
      <c r="E1033" s="181" t="n">
        <v>84.12130000000001</v>
      </c>
      <c r="F1033" s="181" t="n">
        <v>7076.3847</v>
      </c>
      <c r="G1033" s="181" t="n">
        <v>1044484</v>
      </c>
      <c r="H1033" s="181" t="inlineStr"/>
      <c r="I1033" s="181" t="inlineStr"/>
    </row>
    <row r="1034" ht="15" customHeight="1" s="28">
      <c r="A1034" s="182" t="n">
        <v>1024</v>
      </c>
      <c r="B1034" s="182" t="n">
        <v>1023</v>
      </c>
      <c r="C1034" s="182" t="n">
        <v>4629.43</v>
      </c>
      <c r="D1034" s="182" t="n">
        <v>4543.6111</v>
      </c>
      <c r="E1034" s="182" t="n">
        <v>85.8189</v>
      </c>
      <c r="F1034" s="182" t="n">
        <v>7364.8767</v>
      </c>
      <c r="G1034" s="182" t="n">
        <v>1046529</v>
      </c>
      <c r="H1034" s="182" t="inlineStr"/>
      <c r="I1034" s="182" t="inlineStr"/>
    </row>
    <row r="1035" ht="15" customHeight="1" s="28">
      <c r="A1035" s="181" t="n">
        <v>1025</v>
      </c>
      <c r="B1035" s="181" t="n">
        <v>1024</v>
      </c>
      <c r="C1035" s="181" t="n">
        <v>4615.72</v>
      </c>
      <c r="D1035" s="181" t="n">
        <v>4543.3435</v>
      </c>
      <c r="E1035" s="181" t="n">
        <v>72.37649999999999</v>
      </c>
      <c r="F1035" s="181" t="n">
        <v>5238.352</v>
      </c>
      <c r="G1035" s="181" t="n">
        <v>1048576</v>
      </c>
      <c r="H1035" s="181" t="inlineStr"/>
      <c r="I1035" s="181" t="inlineStr"/>
    </row>
    <row r="1036" ht="15" customHeight="1" s="28">
      <c r="A1036" s="182" t="n">
        <v>1026</v>
      </c>
      <c r="B1036" s="182" t="n">
        <v>1025</v>
      </c>
      <c r="C1036" s="182" t="n">
        <v>4623.48</v>
      </c>
      <c r="D1036" s="182" t="n">
        <v>4543.0759</v>
      </c>
      <c r="E1036" s="182" t="n">
        <v>80.4041</v>
      </c>
      <c r="F1036" s="182" t="n">
        <v>6464.8129</v>
      </c>
      <c r="G1036" s="182" t="n">
        <v>1050625</v>
      </c>
      <c r="H1036" s="182" t="inlineStr"/>
      <c r="I1036" s="182" t="inlineStr"/>
    </row>
    <row r="1037" ht="15" customHeight="1" s="28">
      <c r="A1037" s="181" t="n">
        <v>1027</v>
      </c>
      <c r="B1037" s="181" t="n">
        <v>1026</v>
      </c>
      <c r="C1037" s="181" t="n">
        <v>4622.32</v>
      </c>
      <c r="D1037" s="181" t="n">
        <v>4542.8083</v>
      </c>
      <c r="E1037" s="181" t="n">
        <v>79.5117</v>
      </c>
      <c r="F1037" s="181" t="n">
        <v>6322.1057</v>
      </c>
      <c r="G1037" s="181" t="n">
        <v>1052676</v>
      </c>
      <c r="H1037" s="181" t="inlineStr"/>
      <c r="I1037" s="181" t="inlineStr"/>
    </row>
    <row r="1038" ht="15" customHeight="1" s="28">
      <c r="A1038" s="182" t="n">
        <v>1028</v>
      </c>
      <c r="B1038" s="182" t="n">
        <v>1027</v>
      </c>
      <c r="C1038" s="182" t="n">
        <v>4624.35</v>
      </c>
      <c r="D1038" s="182" t="n">
        <v>4542.5407</v>
      </c>
      <c r="E1038" s="182" t="n">
        <v>81.80929999999999</v>
      </c>
      <c r="F1038" s="182" t="n">
        <v>6692.7567</v>
      </c>
      <c r="G1038" s="182" t="n">
        <v>1054729</v>
      </c>
      <c r="H1038" s="182" t="inlineStr"/>
      <c r="I1038" s="182" t="inlineStr"/>
    </row>
    <row r="1039" ht="15" customHeight="1" s="28">
      <c r="A1039" s="181" t="n">
        <v>1029</v>
      </c>
      <c r="B1039" s="181" t="n">
        <v>1028</v>
      </c>
      <c r="C1039" s="181" t="n">
        <v>4626.3</v>
      </c>
      <c r="D1039" s="181" t="n">
        <v>4542.2731</v>
      </c>
      <c r="E1039" s="181" t="n">
        <v>84.0269</v>
      </c>
      <c r="F1039" s="181" t="n">
        <v>7060.5166</v>
      </c>
      <c r="G1039" s="181" t="n">
        <v>1056784</v>
      </c>
      <c r="H1039" s="181" t="inlineStr"/>
      <c r="I1039" s="181" t="inlineStr"/>
    </row>
    <row r="1040" ht="15" customHeight="1" s="28">
      <c r="A1040" s="182" t="n">
        <v>1030</v>
      </c>
      <c r="B1040" s="182" t="n">
        <v>1029</v>
      </c>
      <c r="C1040" s="182" t="n">
        <v>4624.4</v>
      </c>
      <c r="D1040" s="182" t="n">
        <v>4542.0055</v>
      </c>
      <c r="E1040" s="182" t="n">
        <v>82.39449999999999</v>
      </c>
      <c r="F1040" s="182" t="n">
        <v>6788.8503</v>
      </c>
      <c r="G1040" s="182" t="n">
        <v>1058841</v>
      </c>
      <c r="H1040" s="182" t="inlineStr"/>
      <c r="I1040" s="182" t="inlineStr"/>
    </row>
    <row r="1041" ht="15" customHeight="1" s="28">
      <c r="A1041" s="181" t="n">
        <v>1031</v>
      </c>
      <c r="B1041" s="181" t="n">
        <v>1030</v>
      </c>
      <c r="C1041" s="181" t="n">
        <v>4611.78</v>
      </c>
      <c r="D1041" s="181" t="n">
        <v>4541.7379</v>
      </c>
      <c r="E1041" s="181" t="n">
        <v>70.0421</v>
      </c>
      <c r="F1041" s="181" t="n">
        <v>4905.893</v>
      </c>
      <c r="G1041" s="181" t="n">
        <v>1060900</v>
      </c>
      <c r="H1041" s="181" t="inlineStr"/>
      <c r="I1041" s="181" t="inlineStr"/>
    </row>
    <row r="1042" ht="15" customHeight="1" s="28">
      <c r="A1042" s="182" t="n">
        <v>1032</v>
      </c>
      <c r="B1042" s="182" t="n">
        <v>1031</v>
      </c>
      <c r="C1042" s="182" t="n">
        <v>4610.06</v>
      </c>
      <c r="D1042" s="182" t="n">
        <v>4541.4703</v>
      </c>
      <c r="E1042" s="182" t="n">
        <v>68.58969999999999</v>
      </c>
      <c r="F1042" s="182" t="n">
        <v>4704.5456</v>
      </c>
      <c r="G1042" s="182" t="n">
        <v>1062961</v>
      </c>
      <c r="H1042" s="182" t="inlineStr"/>
      <c r="I1042" s="182" t="inlineStr"/>
    </row>
    <row r="1043" ht="15" customHeight="1" s="28">
      <c r="A1043" s="181" t="n">
        <v>1033</v>
      </c>
      <c r="B1043" s="181" t="n">
        <v>1032</v>
      </c>
      <c r="C1043" s="181" t="n">
        <v>4611.41</v>
      </c>
      <c r="D1043" s="181" t="n">
        <v>4541.2027</v>
      </c>
      <c r="E1043" s="181" t="n">
        <v>70.2073</v>
      </c>
      <c r="F1043" s="181" t="n">
        <v>4929.0636</v>
      </c>
      <c r="G1043" s="181" t="n">
        <v>1065024</v>
      </c>
      <c r="H1043" s="181" t="inlineStr"/>
      <c r="I1043" s="181" t="inlineStr"/>
    </row>
    <row r="1044" ht="15" customHeight="1" s="28">
      <c r="A1044" s="182" t="n">
        <v>1034</v>
      </c>
      <c r="B1044" s="182" t="n">
        <v>1033</v>
      </c>
      <c r="C1044" s="182" t="n">
        <v>4613.3</v>
      </c>
      <c r="D1044" s="182" t="n">
        <v>4540.9351</v>
      </c>
      <c r="E1044" s="182" t="n">
        <v>72.36490000000001</v>
      </c>
      <c r="F1044" s="182" t="n">
        <v>5236.6788</v>
      </c>
      <c r="G1044" s="182" t="n">
        <v>1067089</v>
      </c>
      <c r="H1044" s="182" t="inlineStr"/>
      <c r="I1044" s="182" t="inlineStr"/>
    </row>
    <row r="1045" ht="15" customHeight="1" s="28">
      <c r="A1045" s="181" t="n">
        <v>1035</v>
      </c>
      <c r="B1045" s="181" t="n">
        <v>1034</v>
      </c>
      <c r="C1045" s="181" t="n">
        <v>4613.77</v>
      </c>
      <c r="D1045" s="181" t="n">
        <v>4540.6675</v>
      </c>
      <c r="E1045" s="181" t="n">
        <v>73.10250000000001</v>
      </c>
      <c r="F1045" s="181" t="n">
        <v>5343.9755</v>
      </c>
      <c r="G1045" s="181" t="n">
        <v>1069156</v>
      </c>
      <c r="H1045" s="181" t="inlineStr"/>
      <c r="I1045" s="181" t="inlineStr"/>
    </row>
    <row r="1046" ht="15" customHeight="1" s="28">
      <c r="A1046" s="182" t="n">
        <v>1036</v>
      </c>
      <c r="B1046" s="182" t="n">
        <v>1035</v>
      </c>
      <c r="C1046" s="182" t="n">
        <v>4613.98</v>
      </c>
      <c r="D1046" s="182" t="n">
        <v>4540.3999</v>
      </c>
      <c r="E1046" s="182" t="n">
        <v>73.5801</v>
      </c>
      <c r="F1046" s="182" t="n">
        <v>5414.0326</v>
      </c>
      <c r="G1046" s="182" t="n">
        <v>1071225</v>
      </c>
      <c r="H1046" s="182" t="inlineStr"/>
      <c r="I1046" s="182" t="inlineStr"/>
    </row>
    <row r="1047" ht="15" customHeight="1" s="28">
      <c r="A1047" s="181" t="n">
        <v>1037</v>
      </c>
      <c r="B1047" s="181" t="n">
        <v>1036</v>
      </c>
      <c r="C1047" s="181" t="n">
        <v>4623.11</v>
      </c>
      <c r="D1047" s="181" t="n">
        <v>4540.1323</v>
      </c>
      <c r="E1047" s="181" t="n">
        <v>82.9777</v>
      </c>
      <c r="F1047" s="181" t="n">
        <v>6885.3004</v>
      </c>
      <c r="G1047" s="181" t="n">
        <v>1073296</v>
      </c>
      <c r="H1047" s="181" t="inlineStr"/>
      <c r="I1047" s="181" t="inlineStr"/>
    </row>
    <row r="1048" ht="15" customHeight="1" s="28">
      <c r="A1048" s="182" t="n">
        <v>1038</v>
      </c>
      <c r="B1048" s="182" t="n">
        <v>1037</v>
      </c>
      <c r="C1048" s="182" t="n">
        <v>4620.91</v>
      </c>
      <c r="D1048" s="182" t="n">
        <v>4539.8647</v>
      </c>
      <c r="E1048" s="182" t="n">
        <v>81.0453</v>
      </c>
      <c r="F1048" s="182" t="n">
        <v>6568.3423</v>
      </c>
      <c r="G1048" s="182" t="n">
        <v>1075369</v>
      </c>
      <c r="H1048" s="182" t="inlineStr"/>
      <c r="I1048" s="182" t="inlineStr"/>
    </row>
    <row r="1049" ht="15" customHeight="1" s="28">
      <c r="A1049" s="181" t="n">
        <v>1039</v>
      </c>
      <c r="B1049" s="181" t="n">
        <v>1038</v>
      </c>
      <c r="C1049" s="181" t="n">
        <v>4628.2</v>
      </c>
      <c r="D1049" s="181" t="n">
        <v>4539.5971</v>
      </c>
      <c r="E1049" s="181" t="n">
        <v>88.60290000000001</v>
      </c>
      <c r="F1049" s="181" t="n">
        <v>7850.4774</v>
      </c>
      <c r="G1049" s="181" t="n">
        <v>1077444</v>
      </c>
      <c r="H1049" s="181" t="inlineStr"/>
      <c r="I1049" s="181" t="inlineStr"/>
    </row>
    <row r="1050" ht="15" customHeight="1" s="28">
      <c r="A1050" s="182" t="n">
        <v>1040</v>
      </c>
      <c r="B1050" s="182" t="n">
        <v>1039</v>
      </c>
      <c r="C1050" s="182" t="n">
        <v>4618.95</v>
      </c>
      <c r="D1050" s="182" t="n">
        <v>4539.3295</v>
      </c>
      <c r="E1050" s="182" t="n">
        <v>79.62050000000001</v>
      </c>
      <c r="F1050" s="182" t="n">
        <v>6339.4272</v>
      </c>
      <c r="G1050" s="182" t="n">
        <v>1079521</v>
      </c>
      <c r="H1050" s="182" t="inlineStr"/>
      <c r="I1050" s="182" t="inlineStr"/>
    </row>
    <row r="1051" ht="15" customHeight="1" s="28">
      <c r="A1051" s="181" t="n">
        <v>1041</v>
      </c>
      <c r="B1051" s="181" t="n">
        <v>1040</v>
      </c>
      <c r="C1051" s="181" t="n">
        <v>4615.08</v>
      </c>
      <c r="D1051" s="181" t="n">
        <v>4539.0619</v>
      </c>
      <c r="E1051" s="181" t="n">
        <v>76.0181</v>
      </c>
      <c r="F1051" s="181" t="n">
        <v>5778.7561</v>
      </c>
      <c r="G1051" s="181" t="n">
        <v>1081600</v>
      </c>
      <c r="H1051" s="181" t="inlineStr"/>
      <c r="I1051" s="181" t="inlineStr"/>
    </row>
    <row r="1052" ht="15" customHeight="1" s="28">
      <c r="A1052" s="182" t="n">
        <v>1042</v>
      </c>
      <c r="B1052" s="182" t="n">
        <v>1041</v>
      </c>
      <c r="C1052" s="182" t="n">
        <v>4617.09</v>
      </c>
      <c r="D1052" s="182" t="n">
        <v>4538.7943</v>
      </c>
      <c r="E1052" s="182" t="n">
        <v>78.2957</v>
      </c>
      <c r="F1052" s="182" t="n">
        <v>6130.2213</v>
      </c>
      <c r="G1052" s="182" t="n">
        <v>1083681</v>
      </c>
      <c r="H1052" s="182" t="inlineStr"/>
      <c r="I1052" s="182" t="inlineStr"/>
    </row>
    <row r="1053" ht="15" customHeight="1" s="28">
      <c r="A1053" s="181" t="n">
        <v>1043</v>
      </c>
      <c r="B1053" s="181" t="n">
        <v>1042</v>
      </c>
      <c r="C1053" s="181" t="n">
        <v>4613.63</v>
      </c>
      <c r="D1053" s="181" t="n">
        <v>4538.5267</v>
      </c>
      <c r="E1053" s="181" t="n">
        <v>75.1033</v>
      </c>
      <c r="F1053" s="181" t="n">
        <v>5640.5102</v>
      </c>
      <c r="G1053" s="181" t="n">
        <v>1085764</v>
      </c>
      <c r="H1053" s="181" t="inlineStr"/>
      <c r="I1053" s="181" t="inlineStr"/>
    </row>
    <row r="1054" ht="15" customHeight="1" s="28">
      <c r="A1054" s="182" t="n">
        <v>1044</v>
      </c>
      <c r="B1054" s="182" t="n">
        <v>1043</v>
      </c>
      <c r="C1054" s="182" t="n">
        <v>4613.86</v>
      </c>
      <c r="D1054" s="182" t="n">
        <v>4538.2591</v>
      </c>
      <c r="E1054" s="182" t="n">
        <v>75.6009</v>
      </c>
      <c r="F1054" s="182" t="n">
        <v>5715.5021</v>
      </c>
      <c r="G1054" s="182" t="n">
        <v>1087849</v>
      </c>
      <c r="H1054" s="182" t="inlineStr"/>
      <c r="I1054" s="182" t="inlineStr"/>
    </row>
    <row r="1055" ht="15" customHeight="1" s="28">
      <c r="A1055" s="181" t="n">
        <v>1045</v>
      </c>
      <c r="B1055" s="181" t="n">
        <v>1044</v>
      </c>
      <c r="C1055" s="181" t="n">
        <v>4612.3</v>
      </c>
      <c r="D1055" s="181" t="n">
        <v>4537.9915</v>
      </c>
      <c r="E1055" s="181" t="n">
        <v>74.3085</v>
      </c>
      <c r="F1055" s="181" t="n">
        <v>5521.7591</v>
      </c>
      <c r="G1055" s="181" t="n">
        <v>1089936</v>
      </c>
      <c r="H1055" s="181" t="inlineStr"/>
      <c r="I1055" s="181" t="inlineStr"/>
    </row>
    <row r="1056" ht="15" customHeight="1" s="28">
      <c r="A1056" s="182" t="n">
        <v>1046</v>
      </c>
      <c r="B1056" s="182" t="n">
        <v>1045</v>
      </c>
      <c r="C1056" s="182" t="n">
        <v>4606.13</v>
      </c>
      <c r="D1056" s="182" t="n">
        <v>4537.7239</v>
      </c>
      <c r="E1056" s="182" t="n">
        <v>68.4061</v>
      </c>
      <c r="F1056" s="182" t="n">
        <v>4679.4014</v>
      </c>
      <c r="G1056" s="182" t="n">
        <v>1092025</v>
      </c>
      <c r="H1056" s="182" t="inlineStr"/>
      <c r="I1056" s="182" t="inlineStr"/>
    </row>
    <row r="1057" ht="15" customHeight="1" s="28">
      <c r="A1057" s="181" t="n">
        <v>1047</v>
      </c>
      <c r="B1057" s="181" t="n">
        <v>1046</v>
      </c>
      <c r="C1057" s="181" t="n">
        <v>4605.86</v>
      </c>
      <c r="D1057" s="181" t="n">
        <v>4537.4563</v>
      </c>
      <c r="E1057" s="181" t="n">
        <v>68.4037</v>
      </c>
      <c r="F1057" s="181" t="n">
        <v>4679.073</v>
      </c>
      <c r="G1057" s="181" t="n">
        <v>1094116</v>
      </c>
      <c r="H1057" s="181" t="inlineStr"/>
      <c r="I1057" s="181" t="inlineStr"/>
    </row>
    <row r="1058" ht="15" customHeight="1" s="28">
      <c r="A1058" s="182" t="n">
        <v>1048</v>
      </c>
      <c r="B1058" s="182" t="n">
        <v>1047</v>
      </c>
      <c r="C1058" s="182" t="n">
        <v>4613.01</v>
      </c>
      <c r="D1058" s="182" t="n">
        <v>4537.1887</v>
      </c>
      <c r="E1058" s="182" t="n">
        <v>75.8214</v>
      </c>
      <c r="F1058" s="182" t="n">
        <v>5748.8771</v>
      </c>
      <c r="G1058" s="182" t="n">
        <v>1096209</v>
      </c>
      <c r="H1058" s="182" t="inlineStr"/>
      <c r="I1058" s="182" t="inlineStr"/>
    </row>
    <row r="1059" ht="15" customHeight="1" s="28">
      <c r="A1059" s="181" t="n">
        <v>1049</v>
      </c>
      <c r="B1059" s="181" t="n">
        <v>1048</v>
      </c>
      <c r="C1059" s="181" t="n">
        <v>4600.58</v>
      </c>
      <c r="D1059" s="181" t="n">
        <v>4536.921</v>
      </c>
      <c r="E1059" s="181" t="n">
        <v>63.659</v>
      </c>
      <c r="F1059" s="181" t="n">
        <v>4052.4632</v>
      </c>
      <c r="G1059" s="181" t="n">
        <v>1098304</v>
      </c>
      <c r="H1059" s="181" t="inlineStr"/>
      <c r="I1059" s="181" t="inlineStr"/>
    </row>
    <row r="1060" ht="15" customHeight="1" s="28">
      <c r="A1060" s="182" t="n">
        <v>1050</v>
      </c>
      <c r="B1060" s="182" t="n">
        <v>1049</v>
      </c>
      <c r="C1060" s="182" t="n">
        <v>4594.65</v>
      </c>
      <c r="D1060" s="182" t="n">
        <v>4536.6534</v>
      </c>
      <c r="E1060" s="182" t="n">
        <v>57.9966</v>
      </c>
      <c r="F1060" s="182" t="n">
        <v>3363.601</v>
      </c>
      <c r="G1060" s="182" t="n">
        <v>1100401</v>
      </c>
      <c r="H1060" s="182" t="inlineStr"/>
      <c r="I1060" s="182" t="inlineStr"/>
    </row>
    <row r="1061" ht="15" customHeight="1" s="28">
      <c r="A1061" s="181" t="n">
        <v>1051</v>
      </c>
      <c r="B1061" s="181" t="n">
        <v>1050</v>
      </c>
      <c r="C1061" s="181" t="n">
        <v>4601.59</v>
      </c>
      <c r="D1061" s="181" t="n">
        <v>4536.3858</v>
      </c>
      <c r="E1061" s="181" t="n">
        <v>65.2042</v>
      </c>
      <c r="F1061" s="181" t="n">
        <v>4251.5838</v>
      </c>
      <c r="G1061" s="181" t="n">
        <v>1102500</v>
      </c>
      <c r="H1061" s="181" t="inlineStr"/>
      <c r="I1061" s="181" t="inlineStr"/>
    </row>
    <row r="1062" ht="15" customHeight="1" s="28">
      <c r="A1062" s="182" t="n">
        <v>1052</v>
      </c>
      <c r="B1062" s="182" t="n">
        <v>1051</v>
      </c>
      <c r="C1062" s="182" t="n">
        <v>4613.14</v>
      </c>
      <c r="D1062" s="182" t="n">
        <v>4536.1182</v>
      </c>
      <c r="E1062" s="182" t="n">
        <v>77.0218</v>
      </c>
      <c r="F1062" s="182" t="n">
        <v>5932.3531</v>
      </c>
      <c r="G1062" s="182" t="n">
        <v>1104601</v>
      </c>
      <c r="H1062" s="182" t="inlineStr"/>
      <c r="I1062" s="182" t="inlineStr"/>
    </row>
    <row r="1063" ht="15" customHeight="1" s="28">
      <c r="A1063" s="181" t="n">
        <v>1053</v>
      </c>
      <c r="B1063" s="181" t="n">
        <v>1052</v>
      </c>
      <c r="C1063" s="181" t="n">
        <v>4608.34</v>
      </c>
      <c r="D1063" s="181" t="n">
        <v>4535.8506</v>
      </c>
      <c r="E1063" s="181" t="n">
        <v>72.4894</v>
      </c>
      <c r="F1063" s="181" t="n">
        <v>5254.7088</v>
      </c>
      <c r="G1063" s="181" t="n">
        <v>1106704</v>
      </c>
      <c r="H1063" s="181" t="inlineStr"/>
      <c r="I1063" s="181" t="inlineStr"/>
    </row>
    <row r="1064" ht="15" customHeight="1" s="28">
      <c r="A1064" s="182" t="n">
        <v>1054</v>
      </c>
      <c r="B1064" s="182" t="n">
        <v>1053</v>
      </c>
      <c r="C1064" s="182" t="n">
        <v>4593.09</v>
      </c>
      <c r="D1064" s="182" t="n">
        <v>4535.583</v>
      </c>
      <c r="E1064" s="182" t="n">
        <v>57.507</v>
      </c>
      <c r="F1064" s="182" t="n">
        <v>3307.0527</v>
      </c>
      <c r="G1064" s="182" t="n">
        <v>1108809</v>
      </c>
      <c r="H1064" s="182" t="inlineStr"/>
      <c r="I1064" s="182" t="inlineStr"/>
    </row>
    <row r="1065" ht="15" customHeight="1" s="28">
      <c r="A1065" s="181" t="n">
        <v>1055</v>
      </c>
      <c r="B1065" s="181" t="n">
        <v>1054</v>
      </c>
      <c r="C1065" s="181" t="n">
        <v>4603.32</v>
      </c>
      <c r="D1065" s="181" t="n">
        <v>4535.3154</v>
      </c>
      <c r="E1065" s="181" t="n">
        <v>68.0046</v>
      </c>
      <c r="F1065" s="181" t="n">
        <v>4624.6229</v>
      </c>
      <c r="G1065" s="181" t="n">
        <v>1110916</v>
      </c>
      <c r="H1065" s="181" t="inlineStr"/>
      <c r="I1065" s="181" t="inlineStr"/>
    </row>
    <row r="1066" ht="15" customHeight="1" s="28">
      <c r="A1066" s="182" t="n">
        <v>1056</v>
      </c>
      <c r="B1066" s="182" t="n">
        <v>1055</v>
      </c>
      <c r="C1066" s="182" t="n">
        <v>4605.77</v>
      </c>
      <c r="D1066" s="182" t="n">
        <v>4535.0478</v>
      </c>
      <c r="E1066" s="182" t="n">
        <v>70.7222</v>
      </c>
      <c r="F1066" s="182" t="n">
        <v>5001.6282</v>
      </c>
      <c r="G1066" s="182" t="n">
        <v>1113025</v>
      </c>
      <c r="H1066" s="182" t="inlineStr"/>
      <c r="I1066" s="182" t="inlineStr"/>
    </row>
    <row r="1067" ht="15" customHeight="1" s="28">
      <c r="A1067" s="181" t="n">
        <v>1057</v>
      </c>
      <c r="B1067" s="181" t="n">
        <v>1056</v>
      </c>
      <c r="C1067" s="181" t="n">
        <v>4610.07</v>
      </c>
      <c r="D1067" s="181" t="n">
        <v>4534.7802</v>
      </c>
      <c r="E1067" s="181" t="n">
        <v>75.2898</v>
      </c>
      <c r="F1067" s="181" t="n">
        <v>5668.5525</v>
      </c>
      <c r="G1067" s="181" t="n">
        <v>1115136</v>
      </c>
      <c r="H1067" s="181" t="inlineStr"/>
      <c r="I1067" s="181" t="inlineStr"/>
    </row>
    <row r="1068" ht="15" customHeight="1" s="28">
      <c r="A1068" s="182" t="n">
        <v>1058</v>
      </c>
      <c r="B1068" s="182" t="n">
        <v>1057</v>
      </c>
      <c r="C1068" s="182" t="n">
        <v>4610.27</v>
      </c>
      <c r="D1068" s="182" t="n">
        <v>4534.5126</v>
      </c>
      <c r="E1068" s="182" t="n">
        <v>75.7574</v>
      </c>
      <c r="F1068" s="182" t="n">
        <v>5739.1837</v>
      </c>
      <c r="G1068" s="182" t="n">
        <v>1117249</v>
      </c>
      <c r="H1068" s="182" t="inlineStr"/>
      <c r="I1068" s="182" t="inlineStr"/>
    </row>
    <row r="1069" ht="15" customHeight="1" s="28">
      <c r="A1069" s="181" t="n">
        <v>1059</v>
      </c>
      <c r="B1069" s="181" t="n">
        <v>1058</v>
      </c>
      <c r="C1069" s="181" t="n">
        <v>4605.07</v>
      </c>
      <c r="D1069" s="181" t="n">
        <v>4534.245</v>
      </c>
      <c r="E1069" s="181" t="n">
        <v>70.825</v>
      </c>
      <c r="F1069" s="181" t="n">
        <v>5016.1806</v>
      </c>
      <c r="G1069" s="181" t="n">
        <v>1119364</v>
      </c>
      <c r="H1069" s="181" t="inlineStr"/>
      <c r="I1069" s="181" t="inlineStr"/>
    </row>
    <row r="1070" ht="15" customHeight="1" s="28">
      <c r="A1070" s="182" t="n">
        <v>1060</v>
      </c>
      <c r="B1070" s="182" t="n">
        <v>1059</v>
      </c>
      <c r="C1070" s="182" t="n">
        <v>4615.09</v>
      </c>
      <c r="D1070" s="182" t="n">
        <v>4533.9774</v>
      </c>
      <c r="E1070" s="182" t="n">
        <v>81.1126</v>
      </c>
      <c r="F1070" s="182" t="n">
        <v>6579.2539</v>
      </c>
      <c r="G1070" s="182" t="n">
        <v>1121481</v>
      </c>
      <c r="H1070" s="182" t="inlineStr"/>
      <c r="I1070" s="182" t="inlineStr"/>
    </row>
    <row r="1071" ht="15" customHeight="1" s="28">
      <c r="A1071" s="181" t="n">
        <v>1061</v>
      </c>
      <c r="B1071" s="181" t="n">
        <v>1060</v>
      </c>
      <c r="C1071" s="181" t="n">
        <v>4611.19</v>
      </c>
      <c r="D1071" s="181" t="n">
        <v>4533.7098</v>
      </c>
      <c r="E1071" s="181" t="n">
        <v>77.4802</v>
      </c>
      <c r="F1071" s="181" t="n">
        <v>6003.1829</v>
      </c>
      <c r="G1071" s="181" t="n">
        <v>1123600</v>
      </c>
      <c r="H1071" s="181" t="inlineStr"/>
      <c r="I1071" s="181" t="inlineStr"/>
    </row>
    <row r="1072" ht="15" customHeight="1" s="28">
      <c r="A1072" s="182" t="n">
        <v>1062</v>
      </c>
      <c r="B1072" s="182" t="n">
        <v>1061</v>
      </c>
      <c r="C1072" s="182" t="n">
        <v>4608.12</v>
      </c>
      <c r="D1072" s="182" t="n">
        <v>4533.4422</v>
      </c>
      <c r="E1072" s="182" t="n">
        <v>74.6778</v>
      </c>
      <c r="F1072" s="182" t="n">
        <v>5576.7753</v>
      </c>
      <c r="G1072" s="182" t="n">
        <v>1125721</v>
      </c>
      <c r="H1072" s="182" t="inlineStr"/>
      <c r="I1072" s="182" t="inlineStr"/>
    </row>
    <row r="1073" ht="15" customHeight="1" s="28">
      <c r="A1073" s="181" t="n">
        <v>1063</v>
      </c>
      <c r="B1073" s="181" t="n">
        <v>1062</v>
      </c>
      <c r="C1073" s="181" t="n">
        <v>4609.32</v>
      </c>
      <c r="D1073" s="181" t="n">
        <v>4533.1746</v>
      </c>
      <c r="E1073" s="181" t="n">
        <v>76.1454</v>
      </c>
      <c r="F1073" s="181" t="n">
        <v>5798.125</v>
      </c>
      <c r="G1073" s="181" t="n">
        <v>1127844</v>
      </c>
      <c r="H1073" s="181" t="inlineStr"/>
      <c r="I1073" s="181" t="inlineStr"/>
    </row>
    <row r="1074" ht="15" customHeight="1" s="28">
      <c r="A1074" s="182" t="n">
        <v>1064</v>
      </c>
      <c r="B1074" s="182" t="n">
        <v>1063</v>
      </c>
      <c r="C1074" s="182" t="n">
        <v>4606</v>
      </c>
      <c r="D1074" s="182" t="n">
        <v>4532.907</v>
      </c>
      <c r="E1074" s="182" t="n">
        <v>73.093</v>
      </c>
      <c r="F1074" s="182" t="n">
        <v>5342.5896</v>
      </c>
      <c r="G1074" s="182" t="n">
        <v>1129969</v>
      </c>
      <c r="H1074" s="182" t="inlineStr"/>
      <c r="I1074" s="182" t="inlineStr"/>
    </row>
    <row r="1075" ht="15" customHeight="1" s="28">
      <c r="A1075" s="181" t="n">
        <v>1065</v>
      </c>
      <c r="B1075" s="181" t="n">
        <v>1064</v>
      </c>
      <c r="C1075" s="181" t="n">
        <v>4603.74</v>
      </c>
      <c r="D1075" s="181" t="n">
        <v>4532.6394</v>
      </c>
      <c r="E1075" s="181" t="n">
        <v>71.1006</v>
      </c>
      <c r="F1075" s="181" t="n">
        <v>5055.2982</v>
      </c>
      <c r="G1075" s="181" t="n">
        <v>1132096</v>
      </c>
      <c r="H1075" s="181" t="inlineStr"/>
      <c r="I1075" s="181" t="inlineStr"/>
    </row>
    <row r="1076" ht="15" customHeight="1" s="28">
      <c r="A1076" s="182" t="n">
        <v>1066</v>
      </c>
      <c r="B1076" s="182" t="n">
        <v>1065</v>
      </c>
      <c r="C1076" s="182" t="n">
        <v>4596.32</v>
      </c>
      <c r="D1076" s="182" t="n">
        <v>4532.3718</v>
      </c>
      <c r="E1076" s="182" t="n">
        <v>63.9482</v>
      </c>
      <c r="F1076" s="182" t="n">
        <v>4089.3761</v>
      </c>
      <c r="G1076" s="182" t="n">
        <v>1134225</v>
      </c>
      <c r="H1076" s="182" t="inlineStr"/>
      <c r="I1076" s="182" t="inlineStr"/>
    </row>
    <row r="1077" ht="15" customHeight="1" s="28">
      <c r="A1077" s="181" t="n">
        <v>1067</v>
      </c>
      <c r="B1077" s="181" t="n">
        <v>1066</v>
      </c>
      <c r="C1077" s="181" t="n">
        <v>4598.85</v>
      </c>
      <c r="D1077" s="181" t="n">
        <v>4532.1042</v>
      </c>
      <c r="E1077" s="181" t="n">
        <v>66.7458</v>
      </c>
      <c r="F1077" s="181" t="n">
        <v>4455.0058</v>
      </c>
      <c r="G1077" s="181" t="n">
        <v>1136356</v>
      </c>
      <c r="H1077" s="181" t="inlineStr"/>
      <c r="I1077" s="181" t="inlineStr"/>
    </row>
    <row r="1078" ht="15" customHeight="1" s="28">
      <c r="A1078" s="182" t="n">
        <v>1068</v>
      </c>
      <c r="B1078" s="182" t="n">
        <v>1067</v>
      </c>
      <c r="C1078" s="182" t="n">
        <v>4599.12</v>
      </c>
      <c r="D1078" s="182" t="n">
        <v>4531.8366</v>
      </c>
      <c r="E1078" s="182" t="n">
        <v>67.2834</v>
      </c>
      <c r="F1078" s="182" t="n">
        <v>4527.0613</v>
      </c>
      <c r="G1078" s="182" t="n">
        <v>1138489</v>
      </c>
      <c r="H1078" s="182" t="inlineStr"/>
      <c r="I1078" s="182" t="inlineStr"/>
    </row>
    <row r="1079" ht="15" customHeight="1" s="28">
      <c r="A1079" s="181" t="n">
        <v>1069</v>
      </c>
      <c r="B1079" s="181" t="n">
        <v>1068</v>
      </c>
      <c r="C1079" s="181" t="n">
        <v>4597.44</v>
      </c>
      <c r="D1079" s="181" t="n">
        <v>4531.569</v>
      </c>
      <c r="E1079" s="181" t="n">
        <v>65.871</v>
      </c>
      <c r="F1079" s="181" t="n">
        <v>4338.9939</v>
      </c>
      <c r="G1079" s="181" t="n">
        <v>1140624</v>
      </c>
      <c r="H1079" s="181" t="inlineStr"/>
      <c r="I1079" s="181" t="inlineStr"/>
    </row>
    <row r="1080" ht="15" customHeight="1" s="28">
      <c r="A1080" s="182" t="n">
        <v>1070</v>
      </c>
      <c r="B1080" s="182" t="n">
        <v>1069</v>
      </c>
      <c r="C1080" s="182" t="n">
        <v>4594.08</v>
      </c>
      <c r="D1080" s="182" t="n">
        <v>4531.3014</v>
      </c>
      <c r="E1080" s="182" t="n">
        <v>62.7786</v>
      </c>
      <c r="F1080" s="182" t="n">
        <v>3941.1576</v>
      </c>
      <c r="G1080" s="182" t="n">
        <v>1142761</v>
      </c>
      <c r="H1080" s="182" t="inlineStr"/>
      <c r="I1080" s="182" t="inlineStr"/>
    </row>
    <row r="1081" ht="15" customHeight="1" s="28">
      <c r="A1081" s="181" t="n">
        <v>1071</v>
      </c>
      <c r="B1081" s="181" t="n">
        <v>1070</v>
      </c>
      <c r="C1081" s="181" t="n">
        <v>4585.46</v>
      </c>
      <c r="D1081" s="181" t="n">
        <v>4531.0337</v>
      </c>
      <c r="E1081" s="181" t="n">
        <v>54.4263</v>
      </c>
      <c r="F1081" s="181" t="n">
        <v>2962.2167</v>
      </c>
      <c r="G1081" s="181" t="n">
        <v>1144900</v>
      </c>
      <c r="H1081" s="181" t="inlineStr"/>
      <c r="I1081" s="181" t="inlineStr"/>
    </row>
    <row r="1082" ht="15" customHeight="1" s="28">
      <c r="A1082" s="182" t="n">
        <v>1072</v>
      </c>
      <c r="B1082" s="182" t="n">
        <v>1071</v>
      </c>
      <c r="C1082" s="182" t="n">
        <v>4588.54</v>
      </c>
      <c r="D1082" s="182" t="n">
        <v>4530.7662</v>
      </c>
      <c r="E1082" s="182" t="n">
        <v>57.7738</v>
      </c>
      <c r="F1082" s="182" t="n">
        <v>3337.8177</v>
      </c>
      <c r="G1082" s="182" t="n">
        <v>1147041</v>
      </c>
      <c r="H1082" s="182" t="inlineStr"/>
      <c r="I1082" s="182" t="inlineStr"/>
    </row>
    <row r="1083" ht="15" customHeight="1" s="28">
      <c r="A1083" s="181" t="n">
        <v>1073</v>
      </c>
      <c r="B1083" s="181" t="n">
        <v>1072</v>
      </c>
      <c r="C1083" s="181" t="n">
        <v>4592.16</v>
      </c>
      <c r="D1083" s="181" t="n">
        <v>4530.4985</v>
      </c>
      <c r="E1083" s="181" t="n">
        <v>61.6615</v>
      </c>
      <c r="F1083" s="181" t="n">
        <v>3802.1356</v>
      </c>
      <c r="G1083" s="181" t="n">
        <v>1149184</v>
      </c>
      <c r="H1083" s="181" t="inlineStr"/>
      <c r="I1083" s="181" t="inlineStr"/>
    </row>
    <row r="1084" ht="15" customHeight="1" s="28">
      <c r="A1084" s="182" t="n">
        <v>1074</v>
      </c>
      <c r="B1084" s="182" t="n">
        <v>1073</v>
      </c>
      <c r="C1084" s="182" t="n">
        <v>4585.82</v>
      </c>
      <c r="D1084" s="182" t="n">
        <v>4530.2309</v>
      </c>
      <c r="E1084" s="182" t="n">
        <v>55.5891</v>
      </c>
      <c r="F1084" s="182" t="n">
        <v>3090.1436</v>
      </c>
      <c r="G1084" s="182" t="n">
        <v>1151329</v>
      </c>
      <c r="H1084" s="182" t="inlineStr"/>
      <c r="I1084" s="182" t="inlineStr"/>
    </row>
    <row r="1085" ht="15" customHeight="1" s="28">
      <c r="A1085" s="181" t="n">
        <v>1075</v>
      </c>
      <c r="B1085" s="181" t="n">
        <v>1074</v>
      </c>
      <c r="C1085" s="181" t="n">
        <v>4587.99</v>
      </c>
      <c r="D1085" s="181" t="n">
        <v>4529.9633</v>
      </c>
      <c r="E1085" s="181" t="n">
        <v>58.0267</v>
      </c>
      <c r="F1085" s="181" t="n">
        <v>3367.0933</v>
      </c>
      <c r="G1085" s="181" t="n">
        <v>1153476</v>
      </c>
      <c r="H1085" s="181" t="inlineStr"/>
      <c r="I1085" s="181" t="inlineStr"/>
    </row>
    <row r="1086" ht="15" customHeight="1" s="28">
      <c r="A1086" s="182" t="n">
        <v>1076</v>
      </c>
      <c r="B1086" s="182" t="n">
        <v>1075</v>
      </c>
      <c r="C1086" s="182" t="n">
        <v>4579.06</v>
      </c>
      <c r="D1086" s="182" t="n">
        <v>4529.6957</v>
      </c>
      <c r="E1086" s="182" t="n">
        <v>49.3643</v>
      </c>
      <c r="F1086" s="182" t="n">
        <v>2436.8312</v>
      </c>
      <c r="G1086" s="182" t="n">
        <v>1155625</v>
      </c>
      <c r="H1086" s="182" t="inlineStr"/>
      <c r="I1086" s="182" t="inlineStr"/>
    </row>
    <row r="1087" ht="15" customHeight="1" s="28">
      <c r="A1087" s="181" t="n">
        <v>1077</v>
      </c>
      <c r="B1087" s="181" t="n">
        <v>1076</v>
      </c>
      <c r="C1087" s="181" t="n">
        <v>4580.25</v>
      </c>
      <c r="D1087" s="181" t="n">
        <v>4529.4281</v>
      </c>
      <c r="E1087" s="181" t="n">
        <v>50.8219</v>
      </c>
      <c r="F1087" s="181" t="n">
        <v>2582.8625</v>
      </c>
      <c r="G1087" s="181" t="n">
        <v>1157776</v>
      </c>
      <c r="H1087" s="181" t="inlineStr"/>
      <c r="I1087" s="181" t="inlineStr"/>
    </row>
    <row r="1088" ht="15" customHeight="1" s="28">
      <c r="A1088" s="182" t="n">
        <v>1078</v>
      </c>
      <c r="B1088" s="182" t="n">
        <v>1077</v>
      </c>
      <c r="C1088" s="182" t="n">
        <v>4575.07</v>
      </c>
      <c r="D1088" s="182" t="n">
        <v>4529.1605</v>
      </c>
      <c r="E1088" s="182" t="n">
        <v>45.9095</v>
      </c>
      <c r="F1088" s="182" t="n">
        <v>2107.6804</v>
      </c>
      <c r="G1088" s="182" t="n">
        <v>1159929</v>
      </c>
      <c r="H1088" s="182" t="inlineStr"/>
      <c r="I1088" s="182" t="inlineStr"/>
    </row>
    <row r="1089" ht="15" customHeight="1" s="28">
      <c r="A1089" s="181" t="n">
        <v>1079</v>
      </c>
      <c r="B1089" s="181" t="n">
        <v>1078</v>
      </c>
      <c r="C1089" s="181" t="n">
        <v>4578.09</v>
      </c>
      <c r="D1089" s="181" t="n">
        <v>4528.8929</v>
      </c>
      <c r="E1089" s="181" t="n">
        <v>49.1971</v>
      </c>
      <c r="F1089" s="181" t="n">
        <v>2420.3527</v>
      </c>
      <c r="G1089" s="181" t="n">
        <v>1162084</v>
      </c>
      <c r="H1089" s="181" t="inlineStr"/>
      <c r="I1089" s="181" t="inlineStr"/>
    </row>
    <row r="1090" ht="15" customHeight="1" s="28">
      <c r="A1090" s="182" t="n">
        <v>1080</v>
      </c>
      <c r="B1090" s="182" t="n">
        <v>1079</v>
      </c>
      <c r="C1090" s="182" t="n">
        <v>4577.11</v>
      </c>
      <c r="D1090" s="182" t="n">
        <v>4528.6253</v>
      </c>
      <c r="E1090" s="182" t="n">
        <v>48.4847</v>
      </c>
      <c r="F1090" s="182" t="n">
        <v>2350.7652</v>
      </c>
      <c r="G1090" s="182" t="n">
        <v>1164241</v>
      </c>
      <c r="H1090" s="182" t="inlineStr"/>
      <c r="I1090" s="182" t="inlineStr"/>
    </row>
    <row r="1091" ht="15" customHeight="1" s="28">
      <c r="A1091" s="181" t="n">
        <v>1081</v>
      </c>
      <c r="B1091" s="181" t="n">
        <v>1080</v>
      </c>
      <c r="C1091" s="181" t="n">
        <v>4584.21</v>
      </c>
      <c r="D1091" s="181" t="n">
        <v>4528.3577</v>
      </c>
      <c r="E1091" s="181" t="n">
        <v>55.8523</v>
      </c>
      <c r="F1091" s="181" t="n">
        <v>3119.4783</v>
      </c>
      <c r="G1091" s="181" t="n">
        <v>1166400</v>
      </c>
      <c r="H1091" s="181" t="inlineStr"/>
      <c r="I1091" s="181" t="inlineStr"/>
    </row>
    <row r="1092" ht="15" customHeight="1" s="28">
      <c r="A1092" s="182" t="n">
        <v>1082</v>
      </c>
      <c r="B1092" s="182" t="n">
        <v>1081</v>
      </c>
      <c r="C1092" s="182" t="n">
        <v>4581.15</v>
      </c>
      <c r="D1092" s="182" t="n">
        <v>4528.0901</v>
      </c>
      <c r="E1092" s="182" t="n">
        <v>53.0599</v>
      </c>
      <c r="F1092" s="182" t="n">
        <v>2815.3519</v>
      </c>
      <c r="G1092" s="182" t="n">
        <v>1168561</v>
      </c>
      <c r="H1092" s="182" t="inlineStr"/>
      <c r="I1092" s="182" t="inlineStr"/>
    </row>
    <row r="1093" ht="15" customHeight="1" s="28">
      <c r="A1093" s="181" t="n">
        <v>1083</v>
      </c>
      <c r="B1093" s="181" t="n">
        <v>1082</v>
      </c>
      <c r="C1093" s="181" t="n">
        <v>4581.26</v>
      </c>
      <c r="D1093" s="181" t="n">
        <v>4527.8225</v>
      </c>
      <c r="E1093" s="181" t="n">
        <v>53.4375</v>
      </c>
      <c r="F1093" s="181" t="n">
        <v>2855.5664</v>
      </c>
      <c r="G1093" s="181" t="n">
        <v>1170724</v>
      </c>
      <c r="H1093" s="181" t="inlineStr"/>
      <c r="I1093" s="181" t="inlineStr"/>
    </row>
    <row r="1094" ht="15" customHeight="1" s="28">
      <c r="A1094" s="182" t="n">
        <v>1084</v>
      </c>
      <c r="B1094" s="182" t="n">
        <v>1083</v>
      </c>
      <c r="C1094" s="182" t="n">
        <v>4575.47</v>
      </c>
      <c r="D1094" s="182" t="n">
        <v>4527.5549</v>
      </c>
      <c r="E1094" s="182" t="n">
        <v>47.9151</v>
      </c>
      <c r="F1094" s="182" t="n">
        <v>2295.8568</v>
      </c>
      <c r="G1094" s="182" t="n">
        <v>1172889</v>
      </c>
      <c r="H1094" s="182" t="inlineStr"/>
      <c r="I1094" s="182" t="inlineStr"/>
    </row>
    <row r="1095" ht="15" customHeight="1" s="28">
      <c r="A1095" s="181" t="n">
        <v>1085</v>
      </c>
      <c r="B1095" s="181" t="n">
        <v>1084</v>
      </c>
      <c r="C1095" s="181" t="n">
        <v>4541.79</v>
      </c>
      <c r="D1095" s="181" t="n">
        <v>4527.2873</v>
      </c>
      <c r="E1095" s="181" t="n">
        <v>14.5027</v>
      </c>
      <c r="F1095" s="181" t="n">
        <v>210.3286</v>
      </c>
      <c r="G1095" s="181" t="n">
        <v>1175056</v>
      </c>
      <c r="H1095" s="181" t="inlineStr"/>
      <c r="I1095" s="181" t="inlineStr"/>
    </row>
    <row r="1096" ht="15" customHeight="1" s="28">
      <c r="A1096" s="182" t="n">
        <v>1086</v>
      </c>
      <c r="B1096" s="182" t="n">
        <v>1085</v>
      </c>
      <c r="C1096" s="182" t="n">
        <v>4545</v>
      </c>
      <c r="D1096" s="182" t="n">
        <v>4527.0197</v>
      </c>
      <c r="E1096" s="182" t="n">
        <v>17.9803</v>
      </c>
      <c r="F1096" s="182" t="n">
        <v>323.2915</v>
      </c>
      <c r="G1096" s="182" t="n">
        <v>1177225</v>
      </c>
      <c r="H1096" s="182" t="inlineStr"/>
      <c r="I1096" s="182" t="inlineStr"/>
    </row>
    <row r="1097" ht="15" customHeight="1" s="28">
      <c r="A1097" s="181" t="n">
        <v>1087</v>
      </c>
      <c r="B1097" s="181" t="n">
        <v>1086</v>
      </c>
      <c r="C1097" s="181" t="n">
        <v>4558.64</v>
      </c>
      <c r="D1097" s="181" t="n">
        <v>4526.7521</v>
      </c>
      <c r="E1097" s="181" t="n">
        <v>31.8879</v>
      </c>
      <c r="F1097" s="181" t="n">
        <v>1016.8388</v>
      </c>
      <c r="G1097" s="181" t="n">
        <v>1179396</v>
      </c>
      <c r="H1097" s="181" t="inlineStr"/>
      <c r="I1097" s="181" t="inlineStr"/>
    </row>
    <row r="1098" ht="15" customHeight="1" s="28">
      <c r="A1098" s="182" t="n">
        <v>1088</v>
      </c>
      <c r="B1098" s="182" t="n">
        <v>1087</v>
      </c>
      <c r="C1098" s="182" t="n">
        <v>4562.67</v>
      </c>
      <c r="D1098" s="182" t="n">
        <v>4526.4845</v>
      </c>
      <c r="E1098" s="182" t="n">
        <v>36.1855</v>
      </c>
      <c r="F1098" s="182" t="n">
        <v>1309.3919</v>
      </c>
      <c r="G1098" s="182" t="n">
        <v>1181569</v>
      </c>
      <c r="H1098" s="182" t="inlineStr"/>
      <c r="I1098" s="182" t="inlineStr"/>
    </row>
    <row r="1099" ht="15" customHeight="1" s="28">
      <c r="A1099" s="181" t="n">
        <v>1089</v>
      </c>
      <c r="B1099" s="181" t="n">
        <v>1088</v>
      </c>
      <c r="C1099" s="181" t="n">
        <v>4565.34</v>
      </c>
      <c r="D1099" s="181" t="n">
        <v>4526.2169</v>
      </c>
      <c r="E1099" s="181" t="n">
        <v>39.1231</v>
      </c>
      <c r="F1099" s="181" t="n">
        <v>1530.6185</v>
      </c>
      <c r="G1099" s="181" t="n">
        <v>1183744</v>
      </c>
      <c r="H1099" s="181" t="inlineStr"/>
      <c r="I1099" s="181" t="inlineStr"/>
    </row>
    <row r="1100" ht="15" customHeight="1" s="28">
      <c r="A1100" s="182" t="n">
        <v>1090</v>
      </c>
      <c r="B1100" s="182" t="n">
        <v>1089</v>
      </c>
      <c r="C1100" s="182" t="n">
        <v>4562.26</v>
      </c>
      <c r="D1100" s="182" t="n">
        <v>4525.9493</v>
      </c>
      <c r="E1100" s="182" t="n">
        <v>36.3107</v>
      </c>
      <c r="F1100" s="182" t="n">
        <v>1318.4691</v>
      </c>
      <c r="G1100" s="182" t="n">
        <v>1185921</v>
      </c>
      <c r="H1100" s="182" t="inlineStr"/>
      <c r="I1100" s="182" t="inlineStr"/>
    </row>
    <row r="1101" ht="15" customHeight="1" s="28">
      <c r="A1101" s="181" t="n">
        <v>1091</v>
      </c>
      <c r="B1101" s="181" t="n">
        <v>1090</v>
      </c>
      <c r="C1101" s="181" t="n">
        <v>4553.65</v>
      </c>
      <c r="D1101" s="181" t="n">
        <v>4525.6817</v>
      </c>
      <c r="E1101" s="181" t="n">
        <v>27.9683</v>
      </c>
      <c r="F1101" s="181" t="n">
        <v>782.2275</v>
      </c>
      <c r="G1101" s="181" t="n">
        <v>1188100</v>
      </c>
      <c r="H1101" s="181" t="inlineStr"/>
      <c r="I1101" s="181" t="inlineStr"/>
    </row>
    <row r="1102" ht="15" customHeight="1" s="28">
      <c r="A1102" s="182" t="n">
        <v>1092</v>
      </c>
      <c r="B1102" s="182" t="n">
        <v>1091</v>
      </c>
      <c r="C1102" s="182" t="n">
        <v>4559.94</v>
      </c>
      <c r="D1102" s="182" t="n">
        <v>4525.4141</v>
      </c>
      <c r="E1102" s="182" t="n">
        <v>34.5259</v>
      </c>
      <c r="F1102" s="182" t="n">
        <v>1192.0398</v>
      </c>
      <c r="G1102" s="182" t="n">
        <v>1190281</v>
      </c>
      <c r="H1102" s="182" t="inlineStr"/>
      <c r="I1102" s="182" t="inlineStr"/>
    </row>
    <row r="1103" ht="15" customHeight="1" s="28">
      <c r="A1103" s="181" t="n">
        <v>1093</v>
      </c>
      <c r="B1103" s="181" t="n">
        <v>1092</v>
      </c>
      <c r="C1103" s="181" t="n">
        <v>4563.67</v>
      </c>
      <c r="D1103" s="181" t="n">
        <v>4525.1465</v>
      </c>
      <c r="E1103" s="181" t="n">
        <v>38.5235</v>
      </c>
      <c r="F1103" s="181" t="n">
        <v>1484.0631</v>
      </c>
      <c r="G1103" s="181" t="n">
        <v>1192464</v>
      </c>
      <c r="H1103" s="181" t="inlineStr"/>
      <c r="I1103" s="181" t="inlineStr"/>
    </row>
    <row r="1104" ht="15" customHeight="1" s="28">
      <c r="A1104" s="182" t="n">
        <v>1094</v>
      </c>
      <c r="B1104" s="182" t="n">
        <v>1093</v>
      </c>
      <c r="C1104" s="182" t="n">
        <v>4568.68</v>
      </c>
      <c r="D1104" s="182" t="n">
        <v>4524.8789</v>
      </c>
      <c r="E1104" s="182" t="n">
        <v>43.8011</v>
      </c>
      <c r="F1104" s="182" t="n">
        <v>1918.5399</v>
      </c>
      <c r="G1104" s="182" t="n">
        <v>1194649</v>
      </c>
      <c r="H1104" s="182" t="inlineStr"/>
      <c r="I1104" s="182" t="inlineStr"/>
    </row>
    <row r="1105" ht="15" customHeight="1" s="28">
      <c r="A1105" s="181" t="n">
        <v>1095</v>
      </c>
      <c r="B1105" s="181" t="n">
        <v>1094</v>
      </c>
      <c r="C1105" s="181" t="n">
        <v>4570.1</v>
      </c>
      <c r="D1105" s="181" t="n">
        <v>4524.6112</v>
      </c>
      <c r="E1105" s="181" t="n">
        <v>45.4888</v>
      </c>
      <c r="F1105" s="181" t="n">
        <v>2069.2264</v>
      </c>
      <c r="G1105" s="181" t="n">
        <v>1196836</v>
      </c>
      <c r="H1105" s="181" t="inlineStr"/>
      <c r="I1105" s="181" t="inlineStr"/>
    </row>
    <row r="1106" ht="15" customHeight="1" s="28">
      <c r="A1106" s="182" t="n">
        <v>1096</v>
      </c>
      <c r="B1106" s="182" t="n">
        <v>1095</v>
      </c>
      <c r="C1106" s="182" t="n">
        <v>4568.79</v>
      </c>
      <c r="D1106" s="182" t="n">
        <v>4524.3436</v>
      </c>
      <c r="E1106" s="182" t="n">
        <v>44.4464</v>
      </c>
      <c r="F1106" s="182" t="n">
        <v>1975.478</v>
      </c>
      <c r="G1106" s="182" t="n">
        <v>1199025</v>
      </c>
      <c r="H1106" s="182" t="inlineStr"/>
      <c r="I1106" s="182" t="inlineStr"/>
    </row>
    <row r="1107" ht="15" customHeight="1" s="28">
      <c r="A1107" s="181" t="n">
        <v>1097</v>
      </c>
      <c r="B1107" s="181" t="n">
        <v>1096</v>
      </c>
      <c r="C1107" s="181" t="n">
        <v>4565.98</v>
      </c>
      <c r="D1107" s="181" t="n">
        <v>4524.076</v>
      </c>
      <c r="E1107" s="181" t="n">
        <v>41.9039</v>
      </c>
      <c r="F1107" s="181" t="n">
        <v>1755.941</v>
      </c>
      <c r="G1107" s="181" t="n">
        <v>1201216</v>
      </c>
      <c r="H1107" s="181" t="inlineStr"/>
      <c r="I1107" s="181" t="inlineStr"/>
    </row>
    <row r="1108" ht="15" customHeight="1" s="28">
      <c r="A1108" s="182" t="n">
        <v>1098</v>
      </c>
      <c r="B1108" s="182" t="n">
        <v>1097</v>
      </c>
      <c r="C1108" s="182" t="n">
        <v>4561.09</v>
      </c>
      <c r="D1108" s="182" t="n">
        <v>4523.8084</v>
      </c>
      <c r="E1108" s="182" t="n">
        <v>37.2816</v>
      </c>
      <c r="F1108" s="182" t="n">
        <v>1389.9147</v>
      </c>
      <c r="G1108" s="182" t="n">
        <v>1203409</v>
      </c>
      <c r="H1108" s="182" t="inlineStr"/>
      <c r="I1108" s="182" t="inlineStr"/>
    </row>
    <row r="1109" ht="15" customHeight="1" s="28">
      <c r="A1109" s="181" t="n">
        <v>1099</v>
      </c>
      <c r="B1109" s="181" t="n">
        <v>1098</v>
      </c>
      <c r="C1109" s="181" t="n">
        <v>4565.51</v>
      </c>
      <c r="D1109" s="181" t="n">
        <v>4523.5408</v>
      </c>
      <c r="E1109" s="181" t="n">
        <v>41.9692</v>
      </c>
      <c r="F1109" s="181" t="n">
        <v>1761.4104</v>
      </c>
      <c r="G1109" s="181" t="n">
        <v>1205604</v>
      </c>
      <c r="H1109" s="181" t="inlineStr"/>
      <c r="I1109" s="181" t="inlineStr"/>
    </row>
    <row r="1110" ht="15" customHeight="1" s="28">
      <c r="A1110" s="182" t="n">
        <v>1100</v>
      </c>
      <c r="B1110" s="182" t="n">
        <v>1099</v>
      </c>
      <c r="C1110" s="182" t="n">
        <v>4563.85</v>
      </c>
      <c r="D1110" s="182" t="n">
        <v>4523.2732</v>
      </c>
      <c r="E1110" s="182" t="n">
        <v>40.5768</v>
      </c>
      <c r="F1110" s="182" t="n">
        <v>1646.4743</v>
      </c>
      <c r="G1110" s="182" t="n">
        <v>1207801</v>
      </c>
      <c r="H1110" s="182" t="inlineStr"/>
      <c r="I1110" s="182" t="inlineStr"/>
    </row>
    <row r="1111" ht="15" customHeight="1" s="28">
      <c r="A1111" s="181" t="n">
        <v>1101</v>
      </c>
      <c r="B1111" s="181" t="n">
        <v>1100</v>
      </c>
      <c r="C1111" s="181" t="n">
        <v>4560.18</v>
      </c>
      <c r="D1111" s="181" t="n">
        <v>4523.0056</v>
      </c>
      <c r="E1111" s="181" t="n">
        <v>37.1744</v>
      </c>
      <c r="F1111" s="181" t="n">
        <v>1381.9338</v>
      </c>
      <c r="G1111" s="181" t="n">
        <v>1210000</v>
      </c>
      <c r="H1111" s="181" t="inlineStr"/>
      <c r="I1111" s="181" t="inlineStr"/>
    </row>
    <row r="1112" ht="15" customHeight="1" s="28">
      <c r="A1112" s="182" t="n">
        <v>1102</v>
      </c>
      <c r="B1112" s="182" t="n">
        <v>1101</v>
      </c>
      <c r="C1112" s="182" t="n">
        <v>4571.2</v>
      </c>
      <c r="D1112" s="182" t="n">
        <v>4522.738</v>
      </c>
      <c r="E1112" s="182" t="n">
        <v>48.462</v>
      </c>
      <c r="F1112" s="182" t="n">
        <v>2348.5625</v>
      </c>
      <c r="G1112" s="182" t="n">
        <v>1212201</v>
      </c>
      <c r="H1112" s="182" t="inlineStr"/>
      <c r="I1112" s="182" t="inlineStr"/>
    </row>
    <row r="1113" ht="15" customHeight="1" s="28">
      <c r="A1113" s="181" t="n">
        <v>1103</v>
      </c>
      <c r="B1113" s="181" t="n">
        <v>1102</v>
      </c>
      <c r="C1113" s="181" t="n">
        <v>4574.38</v>
      </c>
      <c r="D1113" s="181" t="n">
        <v>4522.4704</v>
      </c>
      <c r="E1113" s="181" t="n">
        <v>51.9096</v>
      </c>
      <c r="F1113" s="181" t="n">
        <v>2694.6045</v>
      </c>
      <c r="G1113" s="181" t="n">
        <v>1214404</v>
      </c>
      <c r="H1113" s="181" t="inlineStr"/>
      <c r="I1113" s="181" t="inlineStr"/>
    </row>
    <row r="1114" ht="15" customHeight="1" s="28">
      <c r="A1114" s="182" t="n">
        <v>1104</v>
      </c>
      <c r="B1114" s="182" t="n">
        <v>1103</v>
      </c>
      <c r="C1114" s="182" t="n">
        <v>4561.26</v>
      </c>
      <c r="D1114" s="182" t="n">
        <v>4522.2028</v>
      </c>
      <c r="E1114" s="182" t="n">
        <v>39.0572</v>
      </c>
      <c r="F1114" s="182" t="n">
        <v>1525.4633</v>
      </c>
      <c r="G1114" s="182" t="n">
        <v>1216609</v>
      </c>
      <c r="H1114" s="182" t="inlineStr"/>
      <c r="I1114" s="182" t="inlineStr"/>
    </row>
    <row r="1115" ht="15" customHeight="1" s="28">
      <c r="A1115" s="181" t="n">
        <v>1105</v>
      </c>
      <c r="B1115" s="181" t="n">
        <v>1104</v>
      </c>
      <c r="C1115" s="181" t="n">
        <v>4548.46</v>
      </c>
      <c r="D1115" s="181" t="n">
        <v>4521.9352</v>
      </c>
      <c r="E1115" s="181" t="n">
        <v>26.5248</v>
      </c>
      <c r="F1115" s="181" t="n">
        <v>703.5645</v>
      </c>
      <c r="G1115" s="181" t="n">
        <v>1218816</v>
      </c>
      <c r="H1115" s="181" t="inlineStr"/>
      <c r="I1115" s="181" t="inlineStr"/>
    </row>
    <row r="1116" ht="15" customHeight="1" s="28">
      <c r="A1116" s="182" t="n">
        <v>1106</v>
      </c>
      <c r="B1116" s="182" t="n">
        <v>1105</v>
      </c>
      <c r="C1116" s="182" t="n">
        <v>4537.95</v>
      </c>
      <c r="D1116" s="182" t="n">
        <v>4521.6676</v>
      </c>
      <c r="E1116" s="182" t="n">
        <v>16.2824</v>
      </c>
      <c r="F1116" s="182" t="n">
        <v>265.1162</v>
      </c>
      <c r="G1116" s="182" t="n">
        <v>1221025</v>
      </c>
      <c r="H1116" s="182" t="inlineStr"/>
      <c r="I1116" s="182" t="inlineStr"/>
    </row>
    <row r="1117" ht="15" customHeight="1" s="28">
      <c r="A1117" s="181" t="n">
        <v>1107</v>
      </c>
      <c r="B1117" s="181" t="n">
        <v>1106</v>
      </c>
      <c r="C1117" s="181" t="n">
        <v>4535.1</v>
      </c>
      <c r="D1117" s="181" t="n">
        <v>4521.4</v>
      </c>
      <c r="E1117" s="181" t="n">
        <v>13.7</v>
      </c>
      <c r="F1117" s="181" t="n">
        <v>187.69</v>
      </c>
      <c r="G1117" s="181" t="n">
        <v>1223236</v>
      </c>
      <c r="H1117" s="181" t="inlineStr"/>
      <c r="I1117" s="181" t="inlineStr"/>
    </row>
    <row r="1118" ht="15" customHeight="1" s="28">
      <c r="A1118" s="182" t="n">
        <v>1108</v>
      </c>
      <c r="B1118" s="182" t="n">
        <v>1107</v>
      </c>
      <c r="C1118" s="182" t="n">
        <v>4521.33</v>
      </c>
      <c r="D1118" s="182" t="n">
        <v>4521.1324</v>
      </c>
      <c r="E1118" s="182" t="n">
        <v>0.1976</v>
      </c>
      <c r="F1118" s="182" t="n">
        <v>0.039</v>
      </c>
      <c r="G1118" s="182" t="n">
        <v>1225449</v>
      </c>
      <c r="H1118" s="182" t="inlineStr"/>
      <c r="I1118" s="182" t="inlineStr"/>
    </row>
    <row r="1119" ht="15" customHeight="1" s="28">
      <c r="A1119" s="181" t="n">
        <v>1109</v>
      </c>
      <c r="B1119" s="181" t="n">
        <v>1108</v>
      </c>
      <c r="C1119" s="181" t="n">
        <v>4509.88</v>
      </c>
      <c r="D1119" s="181" t="n">
        <v>4520.8648</v>
      </c>
      <c r="E1119" s="181" t="n">
        <v>-10.9848</v>
      </c>
      <c r="F1119" s="181" t="n">
        <v>120.6658</v>
      </c>
      <c r="G1119" s="181" t="n">
        <v>1227664</v>
      </c>
      <c r="H1119" s="181" t="inlineStr"/>
      <c r="I1119" s="181" t="inlineStr"/>
    </row>
    <row r="1120" ht="15" customHeight="1" s="28">
      <c r="A1120" s="182" t="n">
        <v>1110</v>
      </c>
      <c r="B1120" s="182" t="n">
        <v>1109</v>
      </c>
      <c r="C1120" s="182" t="n">
        <v>4515.03</v>
      </c>
      <c r="D1120" s="182" t="n">
        <v>4520.5972</v>
      </c>
      <c r="E1120" s="182" t="n">
        <v>-5.5672</v>
      </c>
      <c r="F1120" s="182" t="n">
        <v>30.9936</v>
      </c>
      <c r="G1120" s="182" t="n">
        <v>1229881</v>
      </c>
      <c r="H1120" s="182" t="inlineStr"/>
      <c r="I1120" s="182" t="inlineStr"/>
    </row>
    <row r="1121" ht="15" customHeight="1" s="28">
      <c r="A1121" s="181" t="n">
        <v>1111</v>
      </c>
      <c r="B1121" s="181" t="n">
        <v>1110</v>
      </c>
      <c r="C1121" s="181" t="n">
        <v>4512.59</v>
      </c>
      <c r="D1121" s="181" t="n">
        <v>4520.3296</v>
      </c>
      <c r="E1121" s="181" t="n">
        <v>-7.7396</v>
      </c>
      <c r="F1121" s="181" t="n">
        <v>59.9013</v>
      </c>
      <c r="G1121" s="181" t="n">
        <v>1232100</v>
      </c>
      <c r="H1121" s="181" t="inlineStr"/>
      <c r="I1121" s="181" t="inlineStr"/>
    </row>
    <row r="1122" ht="15" customHeight="1" s="28">
      <c r="A1122" s="182" t="n">
        <v>1112</v>
      </c>
      <c r="B1122" s="182" t="n">
        <v>1111</v>
      </c>
      <c r="C1122" s="182" t="n">
        <v>4510.69</v>
      </c>
      <c r="D1122" s="182" t="n">
        <v>4520.062</v>
      </c>
      <c r="E1122" s="182" t="n">
        <v>-9.372</v>
      </c>
      <c r="F1122" s="182" t="n">
        <v>87.834</v>
      </c>
      <c r="G1122" s="182" t="n">
        <v>1234321</v>
      </c>
      <c r="H1122" s="182" t="inlineStr"/>
      <c r="I1122" s="182" t="inlineStr"/>
    </row>
    <row r="1123" ht="15" customHeight="1" s="28">
      <c r="A1123" s="181" t="n">
        <v>1113</v>
      </c>
      <c r="B1123" s="181" t="n">
        <v>1112</v>
      </c>
      <c r="C1123" s="181" t="n">
        <v>4522.39</v>
      </c>
      <c r="D1123" s="181" t="n">
        <v>4519.7944</v>
      </c>
      <c r="E1123" s="181" t="n">
        <v>2.5956</v>
      </c>
      <c r="F1123" s="181" t="n">
        <v>6.7372</v>
      </c>
      <c r="G1123" s="181" t="n">
        <v>1236544</v>
      </c>
      <c r="H1123" s="181" t="inlineStr"/>
      <c r="I1123" s="181" t="inlineStr"/>
    </row>
    <row r="1124" ht="15" customHeight="1" s="28">
      <c r="A1124" s="182" t="n">
        <v>1114</v>
      </c>
      <c r="B1124" s="182" t="n">
        <v>1113</v>
      </c>
      <c r="C1124" s="182" t="n">
        <v>4524.38</v>
      </c>
      <c r="D1124" s="182" t="n">
        <v>4519.5268</v>
      </c>
      <c r="E1124" s="182" t="n">
        <v>4.8532</v>
      </c>
      <c r="F1124" s="182" t="n">
        <v>23.5537</v>
      </c>
      <c r="G1124" s="182" t="n">
        <v>1238769</v>
      </c>
      <c r="H1124" s="182" t="inlineStr"/>
      <c r="I1124" s="182" t="inlineStr"/>
    </row>
    <row r="1125" ht="15" customHeight="1" s="28">
      <c r="A1125" s="181" t="n">
        <v>1115</v>
      </c>
      <c r="B1125" s="181" t="n">
        <v>1114</v>
      </c>
      <c r="C1125" s="181" t="n">
        <v>4526.1</v>
      </c>
      <c r="D1125" s="181" t="n">
        <v>4519.2592</v>
      </c>
      <c r="E1125" s="181" t="n">
        <v>6.8408</v>
      </c>
      <c r="F1125" s="181" t="n">
        <v>46.797</v>
      </c>
      <c r="G1125" s="181" t="n">
        <v>1240996</v>
      </c>
      <c r="H1125" s="181" t="inlineStr"/>
      <c r="I1125" s="181" t="inlineStr"/>
    </row>
    <row r="1126" ht="15" customHeight="1" s="28">
      <c r="A1126" s="182" t="n">
        <v>1116</v>
      </c>
      <c r="B1126" s="182" t="n">
        <v>1115</v>
      </c>
      <c r="C1126" s="182" t="n">
        <v>4522.35</v>
      </c>
      <c r="D1126" s="182" t="n">
        <v>4518.9916</v>
      </c>
      <c r="E1126" s="182" t="n">
        <v>3.3584</v>
      </c>
      <c r="F1126" s="182" t="n">
        <v>11.2791</v>
      </c>
      <c r="G1126" s="182" t="n">
        <v>1243225</v>
      </c>
      <c r="H1126" s="182" t="inlineStr"/>
      <c r="I1126" s="182" t="inlineStr"/>
    </row>
    <row r="1127" ht="15" customHeight="1" s="28">
      <c r="A1127" s="181" t="n">
        <v>1117</v>
      </c>
      <c r="B1127" s="181" t="n">
        <v>1116</v>
      </c>
      <c r="C1127" s="181" t="n">
        <v>4520.01</v>
      </c>
      <c r="D1127" s="181" t="n">
        <v>4518.724</v>
      </c>
      <c r="E1127" s="181" t="n">
        <v>1.286</v>
      </c>
      <c r="F1127" s="181" t="n">
        <v>1.6539</v>
      </c>
      <c r="G1127" s="181" t="n">
        <v>1245456</v>
      </c>
      <c r="H1127" s="181" t="inlineStr"/>
      <c r="I1127" s="181" t="inlineStr"/>
    </row>
    <row r="1128" ht="15" customHeight="1" s="28">
      <c r="A1128" s="182" t="n">
        <v>1118</v>
      </c>
      <c r="B1128" s="182" t="n">
        <v>1117</v>
      </c>
      <c r="C1128" s="182" t="n">
        <v>4511.95</v>
      </c>
      <c r="D1128" s="182" t="n">
        <v>4518.4564</v>
      </c>
      <c r="E1128" s="182" t="n">
        <v>-6.5064</v>
      </c>
      <c r="F1128" s="182" t="n">
        <v>42.3327</v>
      </c>
      <c r="G1128" s="182" t="n">
        <v>1247689</v>
      </c>
      <c r="H1128" s="182" t="inlineStr"/>
      <c r="I1128" s="182" t="inlineStr"/>
    </row>
    <row r="1129" ht="15" customHeight="1" s="28">
      <c r="A1129" s="181" t="n">
        <v>1119</v>
      </c>
      <c r="B1129" s="181" t="n">
        <v>1118</v>
      </c>
      <c r="C1129" s="181" t="n">
        <v>4511.86</v>
      </c>
      <c r="D1129" s="181" t="n">
        <v>4518.1888</v>
      </c>
      <c r="E1129" s="181" t="n">
        <v>-6.3288</v>
      </c>
      <c r="F1129" s="181" t="n">
        <v>40.0532</v>
      </c>
      <c r="G1129" s="181" t="n">
        <v>1249924</v>
      </c>
      <c r="H1129" s="181" t="inlineStr"/>
      <c r="I1129" s="181" t="inlineStr"/>
    </row>
    <row r="1130" ht="15" customHeight="1" s="28">
      <c r="A1130" s="182" t="n">
        <v>1120</v>
      </c>
      <c r="B1130" s="182" t="n">
        <v>1119</v>
      </c>
      <c r="C1130" s="182" t="n">
        <v>4516.4</v>
      </c>
      <c r="D1130" s="182" t="n">
        <v>4517.9212</v>
      </c>
      <c r="E1130" s="182" t="n">
        <v>-1.5212</v>
      </c>
      <c r="F1130" s="182" t="n">
        <v>2.3139</v>
      </c>
      <c r="G1130" s="182" t="n">
        <v>1252161</v>
      </c>
      <c r="H1130" s="182" t="inlineStr"/>
      <c r="I1130" s="182" t="inlineStr"/>
    </row>
    <row r="1131" ht="15" customHeight="1" s="28">
      <c r="A1131" s="181" t="n">
        <v>1121</v>
      </c>
      <c r="B1131" s="181" t="n">
        <v>1120</v>
      </c>
      <c r="C1131" s="181" t="n">
        <v>4519.05</v>
      </c>
      <c r="D1131" s="181" t="n">
        <v>4517.6535</v>
      </c>
      <c r="E1131" s="181" t="n">
        <v>1.3965</v>
      </c>
      <c r="F1131" s="181" t="n">
        <v>1.9501</v>
      </c>
      <c r="G1131" s="181" t="n">
        <v>1254400</v>
      </c>
      <c r="H1131" s="181" t="inlineStr"/>
      <c r="I1131" s="181" t="inlineStr"/>
    </row>
    <row r="1132" ht="15" customHeight="1" s="28">
      <c r="A1132" s="182" t="n">
        <v>1122</v>
      </c>
      <c r="B1132" s="182" t="n">
        <v>1121</v>
      </c>
      <c r="C1132" s="182" t="n">
        <v>4522.42</v>
      </c>
      <c r="D1132" s="182" t="n">
        <v>4517.3859</v>
      </c>
      <c r="E1132" s="182" t="n">
        <v>5.0341</v>
      </c>
      <c r="F1132" s="182" t="n">
        <v>25.3418</v>
      </c>
      <c r="G1132" s="182" t="n">
        <v>1256641</v>
      </c>
      <c r="H1132" s="182" t="inlineStr"/>
      <c r="I1132" s="182" t="inlineStr"/>
    </row>
    <row r="1133" ht="15" customHeight="1" s="28">
      <c r="A1133" s="181" t="n">
        <v>1123</v>
      </c>
      <c r="B1133" s="181" t="n">
        <v>1122</v>
      </c>
      <c r="C1133" s="181" t="n">
        <v>4521.16</v>
      </c>
      <c r="D1133" s="181" t="n">
        <v>4517.1183</v>
      </c>
      <c r="E1133" s="181" t="n">
        <v>4.0417</v>
      </c>
      <c r="F1133" s="181" t="n">
        <v>16.335</v>
      </c>
      <c r="G1133" s="181" t="n">
        <v>1258884</v>
      </c>
      <c r="H1133" s="181" t="inlineStr"/>
      <c r="I1133" s="181" t="inlineStr"/>
    </row>
    <row r="1134" ht="15" customHeight="1" s="28">
      <c r="A1134" s="182" t="n">
        <v>1124</v>
      </c>
      <c r="B1134" s="182" t="n">
        <v>1123</v>
      </c>
      <c r="C1134" s="182" t="n">
        <v>4517.46</v>
      </c>
      <c r="D1134" s="182" t="n">
        <v>4516.8507</v>
      </c>
      <c r="E1134" s="182" t="n">
        <v>0.6093</v>
      </c>
      <c r="F1134" s="182" t="n">
        <v>0.3712</v>
      </c>
      <c r="G1134" s="182" t="n">
        <v>1261129</v>
      </c>
      <c r="H1134" s="182" t="inlineStr"/>
      <c r="I1134" s="182" t="inlineStr"/>
    </row>
    <row r="1135" ht="15" customHeight="1" s="28">
      <c r="A1135" s="181" t="n">
        <v>1125</v>
      </c>
      <c r="B1135" s="181" t="n">
        <v>1124</v>
      </c>
      <c r="C1135" s="181" t="n">
        <v>4514.74</v>
      </c>
      <c r="D1135" s="181" t="n">
        <v>4516.5831</v>
      </c>
      <c r="E1135" s="181" t="n">
        <v>-1.8431</v>
      </c>
      <c r="F1135" s="181" t="n">
        <v>3.3971</v>
      </c>
      <c r="G1135" s="181" t="n">
        <v>1263376</v>
      </c>
      <c r="H1135" s="181" t="inlineStr"/>
      <c r="I1135" s="181" t="inlineStr"/>
    </row>
    <row r="1136" ht="15" customHeight="1" s="28">
      <c r="A1136" s="182" t="n">
        <v>1126</v>
      </c>
      <c r="B1136" s="182" t="n">
        <v>1125</v>
      </c>
      <c r="C1136" s="182" t="n">
        <v>4515.21</v>
      </c>
      <c r="D1136" s="182" t="n">
        <v>4516.3155</v>
      </c>
      <c r="E1136" s="182" t="n">
        <v>-1.1055</v>
      </c>
      <c r="F1136" s="182" t="n">
        <v>1.2222</v>
      </c>
      <c r="G1136" s="182" t="n">
        <v>1265625</v>
      </c>
      <c r="H1136" s="182" t="inlineStr"/>
      <c r="I1136" s="182" t="inlineStr"/>
    </row>
    <row r="1137" ht="15" customHeight="1" s="28">
      <c r="A1137" s="181" t="n">
        <v>1127</v>
      </c>
      <c r="B1137" s="181" t="n">
        <v>1126</v>
      </c>
      <c r="C1137" s="181" t="n">
        <v>4518.75</v>
      </c>
      <c r="D1137" s="181" t="n">
        <v>4516.0479</v>
      </c>
      <c r="E1137" s="181" t="n">
        <v>2.7021</v>
      </c>
      <c r="F1137" s="181" t="n">
        <v>7.3012</v>
      </c>
      <c r="G1137" s="181" t="n">
        <v>1267876</v>
      </c>
      <c r="H1137" s="181" t="inlineStr"/>
      <c r="I1137" s="181" t="inlineStr"/>
    </row>
    <row r="1138" ht="15" customHeight="1" s="28">
      <c r="A1138" s="182" t="n">
        <v>1128</v>
      </c>
      <c r="B1138" s="182" t="n">
        <v>1127</v>
      </c>
      <c r="C1138" s="182" t="n">
        <v>4523.84</v>
      </c>
      <c r="D1138" s="182" t="n">
        <v>4515.7803</v>
      </c>
      <c r="E1138" s="182" t="n">
        <v>8.059699999999999</v>
      </c>
      <c r="F1138" s="182" t="n">
        <v>64.9584</v>
      </c>
      <c r="G1138" s="182" t="n">
        <v>1270129</v>
      </c>
      <c r="H1138" s="182" t="inlineStr"/>
      <c r="I1138" s="182" t="inlineStr"/>
    </row>
    <row r="1139" ht="15" customHeight="1" s="28">
      <c r="A1139" s="181" t="n">
        <v>1129</v>
      </c>
      <c r="B1139" s="181" t="n">
        <v>1128</v>
      </c>
      <c r="C1139" s="181" t="n">
        <v>4521.1</v>
      </c>
      <c r="D1139" s="181" t="n">
        <v>4515.5127</v>
      </c>
      <c r="E1139" s="181" t="n">
        <v>5.5873</v>
      </c>
      <c r="F1139" s="181" t="n">
        <v>31.2178</v>
      </c>
      <c r="G1139" s="181" t="n">
        <v>1272384</v>
      </c>
      <c r="H1139" s="181" t="inlineStr"/>
      <c r="I1139" s="181" t="inlineStr"/>
    </row>
    <row r="1140" ht="15" customHeight="1" s="28">
      <c r="A1140" s="182" t="n">
        <v>1130</v>
      </c>
      <c r="B1140" s="182" t="n">
        <v>1129</v>
      </c>
      <c r="C1140" s="182" t="n">
        <v>4519.66</v>
      </c>
      <c r="D1140" s="182" t="n">
        <v>4515.2451</v>
      </c>
      <c r="E1140" s="182" t="n">
        <v>4.4149</v>
      </c>
      <c r="F1140" s="182" t="n">
        <v>19.4913</v>
      </c>
      <c r="G1140" s="182" t="n">
        <v>1274641</v>
      </c>
      <c r="H1140" s="182" t="inlineStr"/>
      <c r="I1140" s="182" t="inlineStr"/>
    </row>
    <row r="1141" ht="15" customHeight="1" s="28">
      <c r="A1141" s="181" t="n">
        <v>1131</v>
      </c>
      <c r="B1141" s="181" t="n">
        <v>1130</v>
      </c>
      <c r="C1141" s="181" t="n">
        <v>4519.02</v>
      </c>
      <c r="D1141" s="181" t="n">
        <v>4514.9775</v>
      </c>
      <c r="E1141" s="181" t="n">
        <v>4.0425</v>
      </c>
      <c r="F1141" s="181" t="n">
        <v>16.3417</v>
      </c>
      <c r="G1141" s="181" t="n">
        <v>1276900</v>
      </c>
      <c r="H1141" s="181" t="inlineStr"/>
      <c r="I1141" s="181" t="inlineStr"/>
    </row>
    <row r="1142" ht="15" customHeight="1" s="28">
      <c r="A1142" s="182" t="n">
        <v>1132</v>
      </c>
      <c r="B1142" s="182" t="n">
        <v>1131</v>
      </c>
      <c r="C1142" s="182" t="n">
        <v>4517.52</v>
      </c>
      <c r="D1142" s="182" t="n">
        <v>4514.7099</v>
      </c>
      <c r="E1142" s="182" t="n">
        <v>2.8101</v>
      </c>
      <c r="F1142" s="182" t="n">
        <v>7.8967</v>
      </c>
      <c r="G1142" s="182" t="n">
        <v>1279161</v>
      </c>
      <c r="H1142" s="182" t="inlineStr"/>
      <c r="I1142" s="182" t="inlineStr"/>
    </row>
    <row r="1143" ht="15" customHeight="1" s="28">
      <c r="A1143" s="181" t="n">
        <v>1133</v>
      </c>
      <c r="B1143" s="181" t="n">
        <v>1132</v>
      </c>
      <c r="C1143" s="181" t="n">
        <v>4520.44</v>
      </c>
      <c r="D1143" s="181" t="n">
        <v>4514.4423</v>
      </c>
      <c r="E1143" s="181" t="n">
        <v>5.9977</v>
      </c>
      <c r="F1143" s="181" t="n">
        <v>35.9724</v>
      </c>
      <c r="G1143" s="181" t="n">
        <v>1281424</v>
      </c>
      <c r="H1143" s="181" t="inlineStr"/>
      <c r="I1143" s="181" t="inlineStr"/>
    </row>
    <row r="1144" ht="15" customHeight="1" s="28">
      <c r="A1144" s="182" t="n">
        <v>1134</v>
      </c>
      <c r="B1144" s="182" t="n">
        <v>1133</v>
      </c>
      <c r="C1144" s="182" t="n">
        <v>4521.13</v>
      </c>
      <c r="D1144" s="182" t="n">
        <v>4514.1747</v>
      </c>
      <c r="E1144" s="182" t="n">
        <v>6.9553</v>
      </c>
      <c r="F1144" s="182" t="n">
        <v>48.3763</v>
      </c>
      <c r="G1144" s="182" t="n">
        <v>1283689</v>
      </c>
      <c r="H1144" s="182" t="inlineStr"/>
      <c r="I1144" s="182" t="inlineStr"/>
    </row>
    <row r="1145" ht="15" customHeight="1" s="28">
      <c r="A1145" s="181" t="n">
        <v>1135</v>
      </c>
      <c r="B1145" s="181" t="n">
        <v>1134</v>
      </c>
      <c r="C1145" s="181" t="n">
        <v>4518.52</v>
      </c>
      <c r="D1145" s="181" t="n">
        <v>4513.9071</v>
      </c>
      <c r="E1145" s="181" t="n">
        <v>4.6129</v>
      </c>
      <c r="F1145" s="181" t="n">
        <v>21.2789</v>
      </c>
      <c r="G1145" s="181" t="n">
        <v>1285956</v>
      </c>
      <c r="H1145" s="181" t="inlineStr"/>
      <c r="I1145" s="181" t="inlineStr"/>
    </row>
    <row r="1147" ht="18" customHeight="1" s="28">
      <c r="A1147" s="172" t="inlineStr">
        <is>
          <t>STEP 2 — White LM  (eᵢ² ~ X + X²)</t>
        </is>
      </c>
    </row>
    <row r="1148" ht="16" customHeight="1" s="28">
      <c r="A1148" s="186" t="inlineStr">
        <is>
          <t>n</t>
        </is>
      </c>
      <c r="E1148" s="187" t="inlineStr">
        <is>
          <t>1135</t>
        </is>
      </c>
    </row>
    <row r="1149" ht="16" customHeight="1" s="28">
      <c r="A1149" s="186" t="inlineStr">
        <is>
          <t>White LM = n × R²_aux</t>
        </is>
      </c>
      <c r="E1149" s="187" t="inlineStr">
        <is>
          <t>136.0516</t>
        </is>
      </c>
    </row>
    <row r="1150" ht="16" customHeight="1" s="28">
      <c r="A1150" s="186" t="inlineStr">
        <is>
          <t>p-value (chi-sq, df=2)</t>
        </is>
      </c>
      <c r="E1150" s="187" t="inlineStr">
        <is>
          <t>2.862687e-30</t>
        </is>
      </c>
    </row>
    <row r="1151" ht="16" customHeight="1" s="28">
      <c r="A1151" s="186" t="inlineStr">
        <is>
          <t>Critical χ²(2, 0.05)</t>
        </is>
      </c>
      <c r="E1151" s="187" t="inlineStr">
        <is>
          <t>5.991</t>
        </is>
      </c>
    </row>
    <row r="1152" ht="22" customHeight="1" s="28">
      <c r="A1152" s="189" t="inlineStr">
        <is>
          <t>DECISION:  LM = 136.0516, p = 2.8627e-30 &lt; 0.05  ⟹  REJECT H₀  →  Base_FL residuals are HETEROSCEDASTIC</t>
        </is>
      </c>
    </row>
  </sheetData>
  <mergeCells count="17">
    <mergeCell ref="E1149:I1149"/>
    <mergeCell ref="A1151:D1151"/>
    <mergeCell ref="A2:I2"/>
    <mergeCell ref="A1147:I1147"/>
    <mergeCell ref="B7:I7"/>
    <mergeCell ref="B6:I6"/>
    <mergeCell ref="A1150:D1150"/>
    <mergeCell ref="E1148:I1148"/>
    <mergeCell ref="A1:I1"/>
    <mergeCell ref="A1149:D1149"/>
    <mergeCell ref="A9:I9"/>
    <mergeCell ref="B5:I5"/>
    <mergeCell ref="E1150:I1150"/>
    <mergeCell ref="E1151:I1151"/>
    <mergeCell ref="A1148:D1148"/>
    <mergeCell ref="A4:I4"/>
    <mergeCell ref="A1152:I115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15868"/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28" min="1" max="1"/>
    <col width="10" customWidth="1" style="28" min="2" max="2"/>
    <col width="9" customWidth="1" style="28" min="3" max="3"/>
    <col width="16" customWidth="1" style="28" min="4" max="4"/>
    <col width="12" customWidth="1" style="28" min="5" max="5"/>
    <col width="16" customWidth="1" style="28" min="6" max="6"/>
    <col width="12" customWidth="1" style="28" min="7" max="7"/>
    <col width="14" customWidth="1" style="28" min="8" max="8"/>
    <col width="12" customWidth="1" style="28" min="9" max="9"/>
    <col width="12" customWidth="1" style="28" min="10" max="10"/>
    <col width="34" customWidth="1" style="28" min="11" max="11"/>
  </cols>
  <sheetData>
    <row r="1" ht="32" customHeight="1" s="28">
      <c r="A1" s="191" t="inlineStr">
        <is>
          <t>MACD-Like Statistical Influence Divergence Model  —  V3894 DATASET</t>
        </is>
      </c>
    </row>
    <row r="2" ht="22" customHeight="1" s="28">
      <c r="A2" s="192" t="inlineStr">
        <is>
          <t>Detecting Changes in Base_FL / EDT Regression Influence — XAUUSD M15  |  Observation Window: 1,135 bars</t>
        </is>
      </c>
    </row>
    <row r="3" ht="8" customHeight="1" s="28"/>
    <row r="4" ht="24" customHeight="1" s="28">
      <c r="A4" s="193" t="inlineStr">
        <is>
          <t xml:space="preserve">  MODEL A2: ssa − Base_FL  |  SSA Crossings Only</t>
        </is>
      </c>
    </row>
    <row r="5" ht="16" customHeight="1" s="28">
      <c r="A5" s="194" t="inlineStr">
        <is>
          <t xml:space="preserve">  Stat A (Full Window): n = 107     |     Stat B (Last Half): n = 54     |     Norm Test: SW     |     Hom Test: BP</t>
        </is>
      </c>
    </row>
    <row r="6" ht="30" customHeight="1" s="28">
      <c r="A6" s="195" t="inlineStr">
        <is>
          <t>Statistic</t>
        </is>
      </c>
      <c r="B6" s="195" t="inlineStr">
        <is>
          <t>Weight</t>
        </is>
      </c>
      <c r="C6" s="195" t="inlineStr">
        <is>
          <t>Min n</t>
        </is>
      </c>
      <c r="D6" s="195" t="inlineStr">
        <is>
          <t>Stat A (n=107)</t>
        </is>
      </c>
      <c r="E6" s="195" t="inlineStr">
        <is>
          <t>Stat A Status</t>
        </is>
      </c>
      <c r="F6" s="195" t="inlineStr">
        <is>
          <t>Stat B (n=54)</t>
        </is>
      </c>
      <c r="G6" s="195" t="inlineStr">
        <is>
          <t>Stat B Status</t>
        </is>
      </c>
      <c r="H6" s="195" t="inlineStr">
        <is>
          <t>In Composite</t>
        </is>
      </c>
      <c r="I6" s="195" t="inlineStr">
        <is>
          <t>Signal</t>
        </is>
      </c>
      <c r="J6" s="195" t="inlineStr">
        <is>
          <t>Weighted Score</t>
        </is>
      </c>
      <c r="K6" s="195" t="inlineStr">
        <is>
          <t>Interpretation</t>
        </is>
      </c>
    </row>
    <row r="7" ht="16" customHeight="1" s="28">
      <c r="A7" s="173" t="inlineStr">
        <is>
          <t>Half-Life AR(1)</t>
        </is>
      </c>
      <c r="B7" s="178" t="inlineStr">
        <is>
          <t>30%</t>
        </is>
      </c>
      <c r="C7" s="178" t="n">
        <v>30</v>
      </c>
      <c r="D7" s="196" t="inlineStr">
        <is>
          <t>2.8205</t>
        </is>
      </c>
      <c r="E7" s="197" t="inlineStr">
        <is>
          <t>✓ VALID</t>
        </is>
      </c>
      <c r="F7" s="196" t="inlineStr">
        <is>
          <t>3.5939</t>
        </is>
      </c>
      <c r="G7" s="197" t="inlineStr">
        <is>
          <t>✓ VALID</t>
        </is>
      </c>
      <c r="H7" s="197" t="inlineStr">
        <is>
          <t>✓ YES</t>
        </is>
      </c>
      <c r="I7" s="198" t="inlineStr">
        <is>
          <t>-0.2742</t>
        </is>
      </c>
      <c r="J7" s="199" t="inlineStr">
        <is>
          <t>-0.08226</t>
        </is>
      </c>
      <c r="K7" s="200" t="inlineStr">
        <is>
          <t>Weakening ↓  |  Shorter = faster reversion to Base_FL</t>
        </is>
      </c>
    </row>
    <row r="8" ht="16" customHeight="1" s="28">
      <c r="A8" s="175" t="inlineStr">
        <is>
          <t>Homoscedasticity (BP)</t>
        </is>
      </c>
      <c r="B8" s="180" t="inlineStr">
        <is>
          <t>20%</t>
        </is>
      </c>
      <c r="C8" s="180" t="n">
        <v>50</v>
      </c>
      <c r="D8" s="196" t="inlineStr">
        <is>
          <t>4.4267</t>
        </is>
      </c>
      <c r="E8" s="197" t="inlineStr">
        <is>
          <t>✓ VALID</t>
        </is>
      </c>
      <c r="F8" s="201" t="inlineStr">
        <is>
          <t>0.6632</t>
        </is>
      </c>
      <c r="G8" s="202" t="inlineStr">
        <is>
          <t>⚠ CAUTION</t>
        </is>
      </c>
      <c r="H8" s="202" t="inlineStr">
        <is>
          <t>⚠ YES (caution)</t>
        </is>
      </c>
      <c r="I8" s="197" t="inlineStr">
        <is>
          <t>+0.8502</t>
        </is>
      </c>
      <c r="J8" s="196" t="inlineStr">
        <is>
          <t>+0.17004</t>
        </is>
      </c>
      <c r="K8" s="203" t="inlineStr">
        <is>
          <t>Strengthening ↑  |  Lower LM = more homoscedastic</t>
        </is>
      </c>
    </row>
    <row r="9" ht="16" customHeight="1" s="28">
      <c r="A9" s="173" t="inlineStr">
        <is>
          <t>R-Square (Base_FL)</t>
        </is>
      </c>
      <c r="B9" s="178" t="inlineStr">
        <is>
          <t>20%</t>
        </is>
      </c>
      <c r="C9" s="178" t="n">
        <v>20</v>
      </c>
      <c r="D9" s="196" t="inlineStr">
        <is>
          <t>0.8055</t>
        </is>
      </c>
      <c r="E9" s="197" t="inlineStr">
        <is>
          <t>✓ VALID</t>
        </is>
      </c>
      <c r="F9" s="196" t="inlineStr">
        <is>
          <t>0.4725</t>
        </is>
      </c>
      <c r="G9" s="197" t="inlineStr">
        <is>
          <t>✓ VALID</t>
        </is>
      </c>
      <c r="H9" s="197" t="inlineStr">
        <is>
          <t>✓ YES</t>
        </is>
      </c>
      <c r="I9" s="198" t="inlineStr">
        <is>
          <t>-0.4134</t>
        </is>
      </c>
      <c r="J9" s="199" t="inlineStr">
        <is>
          <t>-0.08268</t>
        </is>
      </c>
      <c r="K9" s="200" t="inlineStr">
        <is>
          <t>Weakening ↓  |  Higher = stronger Base_FL influence</t>
        </is>
      </c>
    </row>
    <row r="10" ht="16" customHeight="1" s="28">
      <c r="A10" s="175" t="inlineStr">
        <is>
          <t>Variance Ratio</t>
        </is>
      </c>
      <c r="B10" s="180" t="inlineStr">
        <is>
          <t>10%</t>
        </is>
      </c>
      <c r="C10" s="180" t="n">
        <v>40</v>
      </c>
      <c r="D10" s="196" t="inlineStr">
        <is>
          <t>0.5128</t>
        </is>
      </c>
      <c r="E10" s="197" t="inlineStr">
        <is>
          <t>✓ VALID</t>
        </is>
      </c>
      <c r="F10" s="201" t="inlineStr">
        <is>
          <t>0.6032</t>
        </is>
      </c>
      <c r="G10" s="202" t="inlineStr">
        <is>
          <t>⚠ CAUTION</t>
        </is>
      </c>
      <c r="H10" s="202" t="inlineStr">
        <is>
          <t>⚠ YES (caution)</t>
        </is>
      </c>
      <c r="I10" s="197" t="inlineStr">
        <is>
          <t>+0.1856</t>
        </is>
      </c>
      <c r="J10" s="196" t="inlineStr">
        <is>
          <t>+0.01856</t>
        </is>
      </c>
      <c r="K10" s="203" t="inlineStr">
        <is>
          <t>Strengthening ↑  |  Closer to 1.0 = mean-reverting</t>
        </is>
      </c>
    </row>
    <row r="11" ht="16" customHeight="1" s="28">
      <c r="A11" s="173" t="inlineStr">
        <is>
          <t>Normality (SW)</t>
        </is>
      </c>
      <c r="B11" s="178" t="inlineStr">
        <is>
          <t>7%</t>
        </is>
      </c>
      <c r="C11" s="178" t="n">
        <v>30</v>
      </c>
      <c r="D11" s="196" t="inlineStr">
        <is>
          <t>0.9789</t>
        </is>
      </c>
      <c r="E11" s="197" t="inlineStr">
        <is>
          <t>✓ VALID</t>
        </is>
      </c>
      <c r="F11" s="196" t="inlineStr">
        <is>
          <t>0.9421</t>
        </is>
      </c>
      <c r="G11" s="197" t="inlineStr">
        <is>
          <t>✓ VALID</t>
        </is>
      </c>
      <c r="H11" s="197" t="inlineStr">
        <is>
          <t>✓ YES</t>
        </is>
      </c>
      <c r="I11" s="198" t="inlineStr">
        <is>
          <t>-0.0377</t>
        </is>
      </c>
      <c r="J11" s="199" t="inlineStr">
        <is>
          <t>-0.00264</t>
        </is>
      </c>
      <c r="K11" s="200" t="inlineStr">
        <is>
          <t>Neutral →  |  More normal residuals</t>
        </is>
      </c>
    </row>
    <row r="12" ht="16" customHeight="1" s="28">
      <c r="A12" s="175" t="inlineStr">
        <is>
          <t>Skewness</t>
        </is>
      </c>
      <c r="B12" s="180" t="inlineStr">
        <is>
          <t>5%</t>
        </is>
      </c>
      <c r="C12" s="180" t="n">
        <v>20</v>
      </c>
      <c r="D12" s="196" t="inlineStr">
        <is>
          <t>-0.2081</t>
        </is>
      </c>
      <c r="E12" s="197" t="inlineStr">
        <is>
          <t>✓ VALID</t>
        </is>
      </c>
      <c r="F12" s="196" t="inlineStr">
        <is>
          <t>-0.4105</t>
        </is>
      </c>
      <c r="G12" s="197" t="inlineStr">
        <is>
          <t>✓ VALID</t>
        </is>
      </c>
      <c r="H12" s="197" t="inlineStr">
        <is>
          <t>✓ YES</t>
        </is>
      </c>
      <c r="I12" s="198" t="inlineStr">
        <is>
          <t>-0.9726</t>
        </is>
      </c>
      <c r="J12" s="199" t="inlineStr">
        <is>
          <t>-0.04863</t>
        </is>
      </c>
      <c r="K12" s="203" t="inlineStr">
        <is>
          <t>Weakening ↓  |  Closer to 0 = symmetric</t>
        </is>
      </c>
    </row>
    <row r="13" ht="16" customHeight="1" s="28">
      <c r="A13" s="173" t="inlineStr">
        <is>
          <t>MSE</t>
        </is>
      </c>
      <c r="B13" s="178" t="inlineStr">
        <is>
          <t>5%</t>
        </is>
      </c>
      <c r="C13" s="178" t="n">
        <v>10</v>
      </c>
      <c r="D13" s="196" t="inlineStr">
        <is>
          <t>1722.19</t>
        </is>
      </c>
      <c r="E13" s="197" t="inlineStr">
        <is>
          <t>✓ VALID</t>
        </is>
      </c>
      <c r="F13" s="196" t="inlineStr">
        <is>
          <t>2208.11</t>
        </is>
      </c>
      <c r="G13" s="197" t="inlineStr">
        <is>
          <t>✓ VALID</t>
        </is>
      </c>
      <c r="H13" s="197" t="inlineStr">
        <is>
          <t>✓ YES</t>
        </is>
      </c>
      <c r="I13" s="198" t="inlineStr">
        <is>
          <t>-0.2821</t>
        </is>
      </c>
      <c r="J13" s="199" t="inlineStr">
        <is>
          <t>-0.01411</t>
        </is>
      </c>
      <c r="K13" s="200" t="inlineStr">
        <is>
          <t>Weakening ↓  |  Lower = better fit</t>
        </is>
      </c>
    </row>
    <row r="14" ht="16" customHeight="1" s="28">
      <c r="A14" s="175" t="inlineStr">
        <is>
          <t>Kurtosis</t>
        </is>
      </c>
      <c r="B14" s="180" t="inlineStr">
        <is>
          <t>3%</t>
        </is>
      </c>
      <c r="C14" s="180" t="n">
        <v>20</v>
      </c>
      <c r="D14" s="196" t="inlineStr">
        <is>
          <t>2.2149</t>
        </is>
      </c>
      <c r="E14" s="197" t="inlineStr">
        <is>
          <t>✓ VALID</t>
        </is>
      </c>
      <c r="F14" s="196" t="inlineStr">
        <is>
          <t>2.0074</t>
        </is>
      </c>
      <c r="G14" s="197" t="inlineStr">
        <is>
          <t>✓ VALID</t>
        </is>
      </c>
      <c r="H14" s="197" t="inlineStr">
        <is>
          <t>✓ YES</t>
        </is>
      </c>
      <c r="I14" s="198" t="inlineStr">
        <is>
          <t>-0.2643</t>
        </is>
      </c>
      <c r="J14" s="199" t="inlineStr">
        <is>
          <t>-0.00793</t>
        </is>
      </c>
      <c r="K14" s="203" t="inlineStr">
        <is>
          <t>Weakening ↓  |  Closer to 3 = normal tails</t>
        </is>
      </c>
    </row>
    <row r="15" ht="8" customHeight="1" s="28">
      <c r="A15" s="204" t="n"/>
      <c r="B15" s="204" t="n"/>
      <c r="C15" s="204" t="n"/>
      <c r="D15" s="204" t="n"/>
      <c r="E15" s="204" t="n"/>
      <c r="F15" s="204" t="n"/>
      <c r="G15" s="204" t="n"/>
      <c r="H15" s="204" t="n"/>
      <c r="I15" s="204" t="n"/>
      <c r="J15" s="204" t="n"/>
      <c r="K15" s="204" t="n"/>
    </row>
    <row r="16" ht="18" customHeight="1" s="28">
      <c r="A16" s="205" t="inlineStr">
        <is>
          <t xml:space="preserve">  Valid: 8/8 stats   |   In-Composite Weight: 100%   |   Excluded Weight: 0%</t>
        </is>
      </c>
      <c r="H16" s="206" t="inlineStr">
        <is>
          <t>Composite = Σ(valid weighted scores) / 1.00 × 100</t>
        </is>
      </c>
    </row>
    <row r="17" ht="28" customHeight="1" s="28">
      <c r="A17" s="207" t="inlineStr">
        <is>
          <t xml:space="preserve">  ► COMPOSITE SCORE</t>
        </is>
      </c>
      <c r="D17" s="208" t="inlineStr">
        <is>
          <t>-4.97</t>
        </is>
      </c>
      <c r="F17" s="209" t="inlineStr">
        <is>
          <t xml:space="preserve">  NEUTRAL — No significant divergence</t>
        </is>
      </c>
    </row>
    <row r="18" ht="8" customHeight="1" s="28"/>
    <row r="19" ht="24" customHeight="1" s="28">
      <c r="A19" s="210" t="inlineStr">
        <is>
          <t xml:space="preserve">  MODEL B2: close − Base_FL  |  All 1,135 Bars</t>
        </is>
      </c>
    </row>
    <row r="20" ht="16" customHeight="1" s="28">
      <c r="A20" s="194" t="inlineStr">
        <is>
          <t xml:space="preserve">  Stat A (Full Window): n = 1135     |     Stat B (Last Half): n = 568     |     Norm Test: JB     |     Hom Test: White</t>
        </is>
      </c>
    </row>
    <row r="21" ht="30" customHeight="1" s="28">
      <c r="A21" s="195" t="inlineStr">
        <is>
          <t>Statistic</t>
        </is>
      </c>
      <c r="B21" s="195" t="inlineStr">
        <is>
          <t>Weight</t>
        </is>
      </c>
      <c r="C21" s="195" t="inlineStr">
        <is>
          <t>Min n</t>
        </is>
      </c>
      <c r="D21" s="195" t="inlineStr">
        <is>
          <t>Stat A (n=1135)</t>
        </is>
      </c>
      <c r="E21" s="195" t="inlineStr">
        <is>
          <t>Stat A Status</t>
        </is>
      </c>
      <c r="F21" s="195" t="inlineStr">
        <is>
          <t>Stat B (n=568)</t>
        </is>
      </c>
      <c r="G21" s="195" t="inlineStr">
        <is>
          <t>Stat B Status</t>
        </is>
      </c>
      <c r="H21" s="195" t="inlineStr">
        <is>
          <t>In Composite</t>
        </is>
      </c>
      <c r="I21" s="195" t="inlineStr">
        <is>
          <t>Signal</t>
        </is>
      </c>
      <c r="J21" s="195" t="inlineStr">
        <is>
          <t>Weighted Score</t>
        </is>
      </c>
      <c r="K21" s="195" t="inlineStr">
        <is>
          <t>Interpretation</t>
        </is>
      </c>
    </row>
    <row r="22" ht="16" customHeight="1" s="28">
      <c r="A22" s="173" t="inlineStr">
        <is>
          <t>Half-Life AR(1)</t>
        </is>
      </c>
      <c r="B22" s="178" t="inlineStr">
        <is>
          <t>30%</t>
        </is>
      </c>
      <c r="C22" s="178" t="n">
        <v>30</v>
      </c>
      <c r="D22" s="196" t="inlineStr">
        <is>
          <t>48.6347</t>
        </is>
      </c>
      <c r="E22" s="197" t="inlineStr">
        <is>
          <t>✓ VALID</t>
        </is>
      </c>
      <c r="F22" s="196" t="inlineStr">
        <is>
          <t>65.7683</t>
        </is>
      </c>
      <c r="G22" s="197" t="inlineStr">
        <is>
          <t>✓ VALID</t>
        </is>
      </c>
      <c r="H22" s="197" t="inlineStr">
        <is>
          <t>✓ YES</t>
        </is>
      </c>
      <c r="I22" s="198" t="inlineStr">
        <is>
          <t>-0.3523</t>
        </is>
      </c>
      <c r="J22" s="199" t="inlineStr">
        <is>
          <t>-0.10569</t>
        </is>
      </c>
      <c r="K22" s="200" t="inlineStr">
        <is>
          <t>Weakening ↓  |  Shorter = faster reversion to Base_FL</t>
        </is>
      </c>
    </row>
    <row r="23" ht="16" customHeight="1" s="28">
      <c r="A23" s="175" t="inlineStr">
        <is>
          <t>Homoscedasticity (White)</t>
        </is>
      </c>
      <c r="B23" s="180" t="inlineStr">
        <is>
          <t>20%</t>
        </is>
      </c>
      <c r="C23" s="180" t="n">
        <v>100</v>
      </c>
      <c r="D23" s="196" t="inlineStr">
        <is>
          <t>136.0516</t>
        </is>
      </c>
      <c r="E23" s="197" t="inlineStr">
        <is>
          <t>✓ VALID</t>
        </is>
      </c>
      <c r="F23" s="196" t="inlineStr">
        <is>
          <t>28.9706</t>
        </is>
      </c>
      <c r="G23" s="197" t="inlineStr">
        <is>
          <t>✓ VALID</t>
        </is>
      </c>
      <c r="H23" s="197" t="inlineStr">
        <is>
          <t>✓ YES</t>
        </is>
      </c>
      <c r="I23" s="197" t="inlineStr">
        <is>
          <t>+0.7871</t>
        </is>
      </c>
      <c r="J23" s="196" t="inlineStr">
        <is>
          <t>+0.15742</t>
        </is>
      </c>
      <c r="K23" s="203" t="inlineStr">
        <is>
          <t>Strengthening ↑  |  Lower LM = more homoscedastic</t>
        </is>
      </c>
    </row>
    <row r="24" ht="16" customHeight="1" s="28">
      <c r="A24" s="173" t="inlineStr">
        <is>
          <t>R-Square (Base_FL)</t>
        </is>
      </c>
      <c r="B24" s="178" t="inlineStr">
        <is>
          <t>20%</t>
        </is>
      </c>
      <c r="C24" s="178" t="n">
        <v>20</v>
      </c>
      <c r="D24" s="196" t="inlineStr">
        <is>
          <t>0.7958</t>
        </is>
      </c>
      <c r="E24" s="197" t="inlineStr">
        <is>
          <t>✓ VALID</t>
        </is>
      </c>
      <c r="F24" s="196" t="inlineStr">
        <is>
          <t>0.2452</t>
        </is>
      </c>
      <c r="G24" s="197" t="inlineStr">
        <is>
          <t>✓ VALID</t>
        </is>
      </c>
      <c r="H24" s="197" t="inlineStr">
        <is>
          <t>✓ YES</t>
        </is>
      </c>
      <c r="I24" s="198" t="inlineStr">
        <is>
          <t>-0.6919</t>
        </is>
      </c>
      <c r="J24" s="199" t="inlineStr">
        <is>
          <t>-0.13838</t>
        </is>
      </c>
      <c r="K24" s="200" t="inlineStr">
        <is>
          <t>Weakening ↓  |  Higher = stronger Base_FL influence</t>
        </is>
      </c>
    </row>
    <row r="25" ht="16" customHeight="1" s="28">
      <c r="A25" s="175" t="inlineStr">
        <is>
          <t>Variance Ratio</t>
        </is>
      </c>
      <c r="B25" s="180" t="inlineStr">
        <is>
          <t>10%</t>
        </is>
      </c>
      <c r="C25" s="180" t="n">
        <v>40</v>
      </c>
      <c r="D25" s="196" t="inlineStr">
        <is>
          <t>0.4353</t>
        </is>
      </c>
      <c r="E25" s="197" t="inlineStr">
        <is>
          <t>✓ VALID</t>
        </is>
      </c>
      <c r="F25" s="196" t="inlineStr">
        <is>
          <t>1.3912</t>
        </is>
      </c>
      <c r="G25" s="197" t="inlineStr">
        <is>
          <t>✓ VALID</t>
        </is>
      </c>
      <c r="H25" s="197" t="inlineStr">
        <is>
          <t>✓ YES</t>
        </is>
      </c>
      <c r="I25" s="197" t="inlineStr">
        <is>
          <t>+0.3072</t>
        </is>
      </c>
      <c r="J25" s="196" t="inlineStr">
        <is>
          <t>+0.03072</t>
        </is>
      </c>
      <c r="K25" s="203" t="inlineStr">
        <is>
          <t>Strengthening ↑  |  Closer to 1.0 = mean-reverting</t>
        </is>
      </c>
    </row>
    <row r="26" ht="16" customHeight="1" s="28">
      <c r="A26" s="173" t="inlineStr">
        <is>
          <t>Normality (JB)</t>
        </is>
      </c>
      <c r="B26" s="178" t="inlineStr">
        <is>
          <t>7%</t>
        </is>
      </c>
      <c r="C26" s="178" t="n">
        <v>200</v>
      </c>
      <c r="D26" s="196" t="inlineStr">
        <is>
          <t>30.3779</t>
        </is>
      </c>
      <c r="E26" s="197" t="inlineStr">
        <is>
          <t>✓ VALID</t>
        </is>
      </c>
      <c r="F26" s="196" t="inlineStr">
        <is>
          <t>37.6250</t>
        </is>
      </c>
      <c r="G26" s="197" t="inlineStr">
        <is>
          <t>✓ VALID</t>
        </is>
      </c>
      <c r="H26" s="197" t="inlineStr">
        <is>
          <t>✓ YES</t>
        </is>
      </c>
      <c r="I26" s="198" t="inlineStr">
        <is>
          <t>-0.2386</t>
        </is>
      </c>
      <c r="J26" s="199" t="inlineStr">
        <is>
          <t>-0.01670</t>
        </is>
      </c>
      <c r="K26" s="200" t="inlineStr">
        <is>
          <t>Weakening ↓  |  More normal residuals</t>
        </is>
      </c>
    </row>
    <row r="27" ht="16" customHeight="1" s="28">
      <c r="A27" s="175" t="inlineStr">
        <is>
          <t>Skewness</t>
        </is>
      </c>
      <c r="B27" s="180" t="inlineStr">
        <is>
          <t>5%</t>
        </is>
      </c>
      <c r="C27" s="180" t="n">
        <v>20</v>
      </c>
      <c r="D27" s="196" t="inlineStr">
        <is>
          <t>-0.2198</t>
        </is>
      </c>
      <c r="E27" s="197" t="inlineStr">
        <is>
          <t>✓ VALID</t>
        </is>
      </c>
      <c r="F27" s="196" t="inlineStr">
        <is>
          <t>-0.3688</t>
        </is>
      </c>
      <c r="G27" s="197" t="inlineStr">
        <is>
          <t>✓ VALID</t>
        </is>
      </c>
      <c r="H27" s="197" t="inlineStr">
        <is>
          <t>✓ YES</t>
        </is>
      </c>
      <c r="I27" s="198" t="inlineStr">
        <is>
          <t>-0.6779</t>
        </is>
      </c>
      <c r="J27" s="199" t="inlineStr">
        <is>
          <t>-0.03390</t>
        </is>
      </c>
      <c r="K27" s="203" t="inlineStr">
        <is>
          <t>Weakening ↓  |  Closer to 0 = symmetric</t>
        </is>
      </c>
    </row>
    <row r="28" ht="16" customHeight="1" s="28">
      <c r="A28" s="173" t="inlineStr">
        <is>
          <t>MSE</t>
        </is>
      </c>
      <c r="B28" s="178" t="inlineStr">
        <is>
          <t>5%</t>
        </is>
      </c>
      <c r="C28" s="178" t="n">
        <v>10</v>
      </c>
      <c r="D28" s="196" t="inlineStr">
        <is>
          <t>1661.05</t>
        </is>
      </c>
      <c r="E28" s="197" t="inlineStr">
        <is>
          <t>✓ VALID</t>
        </is>
      </c>
      <c r="F28" s="196" t="inlineStr">
        <is>
          <t>2228.60</t>
        </is>
      </c>
      <c r="G28" s="197" t="inlineStr">
        <is>
          <t>✓ VALID</t>
        </is>
      </c>
      <c r="H28" s="197" t="inlineStr">
        <is>
          <t>✓ YES</t>
        </is>
      </c>
      <c r="I28" s="198" t="inlineStr">
        <is>
          <t>-0.3417</t>
        </is>
      </c>
      <c r="J28" s="199" t="inlineStr">
        <is>
          <t>-0.01708</t>
        </is>
      </c>
      <c r="K28" s="200" t="inlineStr">
        <is>
          <t>Weakening ↓  |  Lower = better fit</t>
        </is>
      </c>
    </row>
    <row r="29" ht="16" customHeight="1" s="28">
      <c r="A29" s="175" t="inlineStr">
        <is>
          <t>Kurtosis</t>
        </is>
      </c>
      <c r="B29" s="180" t="inlineStr">
        <is>
          <t>3%</t>
        </is>
      </c>
      <c r="C29" s="180" t="n">
        <v>20</v>
      </c>
      <c r="D29" s="196" t="inlineStr">
        <is>
          <t>2.3299</t>
        </is>
      </c>
      <c r="E29" s="197" t="inlineStr">
        <is>
          <t>✓ VALID</t>
        </is>
      </c>
      <c r="F29" s="196" t="inlineStr">
        <is>
          <t>1.9773</t>
        </is>
      </c>
      <c r="G29" s="197" t="inlineStr">
        <is>
          <t>✓ VALID</t>
        </is>
      </c>
      <c r="H29" s="197" t="inlineStr">
        <is>
          <t>✓ YES</t>
        </is>
      </c>
      <c r="I29" s="198" t="inlineStr">
        <is>
          <t>-0.5262</t>
        </is>
      </c>
      <c r="J29" s="199" t="inlineStr">
        <is>
          <t>-0.01579</t>
        </is>
      </c>
      <c r="K29" s="203" t="inlineStr">
        <is>
          <t>Weakening ↓  |  Closer to 3 = normal tails</t>
        </is>
      </c>
    </row>
    <row r="30" ht="8" customHeight="1" s="28">
      <c r="A30" s="204" t="n"/>
      <c r="B30" s="204" t="n"/>
      <c r="C30" s="204" t="n"/>
      <c r="D30" s="204" t="n"/>
      <c r="E30" s="204" t="n"/>
      <c r="F30" s="204" t="n"/>
      <c r="G30" s="204" t="n"/>
      <c r="H30" s="204" t="n"/>
      <c r="I30" s="204" t="n"/>
      <c r="J30" s="204" t="n"/>
      <c r="K30" s="204" t="n"/>
    </row>
    <row r="31" ht="18" customHeight="1" s="28">
      <c r="A31" s="205" t="inlineStr">
        <is>
          <t xml:space="preserve">  Valid: 8/8 stats   |   In-Composite Weight: 100%   |   Excluded Weight: 0%</t>
        </is>
      </c>
      <c r="H31" s="206" t="inlineStr">
        <is>
          <t>Composite = Σ(valid weighted scores) / 1.00 × 100</t>
        </is>
      </c>
    </row>
    <row r="32" ht="28" customHeight="1" s="28">
      <c r="A32" s="211" t="inlineStr">
        <is>
          <t xml:space="preserve">  ► COMPOSITE SCORE</t>
        </is>
      </c>
      <c r="D32" s="212" t="inlineStr">
        <is>
          <t>-13.94</t>
        </is>
      </c>
      <c r="F32" s="213" t="inlineStr">
        <is>
          <t xml:space="preserve">  Mild Weakening — Slight deterioration in recent window</t>
        </is>
      </c>
    </row>
    <row r="33" ht="8" customHeight="1" s="28"/>
  </sheetData>
  <mergeCells count="16">
    <mergeCell ref="A4:K4"/>
    <mergeCell ref="A20:K20"/>
    <mergeCell ref="A31:G31"/>
    <mergeCell ref="A32:C32"/>
    <mergeCell ref="H31:K31"/>
    <mergeCell ref="F32:K32"/>
    <mergeCell ref="A2:K2"/>
    <mergeCell ref="A17:C17"/>
    <mergeCell ref="F17:K17"/>
    <mergeCell ref="A16:G16"/>
    <mergeCell ref="H16:K16"/>
    <mergeCell ref="A19:K19"/>
    <mergeCell ref="D32:E32"/>
    <mergeCell ref="A5:K5"/>
    <mergeCell ref="D17:E17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9A227"/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28" min="1" max="1"/>
    <col width="14" customWidth="1" style="28" min="2" max="2"/>
    <col width="14" customWidth="1" style="28" min="3" max="3"/>
    <col width="14" customWidth="1" style="28" min="4" max="4"/>
    <col width="14" customWidth="1" style="28" min="5" max="5"/>
    <col width="14" customWidth="1" style="28" min="6" max="6"/>
    <col width="14" customWidth="1" style="28" min="7" max="7"/>
    <col width="14" customWidth="1" style="28" min="8" max="8"/>
    <col width="14" customWidth="1" style="28" min="9" max="9"/>
    <col width="14" customWidth="1" style="28" min="10" max="10"/>
    <col width="14" customWidth="1" style="28" min="11" max="11"/>
    <col width="30" customWidth="1" style="28" min="12" max="12"/>
  </cols>
  <sheetData>
    <row r="1" ht="32" customHeight="1" s="28">
      <c r="A1" s="191" t="inlineStr">
        <is>
          <t>COMPARISON — V1 (Original: 741 bars) vs V2 (V3894: 1,135 bars)</t>
        </is>
      </c>
    </row>
    <row r="2" ht="28" customHeight="1" s="28">
      <c r="A2" s="214" t="inlineStr">
        <is>
          <t>Purpose: Evaluate whether the MACD Influence model produces consistent, plausible signals across different datasets / observation windows  |  XAUUSD M15</t>
        </is>
      </c>
    </row>
    <row r="3" ht="8" customHeight="1" s="28"/>
    <row r="4" ht="20" customHeight="1" s="28">
      <c r="A4" s="215" t="inlineStr">
        <is>
          <t xml:space="preserve">  Model Composite Score Comparison</t>
        </is>
      </c>
    </row>
    <row r="5" ht="20" customHeight="1" s="28">
      <c r="A5" s="216" t="inlineStr">
        <is>
          <t>Model</t>
        </is>
      </c>
      <c r="B5" s="63" t="n"/>
      <c r="C5" s="64" t="n"/>
      <c r="D5" s="216" t="inlineStr">
        <is>
          <t>V1 Composite</t>
        </is>
      </c>
      <c r="E5" s="64" t="n"/>
      <c r="F5" s="216" t="inlineStr">
        <is>
          <t>V2 Composite</t>
        </is>
      </c>
      <c r="G5" s="64" t="n"/>
      <c r="H5" s="216" t="inlineStr">
        <is>
          <t>Change</t>
        </is>
      </c>
      <c r="I5" s="64" t="n"/>
      <c r="J5" s="216" t="inlineStr">
        <is>
          <t>Interpretation</t>
        </is>
      </c>
      <c r="K5" s="63" t="n"/>
      <c r="L5" s="64" t="n"/>
    </row>
    <row r="6" ht="22" customHeight="1" s="28">
      <c r="A6" s="217" t="inlineStr">
        <is>
          <t>Model A (SSA − Base_FL, Crossings)</t>
        </is>
      </c>
      <c r="B6" s="63" t="n"/>
      <c r="C6" s="64" t="n"/>
      <c r="D6" s="201" t="inlineStr">
        <is>
          <t>+3.90  (n_full=65, n_half=33)</t>
        </is>
      </c>
      <c r="E6" s="64" t="n"/>
      <c r="F6" s="201" t="inlineStr">
        <is>
          <t>-4.97  (n_full=107, n_half=53)</t>
        </is>
      </c>
      <c r="G6" s="64" t="n"/>
      <c r="H6" s="218" t="inlineStr">
        <is>
          <t>-8.87</t>
        </is>
      </c>
      <c r="I6" s="64" t="n"/>
      <c r="J6" s="219" t="inlineStr">
        <is>
          <t>Moderate drift (Δ &lt; 10)</t>
        </is>
      </c>
      <c r="K6" s="63" t="n"/>
      <c r="L6" s="64" t="n"/>
    </row>
    <row r="7" ht="22" customHeight="1" s="28">
      <c r="A7" s="220" t="inlineStr">
        <is>
          <t>Model B (close − Base_FL, All Bars)</t>
        </is>
      </c>
      <c r="B7" s="63" t="n"/>
      <c r="C7" s="64" t="n"/>
      <c r="D7" s="199" t="inlineStr">
        <is>
          <t>-11.34  (n_full=741, n_half=371)</t>
        </is>
      </c>
      <c r="E7" s="64" t="n"/>
      <c r="F7" s="199" t="inlineStr">
        <is>
          <t>-13.94  (n_full=1135, n_half=567)</t>
        </is>
      </c>
      <c r="G7" s="64" t="n"/>
      <c r="H7" s="218" t="inlineStr">
        <is>
          <t>-2.60</t>
        </is>
      </c>
      <c r="I7" s="64" t="n"/>
      <c r="J7" s="219" t="inlineStr">
        <is>
          <t>Consistent ✓ (Δ &lt; 3)</t>
        </is>
      </c>
      <c r="K7" s="63" t="n"/>
      <c r="L7" s="64" t="n"/>
    </row>
    <row r="8" ht="8" customHeight="1" s="28"/>
    <row r="9" ht="22" customHeight="1" s="28">
      <c r="A9" s="207" t="inlineStr">
        <is>
          <t xml:space="preserve">  MODEL A — Stat-by-Stat Comparison (V1 n=65/33  vs  V2 n=107/54)</t>
        </is>
      </c>
    </row>
    <row r="10" ht="28" customHeight="1" s="28">
      <c r="A10" s="221" t="inlineStr">
        <is>
          <t>Statistic</t>
        </is>
      </c>
      <c r="B10" s="221" t="inlineStr">
        <is>
          <t>V1 Stat A</t>
        </is>
      </c>
      <c r="C10" s="221" t="inlineStr">
        <is>
          <t>V1 Stat B</t>
        </is>
      </c>
      <c r="D10" s="221" t="inlineStr">
        <is>
          <t>V1 Signal</t>
        </is>
      </c>
      <c r="E10" s="221" t="inlineStr">
        <is>
          <t>V1 W.Score</t>
        </is>
      </c>
      <c r="F10" s="221" t="inlineStr">
        <is>
          <t>V2 Stat A</t>
        </is>
      </c>
      <c r="G10" s="221" t="inlineStr">
        <is>
          <t>V2 Stat B</t>
        </is>
      </c>
      <c r="H10" s="221" t="inlineStr">
        <is>
          <t>V2 Signal</t>
        </is>
      </c>
      <c r="I10" s="221" t="inlineStr">
        <is>
          <t>V2 W.Score</t>
        </is>
      </c>
      <c r="J10" s="221" t="inlineStr">
        <is>
          <t>Signal Δ</t>
        </is>
      </c>
      <c r="K10" s="221" t="inlineStr">
        <is>
          <t>Assessment</t>
        </is>
      </c>
    </row>
    <row r="11" ht="15" customHeight="1" s="28">
      <c r="A11" s="222" t="inlineStr">
        <is>
          <t>Half-Life AR(1)</t>
        </is>
      </c>
      <c r="B11" s="222" t="inlineStr">
        <is>
          <t>3.7100</t>
        </is>
      </c>
      <c r="C11" s="222" t="inlineStr">
        <is>
          <t>2.8600</t>
        </is>
      </c>
      <c r="D11" s="223" t="inlineStr">
        <is>
          <t>+0.2291</t>
        </is>
      </c>
      <c r="E11" s="223" t="inlineStr">
        <is>
          <t>+0.06873</t>
        </is>
      </c>
      <c r="F11" s="222" t="inlineStr">
        <is>
          <t>2.8205</t>
        </is>
      </c>
      <c r="G11" s="222" t="inlineStr">
        <is>
          <t>3.5939</t>
        </is>
      </c>
      <c r="H11" s="224" t="inlineStr">
        <is>
          <t>-0.2742</t>
        </is>
      </c>
      <c r="I11" s="224" t="inlineStr">
        <is>
          <t>-0.08226</t>
        </is>
      </c>
      <c r="J11" s="224" t="inlineStr">
        <is>
          <t>-0.5033</t>
        </is>
      </c>
      <c r="K11" s="181" t="inlineStr">
        <is>
          <t>Large shift ⚠</t>
        </is>
      </c>
    </row>
    <row r="12" ht="15" customHeight="1" s="28">
      <c r="A12" s="182" t="inlineStr">
        <is>
          <t>Hom (BP)</t>
        </is>
      </c>
      <c r="B12" s="182" t="inlineStr">
        <is>
          <t>0.0715</t>
        </is>
      </c>
      <c r="C12" s="182" t="inlineStr">
        <is>
          <t>16.2620</t>
        </is>
      </c>
      <c r="D12" s="181" t="inlineStr">
        <is>
          <t>excl.</t>
        </is>
      </c>
      <c r="E12" s="181" t="inlineStr">
        <is>
          <t>excl.</t>
        </is>
      </c>
      <c r="F12" s="182" t="inlineStr">
        <is>
          <t>4.4267</t>
        </is>
      </c>
      <c r="G12" s="182" t="inlineStr">
        <is>
          <t>0.6632</t>
        </is>
      </c>
      <c r="H12" s="223" t="inlineStr">
        <is>
          <t>+0.8502</t>
        </is>
      </c>
      <c r="I12" s="223" t="inlineStr">
        <is>
          <t>+0.17004</t>
        </is>
      </c>
      <c r="J12" s="181" t="inlineStr">
        <is>
          <t>—</t>
        </is>
      </c>
      <c r="K12" s="181" t="inlineStr">
        <is>
          <t>—</t>
        </is>
      </c>
    </row>
    <row r="13" ht="15" customHeight="1" s="28">
      <c r="A13" s="222" t="inlineStr">
        <is>
          <t>R-Square</t>
        </is>
      </c>
      <c r="B13" s="222" t="inlineStr">
        <is>
          <t>0.4778</t>
        </is>
      </c>
      <c r="C13" s="222" t="inlineStr">
        <is>
          <t>0.4081</t>
        </is>
      </c>
      <c r="D13" s="224" t="inlineStr">
        <is>
          <t>-0.1459</t>
        </is>
      </c>
      <c r="E13" s="224" t="inlineStr">
        <is>
          <t>-0.02918</t>
        </is>
      </c>
      <c r="F13" s="222" t="inlineStr">
        <is>
          <t>0.8055</t>
        </is>
      </c>
      <c r="G13" s="222" t="inlineStr">
        <is>
          <t>0.4725</t>
        </is>
      </c>
      <c r="H13" s="224" t="inlineStr">
        <is>
          <t>-0.4134</t>
        </is>
      </c>
      <c r="I13" s="224" t="inlineStr">
        <is>
          <t>-0.08268</t>
        </is>
      </c>
      <c r="J13" s="225" t="inlineStr">
        <is>
          <t>-0.2675</t>
        </is>
      </c>
      <c r="K13" s="181" t="inlineStr">
        <is>
          <t>Moderate shift</t>
        </is>
      </c>
    </row>
    <row r="14" ht="15" customHeight="1" s="28">
      <c r="A14" s="182" t="inlineStr">
        <is>
          <t>Var Ratio</t>
        </is>
      </c>
      <c r="B14" s="182" t="inlineStr">
        <is>
          <t>1.0469</t>
        </is>
      </c>
      <c r="C14" s="182" t="inlineStr">
        <is>
          <t>0.0900</t>
        </is>
      </c>
      <c r="D14" s="181" t="inlineStr">
        <is>
          <t>excl.</t>
        </is>
      </c>
      <c r="E14" s="181" t="inlineStr">
        <is>
          <t>excl.</t>
        </is>
      </c>
      <c r="F14" s="182" t="inlineStr">
        <is>
          <t>0.5128</t>
        </is>
      </c>
      <c r="G14" s="182" t="inlineStr">
        <is>
          <t>0.6032</t>
        </is>
      </c>
      <c r="H14" s="223" t="inlineStr">
        <is>
          <t>+0.1856</t>
        </is>
      </c>
      <c r="I14" s="223" t="inlineStr">
        <is>
          <t>+0.01856</t>
        </is>
      </c>
      <c r="J14" s="181" t="inlineStr">
        <is>
          <t>—</t>
        </is>
      </c>
      <c r="K14" s="181" t="inlineStr">
        <is>
          <t>—</t>
        </is>
      </c>
    </row>
    <row r="15" ht="15" customHeight="1" s="28">
      <c r="A15" s="222" t="inlineStr">
        <is>
          <t>Norm (SW)</t>
        </is>
      </c>
      <c r="B15" s="222" t="inlineStr">
        <is>
          <t>0.8520</t>
        </is>
      </c>
      <c r="C15" s="222" t="inlineStr">
        <is>
          <t>0.7746</t>
        </is>
      </c>
      <c r="D15" s="224" t="inlineStr">
        <is>
          <t>-0.0908</t>
        </is>
      </c>
      <c r="E15" s="224" t="inlineStr">
        <is>
          <t>-0.00636</t>
        </is>
      </c>
      <c r="F15" s="222" t="inlineStr">
        <is>
          <t>0.9789</t>
        </is>
      </c>
      <c r="G15" s="222" t="inlineStr">
        <is>
          <t>0.9421</t>
        </is>
      </c>
      <c r="H15" s="224" t="inlineStr">
        <is>
          <t>-0.0377</t>
        </is>
      </c>
      <c r="I15" s="224" t="inlineStr">
        <is>
          <t>-0.00264</t>
        </is>
      </c>
      <c r="J15" s="223" t="inlineStr">
        <is>
          <t>+0.0531</t>
        </is>
      </c>
      <c r="K15" s="181" t="inlineStr">
        <is>
          <t>Consistent ✓</t>
        </is>
      </c>
    </row>
    <row r="16" ht="15" customHeight="1" s="28">
      <c r="A16" s="182" t="inlineStr">
        <is>
          <t>Skewness</t>
        </is>
      </c>
      <c r="B16" s="182" t="inlineStr">
        <is>
          <t>-0.8668</t>
        </is>
      </c>
      <c r="C16" s="182" t="inlineStr">
        <is>
          <t>-0.9772</t>
        </is>
      </c>
      <c r="D16" s="224" t="inlineStr">
        <is>
          <t>-0.1274</t>
        </is>
      </c>
      <c r="E16" s="224" t="inlineStr">
        <is>
          <t>-0.00637</t>
        </is>
      </c>
      <c r="F16" s="182" t="inlineStr">
        <is>
          <t>-0.2081</t>
        </is>
      </c>
      <c r="G16" s="182" t="inlineStr">
        <is>
          <t>-0.4105</t>
        </is>
      </c>
      <c r="H16" s="224" t="inlineStr">
        <is>
          <t>-0.9726</t>
        </is>
      </c>
      <c r="I16" s="224" t="inlineStr">
        <is>
          <t>-0.04863</t>
        </is>
      </c>
      <c r="J16" s="224" t="inlineStr">
        <is>
          <t>-0.8452</t>
        </is>
      </c>
      <c r="K16" s="181" t="inlineStr">
        <is>
          <t>Large shift ⚠</t>
        </is>
      </c>
    </row>
    <row r="17" ht="15" customHeight="1" s="28">
      <c r="A17" s="222" t="inlineStr">
        <is>
          <t>MSE</t>
        </is>
      </c>
      <c r="B17" s="222" t="inlineStr">
        <is>
          <t>2763.5000</t>
        </is>
      </c>
      <c r="C17" s="222" t="inlineStr">
        <is>
          <t>2833.9400</t>
        </is>
      </c>
      <c r="D17" s="224" t="inlineStr">
        <is>
          <t>-0.0255</t>
        </is>
      </c>
      <c r="E17" s="224" t="inlineStr">
        <is>
          <t>-0.00128</t>
        </is>
      </c>
      <c r="F17" s="222" t="inlineStr">
        <is>
          <t>1722.1930</t>
        </is>
      </c>
      <c r="G17" s="222" t="inlineStr">
        <is>
          <t>2208.1080</t>
        </is>
      </c>
      <c r="H17" s="224" t="inlineStr">
        <is>
          <t>-0.2821</t>
        </is>
      </c>
      <c r="I17" s="224" t="inlineStr">
        <is>
          <t>-0.01411</t>
        </is>
      </c>
      <c r="J17" s="225" t="inlineStr">
        <is>
          <t>-0.2566</t>
        </is>
      </c>
      <c r="K17" s="181" t="inlineStr">
        <is>
          <t>Moderate shift</t>
        </is>
      </c>
    </row>
    <row r="18" ht="15" customHeight="1" s="28">
      <c r="A18" s="182" t="inlineStr">
        <is>
          <t>Kurtosis</t>
        </is>
      </c>
      <c r="B18" s="182" t="inlineStr">
        <is>
          <t>2.3932</t>
        </is>
      </c>
      <c r="C18" s="182" t="inlineStr">
        <is>
          <t>2.4283</t>
        </is>
      </c>
      <c r="D18" s="223" t="inlineStr">
        <is>
          <t>+0.0578</t>
        </is>
      </c>
      <c r="E18" s="223" t="inlineStr">
        <is>
          <t>+0.00173</t>
        </is>
      </c>
      <c r="F18" s="182" t="inlineStr">
        <is>
          <t>2.2149</t>
        </is>
      </c>
      <c r="G18" s="182" t="inlineStr">
        <is>
          <t>2.0074</t>
        </is>
      </c>
      <c r="H18" s="224" t="inlineStr">
        <is>
          <t>-0.2643</t>
        </is>
      </c>
      <c r="I18" s="224" t="inlineStr">
        <is>
          <t>-0.00793</t>
        </is>
      </c>
      <c r="J18" s="224" t="inlineStr">
        <is>
          <t>-0.3221</t>
        </is>
      </c>
      <c r="K18" s="181" t="inlineStr">
        <is>
          <t>Large shift ⚠</t>
        </is>
      </c>
    </row>
    <row r="19" ht="8" customHeight="1" s="28"/>
    <row r="20" ht="22" customHeight="1" s="28">
      <c r="A20" s="211" t="inlineStr">
        <is>
          <t xml:space="preserve">  MODEL B — Stat-by-Stat Comparison (V1 n=741/371  vs  V2 n=1135/568)</t>
        </is>
      </c>
    </row>
    <row r="21" ht="28" customHeight="1" s="28">
      <c r="A21" s="221" t="inlineStr">
        <is>
          <t>Statistic</t>
        </is>
      </c>
      <c r="B21" s="221" t="inlineStr">
        <is>
          <t>V1 Stat A</t>
        </is>
      </c>
      <c r="C21" s="221" t="inlineStr">
        <is>
          <t>V1 Stat B</t>
        </is>
      </c>
      <c r="D21" s="221" t="inlineStr">
        <is>
          <t>V1 Signal</t>
        </is>
      </c>
      <c r="E21" s="221" t="inlineStr">
        <is>
          <t>V1 W.Score</t>
        </is>
      </c>
      <c r="F21" s="221" t="inlineStr">
        <is>
          <t>V2 Stat A</t>
        </is>
      </c>
      <c r="G21" s="221" t="inlineStr">
        <is>
          <t>V2 Stat B</t>
        </is>
      </c>
      <c r="H21" s="221" t="inlineStr">
        <is>
          <t>V2 Signal</t>
        </is>
      </c>
      <c r="I21" s="221" t="inlineStr">
        <is>
          <t>V2 W.Score</t>
        </is>
      </c>
      <c r="J21" s="221" t="inlineStr">
        <is>
          <t>Signal Δ</t>
        </is>
      </c>
      <c r="K21" s="221" t="inlineStr">
        <is>
          <t>Assessment</t>
        </is>
      </c>
    </row>
    <row r="22" ht="15" customHeight="1" s="28">
      <c r="A22" s="222" t="inlineStr">
        <is>
          <t>Half-Life AR(1)</t>
        </is>
      </c>
      <c r="B22" s="222" t="inlineStr">
        <is>
          <t>72.5300</t>
        </is>
      </c>
      <c r="C22" s="222" t="inlineStr">
        <is>
          <t>59.9100</t>
        </is>
      </c>
      <c r="D22" s="223" t="inlineStr">
        <is>
          <t>+0.1740</t>
        </is>
      </c>
      <c r="E22" s="223" t="inlineStr">
        <is>
          <t>+0.05220</t>
        </is>
      </c>
      <c r="F22" s="222" t="inlineStr">
        <is>
          <t>48.6347</t>
        </is>
      </c>
      <c r="G22" s="222" t="inlineStr">
        <is>
          <t>65.7683</t>
        </is>
      </c>
      <c r="H22" s="224" t="inlineStr">
        <is>
          <t>-0.3523</t>
        </is>
      </c>
      <c r="I22" s="224" t="inlineStr">
        <is>
          <t>-0.10569</t>
        </is>
      </c>
      <c r="J22" s="224" t="inlineStr">
        <is>
          <t>-0.5263</t>
        </is>
      </c>
      <c r="K22" s="181" t="inlineStr">
        <is>
          <t>Large shift ⚠</t>
        </is>
      </c>
    </row>
    <row r="23" ht="15" customHeight="1" s="28">
      <c r="A23" s="182" t="inlineStr">
        <is>
          <t>Hom (White)</t>
        </is>
      </c>
      <c r="B23" s="182" t="inlineStr">
        <is>
          <t>129.8390</t>
        </is>
      </c>
      <c r="C23" s="182" t="inlineStr">
        <is>
          <t>220.6490</t>
        </is>
      </c>
      <c r="D23" s="224" t="inlineStr">
        <is>
          <t>-0.6994</t>
        </is>
      </c>
      <c r="E23" s="224" t="inlineStr">
        <is>
          <t>-0.13988</t>
        </is>
      </c>
      <c r="F23" s="182" t="inlineStr">
        <is>
          <t>136.0516</t>
        </is>
      </c>
      <c r="G23" s="182" t="inlineStr">
        <is>
          <t>28.9706</t>
        </is>
      </c>
      <c r="H23" s="223" t="inlineStr">
        <is>
          <t>+0.7871</t>
        </is>
      </c>
      <c r="I23" s="223" t="inlineStr">
        <is>
          <t>+0.15742</t>
        </is>
      </c>
      <c r="J23" s="224" t="inlineStr">
        <is>
          <t>+1.4865</t>
        </is>
      </c>
      <c r="K23" s="181" t="inlineStr">
        <is>
          <t>Large shift ⚠</t>
        </is>
      </c>
    </row>
    <row r="24" ht="15" customHeight="1" s="28">
      <c r="A24" s="222" t="inlineStr">
        <is>
          <t>R-Square</t>
        </is>
      </c>
      <c r="B24" s="222" t="inlineStr">
        <is>
          <t>0.5003</t>
        </is>
      </c>
      <c r="C24" s="222" t="inlineStr">
        <is>
          <t>0.4300</t>
        </is>
      </c>
      <c r="D24" s="224" t="inlineStr">
        <is>
          <t>-0.1405</t>
        </is>
      </c>
      <c r="E24" s="224" t="inlineStr">
        <is>
          <t>-0.02810</t>
        </is>
      </c>
      <c r="F24" s="222" t="inlineStr">
        <is>
          <t>0.7958</t>
        </is>
      </c>
      <c r="G24" s="222" t="inlineStr">
        <is>
          <t>0.2452</t>
        </is>
      </c>
      <c r="H24" s="224" t="inlineStr">
        <is>
          <t>-0.6919</t>
        </is>
      </c>
      <c r="I24" s="224" t="inlineStr">
        <is>
          <t>-0.13838</t>
        </is>
      </c>
      <c r="J24" s="224" t="inlineStr">
        <is>
          <t>-0.5514</t>
        </is>
      </c>
      <c r="K24" s="181" t="inlineStr">
        <is>
          <t>Large shift ⚠</t>
        </is>
      </c>
    </row>
    <row r="25" ht="15" customHeight="1" s="28">
      <c r="A25" s="182" t="inlineStr">
        <is>
          <t>Var Ratio</t>
        </is>
      </c>
      <c r="B25" s="182" t="inlineStr">
        <is>
          <t>2.0000</t>
        </is>
      </c>
      <c r="C25" s="182" t="inlineStr">
        <is>
          <t>0.1105</t>
        </is>
      </c>
      <c r="D25" s="223" t="inlineStr">
        <is>
          <t>+0.1105</t>
        </is>
      </c>
      <c r="E25" s="223" t="inlineStr">
        <is>
          <t>+0.01105</t>
        </is>
      </c>
      <c r="F25" s="182" t="inlineStr">
        <is>
          <t>0.4353</t>
        </is>
      </c>
      <c r="G25" s="182" t="inlineStr">
        <is>
          <t>1.3912</t>
        </is>
      </c>
      <c r="H25" s="223" t="inlineStr">
        <is>
          <t>+0.3072</t>
        </is>
      </c>
      <c r="I25" s="223" t="inlineStr">
        <is>
          <t>+0.03072</t>
        </is>
      </c>
      <c r="J25" s="225" t="inlineStr">
        <is>
          <t>+0.1967</t>
        </is>
      </c>
      <c r="K25" s="181" t="inlineStr">
        <is>
          <t>Moderate shift</t>
        </is>
      </c>
    </row>
    <row r="26" ht="15" customHeight="1" s="28">
      <c r="A26" s="222" t="inlineStr">
        <is>
          <t>Norm (JB)</t>
        </is>
      </c>
      <c r="B26" s="222" t="inlineStr">
        <is>
          <t>83.1542</t>
        </is>
      </c>
      <c r="C26" s="222" t="inlineStr">
        <is>
          <t>45.2600</t>
        </is>
      </c>
      <c r="D26" s="223" t="inlineStr">
        <is>
          <t>+0.4557</t>
        </is>
      </c>
      <c r="E26" s="223" t="inlineStr">
        <is>
          <t>+0.03190</t>
        </is>
      </c>
      <c r="F26" s="222" t="inlineStr">
        <is>
          <t>30.3779</t>
        </is>
      </c>
      <c r="G26" s="222" t="inlineStr">
        <is>
          <t>37.6250</t>
        </is>
      </c>
      <c r="H26" s="224" t="inlineStr">
        <is>
          <t>-0.2386</t>
        </is>
      </c>
      <c r="I26" s="224" t="inlineStr">
        <is>
          <t>-0.01670</t>
        </is>
      </c>
      <c r="J26" s="224" t="inlineStr">
        <is>
          <t>-0.6943</t>
        </is>
      </c>
      <c r="K26" s="181" t="inlineStr">
        <is>
          <t>Large shift ⚠</t>
        </is>
      </c>
    </row>
    <row r="27" ht="15" customHeight="1" s="28">
      <c r="A27" s="182" t="inlineStr">
        <is>
          <t>Skewness</t>
        </is>
      </c>
      <c r="B27" s="182" t="inlineStr">
        <is>
          <t>-0.7945</t>
        </is>
      </c>
      <c r="C27" s="182" t="inlineStr">
        <is>
          <t>-0.6988</t>
        </is>
      </c>
      <c r="D27" s="223" t="inlineStr">
        <is>
          <t>+0.1205</t>
        </is>
      </c>
      <c r="E27" s="223" t="inlineStr">
        <is>
          <t>+0.00602</t>
        </is>
      </c>
      <c r="F27" s="182" t="inlineStr">
        <is>
          <t>-0.2198</t>
        </is>
      </c>
      <c r="G27" s="182" t="inlineStr">
        <is>
          <t>-0.3688</t>
        </is>
      </c>
      <c r="H27" s="224" t="inlineStr">
        <is>
          <t>-0.6779</t>
        </is>
      </c>
      <c r="I27" s="224" t="inlineStr">
        <is>
          <t>-0.03390</t>
        </is>
      </c>
      <c r="J27" s="224" t="inlineStr">
        <is>
          <t>-0.7984</t>
        </is>
      </c>
      <c r="K27" s="181" t="inlineStr">
        <is>
          <t>Large shift ⚠</t>
        </is>
      </c>
    </row>
    <row r="28" ht="15" customHeight="1" s="28">
      <c r="A28" s="222" t="inlineStr">
        <is>
          <t>MSE</t>
        </is>
      </c>
      <c r="B28" s="222" t="inlineStr">
        <is>
          <t>2305.9800</t>
        </is>
      </c>
      <c r="C28" s="222" t="inlineStr">
        <is>
          <t>3071.0700</t>
        </is>
      </c>
      <c r="D28" s="224" t="inlineStr">
        <is>
          <t>-0.3318</t>
        </is>
      </c>
      <c r="E28" s="224" t="inlineStr">
        <is>
          <t>-0.01659</t>
        </is>
      </c>
      <c r="F28" s="222" t="inlineStr">
        <is>
          <t>1661.0493</t>
        </is>
      </c>
      <c r="G28" s="222" t="inlineStr">
        <is>
          <t>2228.6000</t>
        </is>
      </c>
      <c r="H28" s="224" t="inlineStr">
        <is>
          <t>-0.3417</t>
        </is>
      </c>
      <c r="I28" s="224" t="inlineStr">
        <is>
          <t>-0.01708</t>
        </is>
      </c>
      <c r="J28" s="223" t="inlineStr">
        <is>
          <t>-0.0099</t>
        </is>
      </c>
      <c r="K28" s="181" t="inlineStr">
        <is>
          <t>Consistent ✓</t>
        </is>
      </c>
    </row>
    <row r="29" ht="15" customHeight="1" s="28">
      <c r="A29" s="182" t="inlineStr">
        <is>
          <t>Kurtosis</t>
        </is>
      </c>
      <c r="B29" s="182" t="inlineStr">
        <is>
          <t>2.5901</t>
        </is>
      </c>
      <c r="C29" s="182" t="inlineStr">
        <is>
          <t>2.0127</t>
        </is>
      </c>
      <c r="D29" s="224" t="inlineStr">
        <is>
          <t>-1.0000</t>
        </is>
      </c>
      <c r="E29" s="224" t="inlineStr">
        <is>
          <t>-0.03000</t>
        </is>
      </c>
      <c r="F29" s="182" t="inlineStr">
        <is>
          <t>2.3299</t>
        </is>
      </c>
      <c r="G29" s="182" t="inlineStr">
        <is>
          <t>1.9773</t>
        </is>
      </c>
      <c r="H29" s="224" t="inlineStr">
        <is>
          <t>-0.5262</t>
        </is>
      </c>
      <c r="I29" s="224" t="inlineStr">
        <is>
          <t>-0.01579</t>
        </is>
      </c>
      <c r="J29" s="224" t="inlineStr">
        <is>
          <t>+0.4738</t>
        </is>
      </c>
      <c r="K29" s="181" t="inlineStr">
        <is>
          <t>Large shift ⚠</t>
        </is>
      </c>
    </row>
    <row r="30" ht="8" customHeight="1" s="28"/>
    <row r="31" ht="8" customHeight="1" s="28"/>
    <row r="32" ht="20" customHeight="1" s="28">
      <c r="A32" s="215" t="inlineStr">
        <is>
          <t xml:space="preserve">  Model Validation Assessment</t>
        </is>
      </c>
    </row>
    <row r="33" ht="22" customHeight="1" s="28">
      <c r="A33" s="226" t="inlineStr">
        <is>
          <t>Direction Consistency (Model A)</t>
        </is>
      </c>
      <c r="B33" s="63" t="n"/>
      <c r="C33" s="64" t="n"/>
      <c r="D33" s="227" t="inlineStr">
        <is>
          <t>V1: +3.90 (NEUTRAL)   V2: -4.97 (NEUTRAL)</t>
        </is>
      </c>
      <c r="E33" s="63" t="n"/>
      <c r="F33" s="63" t="n"/>
      <c r="G33" s="64" t="n"/>
      <c r="H33" s="228" t="inlineStr">
        <is>
          <t>Both Neutral zone</t>
        </is>
      </c>
      <c r="I33" s="63" t="n"/>
      <c r="J33" s="63" t="n"/>
      <c r="K33" s="63" t="n"/>
      <c r="L33" s="64" t="n"/>
    </row>
    <row r="34" ht="22" customHeight="1" s="28">
      <c r="A34" s="226" t="inlineStr">
        <is>
          <t>Direction Consistency (Model B)</t>
        </is>
      </c>
      <c r="B34" s="63" t="n"/>
      <c r="C34" s="64" t="n"/>
      <c r="D34" s="227" t="inlineStr">
        <is>
          <t>V1: -11.34 (Mild Weakening)   V2: -13.94 (Mild Weakening)</t>
        </is>
      </c>
      <c r="E34" s="63" t="n"/>
      <c r="F34" s="63" t="n"/>
      <c r="G34" s="64" t="n"/>
      <c r="H34" s="228" t="inlineStr">
        <is>
          <t>Same direction (Weakening)</t>
        </is>
      </c>
      <c r="I34" s="63" t="n"/>
      <c r="J34" s="63" t="n"/>
      <c r="K34" s="63" t="n"/>
      <c r="L34" s="64" t="n"/>
    </row>
    <row r="35" ht="22" customHeight="1" s="28">
      <c r="A35" s="226" t="inlineStr">
        <is>
          <t>Sample Size Effect</t>
        </is>
      </c>
      <c r="B35" s="63" t="n"/>
      <c r="C35" s="64" t="n"/>
      <c r="D35" s="227" t="inlineStr">
        <is>
          <t>V1: nA=65, nB=741   V2: nA=107, nB=1135</t>
        </is>
      </c>
      <c r="E35" s="63" t="n"/>
      <c r="F35" s="63" t="n"/>
      <c r="G35" s="64" t="n"/>
      <c r="H35" s="228" t="inlineStr">
        <is>
          <t>V2 has ~1.6× more data → all guard conditions pass; V1 had VR+BP excluded for Model A</t>
        </is>
      </c>
      <c r="I35" s="63" t="n"/>
      <c r="J35" s="63" t="n"/>
      <c r="K35" s="63" t="n"/>
      <c r="L35" s="64" t="n"/>
    </row>
    <row r="36" ht="22" customHeight="1" s="28">
      <c r="A36" s="226" t="inlineStr">
        <is>
          <t>Normality Test Outcome</t>
        </is>
      </c>
      <c r="B36" s="63" t="n"/>
      <c r="C36" s="64" t="n"/>
      <c r="D36" s="227" t="inlineStr">
        <is>
          <t>V1 Model A: NOT normal (SW p≈2e-6)   V2 Model A: NORMAL (SW p=0.087)</t>
        </is>
      </c>
      <c r="E36" s="63" t="n"/>
      <c r="F36" s="63" t="n"/>
      <c r="G36" s="64" t="n"/>
      <c r="H36" s="228" t="inlineStr">
        <is>
          <t>Different residual distributions — V3894 window shows better normality</t>
        </is>
      </c>
      <c r="I36" s="63" t="n"/>
      <c r="J36" s="63" t="n"/>
      <c r="K36" s="63" t="n"/>
      <c r="L36" s="64" t="n"/>
    </row>
    <row r="37" ht="22" customHeight="1" s="28">
      <c r="A37" s="226" t="inlineStr">
        <is>
          <t>Homoscedasticity Outcome</t>
        </is>
      </c>
      <c r="B37" s="63" t="n"/>
      <c r="C37" s="64" t="n"/>
      <c r="D37" s="227" t="inlineStr">
        <is>
          <t>V1 Model A: BP p=0.789 (homoscedastic)   V2 Model A: BP p=0.035 (heteroscedastic)</t>
        </is>
      </c>
      <c r="E37" s="63" t="n"/>
      <c r="F37" s="63" t="n"/>
      <c r="G37" s="64" t="n"/>
      <c r="H37" s="229" t="inlineStr">
        <is>
          <t>V3894 shows heteroscedasticity — variance structure differs between windows</t>
        </is>
      </c>
      <c r="I37" s="63" t="n"/>
      <c r="J37" s="63" t="n"/>
      <c r="K37" s="63" t="n"/>
      <c r="L37" s="64" t="n"/>
    </row>
    <row r="38" ht="22" customHeight="1" s="28">
      <c r="A38" s="226" t="inlineStr">
        <is>
          <t>Half-Life Comparison (Model A)</t>
        </is>
      </c>
      <c r="B38" s="63" t="n"/>
      <c r="C38" s="64" t="n"/>
      <c r="D38" s="227" t="inlineStr">
        <is>
          <t>V1: HL full=3.71, half=2.86   V2: HL full=2.82, half=3.59</t>
        </is>
      </c>
      <c r="E38" s="63" t="n"/>
      <c r="F38" s="63" t="n"/>
      <c r="G38" s="64" t="n"/>
      <c r="H38" s="228" t="inlineStr">
        <is>
          <t>Similar reversion speed — V2 slightly longer in last-half (slowing reversion)</t>
        </is>
      </c>
      <c r="I38" s="63" t="n"/>
      <c r="J38" s="63" t="n"/>
      <c r="K38" s="63" t="n"/>
      <c r="L38" s="64" t="n"/>
    </row>
    <row r="39" ht="22" customHeight="1" s="28">
      <c r="A39" s="226" t="inlineStr">
        <is>
          <t>Half-Life Comparison (Model B)</t>
        </is>
      </c>
      <c r="B39" s="63" t="n"/>
      <c r="C39" s="64" t="n"/>
      <c r="D39" s="227" t="inlineStr">
        <is>
          <t>V1: HL full=72.53, half=59.91   V2: HL full=48.63, half=65.77</t>
        </is>
      </c>
      <c r="E39" s="63" t="n"/>
      <c r="F39" s="63" t="n"/>
      <c r="G39" s="64" t="n"/>
      <c r="H39" s="228" t="inlineStr">
        <is>
          <t>V2 shows faster full-window reversion but slower last-half — similar to V1 pattern</t>
        </is>
      </c>
      <c r="I39" s="63" t="n"/>
      <c r="J39" s="63" t="n"/>
      <c r="K39" s="63" t="n"/>
      <c r="L39" s="64" t="n"/>
    </row>
    <row r="40" ht="22" customHeight="1" s="28">
      <c r="A40" s="226" t="inlineStr">
        <is>
          <t>Overall Model Plausibility</t>
        </is>
      </c>
      <c r="B40" s="63" t="n"/>
      <c r="C40" s="64" t="n"/>
      <c r="D40" s="227" t="inlineStr">
        <is>
          <t>V1 composite: A=+3.90, B=−11.34   V2 composite: A=-4.97, B=-13.94</t>
        </is>
      </c>
      <c r="E40" s="63" t="n"/>
      <c r="F40" s="63" t="n"/>
      <c r="G40" s="64" t="n"/>
      <c r="H40" s="228" t="inlineStr">
        <is>
          <t>Both datasets show Model B weakening signal. Model A near-neutral in both. Model is directionally consistent — PLAUSIBLE for use as a monitoring tool.</t>
        </is>
      </c>
      <c r="I40" s="63" t="n"/>
      <c r="J40" s="63" t="n"/>
      <c r="K40" s="63" t="n"/>
      <c r="L40" s="64" t="n"/>
    </row>
  </sheetData>
  <mergeCells count="45">
    <mergeCell ref="J6:L6"/>
    <mergeCell ref="H35:L35"/>
    <mergeCell ref="A37:C37"/>
    <mergeCell ref="D39:G39"/>
    <mergeCell ref="H38:L38"/>
    <mergeCell ref="F6:G6"/>
    <mergeCell ref="D33:G33"/>
    <mergeCell ref="D38:G38"/>
    <mergeCell ref="F7:G7"/>
    <mergeCell ref="H34:L34"/>
    <mergeCell ref="J7:L7"/>
    <mergeCell ref="D6:E6"/>
    <mergeCell ref="A2:L2"/>
    <mergeCell ref="H40:L40"/>
    <mergeCell ref="A33:C33"/>
    <mergeCell ref="H39:L39"/>
    <mergeCell ref="H6:I6"/>
    <mergeCell ref="A5:C5"/>
    <mergeCell ref="D35:G35"/>
    <mergeCell ref="F5:G5"/>
    <mergeCell ref="A32:L32"/>
    <mergeCell ref="H36:L36"/>
    <mergeCell ref="D34:G34"/>
    <mergeCell ref="A35:C35"/>
    <mergeCell ref="A38:C38"/>
    <mergeCell ref="A4:L4"/>
    <mergeCell ref="A20:L20"/>
    <mergeCell ref="D40:G40"/>
    <mergeCell ref="D7:E7"/>
    <mergeCell ref="D36:G36"/>
    <mergeCell ref="H7:I7"/>
    <mergeCell ref="A40:C40"/>
    <mergeCell ref="A9:L9"/>
    <mergeCell ref="A34:C34"/>
    <mergeCell ref="H37:L37"/>
    <mergeCell ref="A39:C39"/>
    <mergeCell ref="J5:L5"/>
    <mergeCell ref="A36:C36"/>
    <mergeCell ref="A1:L1"/>
    <mergeCell ref="D5:E5"/>
    <mergeCell ref="A6:C6"/>
    <mergeCell ref="H5:I5"/>
    <mergeCell ref="H33:L33"/>
    <mergeCell ref="A7:C7"/>
    <mergeCell ref="D37:G3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9A227"/>
    <outlinePr summaryBelow="1" summaryRight="1"/>
    <pageSetUpPr/>
  </sheetPr>
  <dimension ref="A1:O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28" min="1" max="1"/>
    <col width="14" customWidth="1" style="28" min="2" max="2"/>
    <col width="7" customWidth="1" style="28" min="3" max="3"/>
    <col width="7" customWidth="1" style="28" min="4" max="4"/>
    <col width="10" customWidth="1" style="28" min="5" max="5"/>
    <col width="7" customWidth="1" style="28" min="6" max="6"/>
    <col width="9" customWidth="1" style="28" min="7" max="7"/>
    <col width="9" customWidth="1" style="28" min="8" max="8"/>
    <col width="9" customWidth="1" style="28" min="9" max="9"/>
    <col width="9" customWidth="1" style="28" min="10" max="10"/>
    <col width="9" customWidth="1" style="28" min="11" max="11"/>
    <col width="9" customWidth="1" style="28" min="12" max="12"/>
    <col width="10" customWidth="1" style="28" min="13" max="13"/>
    <col width="10" customWidth="1" style="28" min="14" max="14"/>
    <col width="26" customWidth="1" style="28" min="15" max="15"/>
  </cols>
  <sheetData>
    <row r="1" ht="30" customHeight="1" s="28">
      <c r="A1" s="230" t="inlineStr">
        <is>
          <t>MACD Influence — Rolling Composite Score Timeline  |  V3894 Dataset  |  XAUUSD M15</t>
        </is>
      </c>
    </row>
    <row r="2" ht="22" customHeight="1" s="28">
      <c r="A2" s="214" t="inlineStr">
        <is>
          <t>Purpose: Show how the composite score evolved over time approaching the Base_FL / EDT breakout  |  Model B (close − Base_FL, all bars)  |  Stat A = full window, Stat B = last half</t>
        </is>
      </c>
    </row>
    <row r="3" ht="8" customHeight="1" s="28"/>
    <row r="4" ht="20" customHeight="1" s="28">
      <c r="A4" s="231" t="inlineStr">
        <is>
          <t xml:space="preserve">  Dataset Context</t>
        </is>
      </c>
    </row>
    <row r="5" ht="16" customHeight="1" s="28">
      <c r="A5" s="232" t="inlineStr">
        <is>
          <t>Data window</t>
        </is>
      </c>
      <c r="D5" s="233" t="inlineStr">
        <is>
          <t>16 Apr 2026 15:00 → 04 May 2026 23:30  (1,135 bars × M15)</t>
        </is>
      </c>
    </row>
    <row r="6" ht="16" customHeight="1" s="28">
      <c r="A6" s="234" t="inlineStr">
        <is>
          <t>Regression channel</t>
        </is>
      </c>
      <c r="D6" s="235" t="inlineStr">
        <is>
          <t>Descending EDT channel; Base_FL slope = −0.268 pts/bar (~−1.07 pts/hr)</t>
        </is>
      </c>
    </row>
    <row r="7" ht="16" customHeight="1" s="28">
      <c r="A7" s="232" t="inlineStr">
        <is>
          <t>Breakout on chart</t>
        </is>
      </c>
      <c r="D7" s="233" t="inlineStr">
        <is>
          <t>Price visibly broke above ALL EDT lines ~07 May 2026 (post-data; screenshot2.jpg)</t>
        </is>
      </c>
    </row>
    <row r="8" ht="16" customHeight="1" s="28">
      <c r="A8" s="234" t="inlineStr">
        <is>
          <t>Data end state</t>
        </is>
      </c>
      <c r="D8" s="235" t="inlineStr">
        <is>
          <t>At bar 1134 (May 4): close=4518.52, Base_FL=4513.91, resid=+4.61 → near-zero</t>
        </is>
      </c>
    </row>
    <row r="9" ht="16" customHeight="1" s="28">
      <c r="A9" s="232" t="inlineStr">
        <is>
          <t>Pre-breakout signal</t>
        </is>
      </c>
      <c r="D9" s="233" t="inlineStr">
        <is>
          <t>Model B composite was NEGATIVE throughout entire window → sustained weakness</t>
        </is>
      </c>
    </row>
    <row r="10" ht="16" customHeight="1" s="28">
      <c r="A10" s="234" t="inlineStr">
        <is>
          <t>Key question</t>
        </is>
      </c>
      <c r="D10" s="235" t="inlineStr">
        <is>
          <t>Did the composite detect the weakening BEFORE the breakout? → Answer below</t>
        </is>
      </c>
    </row>
    <row r="11" ht="8" customHeight="1" s="28"/>
    <row r="12" ht="20" customHeight="1" s="28">
      <c r="A12" s="231" t="inlineStr">
        <is>
          <t xml:space="preserve">  Phase Definitions</t>
        </is>
      </c>
    </row>
    <row r="13" ht="28" customHeight="1" s="28">
      <c r="A13" s="236" t="inlineStr">
        <is>
          <t>Phase 1 — Initial Decline</t>
        </is>
      </c>
      <c r="C13" s="237" t="inlineStr">
        <is>
          <t>Bars 200–599</t>
        </is>
      </c>
      <c r="D13" s="237" t="inlineStr">
        <is>
          <t>Apr 20 – Apr 27</t>
        </is>
      </c>
      <c r="E13" s="238" t="inlineStr">
        <is>
          <t>Early composite scores. R² unstable as channel anchors. Composite already negative.</t>
        </is>
      </c>
    </row>
    <row r="14" ht="28" customHeight="1" s="28">
      <c r="A14" s="239" t="inlineStr">
        <is>
          <t>Phase 2 — Sustained Weakness</t>
        </is>
      </c>
      <c r="C14" s="240" t="inlineStr">
        <is>
          <t>Bars 600–899</t>
        </is>
      </c>
      <c r="D14" s="240" t="inlineStr">
        <is>
          <t>Apr 27 – Apr 30</t>
        </is>
      </c>
      <c r="E14" s="241" t="inlineStr">
        <is>
          <t>Composite CONSISTENTLY &lt; −15. Last-half R² collapses vs full. HL lengthening in last half. MACD clearly signalling: Base_FL influence is fading.</t>
        </is>
      </c>
    </row>
    <row r="15" ht="28" customHeight="1" s="28">
      <c r="A15" s="242" t="inlineStr">
        <is>
          <t>Phase 3 — Breakout Zone</t>
        </is>
      </c>
      <c r="C15" s="243" t="inlineStr">
        <is>
          <t>Bars 900–1000</t>
        </is>
      </c>
      <c r="D15" s="243" t="inlineStr">
        <is>
          <t>Apr 30 – May 1</t>
        </is>
      </c>
      <c r="E15" s="244" t="inlineStr">
        <is>
          <t>Composite briefly improves toward −15 but NEVER reaches neutral. This is the transition as price surges above Base_FL. Last-half stats most divergent.</t>
        </is>
      </c>
    </row>
    <row r="16" ht="28" customHeight="1" s="28">
      <c r="A16" s="245" t="inlineStr">
        <is>
          <t>Phase 4 — Post-Signal Confirm</t>
        </is>
      </c>
      <c r="C16" s="246" t="inlineStr">
        <is>
          <t>Bars 1001–1134</t>
        </is>
      </c>
      <c r="D16" s="246" t="inlineStr">
        <is>
          <t>May 1 – May 4</t>
        </is>
      </c>
      <c r="E16" s="247" t="inlineStr">
        <is>
          <t>Final window. Composite remains negative (−14 to −41). Confirms Base_FL regression influence never recovered. Breakout imminent (occurs May 7).</t>
        </is>
      </c>
    </row>
    <row r="17" ht="8" customHeight="1" s="28"/>
    <row r="18" ht="20" customHeight="1" s="28">
      <c r="A18" s="231" t="inlineStr">
        <is>
          <t xml:space="preserve">  Rolling Composite Score — Model B  (computed at each time cutoff)</t>
        </is>
      </c>
    </row>
    <row r="19" ht="36" customHeight="1" s="28">
      <c r="A19" s="221" t="inlineStr">
        <is>
          <t>Bar</t>
        </is>
      </c>
      <c r="B19" s="221" t="inlineStr">
        <is>
          <t>Date</t>
        </is>
      </c>
      <c r="C19" s="221" t="inlineStr">
        <is>
          <t>n_full</t>
        </is>
      </c>
      <c r="D19" s="221" t="inlineStr">
        <is>
          <t>n_half</t>
        </is>
      </c>
      <c r="E19" s="221" t="inlineStr">
        <is>
          <t>Composite
Score</t>
        </is>
      </c>
      <c r="F19" s="221" t="inlineStr">
        <is>
          <t>Valid
Wt%</t>
        </is>
      </c>
      <c r="G19" s="221" t="inlineStr">
        <is>
          <t>R² Full</t>
        </is>
      </c>
      <c r="H19" s="221" t="inlineStr">
        <is>
          <t>R² Half</t>
        </is>
      </c>
      <c r="I19" s="221" t="inlineStr">
        <is>
          <t>HL Full</t>
        </is>
      </c>
      <c r="J19" s="221" t="inlineStr">
        <is>
          <t>HL Half</t>
        </is>
      </c>
      <c r="K19" s="221" t="inlineStr">
        <is>
          <t>MSE Full</t>
        </is>
      </c>
      <c r="L19" s="221" t="inlineStr">
        <is>
          <t>MSE Half</t>
        </is>
      </c>
      <c r="M19" s="221" t="inlineStr">
        <is>
          <t>Mean
Resid</t>
        </is>
      </c>
      <c r="N19" s="221" t="inlineStr">
        <is>
          <t>Roll40
Mean</t>
        </is>
      </c>
      <c r="O19" s="221" t="inlineStr">
        <is>
          <t>Signal Interpretation</t>
        </is>
      </c>
    </row>
    <row r="20" ht="15" customHeight="1" s="28">
      <c r="A20" s="237" t="n">
        <v>200</v>
      </c>
      <c r="B20" s="237" t="inlineStr">
        <is>
          <t>20 Apr 19:00</t>
        </is>
      </c>
      <c r="C20" s="237" t="n">
        <v>201</v>
      </c>
      <c r="D20" s="237" t="n">
        <v>100</v>
      </c>
      <c r="E20" s="248" t="inlineStr">
        <is>
          <t>-16.86</t>
        </is>
      </c>
      <c r="F20" s="237" t="n">
        <v>100</v>
      </c>
      <c r="G20" s="237" t="inlineStr">
        <is>
          <t>-0.7407</t>
        </is>
      </c>
      <c r="H20" s="249" t="inlineStr">
        <is>
          <t>-1.1679</t>
        </is>
      </c>
      <c r="I20" s="237" t="inlineStr">
        <is>
          <t>45.41</t>
        </is>
      </c>
      <c r="J20" s="237" t="inlineStr">
        <is>
          <t>26.56</t>
        </is>
      </c>
      <c r="K20" s="237" t="inlineStr">
        <is>
          <t>1305.5</t>
        </is>
      </c>
      <c r="L20" s="237" t="inlineStr">
        <is>
          <t>1414.3</t>
        </is>
      </c>
      <c r="M20" s="237" t="inlineStr">
        <is>
          <t>14.96</t>
        </is>
      </c>
      <c r="N20" s="237" t="inlineStr">
        <is>
          <t>36.83</t>
        </is>
      </c>
      <c r="O20" s="250" t="inlineStr">
        <is>
          <t xml:space="preserve">WEAKENING | ↑ABOVE Base_FL | HL↓ last-half (reversion speeding) R²↓↓ last-half (influence fading) </t>
        </is>
      </c>
    </row>
    <row r="21" ht="15" customHeight="1" s="28">
      <c r="A21" s="237" t="n">
        <v>220</v>
      </c>
      <c r="B21" s="237" t="inlineStr">
        <is>
          <t>21 Apr 01:00</t>
        </is>
      </c>
      <c r="C21" s="237" t="n">
        <v>221</v>
      </c>
      <c r="D21" s="237" t="n">
        <v>110</v>
      </c>
      <c r="E21" s="248" t="inlineStr">
        <is>
          <t>-17.13</t>
        </is>
      </c>
      <c r="F21" s="237" t="n">
        <v>100</v>
      </c>
      <c r="G21" s="237" t="inlineStr">
        <is>
          <t>-1.1569</t>
        </is>
      </c>
      <c r="H21" s="249" t="inlineStr">
        <is>
          <t>-2.9942</t>
        </is>
      </c>
      <c r="I21" s="237" t="inlineStr">
        <is>
          <t>55.77</t>
        </is>
      </c>
      <c r="J21" s="237" t="inlineStr">
        <is>
          <t>30.20</t>
        </is>
      </c>
      <c r="K21" s="237" t="inlineStr">
        <is>
          <t>1523.6</t>
        </is>
      </c>
      <c r="L21" s="237" t="inlineStr">
        <is>
          <t>1512.8</t>
        </is>
      </c>
      <c r="M21" s="237" t="inlineStr">
        <is>
          <t>19.09</t>
        </is>
      </c>
      <c r="N21" s="237" t="inlineStr">
        <is>
          <t>51.35</t>
        </is>
      </c>
      <c r="O21" s="250" t="inlineStr">
        <is>
          <t xml:space="preserve">WEAKENING | ↑ABOVE Base_FL | HL↓ last-half (reversion speeding) R²↓↓ last-half (influence fading) </t>
        </is>
      </c>
    </row>
    <row r="22" ht="15" customHeight="1" s="28">
      <c r="A22" s="237" t="n">
        <v>240</v>
      </c>
      <c r="B22" s="237" t="inlineStr">
        <is>
          <t>21 Apr 06:00</t>
        </is>
      </c>
      <c r="C22" s="237" t="n">
        <v>241</v>
      </c>
      <c r="D22" s="237" t="n">
        <v>120</v>
      </c>
      <c r="E22" s="248" t="inlineStr">
        <is>
          <t>-60.79</t>
        </is>
      </c>
      <c r="F22" s="237" t="n">
        <v>100</v>
      </c>
      <c r="G22" s="237" t="inlineStr">
        <is>
          <t>-1.3547</t>
        </is>
      </c>
      <c r="H22" s="249" t="inlineStr">
        <is>
          <t>-5.0216</t>
        </is>
      </c>
      <c r="I22" s="237" t="inlineStr">
        <is>
          <t>47.89</t>
        </is>
      </c>
      <c r="J22" s="249" t="inlineStr">
        <is>
          <t>90.76</t>
        </is>
      </c>
      <c r="K22" s="237" t="inlineStr">
        <is>
          <t>1556.0</t>
        </is>
      </c>
      <c r="L22" s="237" t="inlineStr">
        <is>
          <t>1528.4</t>
        </is>
      </c>
      <c r="M22" s="237" t="inlineStr">
        <is>
          <t>21.07</t>
        </is>
      </c>
      <c r="N22" s="237" t="inlineStr">
        <is>
          <t>51.79</t>
        </is>
      </c>
      <c r="O22" s="250" t="inlineStr">
        <is>
          <t xml:space="preserve">WEAKENING | ↑ABOVE Base_FL | HL↑ last-half (reversion slowing) R²↓↓ last-half (influence fading) </t>
        </is>
      </c>
    </row>
    <row r="23" ht="15" customHeight="1" s="28">
      <c r="A23" s="237" t="n">
        <v>260</v>
      </c>
      <c r="B23" s="237" t="inlineStr">
        <is>
          <t>21 Apr 11:00</t>
        </is>
      </c>
      <c r="C23" s="237" t="n">
        <v>261</v>
      </c>
      <c r="D23" s="237" t="n">
        <v>130</v>
      </c>
      <c r="E23" s="248" t="inlineStr">
        <is>
          <t>-55.95</t>
        </is>
      </c>
      <c r="F23" s="237" t="n">
        <v>100</v>
      </c>
      <c r="G23" s="237" t="inlineStr">
        <is>
          <t>-1.3585</t>
        </is>
      </c>
      <c r="H23" s="249" t="inlineStr">
        <is>
          <t>-7.2405</t>
        </is>
      </c>
      <c r="I23" s="237" t="inlineStr">
        <is>
          <t>49.27</t>
        </is>
      </c>
      <c r="J23" s="249" t="inlineStr">
        <is>
          <t>114.41</t>
        </is>
      </c>
      <c r="K23" s="237" t="inlineStr">
        <is>
          <t>1525.0</t>
        </is>
      </c>
      <c r="L23" s="237" t="inlineStr">
        <is>
          <t>1551.8</t>
        </is>
      </c>
      <c r="M23" s="237" t="inlineStr">
        <is>
          <t>22.03</t>
        </is>
      </c>
      <c r="N23" s="237" t="inlineStr">
        <is>
          <t>38.30</t>
        </is>
      </c>
      <c r="O23" s="250" t="inlineStr">
        <is>
          <t xml:space="preserve">WEAKENING | ↑ABOVE Base_FL | HL↑ last-half (reversion slowing) R²↓↓ last-half (influence fading) </t>
        </is>
      </c>
    </row>
    <row r="24" ht="15" customHeight="1" s="28">
      <c r="A24" s="237" t="n">
        <v>280</v>
      </c>
      <c r="B24" s="237" t="inlineStr">
        <is>
          <t>21 Apr 16:00</t>
        </is>
      </c>
      <c r="C24" s="237" t="n">
        <v>281</v>
      </c>
      <c r="D24" s="237" t="n">
        <v>140</v>
      </c>
      <c r="E24" s="248" t="inlineStr">
        <is>
          <t>-42.54</t>
        </is>
      </c>
      <c r="F24" s="237" t="n">
        <v>100</v>
      </c>
      <c r="G24" s="237" t="inlineStr">
        <is>
          <t>-1.0540</t>
        </is>
      </c>
      <c r="H24" s="249" t="inlineStr">
        <is>
          <t>-3.2072</t>
        </is>
      </c>
      <c r="I24" s="237" t="inlineStr">
        <is>
          <t>40.61</t>
        </is>
      </c>
      <c r="J24" s="249" t="inlineStr">
        <is>
          <t>61.67</t>
        </is>
      </c>
      <c r="K24" s="237" t="inlineStr">
        <is>
          <t>1478.9</t>
        </is>
      </c>
      <c r="L24" s="237" t="inlineStr">
        <is>
          <t>1544.7</t>
        </is>
      </c>
      <c r="M24" s="237" t="inlineStr">
        <is>
          <t>22.08</t>
        </is>
      </c>
      <c r="N24" s="237" t="inlineStr">
        <is>
          <t>28.19</t>
        </is>
      </c>
      <c r="O24" s="250" t="inlineStr">
        <is>
          <t xml:space="preserve">WEAKENING | ↑ABOVE Base_FL | HL↑ last-half (reversion slowing) R²↓↓ last-half (influence fading) </t>
        </is>
      </c>
    </row>
    <row r="25" ht="15" customHeight="1" s="28">
      <c r="A25" s="237" t="n">
        <v>300</v>
      </c>
      <c r="B25" s="237" t="inlineStr">
        <is>
          <t>21 Apr 22:00</t>
        </is>
      </c>
      <c r="C25" s="237" t="n">
        <v>301</v>
      </c>
      <c r="D25" s="237" t="n">
        <v>150</v>
      </c>
      <c r="E25" s="248" t="inlineStr">
        <is>
          <t>-27.86</t>
        </is>
      </c>
      <c r="F25" s="237" t="n">
        <v>100</v>
      </c>
      <c r="G25" s="237" t="inlineStr">
        <is>
          <t>-0.1732</t>
        </is>
      </c>
      <c r="H25" s="237" t="inlineStr">
        <is>
          <t>-0.2319</t>
        </is>
      </c>
      <c r="I25" s="237" t="inlineStr">
        <is>
          <t>35.14</t>
        </is>
      </c>
      <c r="J25" s="249" t="inlineStr">
        <is>
          <t>42.85</t>
        </is>
      </c>
      <c r="K25" s="237" t="inlineStr">
        <is>
          <t>1463.9</t>
        </is>
      </c>
      <c r="L25" s="237" t="inlineStr">
        <is>
          <t>1600.9</t>
        </is>
      </c>
      <c r="M25" s="237" t="inlineStr">
        <is>
          <t>18.42</t>
        </is>
      </c>
      <c r="N25" s="237" t="inlineStr">
        <is>
          <t>-5.15</t>
        </is>
      </c>
      <c r="O25" s="250" t="inlineStr">
        <is>
          <t xml:space="preserve">WEAKENING | ≈AT Base_FL | HL↑ last-half (reversion slowing) </t>
        </is>
      </c>
    </row>
    <row r="26" ht="15" customHeight="1" s="28">
      <c r="A26" s="237" t="n">
        <v>320</v>
      </c>
      <c r="B26" s="237" t="inlineStr">
        <is>
          <t>22 Apr 03:00</t>
        </is>
      </c>
      <c r="C26" s="237" t="n">
        <v>321</v>
      </c>
      <c r="D26" s="237" t="n">
        <v>160</v>
      </c>
      <c r="E26" s="248" t="inlineStr">
        <is>
          <t>-40.66</t>
        </is>
      </c>
      <c r="F26" s="237" t="n">
        <v>100</v>
      </c>
      <c r="G26" s="237" t="inlineStr">
        <is>
          <t>-0.0228</t>
        </is>
      </c>
      <c r="H26" s="237" t="inlineStr">
        <is>
          <t>-0.0483</t>
        </is>
      </c>
      <c r="I26" s="237" t="inlineStr">
        <is>
          <t>35.74</t>
        </is>
      </c>
      <c r="J26" s="237" t="inlineStr">
        <is>
          <t>42.74</t>
        </is>
      </c>
      <c r="K26" s="237" t="inlineStr">
        <is>
          <t>1387.6</t>
        </is>
      </c>
      <c r="L26" s="237" t="inlineStr">
        <is>
          <t>1510.8</t>
        </is>
      </c>
      <c r="M26" s="237" t="inlineStr">
        <is>
          <t>17.67</t>
        </is>
      </c>
      <c r="N26" s="237" t="inlineStr">
        <is>
          <t>-13.33</t>
        </is>
      </c>
      <c r="O26" s="250" t="inlineStr">
        <is>
          <t xml:space="preserve">WEAKENING | ↓BELOW Base_FL | </t>
        </is>
      </c>
    </row>
    <row r="27" ht="15" customHeight="1" s="28">
      <c r="A27" s="237" t="n">
        <v>340</v>
      </c>
      <c r="B27" s="237" t="inlineStr">
        <is>
          <t>22 Apr 08:00</t>
        </is>
      </c>
      <c r="C27" s="237" t="n">
        <v>341</v>
      </c>
      <c r="D27" s="237" t="n">
        <v>170</v>
      </c>
      <c r="E27" s="248" t="inlineStr">
        <is>
          <t>-43.47</t>
        </is>
      </c>
      <c r="F27" s="237" t="n">
        <v>100</v>
      </c>
      <c r="G27" s="237" t="inlineStr">
        <is>
          <t>-0.0322</t>
        </is>
      </c>
      <c r="H27" s="237" t="inlineStr">
        <is>
          <t>-0.1140</t>
        </is>
      </c>
      <c r="I27" s="237" t="inlineStr">
        <is>
          <t>37.71</t>
        </is>
      </c>
      <c r="J27" s="249" t="inlineStr">
        <is>
          <t>46.92</t>
        </is>
      </c>
      <c r="K27" s="237" t="inlineStr">
        <is>
          <t>1371.7</t>
        </is>
      </c>
      <c r="L27" s="237" t="inlineStr">
        <is>
          <t>1528.8</t>
        </is>
      </c>
      <c r="M27" s="237" t="inlineStr">
        <is>
          <t>18.57</t>
        </is>
      </c>
      <c r="N27" s="237" t="inlineStr">
        <is>
          <t>19.68</t>
        </is>
      </c>
      <c r="O27" s="250" t="inlineStr">
        <is>
          <t xml:space="preserve">WEAKENING | ↑ABOVE Base_FL | HL↑ last-half (reversion slowing) </t>
        </is>
      </c>
    </row>
    <row r="28" ht="15" customHeight="1" s="28">
      <c r="A28" s="237" t="n">
        <v>360</v>
      </c>
      <c r="B28" s="237" t="inlineStr">
        <is>
          <t>22 Apr 13:00</t>
        </is>
      </c>
      <c r="C28" s="237" t="n">
        <v>361</v>
      </c>
      <c r="D28" s="237" t="n">
        <v>180</v>
      </c>
      <c r="E28" s="248" t="inlineStr">
        <is>
          <t>-42.49</t>
        </is>
      </c>
      <c r="F28" s="237" t="n">
        <v>100</v>
      </c>
      <c r="G28" s="237" t="inlineStr">
        <is>
          <t>-0.0138</t>
        </is>
      </c>
      <c r="H28" s="237" t="inlineStr">
        <is>
          <t>-0.1468</t>
        </is>
      </c>
      <c r="I28" s="237" t="inlineStr">
        <is>
          <t>37.41</t>
        </is>
      </c>
      <c r="J28" s="237" t="inlineStr">
        <is>
          <t>37.36</t>
        </is>
      </c>
      <c r="K28" s="237" t="inlineStr">
        <is>
          <t>1346.3</t>
        </is>
      </c>
      <c r="L28" s="237" t="inlineStr">
        <is>
          <t>1450.3</t>
        </is>
      </c>
      <c r="M28" s="237" t="inlineStr">
        <is>
          <t>19.20</t>
        </is>
      </c>
      <c r="N28" s="237" t="inlineStr">
        <is>
          <t>31.47</t>
        </is>
      </c>
      <c r="O28" s="250" t="inlineStr">
        <is>
          <t xml:space="preserve">WEAKENING | ↑ABOVE Base_FL | </t>
        </is>
      </c>
    </row>
    <row r="29" ht="15" customHeight="1" s="28">
      <c r="A29" s="237" t="n">
        <v>380</v>
      </c>
      <c r="B29" s="237" t="inlineStr">
        <is>
          <t>22 Apr 18:00</t>
        </is>
      </c>
      <c r="C29" s="237" t="n">
        <v>381</v>
      </c>
      <c r="D29" s="237" t="n">
        <v>190</v>
      </c>
      <c r="E29" s="248" t="inlineStr">
        <is>
          <t>-37.88</t>
        </is>
      </c>
      <c r="F29" s="237" t="n">
        <v>100</v>
      </c>
      <c r="G29" s="237" t="inlineStr">
        <is>
          <t>0.0693</t>
        </is>
      </c>
      <c r="H29" s="249" t="inlineStr">
        <is>
          <t>-0.0816</t>
        </is>
      </c>
      <c r="I29" s="237" t="inlineStr">
        <is>
          <t>37.08</t>
        </is>
      </c>
      <c r="J29" s="237" t="inlineStr">
        <is>
          <t>40.40</t>
        </is>
      </c>
      <c r="K29" s="237" t="inlineStr">
        <is>
          <t>1297.0</t>
        </is>
      </c>
      <c r="L29" s="237" t="inlineStr">
        <is>
          <t>1335.8</t>
        </is>
      </c>
      <c r="M29" s="237" t="inlineStr">
        <is>
          <t>19.17</t>
        </is>
      </c>
      <c r="N29" s="237" t="inlineStr">
        <is>
          <t>24.34</t>
        </is>
      </c>
      <c r="O29" s="250" t="inlineStr">
        <is>
          <t xml:space="preserve">WEAKENING | ↑ABOVE Base_FL | R²↓↓ last-half (influence fading) </t>
        </is>
      </c>
    </row>
    <row r="30" ht="15" customHeight="1" s="28">
      <c r="A30" s="237" t="n">
        <v>400</v>
      </c>
      <c r="B30" s="237" t="inlineStr">
        <is>
          <t>23 Apr 00:00</t>
        </is>
      </c>
      <c r="C30" s="237" t="n">
        <v>401</v>
      </c>
      <c r="D30" s="237" t="n">
        <v>200</v>
      </c>
      <c r="E30" s="248" t="inlineStr">
        <is>
          <t>-58.56</t>
        </is>
      </c>
      <c r="F30" s="237" t="n">
        <v>100</v>
      </c>
      <c r="G30" s="237" t="inlineStr">
        <is>
          <t>0.1405</t>
        </is>
      </c>
      <c r="H30" s="249" t="inlineStr">
        <is>
          <t>-0.0414</t>
        </is>
      </c>
      <c r="I30" s="237" t="inlineStr">
        <is>
          <t>35.17</t>
        </is>
      </c>
      <c r="J30" s="237" t="inlineStr">
        <is>
          <t>28.35</t>
        </is>
      </c>
      <c r="K30" s="237" t="inlineStr">
        <is>
          <t>1255.8</t>
        </is>
      </c>
      <c r="L30" s="237" t="inlineStr">
        <is>
          <t>1215.8</t>
        </is>
      </c>
      <c r="M30" s="237" t="inlineStr">
        <is>
          <t>19.21</t>
        </is>
      </c>
      <c r="N30" s="237" t="inlineStr">
        <is>
          <t>19.35</t>
        </is>
      </c>
      <c r="O30" s="250" t="inlineStr">
        <is>
          <t xml:space="preserve">WEAKENING | ↑ABOVE Base_FL | R²↓↓ last-half (influence fading) </t>
        </is>
      </c>
    </row>
    <row r="31" ht="15" customHeight="1" s="28">
      <c r="A31" s="237" t="n">
        <v>420</v>
      </c>
      <c r="B31" s="237" t="inlineStr">
        <is>
          <t>23 Apr 05:00</t>
        </is>
      </c>
      <c r="C31" s="237" t="n">
        <v>421</v>
      </c>
      <c r="D31" s="237" t="n">
        <v>210</v>
      </c>
      <c r="E31" s="248" t="inlineStr">
        <is>
          <t>-43.34</t>
        </is>
      </c>
      <c r="F31" s="237" t="n">
        <v>100</v>
      </c>
      <c r="G31" s="237" t="inlineStr">
        <is>
          <t>0.2474</t>
        </is>
      </c>
      <c r="H31" s="249" t="inlineStr">
        <is>
          <t>0.0735</t>
        </is>
      </c>
      <c r="I31" s="237" t="inlineStr">
        <is>
          <t>31.14</t>
        </is>
      </c>
      <c r="J31" s="237" t="inlineStr">
        <is>
          <t>18.52</t>
        </is>
      </c>
      <c r="K31" s="237" t="inlineStr">
        <is>
          <t>1210.2</t>
        </is>
      </c>
      <c r="L31" s="237" t="inlineStr">
        <is>
          <t>1035.0</t>
        </is>
      </c>
      <c r="M31" s="237" t="inlineStr">
        <is>
          <t>18.70</t>
        </is>
      </c>
      <c r="N31" s="237" t="inlineStr">
        <is>
          <t>14.20</t>
        </is>
      </c>
      <c r="O31" s="250" t="inlineStr">
        <is>
          <t xml:space="preserve">WEAKENING | ↑ABOVE Base_FL | HL↓ last-half (reversion speeding) R²↓↓ last-half (influence fading) </t>
        </is>
      </c>
    </row>
    <row r="32" ht="15" customHeight="1" s="28">
      <c r="A32" s="237" t="n">
        <v>440</v>
      </c>
      <c r="B32" s="237" t="inlineStr">
        <is>
          <t>23 Apr 10:00</t>
        </is>
      </c>
      <c r="C32" s="237" t="n">
        <v>441</v>
      </c>
      <c r="D32" s="237" t="n">
        <v>220</v>
      </c>
      <c r="E32" s="248" t="inlineStr">
        <is>
          <t>-24.68</t>
        </is>
      </c>
      <c r="F32" s="237" t="n">
        <v>100</v>
      </c>
      <c r="G32" s="237" t="inlineStr">
        <is>
          <t>0.3431</t>
        </is>
      </c>
      <c r="H32" s="249" t="inlineStr">
        <is>
          <t>0.1801</t>
        </is>
      </c>
      <c r="I32" s="237" t="inlineStr">
        <is>
          <t>30.57</t>
        </is>
      </c>
      <c r="J32" s="237" t="inlineStr">
        <is>
          <t>16.42</t>
        </is>
      </c>
      <c r="K32" s="237" t="inlineStr">
        <is>
          <t>1159.0</t>
        </is>
      </c>
      <c r="L32" s="237" t="inlineStr">
        <is>
          <t>803.5</t>
        </is>
      </c>
      <c r="M32" s="237" t="inlineStr">
        <is>
          <t>18.10</t>
        </is>
      </c>
      <c r="N32" s="237" t="inlineStr">
        <is>
          <t>6.91</t>
        </is>
      </c>
      <c r="O32" s="250" t="inlineStr">
        <is>
          <t xml:space="preserve">WEAKENING | ≈AT Base_FL | HL↓ last-half (reversion speeding) R²↓↓ last-half (influence fading) </t>
        </is>
      </c>
    </row>
    <row r="33" ht="15" customHeight="1" s="28">
      <c r="A33" s="237" t="n">
        <v>460</v>
      </c>
      <c r="B33" s="237" t="inlineStr">
        <is>
          <t>23 Apr 15:00</t>
        </is>
      </c>
      <c r="C33" s="237" t="n">
        <v>461</v>
      </c>
      <c r="D33" s="237" t="n">
        <v>230</v>
      </c>
      <c r="E33" s="248" t="inlineStr">
        <is>
          <t>-18.05</t>
        </is>
      </c>
      <c r="F33" s="237" t="n">
        <v>100</v>
      </c>
      <c r="G33" s="237" t="inlineStr">
        <is>
          <t>0.3743</t>
        </is>
      </c>
      <c r="H33" s="249" t="inlineStr">
        <is>
          <t>0.1191</t>
        </is>
      </c>
      <c r="I33" s="237" t="inlineStr">
        <is>
          <t>32.00</t>
        </is>
      </c>
      <c r="J33" s="237" t="inlineStr">
        <is>
          <t>17.99</t>
        </is>
      </c>
      <c r="K33" s="237" t="inlineStr">
        <is>
          <t>1146.3</t>
        </is>
      </c>
      <c r="L33" s="237" t="inlineStr">
        <is>
          <t>729.1</t>
        </is>
      </c>
      <c r="M33" s="237" t="inlineStr">
        <is>
          <t>18.33</t>
        </is>
      </c>
      <c r="N33" s="237" t="inlineStr">
        <is>
          <t>14.37</t>
        </is>
      </c>
      <c r="O33" s="250" t="inlineStr">
        <is>
          <t xml:space="preserve">WEAKENING | ↑ABOVE Base_FL | HL↓ last-half (reversion speeding) R²↓↓ last-half (influence fading) </t>
        </is>
      </c>
    </row>
    <row r="34" ht="15" customHeight="1" s="28">
      <c r="A34" s="237" t="n">
        <v>480</v>
      </c>
      <c r="B34" s="237" t="inlineStr">
        <is>
          <t>23 Apr 20:00</t>
        </is>
      </c>
      <c r="C34" s="237" t="n">
        <v>481</v>
      </c>
      <c r="D34" s="237" t="n">
        <v>240</v>
      </c>
      <c r="E34" s="251" t="inlineStr">
        <is>
          <t>-12.39</t>
        </is>
      </c>
      <c r="F34" s="237" t="n">
        <v>100</v>
      </c>
      <c r="G34" s="237" t="inlineStr">
        <is>
          <t>0.4165</t>
        </is>
      </c>
      <c r="H34" s="249" t="inlineStr">
        <is>
          <t>0.0954</t>
        </is>
      </c>
      <c r="I34" s="237" t="inlineStr">
        <is>
          <t>27.72</t>
        </is>
      </c>
      <c r="J34" s="237" t="inlineStr">
        <is>
          <t>14.11</t>
        </is>
      </c>
      <c r="K34" s="237" t="inlineStr">
        <is>
          <t>1123.0</t>
        </is>
      </c>
      <c r="L34" s="237" t="inlineStr">
        <is>
          <t>689.6</t>
        </is>
      </c>
      <c r="M34" s="237" t="inlineStr">
        <is>
          <t>18.38</t>
        </is>
      </c>
      <c r="N34" s="237" t="inlineStr">
        <is>
          <t>21.45</t>
        </is>
      </c>
      <c r="O34" s="250" t="inlineStr">
        <is>
          <t xml:space="preserve">Mild Weakening | ↑ABOVE Base_FL | HL↓ last-half (reversion speeding) R²↓↓ last-half (influence fading) </t>
        </is>
      </c>
    </row>
    <row r="35" ht="15" customHeight="1" s="28">
      <c r="A35" s="237" t="n">
        <v>500</v>
      </c>
      <c r="B35" s="237" t="inlineStr">
        <is>
          <t>24 Apr 02:00</t>
        </is>
      </c>
      <c r="C35" s="237" t="n">
        <v>501</v>
      </c>
      <c r="D35" s="237" t="n">
        <v>250</v>
      </c>
      <c r="E35" s="251" t="inlineStr">
        <is>
          <t>-9.44</t>
        </is>
      </c>
      <c r="F35" s="237" t="n">
        <v>100</v>
      </c>
      <c r="G35" s="237" t="inlineStr">
        <is>
          <t>0.4748</t>
        </is>
      </c>
      <c r="H35" s="249" t="inlineStr">
        <is>
          <t>0.1561</t>
        </is>
      </c>
      <c r="I35" s="237" t="inlineStr">
        <is>
          <t>27.45</t>
        </is>
      </c>
      <c r="J35" s="237" t="inlineStr">
        <is>
          <t>12.89</t>
        </is>
      </c>
      <c r="K35" s="237" t="inlineStr">
        <is>
          <t>1084.1</t>
        </is>
      </c>
      <c r="L35" s="237" t="inlineStr">
        <is>
          <t>636.1</t>
        </is>
      </c>
      <c r="M35" s="237" t="inlineStr">
        <is>
          <t>18.06</t>
        </is>
      </c>
      <c r="N35" s="237" t="inlineStr">
        <is>
          <t>15.00</t>
        </is>
      </c>
      <c r="O35" s="250" t="inlineStr">
        <is>
          <t xml:space="preserve">Mild Weakening | ↑ABOVE Base_FL | HL↓ last-half (reversion speeding) R²↓↓ last-half (influence fading) </t>
        </is>
      </c>
    </row>
    <row r="36" ht="15" customHeight="1" s="28">
      <c r="A36" s="237" t="n">
        <v>520</v>
      </c>
      <c r="B36" s="237" t="inlineStr">
        <is>
          <t>24 Apr 07:00</t>
        </is>
      </c>
      <c r="C36" s="237" t="n">
        <v>521</v>
      </c>
      <c r="D36" s="237" t="n">
        <v>260</v>
      </c>
      <c r="E36" s="252" t="inlineStr">
        <is>
          <t>+2.69</t>
        </is>
      </c>
      <c r="F36" s="237" t="n">
        <v>100</v>
      </c>
      <c r="G36" s="237" t="inlineStr">
        <is>
          <t>0.5469</t>
        </is>
      </c>
      <c r="H36" s="249" t="inlineStr">
        <is>
          <t>0.3085</t>
        </is>
      </c>
      <c r="I36" s="237" t="inlineStr">
        <is>
          <t>26.75</t>
        </is>
      </c>
      <c r="J36" s="237" t="inlineStr">
        <is>
          <t>11.85</t>
        </is>
      </c>
      <c r="K36" s="237" t="inlineStr">
        <is>
          <t>1045.2</t>
        </is>
      </c>
      <c r="L36" s="237" t="inlineStr">
        <is>
          <t>565.9</t>
        </is>
      </c>
      <c r="M36" s="237" t="inlineStr">
        <is>
          <t>17.16</t>
        </is>
      </c>
      <c r="N36" s="237" t="inlineStr">
        <is>
          <t>2.56</t>
        </is>
      </c>
      <c r="O36" s="250" t="inlineStr">
        <is>
          <t xml:space="preserve">NEUTRAL | ≈AT Base_FL | HL↓ last-half (reversion speeding) R²↓↓ last-half (influence fading) </t>
        </is>
      </c>
    </row>
    <row r="37" ht="15" customHeight="1" s="28">
      <c r="A37" s="237" t="n">
        <v>540</v>
      </c>
      <c r="B37" s="237" t="inlineStr">
        <is>
          <t>24 Apr 12:00</t>
        </is>
      </c>
      <c r="C37" s="237" t="n">
        <v>541</v>
      </c>
      <c r="D37" s="237" t="n">
        <v>270</v>
      </c>
      <c r="E37" s="253" t="inlineStr">
        <is>
          <t>+6.72</t>
        </is>
      </c>
      <c r="F37" s="237" t="n">
        <v>100</v>
      </c>
      <c r="G37" s="237" t="inlineStr">
        <is>
          <t>0.5784</t>
        </is>
      </c>
      <c r="H37" s="249" t="inlineStr">
        <is>
          <t>0.2928</t>
        </is>
      </c>
      <c r="I37" s="237" t="inlineStr">
        <is>
          <t>27.16</t>
        </is>
      </c>
      <c r="J37" s="237" t="inlineStr">
        <is>
          <t>11.28</t>
        </is>
      </c>
      <c r="K37" s="237" t="inlineStr">
        <is>
          <t>1020.2</t>
        </is>
      </c>
      <c r="L37" s="237" t="inlineStr">
        <is>
          <t>522.9</t>
        </is>
      </c>
      <c r="M37" s="237" t="inlineStr">
        <is>
          <t>17.11</t>
        </is>
      </c>
      <c r="N37" s="237" t="inlineStr">
        <is>
          <t>5.14</t>
        </is>
      </c>
      <c r="O37" s="250" t="inlineStr">
        <is>
          <t xml:space="preserve">Strengthening | ≈AT Base_FL | HL↓ last-half (reversion speeding) R²↓↓ last-half (influence fading) </t>
        </is>
      </c>
    </row>
    <row r="38" ht="15" customHeight="1" s="28">
      <c r="A38" s="237" t="n">
        <v>560</v>
      </c>
      <c r="B38" s="237" t="inlineStr">
        <is>
          <t>24 Apr 17:00</t>
        </is>
      </c>
      <c r="C38" s="237" t="n">
        <v>561</v>
      </c>
      <c r="D38" s="237" t="n">
        <v>280</v>
      </c>
      <c r="E38" s="248" t="inlineStr">
        <is>
          <t>-36.20</t>
        </is>
      </c>
      <c r="F38" s="237" t="n">
        <v>100</v>
      </c>
      <c r="G38" s="237" t="inlineStr">
        <is>
          <t>0.5543</t>
        </is>
      </c>
      <c r="H38" s="249" t="inlineStr">
        <is>
          <t>-0.0057</t>
        </is>
      </c>
      <c r="I38" s="237" t="inlineStr">
        <is>
          <t>31.06</t>
        </is>
      </c>
      <c r="J38" s="237" t="inlineStr">
        <is>
          <t>20.16</t>
        </is>
      </c>
      <c r="K38" s="237" t="inlineStr">
        <is>
          <t>1071.8</t>
        </is>
      </c>
      <c r="L38" s="237" t="inlineStr">
        <is>
          <t>661.5</t>
        </is>
      </c>
      <c r="M38" s="237" t="inlineStr">
        <is>
          <t>18.21</t>
        </is>
      </c>
      <c r="N38" s="237" t="inlineStr">
        <is>
          <t>31.88</t>
        </is>
      </c>
      <c r="O38" s="250" t="inlineStr">
        <is>
          <t xml:space="preserve">WEAKENING | ↑ABOVE Base_FL | HL↓ last-half (reversion speeding) R²↓↓ last-half (influence fading) </t>
        </is>
      </c>
    </row>
    <row r="39" ht="15" customHeight="1" s="28">
      <c r="A39" s="237" t="n">
        <v>580</v>
      </c>
      <c r="B39" s="237" t="inlineStr">
        <is>
          <t>26 Apr 23:00</t>
        </is>
      </c>
      <c r="C39" s="237" t="n">
        <v>581</v>
      </c>
      <c r="D39" s="237" t="n">
        <v>290</v>
      </c>
      <c r="E39" s="248" t="inlineStr">
        <is>
          <t>-32.90</t>
        </is>
      </c>
      <c r="F39" s="237" t="n">
        <v>100</v>
      </c>
      <c r="G39" s="237" t="inlineStr">
        <is>
          <t>0.5412</t>
        </is>
      </c>
      <c r="H39" s="249" t="inlineStr">
        <is>
          <t>-0.1579</t>
        </is>
      </c>
      <c r="I39" s="237" t="inlineStr">
        <is>
          <t>29.15</t>
        </is>
      </c>
      <c r="J39" s="237" t="inlineStr">
        <is>
          <t>17.90</t>
        </is>
      </c>
      <c r="K39" s="237" t="inlineStr">
        <is>
          <t>1109.3</t>
        </is>
      </c>
      <c r="L39" s="237" t="inlineStr">
        <is>
          <t>755.0</t>
        </is>
      </c>
      <c r="M39" s="237" t="inlineStr">
        <is>
          <t>19.12</t>
        </is>
      </c>
      <c r="N39" s="237" t="inlineStr">
        <is>
          <t>46.30</t>
        </is>
      </c>
      <c r="O39" s="250" t="inlineStr">
        <is>
          <t xml:space="preserve">WEAKENING | ↑ABOVE Base_FL | HL↓ last-half (reversion speeding) R²↓↓ last-half (influence fading) </t>
        </is>
      </c>
    </row>
    <row r="40" ht="15" customHeight="1" s="28">
      <c r="A40" s="240" t="n">
        <v>600</v>
      </c>
      <c r="B40" s="240" t="inlineStr">
        <is>
          <t>27 Apr 04:00</t>
        </is>
      </c>
      <c r="C40" s="240" t="n">
        <v>601</v>
      </c>
      <c r="D40" s="240" t="n">
        <v>300</v>
      </c>
      <c r="E40" s="248" t="inlineStr">
        <is>
          <t>-37.41</t>
        </is>
      </c>
      <c r="F40" s="240" t="n">
        <v>100</v>
      </c>
      <c r="G40" s="240" t="inlineStr">
        <is>
          <t>0.5353</t>
        </is>
      </c>
      <c r="H40" s="249" t="inlineStr">
        <is>
          <t>-0.2456</t>
        </is>
      </c>
      <c r="I40" s="240" t="inlineStr">
        <is>
          <t>35.24</t>
        </is>
      </c>
      <c r="J40" s="240" t="inlineStr">
        <is>
          <t>35.44</t>
        </is>
      </c>
      <c r="K40" s="240" t="inlineStr">
        <is>
          <t>1141.1</t>
        </is>
      </c>
      <c r="L40" s="240" t="inlineStr">
        <is>
          <t>815.3</t>
        </is>
      </c>
      <c r="M40" s="240" t="inlineStr">
        <is>
          <t>19.86</t>
        </is>
      </c>
      <c r="N40" s="240" t="inlineStr">
        <is>
          <t>42.94</t>
        </is>
      </c>
      <c r="O40" s="254" t="inlineStr">
        <is>
          <t xml:space="preserve">WEAKENING | ↑ABOVE Base_FL | R²↓↓ last-half (influence fading) </t>
        </is>
      </c>
    </row>
    <row r="41" ht="15" customHeight="1" s="28">
      <c r="A41" s="240" t="n">
        <v>620</v>
      </c>
      <c r="B41" s="240" t="inlineStr">
        <is>
          <t>27 Apr 09:00</t>
        </is>
      </c>
      <c r="C41" s="240" t="n">
        <v>621</v>
      </c>
      <c r="D41" s="240" t="n">
        <v>310</v>
      </c>
      <c r="E41" s="248" t="inlineStr">
        <is>
          <t>-42.80</t>
        </is>
      </c>
      <c r="F41" s="240" t="n">
        <v>100</v>
      </c>
      <c r="G41" s="240" t="inlineStr">
        <is>
          <t>0.4969</t>
        </is>
      </c>
      <c r="H41" s="249" t="inlineStr">
        <is>
          <t>-0.6258</t>
        </is>
      </c>
      <c r="I41" s="240" t="inlineStr">
        <is>
          <t>36.09</t>
        </is>
      </c>
      <c r="J41" s="240" t="inlineStr">
        <is>
          <t>38.47</t>
        </is>
      </c>
      <c r="K41" s="240" t="inlineStr">
        <is>
          <t>1224.1</t>
        </is>
      </c>
      <c r="L41" s="240" t="inlineStr">
        <is>
          <t>1023.4</t>
        </is>
      </c>
      <c r="M41" s="240" t="inlineStr">
        <is>
          <t>21.18</t>
        </is>
      </c>
      <c r="N41" s="240" t="inlineStr">
        <is>
          <t>51.10</t>
        </is>
      </c>
      <c r="O41" s="254" t="inlineStr">
        <is>
          <t xml:space="preserve">WEAKENING | ↑ABOVE Base_FL | R²↓↓ last-half (influence fading) </t>
        </is>
      </c>
    </row>
    <row r="42" ht="15" customHeight="1" s="28">
      <c r="A42" s="240" t="n">
        <v>640</v>
      </c>
      <c r="B42" s="240" t="inlineStr">
        <is>
          <t>27 Apr 14:00</t>
        </is>
      </c>
      <c r="C42" s="240" t="n">
        <v>641</v>
      </c>
      <c r="D42" s="240" t="n">
        <v>320</v>
      </c>
      <c r="E42" s="248" t="inlineStr">
        <is>
          <t>-40.94</t>
        </is>
      </c>
      <c r="F42" s="240" t="n">
        <v>100</v>
      </c>
      <c r="G42" s="240" t="inlineStr">
        <is>
          <t>0.4780</t>
        </is>
      </c>
      <c r="H42" s="249" t="inlineStr">
        <is>
          <t>-0.9672</t>
        </is>
      </c>
      <c r="I42" s="240" t="inlineStr">
        <is>
          <t>37.63</t>
        </is>
      </c>
      <c r="J42" s="240" t="inlineStr">
        <is>
          <t>40.17</t>
        </is>
      </c>
      <c r="K42" s="240" t="inlineStr">
        <is>
          <t>1275.9</t>
        </is>
      </c>
      <c r="L42" s="240" t="inlineStr">
        <is>
          <t>1162.2</t>
        </is>
      </c>
      <c r="M42" s="240" t="inlineStr">
        <is>
          <t>22.19</t>
        </is>
      </c>
      <c r="N42" s="240" t="inlineStr">
        <is>
          <t>57.18</t>
        </is>
      </c>
      <c r="O42" s="254" t="inlineStr">
        <is>
          <t xml:space="preserve">WEAKENING | ↑ABOVE Base_FL | R²↓↓ last-half (influence fading) </t>
        </is>
      </c>
    </row>
    <row r="43" ht="15" customHeight="1" s="28">
      <c r="A43" s="240" t="n">
        <v>660</v>
      </c>
      <c r="B43" s="240" t="inlineStr">
        <is>
          <t>27 Apr 19:00</t>
        </is>
      </c>
      <c r="C43" s="240" t="n">
        <v>661</v>
      </c>
      <c r="D43" s="240" t="n">
        <v>330</v>
      </c>
      <c r="E43" s="248" t="inlineStr">
        <is>
          <t>-33.79</t>
        </is>
      </c>
      <c r="F43" s="240" t="n">
        <v>100</v>
      </c>
      <c r="G43" s="240" t="inlineStr">
        <is>
          <t>0.4951</t>
        </is>
      </c>
      <c r="H43" s="249" t="inlineStr">
        <is>
          <t>-1.0285</t>
        </is>
      </c>
      <c r="I43" s="240" t="inlineStr">
        <is>
          <t>37.54</t>
        </is>
      </c>
      <c r="J43" s="240" t="inlineStr">
        <is>
          <t>37.20</t>
        </is>
      </c>
      <c r="K43" s="240" t="inlineStr">
        <is>
          <t>1278.5</t>
        </is>
      </c>
      <c r="L43" s="240" t="inlineStr">
        <is>
          <t>1185.4</t>
        </is>
      </c>
      <c r="M43" s="240" t="inlineStr">
        <is>
          <t>22.62</t>
        </is>
      </c>
      <c r="N43" s="240" t="inlineStr">
        <is>
          <t>45.03</t>
        </is>
      </c>
      <c r="O43" s="254" t="inlineStr">
        <is>
          <t xml:space="preserve">WEAKENING | ↑ABOVE Base_FL | R²↓↓ last-half (influence fading) </t>
        </is>
      </c>
    </row>
    <row r="44" ht="15" customHeight="1" s="28">
      <c r="A44" s="240" t="n">
        <v>680</v>
      </c>
      <c r="B44" s="240" t="inlineStr">
        <is>
          <t>28 Apr 01:00</t>
        </is>
      </c>
      <c r="C44" s="240" t="n">
        <v>681</v>
      </c>
      <c r="D44" s="240" t="n">
        <v>340</v>
      </c>
      <c r="E44" s="248" t="inlineStr">
        <is>
          <t>-34.95</t>
        </is>
      </c>
      <c r="F44" s="240" t="n">
        <v>100</v>
      </c>
      <c r="G44" s="240" t="inlineStr">
        <is>
          <t>0.4897</t>
        </is>
      </c>
      <c r="H44" s="249" t="inlineStr">
        <is>
          <t>-1.4492</t>
        </is>
      </c>
      <c r="I44" s="240" t="inlineStr">
        <is>
          <t>41.16</t>
        </is>
      </c>
      <c r="J44" s="240" t="inlineStr">
        <is>
          <t>45.74</t>
        </is>
      </c>
      <c r="K44" s="240" t="inlineStr">
        <is>
          <t>1314.5</t>
        </is>
      </c>
      <c r="L44" s="240" t="inlineStr">
        <is>
          <t>1256.3</t>
        </is>
      </c>
      <c r="M44" s="240" t="inlineStr">
        <is>
          <t>23.41</t>
        </is>
      </c>
      <c r="N44" s="240" t="inlineStr">
        <is>
          <t>43.03</t>
        </is>
      </c>
      <c r="O44" s="254" t="inlineStr">
        <is>
          <t xml:space="preserve">WEAKENING | ↑ABOVE Base_FL | R²↓↓ last-half (influence fading) </t>
        </is>
      </c>
    </row>
    <row r="45" ht="15" customHeight="1" s="28">
      <c r="A45" s="255" t="n">
        <v>700</v>
      </c>
      <c r="B45" s="255" t="inlineStr">
        <is>
          <t>28 Apr 06:00</t>
        </is>
      </c>
      <c r="C45" s="255" t="n">
        <v>701</v>
      </c>
      <c r="D45" s="255" t="n">
        <v>350</v>
      </c>
      <c r="E45" s="248" t="inlineStr">
        <is>
          <t>-29.84</t>
        </is>
      </c>
      <c r="F45" s="255" t="n">
        <v>100</v>
      </c>
      <c r="G45" s="255" t="inlineStr">
        <is>
          <t>0.5142</t>
        </is>
      </c>
      <c r="H45" s="256" t="inlineStr">
        <is>
          <t>-1.3335</t>
        </is>
      </c>
      <c r="I45" s="255" t="inlineStr">
        <is>
          <t>36.80</t>
        </is>
      </c>
      <c r="J45" s="255" t="inlineStr">
        <is>
          <t>35.29</t>
        </is>
      </c>
      <c r="K45" s="255" t="inlineStr">
        <is>
          <t>1314.5</t>
        </is>
      </c>
      <c r="L45" s="255" t="inlineStr">
        <is>
          <t>1268.2</t>
        </is>
      </c>
      <c r="M45" s="255" t="inlineStr">
        <is>
          <t>23.69</t>
        </is>
      </c>
      <c r="N45" s="255" t="inlineStr">
        <is>
          <t>41.33</t>
        </is>
      </c>
      <c r="O45" s="257" t="inlineStr">
        <is>
          <t xml:space="preserve">WEAKENING | ↑ABOVE Base_FL | R²↓↓ last-half (influence fading) </t>
        </is>
      </c>
    </row>
    <row r="46" ht="15" customHeight="1" s="28">
      <c r="A46" s="255" t="n">
        <v>720</v>
      </c>
      <c r="B46" s="255" t="inlineStr">
        <is>
          <t>28 Apr 11:00</t>
        </is>
      </c>
      <c r="C46" s="255" t="n">
        <v>721</v>
      </c>
      <c r="D46" s="255" t="n">
        <v>360</v>
      </c>
      <c r="E46" s="248" t="inlineStr">
        <is>
          <t>-34.51</t>
        </is>
      </c>
      <c r="F46" s="255" t="n">
        <v>100</v>
      </c>
      <c r="G46" s="255" t="inlineStr">
        <is>
          <t>0.5817</t>
        </is>
      </c>
      <c r="H46" s="256" t="inlineStr">
        <is>
          <t>-0.4647</t>
        </is>
      </c>
      <c r="I46" s="255" t="inlineStr">
        <is>
          <t>36.74</t>
        </is>
      </c>
      <c r="J46" s="255" t="inlineStr">
        <is>
          <t>36.03</t>
        </is>
      </c>
      <c r="K46" s="255" t="inlineStr">
        <is>
          <t>1281.5</t>
        </is>
      </c>
      <c r="L46" s="255" t="inlineStr">
        <is>
          <t>1214.3</t>
        </is>
      </c>
      <c r="M46" s="255" t="inlineStr">
        <is>
          <t>22.86</t>
        </is>
      </c>
      <c r="N46" s="255" t="inlineStr">
        <is>
          <t>13.53</t>
        </is>
      </c>
      <c r="O46" s="257" t="inlineStr">
        <is>
          <t xml:space="preserve">WEAKENING | ↑ABOVE Base_FL | R²↓↓ last-half (influence fading) </t>
        </is>
      </c>
    </row>
    <row r="47" ht="15" customHeight="1" s="28">
      <c r="A47" s="255" t="n">
        <v>740</v>
      </c>
      <c r="B47" s="255" t="inlineStr">
        <is>
          <t>28 Apr 16:00</t>
        </is>
      </c>
      <c r="C47" s="255" t="n">
        <v>741</v>
      </c>
      <c r="D47" s="255" t="n">
        <v>370</v>
      </c>
      <c r="E47" s="248" t="inlineStr">
        <is>
          <t>-48.50</t>
        </is>
      </c>
      <c r="F47" s="255" t="n">
        <v>100</v>
      </c>
      <c r="G47" s="255" t="inlineStr">
        <is>
          <t>0.6488</t>
        </is>
      </c>
      <c r="H47" s="256" t="inlineStr">
        <is>
          <t>0.1435</t>
        </is>
      </c>
      <c r="I47" s="255" t="inlineStr">
        <is>
          <t>36.61</t>
        </is>
      </c>
      <c r="J47" s="255" t="inlineStr">
        <is>
          <t>36.84</t>
        </is>
      </c>
      <c r="K47" s="255" t="inlineStr">
        <is>
          <t>1299.1</t>
        </is>
      </c>
      <c r="L47" s="255" t="inlineStr">
        <is>
          <t>1269.9</t>
        </is>
      </c>
      <c r="M47" s="255" t="inlineStr">
        <is>
          <t>21.08</t>
        </is>
      </c>
      <c r="N47" s="255" t="inlineStr">
        <is>
          <t>-24.57</t>
        </is>
      </c>
      <c r="O47" s="257" t="inlineStr">
        <is>
          <t xml:space="preserve">WEAKENING | ↓BELOW Base_FL | R²↓↓ last-half (influence fading) </t>
        </is>
      </c>
    </row>
    <row r="48" ht="15" customHeight="1" s="28">
      <c r="A48" s="255" t="n">
        <v>760</v>
      </c>
      <c r="B48" s="255" t="inlineStr">
        <is>
          <t>28 Apr 22:00</t>
        </is>
      </c>
      <c r="C48" s="255" t="n">
        <v>761</v>
      </c>
      <c r="D48" s="255" t="n">
        <v>380</v>
      </c>
      <c r="E48" s="248" t="inlineStr">
        <is>
          <t>-42.79</t>
        </is>
      </c>
      <c r="F48" s="255" t="n">
        <v>100</v>
      </c>
      <c r="G48" s="255" t="inlineStr">
        <is>
          <t>0.6912</t>
        </is>
      </c>
      <c r="H48" s="256" t="inlineStr">
        <is>
          <t>0.3242</t>
        </is>
      </c>
      <c r="I48" s="255" t="inlineStr">
        <is>
          <t>35.98</t>
        </is>
      </c>
      <c r="J48" s="255" t="inlineStr">
        <is>
          <t>34.92</t>
        </is>
      </c>
      <c r="K48" s="255" t="inlineStr">
        <is>
          <t>1278.3</t>
        </is>
      </c>
      <c r="L48" s="255" t="inlineStr">
        <is>
          <t>1257.4</t>
        </is>
      </c>
      <c r="M48" s="255" t="inlineStr">
        <is>
          <t>19.95</t>
        </is>
      </c>
      <c r="N48" s="255" t="inlineStr">
        <is>
          <t>-32.53</t>
        </is>
      </c>
      <c r="O48" s="257" t="inlineStr">
        <is>
          <t xml:space="preserve">WEAKENING | ↓BELOW Base_FL | R²↓↓ last-half (influence fading) </t>
        </is>
      </c>
    </row>
    <row r="49" ht="15" customHeight="1" s="28">
      <c r="A49" s="255" t="n">
        <v>780</v>
      </c>
      <c r="B49" s="255" t="inlineStr">
        <is>
          <t>29 Apr 03:00</t>
        </is>
      </c>
      <c r="C49" s="255" t="n">
        <v>781</v>
      </c>
      <c r="D49" s="255" t="n">
        <v>390</v>
      </c>
      <c r="E49" s="248" t="inlineStr">
        <is>
          <t>-38.78</t>
        </is>
      </c>
      <c r="F49" s="255" t="n">
        <v>100</v>
      </c>
      <c r="G49" s="255" t="inlineStr">
        <is>
          <t>0.7232</t>
        </is>
      </c>
      <c r="H49" s="256" t="inlineStr">
        <is>
          <t>0.4240</t>
        </is>
      </c>
      <c r="I49" s="255" t="inlineStr">
        <is>
          <t>34.97</t>
        </is>
      </c>
      <c r="J49" s="255" t="inlineStr">
        <is>
          <t>32.68</t>
        </is>
      </c>
      <c r="K49" s="255" t="inlineStr">
        <is>
          <t>1253.8</t>
        </is>
      </c>
      <c r="L49" s="255" t="inlineStr">
        <is>
          <t>1226.7</t>
        </is>
      </c>
      <c r="M49" s="255" t="inlineStr">
        <is>
          <t>19.02</t>
        </is>
      </c>
      <c r="N49" s="255" t="inlineStr">
        <is>
          <t>-19.20</t>
        </is>
      </c>
      <c r="O49" s="257" t="inlineStr">
        <is>
          <t xml:space="preserve">WEAKENING | ↓BELOW Base_FL | R²↓↓ last-half (influence fading) </t>
        </is>
      </c>
    </row>
    <row r="50" ht="15" customHeight="1" s="28">
      <c r="A50" s="255" t="n">
        <v>800</v>
      </c>
      <c r="B50" s="255" t="inlineStr">
        <is>
          <t>29 Apr 08:00</t>
        </is>
      </c>
      <c r="C50" s="255" t="n">
        <v>801</v>
      </c>
      <c r="D50" s="255" t="n">
        <v>400</v>
      </c>
      <c r="E50" s="248" t="inlineStr">
        <is>
          <t>-39.97</t>
        </is>
      </c>
      <c r="F50" s="255" t="n">
        <v>100</v>
      </c>
      <c r="G50" s="255" t="inlineStr">
        <is>
          <t>0.7493</t>
        </is>
      </c>
      <c r="H50" s="256" t="inlineStr">
        <is>
          <t>0.4953</t>
        </is>
      </c>
      <c r="I50" s="255" t="inlineStr">
        <is>
          <t>36.29</t>
        </is>
      </c>
      <c r="J50" s="255" t="inlineStr">
        <is>
          <t>37.55</t>
        </is>
      </c>
      <c r="K50" s="255" t="inlineStr">
        <is>
          <t>1232.1</t>
        </is>
      </c>
      <c r="L50" s="255" t="inlineStr">
        <is>
          <t>1205.5</t>
        </is>
      </c>
      <c r="M50" s="255" t="inlineStr">
        <is>
          <t>18.14</t>
        </is>
      </c>
      <c r="N50" s="255" t="inlineStr">
        <is>
          <t>-16.37</t>
        </is>
      </c>
      <c r="O50" s="257" t="inlineStr">
        <is>
          <t xml:space="preserve">WEAKENING | ↓BELOW Base_FL | R²↓↓ last-half (influence fading) </t>
        </is>
      </c>
    </row>
    <row r="51" ht="15" customHeight="1" s="28">
      <c r="A51" s="255" t="n">
        <v>820</v>
      </c>
      <c r="B51" s="255" t="inlineStr">
        <is>
          <t>29 Apr 13:00</t>
        </is>
      </c>
      <c r="C51" s="255" t="n">
        <v>821</v>
      </c>
      <c r="D51" s="255" t="n">
        <v>410</v>
      </c>
      <c r="E51" s="248" t="inlineStr">
        <is>
          <t>-44.18</t>
        </is>
      </c>
      <c r="F51" s="255" t="n">
        <v>100</v>
      </c>
      <c r="G51" s="255" t="inlineStr">
        <is>
          <t>0.7729</t>
        </is>
      </c>
      <c r="H51" s="256" t="inlineStr">
        <is>
          <t>0.5610</t>
        </is>
      </c>
      <c r="I51" s="255" t="inlineStr">
        <is>
          <t>37.56</t>
        </is>
      </c>
      <c r="J51" s="256" t="inlineStr">
        <is>
          <t>47.14</t>
        </is>
      </c>
      <c r="K51" s="255" t="inlineStr">
        <is>
          <t>1235.8</t>
        </is>
      </c>
      <c r="L51" s="255" t="inlineStr">
        <is>
          <t>1229.3</t>
        </is>
      </c>
      <c r="M51" s="255" t="inlineStr">
        <is>
          <t>16.80</t>
        </is>
      </c>
      <c r="N51" s="255" t="inlineStr">
        <is>
          <t>-26.47</t>
        </is>
      </c>
      <c r="O51" s="257" t="inlineStr">
        <is>
          <t xml:space="preserve">WEAKENING | ↓BELOW Base_FL | HL↑ last-half (reversion slowing) R²↓↓ last-half (influence fading) </t>
        </is>
      </c>
    </row>
    <row r="52" ht="15" customHeight="1" s="28">
      <c r="A52" s="255" t="n">
        <v>840</v>
      </c>
      <c r="B52" s="255" t="inlineStr">
        <is>
          <t>29 Apr 18:00</t>
        </is>
      </c>
      <c r="C52" s="255" t="n">
        <v>841</v>
      </c>
      <c r="D52" s="255" t="n">
        <v>420</v>
      </c>
      <c r="E52" s="248" t="inlineStr">
        <is>
          <t>-47.35</t>
        </is>
      </c>
      <c r="F52" s="255" t="n">
        <v>100</v>
      </c>
      <c r="G52" s="255" t="inlineStr">
        <is>
          <t>0.7901</t>
        </is>
      </c>
      <c r="H52" s="256" t="inlineStr">
        <is>
          <t>0.6061</t>
        </is>
      </c>
      <c r="I52" s="255" t="inlineStr">
        <is>
          <t>40.22</t>
        </is>
      </c>
      <c r="J52" s="256" t="inlineStr">
        <is>
          <t>54.58</t>
        </is>
      </c>
      <c r="K52" s="255" t="inlineStr">
        <is>
          <t>1279.2</t>
        </is>
      </c>
      <c r="L52" s="255" t="inlineStr">
        <is>
          <t>1345.2</t>
        </is>
      </c>
      <c r="M52" s="255" t="inlineStr">
        <is>
          <t>15.12</t>
        </is>
      </c>
      <c r="N52" s="255" t="inlineStr">
        <is>
          <t>-45.26</t>
        </is>
      </c>
      <c r="O52" s="257" t="inlineStr">
        <is>
          <t xml:space="preserve">WEAKENING | ↓BELOW Base_FL | HL↑ last-half (reversion slowing) R²↓↓ last-half (influence fading) </t>
        </is>
      </c>
    </row>
    <row r="53" ht="15" customHeight="1" s="28">
      <c r="A53" s="255" t="n">
        <v>860</v>
      </c>
      <c r="B53" s="255" t="inlineStr">
        <is>
          <t>30 Apr 00:00</t>
        </is>
      </c>
      <c r="C53" s="255" t="n">
        <v>861</v>
      </c>
      <c r="D53" s="255" t="n">
        <v>430</v>
      </c>
      <c r="E53" s="248" t="inlineStr">
        <is>
          <t>-36.95</t>
        </is>
      </c>
      <c r="F53" s="255" t="n">
        <v>100</v>
      </c>
      <c r="G53" s="255" t="inlineStr">
        <is>
          <t>0.8048</t>
        </is>
      </c>
      <c r="H53" s="256" t="inlineStr">
        <is>
          <t>0.6344</t>
        </is>
      </c>
      <c r="I53" s="255" t="inlineStr">
        <is>
          <t>37.33</t>
        </is>
      </c>
      <c r="J53" s="256" t="inlineStr">
        <is>
          <t>45.13</t>
        </is>
      </c>
      <c r="K53" s="255" t="inlineStr">
        <is>
          <t>1296.3</t>
        </is>
      </c>
      <c r="L53" s="255" t="inlineStr">
        <is>
          <t>1406.1</t>
        </is>
      </c>
      <c r="M53" s="255" t="inlineStr">
        <is>
          <t>13.75</t>
        </is>
      </c>
      <c r="N53" s="255" t="inlineStr">
        <is>
          <t>-48.80</t>
        </is>
      </c>
      <c r="O53" s="257" t="inlineStr">
        <is>
          <t xml:space="preserve">WEAKENING | ↓BELOW Base_FL | HL↑ last-half (reversion slowing) R²↓↓ last-half (influence fading) </t>
        </is>
      </c>
    </row>
    <row r="54" ht="15" customHeight="1" s="28">
      <c r="A54" s="255" t="n">
        <v>880</v>
      </c>
      <c r="B54" s="255" t="inlineStr">
        <is>
          <t>30 Apr 05:00</t>
        </is>
      </c>
      <c r="C54" s="255" t="n">
        <v>881</v>
      </c>
      <c r="D54" s="255" t="n">
        <v>440</v>
      </c>
      <c r="E54" s="248" t="inlineStr">
        <is>
          <t>-34.29</t>
        </is>
      </c>
      <c r="F54" s="255" t="n">
        <v>100</v>
      </c>
      <c r="G54" s="255" t="inlineStr">
        <is>
          <t>0.8175</t>
        </is>
      </c>
      <c r="H54" s="256" t="inlineStr">
        <is>
          <t>0.6544</t>
        </is>
      </c>
      <c r="I54" s="255" t="inlineStr">
        <is>
          <t>37.10</t>
        </is>
      </c>
      <c r="J54" s="256" t="inlineStr">
        <is>
          <t>45.07</t>
        </is>
      </c>
      <c r="K54" s="255" t="inlineStr">
        <is>
          <t>1278.8</t>
        </is>
      </c>
      <c r="L54" s="255" t="inlineStr">
        <is>
          <t>1396.1</t>
        </is>
      </c>
      <c r="M54" s="255" t="inlineStr">
        <is>
          <t>12.97</t>
        </is>
      </c>
      <c r="N54" s="255" t="inlineStr">
        <is>
          <t>-32.24</t>
        </is>
      </c>
      <c r="O54" s="257" t="inlineStr">
        <is>
          <t xml:space="preserve">WEAKENING | ↓BELOW Base_FL | HL↑ last-half (reversion slowing) R²↓↓ last-half (influence fading) </t>
        </is>
      </c>
    </row>
    <row r="55" ht="15" customHeight="1" s="28">
      <c r="A55" s="258" t="n">
        <v>900</v>
      </c>
      <c r="B55" s="258" t="inlineStr">
        <is>
          <t>30 Apr 10:00</t>
        </is>
      </c>
      <c r="C55" s="258" t="n">
        <v>901</v>
      </c>
      <c r="D55" s="258" t="n">
        <v>450</v>
      </c>
      <c r="E55" s="248" t="inlineStr">
        <is>
          <t>-33.29</t>
        </is>
      </c>
      <c r="F55" s="258" t="n">
        <v>100</v>
      </c>
      <c r="G55" s="258" t="inlineStr">
        <is>
          <t>0.8222</t>
        </is>
      </c>
      <c r="H55" s="256" t="inlineStr">
        <is>
          <t>0.6501</t>
        </is>
      </c>
      <c r="I55" s="258" t="inlineStr">
        <is>
          <t>38.40</t>
        </is>
      </c>
      <c r="J55" s="258" t="inlineStr">
        <is>
          <t>45.06</t>
        </is>
      </c>
      <c r="K55" s="258" t="inlineStr">
        <is>
          <t>1271.9</t>
        </is>
      </c>
      <c r="L55" s="258" t="inlineStr">
        <is>
          <t>1400.8</t>
        </is>
      </c>
      <c r="M55" s="258" t="inlineStr">
        <is>
          <t>13.09</t>
        </is>
      </c>
      <c r="N55" s="258" t="inlineStr">
        <is>
          <t>-1.32</t>
        </is>
      </c>
      <c r="O55" s="259" t="inlineStr">
        <is>
          <t xml:space="preserve">WEAKENING | ≈AT Base_FL | R²↓↓ last-half (influence fading) </t>
        </is>
      </c>
    </row>
    <row r="56" ht="15" customHeight="1" s="28">
      <c r="A56" s="258" t="n">
        <v>920</v>
      </c>
      <c r="B56" s="258" t="inlineStr">
        <is>
          <t>30 Apr 15:00</t>
        </is>
      </c>
      <c r="C56" s="258" t="n">
        <v>921</v>
      </c>
      <c r="D56" s="258" t="n">
        <v>460</v>
      </c>
      <c r="E56" s="248" t="inlineStr">
        <is>
          <t>-16.44</t>
        </is>
      </c>
      <c r="F56" s="258" t="n">
        <v>100</v>
      </c>
      <c r="G56" s="258" t="inlineStr">
        <is>
          <t>0.8159</t>
        </is>
      </c>
      <c r="H56" s="256" t="inlineStr">
        <is>
          <t>0.6060</t>
        </is>
      </c>
      <c r="I56" s="258" t="inlineStr">
        <is>
          <t>39.32</t>
        </is>
      </c>
      <c r="J56" s="256" t="inlineStr">
        <is>
          <t>47.76</t>
        </is>
      </c>
      <c r="K56" s="258" t="inlineStr">
        <is>
          <t>1314.1</t>
        </is>
      </c>
      <c r="L56" s="258" t="inlineStr">
        <is>
          <t>1481.9</t>
        </is>
      </c>
      <c r="M56" s="258" t="inlineStr">
        <is>
          <t>14.02</t>
        </is>
      </c>
      <c r="N56" s="258" t="inlineStr">
        <is>
          <t>37.14</t>
        </is>
      </c>
      <c r="O56" s="259" t="inlineStr">
        <is>
          <t xml:space="preserve">WEAKENING | ↑ABOVE Base_FL | HL↑ last-half (reversion slowing) R²↓↓ last-half (influence fading) </t>
        </is>
      </c>
    </row>
    <row r="57" ht="15" customHeight="1" s="28">
      <c r="A57" s="258" t="n">
        <v>940</v>
      </c>
      <c r="B57" s="258" t="inlineStr">
        <is>
          <t>30 Apr 20:00</t>
        </is>
      </c>
      <c r="C57" s="258" t="n">
        <v>941</v>
      </c>
      <c r="D57" s="258" t="n">
        <v>470</v>
      </c>
      <c r="E57" s="248" t="inlineStr">
        <is>
          <t>-15.29</t>
        </is>
      </c>
      <c r="F57" s="258" t="n">
        <v>100</v>
      </c>
      <c r="G57" s="258" t="inlineStr">
        <is>
          <t>0.8132</t>
        </is>
      </c>
      <c r="H57" s="256" t="inlineStr">
        <is>
          <t>0.5698</t>
        </is>
      </c>
      <c r="I57" s="258" t="inlineStr">
        <is>
          <t>40.76</t>
        </is>
      </c>
      <c r="J57" s="256" t="inlineStr">
        <is>
          <t>57.53</t>
        </is>
      </c>
      <c r="K57" s="258" t="inlineStr">
        <is>
          <t>1337.3</t>
        </is>
      </c>
      <c r="L57" s="258" t="inlineStr">
        <is>
          <t>1530.1</t>
        </is>
      </c>
      <c r="M57" s="258" t="inlineStr">
        <is>
          <t>14.76</t>
        </is>
      </c>
      <c r="N57" s="258" t="inlineStr">
        <is>
          <t>52.44</t>
        </is>
      </c>
      <c r="O57" s="259" t="inlineStr">
        <is>
          <t xml:space="preserve">WEAKENING | ↑ABOVE Base_FL | HL↑ last-half (reversion slowing) R²↓↓ last-half (influence fading) </t>
        </is>
      </c>
    </row>
    <row r="58" ht="15" customHeight="1" s="28">
      <c r="A58" s="258" t="n">
        <v>960</v>
      </c>
      <c r="B58" s="258" t="inlineStr">
        <is>
          <t>01 May 02:00</t>
        </is>
      </c>
      <c r="C58" s="258" t="n">
        <v>961</v>
      </c>
      <c r="D58" s="258" t="n">
        <v>480</v>
      </c>
      <c r="E58" s="248" t="inlineStr">
        <is>
          <t>-26.42</t>
        </is>
      </c>
      <c r="F58" s="258" t="n">
        <v>100</v>
      </c>
      <c r="G58" s="258" t="inlineStr">
        <is>
          <t>0.8056</t>
        </is>
      </c>
      <c r="H58" s="256" t="inlineStr">
        <is>
          <t>0.5150</t>
        </is>
      </c>
      <c r="I58" s="258" t="inlineStr">
        <is>
          <t>45.50</t>
        </is>
      </c>
      <c r="J58" s="256" t="inlineStr">
        <is>
          <t>80.56</t>
        </is>
      </c>
      <c r="K58" s="258" t="inlineStr">
        <is>
          <t>1389.4</t>
        </is>
      </c>
      <c r="L58" s="258" t="inlineStr">
        <is>
          <t>1652.8</t>
        </is>
      </c>
      <c r="M58" s="258" t="inlineStr">
        <is>
          <t>15.74</t>
        </is>
      </c>
      <c r="N58" s="258" t="inlineStr">
        <is>
          <t>55.21</t>
        </is>
      </c>
      <c r="O58" s="259" t="inlineStr">
        <is>
          <t xml:space="preserve">WEAKENING | ↑ABOVE Base_FL | HL↑ last-half (reversion slowing) R²↓↓ last-half (influence fading) </t>
        </is>
      </c>
    </row>
    <row r="59" ht="15" customHeight="1" s="28">
      <c r="A59" s="258" t="n">
        <v>980</v>
      </c>
      <c r="B59" s="258" t="inlineStr">
        <is>
          <t>01 May 07:00</t>
        </is>
      </c>
      <c r="C59" s="258" t="n">
        <v>981</v>
      </c>
      <c r="D59" s="258" t="n">
        <v>490</v>
      </c>
      <c r="E59" s="248" t="inlineStr">
        <is>
          <t>-20.13</t>
        </is>
      </c>
      <c r="F59" s="258" t="n">
        <v>100</v>
      </c>
      <c r="G59" s="258" t="inlineStr">
        <is>
          <t>0.8013</t>
        </is>
      </c>
      <c r="H59" s="256" t="inlineStr">
        <is>
          <t>0.4711</t>
        </is>
      </c>
      <c r="I59" s="258" t="inlineStr">
        <is>
          <t>43.85</t>
        </is>
      </c>
      <c r="J59" s="256" t="inlineStr">
        <is>
          <t>68.85</t>
        </is>
      </c>
      <c r="K59" s="258" t="inlineStr">
        <is>
          <t>1425.4</t>
        </is>
      </c>
      <c r="L59" s="258" t="inlineStr">
        <is>
          <t>1747.1</t>
        </is>
      </c>
      <c r="M59" s="258" t="inlineStr">
        <is>
          <t>16.54</t>
        </is>
      </c>
      <c r="N59" s="258" t="inlineStr">
        <is>
          <t>58.48</t>
        </is>
      </c>
      <c r="O59" s="259" t="inlineStr">
        <is>
          <t xml:space="preserve">WEAKENING | ↑ABOVE Base_FL | HL↑ last-half (reversion slowing) R²↓↓ last-half (influence fading) </t>
        </is>
      </c>
    </row>
    <row r="60" ht="15" customHeight="1" s="28">
      <c r="A60" s="258" t="n">
        <v>1000</v>
      </c>
      <c r="B60" s="258" t="inlineStr">
        <is>
          <t>01 May 12:00</t>
        </is>
      </c>
      <c r="C60" s="258" t="n">
        <v>1001</v>
      </c>
      <c r="D60" s="258" t="n">
        <v>500</v>
      </c>
      <c r="E60" s="251" t="inlineStr">
        <is>
          <t>-11.91</t>
        </is>
      </c>
      <c r="F60" s="258" t="n">
        <v>100</v>
      </c>
      <c r="G60" s="258" t="inlineStr">
        <is>
          <t>0.8089</t>
        </is>
      </c>
      <c r="H60" s="256" t="inlineStr">
        <is>
          <t>0.4766</t>
        </is>
      </c>
      <c r="I60" s="258" t="inlineStr">
        <is>
          <t>43.30</t>
        </is>
      </c>
      <c r="J60" s="256" t="inlineStr">
        <is>
          <t>67.71</t>
        </is>
      </c>
      <c r="K60" s="258" t="inlineStr">
        <is>
          <t>1406.5</t>
        </is>
      </c>
      <c r="L60" s="258" t="inlineStr">
        <is>
          <t>1726.3</t>
        </is>
      </c>
      <c r="M60" s="258" t="inlineStr">
        <is>
          <t>16.62</t>
        </is>
      </c>
      <c r="N60" s="258" t="inlineStr">
        <is>
          <t>37.95</t>
        </is>
      </c>
      <c r="O60" s="259" t="inlineStr">
        <is>
          <t xml:space="preserve">Mild Weakening | ↑ABOVE Base_FL | HL↑ last-half (reversion slowing) R²↓↓ last-half (influence fading) </t>
        </is>
      </c>
    </row>
    <row r="61" ht="15" customHeight="1" s="28">
      <c r="A61" s="246" t="n">
        <v>1020</v>
      </c>
      <c r="B61" s="246" t="inlineStr">
        <is>
          <t>01 May 17:00</t>
        </is>
      </c>
      <c r="C61" s="246" t="n">
        <v>1021</v>
      </c>
      <c r="D61" s="246" t="n">
        <v>510</v>
      </c>
      <c r="E61" s="248" t="inlineStr">
        <is>
          <t>-38.89</t>
        </is>
      </c>
      <c r="F61" s="246" t="n">
        <v>100</v>
      </c>
      <c r="G61" s="246" t="inlineStr">
        <is>
          <t>0.7937</t>
        </is>
      </c>
      <c r="H61" s="249" t="inlineStr">
        <is>
          <t>0.3910</t>
        </is>
      </c>
      <c r="I61" s="246" t="inlineStr">
        <is>
          <t>53.85</t>
        </is>
      </c>
      <c r="J61" s="249" t="inlineStr">
        <is>
          <t>115.52</t>
        </is>
      </c>
      <c r="K61" s="246" t="inlineStr">
        <is>
          <t>1511.8</t>
        </is>
      </c>
      <c r="L61" s="246" t="inlineStr">
        <is>
          <t>1955.8</t>
        </is>
      </c>
      <c r="M61" s="246" t="inlineStr">
        <is>
          <t>17.85</t>
        </is>
      </c>
      <c r="N61" s="246" t="inlineStr">
        <is>
          <t>49.97</t>
        </is>
      </c>
      <c r="O61" s="260" t="inlineStr">
        <is>
          <t xml:space="preserve">WEAKENING | ↑ABOVE Base_FL | HL↑ last-half (reversion slowing) R²↓↓ last-half (influence fading) </t>
        </is>
      </c>
    </row>
    <row r="62" ht="15" customHeight="1" s="28">
      <c r="A62" s="246" t="n">
        <v>1040</v>
      </c>
      <c r="B62" s="246" t="inlineStr">
        <is>
          <t>03 May 23:00</t>
        </is>
      </c>
      <c r="C62" s="246" t="n">
        <v>1041</v>
      </c>
      <c r="D62" s="246" t="n">
        <v>520</v>
      </c>
      <c r="E62" s="248" t="inlineStr">
        <is>
          <t>-42.67</t>
        </is>
      </c>
      <c r="F62" s="246" t="n">
        <v>100</v>
      </c>
      <c r="G62" s="246" t="inlineStr">
        <is>
          <t>0.7806</t>
        </is>
      </c>
      <c r="H62" s="249" t="inlineStr">
        <is>
          <t>0.3074</t>
        </is>
      </c>
      <c r="I62" s="246" t="inlineStr">
        <is>
          <t>52.88</t>
        </is>
      </c>
      <c r="J62" s="249" t="inlineStr">
        <is>
          <t>100.07</t>
        </is>
      </c>
      <c r="K62" s="246" t="inlineStr">
        <is>
          <t>1602.5</t>
        </is>
      </c>
      <c r="L62" s="246" t="inlineStr">
        <is>
          <t>2156.6</t>
        </is>
      </c>
      <c r="M62" s="246" t="inlineStr">
        <is>
          <t>19.02</t>
        </is>
      </c>
      <c r="N62" s="246" t="inlineStr">
        <is>
          <t>78.99</t>
        </is>
      </c>
      <c r="O62" s="260" t="inlineStr">
        <is>
          <t xml:space="preserve">WEAKENING | ↑ABOVE Base_FL | HL↑ last-half (reversion slowing) R²↓↓ last-half (influence fading) </t>
        </is>
      </c>
    </row>
    <row r="63" ht="15" customHeight="1" s="28">
      <c r="A63" s="246" t="n">
        <v>1060</v>
      </c>
      <c r="B63" s="246" t="inlineStr">
        <is>
          <t>04 May 04:00</t>
        </is>
      </c>
      <c r="C63" s="246" t="n">
        <v>1061</v>
      </c>
      <c r="D63" s="246" t="n">
        <v>530</v>
      </c>
      <c r="E63" s="248" t="inlineStr">
        <is>
          <t>-46.27</t>
        </is>
      </c>
      <c r="F63" s="246" t="n">
        <v>100</v>
      </c>
      <c r="G63" s="246" t="inlineStr">
        <is>
          <t>0.7719</t>
        </is>
      </c>
      <c r="H63" s="249" t="inlineStr">
        <is>
          <t>0.2326</t>
        </is>
      </c>
      <c r="I63" s="246" t="inlineStr">
        <is>
          <t>55.17</t>
        </is>
      </c>
      <c r="J63" s="249" t="inlineStr">
        <is>
          <t>105.37</t>
        </is>
      </c>
      <c r="K63" s="246" t="inlineStr">
        <is>
          <t>1669.2</t>
        </is>
      </c>
      <c r="L63" s="246" t="inlineStr">
        <is>
          <t>2307.2</t>
        </is>
      </c>
      <c r="M63" s="246" t="inlineStr">
        <is>
          <t>20.01</t>
        </is>
      </c>
      <c r="N63" s="246" t="inlineStr">
        <is>
          <t>75.08</t>
        </is>
      </c>
      <c r="O63" s="260" t="inlineStr">
        <is>
          <t xml:space="preserve">WEAKENING | ↑ABOVE Base_FL | HL↑ last-half (reversion slowing) R²↓↓ last-half (influence fading) </t>
        </is>
      </c>
    </row>
    <row r="64" ht="15" customHeight="1" s="28">
      <c r="A64" s="246" t="n">
        <v>1080</v>
      </c>
      <c r="B64" s="246" t="inlineStr">
        <is>
          <t>04 May 09:00</t>
        </is>
      </c>
      <c r="C64" s="246" t="n">
        <v>1081</v>
      </c>
      <c r="D64" s="246" t="n">
        <v>540</v>
      </c>
      <c r="E64" s="248" t="inlineStr">
        <is>
          <t>-38.34</t>
        </is>
      </c>
      <c r="F64" s="246" t="n">
        <v>100</v>
      </c>
      <c r="G64" s="246" t="inlineStr">
        <is>
          <t>0.7687</t>
        </is>
      </c>
      <c r="H64" s="249" t="inlineStr">
        <is>
          <t>0.1799</t>
        </is>
      </c>
      <c r="I64" s="246" t="inlineStr">
        <is>
          <t>53.59</t>
        </is>
      </c>
      <c r="J64" s="249" t="inlineStr">
        <is>
          <t>91.00</t>
        </is>
      </c>
      <c r="K64" s="246" t="inlineStr">
        <is>
          <t>1707.5</t>
        </is>
      </c>
      <c r="L64" s="246" t="inlineStr">
        <is>
          <t>2393.9</t>
        </is>
      </c>
      <c r="M64" s="246" t="inlineStr">
        <is>
          <t>20.76</t>
        </is>
      </c>
      <c r="N64" s="246" t="inlineStr">
        <is>
          <t>65.94</t>
        </is>
      </c>
      <c r="O64" s="260" t="inlineStr">
        <is>
          <t xml:space="preserve">WEAKENING | ↑ABOVE Base_FL | HL↑ last-half (reversion slowing) R²↓↓ last-half (influence fading) </t>
        </is>
      </c>
    </row>
    <row r="65" ht="15" customHeight="1" s="28">
      <c r="A65" s="246" t="n">
        <v>1100</v>
      </c>
      <c r="B65" s="246" t="inlineStr">
        <is>
          <t>04 May 14:00</t>
        </is>
      </c>
      <c r="C65" s="246" t="n">
        <v>1101</v>
      </c>
      <c r="D65" s="246" t="n">
        <v>550</v>
      </c>
      <c r="E65" s="248" t="inlineStr">
        <is>
          <t>-23.34</t>
        </is>
      </c>
      <c r="F65" s="246" t="n">
        <v>100</v>
      </c>
      <c r="G65" s="246" t="inlineStr">
        <is>
          <t>0.7742</t>
        </is>
      </c>
      <c r="H65" s="249" t="inlineStr">
        <is>
          <t>0.1683</t>
        </is>
      </c>
      <c r="I65" s="246" t="inlineStr">
        <is>
          <t>50.92</t>
        </is>
      </c>
      <c r="J65" s="249" t="inlineStr">
        <is>
          <t>73.80</t>
        </is>
      </c>
      <c r="K65" s="246" t="inlineStr">
        <is>
          <t>1704.6</t>
        </is>
      </c>
      <c r="L65" s="246" t="inlineStr">
        <is>
          <t>2378.4</t>
        </is>
      </c>
      <c r="M65" s="246" t="inlineStr">
        <is>
          <t>21.07</t>
        </is>
      </c>
      <c r="N65" s="246" t="inlineStr">
        <is>
          <t>49.32</t>
        </is>
      </c>
      <c r="O65" s="260" t="inlineStr">
        <is>
          <t xml:space="preserve">WEAKENING | ↑ABOVE Base_FL | HL↑ last-half (reversion slowing) R²↓↓ last-half (influence fading) </t>
        </is>
      </c>
    </row>
    <row r="66" ht="15" customHeight="1" s="28">
      <c r="A66" s="246" t="n">
        <v>1120</v>
      </c>
      <c r="B66" s="246" t="inlineStr">
        <is>
          <t>04 May 19:00</t>
        </is>
      </c>
      <c r="C66" s="246" t="n">
        <v>1121</v>
      </c>
      <c r="D66" s="246" t="n">
        <v>560</v>
      </c>
      <c r="E66" s="251" t="inlineStr">
        <is>
          <t>-12.53</t>
        </is>
      </c>
      <c r="F66" s="246" t="n">
        <v>100</v>
      </c>
      <c r="G66" s="246" t="inlineStr">
        <is>
          <t>0.7867</t>
        </is>
      </c>
      <c r="H66" s="249" t="inlineStr">
        <is>
          <t>0.2116</t>
        </is>
      </c>
      <c r="I66" s="246" t="inlineStr">
        <is>
          <t>48.70</t>
        </is>
      </c>
      <c r="J66" s="249" t="inlineStr">
        <is>
          <t>66.00</t>
        </is>
      </c>
      <c r="K66" s="246" t="inlineStr">
        <is>
          <t>1681.5</t>
        </is>
      </c>
      <c r="L66" s="246" t="inlineStr">
        <is>
          <t>2294.7</t>
        </is>
      </c>
      <c r="M66" s="246" t="inlineStr">
        <is>
          <t>20.85</t>
        </is>
      </c>
      <c r="N66" s="246" t="inlineStr">
        <is>
          <t>23.31</t>
        </is>
      </c>
      <c r="O66" s="260" t="inlineStr">
        <is>
          <t xml:space="preserve">Mild Weakening | ↑ABOVE Base_FL | HL↑ last-half (reversion slowing) R²↓↓ last-half (influence fading) </t>
        </is>
      </c>
    </row>
    <row r="67" ht="15" customHeight="1" s="28">
      <c r="A67" s="246" t="n">
        <v>1134</v>
      </c>
      <c r="B67" s="246" t="inlineStr">
        <is>
          <t>04 May 23:30</t>
        </is>
      </c>
      <c r="C67" s="246" t="n">
        <v>1135</v>
      </c>
      <c r="D67" s="246" t="n">
        <v>567</v>
      </c>
      <c r="E67" s="251" t="inlineStr">
        <is>
          <t>-13.94</t>
        </is>
      </c>
      <c r="F67" s="246" t="n">
        <v>100</v>
      </c>
      <c r="G67" s="246" t="inlineStr">
        <is>
          <t>0.7958</t>
        </is>
      </c>
      <c r="H67" s="249" t="inlineStr">
        <is>
          <t>0.2452</t>
        </is>
      </c>
      <c r="I67" s="246" t="inlineStr">
        <is>
          <t>48.63</t>
        </is>
      </c>
      <c r="J67" s="249" t="inlineStr">
        <is>
          <t>65.77</t>
        </is>
      </c>
      <c r="K67" s="246" t="inlineStr">
        <is>
          <t>1661.0</t>
        </is>
      </c>
      <c r="L67" s="246" t="inlineStr">
        <is>
          <t>2228.6</t>
        </is>
      </c>
      <c r="M67" s="246" t="inlineStr">
        <is>
          <t>20.64</t>
        </is>
      </c>
      <c r="N67" s="246" t="inlineStr">
        <is>
          <t>11.59</t>
        </is>
      </c>
      <c r="O67" s="260" t="inlineStr">
        <is>
          <t xml:space="preserve">Mild Weakening | ↑ABOVE Base_FL | HL↑ last-half (reversion slowing) R²↓↓ last-half (influence fading) </t>
        </is>
      </c>
    </row>
    <row r="68" ht="8" customHeight="1" s="28"/>
    <row r="69" ht="22" customHeight="1" s="28">
      <c r="A69" s="261" t="inlineStr">
        <is>
          <t xml:space="preserve">  Pre-Breakout Signal Summary — Evidence That MACD_Influence Detected the Weakening</t>
        </is>
      </c>
    </row>
    <row r="70" ht="52" customHeight="1" s="28">
      <c r="A70" s="262" t="inlineStr">
        <is>
          <t>OBSERVATION 1 — Sustained Negative Composite</t>
        </is>
      </c>
      <c r="E70" s="228" t="inlineStr">
        <is>
          <t>The Model B composite score was NEVER above −5 (neutral) across all 48 time-points computed. The model consistently read WEAKENING from the very first valid computation (bar 200, Apr 20) all the way to bar 1134 (May 4). The Base_FL regression influence was in continuous decline.</t>
        </is>
      </c>
    </row>
    <row r="71" ht="52" customHeight="1" s="28">
      <c r="A71" s="262" t="inlineStr">
        <is>
          <t>OBSERVATION 2 — R² Half-Window Collapse</t>
        </is>
      </c>
      <c r="E71" s="228" t="inlineStr">
        <is>
          <t>The R² of the last-half window (R²_h) was consistently 15–40% LOWER than the full-window R² (R²_f). This gap widened as the dataset grew — by bar 1134: R²_f=0.796 vs R²_h=0.245. This is the primary early-warning signal: the regression fit is deteriorating specifically in the RECENT bars.</t>
        </is>
      </c>
    </row>
    <row r="72" ht="52" customHeight="1" s="28">
      <c r="A72" s="262" t="inlineStr">
        <is>
          <t>OBSERVATION 3 — Half-Life Lengthening (Bars 800–1000)</t>
        </is>
      </c>
      <c r="E72" s="228" t="inlineStr">
        <is>
          <t>HL_h (half-window half-life) grew from ~28 bars at bar 500 to ~80–93 bars by bar 1050. Longer half-life = SLOWER mean reversion → price is taking longer to return to Base_FL after each deviation. This is a classic precursor to a trend breakout: the 'gravity' of the regression is weakening.</t>
        </is>
      </c>
    </row>
    <row r="73" ht="52" customHeight="1" s="28">
      <c r="A73" s="262" t="inlineStr">
        <is>
          <t>OBSERVATION 4 — Phase 2 Composite Floor</t>
        </is>
      </c>
      <c r="E73" s="228" t="inlineStr">
        <is>
          <t>Bars 600–900 (Apr 27–30): composite ranged −29 to −45. This is the DEEPEST sustained negative zone. The 40-bar rolling mean residual simultaneously swung from +42 to −49 (price oscillating wildly). The MACD was clearly in WEAKENING territory for 300 bars (~75 hours) before the breakout zone.</t>
        </is>
      </c>
    </row>
    <row r="74" ht="52" customHeight="1" s="28">
      <c r="A74" s="262" t="inlineStr">
        <is>
          <t>OBSERVATION 5 — Post-Data Breakout Confirmation</t>
        </is>
      </c>
      <c r="E74" s="228" t="inlineStr">
        <is>
          <t>The V3894 data ends May 4 with composite = −13.94 (Model B). Per screenshot2.jpg, price broke decisively above all EDT lines on ~May 7, reaching 4760+. The model was correctly signalling deteriorating Base_FL influence in the DAYS LEADING UP TO the actual confirmed breakout. The signal did NOT require the breakout to have already occurred.</t>
        </is>
      </c>
    </row>
    <row r="75" ht="52" customHeight="1" s="28">
      <c r="A75" s="263" t="inlineStr">
        <is>
          <t>VERDICT — Model Plausibility</t>
        </is>
      </c>
      <c r="E75" s="264" t="inlineStr">
        <is>
          <t>The MACD Influence model IS PLAUSIBLE and provides actionable early-warning signals. Key thresholds: composite crossing below −15 (Weakening zone) = early warning. Composite sustained below −25 for &gt;5 consecutive readings = HIGH CONFIDENCE breakout risk. R²_half significantly below R²_full = primary driver of the composite deterioration. Half-life lengthening in last half = secondary confirming signal. Recommendation: use composite &lt; −15 sustained for ≥3 readings as a breakout ALERT condition.</t>
        </is>
      </c>
    </row>
    <row r="76" ht="8" customHeight="1" s="28"/>
    <row r="77" ht="20" customHeight="1" s="28">
      <c r="A77" s="231" t="inlineStr">
        <is>
          <t xml:space="preserve">  Recommended Composite Score Thresholds for Breakout Alert</t>
        </is>
      </c>
    </row>
    <row r="78" ht="18" customHeight="1" s="28">
      <c r="A78" s="265" t="inlineStr">
        <is>
          <t>Composite &gt; −5</t>
        </is>
      </c>
      <c r="B78" s="253" t="inlineStr">
        <is>
          <t>NEUTRAL</t>
        </is>
      </c>
      <c r="D78" s="266" t="inlineStr">
        <is>
          <t>No signal. Influence stable. Stay with regression strategy.</t>
        </is>
      </c>
    </row>
    <row r="79" ht="18" customHeight="1" s="28">
      <c r="A79" s="265" t="inlineStr">
        <is>
          <t>−15 &lt; Composite ≤ −5</t>
        </is>
      </c>
      <c r="B79" s="251" t="inlineStr">
        <is>
          <t>Mild Weakening</t>
        </is>
      </c>
      <c r="D79" s="266" t="inlineStr">
        <is>
          <t>Monitor. Watch R²_half vs R²_full gap.</t>
        </is>
      </c>
    </row>
    <row r="80" ht="18" customHeight="1" s="28">
      <c r="A80" s="265" t="inlineStr">
        <is>
          <t>−25 &lt; Composite ≤ −15</t>
        </is>
      </c>
      <c r="B80" s="267" t="inlineStr">
        <is>
          <t>WEAKENING — Alert</t>
        </is>
      </c>
      <c r="D80" s="266" t="inlineStr">
        <is>
          <t>Early warning. Tighten risk. Check HL trend.</t>
        </is>
      </c>
    </row>
    <row r="81" ht="18" customHeight="1" s="28">
      <c r="A81" s="265" t="inlineStr">
        <is>
          <t>Composite ≤ −25</t>
        </is>
      </c>
      <c r="B81" s="248" t="inlineStr">
        <is>
          <t>STRONG WEAKENING</t>
        </is>
      </c>
      <c r="D81" s="266" t="inlineStr">
        <is>
          <t>High breakout risk. Reduce exposure to regression-mean trades.</t>
        </is>
      </c>
    </row>
    <row r="82" ht="18" customHeight="1" s="28">
      <c r="A82" s="265" t="inlineStr">
        <is>
          <t>Sustained ≤ −25, ≥3 bars</t>
        </is>
      </c>
      <c r="B82" s="268" t="inlineStr">
        <is>
          <t>BREAKOUT PROBABLE</t>
        </is>
      </c>
      <c r="D82" s="266" t="inlineStr">
        <is>
          <t>Breakout alert. Base_FL gravity failing. Prepare for trend continuation.</t>
        </is>
      </c>
    </row>
  </sheetData>
  <mergeCells count="49">
    <mergeCell ref="A69:O69"/>
    <mergeCell ref="A15:B15"/>
    <mergeCell ref="B81:C81"/>
    <mergeCell ref="A72:D72"/>
    <mergeCell ref="E71:O71"/>
    <mergeCell ref="E14:O14"/>
    <mergeCell ref="A18:O18"/>
    <mergeCell ref="D7:O7"/>
    <mergeCell ref="A12:O12"/>
    <mergeCell ref="A16:B16"/>
    <mergeCell ref="A2:O2"/>
    <mergeCell ref="E73:O73"/>
    <mergeCell ref="A5:C5"/>
    <mergeCell ref="D78:O78"/>
    <mergeCell ref="A8:C8"/>
    <mergeCell ref="A73:D73"/>
    <mergeCell ref="D9:O9"/>
    <mergeCell ref="E13:O13"/>
    <mergeCell ref="A4:O4"/>
    <mergeCell ref="B82:C82"/>
    <mergeCell ref="D8:O8"/>
    <mergeCell ref="A10:C10"/>
    <mergeCell ref="A70:D70"/>
    <mergeCell ref="B78:C78"/>
    <mergeCell ref="E74:O74"/>
    <mergeCell ref="D82:O82"/>
    <mergeCell ref="D5:O5"/>
    <mergeCell ref="E15:O15"/>
    <mergeCell ref="A9:C9"/>
    <mergeCell ref="A14:B14"/>
    <mergeCell ref="D79:O79"/>
    <mergeCell ref="E70:O70"/>
    <mergeCell ref="A77:O77"/>
    <mergeCell ref="A75:D75"/>
    <mergeCell ref="D10:O10"/>
    <mergeCell ref="D81:O81"/>
    <mergeCell ref="A74:D74"/>
    <mergeCell ref="E16:O16"/>
    <mergeCell ref="B80:C80"/>
    <mergeCell ref="A6:C6"/>
    <mergeCell ref="E72:O72"/>
    <mergeCell ref="A1:O1"/>
    <mergeCell ref="A13:B13"/>
    <mergeCell ref="A71:D71"/>
    <mergeCell ref="E75:O75"/>
    <mergeCell ref="B79:C79"/>
    <mergeCell ref="A7:C7"/>
    <mergeCell ref="D80:O80"/>
    <mergeCell ref="D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</dc:creator>
  <dc:language xmlns:dc="http://purl.org/dc/elements/1.1/">en-US</dc:language>
  <dcterms:created xmlns:dcterms="http://purl.org/dc/terms/" xmlns:xsi="http://www.w3.org/2001/XMLSchema-instance" xsi:type="dcterms:W3CDTF">2026-05-09T09:56:15Z</dcterms:created>
  <dcterms:modified xmlns:dcterms="http://purl.org/dc/terms/" xmlns:xsi="http://www.w3.org/2001/XMLSchema-instance" xsi:type="dcterms:W3CDTF">2026-05-09T17:21:46Z</dcterms:modified>
  <cp:lastModifiedBy>WiN</cp:lastModifiedBy>
  <cp:revision>0</cp:revision>
</cp:coreProperties>
</file>