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13_ncr:1_{F97E1777-583C-4B68-BBD2-DA23D8C33ED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USDJPY_M5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K7" i="3" l="1"/>
  <c r="BK8" i="3" s="1"/>
  <c r="BK9" i="3" s="1"/>
  <c r="BK10" i="3" s="1"/>
  <c r="BK11" i="3" s="1"/>
  <c r="BK12" i="3" s="1"/>
  <c r="BK13" i="3" s="1"/>
  <c r="BK14" i="3" s="1"/>
  <c r="BK15" i="3" s="1"/>
  <c r="BK16" i="3" s="1"/>
  <c r="BK17" i="3" s="1"/>
  <c r="BK18" i="3" s="1"/>
  <c r="BK19" i="3" s="1"/>
  <c r="BK20" i="3" s="1"/>
  <c r="BK21" i="3" s="1"/>
  <c r="BK22" i="3" s="1"/>
  <c r="BK23" i="3" s="1"/>
  <c r="BK24" i="3" s="1"/>
  <c r="BK25" i="3" s="1"/>
  <c r="BK26" i="3" s="1"/>
  <c r="BK27" i="3" s="1"/>
  <c r="BK28" i="3" s="1"/>
  <c r="BK29" i="3" s="1"/>
  <c r="BK30" i="3" s="1"/>
  <c r="BK31" i="3" s="1"/>
  <c r="BK32" i="3" s="1"/>
  <c r="BK33" i="3" s="1"/>
  <c r="BK34" i="3" s="1"/>
  <c r="BK35" i="3" s="1"/>
  <c r="BK36" i="3" s="1"/>
  <c r="BK37" i="3" s="1"/>
  <c r="BK38" i="3" s="1"/>
  <c r="BK39" i="3" s="1"/>
  <c r="BK40" i="3" s="1"/>
  <c r="BK41" i="3" s="1"/>
  <c r="BK42" i="3" s="1"/>
  <c r="BK43" i="3" s="1"/>
  <c r="BK44" i="3" s="1"/>
  <c r="BK45" i="3" s="1"/>
  <c r="BK46" i="3" s="1"/>
  <c r="BK47" i="3" s="1"/>
  <c r="BK48" i="3" s="1"/>
  <c r="BK49" i="3" s="1"/>
  <c r="BK50" i="3" s="1"/>
  <c r="BK51" i="3" s="1"/>
  <c r="BK52" i="3" s="1"/>
  <c r="BK53" i="3" s="1"/>
  <c r="BK54" i="3" s="1"/>
  <c r="BK55" i="3" s="1"/>
  <c r="BK56" i="3" s="1"/>
  <c r="BK57" i="3" s="1"/>
  <c r="BK58" i="3" s="1"/>
  <c r="BK59" i="3" s="1"/>
  <c r="BK60" i="3" s="1"/>
  <c r="BK61" i="3" s="1"/>
  <c r="BK62" i="3" s="1"/>
  <c r="BK63" i="3" s="1"/>
  <c r="BK64" i="3" s="1"/>
  <c r="BK65" i="3" s="1"/>
  <c r="BK66" i="3" s="1"/>
  <c r="BK67" i="3" s="1"/>
  <c r="BK68" i="3" s="1"/>
  <c r="BK69" i="3" s="1"/>
  <c r="BK70" i="3" s="1"/>
  <c r="BK71" i="3" s="1"/>
  <c r="BK72" i="3" s="1"/>
  <c r="BK73" i="3" s="1"/>
  <c r="BK74" i="3" s="1"/>
  <c r="BK75" i="3" s="1"/>
  <c r="BK76" i="3" s="1"/>
  <c r="BK77" i="3" s="1"/>
  <c r="BK78" i="3" s="1"/>
  <c r="BK79" i="3" s="1"/>
  <c r="BK80" i="3" s="1"/>
  <c r="BK81" i="3" s="1"/>
  <c r="BK82" i="3" s="1"/>
  <c r="BK83" i="3" s="1"/>
  <c r="BK84" i="3" s="1"/>
  <c r="BK85" i="3" s="1"/>
  <c r="BK86" i="3" s="1"/>
  <c r="BK87" i="3" s="1"/>
  <c r="BK88" i="3" s="1"/>
  <c r="BK89" i="3" s="1"/>
  <c r="BK90" i="3" s="1"/>
  <c r="BK91" i="3" s="1"/>
  <c r="BK92" i="3" s="1"/>
  <c r="BK93" i="3" s="1"/>
  <c r="BK94" i="3" s="1"/>
  <c r="BK95" i="3" s="1"/>
  <c r="BK96" i="3" s="1"/>
  <c r="BK97" i="3" s="1"/>
  <c r="BK98" i="3" s="1"/>
  <c r="BK99" i="3" s="1"/>
  <c r="BK100" i="3" s="1"/>
  <c r="BK101" i="3" s="1"/>
  <c r="BK102" i="3" s="1"/>
  <c r="BK103" i="3" s="1"/>
  <c r="BK6" i="3"/>
  <c r="EI9" i="3"/>
  <c r="EI10" i="3"/>
  <c r="EI11" i="3"/>
  <c r="EI12" i="3"/>
  <c r="EI13" i="3"/>
  <c r="EI14" i="3"/>
  <c r="EI15" i="3"/>
  <c r="EE9" i="3"/>
  <c r="EE10" i="3"/>
  <c r="EE11" i="3"/>
  <c r="EE12" i="3"/>
  <c r="EE13" i="3"/>
  <c r="EE14" i="3"/>
  <c r="EE15" i="3"/>
  <c r="DV16" i="3"/>
  <c r="EE16" i="3" s="1"/>
  <c r="DV17" i="3"/>
  <c r="EI17" i="3" s="1"/>
  <c r="DV18" i="3"/>
  <c r="EI18" i="3" s="1"/>
  <c r="DV19" i="3"/>
  <c r="EE19" i="3" s="1"/>
  <c r="DV20" i="3"/>
  <c r="EI20" i="3" s="1"/>
  <c r="DV21" i="3"/>
  <c r="EI21" i="3" s="1"/>
  <c r="DV22" i="3"/>
  <c r="EE22" i="3" s="1"/>
  <c r="DV23" i="3"/>
  <c r="DV24" i="3"/>
  <c r="EI24" i="3" s="1"/>
  <c r="DV25" i="3"/>
  <c r="EE25" i="3" s="1"/>
  <c r="DV26" i="3"/>
  <c r="EI26" i="3" s="1"/>
  <c r="DV27" i="3"/>
  <c r="EI27" i="3" s="1"/>
  <c r="DV28" i="3"/>
  <c r="EE28" i="3" s="1"/>
  <c r="DV29" i="3"/>
  <c r="EI29" i="3" s="1"/>
  <c r="DV30" i="3"/>
  <c r="EI30" i="3" s="1"/>
  <c r="DV31" i="3"/>
  <c r="EE31" i="3" s="1"/>
  <c r="DV32" i="3"/>
  <c r="EI32" i="3" s="1"/>
  <c r="DV33" i="3"/>
  <c r="EI33" i="3" s="1"/>
  <c r="DV34" i="3"/>
  <c r="EE34" i="3" s="1"/>
  <c r="DV35" i="3"/>
  <c r="EE35" i="3" s="1"/>
  <c r="DV36" i="3"/>
  <c r="EE36" i="3" s="1"/>
  <c r="DV37" i="3"/>
  <c r="EI37" i="3" s="1"/>
  <c r="DV38" i="3"/>
  <c r="EI38" i="3" s="1"/>
  <c r="DV39" i="3"/>
  <c r="EE39" i="3" s="1"/>
  <c r="DV40" i="3"/>
  <c r="EI40" i="3" s="1"/>
  <c r="DV41" i="3"/>
  <c r="EI41" i="3" s="1"/>
  <c r="DV42" i="3"/>
  <c r="EE42" i="3" s="1"/>
  <c r="DV43" i="3"/>
  <c r="EI43" i="3" s="1"/>
  <c r="DV44" i="3"/>
  <c r="EI44" i="3" s="1"/>
  <c r="DV45" i="3"/>
  <c r="EE45" i="3" s="1"/>
  <c r="DV46" i="3"/>
  <c r="EI46" i="3" s="1"/>
  <c r="DV47" i="3"/>
  <c r="DV48" i="3"/>
  <c r="EE48" i="3" s="1"/>
  <c r="DV49" i="3"/>
  <c r="EI49" i="3" s="1"/>
  <c r="DV50" i="3"/>
  <c r="EI50" i="3" s="1"/>
  <c r="DV51" i="3"/>
  <c r="EE51" i="3" s="1"/>
  <c r="DV52" i="3"/>
  <c r="EI52" i="3" s="1"/>
  <c r="DV53" i="3"/>
  <c r="EI53" i="3" s="1"/>
  <c r="DV54" i="3"/>
  <c r="EE54" i="3" s="1"/>
  <c r="DV55" i="3"/>
  <c r="EI55" i="3" s="1"/>
  <c r="DV56" i="3"/>
  <c r="EI56" i="3" s="1"/>
  <c r="DV57" i="3"/>
  <c r="EE57" i="3" s="1"/>
  <c r="DV58" i="3"/>
  <c r="EI58" i="3" s="1"/>
  <c r="DV59" i="3"/>
  <c r="DV60" i="3"/>
  <c r="EE60" i="3" s="1"/>
  <c r="DV61" i="3"/>
  <c r="EI61" i="3" s="1"/>
  <c r="DV62" i="3"/>
  <c r="EI62" i="3" s="1"/>
  <c r="DV63" i="3"/>
  <c r="EE63" i="3" s="1"/>
  <c r="DV64" i="3"/>
  <c r="EI64" i="3" s="1"/>
  <c r="DV65" i="3"/>
  <c r="EI65" i="3" s="1"/>
  <c r="DV66" i="3"/>
  <c r="EE66" i="3" s="1"/>
  <c r="DV67" i="3"/>
  <c r="EI67" i="3" s="1"/>
  <c r="DV68" i="3"/>
  <c r="EI68" i="3" s="1"/>
  <c r="DV69" i="3"/>
  <c r="EE69" i="3" s="1"/>
  <c r="DV70" i="3"/>
  <c r="EI70" i="3" s="1"/>
  <c r="DV71" i="3"/>
  <c r="DV72" i="3"/>
  <c r="EE72" i="3" s="1"/>
  <c r="DV73" i="3"/>
  <c r="EI73" i="3" s="1"/>
  <c r="DV74" i="3"/>
  <c r="EI74" i="3" s="1"/>
  <c r="DV75" i="3"/>
  <c r="EE75" i="3" s="1"/>
  <c r="DV76" i="3"/>
  <c r="EI76" i="3" s="1"/>
  <c r="DV77" i="3"/>
  <c r="EI77" i="3" s="1"/>
  <c r="DV78" i="3"/>
  <c r="EE78" i="3" s="1"/>
  <c r="DV79" i="3"/>
  <c r="EI79" i="3" s="1"/>
  <c r="DV80" i="3"/>
  <c r="EI80" i="3" s="1"/>
  <c r="DV81" i="3"/>
  <c r="EE81" i="3" s="1"/>
  <c r="DV82" i="3"/>
  <c r="EI82" i="3" s="1"/>
  <c r="DV83" i="3"/>
  <c r="DV84" i="3"/>
  <c r="EE84" i="3" s="1"/>
  <c r="DV85" i="3"/>
  <c r="EI85" i="3" s="1"/>
  <c r="DV86" i="3"/>
  <c r="EI86" i="3" s="1"/>
  <c r="DV87" i="3"/>
  <c r="EE87" i="3" s="1"/>
  <c r="DV88" i="3"/>
  <c r="EI88" i="3" s="1"/>
  <c r="DV89" i="3"/>
  <c r="EI89" i="3" s="1"/>
  <c r="DV90" i="3"/>
  <c r="EE90" i="3" s="1"/>
  <c r="DV91" i="3"/>
  <c r="EI91" i="3" s="1"/>
  <c r="DV92" i="3"/>
  <c r="EI92" i="3" s="1"/>
  <c r="DV93" i="3"/>
  <c r="EE93" i="3" s="1"/>
  <c r="DV94" i="3"/>
  <c r="EI94" i="3" s="1"/>
  <c r="DV95" i="3"/>
  <c r="DV96" i="3"/>
  <c r="EE96" i="3" s="1"/>
  <c r="DV97" i="3"/>
  <c r="EI97" i="3" s="1"/>
  <c r="DV98" i="3"/>
  <c r="EI98" i="3" s="1"/>
  <c r="DV99" i="3"/>
  <c r="EE99" i="3" s="1"/>
  <c r="DV100" i="3"/>
  <c r="EI100" i="3" s="1"/>
  <c r="DV101" i="3"/>
  <c r="EI101" i="3" s="1"/>
  <c r="DV102" i="3"/>
  <c r="EE102" i="3" s="1"/>
  <c r="DV103" i="3"/>
  <c r="EI103" i="3" s="1"/>
  <c r="AS6" i="3"/>
  <c r="AS7" i="3" s="1"/>
  <c r="AS8" i="3" s="1"/>
  <c r="AS9" i="3" s="1"/>
  <c r="AS10" i="3" s="1"/>
  <c r="AS11" i="3" s="1"/>
  <c r="AS12" i="3" s="1"/>
  <c r="AS13" i="3" s="1"/>
  <c r="AS14" i="3" s="1"/>
  <c r="AS15" i="3" s="1"/>
  <c r="AS16" i="3" s="1"/>
  <c r="AS17" i="3" s="1"/>
  <c r="AS18" i="3" s="1"/>
  <c r="AS19" i="3" s="1"/>
  <c r="AS20" i="3" s="1"/>
  <c r="AS21" i="3" s="1"/>
  <c r="AS22" i="3" s="1"/>
  <c r="AS23" i="3" s="1"/>
  <c r="AS24" i="3" s="1"/>
  <c r="AS25" i="3" s="1"/>
  <c r="AS26" i="3" s="1"/>
  <c r="AS27" i="3" s="1"/>
  <c r="AS28" i="3" s="1"/>
  <c r="AS29" i="3" s="1"/>
  <c r="AS30" i="3" s="1"/>
  <c r="AS31" i="3" s="1"/>
  <c r="AS32" i="3" s="1"/>
  <c r="AS33" i="3" s="1"/>
  <c r="AS34" i="3" s="1"/>
  <c r="AS35" i="3" s="1"/>
  <c r="AS36" i="3" s="1"/>
  <c r="AS37" i="3" s="1"/>
  <c r="AS38" i="3" s="1"/>
  <c r="AS39" i="3" s="1"/>
  <c r="AS40" i="3" s="1"/>
  <c r="AS41" i="3" s="1"/>
  <c r="AS42" i="3" s="1"/>
  <c r="AS43" i="3" s="1"/>
  <c r="AS44" i="3" s="1"/>
  <c r="AS45" i="3" s="1"/>
  <c r="AS46" i="3" s="1"/>
  <c r="AS47" i="3" s="1"/>
  <c r="AS48" i="3" s="1"/>
  <c r="AS49" i="3" s="1"/>
  <c r="AS50" i="3" s="1"/>
  <c r="AS51" i="3" s="1"/>
  <c r="AS52" i="3" s="1"/>
  <c r="AS53" i="3" s="1"/>
  <c r="AS54" i="3" s="1"/>
  <c r="AS55" i="3" s="1"/>
  <c r="AS56" i="3" s="1"/>
  <c r="AS57" i="3" s="1"/>
  <c r="AS58" i="3" s="1"/>
  <c r="AS59" i="3" s="1"/>
  <c r="AS60" i="3" s="1"/>
  <c r="AS61" i="3" s="1"/>
  <c r="AS62" i="3" s="1"/>
  <c r="AS63" i="3" s="1"/>
  <c r="AS64" i="3" s="1"/>
  <c r="AS65" i="3" s="1"/>
  <c r="AS66" i="3" s="1"/>
  <c r="AS67" i="3" s="1"/>
  <c r="AS68" i="3" s="1"/>
  <c r="AS69" i="3" s="1"/>
  <c r="AS70" i="3" s="1"/>
  <c r="AS71" i="3" s="1"/>
  <c r="AS72" i="3" s="1"/>
  <c r="AS73" i="3" s="1"/>
  <c r="AS74" i="3" s="1"/>
  <c r="AS75" i="3" s="1"/>
  <c r="AS76" i="3" s="1"/>
  <c r="AS77" i="3" s="1"/>
  <c r="AS78" i="3" s="1"/>
  <c r="AS79" i="3" s="1"/>
  <c r="AS80" i="3" s="1"/>
  <c r="AS81" i="3" s="1"/>
  <c r="AS82" i="3" s="1"/>
  <c r="AS83" i="3" s="1"/>
  <c r="AS84" i="3" s="1"/>
  <c r="AS85" i="3" s="1"/>
  <c r="AS86" i="3" s="1"/>
  <c r="AS87" i="3" s="1"/>
  <c r="AS88" i="3" s="1"/>
  <c r="AS89" i="3" s="1"/>
  <c r="AS90" i="3" s="1"/>
  <c r="AS91" i="3" s="1"/>
  <c r="AS92" i="3" s="1"/>
  <c r="AS93" i="3" s="1"/>
  <c r="AS94" i="3" s="1"/>
  <c r="AS95" i="3" s="1"/>
  <c r="AS96" i="3" s="1"/>
  <c r="AS97" i="3" s="1"/>
  <c r="AS98" i="3" s="1"/>
  <c r="AS99" i="3" s="1"/>
  <c r="AS100" i="3" s="1"/>
  <c r="AS101" i="3" s="1"/>
  <c r="AS102" i="3" s="1"/>
  <c r="AS103" i="3" s="1"/>
  <c r="EA6" i="3"/>
  <c r="EA7" i="3"/>
  <c r="EA8" i="3"/>
  <c r="EA9" i="3"/>
  <c r="EA10" i="3"/>
  <c r="EA11" i="3"/>
  <c r="EA12" i="3"/>
  <c r="EA13" i="3"/>
  <c r="EA14" i="3"/>
  <c r="EA15" i="3"/>
  <c r="EA16" i="3"/>
  <c r="EA17" i="3"/>
  <c r="EA18" i="3"/>
  <c r="EA19" i="3"/>
  <c r="EA20" i="3"/>
  <c r="EA21" i="3"/>
  <c r="EA22" i="3"/>
  <c r="EA23" i="3"/>
  <c r="EA24" i="3"/>
  <c r="EA25" i="3"/>
  <c r="EA26" i="3"/>
  <c r="EA27" i="3"/>
  <c r="EA28" i="3"/>
  <c r="EA29" i="3"/>
  <c r="EA30" i="3"/>
  <c r="EA31" i="3"/>
  <c r="EA32" i="3"/>
  <c r="EA33" i="3"/>
  <c r="EA34" i="3"/>
  <c r="EA35" i="3"/>
  <c r="EA36" i="3"/>
  <c r="EA37" i="3"/>
  <c r="EA38" i="3"/>
  <c r="EA39" i="3"/>
  <c r="EA40" i="3"/>
  <c r="EA41" i="3"/>
  <c r="EA42" i="3"/>
  <c r="EA43" i="3"/>
  <c r="EA44" i="3"/>
  <c r="EA45" i="3"/>
  <c r="EA46" i="3"/>
  <c r="EA47" i="3"/>
  <c r="EA48" i="3"/>
  <c r="EA49" i="3"/>
  <c r="EA50" i="3"/>
  <c r="EA51" i="3"/>
  <c r="EA52" i="3"/>
  <c r="EA53" i="3"/>
  <c r="EA54" i="3"/>
  <c r="EA55" i="3"/>
  <c r="EA56" i="3"/>
  <c r="EA57" i="3"/>
  <c r="EA58" i="3"/>
  <c r="EA59" i="3"/>
  <c r="EA60" i="3"/>
  <c r="EA61" i="3"/>
  <c r="EA62" i="3"/>
  <c r="EA63" i="3"/>
  <c r="EA64" i="3"/>
  <c r="EA65" i="3"/>
  <c r="EA66" i="3"/>
  <c r="EA67" i="3"/>
  <c r="EA68" i="3"/>
  <c r="EA69" i="3"/>
  <c r="EA70" i="3"/>
  <c r="EA71" i="3"/>
  <c r="EA72" i="3"/>
  <c r="EA73" i="3"/>
  <c r="EA74" i="3"/>
  <c r="EA75" i="3"/>
  <c r="EA76" i="3"/>
  <c r="EA77" i="3"/>
  <c r="EA78" i="3"/>
  <c r="EA79" i="3"/>
  <c r="EA80" i="3"/>
  <c r="EA81" i="3"/>
  <c r="EA82" i="3"/>
  <c r="EA83" i="3"/>
  <c r="EA84" i="3"/>
  <c r="EA85" i="3"/>
  <c r="EA86" i="3"/>
  <c r="EA87" i="3"/>
  <c r="EA88" i="3"/>
  <c r="EA89" i="3"/>
  <c r="EA90" i="3"/>
  <c r="EA91" i="3"/>
  <c r="EA92" i="3"/>
  <c r="EA93" i="3"/>
  <c r="EA94" i="3"/>
  <c r="EA95" i="3"/>
  <c r="EA96" i="3"/>
  <c r="EA97" i="3"/>
  <c r="EA98" i="3"/>
  <c r="EA99" i="3"/>
  <c r="EA100" i="3"/>
  <c r="EA101" i="3"/>
  <c r="EA102" i="3"/>
  <c r="EA103" i="3"/>
  <c r="EA5" i="3"/>
  <c r="DX5" i="3"/>
  <c r="EC7" i="3"/>
  <c r="EC8" i="3"/>
  <c r="EC9" i="3"/>
  <c r="EC10" i="3"/>
  <c r="EC11" i="3"/>
  <c r="EC12" i="3"/>
  <c r="EC13" i="3"/>
  <c r="EC14" i="3"/>
  <c r="EC15" i="3"/>
  <c r="EC16" i="3"/>
  <c r="EC17" i="3"/>
  <c r="EC18" i="3"/>
  <c r="EC19" i="3"/>
  <c r="EC20" i="3"/>
  <c r="EC21" i="3"/>
  <c r="EC22" i="3"/>
  <c r="EC23" i="3"/>
  <c r="EC24" i="3"/>
  <c r="EC25" i="3"/>
  <c r="EC26" i="3"/>
  <c r="EC27" i="3"/>
  <c r="EC28" i="3"/>
  <c r="EC29" i="3"/>
  <c r="EC30" i="3"/>
  <c r="EC31" i="3"/>
  <c r="EC32" i="3"/>
  <c r="EC33" i="3"/>
  <c r="EC34" i="3"/>
  <c r="EC35" i="3"/>
  <c r="EC36" i="3"/>
  <c r="EC37" i="3"/>
  <c r="EC38" i="3"/>
  <c r="EC39" i="3"/>
  <c r="EC40" i="3"/>
  <c r="EC41" i="3"/>
  <c r="EC42" i="3"/>
  <c r="EC43" i="3"/>
  <c r="EC44" i="3"/>
  <c r="EC45" i="3"/>
  <c r="EC46" i="3"/>
  <c r="EC47" i="3"/>
  <c r="EC48" i="3"/>
  <c r="EC49" i="3"/>
  <c r="EC50" i="3"/>
  <c r="EC51" i="3"/>
  <c r="EC52" i="3"/>
  <c r="EC53" i="3"/>
  <c r="EC54" i="3"/>
  <c r="EC55" i="3"/>
  <c r="EC56" i="3"/>
  <c r="EC57" i="3"/>
  <c r="EC58" i="3"/>
  <c r="EC59" i="3"/>
  <c r="EC60" i="3"/>
  <c r="EC61" i="3"/>
  <c r="EC62" i="3"/>
  <c r="EC63" i="3"/>
  <c r="EC64" i="3"/>
  <c r="EC65" i="3"/>
  <c r="EC66" i="3"/>
  <c r="EC67" i="3"/>
  <c r="EC68" i="3"/>
  <c r="EC69" i="3"/>
  <c r="EC70" i="3"/>
  <c r="EC71" i="3"/>
  <c r="EC72" i="3"/>
  <c r="EC73" i="3"/>
  <c r="EC74" i="3"/>
  <c r="EC75" i="3"/>
  <c r="EC76" i="3"/>
  <c r="EC77" i="3"/>
  <c r="EC78" i="3"/>
  <c r="EC79" i="3"/>
  <c r="EC80" i="3"/>
  <c r="EC81" i="3"/>
  <c r="EC82" i="3"/>
  <c r="EC83" i="3"/>
  <c r="EC84" i="3"/>
  <c r="EC85" i="3"/>
  <c r="EC86" i="3"/>
  <c r="EC87" i="3"/>
  <c r="EC88" i="3"/>
  <c r="EC89" i="3"/>
  <c r="EC90" i="3"/>
  <c r="EC91" i="3"/>
  <c r="EC92" i="3"/>
  <c r="EC93" i="3"/>
  <c r="EC94" i="3"/>
  <c r="EC95" i="3"/>
  <c r="EC96" i="3"/>
  <c r="EC97" i="3"/>
  <c r="EC98" i="3"/>
  <c r="EC99" i="3"/>
  <c r="EC100" i="3"/>
  <c r="EC101" i="3"/>
  <c r="EC102" i="3"/>
  <c r="EC103" i="3"/>
  <c r="EC6" i="3"/>
  <c r="EB7" i="3"/>
  <c r="EB8" i="3"/>
  <c r="EB9" i="3"/>
  <c r="EB10" i="3"/>
  <c r="EB11" i="3"/>
  <c r="EB12" i="3"/>
  <c r="EB13" i="3"/>
  <c r="EB14" i="3"/>
  <c r="EB15" i="3"/>
  <c r="EB16" i="3"/>
  <c r="EB17" i="3"/>
  <c r="EB18" i="3"/>
  <c r="EB19" i="3"/>
  <c r="EB20" i="3"/>
  <c r="EB21" i="3"/>
  <c r="EB22" i="3"/>
  <c r="EB23" i="3"/>
  <c r="EB24" i="3"/>
  <c r="EB25" i="3"/>
  <c r="EB26" i="3"/>
  <c r="EB27" i="3"/>
  <c r="EB28" i="3"/>
  <c r="EB29" i="3"/>
  <c r="EB30" i="3"/>
  <c r="EB31" i="3"/>
  <c r="EB32" i="3"/>
  <c r="EB33" i="3"/>
  <c r="EB34" i="3"/>
  <c r="EB35" i="3"/>
  <c r="EB36" i="3"/>
  <c r="EB37" i="3"/>
  <c r="EB38" i="3"/>
  <c r="EB39" i="3"/>
  <c r="EB40" i="3"/>
  <c r="EB41" i="3"/>
  <c r="EB42" i="3"/>
  <c r="EB43" i="3"/>
  <c r="EB44" i="3"/>
  <c r="EB45" i="3"/>
  <c r="EB46" i="3"/>
  <c r="EB47" i="3"/>
  <c r="EB48" i="3"/>
  <c r="EB49" i="3"/>
  <c r="EB50" i="3"/>
  <c r="EB51" i="3"/>
  <c r="EB52" i="3"/>
  <c r="EB53" i="3"/>
  <c r="EB54" i="3"/>
  <c r="EB55" i="3"/>
  <c r="EB56" i="3"/>
  <c r="EB57" i="3"/>
  <c r="EB58" i="3"/>
  <c r="EB59" i="3"/>
  <c r="EB60" i="3"/>
  <c r="EB61" i="3"/>
  <c r="EB62" i="3"/>
  <c r="EB63" i="3"/>
  <c r="EB64" i="3"/>
  <c r="EB65" i="3"/>
  <c r="EB66" i="3"/>
  <c r="EB67" i="3"/>
  <c r="EB68" i="3"/>
  <c r="EB69" i="3"/>
  <c r="EB70" i="3"/>
  <c r="EB71" i="3"/>
  <c r="EB72" i="3"/>
  <c r="EB73" i="3"/>
  <c r="EB74" i="3"/>
  <c r="EB75" i="3"/>
  <c r="EB76" i="3"/>
  <c r="EB77" i="3"/>
  <c r="EB78" i="3"/>
  <c r="EB79" i="3"/>
  <c r="EB80" i="3"/>
  <c r="EB81" i="3"/>
  <c r="EB82" i="3"/>
  <c r="EB83" i="3"/>
  <c r="EB84" i="3"/>
  <c r="EB85" i="3"/>
  <c r="EB86" i="3"/>
  <c r="EB87" i="3"/>
  <c r="EB88" i="3"/>
  <c r="EB89" i="3"/>
  <c r="EB90" i="3"/>
  <c r="EB91" i="3"/>
  <c r="EB92" i="3"/>
  <c r="EB93" i="3"/>
  <c r="EB94" i="3"/>
  <c r="EB95" i="3"/>
  <c r="EB96" i="3"/>
  <c r="EB97" i="3"/>
  <c r="EB98" i="3"/>
  <c r="EB99" i="3"/>
  <c r="EB100" i="3"/>
  <c r="EB101" i="3"/>
  <c r="EB102" i="3"/>
  <c r="EB103" i="3"/>
  <c r="EB6" i="3"/>
  <c r="AD104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5" i="3"/>
  <c r="DX6" i="3"/>
  <c r="DX7" i="3"/>
  <c r="DX8" i="3"/>
  <c r="DX9" i="3"/>
  <c r="DX10" i="3"/>
  <c r="DX11" i="3"/>
  <c r="DX12" i="3"/>
  <c r="DX13" i="3"/>
  <c r="DX14" i="3"/>
  <c r="DX15" i="3"/>
  <c r="DX16" i="3"/>
  <c r="DX17" i="3"/>
  <c r="DX18" i="3"/>
  <c r="DX19" i="3"/>
  <c r="DX20" i="3"/>
  <c r="DX21" i="3"/>
  <c r="DX22" i="3"/>
  <c r="DX23" i="3"/>
  <c r="DX24" i="3"/>
  <c r="DX25" i="3"/>
  <c r="DX26" i="3"/>
  <c r="DX27" i="3"/>
  <c r="DX28" i="3"/>
  <c r="DX29" i="3"/>
  <c r="DX30" i="3"/>
  <c r="DX31" i="3"/>
  <c r="DX32" i="3"/>
  <c r="DX33" i="3"/>
  <c r="DX34" i="3"/>
  <c r="DX35" i="3"/>
  <c r="DX36" i="3"/>
  <c r="DX37" i="3"/>
  <c r="DX38" i="3"/>
  <c r="DX39" i="3"/>
  <c r="DX40" i="3"/>
  <c r="DX41" i="3"/>
  <c r="DX42" i="3"/>
  <c r="DX43" i="3"/>
  <c r="DX44" i="3"/>
  <c r="DX45" i="3"/>
  <c r="DX46" i="3"/>
  <c r="DX47" i="3"/>
  <c r="DX48" i="3"/>
  <c r="DX49" i="3"/>
  <c r="DX50" i="3"/>
  <c r="DX51" i="3"/>
  <c r="DX52" i="3"/>
  <c r="DX53" i="3"/>
  <c r="DX54" i="3"/>
  <c r="DX55" i="3"/>
  <c r="DX56" i="3"/>
  <c r="DX57" i="3"/>
  <c r="DX58" i="3"/>
  <c r="DX59" i="3"/>
  <c r="DX60" i="3"/>
  <c r="DX61" i="3"/>
  <c r="DX62" i="3"/>
  <c r="DX63" i="3"/>
  <c r="DX64" i="3"/>
  <c r="DX65" i="3"/>
  <c r="DX66" i="3"/>
  <c r="DX67" i="3"/>
  <c r="DX68" i="3"/>
  <c r="DX69" i="3"/>
  <c r="DX70" i="3"/>
  <c r="DX71" i="3"/>
  <c r="DX72" i="3"/>
  <c r="DX73" i="3"/>
  <c r="DX74" i="3"/>
  <c r="DX75" i="3"/>
  <c r="DX76" i="3"/>
  <c r="DX77" i="3"/>
  <c r="DX78" i="3"/>
  <c r="DX79" i="3"/>
  <c r="DX80" i="3"/>
  <c r="DX81" i="3"/>
  <c r="DX82" i="3"/>
  <c r="DX83" i="3"/>
  <c r="DX84" i="3"/>
  <c r="DX85" i="3"/>
  <c r="DX86" i="3"/>
  <c r="DX87" i="3"/>
  <c r="DX88" i="3"/>
  <c r="DX89" i="3"/>
  <c r="DX90" i="3"/>
  <c r="DX91" i="3"/>
  <c r="DX92" i="3"/>
  <c r="DX93" i="3"/>
  <c r="DX94" i="3"/>
  <c r="DX95" i="3"/>
  <c r="DX96" i="3"/>
  <c r="DX97" i="3"/>
  <c r="DX98" i="3"/>
  <c r="DX99" i="3"/>
  <c r="DX100" i="3"/>
  <c r="DX101" i="3"/>
  <c r="DX102" i="3"/>
  <c r="DX103" i="3"/>
  <c r="ET6" i="3"/>
  <c r="ET7" i="3"/>
  <c r="ET8" i="3"/>
  <c r="ET9" i="3"/>
  <c r="ET10" i="3"/>
  <c r="ET11" i="3"/>
  <c r="ET12" i="3"/>
  <c r="ET13" i="3"/>
  <c r="ET14" i="3"/>
  <c r="ET15" i="3"/>
  <c r="ET16" i="3"/>
  <c r="ET17" i="3"/>
  <c r="ET18" i="3"/>
  <c r="ET19" i="3"/>
  <c r="ET20" i="3"/>
  <c r="ET21" i="3"/>
  <c r="ET22" i="3"/>
  <c r="ET23" i="3"/>
  <c r="ET24" i="3"/>
  <c r="ET25" i="3"/>
  <c r="ET26" i="3"/>
  <c r="ET27" i="3"/>
  <c r="ET28" i="3"/>
  <c r="ET29" i="3"/>
  <c r="ET30" i="3"/>
  <c r="ET31" i="3"/>
  <c r="ET32" i="3"/>
  <c r="ET33" i="3"/>
  <c r="ET34" i="3"/>
  <c r="ET35" i="3"/>
  <c r="ET36" i="3"/>
  <c r="ET37" i="3"/>
  <c r="ET38" i="3"/>
  <c r="ET39" i="3"/>
  <c r="ET40" i="3"/>
  <c r="ET41" i="3"/>
  <c r="ET42" i="3"/>
  <c r="ET43" i="3"/>
  <c r="ET44" i="3"/>
  <c r="ET45" i="3"/>
  <c r="ET46" i="3"/>
  <c r="ET47" i="3"/>
  <c r="ET48" i="3"/>
  <c r="ET49" i="3"/>
  <c r="ET50" i="3"/>
  <c r="ET51" i="3"/>
  <c r="ET52" i="3"/>
  <c r="ET53" i="3"/>
  <c r="ET54" i="3"/>
  <c r="ET55" i="3"/>
  <c r="ET56" i="3"/>
  <c r="ET57" i="3"/>
  <c r="ET58" i="3"/>
  <c r="ET59" i="3"/>
  <c r="ET60" i="3"/>
  <c r="ET61" i="3"/>
  <c r="ET62" i="3"/>
  <c r="ET63" i="3"/>
  <c r="ET64" i="3"/>
  <c r="ET65" i="3"/>
  <c r="ET66" i="3"/>
  <c r="ET67" i="3"/>
  <c r="ET68" i="3"/>
  <c r="ET69" i="3"/>
  <c r="ET70" i="3"/>
  <c r="ET71" i="3"/>
  <c r="ET72" i="3"/>
  <c r="ET73" i="3"/>
  <c r="ET74" i="3"/>
  <c r="ET75" i="3"/>
  <c r="ET76" i="3"/>
  <c r="ET77" i="3"/>
  <c r="ET78" i="3"/>
  <c r="ET79" i="3"/>
  <c r="ET80" i="3"/>
  <c r="ET81" i="3"/>
  <c r="ET82" i="3"/>
  <c r="ET83" i="3"/>
  <c r="ET84" i="3"/>
  <c r="ET85" i="3"/>
  <c r="ET86" i="3"/>
  <c r="ET87" i="3"/>
  <c r="ET88" i="3"/>
  <c r="ET89" i="3"/>
  <c r="ET90" i="3"/>
  <c r="ET91" i="3"/>
  <c r="ET92" i="3"/>
  <c r="ET93" i="3"/>
  <c r="ET94" i="3"/>
  <c r="ET95" i="3"/>
  <c r="ET96" i="3"/>
  <c r="ET97" i="3"/>
  <c r="ET98" i="3"/>
  <c r="ET99" i="3"/>
  <c r="ET100" i="3"/>
  <c r="ET101" i="3"/>
  <c r="ET102" i="3"/>
  <c r="ET103" i="3"/>
  <c r="ET5" i="3"/>
  <c r="ES6" i="3"/>
  <c r="ES7" i="3"/>
  <c r="ES8" i="3"/>
  <c r="ES9" i="3"/>
  <c r="ES10" i="3"/>
  <c r="ES11" i="3"/>
  <c r="ES12" i="3"/>
  <c r="ES13" i="3"/>
  <c r="ES14" i="3"/>
  <c r="ES15" i="3"/>
  <c r="ES16" i="3"/>
  <c r="ES17" i="3"/>
  <c r="ES18" i="3"/>
  <c r="ES19" i="3"/>
  <c r="ES20" i="3"/>
  <c r="ES21" i="3"/>
  <c r="ES22" i="3"/>
  <c r="ES23" i="3"/>
  <c r="ES24" i="3"/>
  <c r="ES25" i="3"/>
  <c r="ES26" i="3"/>
  <c r="ES27" i="3"/>
  <c r="ES28" i="3"/>
  <c r="ES29" i="3"/>
  <c r="ES30" i="3"/>
  <c r="ES31" i="3"/>
  <c r="ES32" i="3"/>
  <c r="ES33" i="3"/>
  <c r="ES34" i="3"/>
  <c r="ES35" i="3"/>
  <c r="ES36" i="3"/>
  <c r="ES37" i="3"/>
  <c r="ES38" i="3"/>
  <c r="ES39" i="3"/>
  <c r="ES40" i="3"/>
  <c r="ES41" i="3"/>
  <c r="ES42" i="3"/>
  <c r="ES43" i="3"/>
  <c r="ES44" i="3"/>
  <c r="ES45" i="3"/>
  <c r="ES46" i="3"/>
  <c r="ES47" i="3"/>
  <c r="ES48" i="3"/>
  <c r="ES49" i="3"/>
  <c r="ES50" i="3"/>
  <c r="ES51" i="3"/>
  <c r="ES52" i="3"/>
  <c r="ES53" i="3"/>
  <c r="ES54" i="3"/>
  <c r="ES55" i="3"/>
  <c r="ES56" i="3"/>
  <c r="ES57" i="3"/>
  <c r="ES58" i="3"/>
  <c r="ES59" i="3"/>
  <c r="ES60" i="3"/>
  <c r="ES61" i="3"/>
  <c r="ES62" i="3"/>
  <c r="ES63" i="3"/>
  <c r="ES64" i="3"/>
  <c r="ES65" i="3"/>
  <c r="ES66" i="3"/>
  <c r="ES67" i="3"/>
  <c r="ES68" i="3"/>
  <c r="ES69" i="3"/>
  <c r="ES70" i="3"/>
  <c r="ES71" i="3"/>
  <c r="ES72" i="3"/>
  <c r="ES73" i="3"/>
  <c r="ES74" i="3"/>
  <c r="ES75" i="3"/>
  <c r="ES76" i="3"/>
  <c r="ES77" i="3"/>
  <c r="ES78" i="3"/>
  <c r="ES79" i="3"/>
  <c r="ES80" i="3"/>
  <c r="ES81" i="3"/>
  <c r="ES82" i="3"/>
  <c r="ES83" i="3"/>
  <c r="ES84" i="3"/>
  <c r="ES85" i="3"/>
  <c r="ES86" i="3"/>
  <c r="ES87" i="3"/>
  <c r="ES88" i="3"/>
  <c r="ES89" i="3"/>
  <c r="ES90" i="3"/>
  <c r="ES91" i="3"/>
  <c r="ES92" i="3"/>
  <c r="ES93" i="3"/>
  <c r="ES94" i="3"/>
  <c r="ES95" i="3"/>
  <c r="ES96" i="3"/>
  <c r="ES97" i="3"/>
  <c r="ES98" i="3"/>
  <c r="ES99" i="3"/>
  <c r="ES100" i="3"/>
  <c r="ES101" i="3"/>
  <c r="ES102" i="3"/>
  <c r="ES103" i="3"/>
  <c r="ES5" i="3"/>
  <c r="EQ6" i="3"/>
  <c r="EQ7" i="3"/>
  <c r="EQ8" i="3"/>
  <c r="EQ9" i="3"/>
  <c r="EQ10" i="3"/>
  <c r="EQ11" i="3"/>
  <c r="EQ12" i="3"/>
  <c r="EQ13" i="3"/>
  <c r="EQ14" i="3"/>
  <c r="EQ15" i="3"/>
  <c r="EQ16" i="3"/>
  <c r="EQ17" i="3"/>
  <c r="EQ18" i="3"/>
  <c r="EQ19" i="3"/>
  <c r="EQ20" i="3"/>
  <c r="EQ21" i="3"/>
  <c r="EQ22" i="3"/>
  <c r="EQ23" i="3"/>
  <c r="EQ24" i="3"/>
  <c r="EQ25" i="3"/>
  <c r="EQ26" i="3"/>
  <c r="EQ27" i="3"/>
  <c r="EQ28" i="3"/>
  <c r="EQ29" i="3"/>
  <c r="EQ30" i="3"/>
  <c r="EQ31" i="3"/>
  <c r="EQ32" i="3"/>
  <c r="EQ33" i="3"/>
  <c r="EQ34" i="3"/>
  <c r="EQ35" i="3"/>
  <c r="EQ36" i="3"/>
  <c r="EQ37" i="3"/>
  <c r="EQ38" i="3"/>
  <c r="EQ39" i="3"/>
  <c r="EQ40" i="3"/>
  <c r="EQ41" i="3"/>
  <c r="EQ42" i="3"/>
  <c r="EQ43" i="3"/>
  <c r="EQ44" i="3"/>
  <c r="EQ45" i="3"/>
  <c r="EQ46" i="3"/>
  <c r="EQ47" i="3"/>
  <c r="EQ48" i="3"/>
  <c r="EQ49" i="3"/>
  <c r="EQ50" i="3"/>
  <c r="EQ51" i="3"/>
  <c r="EQ52" i="3"/>
  <c r="EQ53" i="3"/>
  <c r="EQ54" i="3"/>
  <c r="EQ55" i="3"/>
  <c r="EQ56" i="3"/>
  <c r="EQ57" i="3"/>
  <c r="EQ58" i="3"/>
  <c r="EQ59" i="3"/>
  <c r="EQ60" i="3"/>
  <c r="EQ61" i="3"/>
  <c r="EQ62" i="3"/>
  <c r="EQ63" i="3"/>
  <c r="EQ64" i="3"/>
  <c r="EQ65" i="3"/>
  <c r="EQ66" i="3"/>
  <c r="EQ67" i="3"/>
  <c r="EQ68" i="3"/>
  <c r="EQ69" i="3"/>
  <c r="EQ70" i="3"/>
  <c r="EQ71" i="3"/>
  <c r="EQ72" i="3"/>
  <c r="EQ73" i="3"/>
  <c r="EQ74" i="3"/>
  <c r="EQ75" i="3"/>
  <c r="EQ76" i="3"/>
  <c r="EQ77" i="3"/>
  <c r="EQ78" i="3"/>
  <c r="EQ79" i="3"/>
  <c r="EQ80" i="3"/>
  <c r="EQ81" i="3"/>
  <c r="EQ82" i="3"/>
  <c r="EQ83" i="3"/>
  <c r="EQ84" i="3"/>
  <c r="EQ85" i="3"/>
  <c r="EQ86" i="3"/>
  <c r="EQ87" i="3"/>
  <c r="EQ88" i="3"/>
  <c r="EQ89" i="3"/>
  <c r="EQ90" i="3"/>
  <c r="EQ91" i="3"/>
  <c r="EQ92" i="3"/>
  <c r="EQ93" i="3"/>
  <c r="EQ94" i="3"/>
  <c r="EQ95" i="3"/>
  <c r="EQ96" i="3"/>
  <c r="EQ97" i="3"/>
  <c r="EQ98" i="3"/>
  <c r="EQ99" i="3"/>
  <c r="EQ100" i="3"/>
  <c r="EQ101" i="3"/>
  <c r="EQ102" i="3"/>
  <c r="EQ103" i="3"/>
  <c r="EP6" i="3"/>
  <c r="EP7" i="3"/>
  <c r="EP8" i="3"/>
  <c r="EP9" i="3"/>
  <c r="EP10" i="3"/>
  <c r="EP11" i="3"/>
  <c r="EP12" i="3"/>
  <c r="EP13" i="3"/>
  <c r="EP14" i="3"/>
  <c r="EP15" i="3"/>
  <c r="EP16" i="3"/>
  <c r="EP17" i="3"/>
  <c r="EP18" i="3"/>
  <c r="EP19" i="3"/>
  <c r="EP20" i="3"/>
  <c r="EP21" i="3"/>
  <c r="EP22" i="3"/>
  <c r="EP23" i="3"/>
  <c r="EP24" i="3"/>
  <c r="EP25" i="3"/>
  <c r="EP26" i="3"/>
  <c r="EP27" i="3"/>
  <c r="EP28" i="3"/>
  <c r="EP29" i="3"/>
  <c r="EP30" i="3"/>
  <c r="EP31" i="3"/>
  <c r="EP32" i="3"/>
  <c r="EP33" i="3"/>
  <c r="EP34" i="3"/>
  <c r="EP35" i="3"/>
  <c r="EP36" i="3"/>
  <c r="EP37" i="3"/>
  <c r="EP38" i="3"/>
  <c r="EP39" i="3"/>
  <c r="EP40" i="3"/>
  <c r="EP41" i="3"/>
  <c r="EP42" i="3"/>
  <c r="EP43" i="3"/>
  <c r="EP44" i="3"/>
  <c r="EP45" i="3"/>
  <c r="EP46" i="3"/>
  <c r="EP47" i="3"/>
  <c r="EP48" i="3"/>
  <c r="EP49" i="3"/>
  <c r="EP50" i="3"/>
  <c r="EP51" i="3"/>
  <c r="EP52" i="3"/>
  <c r="EP53" i="3"/>
  <c r="EP54" i="3"/>
  <c r="EP55" i="3"/>
  <c r="EP56" i="3"/>
  <c r="EP57" i="3"/>
  <c r="EP58" i="3"/>
  <c r="EP59" i="3"/>
  <c r="EP60" i="3"/>
  <c r="EP61" i="3"/>
  <c r="EP62" i="3"/>
  <c r="EP63" i="3"/>
  <c r="EP64" i="3"/>
  <c r="EP65" i="3"/>
  <c r="EP66" i="3"/>
  <c r="EP67" i="3"/>
  <c r="EP68" i="3"/>
  <c r="EP69" i="3"/>
  <c r="EP70" i="3"/>
  <c r="EP71" i="3"/>
  <c r="EP72" i="3"/>
  <c r="EP73" i="3"/>
  <c r="EP74" i="3"/>
  <c r="EP75" i="3"/>
  <c r="EP76" i="3"/>
  <c r="EP77" i="3"/>
  <c r="EP78" i="3"/>
  <c r="EP79" i="3"/>
  <c r="EP80" i="3"/>
  <c r="EP81" i="3"/>
  <c r="EP82" i="3"/>
  <c r="EP83" i="3"/>
  <c r="EP84" i="3"/>
  <c r="EP85" i="3"/>
  <c r="EP86" i="3"/>
  <c r="EP87" i="3"/>
  <c r="EP88" i="3"/>
  <c r="EP89" i="3"/>
  <c r="EP90" i="3"/>
  <c r="EP91" i="3"/>
  <c r="EP92" i="3"/>
  <c r="EP93" i="3"/>
  <c r="EP94" i="3"/>
  <c r="EP95" i="3"/>
  <c r="EP96" i="3"/>
  <c r="EP97" i="3"/>
  <c r="EP98" i="3"/>
  <c r="EP99" i="3"/>
  <c r="EP100" i="3"/>
  <c r="EP101" i="3"/>
  <c r="EP102" i="3"/>
  <c r="EP103" i="3"/>
  <c r="EQ5" i="3"/>
  <c r="EP5" i="3"/>
  <c r="EV6" i="3"/>
  <c r="EV7" i="3"/>
  <c r="EV8" i="3"/>
  <c r="EV9" i="3"/>
  <c r="EV10" i="3"/>
  <c r="EV11" i="3"/>
  <c r="EV12" i="3"/>
  <c r="EV13" i="3"/>
  <c r="EV14" i="3"/>
  <c r="EV15" i="3"/>
  <c r="EV16" i="3"/>
  <c r="EV17" i="3"/>
  <c r="EV18" i="3"/>
  <c r="EV19" i="3"/>
  <c r="EV20" i="3"/>
  <c r="EV21" i="3"/>
  <c r="EV22" i="3"/>
  <c r="EV23" i="3"/>
  <c r="EV24" i="3"/>
  <c r="EV25" i="3"/>
  <c r="EV26" i="3"/>
  <c r="EV27" i="3"/>
  <c r="EV28" i="3"/>
  <c r="EV29" i="3"/>
  <c r="EV30" i="3"/>
  <c r="EV31" i="3"/>
  <c r="EV32" i="3"/>
  <c r="EV33" i="3"/>
  <c r="EV34" i="3"/>
  <c r="EV35" i="3"/>
  <c r="EV36" i="3"/>
  <c r="EV37" i="3"/>
  <c r="EV38" i="3"/>
  <c r="EV39" i="3"/>
  <c r="EV40" i="3"/>
  <c r="EV41" i="3"/>
  <c r="EV42" i="3"/>
  <c r="EV43" i="3"/>
  <c r="EV44" i="3"/>
  <c r="EV45" i="3"/>
  <c r="EV46" i="3"/>
  <c r="EV47" i="3"/>
  <c r="EV48" i="3"/>
  <c r="EV49" i="3"/>
  <c r="EV50" i="3"/>
  <c r="EV51" i="3"/>
  <c r="EV52" i="3"/>
  <c r="EV53" i="3"/>
  <c r="EV54" i="3"/>
  <c r="EV55" i="3"/>
  <c r="EV56" i="3"/>
  <c r="EV57" i="3"/>
  <c r="EV58" i="3"/>
  <c r="EV59" i="3"/>
  <c r="EV60" i="3"/>
  <c r="EV61" i="3"/>
  <c r="EV62" i="3"/>
  <c r="EV63" i="3"/>
  <c r="EV64" i="3"/>
  <c r="EV65" i="3"/>
  <c r="EV66" i="3"/>
  <c r="EV67" i="3"/>
  <c r="EV68" i="3"/>
  <c r="EV69" i="3"/>
  <c r="EV70" i="3"/>
  <c r="EV71" i="3"/>
  <c r="EV72" i="3"/>
  <c r="EV73" i="3"/>
  <c r="EV74" i="3"/>
  <c r="EV75" i="3"/>
  <c r="EV76" i="3"/>
  <c r="EV77" i="3"/>
  <c r="EV78" i="3"/>
  <c r="EV79" i="3"/>
  <c r="EV80" i="3"/>
  <c r="EV81" i="3"/>
  <c r="EV82" i="3"/>
  <c r="EV83" i="3"/>
  <c r="EV84" i="3"/>
  <c r="EV85" i="3"/>
  <c r="EV86" i="3"/>
  <c r="EV87" i="3"/>
  <c r="EV88" i="3"/>
  <c r="EV89" i="3"/>
  <c r="EV90" i="3"/>
  <c r="EV91" i="3"/>
  <c r="EV92" i="3"/>
  <c r="EV93" i="3"/>
  <c r="EV94" i="3"/>
  <c r="EV95" i="3"/>
  <c r="EV96" i="3"/>
  <c r="EV97" i="3"/>
  <c r="EV98" i="3"/>
  <c r="EV99" i="3"/>
  <c r="EV100" i="3"/>
  <c r="EV101" i="3"/>
  <c r="EV102" i="3"/>
  <c r="EV103" i="3"/>
  <c r="EV5" i="3"/>
  <c r="DS6" i="3"/>
  <c r="DS7" i="3"/>
  <c r="DS8" i="3"/>
  <c r="DS9" i="3"/>
  <c r="DS10" i="3"/>
  <c r="DS11" i="3"/>
  <c r="DS12" i="3"/>
  <c r="DS13" i="3"/>
  <c r="DS14" i="3"/>
  <c r="DS15" i="3"/>
  <c r="DS16" i="3"/>
  <c r="DS17" i="3"/>
  <c r="DS18" i="3"/>
  <c r="DS19" i="3"/>
  <c r="DS20" i="3"/>
  <c r="DS21" i="3"/>
  <c r="DS22" i="3"/>
  <c r="DS23" i="3"/>
  <c r="DS24" i="3"/>
  <c r="DS25" i="3"/>
  <c r="DS26" i="3"/>
  <c r="DS27" i="3"/>
  <c r="DS28" i="3"/>
  <c r="DS29" i="3"/>
  <c r="DS30" i="3"/>
  <c r="DS31" i="3"/>
  <c r="DS32" i="3"/>
  <c r="DS33" i="3"/>
  <c r="DS34" i="3"/>
  <c r="DS35" i="3"/>
  <c r="DS36" i="3"/>
  <c r="DS37" i="3"/>
  <c r="DS38" i="3"/>
  <c r="DS39" i="3"/>
  <c r="DS40" i="3"/>
  <c r="DS41" i="3"/>
  <c r="DS42" i="3"/>
  <c r="DS43" i="3"/>
  <c r="DS44" i="3"/>
  <c r="DS45" i="3"/>
  <c r="DS46" i="3"/>
  <c r="DS47" i="3"/>
  <c r="DS48" i="3"/>
  <c r="DS49" i="3"/>
  <c r="DS50" i="3"/>
  <c r="DS51" i="3"/>
  <c r="DS52" i="3"/>
  <c r="DS53" i="3"/>
  <c r="DS54" i="3"/>
  <c r="DS55" i="3"/>
  <c r="DS56" i="3"/>
  <c r="DS57" i="3"/>
  <c r="DS58" i="3"/>
  <c r="DS59" i="3"/>
  <c r="DS60" i="3"/>
  <c r="DS61" i="3"/>
  <c r="DS62" i="3"/>
  <c r="DS63" i="3"/>
  <c r="DS64" i="3"/>
  <c r="DS65" i="3"/>
  <c r="DS66" i="3"/>
  <c r="DS67" i="3"/>
  <c r="DS68" i="3"/>
  <c r="DS69" i="3"/>
  <c r="DS70" i="3"/>
  <c r="DS71" i="3"/>
  <c r="DS72" i="3"/>
  <c r="DS73" i="3"/>
  <c r="DS74" i="3"/>
  <c r="DS75" i="3"/>
  <c r="DS76" i="3"/>
  <c r="DS77" i="3"/>
  <c r="DS78" i="3"/>
  <c r="DS79" i="3"/>
  <c r="DS80" i="3"/>
  <c r="DS81" i="3"/>
  <c r="DS82" i="3"/>
  <c r="DS83" i="3"/>
  <c r="DS84" i="3"/>
  <c r="DS85" i="3"/>
  <c r="DS86" i="3"/>
  <c r="DS87" i="3"/>
  <c r="DS88" i="3"/>
  <c r="DS89" i="3"/>
  <c r="DS90" i="3"/>
  <c r="DS91" i="3"/>
  <c r="DS92" i="3"/>
  <c r="DS93" i="3"/>
  <c r="DS94" i="3"/>
  <c r="DS95" i="3"/>
  <c r="DS96" i="3"/>
  <c r="DS97" i="3"/>
  <c r="DS98" i="3"/>
  <c r="DS99" i="3"/>
  <c r="DS100" i="3"/>
  <c r="DS101" i="3"/>
  <c r="DS102" i="3"/>
  <c r="DS103" i="3"/>
  <c r="DS5" i="3"/>
  <c r="DT6" i="3"/>
  <c r="DT7" i="3"/>
  <c r="DT8" i="3"/>
  <c r="DT9" i="3"/>
  <c r="DT10" i="3"/>
  <c r="DT11" i="3"/>
  <c r="DT12" i="3"/>
  <c r="DT13" i="3"/>
  <c r="DT14" i="3"/>
  <c r="DT15" i="3"/>
  <c r="DT16" i="3"/>
  <c r="DT17" i="3"/>
  <c r="DT18" i="3"/>
  <c r="DT19" i="3"/>
  <c r="DT20" i="3"/>
  <c r="DT21" i="3"/>
  <c r="DT22" i="3"/>
  <c r="DT23" i="3"/>
  <c r="DT24" i="3"/>
  <c r="DT25" i="3"/>
  <c r="DT26" i="3"/>
  <c r="DT27" i="3"/>
  <c r="DT28" i="3"/>
  <c r="DT29" i="3"/>
  <c r="DT30" i="3"/>
  <c r="DT31" i="3"/>
  <c r="DT32" i="3"/>
  <c r="DT33" i="3"/>
  <c r="DT34" i="3"/>
  <c r="DT35" i="3"/>
  <c r="DT36" i="3"/>
  <c r="DT37" i="3"/>
  <c r="DT38" i="3"/>
  <c r="DT39" i="3"/>
  <c r="DT40" i="3"/>
  <c r="DT41" i="3"/>
  <c r="DT42" i="3"/>
  <c r="DT43" i="3"/>
  <c r="DT44" i="3"/>
  <c r="DT45" i="3"/>
  <c r="DT46" i="3"/>
  <c r="DT47" i="3"/>
  <c r="DT48" i="3"/>
  <c r="DT49" i="3"/>
  <c r="DT50" i="3"/>
  <c r="DT51" i="3"/>
  <c r="DT52" i="3"/>
  <c r="DT53" i="3"/>
  <c r="DT54" i="3"/>
  <c r="DT55" i="3"/>
  <c r="DT56" i="3"/>
  <c r="DT57" i="3"/>
  <c r="DT58" i="3"/>
  <c r="DT59" i="3"/>
  <c r="DT60" i="3"/>
  <c r="DT61" i="3"/>
  <c r="DT62" i="3"/>
  <c r="DT63" i="3"/>
  <c r="DT64" i="3"/>
  <c r="DT65" i="3"/>
  <c r="DT66" i="3"/>
  <c r="DT67" i="3"/>
  <c r="DT68" i="3"/>
  <c r="DT69" i="3"/>
  <c r="DT70" i="3"/>
  <c r="DT71" i="3"/>
  <c r="DT72" i="3"/>
  <c r="DT73" i="3"/>
  <c r="DT74" i="3"/>
  <c r="DT75" i="3"/>
  <c r="DT76" i="3"/>
  <c r="DT77" i="3"/>
  <c r="DT78" i="3"/>
  <c r="DT79" i="3"/>
  <c r="DT80" i="3"/>
  <c r="DT81" i="3"/>
  <c r="DT82" i="3"/>
  <c r="DT83" i="3"/>
  <c r="DT84" i="3"/>
  <c r="DT85" i="3"/>
  <c r="DT86" i="3"/>
  <c r="DT87" i="3"/>
  <c r="DT88" i="3"/>
  <c r="DT89" i="3"/>
  <c r="DT90" i="3"/>
  <c r="DT91" i="3"/>
  <c r="DT92" i="3"/>
  <c r="DT93" i="3"/>
  <c r="DT94" i="3"/>
  <c r="DT95" i="3"/>
  <c r="DT96" i="3"/>
  <c r="DT97" i="3"/>
  <c r="DT98" i="3"/>
  <c r="DT99" i="3"/>
  <c r="DT100" i="3"/>
  <c r="DT101" i="3"/>
  <c r="DT102" i="3"/>
  <c r="DT103" i="3"/>
  <c r="DT5" i="3"/>
  <c r="EH103" i="3" l="1"/>
  <c r="EH79" i="3"/>
  <c r="EH67" i="3"/>
  <c r="EH55" i="3"/>
  <c r="EH43" i="3"/>
  <c r="EH100" i="3"/>
  <c r="EH76" i="3"/>
  <c r="EH82" i="3"/>
  <c r="EL57" i="3"/>
  <c r="EL45" i="3"/>
  <c r="EH33" i="3"/>
  <c r="EH21" i="3"/>
  <c r="EL9" i="3"/>
  <c r="EL68" i="3"/>
  <c r="EL56" i="3"/>
  <c r="EH32" i="3"/>
  <c r="EH20" i="3"/>
  <c r="EL92" i="3"/>
  <c r="EE56" i="3"/>
  <c r="EI28" i="3"/>
  <c r="EL18" i="3"/>
  <c r="EE27" i="3"/>
  <c r="EL24" i="3"/>
  <c r="EH95" i="3"/>
  <c r="EH83" i="3"/>
  <c r="EH71" i="3"/>
  <c r="EH59" i="3"/>
  <c r="EH47" i="3"/>
  <c r="EL35" i="3"/>
  <c r="EL23" i="3"/>
  <c r="EL11" i="3"/>
  <c r="EG101" i="3"/>
  <c r="EG89" i="3"/>
  <c r="EG77" i="3"/>
  <c r="EG65" i="3"/>
  <c r="EG53" i="3"/>
  <c r="EG41" i="3"/>
  <c r="EK29" i="3"/>
  <c r="EK17" i="3"/>
  <c r="EL71" i="3"/>
  <c r="EH46" i="3"/>
  <c r="EE30" i="3"/>
  <c r="EE80" i="3"/>
  <c r="EI25" i="3"/>
  <c r="EH14" i="3"/>
  <c r="EE50" i="3"/>
  <c r="EI66" i="3"/>
  <c r="EL97" i="3"/>
  <c r="EL85" i="3"/>
  <c r="EL73" i="3"/>
  <c r="EL61" i="3"/>
  <c r="EL49" i="3"/>
  <c r="EL37" i="3"/>
  <c r="EL25" i="3"/>
  <c r="EL13" i="3"/>
  <c r="EK103" i="3"/>
  <c r="EK91" i="3"/>
  <c r="EK79" i="3"/>
  <c r="EK67" i="3"/>
  <c r="EK55" i="3"/>
  <c r="EK43" i="3"/>
  <c r="EK31" i="3"/>
  <c r="EK19" i="3"/>
  <c r="EH23" i="3"/>
  <c r="EH49" i="3"/>
  <c r="EI22" i="3"/>
  <c r="EI63" i="3"/>
  <c r="EL96" i="3"/>
  <c r="EL84" i="3"/>
  <c r="EL72" i="3"/>
  <c r="EL60" i="3"/>
  <c r="EL48" i="3"/>
  <c r="EL36" i="3"/>
  <c r="EH24" i="3"/>
  <c r="EH12" i="3"/>
  <c r="EK102" i="3"/>
  <c r="EK90" i="3"/>
  <c r="EK78" i="3"/>
  <c r="EK66" i="3"/>
  <c r="EK54" i="3"/>
  <c r="EK42" i="3"/>
  <c r="EG30" i="3"/>
  <c r="EG18" i="3"/>
  <c r="EE21" i="3"/>
  <c r="EE74" i="3"/>
  <c r="EL21" i="3"/>
  <c r="EL95" i="3"/>
  <c r="EL59" i="3"/>
  <c r="EE98" i="3"/>
  <c r="EH73" i="3"/>
  <c r="EE44" i="3"/>
  <c r="EL94" i="3"/>
  <c r="EL82" i="3"/>
  <c r="EL70" i="3"/>
  <c r="EL58" i="3"/>
  <c r="EL46" i="3"/>
  <c r="EL34" i="3"/>
  <c r="EL22" i="3"/>
  <c r="EL10" i="3"/>
  <c r="EK100" i="3"/>
  <c r="EK88" i="3"/>
  <c r="EK76" i="3"/>
  <c r="EK64" i="3"/>
  <c r="EK52" i="3"/>
  <c r="EK40" i="3"/>
  <c r="EK28" i="3"/>
  <c r="EK16" i="3"/>
  <c r="EE18" i="3"/>
  <c r="EH97" i="3"/>
  <c r="EH70" i="3"/>
  <c r="EI16" i="3"/>
  <c r="EI90" i="3"/>
  <c r="EI54" i="3"/>
  <c r="EL93" i="3"/>
  <c r="EL81" i="3"/>
  <c r="EL69" i="3"/>
  <c r="EH9" i="3"/>
  <c r="EK99" i="3"/>
  <c r="EK87" i="3"/>
  <c r="EK75" i="3"/>
  <c r="EK63" i="3"/>
  <c r="EK51" i="3"/>
  <c r="EK39" i="3"/>
  <c r="EG27" i="3"/>
  <c r="EG15" i="3"/>
  <c r="EH94" i="3"/>
  <c r="EE68" i="3"/>
  <c r="EE38" i="3"/>
  <c r="EI87" i="3"/>
  <c r="EI51" i="3"/>
  <c r="EH92" i="3"/>
  <c r="EH80" i="3"/>
  <c r="EH68" i="3"/>
  <c r="EH56" i="3"/>
  <c r="EH44" i="3"/>
  <c r="EL32" i="3"/>
  <c r="EL20" i="3"/>
  <c r="EG98" i="3"/>
  <c r="EG86" i="3"/>
  <c r="EG74" i="3"/>
  <c r="EG62" i="3"/>
  <c r="EG50" i="3"/>
  <c r="EG38" i="3"/>
  <c r="EK26" i="3"/>
  <c r="EK14" i="3"/>
  <c r="EE92" i="3"/>
  <c r="EH37" i="3"/>
  <c r="EL83" i="3"/>
  <c r="EL47" i="3"/>
  <c r="EL103" i="3"/>
  <c r="EL91" i="3"/>
  <c r="EL79" i="3"/>
  <c r="EL67" i="3"/>
  <c r="EL55" i="3"/>
  <c r="EL43" i="3"/>
  <c r="EL31" i="3"/>
  <c r="EL19" i="3"/>
  <c r="EK97" i="3"/>
  <c r="EK85" i="3"/>
  <c r="EK73" i="3"/>
  <c r="EK61" i="3"/>
  <c r="EK49" i="3"/>
  <c r="EK37" i="3"/>
  <c r="EK25" i="3"/>
  <c r="EK13" i="3"/>
  <c r="EH91" i="3"/>
  <c r="EE62" i="3"/>
  <c r="EI34" i="3"/>
  <c r="EL80" i="3"/>
  <c r="EL44" i="3"/>
  <c r="EL102" i="3"/>
  <c r="EL90" i="3"/>
  <c r="EL78" i="3"/>
  <c r="EL66" i="3"/>
  <c r="EL54" i="3"/>
  <c r="EL42" i="3"/>
  <c r="EH30" i="3"/>
  <c r="EH18" i="3"/>
  <c r="EK96" i="3"/>
  <c r="EK84" i="3"/>
  <c r="EK72" i="3"/>
  <c r="EK60" i="3"/>
  <c r="EK48" i="3"/>
  <c r="EK36" i="3"/>
  <c r="EG24" i="3"/>
  <c r="EG12" i="3"/>
  <c r="EI35" i="3"/>
  <c r="EE86" i="3"/>
  <c r="EH61" i="3"/>
  <c r="EL33" i="3"/>
  <c r="EL12" i="3"/>
  <c r="EI78" i="3"/>
  <c r="EI42" i="3"/>
  <c r="EE33" i="3"/>
  <c r="EH11" i="3"/>
  <c r="EH85" i="3"/>
  <c r="EH58" i="3"/>
  <c r="EL30" i="3"/>
  <c r="EI75" i="3"/>
  <c r="EI39" i="3"/>
  <c r="EH17" i="3"/>
  <c r="EH101" i="3"/>
  <c r="EH89" i="3"/>
  <c r="EH77" i="3"/>
  <c r="EH65" i="3"/>
  <c r="EH53" i="3"/>
  <c r="EH41" i="3"/>
  <c r="EL29" i="3"/>
  <c r="EL17" i="3"/>
  <c r="EG95" i="3"/>
  <c r="EG83" i="3"/>
  <c r="EG71" i="3"/>
  <c r="EG59" i="3"/>
  <c r="EG47" i="3"/>
  <c r="EG35" i="3"/>
  <c r="EK23" i="3"/>
  <c r="EK11" i="3"/>
  <c r="EL100" i="3"/>
  <c r="EL88" i="3"/>
  <c r="EL76" i="3"/>
  <c r="EL64" i="3"/>
  <c r="EL52" i="3"/>
  <c r="EL40" i="3"/>
  <c r="EL28" i="3"/>
  <c r="EL16" i="3"/>
  <c r="EK94" i="3"/>
  <c r="EK82" i="3"/>
  <c r="EK70" i="3"/>
  <c r="EK58" i="3"/>
  <c r="EK46" i="3"/>
  <c r="EK34" i="3"/>
  <c r="EK22" i="3"/>
  <c r="EK10" i="3"/>
  <c r="EL99" i="3"/>
  <c r="EL87" i="3"/>
  <c r="EL75" i="3"/>
  <c r="EL63" i="3"/>
  <c r="EL51" i="3"/>
  <c r="EL39" i="3"/>
  <c r="EH27" i="3"/>
  <c r="EH15" i="3"/>
  <c r="EK93" i="3"/>
  <c r="EK81" i="3"/>
  <c r="EK69" i="3"/>
  <c r="EK57" i="3"/>
  <c r="EK45" i="3"/>
  <c r="EG33" i="3"/>
  <c r="EG21" i="3"/>
  <c r="EG9" i="3"/>
  <c r="EH98" i="3"/>
  <c r="EL101" i="3"/>
  <c r="EL98" i="3"/>
  <c r="EL89" i="3"/>
  <c r="EH86" i="3"/>
  <c r="EL86" i="3"/>
  <c r="EH74" i="3"/>
  <c r="EL74" i="3"/>
  <c r="EL77" i="3"/>
  <c r="EH62" i="3"/>
  <c r="EH64" i="3"/>
  <c r="EL65" i="3"/>
  <c r="EL62" i="3"/>
  <c r="EL50" i="3"/>
  <c r="EH52" i="3"/>
  <c r="EH50" i="3"/>
  <c r="EL53" i="3"/>
  <c r="EH38" i="3"/>
  <c r="EL41" i="3"/>
  <c r="EH40" i="3"/>
  <c r="EL38" i="3"/>
  <c r="EL26" i="3"/>
  <c r="EL27" i="3"/>
  <c r="EL14" i="3"/>
  <c r="EL15" i="3"/>
  <c r="EG92" i="3"/>
  <c r="EK92" i="3"/>
  <c r="EG80" i="3"/>
  <c r="EK80" i="3"/>
  <c r="EG68" i="3"/>
  <c r="EK68" i="3"/>
  <c r="EG56" i="3"/>
  <c r="EK56" i="3"/>
  <c r="EG44" i="3"/>
  <c r="EK44" i="3"/>
  <c r="EK32" i="3"/>
  <c r="EG32" i="3"/>
  <c r="EK20" i="3"/>
  <c r="EG20" i="3"/>
  <c r="EI95" i="3"/>
  <c r="EE95" i="3"/>
  <c r="EI83" i="3"/>
  <c r="EE83" i="3"/>
  <c r="EI71" i="3"/>
  <c r="EE71" i="3"/>
  <c r="EI59" i="3"/>
  <c r="EE59" i="3"/>
  <c r="EI47" i="3"/>
  <c r="EE47" i="3"/>
  <c r="EI23" i="3"/>
  <c r="EE23" i="3"/>
  <c r="EH29" i="3"/>
  <c r="EH88" i="3"/>
  <c r="EH26" i="3"/>
  <c r="EH35" i="3"/>
  <c r="EE24" i="3"/>
  <c r="EE101" i="3"/>
  <c r="EE89" i="3"/>
  <c r="EE77" i="3"/>
  <c r="EE65" i="3"/>
  <c r="EE53" i="3"/>
  <c r="EE41" i="3"/>
  <c r="EI31" i="3"/>
  <c r="EI19" i="3"/>
  <c r="EI102" i="3"/>
  <c r="EI99" i="3"/>
  <c r="EI96" i="3"/>
  <c r="EI93" i="3"/>
  <c r="EI84" i="3"/>
  <c r="EI81" i="3"/>
  <c r="EI72" i="3"/>
  <c r="EI69" i="3"/>
  <c r="EI60" i="3"/>
  <c r="EI57" i="3"/>
  <c r="EI48" i="3"/>
  <c r="EI45" i="3"/>
  <c r="EI36" i="3"/>
  <c r="EG29" i="3"/>
  <c r="EG26" i="3"/>
  <c r="EG23" i="3"/>
  <c r="EG17" i="3"/>
  <c r="EG14" i="3"/>
  <c r="EG11" i="3"/>
  <c r="EG103" i="3"/>
  <c r="EG100" i="3"/>
  <c r="EG97" i="3"/>
  <c r="EG94" i="3"/>
  <c r="EG91" i="3"/>
  <c r="EG88" i="3"/>
  <c r="EG85" i="3"/>
  <c r="EG82" i="3"/>
  <c r="EG79" i="3"/>
  <c r="EG76" i="3"/>
  <c r="EG73" i="3"/>
  <c r="EG70" i="3"/>
  <c r="EG67" i="3"/>
  <c r="EG64" i="3"/>
  <c r="EG61" i="3"/>
  <c r="EG58" i="3"/>
  <c r="EG55" i="3"/>
  <c r="EG52" i="3"/>
  <c r="EG49" i="3"/>
  <c r="EG46" i="3"/>
  <c r="EG43" i="3"/>
  <c r="EG40" i="3"/>
  <c r="EG37" i="3"/>
  <c r="EK33" i="3"/>
  <c r="EK30" i="3"/>
  <c r="EK27" i="3"/>
  <c r="EK24" i="3"/>
  <c r="EK21" i="3"/>
  <c r="EK18" i="3"/>
  <c r="EK15" i="3"/>
  <c r="EK12" i="3"/>
  <c r="EK9" i="3"/>
  <c r="EK101" i="3"/>
  <c r="EK98" i="3"/>
  <c r="EK95" i="3"/>
  <c r="EK89" i="3"/>
  <c r="EK86" i="3"/>
  <c r="EK83" i="3"/>
  <c r="EK77" i="3"/>
  <c r="EK74" i="3"/>
  <c r="EK71" i="3"/>
  <c r="EK65" i="3"/>
  <c r="EK62" i="3"/>
  <c r="EK59" i="3"/>
  <c r="EK53" i="3"/>
  <c r="EK50" i="3"/>
  <c r="EK47" i="3"/>
  <c r="EK41" i="3"/>
  <c r="EK38" i="3"/>
  <c r="EK35" i="3"/>
  <c r="EE32" i="3"/>
  <c r="EE29" i="3"/>
  <c r="EE26" i="3"/>
  <c r="EE20" i="3"/>
  <c r="EE17" i="3"/>
  <c r="EE103" i="3"/>
  <c r="EE100" i="3"/>
  <c r="EE97" i="3"/>
  <c r="EE94" i="3"/>
  <c r="EE91" i="3"/>
  <c r="EE88" i="3"/>
  <c r="EE85" i="3"/>
  <c r="EE82" i="3"/>
  <c r="EE79" i="3"/>
  <c r="EE76" i="3"/>
  <c r="EE73" i="3"/>
  <c r="EE70" i="3"/>
  <c r="EE67" i="3"/>
  <c r="EE64" i="3"/>
  <c r="EE61" i="3"/>
  <c r="EE58" i="3"/>
  <c r="EE55" i="3"/>
  <c r="EE52" i="3"/>
  <c r="EE49" i="3"/>
  <c r="EE46" i="3"/>
  <c r="EE43" i="3"/>
  <c r="EE40" i="3"/>
  <c r="EE37" i="3"/>
  <c r="EH34" i="3"/>
  <c r="EH31" i="3"/>
  <c r="EH28" i="3"/>
  <c r="EH25" i="3"/>
  <c r="EH22" i="3"/>
  <c r="EH19" i="3"/>
  <c r="EH16" i="3"/>
  <c r="EH13" i="3"/>
  <c r="EH10" i="3"/>
  <c r="EH102" i="3"/>
  <c r="EH99" i="3"/>
  <c r="EH96" i="3"/>
  <c r="EH93" i="3"/>
  <c r="EH90" i="3"/>
  <c r="EH87" i="3"/>
  <c r="EH84" i="3"/>
  <c r="EH81" i="3"/>
  <c r="EH78" i="3"/>
  <c r="EH75" i="3"/>
  <c r="EH72" i="3"/>
  <c r="EH69" i="3"/>
  <c r="EH66" i="3"/>
  <c r="EH63" i="3"/>
  <c r="EH60" i="3"/>
  <c r="EH57" i="3"/>
  <c r="EH54" i="3"/>
  <c r="EH51" i="3"/>
  <c r="EH48" i="3"/>
  <c r="EH45" i="3"/>
  <c r="EH42" i="3"/>
  <c r="EH39" i="3"/>
  <c r="EH36" i="3"/>
  <c r="EG34" i="3"/>
  <c r="EG31" i="3"/>
  <c r="EG28" i="3"/>
  <c r="EG25" i="3"/>
  <c r="EG22" i="3"/>
  <c r="EG19" i="3"/>
  <c r="EG16" i="3"/>
  <c r="EG13" i="3"/>
  <c r="EG10" i="3"/>
  <c r="EG102" i="3"/>
  <c r="EG99" i="3"/>
  <c r="EG96" i="3"/>
  <c r="EG93" i="3"/>
  <c r="EG90" i="3"/>
  <c r="EG87" i="3"/>
  <c r="EG84" i="3"/>
  <c r="EG81" i="3"/>
  <c r="EG78" i="3"/>
  <c r="EG75" i="3"/>
  <c r="EG72" i="3"/>
  <c r="EG69" i="3"/>
  <c r="EG66" i="3"/>
  <c r="EG63" i="3"/>
  <c r="EG60" i="3"/>
  <c r="EG57" i="3"/>
  <c r="EG54" i="3"/>
  <c r="EG51" i="3"/>
  <c r="EG48" i="3"/>
  <c r="EG45" i="3"/>
  <c r="EG42" i="3"/>
  <c r="EG39" i="3"/>
  <c r="EG36" i="3"/>
  <c r="AD96" i="3"/>
  <c r="AD84" i="3"/>
  <c r="AD72" i="3"/>
  <c r="AD60" i="3"/>
  <c r="AD48" i="3"/>
  <c r="AD36" i="3"/>
  <c r="AD97" i="3"/>
  <c r="AD85" i="3"/>
  <c r="AD73" i="3"/>
  <c r="AD61" i="3"/>
  <c r="AD49" i="3"/>
  <c r="AD37" i="3"/>
  <c r="AD95" i="3"/>
  <c r="AD83" i="3"/>
  <c r="AD71" i="3"/>
  <c r="AD59" i="3"/>
  <c r="AD47" i="3"/>
  <c r="AD35" i="3"/>
  <c r="AD23" i="3"/>
  <c r="AD11" i="3"/>
  <c r="AD38" i="3"/>
  <c r="AD24" i="3"/>
  <c r="AD5" i="3"/>
  <c r="AD102" i="3"/>
  <c r="AD90" i="3"/>
  <c r="AD78" i="3"/>
  <c r="AD66" i="3"/>
  <c r="AD54" i="3"/>
  <c r="AD42" i="3"/>
  <c r="AD101" i="3"/>
  <c r="AD89" i="3"/>
  <c r="AD77" i="3"/>
  <c r="AD65" i="3"/>
  <c r="AD53" i="3"/>
  <c r="AD41" i="3"/>
  <c r="AD27" i="3"/>
  <c r="AD100" i="3"/>
  <c r="AD88" i="3"/>
  <c r="AD76" i="3"/>
  <c r="AD64" i="3"/>
  <c r="AD52" i="3"/>
  <c r="AD40" i="3"/>
  <c r="AD99" i="3"/>
  <c r="AD87" i="3"/>
  <c r="AD75" i="3"/>
  <c r="AD63" i="3"/>
  <c r="AD51" i="3"/>
  <c r="AD39" i="3"/>
  <c r="AD15" i="3"/>
  <c r="AD14" i="3"/>
  <c r="AD25" i="3"/>
  <c r="AD13" i="3"/>
  <c r="AD94" i="3"/>
  <c r="AD82" i="3"/>
  <c r="AD70" i="3"/>
  <c r="AD58" i="3"/>
  <c r="AD46" i="3"/>
  <c r="AD34" i="3"/>
  <c r="AD22" i="3"/>
  <c r="AD33" i="3"/>
  <c r="AD9" i="3"/>
  <c r="AD92" i="3"/>
  <c r="AD80" i="3"/>
  <c r="AD68" i="3"/>
  <c r="AD56" i="3"/>
  <c r="AD44" i="3"/>
  <c r="AD32" i="3"/>
  <c r="AD20" i="3"/>
  <c r="AD8" i="3"/>
  <c r="AD30" i="3"/>
  <c r="AD93" i="3"/>
  <c r="AD81" i="3"/>
  <c r="AD69" i="3"/>
  <c r="AD57" i="3"/>
  <c r="AD45" i="3"/>
  <c r="AD103" i="3"/>
  <c r="AD91" i="3"/>
  <c r="AD79" i="3"/>
  <c r="AD67" i="3"/>
  <c r="AD55" i="3"/>
  <c r="AD43" i="3"/>
  <c r="AD31" i="3"/>
  <c r="AD19" i="3"/>
  <c r="AD26" i="3"/>
  <c r="AD18" i="3"/>
  <c r="AD6" i="3"/>
  <c r="AD29" i="3"/>
  <c r="AD17" i="3"/>
  <c r="AD28" i="3"/>
  <c r="AD98" i="3"/>
  <c r="AD86" i="3"/>
  <c r="AD74" i="3"/>
  <c r="AD62" i="3"/>
  <c r="AD50" i="3"/>
  <c r="AD12" i="3"/>
  <c r="AD7" i="3"/>
  <c r="AD10" i="3"/>
  <c r="AD21" i="3"/>
  <c r="AD16" i="3"/>
  <c r="DY94" i="3"/>
  <c r="DY82" i="3"/>
  <c r="DY70" i="3"/>
  <c r="DY15" i="3"/>
  <c r="DY92" i="3"/>
  <c r="DY80" i="3"/>
  <c r="DY68" i="3"/>
  <c r="DY56" i="3"/>
  <c r="DY44" i="3"/>
  <c r="DY32" i="3"/>
  <c r="DY20" i="3"/>
  <c r="DY8" i="3"/>
  <c r="DY103" i="3"/>
  <c r="DY91" i="3"/>
  <c r="DY79" i="3"/>
  <c r="DY67" i="3"/>
  <c r="DY55" i="3"/>
  <c r="DY43" i="3"/>
  <c r="DY31" i="3"/>
  <c r="DY19" i="3"/>
  <c r="DY46" i="3"/>
  <c r="DY102" i="3"/>
  <c r="DY90" i="3"/>
  <c r="DY78" i="3"/>
  <c r="DY66" i="3"/>
  <c r="DY54" i="3"/>
  <c r="DY42" i="3"/>
  <c r="DY30" i="3"/>
  <c r="DY18" i="3"/>
  <c r="DY6" i="3"/>
  <c r="DY101" i="3"/>
  <c r="DY89" i="3"/>
  <c r="DY77" i="3"/>
  <c r="DY65" i="3"/>
  <c r="DY53" i="3"/>
  <c r="DY41" i="3"/>
  <c r="DY29" i="3"/>
  <c r="DY17" i="3"/>
  <c r="DY100" i="3"/>
  <c r="DY88" i="3"/>
  <c r="DY76" i="3"/>
  <c r="DY64" i="3"/>
  <c r="DY52" i="3"/>
  <c r="DY40" i="3"/>
  <c r="DY28" i="3"/>
  <c r="DY16" i="3"/>
  <c r="DY98" i="3"/>
  <c r="DY86" i="3"/>
  <c r="DY74" i="3"/>
  <c r="DY62" i="3"/>
  <c r="DY50" i="3"/>
  <c r="DY38" i="3"/>
  <c r="DY26" i="3"/>
  <c r="DY14" i="3"/>
  <c r="DY97" i="3"/>
  <c r="DY85" i="3"/>
  <c r="DY73" i="3"/>
  <c r="DY61" i="3"/>
  <c r="DY49" i="3"/>
  <c r="DY37" i="3"/>
  <c r="DY25" i="3"/>
  <c r="DY13" i="3"/>
  <c r="DY96" i="3"/>
  <c r="DY84" i="3"/>
  <c r="DY72" i="3"/>
  <c r="DY60" i="3"/>
  <c r="DY48" i="3"/>
  <c r="DY36" i="3"/>
  <c r="DY24" i="3"/>
  <c r="DY12" i="3"/>
  <c r="DY95" i="3"/>
  <c r="DY83" i="3"/>
  <c r="DY71" i="3"/>
  <c r="DY59" i="3"/>
  <c r="DY47" i="3"/>
  <c r="DY35" i="3"/>
  <c r="DY23" i="3"/>
  <c r="DY11" i="3"/>
  <c r="DY22" i="3"/>
  <c r="DY33" i="3"/>
  <c r="DY5" i="3"/>
  <c r="DY58" i="3"/>
  <c r="DY81" i="3"/>
  <c r="DY57" i="3"/>
  <c r="DY9" i="3"/>
  <c r="DY7" i="3"/>
  <c r="DY10" i="3"/>
  <c r="DY93" i="3"/>
  <c r="DY45" i="3"/>
  <c r="DY34" i="3"/>
  <c r="DY69" i="3"/>
  <c r="DY21" i="3"/>
  <c r="DY99" i="3"/>
  <c r="DY87" i="3"/>
  <c r="DY75" i="3"/>
  <c r="DY63" i="3"/>
  <c r="DY51" i="3"/>
  <c r="DY39" i="3"/>
  <c r="DY27" i="3"/>
  <c r="EW97" i="3"/>
  <c r="EW85" i="3"/>
  <c r="EW73" i="3"/>
  <c r="EW61" i="3"/>
  <c r="EW25" i="3"/>
  <c r="EW94" i="3"/>
  <c r="EW34" i="3"/>
  <c r="EW8" i="3"/>
  <c r="EW98" i="3"/>
  <c r="EW86" i="3"/>
  <c r="EW74" i="3"/>
  <c r="EW62" i="3"/>
  <c r="EW50" i="3"/>
  <c r="EW38" i="3"/>
  <c r="EW26" i="3"/>
  <c r="EW14" i="3"/>
  <c r="EW49" i="3"/>
  <c r="EW95" i="3"/>
  <c r="EW83" i="3"/>
  <c r="EW71" i="3"/>
  <c r="EW59" i="3"/>
  <c r="EW47" i="3"/>
  <c r="EW35" i="3"/>
  <c r="EW23" i="3"/>
  <c r="EW11" i="3"/>
  <c r="EW37" i="3"/>
  <c r="EW9" i="3"/>
  <c r="EW16" i="3"/>
  <c r="EW92" i="3"/>
  <c r="EW80" i="3"/>
  <c r="EW68" i="3"/>
  <c r="EW56" i="3"/>
  <c r="EW44" i="3"/>
  <c r="EW32" i="3"/>
  <c r="EW20" i="3"/>
  <c r="EW102" i="3"/>
  <c r="EW90" i="3"/>
  <c r="EW78" i="3"/>
  <c r="EW66" i="3"/>
  <c r="EW54" i="3"/>
  <c r="EW42" i="3"/>
  <c r="EW30" i="3"/>
  <c r="EW18" i="3"/>
  <c r="EW5" i="3"/>
  <c r="EW101" i="3"/>
  <c r="EW89" i="3"/>
  <c r="EW77" i="3"/>
  <c r="EW65" i="3"/>
  <c r="EW53" i="3"/>
  <c r="EW41" i="3"/>
  <c r="EW29" i="3"/>
  <c r="EW17" i="3"/>
  <c r="EW100" i="3"/>
  <c r="EW88" i="3"/>
  <c r="EW76" i="3"/>
  <c r="EW64" i="3"/>
  <c r="EW52" i="3"/>
  <c r="EW40" i="3"/>
  <c r="EW28" i="3"/>
  <c r="EW99" i="3"/>
  <c r="EW87" i="3"/>
  <c r="EW75" i="3"/>
  <c r="EW63" i="3"/>
  <c r="EW51" i="3"/>
  <c r="EW39" i="3"/>
  <c r="EW27" i="3"/>
  <c r="EW15" i="3"/>
  <c r="EW13" i="3"/>
  <c r="EW46" i="3"/>
  <c r="EW12" i="3"/>
  <c r="EW82" i="3"/>
  <c r="EW10" i="3"/>
  <c r="EW96" i="3"/>
  <c r="EW84" i="3"/>
  <c r="EW72" i="3"/>
  <c r="EW60" i="3"/>
  <c r="EW48" i="3"/>
  <c r="EW36" i="3"/>
  <c r="EW24" i="3"/>
  <c r="EW70" i="3"/>
  <c r="EW7" i="3"/>
  <c r="EW93" i="3"/>
  <c r="EW81" i="3"/>
  <c r="EW69" i="3"/>
  <c r="EW57" i="3"/>
  <c r="EW45" i="3"/>
  <c r="EW33" i="3"/>
  <c r="EW21" i="3"/>
  <c r="EW6" i="3"/>
  <c r="EW58" i="3"/>
  <c r="EW103" i="3"/>
  <c r="EW91" i="3"/>
  <c r="EW79" i="3"/>
  <c r="EW67" i="3"/>
  <c r="EW55" i="3"/>
  <c r="EW43" i="3"/>
  <c r="EW31" i="3"/>
  <c r="EW19" i="3"/>
  <c r="EW22" i="3"/>
  <c r="DZ5" i="3" l="1"/>
  <c r="DZ10" i="3"/>
  <c r="DZ100" i="3"/>
  <c r="DZ87" i="3"/>
  <c r="DZ58" i="3"/>
  <c r="DZ12" i="3"/>
  <c r="DZ61" i="3"/>
  <c r="DZ16" i="3"/>
  <c r="DZ65" i="3"/>
  <c r="DZ102" i="3"/>
  <c r="DZ32" i="3"/>
  <c r="DZ77" i="3"/>
  <c r="DZ85" i="3"/>
  <c r="DZ56" i="3"/>
  <c r="DZ69" i="3"/>
  <c r="DZ22" i="3"/>
  <c r="DZ48" i="3"/>
  <c r="DZ97" i="3"/>
  <c r="DZ52" i="3"/>
  <c r="DZ101" i="3"/>
  <c r="DZ31" i="3"/>
  <c r="DZ68" i="3"/>
  <c r="DZ73" i="3"/>
  <c r="DZ21" i="3"/>
  <c r="DZ40" i="3"/>
  <c r="DZ34" i="3"/>
  <c r="DZ11" i="3"/>
  <c r="DZ60" i="3"/>
  <c r="DZ14" i="3"/>
  <c r="DZ64" i="3"/>
  <c r="DZ6" i="3"/>
  <c r="DZ43" i="3"/>
  <c r="DZ80" i="3"/>
  <c r="DZ99" i="3"/>
  <c r="DZ46" i="3"/>
  <c r="DZ36" i="3"/>
  <c r="DZ89" i="3"/>
  <c r="DZ45" i="3"/>
  <c r="DZ23" i="3"/>
  <c r="DZ72" i="3"/>
  <c r="DZ26" i="3"/>
  <c r="DZ76" i="3"/>
  <c r="DZ18" i="3"/>
  <c r="DZ55" i="3"/>
  <c r="DZ92" i="3"/>
  <c r="DZ24" i="3"/>
  <c r="DZ33" i="3"/>
  <c r="DZ19" i="3"/>
  <c r="DZ93" i="3"/>
  <c r="DZ35" i="3"/>
  <c r="DZ84" i="3"/>
  <c r="DZ38" i="3"/>
  <c r="DZ88" i="3"/>
  <c r="DZ30" i="3"/>
  <c r="DZ67" i="3"/>
  <c r="DZ15" i="3"/>
  <c r="DZ28" i="3"/>
  <c r="DZ27" i="3"/>
  <c r="DZ50" i="3"/>
  <c r="DZ70" i="3"/>
  <c r="DZ39" i="3"/>
  <c r="DZ7" i="3"/>
  <c r="DZ59" i="3"/>
  <c r="DZ13" i="3"/>
  <c r="DZ62" i="3"/>
  <c r="DZ17" i="3"/>
  <c r="DZ54" i="3"/>
  <c r="DZ91" i="3"/>
  <c r="DZ82" i="3"/>
  <c r="DZ47" i="3"/>
  <c r="DZ42" i="3"/>
  <c r="DZ51" i="3"/>
  <c r="DZ9" i="3"/>
  <c r="DZ71" i="3"/>
  <c r="DZ25" i="3"/>
  <c r="DZ74" i="3"/>
  <c r="DZ29" i="3"/>
  <c r="DZ66" i="3"/>
  <c r="DZ103" i="3"/>
  <c r="DZ94" i="3"/>
  <c r="DZ44" i="3"/>
  <c r="DZ63" i="3"/>
  <c r="DZ57" i="3"/>
  <c r="DZ83" i="3"/>
  <c r="DZ37" i="3"/>
  <c r="DZ86" i="3"/>
  <c r="DZ41" i="3"/>
  <c r="DZ78" i="3"/>
  <c r="DZ8" i="3"/>
  <c r="DZ96" i="3"/>
  <c r="DZ79" i="3"/>
  <c r="DZ75" i="3"/>
  <c r="DZ81" i="3"/>
  <c r="DZ95" i="3"/>
  <c r="DZ49" i="3"/>
  <c r="DZ98" i="3"/>
  <c r="DZ53" i="3"/>
  <c r="DZ90" i="3"/>
  <c r="DZ20" i="3"/>
  <c r="EX6" i="3"/>
  <c r="EX48" i="3"/>
  <c r="EX49" i="3"/>
  <c r="EX91" i="3"/>
  <c r="EX64" i="3"/>
  <c r="EX56" i="3"/>
  <c r="EX103" i="3"/>
  <c r="EX15" i="3"/>
  <c r="EX58" i="3"/>
  <c r="EX36" i="3"/>
  <c r="EX27" i="3"/>
  <c r="EX88" i="3"/>
  <c r="EX30" i="3"/>
  <c r="EX80" i="3"/>
  <c r="EX95" i="3"/>
  <c r="EX94" i="3"/>
  <c r="EX92" i="3"/>
  <c r="EX21" i="3"/>
  <c r="EX60" i="3"/>
  <c r="EX51" i="3"/>
  <c r="EX17" i="3"/>
  <c r="EX54" i="3"/>
  <c r="EX16" i="3"/>
  <c r="EX14" i="3"/>
  <c r="EX61" i="3"/>
  <c r="EX22" i="3"/>
  <c r="EX9" i="3"/>
  <c r="EX19" i="3"/>
  <c r="EX45" i="3"/>
  <c r="EX84" i="3"/>
  <c r="EX75" i="3"/>
  <c r="EX41" i="3"/>
  <c r="EX78" i="3"/>
  <c r="EX37" i="3"/>
  <c r="EX38" i="3"/>
  <c r="EX85" i="3"/>
  <c r="EX39" i="3"/>
  <c r="EX72" i="3"/>
  <c r="EX31" i="3"/>
  <c r="EX57" i="3"/>
  <c r="EX96" i="3"/>
  <c r="EX87" i="3"/>
  <c r="EX53" i="3"/>
  <c r="EX90" i="3"/>
  <c r="EX11" i="3"/>
  <c r="EX50" i="3"/>
  <c r="EX97" i="3"/>
  <c r="EX42" i="3"/>
  <c r="EX29" i="3"/>
  <c r="EX43" i="3"/>
  <c r="EX69" i="3"/>
  <c r="EX10" i="3"/>
  <c r="EX99" i="3"/>
  <c r="EX65" i="3"/>
  <c r="EX102" i="3"/>
  <c r="EX23" i="3"/>
  <c r="EX62" i="3"/>
  <c r="EX100" i="3"/>
  <c r="EX33" i="3"/>
  <c r="EX26" i="3"/>
  <c r="EX81" i="3"/>
  <c r="EX28" i="3"/>
  <c r="EX20" i="3"/>
  <c r="EX35" i="3"/>
  <c r="EX74" i="3"/>
  <c r="EX63" i="3"/>
  <c r="EX73" i="3"/>
  <c r="EX55" i="3"/>
  <c r="EX82" i="3"/>
  <c r="EX77" i="3"/>
  <c r="EX67" i="3"/>
  <c r="EX93" i="3"/>
  <c r="EX12" i="3"/>
  <c r="EX40" i="3"/>
  <c r="EX89" i="3"/>
  <c r="EX32" i="3"/>
  <c r="EX47" i="3"/>
  <c r="EX86" i="3"/>
  <c r="EX25" i="3"/>
  <c r="EX66" i="3"/>
  <c r="EX79" i="3"/>
  <c r="EX7" i="3"/>
  <c r="EX46" i="3"/>
  <c r="EX52" i="3"/>
  <c r="EX101" i="3"/>
  <c r="EX44" i="3"/>
  <c r="EX59" i="3"/>
  <c r="EX98" i="3"/>
  <c r="EX13" i="3"/>
  <c r="EX70" i="3"/>
  <c r="EX5" i="3"/>
  <c r="EX71" i="3"/>
  <c r="EX8" i="3"/>
  <c r="EX24" i="3"/>
  <c r="EX76" i="3"/>
  <c r="EX18" i="3"/>
  <c r="EX68" i="3"/>
  <c r="EX83" i="3"/>
  <c r="EX34" i="3"/>
  <c r="Q103" i="3"/>
  <c r="P103" i="3"/>
  <c r="O103" i="3"/>
  <c r="Q102" i="3"/>
  <c r="P102" i="3"/>
  <c r="O102" i="3"/>
  <c r="Q101" i="3"/>
  <c r="P101" i="3"/>
  <c r="O101" i="3"/>
  <c r="Q100" i="3"/>
  <c r="P100" i="3"/>
  <c r="O100" i="3"/>
  <c r="Q99" i="3"/>
  <c r="P99" i="3"/>
  <c r="O99" i="3"/>
  <c r="Q98" i="3"/>
  <c r="P98" i="3"/>
  <c r="O98" i="3"/>
  <c r="Q97" i="3"/>
  <c r="P97" i="3"/>
  <c r="O97" i="3"/>
  <c r="Q96" i="3"/>
  <c r="P96" i="3"/>
  <c r="O96" i="3"/>
  <c r="Q95" i="3"/>
  <c r="P95" i="3"/>
  <c r="O95" i="3"/>
  <c r="Q94" i="3"/>
  <c r="P94" i="3"/>
  <c r="O94" i="3"/>
  <c r="Q93" i="3"/>
  <c r="P93" i="3"/>
  <c r="O93" i="3"/>
  <c r="Q92" i="3"/>
  <c r="P92" i="3"/>
  <c r="O92" i="3"/>
  <c r="Q91" i="3"/>
  <c r="P91" i="3"/>
  <c r="O91" i="3"/>
  <c r="Q90" i="3"/>
  <c r="P90" i="3"/>
  <c r="O90" i="3"/>
  <c r="Q89" i="3"/>
  <c r="P89" i="3"/>
  <c r="O89" i="3"/>
  <c r="Q88" i="3"/>
  <c r="P88" i="3"/>
  <c r="O88" i="3"/>
  <c r="Q87" i="3"/>
  <c r="P87" i="3"/>
  <c r="O87" i="3"/>
  <c r="Q86" i="3"/>
  <c r="P86" i="3"/>
  <c r="O86" i="3"/>
  <c r="Q85" i="3"/>
  <c r="P85" i="3"/>
  <c r="O85" i="3"/>
  <c r="Q84" i="3"/>
  <c r="P84" i="3"/>
  <c r="O84" i="3"/>
  <c r="Q83" i="3"/>
  <c r="P83" i="3"/>
  <c r="O83" i="3"/>
  <c r="Q82" i="3"/>
  <c r="P82" i="3"/>
  <c r="O82" i="3"/>
  <c r="Q81" i="3"/>
  <c r="P81" i="3"/>
  <c r="O81" i="3"/>
  <c r="Q80" i="3"/>
  <c r="P80" i="3"/>
  <c r="O80" i="3"/>
  <c r="Q79" i="3"/>
  <c r="P79" i="3"/>
  <c r="O79" i="3"/>
  <c r="Q78" i="3"/>
  <c r="P78" i="3"/>
  <c r="O78" i="3"/>
  <c r="Q77" i="3"/>
  <c r="P77" i="3"/>
  <c r="O77" i="3"/>
  <c r="Q76" i="3"/>
  <c r="P76" i="3"/>
  <c r="O76" i="3"/>
  <c r="Q75" i="3"/>
  <c r="P75" i="3"/>
  <c r="O75" i="3"/>
  <c r="Q74" i="3"/>
  <c r="P74" i="3"/>
  <c r="O74" i="3"/>
  <c r="Q73" i="3"/>
  <c r="P73" i="3"/>
  <c r="O73" i="3"/>
  <c r="Q72" i="3"/>
  <c r="P72" i="3"/>
  <c r="O72" i="3"/>
  <c r="Q71" i="3"/>
  <c r="P71" i="3"/>
  <c r="O71" i="3"/>
  <c r="Q70" i="3"/>
  <c r="P70" i="3"/>
  <c r="O70" i="3"/>
  <c r="Q69" i="3"/>
  <c r="P69" i="3"/>
  <c r="O69" i="3"/>
  <c r="Q68" i="3"/>
  <c r="P68" i="3"/>
  <c r="O68" i="3"/>
  <c r="Q67" i="3"/>
  <c r="P67" i="3"/>
  <c r="O67" i="3"/>
  <c r="Q66" i="3"/>
  <c r="P66" i="3"/>
  <c r="O66" i="3"/>
  <c r="Q65" i="3"/>
  <c r="P65" i="3"/>
  <c r="O65" i="3"/>
  <c r="Q64" i="3"/>
  <c r="P64" i="3"/>
  <c r="O64" i="3"/>
  <c r="Q63" i="3"/>
  <c r="P63" i="3"/>
  <c r="O63" i="3"/>
  <c r="Q62" i="3"/>
  <c r="P62" i="3"/>
  <c r="O62" i="3"/>
  <c r="Q61" i="3"/>
  <c r="P61" i="3"/>
  <c r="O61" i="3"/>
  <c r="Q60" i="3"/>
  <c r="P60" i="3"/>
  <c r="O60" i="3"/>
  <c r="Q59" i="3"/>
  <c r="P59" i="3"/>
  <c r="O59" i="3"/>
  <c r="Q58" i="3"/>
  <c r="P58" i="3"/>
  <c r="O58" i="3"/>
  <c r="Q57" i="3"/>
  <c r="P57" i="3"/>
  <c r="O57" i="3"/>
  <c r="Q56" i="3"/>
  <c r="P56" i="3"/>
  <c r="O56" i="3"/>
  <c r="Q55" i="3"/>
  <c r="P55" i="3"/>
  <c r="O55" i="3"/>
  <c r="Q54" i="3"/>
  <c r="P54" i="3"/>
  <c r="O54" i="3"/>
  <c r="Q53" i="3"/>
  <c r="P53" i="3"/>
  <c r="O53" i="3"/>
  <c r="Q52" i="3"/>
  <c r="P52" i="3"/>
  <c r="O52" i="3"/>
  <c r="Q51" i="3"/>
  <c r="P51" i="3"/>
  <c r="O51" i="3"/>
  <c r="Q50" i="3"/>
  <c r="P50" i="3"/>
  <c r="O50" i="3"/>
  <c r="Q49" i="3"/>
  <c r="P49" i="3"/>
  <c r="O49" i="3"/>
  <c r="Q48" i="3"/>
  <c r="P48" i="3"/>
  <c r="O48" i="3"/>
  <c r="Q47" i="3"/>
  <c r="P47" i="3"/>
  <c r="O47" i="3"/>
  <c r="Q46" i="3"/>
  <c r="P46" i="3"/>
  <c r="O46" i="3"/>
  <c r="Q45" i="3"/>
  <c r="P45" i="3"/>
  <c r="O45" i="3"/>
  <c r="Q44" i="3"/>
  <c r="P44" i="3"/>
  <c r="O44" i="3"/>
  <c r="Q43" i="3"/>
  <c r="P43" i="3"/>
  <c r="O43" i="3"/>
  <c r="Q42" i="3"/>
  <c r="P42" i="3"/>
  <c r="O42" i="3"/>
  <c r="Q41" i="3"/>
  <c r="P41" i="3"/>
  <c r="O41" i="3"/>
  <c r="Q40" i="3"/>
  <c r="P40" i="3"/>
  <c r="O40" i="3"/>
  <c r="Q39" i="3"/>
  <c r="P39" i="3"/>
  <c r="O39" i="3"/>
  <c r="Q38" i="3"/>
  <c r="P38" i="3"/>
  <c r="O38" i="3"/>
  <c r="Q37" i="3"/>
  <c r="P37" i="3"/>
  <c r="O37" i="3"/>
  <c r="Q36" i="3"/>
  <c r="P36" i="3"/>
  <c r="O36" i="3"/>
  <c r="Q35" i="3"/>
  <c r="P35" i="3"/>
  <c r="O35" i="3"/>
  <c r="Q34" i="3"/>
  <c r="P34" i="3"/>
  <c r="O34" i="3"/>
  <c r="Q33" i="3"/>
  <c r="P33" i="3"/>
  <c r="O33" i="3"/>
  <c r="Q32" i="3"/>
  <c r="P32" i="3"/>
  <c r="O32" i="3"/>
  <c r="Q31" i="3"/>
  <c r="P31" i="3"/>
  <c r="O31" i="3"/>
  <c r="Q30" i="3"/>
  <c r="P30" i="3"/>
  <c r="O30" i="3"/>
  <c r="Q29" i="3"/>
  <c r="P29" i="3"/>
  <c r="O29" i="3"/>
  <c r="Q28" i="3"/>
  <c r="P28" i="3"/>
  <c r="O28" i="3"/>
  <c r="Q27" i="3"/>
  <c r="P27" i="3"/>
  <c r="O27" i="3"/>
  <c r="Q26" i="3"/>
  <c r="P26" i="3"/>
  <c r="O26" i="3"/>
  <c r="Q25" i="3"/>
  <c r="P25" i="3"/>
  <c r="O25" i="3"/>
  <c r="Q24" i="3"/>
  <c r="P24" i="3"/>
  <c r="O24" i="3"/>
  <c r="Q23" i="3"/>
  <c r="P23" i="3"/>
  <c r="O23" i="3"/>
  <c r="Q22" i="3"/>
  <c r="P22" i="3"/>
  <c r="O22" i="3"/>
  <c r="Q21" i="3"/>
  <c r="P21" i="3"/>
  <c r="O21" i="3"/>
  <c r="Q20" i="3"/>
  <c r="P20" i="3"/>
  <c r="O20" i="3"/>
  <c r="Q19" i="3"/>
  <c r="P19" i="3"/>
  <c r="O19" i="3"/>
  <c r="Q18" i="3"/>
  <c r="P18" i="3"/>
  <c r="O18" i="3"/>
  <c r="Q17" i="3"/>
  <c r="P17" i="3"/>
  <c r="O17" i="3"/>
  <c r="Q16" i="3"/>
  <c r="P16" i="3"/>
  <c r="O16" i="3"/>
  <c r="Q15" i="3"/>
  <c r="P15" i="3"/>
  <c r="O15" i="3"/>
  <c r="Q14" i="3"/>
  <c r="P14" i="3"/>
  <c r="O14" i="3"/>
  <c r="Q13" i="3"/>
  <c r="P13" i="3"/>
  <c r="O13" i="3"/>
  <c r="Q12" i="3"/>
  <c r="P12" i="3"/>
  <c r="O12" i="3"/>
  <c r="Q11" i="3"/>
  <c r="P11" i="3"/>
  <c r="O11" i="3"/>
  <c r="Q10" i="3"/>
  <c r="P10" i="3"/>
  <c r="O10" i="3"/>
  <c r="Q9" i="3"/>
  <c r="P9" i="3"/>
  <c r="O9" i="3"/>
  <c r="Q8" i="3"/>
  <c r="P8" i="3"/>
  <c r="O8" i="3"/>
  <c r="Q7" i="3"/>
  <c r="P7" i="3"/>
  <c r="O7" i="3"/>
  <c r="Q6" i="3"/>
  <c r="P6" i="3"/>
  <c r="O6" i="3"/>
  <c r="O5" i="3"/>
  <c r="R5" i="3" s="1"/>
  <c r="CU6" i="3"/>
  <c r="CV6" i="3"/>
  <c r="CW6" i="3"/>
  <c r="CX6" i="3"/>
  <c r="CY6" i="3"/>
  <c r="CZ6" i="3"/>
  <c r="CU7" i="3"/>
  <c r="CV7" i="3"/>
  <c r="CW7" i="3"/>
  <c r="CX7" i="3"/>
  <c r="CY7" i="3"/>
  <c r="CZ7" i="3"/>
  <c r="CU8" i="3"/>
  <c r="CV8" i="3"/>
  <c r="CW8" i="3"/>
  <c r="CX8" i="3"/>
  <c r="CY8" i="3"/>
  <c r="CZ8" i="3"/>
  <c r="CU9" i="3"/>
  <c r="CV9" i="3"/>
  <c r="CW9" i="3"/>
  <c r="CX9" i="3"/>
  <c r="CY9" i="3"/>
  <c r="CZ9" i="3"/>
  <c r="CU10" i="3"/>
  <c r="CV10" i="3"/>
  <c r="CW10" i="3"/>
  <c r="CX10" i="3"/>
  <c r="CY10" i="3"/>
  <c r="CZ10" i="3"/>
  <c r="CU11" i="3"/>
  <c r="CV11" i="3"/>
  <c r="CW11" i="3"/>
  <c r="CX11" i="3"/>
  <c r="CY11" i="3"/>
  <c r="CZ11" i="3"/>
  <c r="CU12" i="3"/>
  <c r="CV12" i="3"/>
  <c r="CW12" i="3"/>
  <c r="CX12" i="3"/>
  <c r="CY12" i="3"/>
  <c r="CZ12" i="3"/>
  <c r="CU13" i="3"/>
  <c r="CV13" i="3"/>
  <c r="CW13" i="3"/>
  <c r="CX13" i="3"/>
  <c r="CY13" i="3"/>
  <c r="CZ13" i="3"/>
  <c r="CU14" i="3"/>
  <c r="CV14" i="3"/>
  <c r="CW14" i="3"/>
  <c r="CX14" i="3"/>
  <c r="CY14" i="3"/>
  <c r="CZ14" i="3"/>
  <c r="CU15" i="3"/>
  <c r="CV15" i="3"/>
  <c r="CW15" i="3"/>
  <c r="CX15" i="3"/>
  <c r="CY15" i="3"/>
  <c r="CZ15" i="3"/>
  <c r="CU16" i="3"/>
  <c r="CV16" i="3"/>
  <c r="CW16" i="3"/>
  <c r="CX16" i="3"/>
  <c r="CY16" i="3"/>
  <c r="CZ16" i="3"/>
  <c r="CU17" i="3"/>
  <c r="CV17" i="3"/>
  <c r="CW17" i="3"/>
  <c r="CX17" i="3"/>
  <c r="CY17" i="3"/>
  <c r="CZ17" i="3"/>
  <c r="CU18" i="3"/>
  <c r="CV18" i="3"/>
  <c r="CW18" i="3"/>
  <c r="CX18" i="3"/>
  <c r="CY18" i="3"/>
  <c r="CZ18" i="3"/>
  <c r="CU19" i="3"/>
  <c r="CV19" i="3"/>
  <c r="CW19" i="3"/>
  <c r="CX19" i="3"/>
  <c r="CY19" i="3"/>
  <c r="CZ19" i="3"/>
  <c r="CU20" i="3"/>
  <c r="CV20" i="3"/>
  <c r="CW20" i="3"/>
  <c r="CX20" i="3"/>
  <c r="CY20" i="3"/>
  <c r="CZ20" i="3"/>
  <c r="CU21" i="3"/>
  <c r="CV21" i="3"/>
  <c r="CW21" i="3"/>
  <c r="CX21" i="3"/>
  <c r="CY21" i="3"/>
  <c r="CZ21" i="3"/>
  <c r="CU22" i="3"/>
  <c r="CV22" i="3"/>
  <c r="CW22" i="3"/>
  <c r="CX22" i="3"/>
  <c r="CY22" i="3"/>
  <c r="CZ22" i="3"/>
  <c r="CU23" i="3"/>
  <c r="CV23" i="3"/>
  <c r="CW23" i="3"/>
  <c r="CX23" i="3"/>
  <c r="CY23" i="3"/>
  <c r="CZ23" i="3"/>
  <c r="CU24" i="3"/>
  <c r="CV24" i="3"/>
  <c r="CW24" i="3"/>
  <c r="CX24" i="3"/>
  <c r="CY24" i="3"/>
  <c r="CZ24" i="3"/>
  <c r="CU25" i="3"/>
  <c r="CV25" i="3"/>
  <c r="CW25" i="3"/>
  <c r="CX25" i="3"/>
  <c r="CY25" i="3"/>
  <c r="CZ25" i="3"/>
  <c r="CU26" i="3"/>
  <c r="CV26" i="3"/>
  <c r="CW26" i="3"/>
  <c r="CX26" i="3"/>
  <c r="CY26" i="3"/>
  <c r="CZ26" i="3"/>
  <c r="CU27" i="3"/>
  <c r="CV27" i="3"/>
  <c r="CW27" i="3"/>
  <c r="CX27" i="3"/>
  <c r="CY27" i="3"/>
  <c r="CZ27" i="3"/>
  <c r="CU28" i="3"/>
  <c r="CV28" i="3"/>
  <c r="CW28" i="3"/>
  <c r="CX28" i="3"/>
  <c r="CY28" i="3"/>
  <c r="CZ28" i="3"/>
  <c r="CU29" i="3"/>
  <c r="CV29" i="3"/>
  <c r="CW29" i="3"/>
  <c r="CX29" i="3"/>
  <c r="CY29" i="3"/>
  <c r="CZ29" i="3"/>
  <c r="CU30" i="3"/>
  <c r="CV30" i="3"/>
  <c r="CW30" i="3"/>
  <c r="CX30" i="3"/>
  <c r="CY30" i="3"/>
  <c r="CZ30" i="3"/>
  <c r="CU31" i="3"/>
  <c r="CV31" i="3"/>
  <c r="CW31" i="3"/>
  <c r="CX31" i="3"/>
  <c r="CY31" i="3"/>
  <c r="CZ31" i="3"/>
  <c r="CU32" i="3"/>
  <c r="CV32" i="3"/>
  <c r="CW32" i="3"/>
  <c r="CX32" i="3"/>
  <c r="CY32" i="3"/>
  <c r="CZ32" i="3"/>
  <c r="CU33" i="3"/>
  <c r="CV33" i="3"/>
  <c r="CW33" i="3"/>
  <c r="CX33" i="3"/>
  <c r="CY33" i="3"/>
  <c r="CZ33" i="3"/>
  <c r="CU34" i="3"/>
  <c r="CV34" i="3"/>
  <c r="CW34" i="3"/>
  <c r="CX34" i="3"/>
  <c r="CY34" i="3"/>
  <c r="CZ34" i="3"/>
  <c r="CU35" i="3"/>
  <c r="CV35" i="3"/>
  <c r="CW35" i="3"/>
  <c r="CX35" i="3"/>
  <c r="CY35" i="3"/>
  <c r="CZ35" i="3"/>
  <c r="CU36" i="3"/>
  <c r="CV36" i="3"/>
  <c r="CW36" i="3"/>
  <c r="CX36" i="3"/>
  <c r="CY36" i="3"/>
  <c r="CZ36" i="3"/>
  <c r="CU37" i="3"/>
  <c r="CV37" i="3"/>
  <c r="CW37" i="3"/>
  <c r="CX37" i="3"/>
  <c r="CY37" i="3"/>
  <c r="CZ37" i="3"/>
  <c r="CU38" i="3"/>
  <c r="CV38" i="3"/>
  <c r="CW38" i="3"/>
  <c r="CX38" i="3"/>
  <c r="CY38" i="3"/>
  <c r="CZ38" i="3"/>
  <c r="CU39" i="3"/>
  <c r="CV39" i="3"/>
  <c r="CW39" i="3"/>
  <c r="CX39" i="3"/>
  <c r="CY39" i="3"/>
  <c r="CZ39" i="3"/>
  <c r="CU40" i="3"/>
  <c r="CV40" i="3"/>
  <c r="CW40" i="3"/>
  <c r="CX40" i="3"/>
  <c r="CY40" i="3"/>
  <c r="CZ40" i="3"/>
  <c r="CU41" i="3"/>
  <c r="CV41" i="3"/>
  <c r="CW41" i="3"/>
  <c r="CX41" i="3"/>
  <c r="CY41" i="3"/>
  <c r="CZ41" i="3"/>
  <c r="CU42" i="3"/>
  <c r="CV42" i="3"/>
  <c r="CW42" i="3"/>
  <c r="CX42" i="3"/>
  <c r="CY42" i="3"/>
  <c r="CZ42" i="3"/>
  <c r="CU43" i="3"/>
  <c r="CV43" i="3"/>
  <c r="CW43" i="3"/>
  <c r="CX43" i="3"/>
  <c r="CY43" i="3"/>
  <c r="CZ43" i="3"/>
  <c r="CU44" i="3"/>
  <c r="CV44" i="3"/>
  <c r="CW44" i="3"/>
  <c r="CX44" i="3"/>
  <c r="CY44" i="3"/>
  <c r="CZ44" i="3"/>
  <c r="CU45" i="3"/>
  <c r="CV45" i="3"/>
  <c r="CW45" i="3"/>
  <c r="CX45" i="3"/>
  <c r="CY45" i="3"/>
  <c r="CZ45" i="3"/>
  <c r="CU46" i="3"/>
  <c r="CV46" i="3"/>
  <c r="CW46" i="3"/>
  <c r="CX46" i="3"/>
  <c r="CY46" i="3"/>
  <c r="CZ46" i="3"/>
  <c r="CU47" i="3"/>
  <c r="CV47" i="3"/>
  <c r="CW47" i="3"/>
  <c r="CX47" i="3"/>
  <c r="CY47" i="3"/>
  <c r="CZ47" i="3"/>
  <c r="CU48" i="3"/>
  <c r="CV48" i="3"/>
  <c r="CW48" i="3"/>
  <c r="CX48" i="3"/>
  <c r="CY48" i="3"/>
  <c r="CZ48" i="3"/>
  <c r="CU49" i="3"/>
  <c r="CV49" i="3"/>
  <c r="CW49" i="3"/>
  <c r="CX49" i="3"/>
  <c r="CY49" i="3"/>
  <c r="CZ49" i="3"/>
  <c r="CU50" i="3"/>
  <c r="CV50" i="3"/>
  <c r="CW50" i="3"/>
  <c r="CX50" i="3"/>
  <c r="CY50" i="3"/>
  <c r="CZ50" i="3"/>
  <c r="CU51" i="3"/>
  <c r="CV51" i="3"/>
  <c r="CW51" i="3"/>
  <c r="CX51" i="3"/>
  <c r="CY51" i="3"/>
  <c r="CZ51" i="3"/>
  <c r="CU52" i="3"/>
  <c r="CV52" i="3"/>
  <c r="CW52" i="3"/>
  <c r="CX52" i="3"/>
  <c r="CY52" i="3"/>
  <c r="CZ52" i="3"/>
  <c r="CU53" i="3"/>
  <c r="CV53" i="3"/>
  <c r="CW53" i="3"/>
  <c r="CX53" i="3"/>
  <c r="CY53" i="3"/>
  <c r="CZ53" i="3"/>
  <c r="CU54" i="3"/>
  <c r="CV54" i="3"/>
  <c r="CW54" i="3"/>
  <c r="CX54" i="3"/>
  <c r="CY54" i="3"/>
  <c r="CZ54" i="3"/>
  <c r="CU55" i="3"/>
  <c r="CV55" i="3"/>
  <c r="CW55" i="3"/>
  <c r="CX55" i="3"/>
  <c r="CY55" i="3"/>
  <c r="CZ55" i="3"/>
  <c r="CU56" i="3"/>
  <c r="CV56" i="3"/>
  <c r="CW56" i="3"/>
  <c r="CX56" i="3"/>
  <c r="CY56" i="3"/>
  <c r="CZ56" i="3"/>
  <c r="CU57" i="3"/>
  <c r="CV57" i="3"/>
  <c r="CW57" i="3"/>
  <c r="CX57" i="3"/>
  <c r="CY57" i="3"/>
  <c r="CZ57" i="3"/>
  <c r="CU58" i="3"/>
  <c r="CV58" i="3"/>
  <c r="CW58" i="3"/>
  <c r="CX58" i="3"/>
  <c r="CY58" i="3"/>
  <c r="CZ58" i="3"/>
  <c r="CU59" i="3"/>
  <c r="CV59" i="3"/>
  <c r="CW59" i="3"/>
  <c r="CX59" i="3"/>
  <c r="CY59" i="3"/>
  <c r="CZ59" i="3"/>
  <c r="CU60" i="3"/>
  <c r="CV60" i="3"/>
  <c r="CW60" i="3"/>
  <c r="CX60" i="3"/>
  <c r="CY60" i="3"/>
  <c r="CZ60" i="3"/>
  <c r="CU61" i="3"/>
  <c r="CV61" i="3"/>
  <c r="CW61" i="3"/>
  <c r="CX61" i="3"/>
  <c r="CY61" i="3"/>
  <c r="CZ61" i="3"/>
  <c r="CU62" i="3"/>
  <c r="CV62" i="3"/>
  <c r="CW62" i="3"/>
  <c r="CX62" i="3"/>
  <c r="CY62" i="3"/>
  <c r="CZ62" i="3"/>
  <c r="CU63" i="3"/>
  <c r="CV63" i="3"/>
  <c r="CW63" i="3"/>
  <c r="CX63" i="3"/>
  <c r="CY63" i="3"/>
  <c r="CZ63" i="3"/>
  <c r="CU64" i="3"/>
  <c r="CV64" i="3"/>
  <c r="CW64" i="3"/>
  <c r="CX64" i="3"/>
  <c r="CY64" i="3"/>
  <c r="CZ64" i="3"/>
  <c r="CU65" i="3"/>
  <c r="CV65" i="3"/>
  <c r="CW65" i="3"/>
  <c r="CX65" i="3"/>
  <c r="CY65" i="3"/>
  <c r="CZ65" i="3"/>
  <c r="CU66" i="3"/>
  <c r="CV66" i="3"/>
  <c r="CW66" i="3"/>
  <c r="CX66" i="3"/>
  <c r="CY66" i="3"/>
  <c r="CZ66" i="3"/>
  <c r="CU67" i="3"/>
  <c r="CV67" i="3"/>
  <c r="CW67" i="3"/>
  <c r="CX67" i="3"/>
  <c r="CY67" i="3"/>
  <c r="CZ67" i="3"/>
  <c r="CU68" i="3"/>
  <c r="CV68" i="3"/>
  <c r="CW68" i="3"/>
  <c r="CX68" i="3"/>
  <c r="CY68" i="3"/>
  <c r="CZ68" i="3"/>
  <c r="CU69" i="3"/>
  <c r="CV69" i="3"/>
  <c r="CW69" i="3"/>
  <c r="CX69" i="3"/>
  <c r="CY69" i="3"/>
  <c r="CZ69" i="3"/>
  <c r="CU70" i="3"/>
  <c r="CV70" i="3"/>
  <c r="CW70" i="3"/>
  <c r="CX70" i="3"/>
  <c r="CY70" i="3"/>
  <c r="CZ70" i="3"/>
  <c r="CU71" i="3"/>
  <c r="CV71" i="3"/>
  <c r="CW71" i="3"/>
  <c r="CX71" i="3"/>
  <c r="CY71" i="3"/>
  <c r="CZ71" i="3"/>
  <c r="CU72" i="3"/>
  <c r="CV72" i="3"/>
  <c r="CW72" i="3"/>
  <c r="CX72" i="3"/>
  <c r="CY72" i="3"/>
  <c r="CZ72" i="3"/>
  <c r="CU73" i="3"/>
  <c r="CV73" i="3"/>
  <c r="CW73" i="3"/>
  <c r="CX73" i="3"/>
  <c r="CY73" i="3"/>
  <c r="CZ73" i="3"/>
  <c r="CU74" i="3"/>
  <c r="CV74" i="3"/>
  <c r="CW74" i="3"/>
  <c r="CX74" i="3"/>
  <c r="CY74" i="3"/>
  <c r="CZ74" i="3"/>
  <c r="CU75" i="3"/>
  <c r="CV75" i="3"/>
  <c r="CW75" i="3"/>
  <c r="CX75" i="3"/>
  <c r="CY75" i="3"/>
  <c r="CZ75" i="3"/>
  <c r="CU76" i="3"/>
  <c r="CV76" i="3"/>
  <c r="CW76" i="3"/>
  <c r="CX76" i="3"/>
  <c r="CY76" i="3"/>
  <c r="CZ76" i="3"/>
  <c r="CU77" i="3"/>
  <c r="CV77" i="3"/>
  <c r="CW77" i="3"/>
  <c r="CX77" i="3"/>
  <c r="CY77" i="3"/>
  <c r="CZ77" i="3"/>
  <c r="CU78" i="3"/>
  <c r="CV78" i="3"/>
  <c r="CW78" i="3"/>
  <c r="CX78" i="3"/>
  <c r="CY78" i="3"/>
  <c r="CZ78" i="3"/>
  <c r="CU79" i="3"/>
  <c r="CV79" i="3"/>
  <c r="CW79" i="3"/>
  <c r="CX79" i="3"/>
  <c r="CY79" i="3"/>
  <c r="CZ79" i="3"/>
  <c r="CU80" i="3"/>
  <c r="CV80" i="3"/>
  <c r="CW80" i="3"/>
  <c r="CX80" i="3"/>
  <c r="CY80" i="3"/>
  <c r="CZ80" i="3"/>
  <c r="CU81" i="3"/>
  <c r="CV81" i="3"/>
  <c r="CW81" i="3"/>
  <c r="CX81" i="3"/>
  <c r="CY81" i="3"/>
  <c r="CZ81" i="3"/>
  <c r="CU82" i="3"/>
  <c r="CV82" i="3"/>
  <c r="CW82" i="3"/>
  <c r="CX82" i="3"/>
  <c r="CY82" i="3"/>
  <c r="CZ82" i="3"/>
  <c r="CU83" i="3"/>
  <c r="CV83" i="3"/>
  <c r="CW83" i="3"/>
  <c r="CX83" i="3"/>
  <c r="CY83" i="3"/>
  <c r="CZ83" i="3"/>
  <c r="CU84" i="3"/>
  <c r="CV84" i="3"/>
  <c r="CW84" i="3"/>
  <c r="CX84" i="3"/>
  <c r="CY84" i="3"/>
  <c r="CZ84" i="3"/>
  <c r="CU85" i="3"/>
  <c r="CV85" i="3"/>
  <c r="CW85" i="3"/>
  <c r="CX85" i="3"/>
  <c r="CY85" i="3"/>
  <c r="CZ85" i="3"/>
  <c r="CU86" i="3"/>
  <c r="CV86" i="3"/>
  <c r="CW86" i="3"/>
  <c r="CX86" i="3"/>
  <c r="CY86" i="3"/>
  <c r="CZ86" i="3"/>
  <c r="CU87" i="3"/>
  <c r="CV87" i="3"/>
  <c r="CW87" i="3"/>
  <c r="CX87" i="3"/>
  <c r="CY87" i="3"/>
  <c r="CZ87" i="3"/>
  <c r="CU88" i="3"/>
  <c r="CV88" i="3"/>
  <c r="CW88" i="3"/>
  <c r="CX88" i="3"/>
  <c r="CY88" i="3"/>
  <c r="CZ88" i="3"/>
  <c r="CU89" i="3"/>
  <c r="CV89" i="3"/>
  <c r="CW89" i="3"/>
  <c r="CX89" i="3"/>
  <c r="CY89" i="3"/>
  <c r="CZ89" i="3"/>
  <c r="CU90" i="3"/>
  <c r="CV90" i="3"/>
  <c r="CW90" i="3"/>
  <c r="CX90" i="3"/>
  <c r="CY90" i="3"/>
  <c r="CZ90" i="3"/>
  <c r="CU91" i="3"/>
  <c r="CV91" i="3"/>
  <c r="CW91" i="3"/>
  <c r="CX91" i="3"/>
  <c r="CY91" i="3"/>
  <c r="CZ91" i="3"/>
  <c r="CU92" i="3"/>
  <c r="CV92" i="3"/>
  <c r="CW92" i="3"/>
  <c r="CX92" i="3"/>
  <c r="CY92" i="3"/>
  <c r="CZ92" i="3"/>
  <c r="CU93" i="3"/>
  <c r="CV93" i="3"/>
  <c r="CW93" i="3"/>
  <c r="CX93" i="3"/>
  <c r="CY93" i="3"/>
  <c r="CZ93" i="3"/>
  <c r="CU94" i="3"/>
  <c r="CV94" i="3"/>
  <c r="CW94" i="3"/>
  <c r="CX94" i="3"/>
  <c r="CY94" i="3"/>
  <c r="CZ94" i="3"/>
  <c r="CU95" i="3"/>
  <c r="CV95" i="3"/>
  <c r="CW95" i="3"/>
  <c r="CX95" i="3"/>
  <c r="CY95" i="3"/>
  <c r="CZ95" i="3"/>
  <c r="CU96" i="3"/>
  <c r="CV96" i="3"/>
  <c r="CW96" i="3"/>
  <c r="CX96" i="3"/>
  <c r="CY96" i="3"/>
  <c r="CZ96" i="3"/>
  <c r="CU97" i="3"/>
  <c r="CV97" i="3"/>
  <c r="CW97" i="3"/>
  <c r="CX97" i="3"/>
  <c r="CY97" i="3"/>
  <c r="CZ97" i="3"/>
  <c r="CU98" i="3"/>
  <c r="CV98" i="3"/>
  <c r="CW98" i="3"/>
  <c r="CX98" i="3"/>
  <c r="CY98" i="3"/>
  <c r="CZ98" i="3"/>
  <c r="CU99" i="3"/>
  <c r="CV99" i="3"/>
  <c r="CW99" i="3"/>
  <c r="CX99" i="3"/>
  <c r="CY99" i="3"/>
  <c r="CZ99" i="3"/>
  <c r="CU100" i="3"/>
  <c r="CV100" i="3"/>
  <c r="CW100" i="3"/>
  <c r="CX100" i="3"/>
  <c r="CY100" i="3"/>
  <c r="CZ100" i="3"/>
  <c r="CU101" i="3"/>
  <c r="CV101" i="3"/>
  <c r="CW101" i="3"/>
  <c r="CX101" i="3"/>
  <c r="CY101" i="3"/>
  <c r="CZ101" i="3"/>
  <c r="CU102" i="3"/>
  <c r="CV102" i="3"/>
  <c r="CW102" i="3"/>
  <c r="CX102" i="3"/>
  <c r="CY102" i="3"/>
  <c r="CZ102" i="3"/>
  <c r="CU103" i="3"/>
  <c r="CV103" i="3"/>
  <c r="CW103" i="3"/>
  <c r="CX103" i="3"/>
  <c r="CY103" i="3"/>
  <c r="CZ103" i="3"/>
  <c r="CV5" i="3"/>
  <c r="CW5" i="3"/>
  <c r="CX5" i="3"/>
  <c r="CY5" i="3"/>
  <c r="CZ5" i="3"/>
  <c r="CU5" i="3"/>
  <c r="DB7" i="3"/>
  <c r="DC7" i="3"/>
  <c r="DD7" i="3"/>
  <c r="DE7" i="3"/>
  <c r="DF7" i="3"/>
  <c r="DG7" i="3"/>
  <c r="DB8" i="3"/>
  <c r="DC8" i="3"/>
  <c r="DD8" i="3"/>
  <c r="DE8" i="3"/>
  <c r="DF8" i="3"/>
  <c r="DG8" i="3"/>
  <c r="DB9" i="3"/>
  <c r="DC9" i="3"/>
  <c r="DD9" i="3"/>
  <c r="DE9" i="3"/>
  <c r="DF9" i="3"/>
  <c r="DG9" i="3"/>
  <c r="DB10" i="3"/>
  <c r="DC10" i="3"/>
  <c r="DD10" i="3"/>
  <c r="DE10" i="3"/>
  <c r="DF10" i="3"/>
  <c r="DG10" i="3"/>
  <c r="DB11" i="3"/>
  <c r="DC11" i="3"/>
  <c r="DD11" i="3"/>
  <c r="DE11" i="3"/>
  <c r="DF11" i="3"/>
  <c r="DG11" i="3"/>
  <c r="DB12" i="3"/>
  <c r="DC12" i="3"/>
  <c r="DD12" i="3"/>
  <c r="DE12" i="3"/>
  <c r="DF12" i="3"/>
  <c r="DG12" i="3"/>
  <c r="DB13" i="3"/>
  <c r="DC13" i="3"/>
  <c r="DD13" i="3"/>
  <c r="DE13" i="3"/>
  <c r="DF13" i="3"/>
  <c r="DG13" i="3"/>
  <c r="DB14" i="3"/>
  <c r="DC14" i="3"/>
  <c r="DD14" i="3"/>
  <c r="DE14" i="3"/>
  <c r="DF14" i="3"/>
  <c r="DG14" i="3"/>
  <c r="DB15" i="3"/>
  <c r="DC15" i="3"/>
  <c r="DD15" i="3"/>
  <c r="DE15" i="3"/>
  <c r="DF15" i="3"/>
  <c r="DG15" i="3"/>
  <c r="DB16" i="3"/>
  <c r="DC16" i="3"/>
  <c r="DD16" i="3"/>
  <c r="DE16" i="3"/>
  <c r="DF16" i="3"/>
  <c r="DG16" i="3"/>
  <c r="DB17" i="3"/>
  <c r="DC17" i="3"/>
  <c r="DD17" i="3"/>
  <c r="DE17" i="3"/>
  <c r="DF17" i="3"/>
  <c r="DG17" i="3"/>
  <c r="DB18" i="3"/>
  <c r="DC18" i="3"/>
  <c r="DD18" i="3"/>
  <c r="DE18" i="3"/>
  <c r="DF18" i="3"/>
  <c r="DG18" i="3"/>
  <c r="DB19" i="3"/>
  <c r="DC19" i="3"/>
  <c r="DD19" i="3"/>
  <c r="DE19" i="3"/>
  <c r="DF19" i="3"/>
  <c r="DG19" i="3"/>
  <c r="DB20" i="3"/>
  <c r="DC20" i="3"/>
  <c r="DD20" i="3"/>
  <c r="DE20" i="3"/>
  <c r="DF20" i="3"/>
  <c r="DG20" i="3"/>
  <c r="DB21" i="3"/>
  <c r="DC21" i="3"/>
  <c r="DD21" i="3"/>
  <c r="DE21" i="3"/>
  <c r="DF21" i="3"/>
  <c r="DG21" i="3"/>
  <c r="DB22" i="3"/>
  <c r="DC22" i="3"/>
  <c r="DD22" i="3"/>
  <c r="DE22" i="3"/>
  <c r="DF22" i="3"/>
  <c r="DG22" i="3"/>
  <c r="DB23" i="3"/>
  <c r="DC23" i="3"/>
  <c r="DD23" i="3"/>
  <c r="DE23" i="3"/>
  <c r="DF23" i="3"/>
  <c r="DG23" i="3"/>
  <c r="DB24" i="3"/>
  <c r="DC24" i="3"/>
  <c r="DD24" i="3"/>
  <c r="DE24" i="3"/>
  <c r="DF24" i="3"/>
  <c r="DG24" i="3"/>
  <c r="DB25" i="3"/>
  <c r="DC25" i="3"/>
  <c r="DD25" i="3"/>
  <c r="DE25" i="3"/>
  <c r="DF25" i="3"/>
  <c r="DG25" i="3"/>
  <c r="DB26" i="3"/>
  <c r="DC26" i="3"/>
  <c r="DD26" i="3"/>
  <c r="DE26" i="3"/>
  <c r="DF26" i="3"/>
  <c r="DG26" i="3"/>
  <c r="DB27" i="3"/>
  <c r="DC27" i="3"/>
  <c r="DD27" i="3"/>
  <c r="DE27" i="3"/>
  <c r="DF27" i="3"/>
  <c r="DG27" i="3"/>
  <c r="DB28" i="3"/>
  <c r="DC28" i="3"/>
  <c r="DD28" i="3"/>
  <c r="DE28" i="3"/>
  <c r="DF28" i="3"/>
  <c r="DG28" i="3"/>
  <c r="DB29" i="3"/>
  <c r="DC29" i="3"/>
  <c r="DD29" i="3"/>
  <c r="DE29" i="3"/>
  <c r="DF29" i="3"/>
  <c r="DG29" i="3"/>
  <c r="DB30" i="3"/>
  <c r="DC30" i="3"/>
  <c r="DD30" i="3"/>
  <c r="DE30" i="3"/>
  <c r="DF30" i="3"/>
  <c r="DG30" i="3"/>
  <c r="DB31" i="3"/>
  <c r="DC31" i="3"/>
  <c r="DD31" i="3"/>
  <c r="DE31" i="3"/>
  <c r="DF31" i="3"/>
  <c r="DG31" i="3"/>
  <c r="DB32" i="3"/>
  <c r="DC32" i="3"/>
  <c r="DD32" i="3"/>
  <c r="DE32" i="3"/>
  <c r="DF32" i="3"/>
  <c r="DG32" i="3"/>
  <c r="DB33" i="3"/>
  <c r="DC33" i="3"/>
  <c r="DD33" i="3"/>
  <c r="DE33" i="3"/>
  <c r="DF33" i="3"/>
  <c r="DG33" i="3"/>
  <c r="DB34" i="3"/>
  <c r="DC34" i="3"/>
  <c r="DD34" i="3"/>
  <c r="DE34" i="3"/>
  <c r="DF34" i="3"/>
  <c r="DG34" i="3"/>
  <c r="DB35" i="3"/>
  <c r="DC35" i="3"/>
  <c r="DD35" i="3"/>
  <c r="DE35" i="3"/>
  <c r="DF35" i="3"/>
  <c r="DG35" i="3"/>
  <c r="DB36" i="3"/>
  <c r="DC36" i="3"/>
  <c r="DD36" i="3"/>
  <c r="DE36" i="3"/>
  <c r="DF36" i="3"/>
  <c r="DG36" i="3"/>
  <c r="DB37" i="3"/>
  <c r="DC37" i="3"/>
  <c r="DD37" i="3"/>
  <c r="DE37" i="3"/>
  <c r="DF37" i="3"/>
  <c r="DG37" i="3"/>
  <c r="DB38" i="3"/>
  <c r="DC38" i="3"/>
  <c r="DD38" i="3"/>
  <c r="DE38" i="3"/>
  <c r="DF38" i="3"/>
  <c r="DG38" i="3"/>
  <c r="DB39" i="3"/>
  <c r="DC39" i="3"/>
  <c r="DD39" i="3"/>
  <c r="DE39" i="3"/>
  <c r="DF39" i="3"/>
  <c r="DG39" i="3"/>
  <c r="DB40" i="3"/>
  <c r="DC40" i="3"/>
  <c r="DD40" i="3"/>
  <c r="DE40" i="3"/>
  <c r="DF40" i="3"/>
  <c r="DG40" i="3"/>
  <c r="DB41" i="3"/>
  <c r="DC41" i="3"/>
  <c r="DD41" i="3"/>
  <c r="DE41" i="3"/>
  <c r="DF41" i="3"/>
  <c r="DG41" i="3"/>
  <c r="DB42" i="3"/>
  <c r="DC42" i="3"/>
  <c r="DD42" i="3"/>
  <c r="DE42" i="3"/>
  <c r="DF42" i="3"/>
  <c r="DG42" i="3"/>
  <c r="DB43" i="3"/>
  <c r="DC43" i="3"/>
  <c r="DD43" i="3"/>
  <c r="DE43" i="3"/>
  <c r="DF43" i="3"/>
  <c r="DG43" i="3"/>
  <c r="DB44" i="3"/>
  <c r="DC44" i="3"/>
  <c r="DD44" i="3"/>
  <c r="DE44" i="3"/>
  <c r="DF44" i="3"/>
  <c r="DG44" i="3"/>
  <c r="DB45" i="3"/>
  <c r="DC45" i="3"/>
  <c r="DD45" i="3"/>
  <c r="DE45" i="3"/>
  <c r="DF45" i="3"/>
  <c r="DG45" i="3"/>
  <c r="DB46" i="3"/>
  <c r="DC46" i="3"/>
  <c r="DD46" i="3"/>
  <c r="DE46" i="3"/>
  <c r="DF46" i="3"/>
  <c r="DG46" i="3"/>
  <c r="DB47" i="3"/>
  <c r="DC47" i="3"/>
  <c r="DD47" i="3"/>
  <c r="DE47" i="3"/>
  <c r="DF47" i="3"/>
  <c r="DG47" i="3"/>
  <c r="DB48" i="3"/>
  <c r="DC48" i="3"/>
  <c r="DD48" i="3"/>
  <c r="DE48" i="3"/>
  <c r="DF48" i="3"/>
  <c r="DG48" i="3"/>
  <c r="DB49" i="3"/>
  <c r="DC49" i="3"/>
  <c r="DD49" i="3"/>
  <c r="DE49" i="3"/>
  <c r="DF49" i="3"/>
  <c r="DG49" i="3"/>
  <c r="DB50" i="3"/>
  <c r="DC50" i="3"/>
  <c r="DD50" i="3"/>
  <c r="DE50" i="3"/>
  <c r="DF50" i="3"/>
  <c r="DG50" i="3"/>
  <c r="DB51" i="3"/>
  <c r="DC51" i="3"/>
  <c r="DD51" i="3"/>
  <c r="DE51" i="3"/>
  <c r="DF51" i="3"/>
  <c r="DG51" i="3"/>
  <c r="DB52" i="3"/>
  <c r="DC52" i="3"/>
  <c r="DD52" i="3"/>
  <c r="DE52" i="3"/>
  <c r="DF52" i="3"/>
  <c r="DG52" i="3"/>
  <c r="DB53" i="3"/>
  <c r="DC53" i="3"/>
  <c r="DD53" i="3"/>
  <c r="DE53" i="3"/>
  <c r="DF53" i="3"/>
  <c r="DG53" i="3"/>
  <c r="DB54" i="3"/>
  <c r="DC54" i="3"/>
  <c r="DD54" i="3"/>
  <c r="DE54" i="3"/>
  <c r="DF54" i="3"/>
  <c r="DG54" i="3"/>
  <c r="DB55" i="3"/>
  <c r="DC55" i="3"/>
  <c r="DD55" i="3"/>
  <c r="DE55" i="3"/>
  <c r="DF55" i="3"/>
  <c r="DG55" i="3"/>
  <c r="DB56" i="3"/>
  <c r="DC56" i="3"/>
  <c r="DD56" i="3"/>
  <c r="DE56" i="3"/>
  <c r="DF56" i="3"/>
  <c r="DG56" i="3"/>
  <c r="DB57" i="3"/>
  <c r="DC57" i="3"/>
  <c r="DD57" i="3"/>
  <c r="DE57" i="3"/>
  <c r="DF57" i="3"/>
  <c r="DG57" i="3"/>
  <c r="DB58" i="3"/>
  <c r="DC58" i="3"/>
  <c r="DD58" i="3"/>
  <c r="DE58" i="3"/>
  <c r="DF58" i="3"/>
  <c r="DG58" i="3"/>
  <c r="DB59" i="3"/>
  <c r="DC59" i="3"/>
  <c r="DD59" i="3"/>
  <c r="DE59" i="3"/>
  <c r="DF59" i="3"/>
  <c r="DG59" i="3"/>
  <c r="DB60" i="3"/>
  <c r="DC60" i="3"/>
  <c r="DD60" i="3"/>
  <c r="DE60" i="3"/>
  <c r="DF60" i="3"/>
  <c r="DG60" i="3"/>
  <c r="DB61" i="3"/>
  <c r="DC61" i="3"/>
  <c r="DD61" i="3"/>
  <c r="DE61" i="3"/>
  <c r="DF61" i="3"/>
  <c r="DG61" i="3"/>
  <c r="DB62" i="3"/>
  <c r="DC62" i="3"/>
  <c r="DD62" i="3"/>
  <c r="DE62" i="3"/>
  <c r="DF62" i="3"/>
  <c r="DG62" i="3"/>
  <c r="DB63" i="3"/>
  <c r="DC63" i="3"/>
  <c r="DD63" i="3"/>
  <c r="DE63" i="3"/>
  <c r="DF63" i="3"/>
  <c r="DG63" i="3"/>
  <c r="DB64" i="3"/>
  <c r="DC64" i="3"/>
  <c r="DD64" i="3"/>
  <c r="DE64" i="3"/>
  <c r="DF64" i="3"/>
  <c r="DG64" i="3"/>
  <c r="DB65" i="3"/>
  <c r="DC65" i="3"/>
  <c r="DD65" i="3"/>
  <c r="DE65" i="3"/>
  <c r="DF65" i="3"/>
  <c r="DG65" i="3"/>
  <c r="DB66" i="3"/>
  <c r="DC66" i="3"/>
  <c r="DD66" i="3"/>
  <c r="DE66" i="3"/>
  <c r="DF66" i="3"/>
  <c r="DG66" i="3"/>
  <c r="DB67" i="3"/>
  <c r="DC67" i="3"/>
  <c r="DD67" i="3"/>
  <c r="DE67" i="3"/>
  <c r="DF67" i="3"/>
  <c r="DG67" i="3"/>
  <c r="DB68" i="3"/>
  <c r="DC68" i="3"/>
  <c r="DD68" i="3"/>
  <c r="DE68" i="3"/>
  <c r="DF68" i="3"/>
  <c r="DG68" i="3"/>
  <c r="DB69" i="3"/>
  <c r="DC69" i="3"/>
  <c r="DD69" i="3"/>
  <c r="DE69" i="3"/>
  <c r="DF69" i="3"/>
  <c r="DG69" i="3"/>
  <c r="DB70" i="3"/>
  <c r="DC70" i="3"/>
  <c r="DD70" i="3"/>
  <c r="DE70" i="3"/>
  <c r="DF70" i="3"/>
  <c r="DG70" i="3"/>
  <c r="DB71" i="3"/>
  <c r="DC71" i="3"/>
  <c r="DD71" i="3"/>
  <c r="DE71" i="3"/>
  <c r="DF71" i="3"/>
  <c r="DG71" i="3"/>
  <c r="DB72" i="3"/>
  <c r="DC72" i="3"/>
  <c r="DD72" i="3"/>
  <c r="DE72" i="3"/>
  <c r="DF72" i="3"/>
  <c r="DG72" i="3"/>
  <c r="DB73" i="3"/>
  <c r="DC73" i="3"/>
  <c r="DD73" i="3"/>
  <c r="DE73" i="3"/>
  <c r="DF73" i="3"/>
  <c r="DG73" i="3"/>
  <c r="DB74" i="3"/>
  <c r="DC74" i="3"/>
  <c r="DD74" i="3"/>
  <c r="DE74" i="3"/>
  <c r="DF74" i="3"/>
  <c r="DG74" i="3"/>
  <c r="DB75" i="3"/>
  <c r="DC75" i="3"/>
  <c r="DD75" i="3"/>
  <c r="DE75" i="3"/>
  <c r="DF75" i="3"/>
  <c r="DG75" i="3"/>
  <c r="DB76" i="3"/>
  <c r="DC76" i="3"/>
  <c r="DD76" i="3"/>
  <c r="DE76" i="3"/>
  <c r="DF76" i="3"/>
  <c r="DG76" i="3"/>
  <c r="DB77" i="3"/>
  <c r="DC77" i="3"/>
  <c r="DD77" i="3"/>
  <c r="DE77" i="3"/>
  <c r="DF77" i="3"/>
  <c r="DG77" i="3"/>
  <c r="DB78" i="3"/>
  <c r="DC78" i="3"/>
  <c r="DD78" i="3"/>
  <c r="DE78" i="3"/>
  <c r="DF78" i="3"/>
  <c r="DG78" i="3"/>
  <c r="DB79" i="3"/>
  <c r="DC79" i="3"/>
  <c r="DD79" i="3"/>
  <c r="DE79" i="3"/>
  <c r="DF79" i="3"/>
  <c r="DG79" i="3"/>
  <c r="DB80" i="3"/>
  <c r="DC80" i="3"/>
  <c r="DD80" i="3"/>
  <c r="DE80" i="3"/>
  <c r="DF80" i="3"/>
  <c r="DG80" i="3"/>
  <c r="DB81" i="3"/>
  <c r="DC81" i="3"/>
  <c r="DD81" i="3"/>
  <c r="DE81" i="3"/>
  <c r="DF81" i="3"/>
  <c r="DG81" i="3"/>
  <c r="DB82" i="3"/>
  <c r="DC82" i="3"/>
  <c r="DD82" i="3"/>
  <c r="DE82" i="3"/>
  <c r="DF82" i="3"/>
  <c r="DG82" i="3"/>
  <c r="DB83" i="3"/>
  <c r="DC83" i="3"/>
  <c r="DD83" i="3"/>
  <c r="DE83" i="3"/>
  <c r="DF83" i="3"/>
  <c r="DG83" i="3"/>
  <c r="DB84" i="3"/>
  <c r="DC84" i="3"/>
  <c r="DD84" i="3"/>
  <c r="DE84" i="3"/>
  <c r="DF84" i="3"/>
  <c r="DG84" i="3"/>
  <c r="DB85" i="3"/>
  <c r="DC85" i="3"/>
  <c r="DD85" i="3"/>
  <c r="DE85" i="3"/>
  <c r="DF85" i="3"/>
  <c r="DG85" i="3"/>
  <c r="DB86" i="3"/>
  <c r="DC86" i="3"/>
  <c r="DD86" i="3"/>
  <c r="DE86" i="3"/>
  <c r="DF86" i="3"/>
  <c r="DG86" i="3"/>
  <c r="DB87" i="3"/>
  <c r="DC87" i="3"/>
  <c r="DD87" i="3"/>
  <c r="DE87" i="3"/>
  <c r="DF87" i="3"/>
  <c r="DG87" i="3"/>
  <c r="DB88" i="3"/>
  <c r="DC88" i="3"/>
  <c r="DD88" i="3"/>
  <c r="DE88" i="3"/>
  <c r="DF88" i="3"/>
  <c r="DG88" i="3"/>
  <c r="DB89" i="3"/>
  <c r="DC89" i="3"/>
  <c r="DD89" i="3"/>
  <c r="DE89" i="3"/>
  <c r="DF89" i="3"/>
  <c r="DG89" i="3"/>
  <c r="DB90" i="3"/>
  <c r="DC90" i="3"/>
  <c r="DD90" i="3"/>
  <c r="DE90" i="3"/>
  <c r="DF90" i="3"/>
  <c r="DG90" i="3"/>
  <c r="DB91" i="3"/>
  <c r="DC91" i="3"/>
  <c r="DD91" i="3"/>
  <c r="DE91" i="3"/>
  <c r="DF91" i="3"/>
  <c r="DG91" i="3"/>
  <c r="DB92" i="3"/>
  <c r="DC92" i="3"/>
  <c r="DD92" i="3"/>
  <c r="DE92" i="3"/>
  <c r="DF92" i="3"/>
  <c r="DG92" i="3"/>
  <c r="DB93" i="3"/>
  <c r="DC93" i="3"/>
  <c r="DD93" i="3"/>
  <c r="DE93" i="3"/>
  <c r="DF93" i="3"/>
  <c r="DG93" i="3"/>
  <c r="DB94" i="3"/>
  <c r="DC94" i="3"/>
  <c r="DD94" i="3"/>
  <c r="DE94" i="3"/>
  <c r="DF94" i="3"/>
  <c r="DG94" i="3"/>
  <c r="DB95" i="3"/>
  <c r="DC95" i="3"/>
  <c r="DD95" i="3"/>
  <c r="DE95" i="3"/>
  <c r="DF95" i="3"/>
  <c r="DG95" i="3"/>
  <c r="DB96" i="3"/>
  <c r="DC96" i="3"/>
  <c r="DD96" i="3"/>
  <c r="DE96" i="3"/>
  <c r="DF96" i="3"/>
  <c r="DG96" i="3"/>
  <c r="DB97" i="3"/>
  <c r="DC97" i="3"/>
  <c r="DD97" i="3"/>
  <c r="DE97" i="3"/>
  <c r="DF97" i="3"/>
  <c r="DG97" i="3"/>
  <c r="DB98" i="3"/>
  <c r="DC98" i="3"/>
  <c r="DD98" i="3"/>
  <c r="DE98" i="3"/>
  <c r="DF98" i="3"/>
  <c r="DG98" i="3"/>
  <c r="DB99" i="3"/>
  <c r="DC99" i="3"/>
  <c r="DD99" i="3"/>
  <c r="DE99" i="3"/>
  <c r="DF99" i="3"/>
  <c r="DG99" i="3"/>
  <c r="DB100" i="3"/>
  <c r="DC100" i="3"/>
  <c r="DD100" i="3"/>
  <c r="DE100" i="3"/>
  <c r="DF100" i="3"/>
  <c r="DG100" i="3"/>
  <c r="DB101" i="3"/>
  <c r="DC101" i="3"/>
  <c r="DD101" i="3"/>
  <c r="DE101" i="3"/>
  <c r="DF101" i="3"/>
  <c r="DG101" i="3"/>
  <c r="DB102" i="3"/>
  <c r="DC102" i="3"/>
  <c r="DD102" i="3"/>
  <c r="DE102" i="3"/>
  <c r="DF102" i="3"/>
  <c r="DG102" i="3"/>
  <c r="DB103" i="3"/>
  <c r="DC103" i="3"/>
  <c r="DD103" i="3"/>
  <c r="DE103" i="3"/>
  <c r="DF103" i="3"/>
  <c r="DG103" i="3"/>
  <c r="DD6" i="3"/>
  <c r="DE6" i="3"/>
  <c r="DF6" i="3"/>
  <c r="DG6" i="3"/>
  <c r="DC6" i="3"/>
  <c r="DB6" i="3"/>
  <c r="DD5" i="3"/>
  <c r="DE5" i="3"/>
  <c r="DF5" i="3"/>
  <c r="DG5" i="3"/>
  <c r="DC5" i="3"/>
  <c r="DB5" i="3"/>
  <c r="DI30" i="3"/>
  <c r="DI31" i="3"/>
  <c r="DI32" i="3"/>
  <c r="DI33" i="3"/>
  <c r="DI34" i="3"/>
  <c r="DI35" i="3"/>
  <c r="DI36" i="3"/>
  <c r="DI37" i="3"/>
  <c r="DI38" i="3"/>
  <c r="DI39" i="3"/>
  <c r="DI40" i="3"/>
  <c r="DI41" i="3"/>
  <c r="DI42" i="3"/>
  <c r="DI43" i="3"/>
  <c r="DI44" i="3"/>
  <c r="DI45" i="3"/>
  <c r="DI46" i="3"/>
  <c r="DI47" i="3"/>
  <c r="DI48" i="3"/>
  <c r="DI49" i="3"/>
  <c r="DI50" i="3"/>
  <c r="DI51" i="3"/>
  <c r="DI52" i="3"/>
  <c r="DI53" i="3"/>
  <c r="DI54" i="3"/>
  <c r="DI55" i="3"/>
  <c r="DI56" i="3"/>
  <c r="DI57" i="3"/>
  <c r="DI58" i="3"/>
  <c r="DI59" i="3"/>
  <c r="DI60" i="3"/>
  <c r="DI61" i="3"/>
  <c r="DI62" i="3"/>
  <c r="DI63" i="3"/>
  <c r="DI64" i="3"/>
  <c r="DI65" i="3"/>
  <c r="DI66" i="3"/>
  <c r="DI67" i="3"/>
  <c r="DI68" i="3"/>
  <c r="DI69" i="3"/>
  <c r="DI70" i="3"/>
  <c r="DI71" i="3"/>
  <c r="DI72" i="3"/>
  <c r="DI73" i="3"/>
  <c r="DI74" i="3"/>
  <c r="DI75" i="3"/>
  <c r="DI76" i="3"/>
  <c r="DI77" i="3"/>
  <c r="DI78" i="3"/>
  <c r="DI79" i="3"/>
  <c r="DI80" i="3"/>
  <c r="DI81" i="3"/>
  <c r="DI82" i="3"/>
  <c r="DI83" i="3"/>
  <c r="DI84" i="3"/>
  <c r="DI85" i="3"/>
  <c r="DI86" i="3"/>
  <c r="DI87" i="3"/>
  <c r="DI88" i="3"/>
  <c r="DI89" i="3"/>
  <c r="DI90" i="3"/>
  <c r="DI91" i="3"/>
  <c r="DI92" i="3"/>
  <c r="DI93" i="3"/>
  <c r="DI94" i="3"/>
  <c r="DI95" i="3"/>
  <c r="DI96" i="3"/>
  <c r="DI97" i="3"/>
  <c r="DI98" i="3"/>
  <c r="DI99" i="3"/>
  <c r="DI100" i="3"/>
  <c r="DI101" i="3"/>
  <c r="DI102" i="3"/>
  <c r="DI103" i="3"/>
  <c r="DI6" i="3"/>
  <c r="DI7" i="3"/>
  <c r="DI8" i="3"/>
  <c r="DI9" i="3"/>
  <c r="DI10" i="3"/>
  <c r="DI11" i="3"/>
  <c r="DI12" i="3"/>
  <c r="DI13" i="3"/>
  <c r="DI14" i="3"/>
  <c r="DI15" i="3"/>
  <c r="DI16" i="3"/>
  <c r="DI17" i="3"/>
  <c r="DI18" i="3"/>
  <c r="DI19" i="3"/>
  <c r="DI20" i="3"/>
  <c r="DI21" i="3"/>
  <c r="DI22" i="3"/>
  <c r="DI23" i="3"/>
  <c r="DI24" i="3"/>
  <c r="DI25" i="3"/>
  <c r="DI26" i="3"/>
  <c r="DI27" i="3"/>
  <c r="DI28" i="3"/>
  <c r="DI29" i="3"/>
  <c r="DI5" i="3"/>
  <c r="BX6" i="3"/>
  <c r="BX7" i="3"/>
  <c r="BX8" i="3"/>
  <c r="BX9" i="3"/>
  <c r="BX10" i="3"/>
  <c r="BX11" i="3"/>
  <c r="BX12" i="3"/>
  <c r="BX13" i="3"/>
  <c r="BX14" i="3"/>
  <c r="BX15" i="3"/>
  <c r="BX16" i="3"/>
  <c r="BX17" i="3"/>
  <c r="BX18" i="3"/>
  <c r="BX19" i="3"/>
  <c r="BX20" i="3"/>
  <c r="BX21" i="3"/>
  <c r="BX22" i="3"/>
  <c r="BX23" i="3"/>
  <c r="BX24" i="3"/>
  <c r="BX25" i="3"/>
  <c r="BX26" i="3"/>
  <c r="BX27" i="3"/>
  <c r="BX28" i="3"/>
  <c r="BX29" i="3"/>
  <c r="BX30" i="3"/>
  <c r="BX31" i="3"/>
  <c r="BX32" i="3"/>
  <c r="BX33" i="3"/>
  <c r="BX34" i="3"/>
  <c r="BX35" i="3"/>
  <c r="BX36" i="3"/>
  <c r="BX37" i="3"/>
  <c r="BX38" i="3"/>
  <c r="BX39" i="3"/>
  <c r="BX40" i="3"/>
  <c r="BX41" i="3"/>
  <c r="BX42" i="3"/>
  <c r="BX43" i="3"/>
  <c r="BX44" i="3"/>
  <c r="BX45" i="3"/>
  <c r="BX46" i="3"/>
  <c r="BX47" i="3"/>
  <c r="BX48" i="3"/>
  <c r="BX49" i="3"/>
  <c r="BX50" i="3"/>
  <c r="BX51" i="3"/>
  <c r="BX52" i="3"/>
  <c r="BX53" i="3"/>
  <c r="BX54" i="3"/>
  <c r="BX55" i="3"/>
  <c r="BX56" i="3"/>
  <c r="BX57" i="3"/>
  <c r="BX58" i="3"/>
  <c r="BX59" i="3"/>
  <c r="BX60" i="3"/>
  <c r="BX61" i="3"/>
  <c r="BX62" i="3"/>
  <c r="BX63" i="3"/>
  <c r="BX64" i="3"/>
  <c r="BX65" i="3"/>
  <c r="BX66" i="3"/>
  <c r="BX67" i="3"/>
  <c r="BX68" i="3"/>
  <c r="BX69" i="3"/>
  <c r="BX70" i="3"/>
  <c r="BX71" i="3"/>
  <c r="BX72" i="3"/>
  <c r="BX73" i="3"/>
  <c r="BX74" i="3"/>
  <c r="BX75" i="3"/>
  <c r="BX76" i="3"/>
  <c r="BX77" i="3"/>
  <c r="BX78" i="3"/>
  <c r="BX79" i="3"/>
  <c r="BX80" i="3"/>
  <c r="BX81" i="3"/>
  <c r="BX82" i="3"/>
  <c r="BX83" i="3"/>
  <c r="BX84" i="3"/>
  <c r="BX85" i="3"/>
  <c r="BX86" i="3"/>
  <c r="BX87" i="3"/>
  <c r="BX88" i="3"/>
  <c r="BX89" i="3"/>
  <c r="BX90" i="3"/>
  <c r="BX91" i="3"/>
  <c r="BX92" i="3"/>
  <c r="BX93" i="3"/>
  <c r="BX94" i="3"/>
  <c r="BX95" i="3"/>
  <c r="BX96" i="3"/>
  <c r="BX97" i="3"/>
  <c r="BX98" i="3"/>
  <c r="BX99" i="3"/>
  <c r="BX100" i="3"/>
  <c r="BX101" i="3"/>
  <c r="BX102" i="3"/>
  <c r="BX103" i="3"/>
  <c r="BW6" i="3"/>
  <c r="BW7" i="3"/>
  <c r="BW8" i="3"/>
  <c r="BW9" i="3"/>
  <c r="BW10" i="3"/>
  <c r="BW11" i="3"/>
  <c r="BW12" i="3"/>
  <c r="BW13" i="3"/>
  <c r="BW14" i="3"/>
  <c r="BW15" i="3"/>
  <c r="BW16" i="3"/>
  <c r="BW17" i="3"/>
  <c r="BW18" i="3"/>
  <c r="BW19" i="3"/>
  <c r="BW20" i="3"/>
  <c r="BW21" i="3"/>
  <c r="BW22" i="3"/>
  <c r="BW23" i="3"/>
  <c r="BW24" i="3"/>
  <c r="BW25" i="3"/>
  <c r="BW26" i="3"/>
  <c r="BW27" i="3"/>
  <c r="BW28" i="3"/>
  <c r="BW29" i="3"/>
  <c r="BW30" i="3"/>
  <c r="BW31" i="3"/>
  <c r="BW32" i="3"/>
  <c r="BW33" i="3"/>
  <c r="BW34" i="3"/>
  <c r="BW35" i="3"/>
  <c r="BW36" i="3"/>
  <c r="BW37" i="3"/>
  <c r="BW38" i="3"/>
  <c r="BW39" i="3"/>
  <c r="BW40" i="3"/>
  <c r="BW41" i="3"/>
  <c r="BW42" i="3"/>
  <c r="BW43" i="3"/>
  <c r="BW44" i="3"/>
  <c r="BW45" i="3"/>
  <c r="BW46" i="3"/>
  <c r="BW47" i="3"/>
  <c r="BW48" i="3"/>
  <c r="BW49" i="3"/>
  <c r="BW50" i="3"/>
  <c r="BW51" i="3"/>
  <c r="BW52" i="3"/>
  <c r="BW53" i="3"/>
  <c r="BW54" i="3"/>
  <c r="BW55" i="3"/>
  <c r="BW56" i="3"/>
  <c r="BW57" i="3"/>
  <c r="BW58" i="3"/>
  <c r="BW59" i="3"/>
  <c r="BW60" i="3"/>
  <c r="BW61" i="3"/>
  <c r="BW62" i="3"/>
  <c r="BW63" i="3"/>
  <c r="BW64" i="3"/>
  <c r="BW65" i="3"/>
  <c r="BW66" i="3"/>
  <c r="BW67" i="3"/>
  <c r="BW68" i="3"/>
  <c r="BW69" i="3"/>
  <c r="BW70" i="3"/>
  <c r="BW71" i="3"/>
  <c r="BW72" i="3"/>
  <c r="BW73" i="3"/>
  <c r="BW74" i="3"/>
  <c r="BW75" i="3"/>
  <c r="BW76" i="3"/>
  <c r="BW77" i="3"/>
  <c r="BW78" i="3"/>
  <c r="BW79" i="3"/>
  <c r="BW80" i="3"/>
  <c r="BW81" i="3"/>
  <c r="BW82" i="3"/>
  <c r="BW83" i="3"/>
  <c r="BW84" i="3"/>
  <c r="BW85" i="3"/>
  <c r="BW86" i="3"/>
  <c r="BW87" i="3"/>
  <c r="BW88" i="3"/>
  <c r="BW89" i="3"/>
  <c r="BW90" i="3"/>
  <c r="BW91" i="3"/>
  <c r="BW92" i="3"/>
  <c r="BW93" i="3"/>
  <c r="BW94" i="3"/>
  <c r="BW95" i="3"/>
  <c r="BW96" i="3"/>
  <c r="BW97" i="3"/>
  <c r="BW98" i="3"/>
  <c r="BW99" i="3"/>
  <c r="BW100" i="3"/>
  <c r="BW101" i="3"/>
  <c r="BW102" i="3"/>
  <c r="BW103" i="3"/>
  <c r="BV6" i="3"/>
  <c r="BV7" i="3"/>
  <c r="BV8" i="3"/>
  <c r="BV9" i="3"/>
  <c r="BV10" i="3"/>
  <c r="BV11" i="3"/>
  <c r="BV12" i="3"/>
  <c r="BV13" i="3"/>
  <c r="BV14" i="3"/>
  <c r="BV15" i="3"/>
  <c r="BV16" i="3"/>
  <c r="BV17" i="3"/>
  <c r="BV18" i="3"/>
  <c r="BV19" i="3"/>
  <c r="BV20" i="3"/>
  <c r="BV21" i="3"/>
  <c r="BV22" i="3"/>
  <c r="BV23" i="3"/>
  <c r="BV24" i="3"/>
  <c r="BV25" i="3"/>
  <c r="BV26" i="3"/>
  <c r="BV27" i="3"/>
  <c r="BV28" i="3"/>
  <c r="BV29" i="3"/>
  <c r="BV30" i="3"/>
  <c r="BV31" i="3"/>
  <c r="BV32" i="3"/>
  <c r="BV33" i="3"/>
  <c r="BV34" i="3"/>
  <c r="BV35" i="3"/>
  <c r="BV36" i="3"/>
  <c r="BV37" i="3"/>
  <c r="BV38" i="3"/>
  <c r="BV39" i="3"/>
  <c r="BV40" i="3"/>
  <c r="BV41" i="3"/>
  <c r="BV42" i="3"/>
  <c r="BV43" i="3"/>
  <c r="BV44" i="3"/>
  <c r="BV45" i="3"/>
  <c r="BV46" i="3"/>
  <c r="BV47" i="3"/>
  <c r="BV48" i="3"/>
  <c r="BV49" i="3"/>
  <c r="BV50" i="3"/>
  <c r="BV51" i="3"/>
  <c r="BV52" i="3"/>
  <c r="BV53" i="3"/>
  <c r="BV54" i="3"/>
  <c r="BV55" i="3"/>
  <c r="BV56" i="3"/>
  <c r="BV57" i="3"/>
  <c r="BV58" i="3"/>
  <c r="BV59" i="3"/>
  <c r="BV60" i="3"/>
  <c r="BV61" i="3"/>
  <c r="BV62" i="3"/>
  <c r="BV63" i="3"/>
  <c r="BV64" i="3"/>
  <c r="BV65" i="3"/>
  <c r="BV66" i="3"/>
  <c r="BV67" i="3"/>
  <c r="BV68" i="3"/>
  <c r="BV69" i="3"/>
  <c r="BV70" i="3"/>
  <c r="BV71" i="3"/>
  <c r="BV72" i="3"/>
  <c r="BV73" i="3"/>
  <c r="BV74" i="3"/>
  <c r="BV75" i="3"/>
  <c r="BV76" i="3"/>
  <c r="BV77" i="3"/>
  <c r="BV78" i="3"/>
  <c r="BV79" i="3"/>
  <c r="BV80" i="3"/>
  <c r="BV81" i="3"/>
  <c r="BV82" i="3"/>
  <c r="BV83" i="3"/>
  <c r="BV84" i="3"/>
  <c r="BV85" i="3"/>
  <c r="BV86" i="3"/>
  <c r="BV87" i="3"/>
  <c r="BV88" i="3"/>
  <c r="BV89" i="3"/>
  <c r="BV90" i="3"/>
  <c r="BV91" i="3"/>
  <c r="BV92" i="3"/>
  <c r="BV93" i="3"/>
  <c r="BV94" i="3"/>
  <c r="BV95" i="3"/>
  <c r="BV96" i="3"/>
  <c r="BV97" i="3"/>
  <c r="BV98" i="3"/>
  <c r="BV99" i="3"/>
  <c r="BV100" i="3"/>
  <c r="BV101" i="3"/>
  <c r="BV102" i="3"/>
  <c r="BV103" i="3"/>
  <c r="BU6" i="3"/>
  <c r="BU7" i="3"/>
  <c r="BU8" i="3"/>
  <c r="BU9" i="3"/>
  <c r="BU10" i="3"/>
  <c r="BU11" i="3"/>
  <c r="BU12" i="3"/>
  <c r="BU13" i="3"/>
  <c r="BU14" i="3"/>
  <c r="BU15" i="3"/>
  <c r="BU16" i="3"/>
  <c r="BU17" i="3"/>
  <c r="BU18" i="3"/>
  <c r="BU19" i="3"/>
  <c r="BU20" i="3"/>
  <c r="BU21" i="3"/>
  <c r="BU22" i="3"/>
  <c r="BU23" i="3"/>
  <c r="BU24" i="3"/>
  <c r="BU25" i="3"/>
  <c r="BU26" i="3"/>
  <c r="BU27" i="3"/>
  <c r="BU28" i="3"/>
  <c r="BU29" i="3"/>
  <c r="BU30" i="3"/>
  <c r="BU31" i="3"/>
  <c r="BU32" i="3"/>
  <c r="BU33" i="3"/>
  <c r="BU34" i="3"/>
  <c r="BU35" i="3"/>
  <c r="BU36" i="3"/>
  <c r="BU37" i="3"/>
  <c r="BU38" i="3"/>
  <c r="BU39" i="3"/>
  <c r="BU40" i="3"/>
  <c r="BU41" i="3"/>
  <c r="BU42" i="3"/>
  <c r="BU43" i="3"/>
  <c r="BU44" i="3"/>
  <c r="BU45" i="3"/>
  <c r="BU46" i="3"/>
  <c r="BU47" i="3"/>
  <c r="BU48" i="3"/>
  <c r="BU49" i="3"/>
  <c r="BU50" i="3"/>
  <c r="BU51" i="3"/>
  <c r="BU52" i="3"/>
  <c r="BU53" i="3"/>
  <c r="BU54" i="3"/>
  <c r="BU55" i="3"/>
  <c r="BU56" i="3"/>
  <c r="BU57" i="3"/>
  <c r="BU58" i="3"/>
  <c r="BU59" i="3"/>
  <c r="BU60" i="3"/>
  <c r="BU61" i="3"/>
  <c r="BU62" i="3"/>
  <c r="BU63" i="3"/>
  <c r="BU64" i="3"/>
  <c r="BU65" i="3"/>
  <c r="BU66" i="3"/>
  <c r="BU67" i="3"/>
  <c r="BU68" i="3"/>
  <c r="BU69" i="3"/>
  <c r="BU70" i="3"/>
  <c r="BU71" i="3"/>
  <c r="BU72" i="3"/>
  <c r="BU73" i="3"/>
  <c r="BU74" i="3"/>
  <c r="BU75" i="3"/>
  <c r="BU76" i="3"/>
  <c r="BU77" i="3"/>
  <c r="BU78" i="3"/>
  <c r="BU79" i="3"/>
  <c r="BU80" i="3"/>
  <c r="BU81" i="3"/>
  <c r="BU82" i="3"/>
  <c r="BU83" i="3"/>
  <c r="BU84" i="3"/>
  <c r="BU85" i="3"/>
  <c r="BU86" i="3"/>
  <c r="BU87" i="3"/>
  <c r="BU88" i="3"/>
  <c r="BU89" i="3"/>
  <c r="BU90" i="3"/>
  <c r="BU91" i="3"/>
  <c r="BU92" i="3"/>
  <c r="BU93" i="3"/>
  <c r="BU94" i="3"/>
  <c r="BU95" i="3"/>
  <c r="BU96" i="3"/>
  <c r="BU97" i="3"/>
  <c r="BU98" i="3"/>
  <c r="BU99" i="3"/>
  <c r="BU100" i="3"/>
  <c r="BU101" i="3"/>
  <c r="BU102" i="3"/>
  <c r="BU103" i="3"/>
  <c r="BU5" i="3"/>
  <c r="BV5" i="3"/>
  <c r="BW5" i="3"/>
  <c r="BX5" i="3"/>
  <c r="BT20" i="3"/>
  <c r="BT21" i="3"/>
  <c r="BT22" i="3"/>
  <c r="BT23" i="3"/>
  <c r="BT24" i="3"/>
  <c r="BT25" i="3"/>
  <c r="BT26" i="3"/>
  <c r="BT27" i="3"/>
  <c r="BT28" i="3"/>
  <c r="BT29" i="3"/>
  <c r="BT30" i="3"/>
  <c r="BT31" i="3"/>
  <c r="BT32" i="3"/>
  <c r="BT33" i="3"/>
  <c r="BT34" i="3"/>
  <c r="BT35" i="3"/>
  <c r="BT36" i="3"/>
  <c r="BT37" i="3"/>
  <c r="BT38" i="3"/>
  <c r="BT39" i="3"/>
  <c r="BT40" i="3"/>
  <c r="BT41" i="3"/>
  <c r="BT42" i="3"/>
  <c r="BT43" i="3"/>
  <c r="BT44" i="3"/>
  <c r="BT45" i="3"/>
  <c r="BT46" i="3"/>
  <c r="BT47" i="3"/>
  <c r="BT48" i="3"/>
  <c r="BT49" i="3"/>
  <c r="BT50" i="3"/>
  <c r="BT51" i="3"/>
  <c r="BT52" i="3"/>
  <c r="BT53" i="3"/>
  <c r="BT54" i="3"/>
  <c r="BT55" i="3"/>
  <c r="BT56" i="3"/>
  <c r="BT57" i="3"/>
  <c r="BT58" i="3"/>
  <c r="BT59" i="3"/>
  <c r="BT60" i="3"/>
  <c r="BT61" i="3"/>
  <c r="BT62" i="3"/>
  <c r="BT63" i="3"/>
  <c r="BT64" i="3"/>
  <c r="BT65" i="3"/>
  <c r="BT66" i="3"/>
  <c r="BT67" i="3"/>
  <c r="BT68" i="3"/>
  <c r="BT69" i="3"/>
  <c r="BT70" i="3"/>
  <c r="BT71" i="3"/>
  <c r="BT72" i="3"/>
  <c r="BT73" i="3"/>
  <c r="BT74" i="3"/>
  <c r="BT75" i="3"/>
  <c r="BT76" i="3"/>
  <c r="BT77" i="3"/>
  <c r="BT78" i="3"/>
  <c r="BT79" i="3"/>
  <c r="BT80" i="3"/>
  <c r="BT81" i="3"/>
  <c r="BT82" i="3"/>
  <c r="BT83" i="3"/>
  <c r="BT84" i="3"/>
  <c r="BT85" i="3"/>
  <c r="BT86" i="3"/>
  <c r="BT87" i="3"/>
  <c r="BT88" i="3"/>
  <c r="BT89" i="3"/>
  <c r="BT90" i="3"/>
  <c r="BT91" i="3"/>
  <c r="BT92" i="3"/>
  <c r="BT93" i="3"/>
  <c r="BT94" i="3"/>
  <c r="BT95" i="3"/>
  <c r="BT96" i="3"/>
  <c r="BT97" i="3"/>
  <c r="BT98" i="3"/>
  <c r="BT99" i="3"/>
  <c r="BT100" i="3"/>
  <c r="BT101" i="3"/>
  <c r="BT102" i="3"/>
  <c r="BT103" i="3"/>
  <c r="BT6" i="3"/>
  <c r="BT7" i="3"/>
  <c r="BT8" i="3"/>
  <c r="BT9" i="3"/>
  <c r="BT10" i="3"/>
  <c r="BT11" i="3"/>
  <c r="BT12" i="3"/>
  <c r="BT13" i="3"/>
  <c r="BT14" i="3"/>
  <c r="BT15" i="3"/>
  <c r="BT16" i="3"/>
  <c r="BT17" i="3"/>
  <c r="BT18" i="3"/>
  <c r="BT19" i="3"/>
  <c r="BT5" i="3"/>
  <c r="BS5" i="3"/>
  <c r="BS6" i="3"/>
  <c r="BS7" i="3"/>
  <c r="BS8" i="3"/>
  <c r="BS9" i="3"/>
  <c r="BS10" i="3"/>
  <c r="BS11" i="3"/>
  <c r="BS12" i="3"/>
  <c r="BS13" i="3"/>
  <c r="BS14" i="3"/>
  <c r="BS15" i="3"/>
  <c r="BS16" i="3"/>
  <c r="BS17" i="3"/>
  <c r="BS18" i="3"/>
  <c r="BS19" i="3"/>
  <c r="BS20" i="3"/>
  <c r="BS21" i="3"/>
  <c r="BS22" i="3"/>
  <c r="BS23" i="3"/>
  <c r="BS24" i="3"/>
  <c r="BS25" i="3"/>
  <c r="BS26" i="3"/>
  <c r="BS27" i="3"/>
  <c r="BS28" i="3"/>
  <c r="BS29" i="3"/>
  <c r="BS30" i="3"/>
  <c r="BS31" i="3"/>
  <c r="BS32" i="3"/>
  <c r="BS33" i="3"/>
  <c r="BS34" i="3"/>
  <c r="BS35" i="3"/>
  <c r="BS36" i="3"/>
  <c r="BS37" i="3"/>
  <c r="BS38" i="3"/>
  <c r="BS39" i="3"/>
  <c r="BS40" i="3"/>
  <c r="BS41" i="3"/>
  <c r="BS42" i="3"/>
  <c r="BS43" i="3"/>
  <c r="BS44" i="3"/>
  <c r="BS45" i="3"/>
  <c r="BS46" i="3"/>
  <c r="BS47" i="3"/>
  <c r="BS48" i="3"/>
  <c r="BS49" i="3"/>
  <c r="BS50" i="3"/>
  <c r="BS51" i="3"/>
  <c r="BS52" i="3"/>
  <c r="BS53" i="3"/>
  <c r="BS54" i="3"/>
  <c r="BS55" i="3"/>
  <c r="BS56" i="3"/>
  <c r="BS57" i="3"/>
  <c r="BS58" i="3"/>
  <c r="BS59" i="3"/>
  <c r="BS60" i="3"/>
  <c r="BS61" i="3"/>
  <c r="BS62" i="3"/>
  <c r="BS63" i="3"/>
  <c r="BS64" i="3"/>
  <c r="BS65" i="3"/>
  <c r="BS66" i="3"/>
  <c r="BS67" i="3"/>
  <c r="BS68" i="3"/>
  <c r="BS69" i="3"/>
  <c r="BS70" i="3"/>
  <c r="BS71" i="3"/>
  <c r="BS72" i="3"/>
  <c r="BS73" i="3"/>
  <c r="BS74" i="3"/>
  <c r="BS75" i="3"/>
  <c r="BS76" i="3"/>
  <c r="BS77" i="3"/>
  <c r="BS78" i="3"/>
  <c r="BS79" i="3"/>
  <c r="BS80" i="3"/>
  <c r="BS81" i="3"/>
  <c r="BS82" i="3"/>
  <c r="BS83" i="3"/>
  <c r="BS84" i="3"/>
  <c r="BS85" i="3"/>
  <c r="BS86" i="3"/>
  <c r="BS87" i="3"/>
  <c r="BS88" i="3"/>
  <c r="BS89" i="3"/>
  <c r="BS90" i="3"/>
  <c r="BS91" i="3"/>
  <c r="BS92" i="3"/>
  <c r="BS93" i="3"/>
  <c r="BS94" i="3"/>
  <c r="BS95" i="3"/>
  <c r="BS96" i="3"/>
  <c r="BS97" i="3"/>
  <c r="BS98" i="3"/>
  <c r="BS99" i="3"/>
  <c r="BS100" i="3"/>
  <c r="BS101" i="3"/>
  <c r="BS102" i="3"/>
  <c r="BS103" i="3"/>
  <c r="CN18" i="3"/>
  <c r="CO18" i="3"/>
  <c r="CP18" i="3"/>
  <c r="CQ18" i="3"/>
  <c r="CR18" i="3"/>
  <c r="CS18" i="3"/>
  <c r="CN19" i="3"/>
  <c r="CO19" i="3"/>
  <c r="CP19" i="3"/>
  <c r="CQ19" i="3"/>
  <c r="CR19" i="3"/>
  <c r="CS19" i="3"/>
  <c r="CN20" i="3"/>
  <c r="CO20" i="3"/>
  <c r="CP20" i="3"/>
  <c r="CQ20" i="3"/>
  <c r="CR20" i="3"/>
  <c r="CS20" i="3"/>
  <c r="CN21" i="3"/>
  <c r="CO21" i="3"/>
  <c r="CP21" i="3"/>
  <c r="CQ21" i="3"/>
  <c r="CR21" i="3"/>
  <c r="CS21" i="3"/>
  <c r="CN22" i="3"/>
  <c r="CO22" i="3"/>
  <c r="CP22" i="3"/>
  <c r="CQ22" i="3"/>
  <c r="CR22" i="3"/>
  <c r="CS22" i="3"/>
  <c r="CN23" i="3"/>
  <c r="CO23" i="3"/>
  <c r="CP23" i="3"/>
  <c r="CQ23" i="3"/>
  <c r="CR23" i="3"/>
  <c r="CS23" i="3"/>
  <c r="CN24" i="3"/>
  <c r="CO24" i="3"/>
  <c r="CP24" i="3"/>
  <c r="CQ24" i="3"/>
  <c r="CR24" i="3"/>
  <c r="CS24" i="3"/>
  <c r="CN25" i="3"/>
  <c r="CO25" i="3"/>
  <c r="CP25" i="3"/>
  <c r="CQ25" i="3"/>
  <c r="CR25" i="3"/>
  <c r="CS25" i="3"/>
  <c r="CN26" i="3"/>
  <c r="CO26" i="3"/>
  <c r="CP26" i="3"/>
  <c r="CQ26" i="3"/>
  <c r="CR26" i="3"/>
  <c r="CS26" i="3"/>
  <c r="CN27" i="3"/>
  <c r="CO27" i="3"/>
  <c r="CP27" i="3"/>
  <c r="CQ27" i="3"/>
  <c r="CR27" i="3"/>
  <c r="CS27" i="3"/>
  <c r="CN28" i="3"/>
  <c r="CO28" i="3"/>
  <c r="CP28" i="3"/>
  <c r="CQ28" i="3"/>
  <c r="CR28" i="3"/>
  <c r="CS28" i="3"/>
  <c r="CN29" i="3"/>
  <c r="CO29" i="3"/>
  <c r="CP29" i="3"/>
  <c r="CQ29" i="3"/>
  <c r="CR29" i="3"/>
  <c r="CS29" i="3"/>
  <c r="CN30" i="3"/>
  <c r="CO30" i="3"/>
  <c r="CP30" i="3"/>
  <c r="CQ30" i="3"/>
  <c r="CR30" i="3"/>
  <c r="CS30" i="3"/>
  <c r="CN31" i="3"/>
  <c r="CO31" i="3"/>
  <c r="CP31" i="3"/>
  <c r="CQ31" i="3"/>
  <c r="CR31" i="3"/>
  <c r="CS31" i="3"/>
  <c r="CN32" i="3"/>
  <c r="CO32" i="3"/>
  <c r="CP32" i="3"/>
  <c r="CQ32" i="3"/>
  <c r="CR32" i="3"/>
  <c r="CS32" i="3"/>
  <c r="CN33" i="3"/>
  <c r="CO33" i="3"/>
  <c r="CP33" i="3"/>
  <c r="CQ33" i="3"/>
  <c r="CR33" i="3"/>
  <c r="CS33" i="3"/>
  <c r="CN34" i="3"/>
  <c r="CO34" i="3"/>
  <c r="CP34" i="3"/>
  <c r="CQ34" i="3"/>
  <c r="CR34" i="3"/>
  <c r="CS34" i="3"/>
  <c r="CN35" i="3"/>
  <c r="CO35" i="3"/>
  <c r="CP35" i="3"/>
  <c r="CQ35" i="3"/>
  <c r="CR35" i="3"/>
  <c r="CS35" i="3"/>
  <c r="CN36" i="3"/>
  <c r="CO36" i="3"/>
  <c r="CP36" i="3"/>
  <c r="CQ36" i="3"/>
  <c r="CR36" i="3"/>
  <c r="CS36" i="3"/>
  <c r="CN37" i="3"/>
  <c r="CO37" i="3"/>
  <c r="CP37" i="3"/>
  <c r="CQ37" i="3"/>
  <c r="CR37" i="3"/>
  <c r="CS37" i="3"/>
  <c r="CN38" i="3"/>
  <c r="CO38" i="3"/>
  <c r="CP38" i="3"/>
  <c r="CQ38" i="3"/>
  <c r="CR38" i="3"/>
  <c r="CS38" i="3"/>
  <c r="CN39" i="3"/>
  <c r="CO39" i="3"/>
  <c r="CP39" i="3"/>
  <c r="CQ39" i="3"/>
  <c r="CR39" i="3"/>
  <c r="CS39" i="3"/>
  <c r="CN40" i="3"/>
  <c r="CO40" i="3"/>
  <c r="CP40" i="3"/>
  <c r="CQ40" i="3"/>
  <c r="CR40" i="3"/>
  <c r="CS40" i="3"/>
  <c r="CN41" i="3"/>
  <c r="CO41" i="3"/>
  <c r="CP41" i="3"/>
  <c r="CQ41" i="3"/>
  <c r="CR41" i="3"/>
  <c r="CS41" i="3"/>
  <c r="CN42" i="3"/>
  <c r="CO42" i="3"/>
  <c r="CP42" i="3"/>
  <c r="CQ42" i="3"/>
  <c r="CR42" i="3"/>
  <c r="CS42" i="3"/>
  <c r="CN43" i="3"/>
  <c r="CO43" i="3"/>
  <c r="CP43" i="3"/>
  <c r="CQ43" i="3"/>
  <c r="CR43" i="3"/>
  <c r="CS43" i="3"/>
  <c r="CN44" i="3"/>
  <c r="CO44" i="3"/>
  <c r="CP44" i="3"/>
  <c r="CQ44" i="3"/>
  <c r="CR44" i="3"/>
  <c r="CS44" i="3"/>
  <c r="CN45" i="3"/>
  <c r="CO45" i="3"/>
  <c r="CP45" i="3"/>
  <c r="CQ45" i="3"/>
  <c r="CR45" i="3"/>
  <c r="CS45" i="3"/>
  <c r="CN46" i="3"/>
  <c r="CO46" i="3"/>
  <c r="CP46" i="3"/>
  <c r="CQ46" i="3"/>
  <c r="CR46" i="3"/>
  <c r="CS46" i="3"/>
  <c r="CN47" i="3"/>
  <c r="CO47" i="3"/>
  <c r="CP47" i="3"/>
  <c r="CQ47" i="3"/>
  <c r="CR47" i="3"/>
  <c r="CS47" i="3"/>
  <c r="CN48" i="3"/>
  <c r="CO48" i="3"/>
  <c r="CP48" i="3"/>
  <c r="CQ48" i="3"/>
  <c r="CR48" i="3"/>
  <c r="CS48" i="3"/>
  <c r="CN49" i="3"/>
  <c r="CO49" i="3"/>
  <c r="CP49" i="3"/>
  <c r="CQ49" i="3"/>
  <c r="CR49" i="3"/>
  <c r="CS49" i="3"/>
  <c r="CN50" i="3"/>
  <c r="CO50" i="3"/>
  <c r="CP50" i="3"/>
  <c r="CQ50" i="3"/>
  <c r="CR50" i="3"/>
  <c r="CS50" i="3"/>
  <c r="CN51" i="3"/>
  <c r="CO51" i="3"/>
  <c r="CP51" i="3"/>
  <c r="CQ51" i="3"/>
  <c r="CR51" i="3"/>
  <c r="CS51" i="3"/>
  <c r="CN52" i="3"/>
  <c r="CO52" i="3"/>
  <c r="CP52" i="3"/>
  <c r="CQ52" i="3"/>
  <c r="CR52" i="3"/>
  <c r="CS52" i="3"/>
  <c r="CN53" i="3"/>
  <c r="CO53" i="3"/>
  <c r="CP53" i="3"/>
  <c r="CQ53" i="3"/>
  <c r="CR53" i="3"/>
  <c r="CS53" i="3"/>
  <c r="CN54" i="3"/>
  <c r="CO54" i="3"/>
  <c r="CP54" i="3"/>
  <c r="CQ54" i="3"/>
  <c r="CR54" i="3"/>
  <c r="CS54" i="3"/>
  <c r="CN55" i="3"/>
  <c r="CO55" i="3"/>
  <c r="CP55" i="3"/>
  <c r="CQ55" i="3"/>
  <c r="CR55" i="3"/>
  <c r="CS55" i="3"/>
  <c r="CN56" i="3"/>
  <c r="CO56" i="3"/>
  <c r="CP56" i="3"/>
  <c r="CQ56" i="3"/>
  <c r="CR56" i="3"/>
  <c r="CS56" i="3"/>
  <c r="CN57" i="3"/>
  <c r="CO57" i="3"/>
  <c r="CP57" i="3"/>
  <c r="CQ57" i="3"/>
  <c r="CR57" i="3"/>
  <c r="CS57" i="3"/>
  <c r="CN58" i="3"/>
  <c r="CO58" i="3"/>
  <c r="CP58" i="3"/>
  <c r="CQ58" i="3"/>
  <c r="CR58" i="3"/>
  <c r="CS58" i="3"/>
  <c r="CN59" i="3"/>
  <c r="CO59" i="3"/>
  <c r="CP59" i="3"/>
  <c r="CQ59" i="3"/>
  <c r="CR59" i="3"/>
  <c r="CS59" i="3"/>
  <c r="CN60" i="3"/>
  <c r="CO60" i="3"/>
  <c r="CP60" i="3"/>
  <c r="CQ60" i="3"/>
  <c r="CR60" i="3"/>
  <c r="CS60" i="3"/>
  <c r="CN61" i="3"/>
  <c r="CO61" i="3"/>
  <c r="CP61" i="3"/>
  <c r="CQ61" i="3"/>
  <c r="CR61" i="3"/>
  <c r="CS61" i="3"/>
  <c r="CN62" i="3"/>
  <c r="CO62" i="3"/>
  <c r="CP62" i="3"/>
  <c r="CQ62" i="3"/>
  <c r="CR62" i="3"/>
  <c r="CS62" i="3"/>
  <c r="CN63" i="3"/>
  <c r="CO63" i="3"/>
  <c r="CP63" i="3"/>
  <c r="CQ63" i="3"/>
  <c r="CR63" i="3"/>
  <c r="CS63" i="3"/>
  <c r="CN64" i="3"/>
  <c r="CO64" i="3"/>
  <c r="CP64" i="3"/>
  <c r="CQ64" i="3"/>
  <c r="CR64" i="3"/>
  <c r="CS64" i="3"/>
  <c r="CN65" i="3"/>
  <c r="CO65" i="3"/>
  <c r="CP65" i="3"/>
  <c r="CQ65" i="3"/>
  <c r="CR65" i="3"/>
  <c r="CS65" i="3"/>
  <c r="CN66" i="3"/>
  <c r="CO66" i="3"/>
  <c r="CP66" i="3"/>
  <c r="CQ66" i="3"/>
  <c r="CR66" i="3"/>
  <c r="CS66" i="3"/>
  <c r="CN67" i="3"/>
  <c r="CO67" i="3"/>
  <c r="CP67" i="3"/>
  <c r="CQ67" i="3"/>
  <c r="CR67" i="3"/>
  <c r="CS67" i="3"/>
  <c r="CN68" i="3"/>
  <c r="CO68" i="3"/>
  <c r="CP68" i="3"/>
  <c r="CQ68" i="3"/>
  <c r="CR68" i="3"/>
  <c r="CS68" i="3"/>
  <c r="CN69" i="3"/>
  <c r="CO69" i="3"/>
  <c r="CP69" i="3"/>
  <c r="CQ69" i="3"/>
  <c r="CR69" i="3"/>
  <c r="CS69" i="3"/>
  <c r="CN70" i="3"/>
  <c r="CO70" i="3"/>
  <c r="CP70" i="3"/>
  <c r="CQ70" i="3"/>
  <c r="CR70" i="3"/>
  <c r="CS70" i="3"/>
  <c r="CN71" i="3"/>
  <c r="CO71" i="3"/>
  <c r="CP71" i="3"/>
  <c r="CQ71" i="3"/>
  <c r="CR71" i="3"/>
  <c r="CS71" i="3"/>
  <c r="CN72" i="3"/>
  <c r="CO72" i="3"/>
  <c r="CP72" i="3"/>
  <c r="CQ72" i="3"/>
  <c r="CR72" i="3"/>
  <c r="CS72" i="3"/>
  <c r="CN73" i="3"/>
  <c r="CO73" i="3"/>
  <c r="CP73" i="3"/>
  <c r="CQ73" i="3"/>
  <c r="CR73" i="3"/>
  <c r="CS73" i="3"/>
  <c r="CN74" i="3"/>
  <c r="CO74" i="3"/>
  <c r="CP74" i="3"/>
  <c r="CQ74" i="3"/>
  <c r="CR74" i="3"/>
  <c r="CS74" i="3"/>
  <c r="CN75" i="3"/>
  <c r="CO75" i="3"/>
  <c r="CP75" i="3"/>
  <c r="CQ75" i="3"/>
  <c r="CR75" i="3"/>
  <c r="CS75" i="3"/>
  <c r="CN76" i="3"/>
  <c r="CO76" i="3"/>
  <c r="CP76" i="3"/>
  <c r="CQ76" i="3"/>
  <c r="CR76" i="3"/>
  <c r="CS76" i="3"/>
  <c r="CN77" i="3"/>
  <c r="CO77" i="3"/>
  <c r="CP77" i="3"/>
  <c r="CQ77" i="3"/>
  <c r="CR77" i="3"/>
  <c r="CS77" i="3"/>
  <c r="CN78" i="3"/>
  <c r="CO78" i="3"/>
  <c r="CP78" i="3"/>
  <c r="CQ78" i="3"/>
  <c r="CR78" i="3"/>
  <c r="CS78" i="3"/>
  <c r="CN79" i="3"/>
  <c r="CO79" i="3"/>
  <c r="CP79" i="3"/>
  <c r="CQ79" i="3"/>
  <c r="CR79" i="3"/>
  <c r="CS79" i="3"/>
  <c r="CN80" i="3"/>
  <c r="CO80" i="3"/>
  <c r="CP80" i="3"/>
  <c r="CQ80" i="3"/>
  <c r="CR80" i="3"/>
  <c r="CS80" i="3"/>
  <c r="CN81" i="3"/>
  <c r="CO81" i="3"/>
  <c r="CP81" i="3"/>
  <c r="CQ81" i="3"/>
  <c r="CR81" i="3"/>
  <c r="CS81" i="3"/>
  <c r="CN82" i="3"/>
  <c r="CO82" i="3"/>
  <c r="CP82" i="3"/>
  <c r="CQ82" i="3"/>
  <c r="CR82" i="3"/>
  <c r="CS82" i="3"/>
  <c r="CN83" i="3"/>
  <c r="CO83" i="3"/>
  <c r="CP83" i="3"/>
  <c r="CQ83" i="3"/>
  <c r="CR83" i="3"/>
  <c r="CS83" i="3"/>
  <c r="CN84" i="3"/>
  <c r="CO84" i="3"/>
  <c r="CP84" i="3"/>
  <c r="CQ84" i="3"/>
  <c r="CR84" i="3"/>
  <c r="CS84" i="3"/>
  <c r="CN85" i="3"/>
  <c r="CO85" i="3"/>
  <c r="CP85" i="3"/>
  <c r="CQ85" i="3"/>
  <c r="CR85" i="3"/>
  <c r="CS85" i="3"/>
  <c r="CN86" i="3"/>
  <c r="CO86" i="3"/>
  <c r="CP86" i="3"/>
  <c r="CQ86" i="3"/>
  <c r="CR86" i="3"/>
  <c r="CS86" i="3"/>
  <c r="CN87" i="3"/>
  <c r="CO87" i="3"/>
  <c r="CP87" i="3"/>
  <c r="CQ87" i="3"/>
  <c r="CR87" i="3"/>
  <c r="CS87" i="3"/>
  <c r="CN88" i="3"/>
  <c r="CO88" i="3"/>
  <c r="CP88" i="3"/>
  <c r="CQ88" i="3"/>
  <c r="CR88" i="3"/>
  <c r="CS88" i="3"/>
  <c r="CN89" i="3"/>
  <c r="CO89" i="3"/>
  <c r="CP89" i="3"/>
  <c r="CQ89" i="3"/>
  <c r="CR89" i="3"/>
  <c r="CS89" i="3"/>
  <c r="CN90" i="3"/>
  <c r="CO90" i="3"/>
  <c r="CP90" i="3"/>
  <c r="CQ90" i="3"/>
  <c r="CR90" i="3"/>
  <c r="CS90" i="3"/>
  <c r="CN91" i="3"/>
  <c r="CO91" i="3"/>
  <c r="CP91" i="3"/>
  <c r="CQ91" i="3"/>
  <c r="CR91" i="3"/>
  <c r="CS91" i="3"/>
  <c r="CN92" i="3"/>
  <c r="CO92" i="3"/>
  <c r="CP92" i="3"/>
  <c r="CQ92" i="3"/>
  <c r="CR92" i="3"/>
  <c r="CS92" i="3"/>
  <c r="CN93" i="3"/>
  <c r="CO93" i="3"/>
  <c r="CP93" i="3"/>
  <c r="CQ93" i="3"/>
  <c r="CR93" i="3"/>
  <c r="CS93" i="3"/>
  <c r="CN94" i="3"/>
  <c r="CO94" i="3"/>
  <c r="CP94" i="3"/>
  <c r="CQ94" i="3"/>
  <c r="CR94" i="3"/>
  <c r="CS94" i="3"/>
  <c r="CN95" i="3"/>
  <c r="CO95" i="3"/>
  <c r="CP95" i="3"/>
  <c r="CQ95" i="3"/>
  <c r="CR95" i="3"/>
  <c r="CS95" i="3"/>
  <c r="CN96" i="3"/>
  <c r="CO96" i="3"/>
  <c r="CP96" i="3"/>
  <c r="CQ96" i="3"/>
  <c r="CR96" i="3"/>
  <c r="CS96" i="3"/>
  <c r="CN97" i="3"/>
  <c r="CO97" i="3"/>
  <c r="CP97" i="3"/>
  <c r="CQ97" i="3"/>
  <c r="CR97" i="3"/>
  <c r="CS97" i="3"/>
  <c r="CN98" i="3"/>
  <c r="CO98" i="3"/>
  <c r="CP98" i="3"/>
  <c r="CQ98" i="3"/>
  <c r="CR98" i="3"/>
  <c r="CS98" i="3"/>
  <c r="CN99" i="3"/>
  <c r="CO99" i="3"/>
  <c r="CP99" i="3"/>
  <c r="CQ99" i="3"/>
  <c r="CR99" i="3"/>
  <c r="CS99" i="3"/>
  <c r="CN100" i="3"/>
  <c r="CO100" i="3"/>
  <c r="CP100" i="3"/>
  <c r="CQ100" i="3"/>
  <c r="CR100" i="3"/>
  <c r="CS100" i="3"/>
  <c r="CN101" i="3"/>
  <c r="CO101" i="3"/>
  <c r="CP101" i="3"/>
  <c r="CQ101" i="3"/>
  <c r="CR101" i="3"/>
  <c r="CS101" i="3"/>
  <c r="CN102" i="3"/>
  <c r="CO102" i="3"/>
  <c r="CP102" i="3"/>
  <c r="CQ102" i="3"/>
  <c r="CR102" i="3"/>
  <c r="CS102" i="3"/>
  <c r="CN103" i="3"/>
  <c r="CO103" i="3"/>
  <c r="CP103" i="3"/>
  <c r="CQ103" i="3"/>
  <c r="CR103" i="3"/>
  <c r="CS103" i="3"/>
  <c r="CN6" i="3"/>
  <c r="CO6" i="3"/>
  <c r="CP6" i="3"/>
  <c r="CQ6" i="3"/>
  <c r="CR6" i="3"/>
  <c r="CS6" i="3"/>
  <c r="CN7" i="3"/>
  <c r="CO7" i="3"/>
  <c r="CP7" i="3"/>
  <c r="CQ7" i="3"/>
  <c r="CR7" i="3"/>
  <c r="CS7" i="3"/>
  <c r="CN8" i="3"/>
  <c r="CO8" i="3"/>
  <c r="CP8" i="3"/>
  <c r="CQ8" i="3"/>
  <c r="CR8" i="3"/>
  <c r="CS8" i="3"/>
  <c r="CN9" i="3"/>
  <c r="CO9" i="3"/>
  <c r="CP9" i="3"/>
  <c r="CQ9" i="3"/>
  <c r="CR9" i="3"/>
  <c r="CS9" i="3"/>
  <c r="CN10" i="3"/>
  <c r="CO10" i="3"/>
  <c r="CP10" i="3"/>
  <c r="CQ10" i="3"/>
  <c r="CR10" i="3"/>
  <c r="CS10" i="3"/>
  <c r="CN11" i="3"/>
  <c r="CO11" i="3"/>
  <c r="CP11" i="3"/>
  <c r="CQ11" i="3"/>
  <c r="CR11" i="3"/>
  <c r="CS11" i="3"/>
  <c r="CN12" i="3"/>
  <c r="CO12" i="3"/>
  <c r="CP12" i="3"/>
  <c r="CQ12" i="3"/>
  <c r="CR12" i="3"/>
  <c r="CS12" i="3"/>
  <c r="CN13" i="3"/>
  <c r="CO13" i="3"/>
  <c r="CP13" i="3"/>
  <c r="CQ13" i="3"/>
  <c r="CR13" i="3"/>
  <c r="CS13" i="3"/>
  <c r="CN14" i="3"/>
  <c r="CO14" i="3"/>
  <c r="CP14" i="3"/>
  <c r="CQ14" i="3"/>
  <c r="CR14" i="3"/>
  <c r="CS14" i="3"/>
  <c r="CN15" i="3"/>
  <c r="CO15" i="3"/>
  <c r="CP15" i="3"/>
  <c r="CQ15" i="3"/>
  <c r="CR15" i="3"/>
  <c r="CS15" i="3"/>
  <c r="CN16" i="3"/>
  <c r="CO16" i="3"/>
  <c r="CP16" i="3"/>
  <c r="CQ16" i="3"/>
  <c r="CR16" i="3"/>
  <c r="CS16" i="3"/>
  <c r="CN17" i="3"/>
  <c r="CO17" i="3"/>
  <c r="CP17" i="3"/>
  <c r="CQ17" i="3"/>
  <c r="CR17" i="3"/>
  <c r="CS17" i="3"/>
  <c r="CP5" i="3"/>
  <c r="CQ5" i="3"/>
  <c r="CR5" i="3"/>
  <c r="CS5" i="3"/>
  <c r="CO5" i="3"/>
  <c r="CN5" i="3"/>
  <c r="AY6" i="3"/>
  <c r="AZ6" i="3"/>
  <c r="BA6" i="3"/>
  <c r="BB6" i="3"/>
  <c r="BC6" i="3"/>
  <c r="BD6" i="3"/>
  <c r="BE6" i="3"/>
  <c r="BF6" i="3"/>
  <c r="BG6" i="3"/>
  <c r="BH6" i="3"/>
  <c r="BI6" i="3"/>
  <c r="BJ6" i="3"/>
  <c r="AY7" i="3"/>
  <c r="AZ7" i="3"/>
  <c r="BA7" i="3"/>
  <c r="BB7" i="3"/>
  <c r="BC7" i="3"/>
  <c r="BD7" i="3"/>
  <c r="BE7" i="3"/>
  <c r="BF7" i="3"/>
  <c r="BG7" i="3"/>
  <c r="BH7" i="3"/>
  <c r="BI7" i="3"/>
  <c r="BJ7" i="3"/>
  <c r="AY8" i="3"/>
  <c r="AZ8" i="3"/>
  <c r="BA8" i="3"/>
  <c r="BB8" i="3"/>
  <c r="BC8" i="3"/>
  <c r="BD8" i="3"/>
  <c r="BE8" i="3"/>
  <c r="BF8" i="3"/>
  <c r="BG8" i="3"/>
  <c r="BH8" i="3"/>
  <c r="BI8" i="3"/>
  <c r="BJ8" i="3"/>
  <c r="AY9" i="3"/>
  <c r="AZ9" i="3"/>
  <c r="BA9" i="3"/>
  <c r="BB9" i="3"/>
  <c r="BC9" i="3"/>
  <c r="BD9" i="3"/>
  <c r="BE9" i="3"/>
  <c r="BF9" i="3"/>
  <c r="BG9" i="3"/>
  <c r="BH9" i="3"/>
  <c r="BI9" i="3"/>
  <c r="BJ9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J5" i="3"/>
  <c r="BH5" i="3"/>
  <c r="BF5" i="3"/>
  <c r="BD5" i="3"/>
  <c r="BB5" i="3"/>
  <c r="AZ5" i="3"/>
  <c r="BI5" i="3"/>
  <c r="BG5" i="3"/>
  <c r="BE5" i="3"/>
  <c r="BC5" i="3"/>
  <c r="BA5" i="3"/>
  <c r="AY5" i="3"/>
  <c r="EF19" i="3" l="1"/>
  <c r="EM19" i="3" s="1"/>
  <c r="EJ19" i="3"/>
  <c r="EN19" i="3" s="1"/>
  <c r="EF36" i="3"/>
  <c r="EM36" i="3" s="1"/>
  <c r="EJ36" i="3"/>
  <c r="EN36" i="3" s="1"/>
  <c r="EJ80" i="3"/>
  <c r="EN80" i="3" s="1"/>
  <c r="EF80" i="3"/>
  <c r="EM80" i="3" s="1"/>
  <c r="EF31" i="3"/>
  <c r="EM31" i="3" s="1"/>
  <c r="EJ31" i="3"/>
  <c r="EN31" i="3" s="1"/>
  <c r="EJ77" i="3"/>
  <c r="EN77" i="3" s="1"/>
  <c r="EF77" i="3"/>
  <c r="EM77" i="3" s="1"/>
  <c r="EF16" i="3"/>
  <c r="EM16" i="3" s="1"/>
  <c r="EJ16" i="3"/>
  <c r="EN16" i="3" s="1"/>
  <c r="EJ20" i="3"/>
  <c r="EN20" i="3" s="1"/>
  <c r="EF20" i="3"/>
  <c r="EM20" i="3" s="1"/>
  <c r="EJ37" i="3"/>
  <c r="EN37" i="3" s="1"/>
  <c r="EF37" i="3"/>
  <c r="EM37" i="3" s="1"/>
  <c r="EJ33" i="3"/>
  <c r="EN33" i="3" s="1"/>
  <c r="EF33" i="3"/>
  <c r="EM33" i="3" s="1"/>
  <c r="EJ92" i="3"/>
  <c r="EN92" i="3" s="1"/>
  <c r="EF92" i="3"/>
  <c r="EM92" i="3" s="1"/>
  <c r="EJ43" i="3"/>
  <c r="EN43" i="3" s="1"/>
  <c r="EF43" i="3"/>
  <c r="EM43" i="3" s="1"/>
  <c r="EJ101" i="3"/>
  <c r="EN101" i="3" s="1"/>
  <c r="EF101" i="3"/>
  <c r="EM101" i="3" s="1"/>
  <c r="EJ61" i="3"/>
  <c r="EN61" i="3" s="1"/>
  <c r="EF61" i="3"/>
  <c r="EM61" i="3" s="1"/>
  <c r="EF90" i="3"/>
  <c r="EM90" i="3" s="1"/>
  <c r="EJ90" i="3"/>
  <c r="EN90" i="3" s="1"/>
  <c r="EJ83" i="3"/>
  <c r="EN83" i="3" s="1"/>
  <c r="EF83" i="3"/>
  <c r="EM83" i="3" s="1"/>
  <c r="EJ82" i="3"/>
  <c r="EN82" i="3" s="1"/>
  <c r="EF82" i="3"/>
  <c r="EM82" i="3" s="1"/>
  <c r="EJ70" i="3"/>
  <c r="EN70" i="3" s="1"/>
  <c r="EF70" i="3"/>
  <c r="EM70" i="3" s="1"/>
  <c r="EJ15" i="3"/>
  <c r="EN15" i="3" s="1"/>
  <c r="EF15" i="3"/>
  <c r="EM15" i="3" s="1"/>
  <c r="EJ55" i="3"/>
  <c r="EN55" i="3" s="1"/>
  <c r="EF55" i="3"/>
  <c r="EM55" i="3" s="1"/>
  <c r="EJ46" i="3"/>
  <c r="EN46" i="3" s="1"/>
  <c r="EF46" i="3"/>
  <c r="EM46" i="3" s="1"/>
  <c r="EJ73" i="3"/>
  <c r="EN73" i="3" s="1"/>
  <c r="EF73" i="3"/>
  <c r="EM73" i="3" s="1"/>
  <c r="EJ52" i="3"/>
  <c r="EN52" i="3" s="1"/>
  <c r="EF52" i="3"/>
  <c r="EM52" i="3" s="1"/>
  <c r="EJ12" i="3"/>
  <c r="EN12" i="3" s="1"/>
  <c r="EF12" i="3"/>
  <c r="EM12" i="3" s="1"/>
  <c r="EJ50" i="3"/>
  <c r="EN50" i="3" s="1"/>
  <c r="EF50" i="3"/>
  <c r="EM50" i="3" s="1"/>
  <c r="EJ67" i="3"/>
  <c r="EN67" i="3" s="1"/>
  <c r="EF67" i="3"/>
  <c r="EM67" i="3" s="1"/>
  <c r="EJ58" i="3"/>
  <c r="EN58" i="3" s="1"/>
  <c r="EF58" i="3"/>
  <c r="EM58" i="3" s="1"/>
  <c r="EJ98" i="3"/>
  <c r="EN98" i="3" s="1"/>
  <c r="EF98" i="3"/>
  <c r="EM98" i="3" s="1"/>
  <c r="EF63" i="3"/>
  <c r="EM63" i="3" s="1"/>
  <c r="EJ63" i="3"/>
  <c r="EN63" i="3" s="1"/>
  <c r="EJ103" i="3"/>
  <c r="EN103" i="3" s="1"/>
  <c r="EF103" i="3"/>
  <c r="EM103" i="3" s="1"/>
  <c r="EF42" i="3"/>
  <c r="EM42" i="3" s="1"/>
  <c r="EJ42" i="3"/>
  <c r="EN42" i="3" s="1"/>
  <c r="EF54" i="3"/>
  <c r="EM54" i="3" s="1"/>
  <c r="EJ54" i="3"/>
  <c r="EN54" i="3" s="1"/>
  <c r="EJ27" i="3"/>
  <c r="EN27" i="3" s="1"/>
  <c r="EF27" i="3"/>
  <c r="EM27" i="3" s="1"/>
  <c r="EJ30" i="3"/>
  <c r="EN30" i="3" s="1"/>
  <c r="EF30" i="3"/>
  <c r="EM30" i="3" s="1"/>
  <c r="EJ24" i="3"/>
  <c r="EN24" i="3" s="1"/>
  <c r="EF24" i="3"/>
  <c r="EM24" i="3" s="1"/>
  <c r="EJ76" i="3"/>
  <c r="EN76" i="3" s="1"/>
  <c r="EF76" i="3"/>
  <c r="EM76" i="3" s="1"/>
  <c r="EJ14" i="3"/>
  <c r="EN14" i="3" s="1"/>
  <c r="EF14" i="3"/>
  <c r="EM14" i="3" s="1"/>
  <c r="EF48" i="3"/>
  <c r="EM48" i="3" s="1"/>
  <c r="EJ48" i="3"/>
  <c r="EN48" i="3" s="1"/>
  <c r="EF87" i="3"/>
  <c r="EM87" i="3" s="1"/>
  <c r="EJ87" i="3"/>
  <c r="EN87" i="3" s="1"/>
  <c r="EF57" i="3"/>
  <c r="EM57" i="3" s="1"/>
  <c r="EJ57" i="3"/>
  <c r="EN57" i="3" s="1"/>
  <c r="EJ49" i="3"/>
  <c r="EN49" i="3" s="1"/>
  <c r="EF49" i="3"/>
  <c r="EM49" i="3" s="1"/>
  <c r="EJ44" i="3"/>
  <c r="EN44" i="3" s="1"/>
  <c r="EF44" i="3"/>
  <c r="EM44" i="3" s="1"/>
  <c r="EF66" i="3"/>
  <c r="EM66" i="3" s="1"/>
  <c r="EJ66" i="3"/>
  <c r="EN66" i="3" s="1"/>
  <c r="EJ47" i="3"/>
  <c r="EN47" i="3" s="1"/>
  <c r="EF47" i="3"/>
  <c r="EM47" i="3" s="1"/>
  <c r="EJ17" i="3"/>
  <c r="EN17" i="3" s="1"/>
  <c r="EF17" i="3"/>
  <c r="EM17" i="3" s="1"/>
  <c r="EF28" i="3"/>
  <c r="EM28" i="3" s="1"/>
  <c r="EJ28" i="3"/>
  <c r="EN28" i="3" s="1"/>
  <c r="EJ88" i="3"/>
  <c r="EN88" i="3" s="1"/>
  <c r="EF88" i="3"/>
  <c r="EM88" i="3" s="1"/>
  <c r="EJ26" i="3"/>
  <c r="EN26" i="3" s="1"/>
  <c r="EF26" i="3"/>
  <c r="EM26" i="3" s="1"/>
  <c r="EF60" i="3"/>
  <c r="EM60" i="3" s="1"/>
  <c r="EJ60" i="3"/>
  <c r="EN60" i="3" s="1"/>
  <c r="EF22" i="3"/>
  <c r="EM22" i="3" s="1"/>
  <c r="EJ22" i="3"/>
  <c r="EN22" i="3" s="1"/>
  <c r="EJ100" i="3"/>
  <c r="EN100" i="3" s="1"/>
  <c r="EF100" i="3"/>
  <c r="EM100" i="3" s="1"/>
  <c r="EJ94" i="3"/>
  <c r="EN94" i="3" s="1"/>
  <c r="EF94" i="3"/>
  <c r="EM94" i="3" s="1"/>
  <c r="EF99" i="3"/>
  <c r="EM99" i="3" s="1"/>
  <c r="EJ99" i="3"/>
  <c r="EN99" i="3" s="1"/>
  <c r="EJ95" i="3"/>
  <c r="EN95" i="3" s="1"/>
  <c r="EF95" i="3"/>
  <c r="EM95" i="3" s="1"/>
  <c r="EJ29" i="3"/>
  <c r="EN29" i="3" s="1"/>
  <c r="EF29" i="3"/>
  <c r="EM29" i="3" s="1"/>
  <c r="EJ62" i="3"/>
  <c r="EN62" i="3" s="1"/>
  <c r="EF62" i="3"/>
  <c r="EM62" i="3" s="1"/>
  <c r="EJ38" i="3"/>
  <c r="EN38" i="3" s="1"/>
  <c r="EF38" i="3"/>
  <c r="EM38" i="3" s="1"/>
  <c r="EF72" i="3"/>
  <c r="EM72" i="3" s="1"/>
  <c r="EJ72" i="3"/>
  <c r="EN72" i="3" s="1"/>
  <c r="EJ11" i="3"/>
  <c r="EN11" i="3" s="1"/>
  <c r="EF11" i="3"/>
  <c r="EM11" i="3" s="1"/>
  <c r="EF69" i="3"/>
  <c r="EM69" i="3" s="1"/>
  <c r="EJ69" i="3"/>
  <c r="EN69" i="3" s="1"/>
  <c r="EF10" i="3"/>
  <c r="EM10" i="3" s="1"/>
  <c r="EJ10" i="3"/>
  <c r="EN10" i="3" s="1"/>
  <c r="EJ18" i="3"/>
  <c r="EN18" i="3" s="1"/>
  <c r="EF18" i="3"/>
  <c r="EM18" i="3" s="1"/>
  <c r="EF81" i="3"/>
  <c r="EM81" i="3" s="1"/>
  <c r="EJ81" i="3"/>
  <c r="EN81" i="3" s="1"/>
  <c r="EJ74" i="3"/>
  <c r="EN74" i="3" s="1"/>
  <c r="EF74" i="3"/>
  <c r="EM74" i="3" s="1"/>
  <c r="EF13" i="3"/>
  <c r="EM13" i="3" s="1"/>
  <c r="EJ13" i="3"/>
  <c r="EN13" i="3" s="1"/>
  <c r="EF84" i="3"/>
  <c r="EM84" i="3" s="1"/>
  <c r="EJ84" i="3"/>
  <c r="EN84" i="3" s="1"/>
  <c r="EJ23" i="3"/>
  <c r="EN23" i="3" s="1"/>
  <c r="EF23" i="3"/>
  <c r="EM23" i="3" s="1"/>
  <c r="EF34" i="3"/>
  <c r="EM34" i="3" s="1"/>
  <c r="EJ34" i="3"/>
  <c r="EN34" i="3" s="1"/>
  <c r="EJ86" i="3"/>
  <c r="EN86" i="3" s="1"/>
  <c r="EF86" i="3"/>
  <c r="EM86" i="3" s="1"/>
  <c r="EJ53" i="3"/>
  <c r="EN53" i="3" s="1"/>
  <c r="EF53" i="3"/>
  <c r="EM53" i="3" s="1"/>
  <c r="EJ97" i="3"/>
  <c r="EN97" i="3" s="1"/>
  <c r="EF97" i="3"/>
  <c r="EM97" i="3" s="1"/>
  <c r="EF75" i="3"/>
  <c r="EM75" i="3" s="1"/>
  <c r="EJ75" i="3"/>
  <c r="EN75" i="3" s="1"/>
  <c r="EF25" i="3"/>
  <c r="EM25" i="3" s="1"/>
  <c r="EJ25" i="3"/>
  <c r="EN25" i="3" s="1"/>
  <c r="EJ59" i="3"/>
  <c r="EN59" i="3" s="1"/>
  <c r="EF59" i="3"/>
  <c r="EM59" i="3" s="1"/>
  <c r="EF35" i="3"/>
  <c r="EM35" i="3" s="1"/>
  <c r="EJ35" i="3"/>
  <c r="EN35" i="3" s="1"/>
  <c r="EF45" i="3"/>
  <c r="EM45" i="3" s="1"/>
  <c r="EJ45" i="3"/>
  <c r="EN45" i="3" s="1"/>
  <c r="EJ91" i="3"/>
  <c r="EN91" i="3" s="1"/>
  <c r="EF91" i="3"/>
  <c r="EM91" i="3" s="1"/>
  <c r="EJ64" i="3"/>
  <c r="EN64" i="3" s="1"/>
  <c r="EF64" i="3"/>
  <c r="EM64" i="3" s="1"/>
  <c r="EJ71" i="3"/>
  <c r="EN71" i="3" s="1"/>
  <c r="EF71" i="3"/>
  <c r="EM71" i="3" s="1"/>
  <c r="EF93" i="3"/>
  <c r="EM93" i="3" s="1"/>
  <c r="EJ93" i="3"/>
  <c r="EN93" i="3" s="1"/>
  <c r="EJ56" i="3"/>
  <c r="EN56" i="3" s="1"/>
  <c r="EF56" i="3"/>
  <c r="EM56" i="3" s="1"/>
  <c r="EJ32" i="3"/>
  <c r="EN32" i="3" s="1"/>
  <c r="EF32" i="3"/>
  <c r="EM32" i="3" s="1"/>
  <c r="EJ79" i="3"/>
  <c r="EN79" i="3" s="1"/>
  <c r="EF79" i="3"/>
  <c r="EM79" i="3" s="1"/>
  <c r="EF78" i="3"/>
  <c r="EM78" i="3" s="1"/>
  <c r="EJ78" i="3"/>
  <c r="EN78" i="3" s="1"/>
  <c r="EJ9" i="3"/>
  <c r="EN9" i="3" s="1"/>
  <c r="EF9" i="3"/>
  <c r="EM9" i="3" s="1"/>
  <c r="EF39" i="3"/>
  <c r="EM39" i="3" s="1"/>
  <c r="EJ39" i="3"/>
  <c r="EN39" i="3" s="1"/>
  <c r="EJ40" i="3"/>
  <c r="EN40" i="3" s="1"/>
  <c r="EF40" i="3"/>
  <c r="EM40" i="3" s="1"/>
  <c r="EJ85" i="3"/>
  <c r="EN85" i="3" s="1"/>
  <c r="EF85" i="3"/>
  <c r="EM85" i="3" s="1"/>
  <c r="EF102" i="3"/>
  <c r="EM102" i="3" s="1"/>
  <c r="EJ102" i="3"/>
  <c r="EN102" i="3" s="1"/>
  <c r="EF96" i="3"/>
  <c r="EM96" i="3" s="1"/>
  <c r="EJ96" i="3"/>
  <c r="EN96" i="3" s="1"/>
  <c r="EJ41" i="3"/>
  <c r="EN41" i="3" s="1"/>
  <c r="EF41" i="3"/>
  <c r="EM41" i="3" s="1"/>
  <c r="EF51" i="3"/>
  <c r="EM51" i="3" s="1"/>
  <c r="EJ51" i="3"/>
  <c r="EN51" i="3" s="1"/>
  <c r="EJ89" i="3"/>
  <c r="EN89" i="3" s="1"/>
  <c r="EF89" i="3"/>
  <c r="EM89" i="3" s="1"/>
  <c r="EJ21" i="3"/>
  <c r="EN21" i="3" s="1"/>
  <c r="EF21" i="3"/>
  <c r="EM21" i="3" s="1"/>
  <c r="EJ68" i="3"/>
  <c r="EN68" i="3" s="1"/>
  <c r="EF68" i="3"/>
  <c r="EM68" i="3" s="1"/>
  <c r="EJ65" i="3"/>
  <c r="EN65" i="3" s="1"/>
  <c r="EF65" i="3"/>
  <c r="EM65" i="3" s="1"/>
  <c r="DM5" i="3"/>
  <c r="DQ103" i="3"/>
  <c r="DQ101" i="3"/>
  <c r="DQ99" i="3"/>
  <c r="DQ97" i="3"/>
  <c r="DQ95" i="3"/>
  <c r="DQ93" i="3"/>
  <c r="DQ91" i="3"/>
  <c r="DQ89" i="3"/>
  <c r="DQ87" i="3"/>
  <c r="DQ85" i="3"/>
  <c r="DQ83" i="3"/>
  <c r="DQ81" i="3"/>
  <c r="DQ79" i="3"/>
  <c r="DQ77" i="3"/>
  <c r="DQ75" i="3"/>
  <c r="DQ73" i="3"/>
  <c r="DQ71" i="3"/>
  <c r="DQ69" i="3"/>
  <c r="DQ67" i="3"/>
  <c r="DQ65" i="3"/>
  <c r="DQ63" i="3"/>
  <c r="DQ61" i="3"/>
  <c r="DQ59" i="3"/>
  <c r="DQ57" i="3"/>
  <c r="DQ55" i="3"/>
  <c r="DQ53" i="3"/>
  <c r="DQ51" i="3"/>
  <c r="DQ49" i="3"/>
  <c r="DQ47" i="3"/>
  <c r="DQ45" i="3"/>
  <c r="DQ43" i="3"/>
  <c r="DQ41" i="3"/>
  <c r="DQ39" i="3"/>
  <c r="DQ37" i="3"/>
  <c r="DQ35" i="3"/>
  <c r="DQ33" i="3"/>
  <c r="DQ31" i="3"/>
  <c r="DQ29" i="3"/>
  <c r="DQ27" i="3"/>
  <c r="DQ25" i="3"/>
  <c r="DQ23" i="3"/>
  <c r="DQ21" i="3"/>
  <c r="DQ19" i="3"/>
  <c r="DQ17" i="3"/>
  <c r="DQ15" i="3"/>
  <c r="DQ13" i="3"/>
  <c r="DQ11" i="3"/>
  <c r="DL102" i="3"/>
  <c r="DL100" i="3"/>
  <c r="DL98" i="3"/>
  <c r="DL96" i="3"/>
  <c r="DL94" i="3"/>
  <c r="DL92" i="3"/>
  <c r="DL90" i="3"/>
  <c r="DL88" i="3"/>
  <c r="DL86" i="3"/>
  <c r="DL84" i="3"/>
  <c r="DL82" i="3"/>
  <c r="DL80" i="3"/>
  <c r="DL78" i="3"/>
  <c r="DL76" i="3"/>
  <c r="DL74" i="3"/>
  <c r="DL72" i="3"/>
  <c r="DL70" i="3"/>
  <c r="DL68" i="3"/>
  <c r="DL66" i="3"/>
  <c r="DL64" i="3"/>
  <c r="DL62" i="3"/>
  <c r="DL60" i="3"/>
  <c r="DL58" i="3"/>
  <c r="DL56" i="3"/>
  <c r="DL54" i="3"/>
  <c r="DL52" i="3"/>
  <c r="DL50" i="3"/>
  <c r="DL48" i="3"/>
  <c r="DL46" i="3"/>
  <c r="DL44" i="3"/>
  <c r="DL42" i="3"/>
  <c r="DL40" i="3"/>
  <c r="DL38" i="3"/>
  <c r="DL36" i="3"/>
  <c r="DL34" i="3"/>
  <c r="DL32" i="3"/>
  <c r="DL30" i="3"/>
  <c r="DL28" i="3"/>
  <c r="DL26" i="3"/>
  <c r="DL24" i="3"/>
  <c r="DL22" i="3"/>
  <c r="DL20" i="3"/>
  <c r="DL18" i="3"/>
  <c r="DL16" i="3"/>
  <c r="DL14" i="3"/>
  <c r="DL12" i="3"/>
  <c r="DL10" i="3"/>
  <c r="DL8" i="3"/>
  <c r="DQ5" i="3"/>
  <c r="DQ9" i="3"/>
  <c r="DQ7" i="3"/>
  <c r="R62" i="3"/>
  <c r="R94" i="3"/>
  <c r="DL103" i="3"/>
  <c r="DL101" i="3"/>
  <c r="DL99" i="3"/>
  <c r="DL97" i="3"/>
  <c r="DL95" i="3"/>
  <c r="DL93" i="3"/>
  <c r="DL91" i="3"/>
  <c r="DL89" i="3"/>
  <c r="DL87" i="3"/>
  <c r="DL85" i="3"/>
  <c r="DL83" i="3"/>
  <c r="DL81" i="3"/>
  <c r="DL79" i="3"/>
  <c r="DL77" i="3"/>
  <c r="DL75" i="3"/>
  <c r="DL73" i="3"/>
  <c r="DL71" i="3"/>
  <c r="DL69" i="3"/>
  <c r="DL67" i="3"/>
  <c r="DL65" i="3"/>
  <c r="DL63" i="3"/>
  <c r="DL61" i="3"/>
  <c r="DL59" i="3"/>
  <c r="DL57" i="3"/>
  <c r="DL55" i="3"/>
  <c r="DL53" i="3"/>
  <c r="DL51" i="3"/>
  <c r="DL49" i="3"/>
  <c r="DL47" i="3"/>
  <c r="DL45" i="3"/>
  <c r="DL43" i="3"/>
  <c r="DL41" i="3"/>
  <c r="DL39" i="3"/>
  <c r="DL37" i="3"/>
  <c r="DL35" i="3"/>
  <c r="DL33" i="3"/>
  <c r="DL31" i="3"/>
  <c r="DL29" i="3"/>
  <c r="DL27" i="3"/>
  <c r="DL25" i="3"/>
  <c r="DL23" i="3"/>
  <c r="DL21" i="3"/>
  <c r="DL19" i="3"/>
  <c r="DL17" i="3"/>
  <c r="DL15" i="3"/>
  <c r="DL13" i="3"/>
  <c r="DL11" i="3"/>
  <c r="DL9" i="3"/>
  <c r="DL7" i="3"/>
  <c r="DL6" i="3"/>
  <c r="DP7" i="3"/>
  <c r="DP9" i="3"/>
  <c r="DP103" i="3"/>
  <c r="DP101" i="3"/>
  <c r="DP99" i="3"/>
  <c r="DP97" i="3"/>
  <c r="DP95" i="3"/>
  <c r="DP93" i="3"/>
  <c r="DP91" i="3"/>
  <c r="DP89" i="3"/>
  <c r="DP87" i="3"/>
  <c r="DP85" i="3"/>
  <c r="DP83" i="3"/>
  <c r="DP81" i="3"/>
  <c r="DP79" i="3"/>
  <c r="DP77" i="3"/>
  <c r="DP75" i="3"/>
  <c r="DP73" i="3"/>
  <c r="DP71" i="3"/>
  <c r="DP69" i="3"/>
  <c r="DP67" i="3"/>
  <c r="DP65" i="3"/>
  <c r="DP63" i="3"/>
  <c r="DP61" i="3"/>
  <c r="DP59" i="3"/>
  <c r="DP57" i="3"/>
  <c r="DP55" i="3"/>
  <c r="DP53" i="3"/>
  <c r="DP51" i="3"/>
  <c r="DP49" i="3"/>
  <c r="DP47" i="3"/>
  <c r="DP45" i="3"/>
  <c r="DP43" i="3"/>
  <c r="DP41" i="3"/>
  <c r="DP39" i="3"/>
  <c r="DP37" i="3"/>
  <c r="DP35" i="3"/>
  <c r="DP33" i="3"/>
  <c r="DP31" i="3"/>
  <c r="DP29" i="3"/>
  <c r="DP27" i="3"/>
  <c r="DP25" i="3"/>
  <c r="DP23" i="3"/>
  <c r="DP21" i="3"/>
  <c r="DP19" i="3"/>
  <c r="DP17" i="3"/>
  <c r="DP15" i="3"/>
  <c r="DP13" i="3"/>
  <c r="DP11" i="3"/>
  <c r="DO7" i="3"/>
  <c r="DO9" i="3"/>
  <c r="DO103" i="3"/>
  <c r="DO101" i="3"/>
  <c r="DO99" i="3"/>
  <c r="DO97" i="3"/>
  <c r="DO95" i="3"/>
  <c r="DO93" i="3"/>
  <c r="DO91" i="3"/>
  <c r="DO89" i="3"/>
  <c r="DO87" i="3"/>
  <c r="DO85" i="3"/>
  <c r="DO83" i="3"/>
  <c r="DO81" i="3"/>
  <c r="DO79" i="3"/>
  <c r="DO77" i="3"/>
  <c r="DO75" i="3"/>
  <c r="DO73" i="3"/>
  <c r="DO71" i="3"/>
  <c r="DO69" i="3"/>
  <c r="DO67" i="3"/>
  <c r="DO65" i="3"/>
  <c r="DO63" i="3"/>
  <c r="DO61" i="3"/>
  <c r="DO59" i="3"/>
  <c r="DO57" i="3"/>
  <c r="DO55" i="3"/>
  <c r="DO53" i="3"/>
  <c r="DO51" i="3"/>
  <c r="DO49" i="3"/>
  <c r="DO47" i="3"/>
  <c r="DO45" i="3"/>
  <c r="DO43" i="3"/>
  <c r="DO41" i="3"/>
  <c r="DO39" i="3"/>
  <c r="DO37" i="3"/>
  <c r="DO35" i="3"/>
  <c r="DO33" i="3"/>
  <c r="DO31" i="3"/>
  <c r="DO29" i="3"/>
  <c r="DO27" i="3"/>
  <c r="DO25" i="3"/>
  <c r="DO23" i="3"/>
  <c r="DO21" i="3"/>
  <c r="DO19" i="3"/>
  <c r="DO17" i="3"/>
  <c r="DO15" i="3"/>
  <c r="DO13" i="3"/>
  <c r="DO11" i="3"/>
  <c r="DN7" i="3"/>
  <c r="DN9" i="3"/>
  <c r="DN103" i="3"/>
  <c r="DN101" i="3"/>
  <c r="DN99" i="3"/>
  <c r="DN97" i="3"/>
  <c r="DN95" i="3"/>
  <c r="DN93" i="3"/>
  <c r="DN91" i="3"/>
  <c r="DN89" i="3"/>
  <c r="DN87" i="3"/>
  <c r="DN85" i="3"/>
  <c r="DN83" i="3"/>
  <c r="DN81" i="3"/>
  <c r="DN79" i="3"/>
  <c r="DN77" i="3"/>
  <c r="DN75" i="3"/>
  <c r="DN73" i="3"/>
  <c r="DN71" i="3"/>
  <c r="DN69" i="3"/>
  <c r="DN67" i="3"/>
  <c r="DN65" i="3"/>
  <c r="DN63" i="3"/>
  <c r="DN61" i="3"/>
  <c r="DN59" i="3"/>
  <c r="DN57" i="3"/>
  <c r="DN55" i="3"/>
  <c r="DN53" i="3"/>
  <c r="DN51" i="3"/>
  <c r="DN49" i="3"/>
  <c r="DN47" i="3"/>
  <c r="DN45" i="3"/>
  <c r="DN43" i="3"/>
  <c r="DN41" i="3"/>
  <c r="DN39" i="3"/>
  <c r="DN37" i="3"/>
  <c r="DN35" i="3"/>
  <c r="DN33" i="3"/>
  <c r="DN31" i="3"/>
  <c r="DN29" i="3"/>
  <c r="DN27" i="3"/>
  <c r="DN25" i="3"/>
  <c r="DN23" i="3"/>
  <c r="DN21" i="3"/>
  <c r="DN19" i="3"/>
  <c r="DN17" i="3"/>
  <c r="DN15" i="3"/>
  <c r="DN13" i="3"/>
  <c r="DN11" i="3"/>
  <c r="DM7" i="3"/>
  <c r="DM9" i="3"/>
  <c r="DM103" i="3"/>
  <c r="DM101" i="3"/>
  <c r="DM99" i="3"/>
  <c r="DM97" i="3"/>
  <c r="DM95" i="3"/>
  <c r="DM93" i="3"/>
  <c r="DM91" i="3"/>
  <c r="DM89" i="3"/>
  <c r="DM87" i="3"/>
  <c r="DM85" i="3"/>
  <c r="DM83" i="3"/>
  <c r="DM81" i="3"/>
  <c r="DM79" i="3"/>
  <c r="DM77" i="3"/>
  <c r="DM75" i="3"/>
  <c r="DM73" i="3"/>
  <c r="DM71" i="3"/>
  <c r="DM69" i="3"/>
  <c r="DM67" i="3"/>
  <c r="DM65" i="3"/>
  <c r="DM63" i="3"/>
  <c r="DM61" i="3"/>
  <c r="DM59" i="3"/>
  <c r="DM57" i="3"/>
  <c r="DM55" i="3"/>
  <c r="DM53" i="3"/>
  <c r="DM51" i="3"/>
  <c r="DM49" i="3"/>
  <c r="DM47" i="3"/>
  <c r="DM45" i="3"/>
  <c r="DM43" i="3"/>
  <c r="DM41" i="3"/>
  <c r="DM39" i="3"/>
  <c r="DM37" i="3"/>
  <c r="DM35" i="3"/>
  <c r="DM33" i="3"/>
  <c r="DM31" i="3"/>
  <c r="DM29" i="3"/>
  <c r="DM27" i="3"/>
  <c r="DM25" i="3"/>
  <c r="DM23" i="3"/>
  <c r="DM21" i="3"/>
  <c r="DM19" i="3"/>
  <c r="DM17" i="3"/>
  <c r="DM15" i="3"/>
  <c r="DM13" i="3"/>
  <c r="DM11" i="3"/>
  <c r="R11" i="3"/>
  <c r="DL5" i="3"/>
  <c r="DQ6" i="3"/>
  <c r="DQ8" i="3"/>
  <c r="DQ102" i="3"/>
  <c r="DQ100" i="3"/>
  <c r="DQ98" i="3"/>
  <c r="DQ96" i="3"/>
  <c r="DQ94" i="3"/>
  <c r="DQ92" i="3"/>
  <c r="DQ90" i="3"/>
  <c r="DQ88" i="3"/>
  <c r="DQ86" i="3"/>
  <c r="DQ84" i="3"/>
  <c r="DQ82" i="3"/>
  <c r="DQ80" i="3"/>
  <c r="DQ78" i="3"/>
  <c r="DQ76" i="3"/>
  <c r="DQ74" i="3"/>
  <c r="DQ72" i="3"/>
  <c r="DQ70" i="3"/>
  <c r="DQ68" i="3"/>
  <c r="DQ66" i="3"/>
  <c r="DQ64" i="3"/>
  <c r="DQ62" i="3"/>
  <c r="DQ60" i="3"/>
  <c r="DQ58" i="3"/>
  <c r="DQ56" i="3"/>
  <c r="DQ54" i="3"/>
  <c r="DQ52" i="3"/>
  <c r="DQ50" i="3"/>
  <c r="DQ48" i="3"/>
  <c r="DQ46" i="3"/>
  <c r="DQ44" i="3"/>
  <c r="DQ42" i="3"/>
  <c r="DQ40" i="3"/>
  <c r="DQ38" i="3"/>
  <c r="DQ36" i="3"/>
  <c r="DQ34" i="3"/>
  <c r="DQ32" i="3"/>
  <c r="DQ30" i="3"/>
  <c r="DQ28" i="3"/>
  <c r="DQ26" i="3"/>
  <c r="DQ24" i="3"/>
  <c r="DQ22" i="3"/>
  <c r="DQ20" i="3"/>
  <c r="DQ18" i="3"/>
  <c r="DQ16" i="3"/>
  <c r="DQ14" i="3"/>
  <c r="DQ12" i="3"/>
  <c r="DQ10" i="3"/>
  <c r="DP6" i="3"/>
  <c r="DP8" i="3"/>
  <c r="DP102" i="3"/>
  <c r="DP100" i="3"/>
  <c r="DP98" i="3"/>
  <c r="DP96" i="3"/>
  <c r="DP94" i="3"/>
  <c r="DP92" i="3"/>
  <c r="DP90" i="3"/>
  <c r="DP88" i="3"/>
  <c r="DP86" i="3"/>
  <c r="DP84" i="3"/>
  <c r="DP82" i="3"/>
  <c r="DP80" i="3"/>
  <c r="DP78" i="3"/>
  <c r="DP76" i="3"/>
  <c r="DP74" i="3"/>
  <c r="DP72" i="3"/>
  <c r="DP70" i="3"/>
  <c r="DP68" i="3"/>
  <c r="DP66" i="3"/>
  <c r="DP64" i="3"/>
  <c r="DP62" i="3"/>
  <c r="DP60" i="3"/>
  <c r="DP58" i="3"/>
  <c r="DP56" i="3"/>
  <c r="DP54" i="3"/>
  <c r="DP52" i="3"/>
  <c r="DP50" i="3"/>
  <c r="DP48" i="3"/>
  <c r="DP46" i="3"/>
  <c r="DP44" i="3"/>
  <c r="DP42" i="3"/>
  <c r="DP40" i="3"/>
  <c r="DP38" i="3"/>
  <c r="DP36" i="3"/>
  <c r="DP34" i="3"/>
  <c r="DP32" i="3"/>
  <c r="DP30" i="3"/>
  <c r="DP28" i="3"/>
  <c r="DP26" i="3"/>
  <c r="DP24" i="3"/>
  <c r="DP22" i="3"/>
  <c r="DP20" i="3"/>
  <c r="DP18" i="3"/>
  <c r="DP16" i="3"/>
  <c r="DP14" i="3"/>
  <c r="DP12" i="3"/>
  <c r="DP10" i="3"/>
  <c r="DN5" i="3"/>
  <c r="DO6" i="3"/>
  <c r="DO8" i="3"/>
  <c r="DO102" i="3"/>
  <c r="DO100" i="3"/>
  <c r="DO98" i="3"/>
  <c r="DO96" i="3"/>
  <c r="DO94" i="3"/>
  <c r="DO92" i="3"/>
  <c r="DO90" i="3"/>
  <c r="DO88" i="3"/>
  <c r="DO86" i="3"/>
  <c r="DO84" i="3"/>
  <c r="DO82" i="3"/>
  <c r="DO80" i="3"/>
  <c r="DO78" i="3"/>
  <c r="DO76" i="3"/>
  <c r="DO74" i="3"/>
  <c r="DO72" i="3"/>
  <c r="DO70" i="3"/>
  <c r="DO68" i="3"/>
  <c r="DO66" i="3"/>
  <c r="DO64" i="3"/>
  <c r="DO62" i="3"/>
  <c r="DO60" i="3"/>
  <c r="DO58" i="3"/>
  <c r="DO56" i="3"/>
  <c r="DO54" i="3"/>
  <c r="DO52" i="3"/>
  <c r="DO50" i="3"/>
  <c r="DO48" i="3"/>
  <c r="DO46" i="3"/>
  <c r="DO44" i="3"/>
  <c r="DO42" i="3"/>
  <c r="DO40" i="3"/>
  <c r="DO38" i="3"/>
  <c r="DO36" i="3"/>
  <c r="DO34" i="3"/>
  <c r="DO32" i="3"/>
  <c r="DO30" i="3"/>
  <c r="DO28" i="3"/>
  <c r="DO26" i="3"/>
  <c r="DO24" i="3"/>
  <c r="DO22" i="3"/>
  <c r="DO20" i="3"/>
  <c r="DO18" i="3"/>
  <c r="DO16" i="3"/>
  <c r="DO14" i="3"/>
  <c r="DO12" i="3"/>
  <c r="DO10" i="3"/>
  <c r="DO5" i="3"/>
  <c r="DN6" i="3"/>
  <c r="DN8" i="3"/>
  <c r="DN102" i="3"/>
  <c r="DN100" i="3"/>
  <c r="DN98" i="3"/>
  <c r="DN96" i="3"/>
  <c r="DN94" i="3"/>
  <c r="DN92" i="3"/>
  <c r="DN90" i="3"/>
  <c r="DN88" i="3"/>
  <c r="DN86" i="3"/>
  <c r="DN84" i="3"/>
  <c r="DN82" i="3"/>
  <c r="DN80" i="3"/>
  <c r="DN78" i="3"/>
  <c r="DN76" i="3"/>
  <c r="DN74" i="3"/>
  <c r="DN72" i="3"/>
  <c r="DN70" i="3"/>
  <c r="DN68" i="3"/>
  <c r="DN66" i="3"/>
  <c r="DN64" i="3"/>
  <c r="DN62" i="3"/>
  <c r="DN60" i="3"/>
  <c r="DN58" i="3"/>
  <c r="DN56" i="3"/>
  <c r="DN54" i="3"/>
  <c r="DN52" i="3"/>
  <c r="DN50" i="3"/>
  <c r="DN48" i="3"/>
  <c r="DN46" i="3"/>
  <c r="DN44" i="3"/>
  <c r="DN42" i="3"/>
  <c r="DN40" i="3"/>
  <c r="DN38" i="3"/>
  <c r="DN36" i="3"/>
  <c r="DN34" i="3"/>
  <c r="DN32" i="3"/>
  <c r="DN30" i="3"/>
  <c r="DN28" i="3"/>
  <c r="DN26" i="3"/>
  <c r="DN24" i="3"/>
  <c r="DN22" i="3"/>
  <c r="DN20" i="3"/>
  <c r="DN18" i="3"/>
  <c r="DN16" i="3"/>
  <c r="DN14" i="3"/>
  <c r="DN12" i="3"/>
  <c r="DN10" i="3"/>
  <c r="DP5" i="3"/>
  <c r="DM6" i="3"/>
  <c r="DM8" i="3"/>
  <c r="DM102" i="3"/>
  <c r="DM100" i="3"/>
  <c r="DM98" i="3"/>
  <c r="DM96" i="3"/>
  <c r="DM94" i="3"/>
  <c r="DM92" i="3"/>
  <c r="DM90" i="3"/>
  <c r="DM88" i="3"/>
  <c r="DM86" i="3"/>
  <c r="DM84" i="3"/>
  <c r="DM82" i="3"/>
  <c r="DM80" i="3"/>
  <c r="DM78" i="3"/>
  <c r="DM76" i="3"/>
  <c r="DM74" i="3"/>
  <c r="DM72" i="3"/>
  <c r="DM70" i="3"/>
  <c r="DM68" i="3"/>
  <c r="DM66" i="3"/>
  <c r="DM64" i="3"/>
  <c r="DM62" i="3"/>
  <c r="DM60" i="3"/>
  <c r="DM58" i="3"/>
  <c r="DM56" i="3"/>
  <c r="DM54" i="3"/>
  <c r="DM52" i="3"/>
  <c r="DM50" i="3"/>
  <c r="DM48" i="3"/>
  <c r="DM46" i="3"/>
  <c r="DM44" i="3"/>
  <c r="DM42" i="3"/>
  <c r="DM40" i="3"/>
  <c r="DM38" i="3"/>
  <c r="DM36" i="3"/>
  <c r="DM34" i="3"/>
  <c r="DM32" i="3"/>
  <c r="DM30" i="3"/>
  <c r="DM28" i="3"/>
  <c r="DM26" i="3"/>
  <c r="DM24" i="3"/>
  <c r="DM22" i="3"/>
  <c r="DM20" i="3"/>
  <c r="DM18" i="3"/>
  <c r="DM16" i="3"/>
  <c r="DM14" i="3"/>
  <c r="DM12" i="3"/>
  <c r="DM10" i="3"/>
  <c r="R56" i="3"/>
  <c r="R25" i="3"/>
  <c r="R61" i="3"/>
  <c r="R89" i="3"/>
  <c r="R34" i="3"/>
  <c r="R68" i="3"/>
  <c r="R92" i="3"/>
  <c r="R13" i="3"/>
  <c r="R29" i="3"/>
  <c r="R41" i="3"/>
  <c r="R45" i="3"/>
  <c r="R49" i="3"/>
  <c r="R97" i="3"/>
  <c r="R101" i="3"/>
  <c r="R14" i="3"/>
  <c r="R18" i="3"/>
  <c r="R54" i="3"/>
  <c r="R58" i="3"/>
  <c r="R70" i="3"/>
  <c r="R15" i="3"/>
  <c r="R27" i="3"/>
  <c r="R51" i="3"/>
  <c r="R47" i="3"/>
  <c r="R63" i="3"/>
  <c r="R67" i="3"/>
  <c r="R71" i="3"/>
  <c r="R75" i="3"/>
  <c r="R87" i="3"/>
  <c r="R95" i="3"/>
  <c r="R99" i="3"/>
  <c r="R12" i="3"/>
  <c r="R16" i="3"/>
  <c r="R32" i="3"/>
  <c r="R46" i="3"/>
  <c r="R69" i="3"/>
  <c r="R73" i="3"/>
  <c r="R23" i="3"/>
  <c r="R31" i="3"/>
  <c r="R35" i="3"/>
  <c r="R39" i="3"/>
  <c r="R66" i="3"/>
  <c r="R78" i="3"/>
  <c r="R90" i="3"/>
  <c r="R93" i="3"/>
  <c r="R9" i="3"/>
  <c r="R82" i="3"/>
  <c r="R20" i="3"/>
  <c r="R59" i="3"/>
  <c r="R98" i="3"/>
  <c r="R17" i="3"/>
  <c r="R44" i="3"/>
  <c r="R83" i="3"/>
  <c r="R6" i="3"/>
  <c r="R21" i="3"/>
  <c r="R102" i="3"/>
  <c r="R22" i="3"/>
  <c r="R53" i="3"/>
  <c r="R80" i="3"/>
  <c r="R103" i="3"/>
  <c r="R7" i="3"/>
  <c r="R26" i="3"/>
  <c r="R33" i="3"/>
  <c r="R37" i="3"/>
  <c r="R57" i="3"/>
  <c r="DJ103" i="3"/>
  <c r="DK101" i="3"/>
  <c r="DJ99" i="3"/>
  <c r="DJ97" i="3"/>
  <c r="DK95" i="3"/>
  <c r="DJ93" i="3"/>
  <c r="DJ91" i="3"/>
  <c r="DK89" i="3"/>
  <c r="DJ87" i="3"/>
  <c r="DJ85" i="3"/>
  <c r="DK83" i="3"/>
  <c r="DJ81" i="3"/>
  <c r="DJ79" i="3"/>
  <c r="DK77" i="3"/>
  <c r="DJ75" i="3"/>
  <c r="R30" i="3"/>
  <c r="R42" i="3"/>
  <c r="R65" i="3"/>
  <c r="R77" i="3"/>
  <c r="R81" i="3"/>
  <c r="R85" i="3"/>
  <c r="R8" i="3"/>
  <c r="R28" i="3"/>
  <c r="R38" i="3"/>
  <c r="R64" i="3"/>
  <c r="R74" i="3"/>
  <c r="R100" i="3"/>
  <c r="R48" i="3"/>
  <c r="R84" i="3"/>
  <c r="R19" i="3"/>
  <c r="R55" i="3"/>
  <c r="R91" i="3"/>
  <c r="R52" i="3"/>
  <c r="R88" i="3"/>
  <c r="R10" i="3"/>
  <c r="R36" i="3"/>
  <c r="R72" i="3"/>
  <c r="R43" i="3"/>
  <c r="R79" i="3"/>
  <c r="DJ73" i="3"/>
  <c r="DK71" i="3"/>
  <c r="DJ69" i="3"/>
  <c r="DJ67" i="3"/>
  <c r="DK65" i="3"/>
  <c r="DJ53" i="3"/>
  <c r="DJ41" i="3"/>
  <c r="DJ35" i="3"/>
  <c r="DJ29" i="3"/>
  <c r="DJ23" i="3"/>
  <c r="DJ17" i="3"/>
  <c r="DJ11" i="3"/>
  <c r="R40" i="3"/>
  <c r="R50" i="3"/>
  <c r="R76" i="3"/>
  <c r="R86" i="3"/>
  <c r="R24" i="3"/>
  <c r="R60" i="3"/>
  <c r="R96" i="3"/>
  <c r="DJ102" i="3"/>
  <c r="DJ100" i="3"/>
  <c r="DJ98" i="3"/>
  <c r="BL94" i="3"/>
  <c r="BL82" i="3"/>
  <c r="BL70" i="3"/>
  <c r="BL58" i="3"/>
  <c r="BL46" i="3"/>
  <c r="BL34" i="3"/>
  <c r="BL22" i="3"/>
  <c r="BL10" i="3"/>
  <c r="DJ96" i="3"/>
  <c r="DK94" i="3"/>
  <c r="DJ92" i="3"/>
  <c r="DJ90" i="3"/>
  <c r="DK88" i="3"/>
  <c r="DJ86" i="3"/>
  <c r="DJ84" i="3"/>
  <c r="DK82" i="3"/>
  <c r="DJ80" i="3"/>
  <c r="DJ78" i="3"/>
  <c r="DK76" i="3"/>
  <c r="DJ74" i="3"/>
  <c r="DJ72" i="3"/>
  <c r="DK70" i="3"/>
  <c r="DJ68" i="3"/>
  <c r="DJ66" i="3"/>
  <c r="DK64" i="3"/>
  <c r="DJ62" i="3"/>
  <c r="DJ60" i="3"/>
  <c r="DK58" i="3"/>
  <c r="DJ56" i="3"/>
  <c r="DJ54" i="3"/>
  <c r="DK52" i="3"/>
  <c r="DJ50" i="3"/>
  <c r="DJ48" i="3"/>
  <c r="DK46" i="3"/>
  <c r="DJ44" i="3"/>
  <c r="DJ42" i="3"/>
  <c r="DK40" i="3"/>
  <c r="DJ38" i="3"/>
  <c r="DJ36" i="3"/>
  <c r="DK34" i="3"/>
  <c r="DJ32" i="3"/>
  <c r="DJ30" i="3"/>
  <c r="DK28" i="3"/>
  <c r="DJ26" i="3"/>
  <c r="DJ24" i="3"/>
  <c r="DK22" i="3"/>
  <c r="DJ20" i="3"/>
  <c r="DJ18" i="3"/>
  <c r="DK16" i="3"/>
  <c r="DJ14" i="3"/>
  <c r="DJ12" i="3"/>
  <c r="DK10" i="3"/>
  <c r="DJ8" i="3"/>
  <c r="DJ6" i="3"/>
  <c r="DJ101" i="3"/>
  <c r="DJ95" i="3"/>
  <c r="DJ89" i="3"/>
  <c r="DJ83" i="3"/>
  <c r="DJ77" i="3"/>
  <c r="DJ63" i="3"/>
  <c r="DJ61" i="3"/>
  <c r="DK59" i="3"/>
  <c r="DJ57" i="3"/>
  <c r="DJ55" i="3"/>
  <c r="DK53" i="3"/>
  <c r="DJ51" i="3"/>
  <c r="DJ49" i="3"/>
  <c r="DK47" i="3"/>
  <c r="DJ45" i="3"/>
  <c r="DJ43" i="3"/>
  <c r="DK41" i="3"/>
  <c r="DJ39" i="3"/>
  <c r="DJ37" i="3"/>
  <c r="DK35" i="3"/>
  <c r="DJ33" i="3"/>
  <c r="DJ31" i="3"/>
  <c r="DK29" i="3"/>
  <c r="DJ27" i="3"/>
  <c r="DJ25" i="3"/>
  <c r="DK23" i="3"/>
  <c r="DJ21" i="3"/>
  <c r="DJ19" i="3"/>
  <c r="DK17" i="3"/>
  <c r="DJ15" i="3"/>
  <c r="DJ13" i="3"/>
  <c r="DK11" i="3"/>
  <c r="DJ9" i="3"/>
  <c r="DJ7" i="3"/>
  <c r="DJ71" i="3"/>
  <c r="DK5" i="3"/>
  <c r="DJ65" i="3"/>
  <c r="DJ59" i="3"/>
  <c r="DJ94" i="3"/>
  <c r="DJ88" i="3"/>
  <c r="DJ82" i="3"/>
  <c r="DJ76" i="3"/>
  <c r="DJ70" i="3"/>
  <c r="DJ64" i="3"/>
  <c r="DJ58" i="3"/>
  <c r="DJ52" i="3"/>
  <c r="DJ46" i="3"/>
  <c r="DJ40" i="3"/>
  <c r="DJ34" i="3"/>
  <c r="DJ28" i="3"/>
  <c r="DJ22" i="3"/>
  <c r="DJ16" i="3"/>
  <c r="DJ10" i="3"/>
  <c r="DJ47" i="3"/>
  <c r="BP102" i="3"/>
  <c r="BP96" i="3"/>
  <c r="BP90" i="3"/>
  <c r="BP82" i="3"/>
  <c r="BO101" i="3"/>
  <c r="BO98" i="3"/>
  <c r="DK100" i="3"/>
  <c r="DK99" i="3"/>
  <c r="DK93" i="3"/>
  <c r="DK87" i="3"/>
  <c r="DK81" i="3"/>
  <c r="DK75" i="3"/>
  <c r="DK69" i="3"/>
  <c r="DK63" i="3"/>
  <c r="DK57" i="3"/>
  <c r="DK51" i="3"/>
  <c r="DK45" i="3"/>
  <c r="DK39" i="3"/>
  <c r="DK33" i="3"/>
  <c r="DK27" i="3"/>
  <c r="DK21" i="3"/>
  <c r="DK15" i="3"/>
  <c r="DK9" i="3"/>
  <c r="BP100" i="3"/>
  <c r="BP94" i="3"/>
  <c r="BP89" i="3"/>
  <c r="BP88" i="3"/>
  <c r="BP81" i="3"/>
  <c r="BP80" i="3"/>
  <c r="BP79" i="3"/>
  <c r="BP78" i="3"/>
  <c r="BP77" i="3"/>
  <c r="BP76" i="3"/>
  <c r="BP75" i="3"/>
  <c r="BP74" i="3"/>
  <c r="BP73" i="3"/>
  <c r="BP72" i="3"/>
  <c r="BP71" i="3"/>
  <c r="BP70" i="3"/>
  <c r="BP69" i="3"/>
  <c r="BP68" i="3"/>
  <c r="BP67" i="3"/>
  <c r="BP66" i="3"/>
  <c r="BP65" i="3"/>
  <c r="BP64" i="3"/>
  <c r="BP63" i="3"/>
  <c r="BP62" i="3"/>
  <c r="BP61" i="3"/>
  <c r="BP60" i="3"/>
  <c r="BP59" i="3"/>
  <c r="BP58" i="3"/>
  <c r="BP57" i="3"/>
  <c r="BP56" i="3"/>
  <c r="BP55" i="3"/>
  <c r="BP54" i="3"/>
  <c r="BP53" i="3"/>
  <c r="BP52" i="3"/>
  <c r="BP51" i="3"/>
  <c r="BP50" i="3"/>
  <c r="BP49" i="3"/>
  <c r="BP48" i="3"/>
  <c r="BP47" i="3"/>
  <c r="BP46" i="3"/>
  <c r="BP45" i="3"/>
  <c r="BP44" i="3"/>
  <c r="BP43" i="3"/>
  <c r="BP42" i="3"/>
  <c r="BP41" i="3"/>
  <c r="BP40" i="3"/>
  <c r="BP39" i="3"/>
  <c r="BP38" i="3"/>
  <c r="BP37" i="3"/>
  <c r="BP36" i="3"/>
  <c r="BP35" i="3"/>
  <c r="BP34" i="3"/>
  <c r="BP33" i="3"/>
  <c r="BP32" i="3"/>
  <c r="BP31" i="3"/>
  <c r="BP30" i="3"/>
  <c r="BP29" i="3"/>
  <c r="BP28" i="3"/>
  <c r="DJ5" i="3"/>
  <c r="DK98" i="3"/>
  <c r="DK92" i="3"/>
  <c r="DK86" i="3"/>
  <c r="DK80" i="3"/>
  <c r="DK74" i="3"/>
  <c r="DK68" i="3"/>
  <c r="DK62" i="3"/>
  <c r="DK56" i="3"/>
  <c r="DK50" i="3"/>
  <c r="DK44" i="3"/>
  <c r="DK38" i="3"/>
  <c r="DK32" i="3"/>
  <c r="DK26" i="3"/>
  <c r="DK20" i="3"/>
  <c r="DK14" i="3"/>
  <c r="DK8" i="3"/>
  <c r="BP97" i="3"/>
  <c r="BP87" i="3"/>
  <c r="BP103" i="3"/>
  <c r="BP95" i="3"/>
  <c r="BP85" i="3"/>
  <c r="BO102" i="3"/>
  <c r="BO100" i="3"/>
  <c r="BO95" i="3"/>
  <c r="BO94" i="3"/>
  <c r="BO93" i="3"/>
  <c r="BO92" i="3"/>
  <c r="BO91" i="3"/>
  <c r="BO90" i="3"/>
  <c r="BO89" i="3"/>
  <c r="BO88" i="3"/>
  <c r="BO87" i="3"/>
  <c r="BO86" i="3"/>
  <c r="BO85" i="3"/>
  <c r="BO84" i="3"/>
  <c r="BO83" i="3"/>
  <c r="BO82" i="3"/>
  <c r="BO81" i="3"/>
  <c r="BO80" i="3"/>
  <c r="BO79" i="3"/>
  <c r="BO78" i="3"/>
  <c r="BO77" i="3"/>
  <c r="BO76" i="3"/>
  <c r="BO75" i="3"/>
  <c r="BO74" i="3"/>
  <c r="BO73" i="3"/>
  <c r="BO72" i="3"/>
  <c r="BO71" i="3"/>
  <c r="BO70" i="3"/>
  <c r="BO69" i="3"/>
  <c r="BO68" i="3"/>
  <c r="BO67" i="3"/>
  <c r="BO66" i="3"/>
  <c r="BO65" i="3"/>
  <c r="BO64" i="3"/>
  <c r="BO31" i="3"/>
  <c r="DK103" i="3"/>
  <c r="DK97" i="3"/>
  <c r="DK91" i="3"/>
  <c r="DK85" i="3"/>
  <c r="DK79" i="3"/>
  <c r="DK73" i="3"/>
  <c r="DK67" i="3"/>
  <c r="DK61" i="3"/>
  <c r="DK55" i="3"/>
  <c r="DK49" i="3"/>
  <c r="DK43" i="3"/>
  <c r="DK37" i="3"/>
  <c r="DK31" i="3"/>
  <c r="DK25" i="3"/>
  <c r="DK19" i="3"/>
  <c r="DK13" i="3"/>
  <c r="DK7" i="3"/>
  <c r="BP101" i="3"/>
  <c r="BP93" i="3"/>
  <c r="BP84" i="3"/>
  <c r="BO99" i="3"/>
  <c r="BP99" i="3"/>
  <c r="BP92" i="3"/>
  <c r="BP86" i="3"/>
  <c r="BO97" i="3"/>
  <c r="DK102" i="3"/>
  <c r="DK96" i="3"/>
  <c r="DK90" i="3"/>
  <c r="DK84" i="3"/>
  <c r="DK78" i="3"/>
  <c r="DK72" i="3"/>
  <c r="DK66" i="3"/>
  <c r="DK60" i="3"/>
  <c r="DK54" i="3"/>
  <c r="DK48" i="3"/>
  <c r="DK42" i="3"/>
  <c r="DK36" i="3"/>
  <c r="DK30" i="3"/>
  <c r="DK24" i="3"/>
  <c r="DK18" i="3"/>
  <c r="DK12" i="3"/>
  <c r="DK6" i="3"/>
  <c r="BP98" i="3"/>
  <c r="BP91" i="3"/>
  <c r="BP83" i="3"/>
  <c r="BO103" i="3"/>
  <c r="BO96" i="3"/>
  <c r="BM100" i="3"/>
  <c r="BM94" i="3"/>
  <c r="BM89" i="3"/>
  <c r="BM83" i="3"/>
  <c r="BM76" i="3"/>
  <c r="BM62" i="3"/>
  <c r="BN103" i="3"/>
  <c r="BN102" i="3"/>
  <c r="BN101" i="3"/>
  <c r="BN100" i="3"/>
  <c r="BN99" i="3"/>
  <c r="BN98" i="3"/>
  <c r="BN97" i="3"/>
  <c r="BN96" i="3"/>
  <c r="BN95" i="3"/>
  <c r="BN94" i="3"/>
  <c r="BN93" i="3"/>
  <c r="BN92" i="3"/>
  <c r="BN91" i="3"/>
  <c r="BN90" i="3"/>
  <c r="BN89" i="3"/>
  <c r="BN88" i="3"/>
  <c r="BN87" i="3"/>
  <c r="BN86" i="3"/>
  <c r="BN85" i="3"/>
  <c r="BN84" i="3"/>
  <c r="BN83" i="3"/>
  <c r="BN82" i="3"/>
  <c r="BN81" i="3"/>
  <c r="BN80" i="3"/>
  <c r="BN79" i="3"/>
  <c r="BN78" i="3"/>
  <c r="BN77" i="3"/>
  <c r="BN76" i="3"/>
  <c r="BN75" i="3"/>
  <c r="BM103" i="3"/>
  <c r="BM99" i="3"/>
  <c r="BM95" i="3"/>
  <c r="BM90" i="3"/>
  <c r="BM85" i="3"/>
  <c r="BM80" i="3"/>
  <c r="BM74" i="3"/>
  <c r="BM71" i="3"/>
  <c r="BM68" i="3"/>
  <c r="BM64" i="3"/>
  <c r="BM60" i="3"/>
  <c r="BM56" i="3"/>
  <c r="BM53" i="3"/>
  <c r="BM50" i="3"/>
  <c r="BM47" i="3"/>
  <c r="BM46" i="3"/>
  <c r="BM45" i="3"/>
  <c r="BM42" i="3"/>
  <c r="BM41" i="3"/>
  <c r="BM40" i="3"/>
  <c r="BM39" i="3"/>
  <c r="BM101" i="3"/>
  <c r="BM96" i="3"/>
  <c r="BM91" i="3"/>
  <c r="BM86" i="3"/>
  <c r="BM81" i="3"/>
  <c r="BM77" i="3"/>
  <c r="BM73" i="3"/>
  <c r="BM69" i="3"/>
  <c r="BM65" i="3"/>
  <c r="BM61" i="3"/>
  <c r="BM58" i="3"/>
  <c r="BM54" i="3"/>
  <c r="BM51" i="3"/>
  <c r="BM48" i="3"/>
  <c r="BM43" i="3"/>
  <c r="BM98" i="3"/>
  <c r="BM93" i="3"/>
  <c r="BM88" i="3"/>
  <c r="BM84" i="3"/>
  <c r="BM79" i="3"/>
  <c r="BM75" i="3"/>
  <c r="BM70" i="3"/>
  <c r="BM66" i="3"/>
  <c r="BM63" i="3"/>
  <c r="BM59" i="3"/>
  <c r="BM55" i="3"/>
  <c r="BM52" i="3"/>
  <c r="BM49" i="3"/>
  <c r="BM44" i="3"/>
  <c r="BM102" i="3"/>
  <c r="BM97" i="3"/>
  <c r="BM92" i="3"/>
  <c r="BM87" i="3"/>
  <c r="BM82" i="3"/>
  <c r="BM78" i="3"/>
  <c r="BM72" i="3"/>
  <c r="BM67" i="3"/>
  <c r="BM57" i="3"/>
  <c r="BN74" i="3"/>
  <c r="BN73" i="3"/>
  <c r="BN72" i="3"/>
  <c r="BN71" i="3"/>
  <c r="BN70" i="3"/>
  <c r="BN69" i="3"/>
  <c r="BN68" i="3"/>
  <c r="BN67" i="3"/>
  <c r="BN66" i="3"/>
  <c r="BN65" i="3"/>
  <c r="BN64" i="3"/>
  <c r="BN63" i="3"/>
  <c r="BN62" i="3"/>
  <c r="BN61" i="3"/>
  <c r="BN60" i="3"/>
  <c r="BN59" i="3"/>
  <c r="BN58" i="3"/>
  <c r="BN57" i="3"/>
  <c r="BN56" i="3"/>
  <c r="BN55" i="3"/>
  <c r="BN54" i="3"/>
  <c r="BN53" i="3"/>
  <c r="BN52" i="3"/>
  <c r="BN51" i="3"/>
  <c r="BN50" i="3"/>
  <c r="BN49" i="3"/>
  <c r="BN48" i="3"/>
  <c r="BN47" i="3"/>
  <c r="BN46" i="3"/>
  <c r="BN45" i="3"/>
  <c r="BN44" i="3"/>
  <c r="BN43" i="3"/>
  <c r="BN42" i="3"/>
  <c r="BN41" i="3"/>
  <c r="BN40" i="3"/>
  <c r="BN39" i="3"/>
  <c r="BN38" i="3"/>
  <c r="BN37" i="3"/>
  <c r="BN36" i="3"/>
  <c r="BN35" i="3"/>
  <c r="BN34" i="3"/>
  <c r="BN33" i="3"/>
  <c r="BN32" i="3"/>
  <c r="BN31" i="3"/>
  <c r="BN30" i="3"/>
  <c r="BN29" i="3"/>
  <c r="BN28" i="3"/>
  <c r="BN27" i="3"/>
  <c r="BN26" i="3"/>
  <c r="BN25" i="3"/>
  <c r="BN24" i="3"/>
  <c r="BN23" i="3"/>
  <c r="BN22" i="3"/>
  <c r="BN21" i="3"/>
  <c r="BN20" i="3"/>
  <c r="BN19" i="3"/>
  <c r="BN18" i="3"/>
  <c r="BN17" i="3"/>
  <c r="BN16" i="3"/>
  <c r="BN15" i="3"/>
  <c r="BN14" i="3"/>
  <c r="BN13" i="3"/>
  <c r="BN12" i="3"/>
  <c r="BN11" i="3"/>
  <c r="BN10" i="3"/>
  <c r="BN9" i="3"/>
  <c r="BN8" i="3"/>
  <c r="BN7" i="3"/>
  <c r="BN6" i="3"/>
  <c r="BM38" i="3"/>
  <c r="BM37" i="3"/>
  <c r="BM36" i="3"/>
  <c r="BM35" i="3"/>
  <c r="BM34" i="3"/>
  <c r="BM33" i="3"/>
  <c r="BM32" i="3"/>
  <c r="BM31" i="3"/>
  <c r="BM30" i="3"/>
  <c r="BM29" i="3"/>
  <c r="BM28" i="3"/>
  <c r="BM27" i="3"/>
  <c r="BM26" i="3"/>
  <c r="BM25" i="3"/>
  <c r="BM24" i="3"/>
  <c r="BM23" i="3"/>
  <c r="BM22" i="3"/>
  <c r="BM21" i="3"/>
  <c r="BM20" i="3"/>
  <c r="BM19" i="3"/>
  <c r="BM18" i="3"/>
  <c r="BM17" i="3"/>
  <c r="BM16" i="3"/>
  <c r="BM15" i="3"/>
  <c r="BM14" i="3"/>
  <c r="BM13" i="3"/>
  <c r="BM12" i="3"/>
  <c r="BM11" i="3"/>
  <c r="BM10" i="3"/>
  <c r="BM9" i="3"/>
  <c r="BM8" i="3"/>
  <c r="BM7" i="3"/>
  <c r="BM6" i="3"/>
  <c r="BL5" i="3"/>
  <c r="BN5" i="3"/>
  <c r="BQ103" i="3"/>
  <c r="BQ101" i="3"/>
  <c r="BQ99" i="3"/>
  <c r="BQ97" i="3"/>
  <c r="BQ95" i="3"/>
  <c r="BQ93" i="3"/>
  <c r="BQ91" i="3"/>
  <c r="BQ89" i="3"/>
  <c r="BQ87" i="3"/>
  <c r="BQ85" i="3"/>
  <c r="BQ83" i="3"/>
  <c r="BQ81" i="3"/>
  <c r="BQ79" i="3"/>
  <c r="BQ77" i="3"/>
  <c r="BQ75" i="3"/>
  <c r="BQ73" i="3"/>
  <c r="BQ71" i="3"/>
  <c r="BQ69" i="3"/>
  <c r="BQ67" i="3"/>
  <c r="BQ65" i="3"/>
  <c r="BQ63" i="3"/>
  <c r="BQ61" i="3"/>
  <c r="BQ59" i="3"/>
  <c r="BQ57" i="3"/>
  <c r="BQ56" i="3"/>
  <c r="BQ55" i="3"/>
  <c r="BQ54" i="3"/>
  <c r="BQ53" i="3"/>
  <c r="BQ51" i="3"/>
  <c r="BQ50" i="3"/>
  <c r="BQ49" i="3"/>
  <c r="BQ48" i="3"/>
  <c r="BQ47" i="3"/>
  <c r="BQ46" i="3"/>
  <c r="BQ45" i="3"/>
  <c r="BQ44" i="3"/>
  <c r="BQ43" i="3"/>
  <c r="BQ42" i="3"/>
  <c r="BQ41" i="3"/>
  <c r="BQ40" i="3"/>
  <c r="BQ39" i="3"/>
  <c r="BQ38" i="3"/>
  <c r="BQ37" i="3"/>
  <c r="BQ36" i="3"/>
  <c r="BQ35" i="3"/>
  <c r="BQ34" i="3"/>
  <c r="BQ33" i="3"/>
  <c r="BQ32" i="3"/>
  <c r="BQ31" i="3"/>
  <c r="BQ30" i="3"/>
  <c r="BQ29" i="3"/>
  <c r="BQ28" i="3"/>
  <c r="BQ27" i="3"/>
  <c r="BQ26" i="3"/>
  <c r="BQ25" i="3"/>
  <c r="BQ24" i="3"/>
  <c r="BQ23" i="3"/>
  <c r="BQ22" i="3"/>
  <c r="BQ21" i="3"/>
  <c r="BQ20" i="3"/>
  <c r="BQ19" i="3"/>
  <c r="BQ18" i="3"/>
  <c r="BQ17" i="3"/>
  <c r="BQ16" i="3"/>
  <c r="BQ15" i="3"/>
  <c r="BQ14" i="3"/>
  <c r="BQ13" i="3"/>
  <c r="BQ12" i="3"/>
  <c r="BQ11" i="3"/>
  <c r="BQ10" i="3"/>
  <c r="BQ9" i="3"/>
  <c r="BQ8" i="3"/>
  <c r="BQ102" i="3"/>
  <c r="BQ100" i="3"/>
  <c r="BQ98" i="3"/>
  <c r="BQ96" i="3"/>
  <c r="BQ94" i="3"/>
  <c r="BQ92" i="3"/>
  <c r="BQ90" i="3"/>
  <c r="BQ88" i="3"/>
  <c r="BQ86" i="3"/>
  <c r="BQ84" i="3"/>
  <c r="BQ82" i="3"/>
  <c r="BQ80" i="3"/>
  <c r="BQ78" i="3"/>
  <c r="BQ76" i="3"/>
  <c r="BQ74" i="3"/>
  <c r="BQ72" i="3"/>
  <c r="BQ70" i="3"/>
  <c r="BQ68" i="3"/>
  <c r="BQ66" i="3"/>
  <c r="BQ64" i="3"/>
  <c r="BQ62" i="3"/>
  <c r="BQ60" i="3"/>
  <c r="BQ58" i="3"/>
  <c r="BQ52" i="3"/>
  <c r="BP27" i="3"/>
  <c r="BP26" i="3"/>
  <c r="BP25" i="3"/>
  <c r="BP24" i="3"/>
  <c r="BP23" i="3"/>
  <c r="BP22" i="3"/>
  <c r="BP21" i="3"/>
  <c r="BP20" i="3"/>
  <c r="BP19" i="3"/>
  <c r="BP18" i="3"/>
  <c r="BP17" i="3"/>
  <c r="BP16" i="3"/>
  <c r="BP15" i="3"/>
  <c r="BP14" i="3"/>
  <c r="BP13" i="3"/>
  <c r="BP12" i="3"/>
  <c r="BP11" i="3"/>
  <c r="BP10" i="3"/>
  <c r="BP9" i="3"/>
  <c r="BP8" i="3"/>
  <c r="BP7" i="3"/>
  <c r="BP6" i="3"/>
  <c r="BQ5" i="3"/>
  <c r="BO62" i="3"/>
  <c r="BO60" i="3"/>
  <c r="BO58" i="3"/>
  <c r="BO56" i="3"/>
  <c r="BO54" i="3"/>
  <c r="BO52" i="3"/>
  <c r="BO51" i="3"/>
  <c r="BO50" i="3"/>
  <c r="BO49" i="3"/>
  <c r="BO48" i="3"/>
  <c r="BO47" i="3"/>
  <c r="BO46" i="3"/>
  <c r="BO44" i="3"/>
  <c r="BO43" i="3"/>
  <c r="BO42" i="3"/>
  <c r="BO41" i="3"/>
  <c r="BO40" i="3"/>
  <c r="BO39" i="3"/>
  <c r="BO38" i="3"/>
  <c r="BO37" i="3"/>
  <c r="BO36" i="3"/>
  <c r="BO35" i="3"/>
  <c r="BO34" i="3"/>
  <c r="BO33" i="3"/>
  <c r="BO32" i="3"/>
  <c r="BO30" i="3"/>
  <c r="BO29" i="3"/>
  <c r="BO28" i="3"/>
  <c r="BO27" i="3"/>
  <c r="BO26" i="3"/>
  <c r="BO25" i="3"/>
  <c r="BO24" i="3"/>
  <c r="BO23" i="3"/>
  <c r="BO22" i="3"/>
  <c r="BO19" i="3"/>
  <c r="BO7" i="3"/>
  <c r="BO63" i="3"/>
  <c r="BO61" i="3"/>
  <c r="BO59" i="3"/>
  <c r="BO57" i="3"/>
  <c r="BO55" i="3"/>
  <c r="BO53" i="3"/>
  <c r="BO45" i="3"/>
  <c r="BL102" i="3"/>
  <c r="BL100" i="3"/>
  <c r="BL98" i="3"/>
  <c r="BL96" i="3"/>
  <c r="BL93" i="3"/>
  <c r="BL91" i="3"/>
  <c r="BL89" i="3"/>
  <c r="BL87" i="3"/>
  <c r="BL85" i="3"/>
  <c r="BL83" i="3"/>
  <c r="BL80" i="3"/>
  <c r="BL78" i="3"/>
  <c r="BL76" i="3"/>
  <c r="BL74" i="3"/>
  <c r="BL71" i="3"/>
  <c r="BL69" i="3"/>
  <c r="BL67" i="3"/>
  <c r="BL65" i="3"/>
  <c r="BL63" i="3"/>
  <c r="BL61" i="3"/>
  <c r="BL59" i="3"/>
  <c r="BL57" i="3"/>
  <c r="BL56" i="3"/>
  <c r="BL54" i="3"/>
  <c r="BL53" i="3"/>
  <c r="BL52" i="3"/>
  <c r="BL51" i="3"/>
  <c r="BL50" i="3"/>
  <c r="BL49" i="3"/>
  <c r="BL48" i="3"/>
  <c r="BL47" i="3"/>
  <c r="BL45" i="3"/>
  <c r="BL44" i="3"/>
  <c r="BL43" i="3"/>
  <c r="BL42" i="3"/>
  <c r="BL41" i="3"/>
  <c r="BL40" i="3"/>
  <c r="BL39" i="3"/>
  <c r="BL38" i="3"/>
  <c r="BL37" i="3"/>
  <c r="BL36" i="3"/>
  <c r="BL35" i="3"/>
  <c r="BL33" i="3"/>
  <c r="BL32" i="3"/>
  <c r="BL31" i="3"/>
  <c r="BL30" i="3"/>
  <c r="BL29" i="3"/>
  <c r="BL28" i="3"/>
  <c r="BL27" i="3"/>
  <c r="BL26" i="3"/>
  <c r="BL25" i="3"/>
  <c r="BL24" i="3"/>
  <c r="BL23" i="3"/>
  <c r="BL21" i="3"/>
  <c r="BL20" i="3"/>
  <c r="BL19" i="3"/>
  <c r="BL18" i="3"/>
  <c r="BL17" i="3"/>
  <c r="BL16" i="3"/>
  <c r="BL15" i="3"/>
  <c r="BL14" i="3"/>
  <c r="BL13" i="3"/>
  <c r="BL12" i="3"/>
  <c r="BL11" i="3"/>
  <c r="BL9" i="3"/>
  <c r="BL8" i="3"/>
  <c r="BL7" i="3"/>
  <c r="BL6" i="3"/>
  <c r="BL103" i="3"/>
  <c r="BL101" i="3"/>
  <c r="BL99" i="3"/>
  <c r="BL97" i="3"/>
  <c r="BL95" i="3"/>
  <c r="BL92" i="3"/>
  <c r="BL90" i="3"/>
  <c r="BL88" i="3"/>
  <c r="BL86" i="3"/>
  <c r="BL84" i="3"/>
  <c r="BL81" i="3"/>
  <c r="BL79" i="3"/>
  <c r="BL77" i="3"/>
  <c r="BL75" i="3"/>
  <c r="BL73" i="3"/>
  <c r="BL72" i="3"/>
  <c r="BL68" i="3"/>
  <c r="BL66" i="3"/>
  <c r="BL64" i="3"/>
  <c r="BL62" i="3"/>
  <c r="BL60" i="3"/>
  <c r="BL55" i="3"/>
  <c r="BM5" i="3"/>
  <c r="BQ7" i="3"/>
  <c r="BQ6" i="3"/>
  <c r="BO5" i="3"/>
  <c r="BP5" i="3"/>
  <c r="BO21" i="3"/>
  <c r="BO20" i="3"/>
  <c r="BO18" i="3"/>
  <c r="BO17" i="3"/>
  <c r="BO16" i="3"/>
  <c r="BO15" i="3"/>
  <c r="BO14" i="3"/>
  <c r="BO13" i="3"/>
  <c r="BO12" i="3"/>
  <c r="BO11" i="3"/>
  <c r="BO10" i="3"/>
  <c r="BO9" i="3"/>
  <c r="BO8" i="3"/>
  <c r="BO6" i="3"/>
  <c r="S18" i="3" l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S54" i="3" s="1"/>
  <c r="S55" i="3" s="1"/>
  <c r="S56" i="3" s="1"/>
  <c r="S57" i="3" s="1"/>
  <c r="S58" i="3" s="1"/>
  <c r="S59" i="3" s="1"/>
  <c r="S60" i="3" s="1"/>
  <c r="S61" i="3" s="1"/>
  <c r="S62" i="3" s="1"/>
  <c r="S63" i="3" s="1"/>
  <c r="S64" i="3" s="1"/>
  <c r="S65" i="3" s="1"/>
  <c r="S66" i="3" s="1"/>
  <c r="S67" i="3" s="1"/>
  <c r="S68" i="3" s="1"/>
  <c r="S69" i="3" s="1"/>
  <c r="S70" i="3" s="1"/>
  <c r="S71" i="3" s="1"/>
  <c r="S72" i="3" s="1"/>
  <c r="S73" i="3" s="1"/>
  <c r="S74" i="3" s="1"/>
  <c r="S75" i="3" s="1"/>
  <c r="S76" i="3" s="1"/>
  <c r="S77" i="3" s="1"/>
  <c r="S78" i="3" s="1"/>
  <c r="S79" i="3" s="1"/>
  <c r="S80" i="3" s="1"/>
  <c r="S81" i="3" s="1"/>
  <c r="S82" i="3" s="1"/>
  <c r="S83" i="3" s="1"/>
  <c r="S84" i="3" s="1"/>
  <c r="S85" i="3" s="1"/>
  <c r="S86" i="3" s="1"/>
  <c r="S87" i="3" s="1"/>
  <c r="S88" i="3" s="1"/>
  <c r="S89" i="3" s="1"/>
  <c r="S90" i="3" s="1"/>
  <c r="S91" i="3" s="1"/>
  <c r="S92" i="3" s="1"/>
  <c r="S93" i="3" s="1"/>
  <c r="S94" i="3" s="1"/>
  <c r="S95" i="3" s="1"/>
  <c r="S96" i="3" s="1"/>
  <c r="S97" i="3" s="1"/>
  <c r="S98" i="3" s="1"/>
  <c r="S99" i="3" s="1"/>
  <c r="S100" i="3" s="1"/>
  <c r="S101" i="3" s="1"/>
  <c r="S102" i="3" s="1"/>
  <c r="S103" i="3" s="1"/>
  <c r="S3" i="3"/>
  <c r="CD32" i="3" s="1"/>
  <c r="CK32" i="3" s="1" a="1"/>
  <c r="CK32" i="3" s="1"/>
  <c r="CA23" i="3" l="1"/>
  <c r="CH23" i="3" s="1" a="1"/>
  <c r="CH23" i="3" s="1"/>
  <c r="CA94" i="3"/>
  <c r="CH94" i="3" s="1" a="1"/>
  <c r="CH94" i="3" s="1"/>
  <c r="CC20" i="3"/>
  <c r="CJ20" i="3" s="1" a="1"/>
  <c r="CJ20" i="3" s="1"/>
  <c r="BZ41" i="3"/>
  <c r="CG41" i="3" s="1" a="1"/>
  <c r="CG41" i="3" s="1"/>
  <c r="BZ31" i="3"/>
  <c r="CG31" i="3" s="1" a="1"/>
  <c r="CG31" i="3" s="1"/>
  <c r="CA52" i="3"/>
  <c r="CH52" i="3" s="1" a="1"/>
  <c r="CH52" i="3" s="1"/>
  <c r="CC51" i="3"/>
  <c r="CJ51" i="3" s="1" a="1"/>
  <c r="CJ51" i="3" s="1"/>
  <c r="CC30" i="3"/>
  <c r="CJ30" i="3" s="1" a="1"/>
  <c r="CJ30" i="3" s="1"/>
  <c r="CB30" i="3"/>
  <c r="CI30" i="3" s="1" a="1"/>
  <c r="CI30" i="3" s="1"/>
  <c r="CB39" i="3"/>
  <c r="CI39" i="3" s="1" a="1"/>
  <c r="CI39" i="3" s="1"/>
  <c r="CD77" i="3"/>
  <c r="CK77" i="3" s="1" a="1"/>
  <c r="CK77" i="3" s="1"/>
  <c r="CD65" i="3"/>
  <c r="CK65" i="3" s="1" a="1"/>
  <c r="CK65" i="3" s="1"/>
  <c r="BZ39" i="3"/>
  <c r="CG39" i="3" s="1" a="1"/>
  <c r="CG39" i="3" s="1"/>
  <c r="CE47" i="3"/>
  <c r="CL47" i="3" s="1" a="1"/>
  <c r="CL47" i="3" s="1"/>
  <c r="CE46" i="3"/>
  <c r="CL46" i="3" s="1" a="1"/>
  <c r="CL46" i="3" s="1"/>
  <c r="CC46" i="3"/>
  <c r="CJ46" i="3" s="1" a="1"/>
  <c r="CJ46" i="3" s="1"/>
  <c r="CB65" i="3"/>
  <c r="CI65" i="3" s="1" a="1"/>
  <c r="CI65" i="3" s="1"/>
  <c r="CB54" i="3"/>
  <c r="CI54" i="3" s="1" a="1"/>
  <c r="CI54" i="3" s="1"/>
  <c r="CB29" i="3"/>
  <c r="CI29" i="3" s="1" a="1"/>
  <c r="CI29" i="3" s="1"/>
  <c r="BZ32" i="3"/>
  <c r="CG32" i="3" s="1" a="1"/>
  <c r="CG32" i="3" s="1"/>
  <c r="CC60" i="3"/>
  <c r="CJ60" i="3" s="1" a="1"/>
  <c r="CJ60" i="3" s="1"/>
  <c r="CA89" i="3"/>
  <c r="CH89" i="3" s="1" a="1"/>
  <c r="CH89" i="3" s="1"/>
  <c r="CD83" i="3"/>
  <c r="CK83" i="3" s="1" a="1"/>
  <c r="CK83" i="3" s="1"/>
  <c r="CA48" i="3"/>
  <c r="CH48" i="3" s="1" a="1"/>
  <c r="CH48" i="3" s="1"/>
  <c r="CE102" i="3"/>
  <c r="CL102" i="3" s="1" a="1"/>
  <c r="CL102" i="3" s="1"/>
  <c r="CD68" i="3"/>
  <c r="CK68" i="3" s="1" a="1"/>
  <c r="CK68" i="3" s="1"/>
  <c r="CD26" i="3"/>
  <c r="CK26" i="3" s="1" a="1"/>
  <c r="CK26" i="3" s="1"/>
  <c r="CE51" i="3"/>
  <c r="CL51" i="3" s="1" a="1"/>
  <c r="CL51" i="3" s="1"/>
  <c r="CC86" i="3"/>
  <c r="CJ86" i="3" s="1" a="1"/>
  <c r="CJ86" i="3" s="1"/>
  <c r="CA54" i="3"/>
  <c r="CH54" i="3" s="1" a="1"/>
  <c r="CH54" i="3" s="1"/>
  <c r="CE58" i="3"/>
  <c r="CL58" i="3" s="1" a="1"/>
  <c r="CL58" i="3" s="1"/>
  <c r="CC56" i="3"/>
  <c r="CJ56" i="3" s="1" a="1"/>
  <c r="CJ56" i="3" s="1"/>
  <c r="CD45" i="3"/>
  <c r="CK45" i="3" s="1" a="1"/>
  <c r="CK45" i="3" s="1"/>
  <c r="CA55" i="3"/>
  <c r="CH55" i="3" s="1" a="1"/>
  <c r="CH55" i="3" s="1"/>
  <c r="CA31" i="3"/>
  <c r="CH31" i="3" s="1" a="1"/>
  <c r="CH31" i="3" s="1"/>
  <c r="CD70" i="3"/>
  <c r="CK70" i="3" s="1" a="1"/>
  <c r="CK70" i="3" s="1"/>
  <c r="CE76" i="3"/>
  <c r="CL76" i="3" s="1" a="1"/>
  <c r="CL76" i="3" s="1"/>
  <c r="CD72" i="3"/>
  <c r="CK72" i="3" s="1" a="1"/>
  <c r="CK72" i="3" s="1"/>
  <c r="CC71" i="3"/>
  <c r="CJ71" i="3" s="1" a="1"/>
  <c r="CJ71" i="3" s="1"/>
  <c r="CA37" i="3"/>
  <c r="CH37" i="3" s="1" a="1"/>
  <c r="CH37" i="3" s="1"/>
  <c r="CE77" i="3"/>
  <c r="CL77" i="3" s="1" a="1"/>
  <c r="CL77" i="3" s="1"/>
  <c r="CC75" i="3"/>
  <c r="CJ75" i="3" s="1" a="1"/>
  <c r="CJ75" i="3" s="1"/>
  <c r="CA33" i="3"/>
  <c r="CH33" i="3" s="1" a="1"/>
  <c r="CH33" i="3" s="1"/>
  <c r="CC32" i="3"/>
  <c r="CJ32" i="3" s="1" a="1"/>
  <c r="CJ32" i="3" s="1"/>
  <c r="CC26" i="3"/>
  <c r="CJ26" i="3" s="1" a="1"/>
  <c r="CJ26" i="3" s="1"/>
  <c r="CC100" i="3"/>
  <c r="CJ100" i="3" s="1" a="1"/>
  <c r="CJ100" i="3" s="1"/>
  <c r="CC88" i="3"/>
  <c r="CJ88" i="3" s="1" a="1"/>
  <c r="CJ88" i="3" s="1"/>
  <c r="CA60" i="3"/>
  <c r="CH60" i="3" s="1" a="1"/>
  <c r="CH60" i="3" s="1"/>
  <c r="CA44" i="3"/>
  <c r="CH44" i="3" s="1" a="1"/>
  <c r="CH44" i="3" s="1"/>
  <c r="CA87" i="3"/>
  <c r="CH87" i="3" s="1" a="1"/>
  <c r="CH87" i="3" s="1"/>
  <c r="CC54" i="3"/>
  <c r="CJ54" i="3" s="1" a="1"/>
  <c r="CJ54" i="3" s="1"/>
  <c r="BZ55" i="3"/>
  <c r="CG55" i="3" s="1" a="1"/>
  <c r="CG55" i="3" s="1"/>
  <c r="CE30" i="3"/>
  <c r="CL30" i="3" s="1" a="1"/>
  <c r="CL30" i="3" s="1"/>
  <c r="CE61" i="3"/>
  <c r="CL61" i="3" s="1" a="1"/>
  <c r="CL61" i="3" s="1"/>
  <c r="CE85" i="3"/>
  <c r="CL85" i="3" s="1" a="1"/>
  <c r="CL85" i="3" s="1"/>
  <c r="CA76" i="3"/>
  <c r="CH76" i="3" s="1" a="1"/>
  <c r="CH76" i="3" s="1"/>
  <c r="CA78" i="3"/>
  <c r="CH78" i="3" s="1" a="1"/>
  <c r="CH78" i="3" s="1"/>
  <c r="CD34" i="3"/>
  <c r="CK34" i="3" s="1" a="1"/>
  <c r="CK34" i="3" s="1"/>
  <c r="CE98" i="3"/>
  <c r="CL98" i="3" s="1" a="1"/>
  <c r="CL98" i="3" s="1"/>
  <c r="CC65" i="3"/>
  <c r="CJ65" i="3" s="1" a="1"/>
  <c r="CJ65" i="3" s="1"/>
  <c r="CA24" i="3"/>
  <c r="CH24" i="3" s="1" a="1"/>
  <c r="CH24" i="3" s="1"/>
  <c r="BZ51" i="3"/>
  <c r="CG51" i="3" s="1" a="1"/>
  <c r="CG51" i="3" s="1"/>
  <c r="CE78" i="3"/>
  <c r="CL78" i="3" s="1" a="1"/>
  <c r="CL78" i="3" s="1"/>
  <c r="CA98" i="3"/>
  <c r="CH98" i="3" s="1" a="1"/>
  <c r="CH98" i="3" s="1"/>
  <c r="CE87" i="3"/>
  <c r="CL87" i="3" s="1" a="1"/>
  <c r="CL87" i="3" s="1"/>
  <c r="BZ18" i="3"/>
  <c r="CG18" i="3" s="1" a="1"/>
  <c r="CG18" i="3" s="1"/>
  <c r="BZ101" i="3"/>
  <c r="CG101" i="3" s="1" a="1"/>
  <c r="CG101" i="3" s="1"/>
  <c r="BZ95" i="3"/>
  <c r="CG95" i="3" s="1" a="1"/>
  <c r="CG95" i="3" s="1"/>
  <c r="CD90" i="3"/>
  <c r="CK90" i="3" s="1" a="1"/>
  <c r="CK90" i="3" s="1"/>
  <c r="BZ19" i="3"/>
  <c r="CG19" i="3" s="1" a="1"/>
  <c r="CG19" i="3" s="1"/>
  <c r="BZ90" i="3"/>
  <c r="CG90" i="3" s="1" a="1"/>
  <c r="CG90" i="3" s="1"/>
  <c r="CC35" i="3"/>
  <c r="CJ35" i="3" s="1" a="1"/>
  <c r="CJ35" i="3" s="1"/>
  <c r="BZ57" i="3"/>
  <c r="CG57" i="3" s="1" a="1"/>
  <c r="CG57" i="3" s="1"/>
  <c r="CC82" i="3"/>
  <c r="CJ82" i="3" s="1" a="1"/>
  <c r="CJ82" i="3" s="1"/>
  <c r="CB18" i="3"/>
  <c r="CI18" i="3" s="1" a="1"/>
  <c r="CI18" i="3" s="1"/>
  <c r="CC25" i="3"/>
  <c r="CJ25" i="3" s="1" a="1"/>
  <c r="CJ25" i="3" s="1"/>
  <c r="CC42" i="3"/>
  <c r="CJ42" i="3" s="1" a="1"/>
  <c r="CJ42" i="3" s="1"/>
  <c r="CA88" i="3"/>
  <c r="CH88" i="3" s="1" a="1"/>
  <c r="CH88" i="3" s="1"/>
  <c r="CC47" i="3"/>
  <c r="CJ47" i="3" s="1" a="1"/>
  <c r="CJ47" i="3" s="1"/>
  <c r="CD82" i="3"/>
  <c r="CK82" i="3" s="1" a="1"/>
  <c r="CK82" i="3" s="1"/>
  <c r="CB72" i="3"/>
  <c r="CI72" i="3" s="1" a="1"/>
  <c r="CI72" i="3" s="1"/>
  <c r="CC57" i="3"/>
  <c r="CJ57" i="3" s="1" a="1"/>
  <c r="CJ57" i="3" s="1"/>
  <c r="BZ83" i="3"/>
  <c r="CG83" i="3" s="1" a="1"/>
  <c r="CG83" i="3" s="1"/>
  <c r="CD47" i="3"/>
  <c r="CK47" i="3" s="1" a="1"/>
  <c r="CK47" i="3" s="1"/>
  <c r="CB28" i="3"/>
  <c r="CI28" i="3" s="1" a="1"/>
  <c r="CI28" i="3" s="1"/>
  <c r="CB55" i="3"/>
  <c r="CI55" i="3" s="1" a="1"/>
  <c r="CI55" i="3" s="1"/>
  <c r="CA27" i="3"/>
  <c r="CH27" i="3" s="1" a="1"/>
  <c r="CH27" i="3" s="1"/>
  <c r="CB66" i="3"/>
  <c r="CI66" i="3" s="1" a="1"/>
  <c r="CI66" i="3" s="1"/>
  <c r="CD79" i="3"/>
  <c r="CK79" i="3" s="1" a="1"/>
  <c r="CK79" i="3" s="1"/>
  <c r="CE22" i="3"/>
  <c r="CL22" i="3" s="1" a="1"/>
  <c r="CL22" i="3" s="1"/>
  <c r="CD44" i="3"/>
  <c r="CK44" i="3" s="1" a="1"/>
  <c r="CK44" i="3" s="1"/>
  <c r="CD48" i="3"/>
  <c r="CK48" i="3" s="1" a="1"/>
  <c r="CK48" i="3" s="1"/>
  <c r="CA70" i="3"/>
  <c r="CH70" i="3" s="1" a="1"/>
  <c r="CH70" i="3" s="1"/>
  <c r="CC44" i="3"/>
  <c r="CJ44" i="3" s="1" a="1"/>
  <c r="CJ44" i="3" s="1"/>
  <c r="CE35" i="3"/>
  <c r="CL35" i="3" s="1" a="1"/>
  <c r="CL35" i="3" s="1"/>
  <c r="CE100" i="3"/>
  <c r="CL100" i="3" s="1" a="1"/>
  <c r="CL100" i="3" s="1"/>
  <c r="CE23" i="3"/>
  <c r="CL23" i="3" s="1" a="1"/>
  <c r="CL23" i="3" s="1"/>
  <c r="CA41" i="3"/>
  <c r="CH41" i="3" s="1" a="1"/>
  <c r="CH41" i="3" s="1"/>
  <c r="CA86" i="3"/>
  <c r="CH86" i="3" s="1" a="1"/>
  <c r="CH86" i="3" s="1"/>
  <c r="CB83" i="3"/>
  <c r="CI83" i="3" s="1" a="1"/>
  <c r="CI83" i="3" s="1"/>
  <c r="CD69" i="3"/>
  <c r="CK69" i="3" s="1" a="1"/>
  <c r="CK69" i="3" s="1"/>
  <c r="CA66" i="3"/>
  <c r="CH66" i="3" s="1" a="1"/>
  <c r="CH66" i="3" s="1"/>
  <c r="CE71" i="3"/>
  <c r="CL71" i="3" s="1" a="1"/>
  <c r="CL71" i="3" s="1"/>
  <c r="CC66" i="3"/>
  <c r="CJ66" i="3" s="1" a="1"/>
  <c r="CJ66" i="3" s="1"/>
  <c r="CC61" i="3"/>
  <c r="CJ61" i="3" s="1" a="1"/>
  <c r="CJ61" i="3" s="1"/>
  <c r="CE63" i="3"/>
  <c r="CL63" i="3" s="1" a="1"/>
  <c r="CL63" i="3" s="1"/>
  <c r="CC31" i="3"/>
  <c r="CJ31" i="3" s="1" a="1"/>
  <c r="CJ31" i="3" s="1"/>
  <c r="CD87" i="3"/>
  <c r="CK87" i="3" s="1" a="1"/>
  <c r="CK87" i="3" s="1"/>
  <c r="CB75" i="3"/>
  <c r="CI75" i="3" s="1" a="1"/>
  <c r="CI75" i="3" s="1"/>
  <c r="CC40" i="3"/>
  <c r="CJ40" i="3" s="1" a="1"/>
  <c r="CJ40" i="3" s="1"/>
  <c r="BZ75" i="3"/>
  <c r="CG75" i="3" s="1" a="1"/>
  <c r="CG75" i="3" s="1"/>
  <c r="CA64" i="3"/>
  <c r="CH64" i="3" s="1" a="1"/>
  <c r="CH64" i="3" s="1"/>
  <c r="CC98" i="3"/>
  <c r="CJ98" i="3" s="1" a="1"/>
  <c r="CJ98" i="3" s="1"/>
  <c r="CA47" i="3"/>
  <c r="CH47" i="3" s="1" a="1"/>
  <c r="CH47" i="3" s="1"/>
  <c r="CA72" i="3"/>
  <c r="CH72" i="3" s="1" a="1"/>
  <c r="CH72" i="3" s="1"/>
  <c r="CA90" i="3"/>
  <c r="CH90" i="3" s="1" a="1"/>
  <c r="CH90" i="3" s="1"/>
  <c r="CA34" i="3"/>
  <c r="CH34" i="3" s="1" a="1"/>
  <c r="CH34" i="3" s="1"/>
  <c r="CD21" i="3"/>
  <c r="CK21" i="3" s="1" a="1"/>
  <c r="CK21" i="3" s="1"/>
  <c r="CB88" i="3"/>
  <c r="CI88" i="3" s="1" a="1"/>
  <c r="CI88" i="3" s="1"/>
  <c r="CA40" i="3"/>
  <c r="CH40" i="3" s="1" a="1"/>
  <c r="CH40" i="3" s="1"/>
  <c r="CD97" i="3"/>
  <c r="CK97" i="3" s="1" a="1"/>
  <c r="CK97" i="3" s="1"/>
  <c r="CD95" i="3"/>
  <c r="CK95" i="3" s="1" a="1"/>
  <c r="CK95" i="3" s="1"/>
  <c r="CC103" i="3"/>
  <c r="CJ103" i="3" s="1" a="1"/>
  <c r="CJ103" i="3" s="1"/>
  <c r="CA42" i="3"/>
  <c r="CH42" i="3" s="1" a="1"/>
  <c r="CH42" i="3" s="1"/>
  <c r="CB59" i="3"/>
  <c r="CI59" i="3" s="1" a="1"/>
  <c r="CI59" i="3" s="1"/>
  <c r="CC96" i="3"/>
  <c r="CJ96" i="3" s="1" a="1"/>
  <c r="CJ96" i="3" s="1"/>
  <c r="CB81" i="3"/>
  <c r="CI81" i="3" s="1" a="1"/>
  <c r="CI81" i="3" s="1"/>
  <c r="BZ86" i="3"/>
  <c r="CG86" i="3" s="1" a="1"/>
  <c r="CG86" i="3" s="1"/>
  <c r="BZ43" i="3"/>
  <c r="CG43" i="3" s="1" a="1"/>
  <c r="CG43" i="3" s="1"/>
  <c r="CD40" i="3"/>
  <c r="CK40" i="3" s="1" a="1"/>
  <c r="CK40" i="3" s="1"/>
  <c r="CB53" i="3"/>
  <c r="CI53" i="3" s="1" a="1"/>
  <c r="CI53" i="3" s="1"/>
  <c r="CC92" i="3"/>
  <c r="CJ92" i="3" s="1" a="1"/>
  <c r="CJ92" i="3" s="1"/>
  <c r="BZ85" i="3"/>
  <c r="CG85" i="3" s="1" a="1"/>
  <c r="CG85" i="3" s="1"/>
  <c r="CE74" i="3"/>
  <c r="CL74" i="3" s="1" a="1"/>
  <c r="CL74" i="3" s="1"/>
  <c r="CD86" i="3"/>
  <c r="CK86" i="3" s="1" a="1"/>
  <c r="CK86" i="3" s="1"/>
  <c r="CD88" i="3"/>
  <c r="CK88" i="3" s="1" a="1"/>
  <c r="CK88" i="3" s="1"/>
  <c r="CA85" i="3"/>
  <c r="CH85" i="3" s="1" a="1"/>
  <c r="CH85" i="3" s="1"/>
  <c r="BZ66" i="3"/>
  <c r="CG66" i="3" s="1" a="1"/>
  <c r="CG66" i="3" s="1"/>
  <c r="BZ94" i="3"/>
  <c r="CG94" i="3" s="1" a="1"/>
  <c r="CG94" i="3" s="1"/>
  <c r="BZ78" i="3"/>
  <c r="CG78" i="3" s="1" a="1"/>
  <c r="CG78" i="3" s="1"/>
  <c r="CA79" i="3"/>
  <c r="CH79" i="3" s="1" a="1"/>
  <c r="CH79" i="3" s="1"/>
  <c r="CE90" i="3"/>
  <c r="CL90" i="3" s="1" a="1"/>
  <c r="CL90" i="3" s="1"/>
  <c r="BZ96" i="3"/>
  <c r="CG96" i="3" s="1" a="1"/>
  <c r="CG96" i="3" s="1"/>
  <c r="CA21" i="3"/>
  <c r="CH21" i="3" s="1" a="1"/>
  <c r="CH21" i="3" s="1"/>
  <c r="BZ37" i="3"/>
  <c r="CG37" i="3" s="1" a="1"/>
  <c r="CG37" i="3" s="1"/>
  <c r="CE97" i="3"/>
  <c r="CL97" i="3" s="1" a="1"/>
  <c r="CL97" i="3" s="1"/>
  <c r="CC87" i="3"/>
  <c r="CJ87" i="3" s="1" a="1"/>
  <c r="CJ87" i="3" s="1"/>
  <c r="CC68" i="3"/>
  <c r="CJ68" i="3" s="1" a="1"/>
  <c r="CJ68" i="3" s="1"/>
  <c r="CC37" i="3"/>
  <c r="CJ37" i="3" s="1" a="1"/>
  <c r="CJ37" i="3" s="1"/>
  <c r="BZ69" i="3"/>
  <c r="CG69" i="3" s="1" a="1"/>
  <c r="CG69" i="3" s="1"/>
  <c r="CA63" i="3"/>
  <c r="CH63" i="3" s="1" a="1"/>
  <c r="CH63" i="3" s="1"/>
  <c r="CD33" i="3"/>
  <c r="CK33" i="3" s="1" a="1"/>
  <c r="CK33" i="3" s="1"/>
  <c r="CB44" i="3"/>
  <c r="CI44" i="3" s="1" a="1"/>
  <c r="CI44" i="3" s="1"/>
  <c r="CD42" i="3"/>
  <c r="CK42" i="3" s="1" a="1"/>
  <c r="CK42" i="3" s="1"/>
  <c r="CD46" i="3"/>
  <c r="CK46" i="3" s="1" a="1"/>
  <c r="CK46" i="3" s="1"/>
  <c r="BZ50" i="3"/>
  <c r="CG50" i="3" s="1" a="1"/>
  <c r="CG50" i="3" s="1"/>
  <c r="CC70" i="3"/>
  <c r="CJ70" i="3" s="1" a="1"/>
  <c r="CJ70" i="3" s="1"/>
  <c r="CE101" i="3"/>
  <c r="CL101" i="3" s="1" a="1"/>
  <c r="CL101" i="3" s="1"/>
  <c r="CC101" i="3"/>
  <c r="CJ101" i="3" s="1" a="1"/>
  <c r="CJ101" i="3" s="1"/>
  <c r="CE56" i="3"/>
  <c r="CL56" i="3" s="1" a="1"/>
  <c r="CL56" i="3" s="1"/>
  <c r="CB95" i="3"/>
  <c r="CI95" i="3" s="1" a="1"/>
  <c r="CI95" i="3" s="1"/>
  <c r="CA77" i="3"/>
  <c r="CH77" i="3" s="1" a="1"/>
  <c r="CH77" i="3" s="1"/>
  <c r="CC73" i="3"/>
  <c r="CJ73" i="3" s="1" a="1"/>
  <c r="CJ73" i="3" s="1"/>
  <c r="CB23" i="3"/>
  <c r="CI23" i="3" s="1" a="1"/>
  <c r="CI23" i="3" s="1"/>
  <c r="CC77" i="3"/>
  <c r="CJ77" i="3" s="1" a="1"/>
  <c r="CJ77" i="3" s="1"/>
  <c r="CD71" i="3"/>
  <c r="CK71" i="3" s="1" a="1"/>
  <c r="CK71" i="3" s="1"/>
  <c r="CC79" i="3"/>
  <c r="CJ79" i="3" s="1" a="1"/>
  <c r="CJ79" i="3" s="1"/>
  <c r="CB82" i="3"/>
  <c r="CI82" i="3" s="1" a="1"/>
  <c r="CI82" i="3" s="1"/>
  <c r="CE89" i="3"/>
  <c r="CL89" i="3" s="1" a="1"/>
  <c r="CL89" i="3" s="1"/>
  <c r="CA29" i="3"/>
  <c r="CH29" i="3" s="1" a="1"/>
  <c r="CH29" i="3" s="1"/>
  <c r="CA74" i="3"/>
  <c r="CH74" i="3" s="1" a="1"/>
  <c r="CH74" i="3" s="1"/>
  <c r="CB71" i="3"/>
  <c r="CI71" i="3" s="1" a="1"/>
  <c r="CI71" i="3" s="1"/>
  <c r="CC76" i="3"/>
  <c r="CJ76" i="3" s="1" a="1"/>
  <c r="CJ76" i="3" s="1"/>
  <c r="CC38" i="3"/>
  <c r="CJ38" i="3" s="1" a="1"/>
  <c r="CJ38" i="3" s="1"/>
  <c r="CA20" i="3"/>
  <c r="CH20" i="3" s="1" a="1"/>
  <c r="CH20" i="3" s="1"/>
  <c r="CB26" i="3"/>
  <c r="CI26" i="3" s="1" a="1"/>
  <c r="CI26" i="3" s="1"/>
  <c r="CC94" i="3"/>
  <c r="CJ94" i="3" s="1" a="1"/>
  <c r="CJ94" i="3" s="1"/>
  <c r="CE27" i="3"/>
  <c r="CL27" i="3" s="1" a="1"/>
  <c r="CL27" i="3" s="1"/>
  <c r="CB93" i="3"/>
  <c r="CI93" i="3" s="1" a="1"/>
  <c r="CI93" i="3" s="1"/>
  <c r="CE28" i="3"/>
  <c r="CL28" i="3" s="1" a="1"/>
  <c r="CL28" i="3" s="1"/>
  <c r="CD19" i="3"/>
  <c r="CK19" i="3" s="1" a="1"/>
  <c r="CK19" i="3" s="1"/>
  <c r="CB98" i="3"/>
  <c r="CI98" i="3" s="1" a="1"/>
  <c r="CI98" i="3" s="1"/>
  <c r="CD35" i="3"/>
  <c r="CK35" i="3" s="1" a="1"/>
  <c r="CK35" i="3" s="1"/>
  <c r="CC27" i="3"/>
  <c r="CJ27" i="3" s="1" a="1"/>
  <c r="CJ27" i="3" s="1"/>
  <c r="CB67" i="3"/>
  <c r="CI67" i="3" s="1" a="1"/>
  <c r="CI67" i="3" s="1"/>
  <c r="CD94" i="3"/>
  <c r="CK94" i="3" s="1" a="1"/>
  <c r="CK94" i="3" s="1"/>
  <c r="BZ49" i="3"/>
  <c r="CG49" i="3" s="1" a="1"/>
  <c r="CG49" i="3" s="1"/>
  <c r="CB91" i="3"/>
  <c r="CI91" i="3" s="1" a="1"/>
  <c r="CI91" i="3" s="1"/>
  <c r="CA39" i="3"/>
  <c r="CH39" i="3" s="1" a="1"/>
  <c r="CH39" i="3" s="1"/>
  <c r="CA100" i="3"/>
  <c r="CH100" i="3" s="1" a="1"/>
  <c r="CH100" i="3" s="1"/>
  <c r="CA69" i="3"/>
  <c r="CH69" i="3" s="1" a="1"/>
  <c r="CH69" i="3" s="1"/>
  <c r="CA97" i="3"/>
  <c r="CH97" i="3" s="1" a="1"/>
  <c r="CH97" i="3" s="1"/>
  <c r="CA62" i="3"/>
  <c r="CH62" i="3" s="1" a="1"/>
  <c r="CH62" i="3" s="1"/>
  <c r="BZ45" i="3"/>
  <c r="CG45" i="3" s="1" a="1"/>
  <c r="CG45" i="3" s="1"/>
  <c r="BZ91" i="3"/>
  <c r="CG91" i="3" s="1" a="1"/>
  <c r="CG91" i="3" s="1"/>
  <c r="BZ72" i="3"/>
  <c r="CG72" i="3" s="1" a="1"/>
  <c r="CG72" i="3" s="1"/>
  <c r="CD89" i="3"/>
  <c r="CK89" i="3" s="1" a="1"/>
  <c r="CK89" i="3" s="1"/>
  <c r="CC84" i="3"/>
  <c r="CJ84" i="3" s="1" a="1"/>
  <c r="CJ84" i="3" s="1"/>
  <c r="CB21" i="3"/>
  <c r="CI21" i="3" s="1" a="1"/>
  <c r="CI21" i="3" s="1"/>
  <c r="CA80" i="3"/>
  <c r="CH80" i="3" s="1" a="1"/>
  <c r="CH80" i="3" s="1"/>
  <c r="CA35" i="3"/>
  <c r="CH35" i="3" s="1" a="1"/>
  <c r="CH35" i="3" s="1"/>
  <c r="CD80" i="3"/>
  <c r="CK80" i="3" s="1" a="1"/>
  <c r="CK80" i="3" s="1"/>
  <c r="CD84" i="3"/>
  <c r="CK84" i="3" s="1" a="1"/>
  <c r="CK84" i="3" s="1"/>
  <c r="BZ28" i="3"/>
  <c r="CG28" i="3" s="1" a="1"/>
  <c r="CG28" i="3" s="1"/>
  <c r="CA53" i="3"/>
  <c r="CH53" i="3" s="1" a="1"/>
  <c r="CH53" i="3" s="1"/>
  <c r="CA59" i="3"/>
  <c r="CH59" i="3" s="1" a="1"/>
  <c r="CH59" i="3" s="1"/>
  <c r="CD50" i="3"/>
  <c r="CK50" i="3" s="1" a="1"/>
  <c r="CK50" i="3" s="1"/>
  <c r="CA84" i="3"/>
  <c r="CH84" i="3" s="1" a="1"/>
  <c r="CH84" i="3" s="1"/>
  <c r="CA83" i="3"/>
  <c r="CH83" i="3" s="1" a="1"/>
  <c r="CH83" i="3" s="1"/>
  <c r="CD31" i="3"/>
  <c r="CK31" i="3" s="1" a="1"/>
  <c r="CK31" i="3" s="1"/>
  <c r="CD49" i="3"/>
  <c r="CK49" i="3" s="1" a="1"/>
  <c r="CK49" i="3" s="1"/>
  <c r="CA73" i="3"/>
  <c r="CH73" i="3" s="1" a="1"/>
  <c r="CH73" i="3" s="1"/>
  <c r="CD102" i="3"/>
  <c r="CK102" i="3" s="1" a="1"/>
  <c r="CK102" i="3" s="1"/>
  <c r="CD85" i="3"/>
  <c r="CK85" i="3" s="1" a="1"/>
  <c r="CK85" i="3" s="1"/>
  <c r="CA50" i="3"/>
  <c r="CH50" i="3" s="1" a="1"/>
  <c r="CH50" i="3" s="1"/>
  <c r="CB47" i="3"/>
  <c r="CI47" i="3" s="1" a="1"/>
  <c r="CI47" i="3" s="1"/>
  <c r="CC64" i="3"/>
  <c r="CJ64" i="3" s="1" a="1"/>
  <c r="CJ64" i="3" s="1"/>
  <c r="CC89" i="3"/>
  <c r="CJ89" i="3" s="1" a="1"/>
  <c r="CJ89" i="3" s="1"/>
  <c r="CB79" i="3"/>
  <c r="CI79" i="3" s="1" a="1"/>
  <c r="CI79" i="3" s="1"/>
  <c r="BZ99" i="3"/>
  <c r="CG99" i="3" s="1" a="1"/>
  <c r="CG99" i="3" s="1"/>
  <c r="CD57" i="3"/>
  <c r="CK57" i="3" s="1" a="1"/>
  <c r="CK57" i="3" s="1"/>
  <c r="BZ102" i="3"/>
  <c r="CG102" i="3" s="1" a="1"/>
  <c r="CG102" i="3" s="1"/>
  <c r="CC83" i="3"/>
  <c r="CJ83" i="3" s="1" a="1"/>
  <c r="CJ83" i="3" s="1"/>
  <c r="BZ87" i="3"/>
  <c r="CG87" i="3" s="1" a="1"/>
  <c r="CG87" i="3" s="1"/>
  <c r="CB41" i="3"/>
  <c r="CI41" i="3" s="1" a="1"/>
  <c r="CI41" i="3" s="1"/>
  <c r="CD81" i="3"/>
  <c r="CK81" i="3" s="1" a="1"/>
  <c r="CK81" i="3" s="1"/>
  <c r="CE92" i="3"/>
  <c r="CL92" i="3" s="1" a="1"/>
  <c r="CL92" i="3" s="1"/>
  <c r="CE60" i="3"/>
  <c r="CL60" i="3" s="1" a="1"/>
  <c r="CL60" i="3" s="1"/>
  <c r="CE57" i="3"/>
  <c r="CL57" i="3" s="1" a="1"/>
  <c r="CL57" i="3" s="1"/>
  <c r="CD23" i="3"/>
  <c r="CK23" i="3" s="1" a="1"/>
  <c r="CK23" i="3" s="1"/>
  <c r="CB101" i="3"/>
  <c r="CI101" i="3" s="1" a="1"/>
  <c r="CI101" i="3" s="1"/>
  <c r="CD20" i="3"/>
  <c r="CK20" i="3" s="1" a="1"/>
  <c r="CK20" i="3" s="1"/>
  <c r="CC78" i="3"/>
  <c r="CJ78" i="3" s="1" a="1"/>
  <c r="CJ78" i="3" s="1"/>
  <c r="CB61" i="3"/>
  <c r="CI61" i="3" s="1" a="1"/>
  <c r="CI61" i="3" s="1"/>
  <c r="CC23" i="3"/>
  <c r="CJ23" i="3" s="1" a="1"/>
  <c r="CJ23" i="3" s="1"/>
  <c r="CB96" i="3"/>
  <c r="CI96" i="3" s="1" a="1"/>
  <c r="CI96" i="3" s="1"/>
  <c r="CB31" i="3"/>
  <c r="CI31" i="3" s="1" a="1"/>
  <c r="CI31" i="3" s="1"/>
  <c r="CD30" i="3"/>
  <c r="CK30" i="3" s="1" a="1"/>
  <c r="CK30" i="3" s="1"/>
  <c r="BZ46" i="3"/>
  <c r="CG46" i="3" s="1" a="1"/>
  <c r="CG46" i="3" s="1"/>
  <c r="CE41" i="3"/>
  <c r="CL41" i="3" s="1" a="1"/>
  <c r="CL41" i="3" s="1"/>
  <c r="CA28" i="3"/>
  <c r="CH28" i="3" s="1" a="1"/>
  <c r="CH28" i="3" s="1"/>
  <c r="BZ22" i="3"/>
  <c r="CG22" i="3" s="1" a="1"/>
  <c r="CG22" i="3" s="1"/>
  <c r="CB63" i="3"/>
  <c r="CI63" i="3" s="1" a="1"/>
  <c r="CI63" i="3" s="1"/>
  <c r="BZ76" i="3"/>
  <c r="CG76" i="3" s="1" a="1"/>
  <c r="CG76" i="3" s="1"/>
  <c r="BZ24" i="3"/>
  <c r="CG24" i="3" s="1" a="1"/>
  <c r="CG24" i="3" s="1"/>
  <c r="CB36" i="3"/>
  <c r="CI36" i="3" s="1" a="1"/>
  <c r="CI36" i="3" s="1"/>
  <c r="BZ63" i="3"/>
  <c r="CG63" i="3" s="1" a="1"/>
  <c r="CG63" i="3" s="1"/>
  <c r="CD52" i="3"/>
  <c r="CK52" i="3" s="1" a="1"/>
  <c r="CK52" i="3" s="1"/>
  <c r="CC36" i="3"/>
  <c r="CJ36" i="3" s="1" a="1"/>
  <c r="CJ36" i="3" s="1"/>
  <c r="CA58" i="3"/>
  <c r="CH58" i="3" s="1" a="1"/>
  <c r="CH58" i="3" s="1"/>
  <c r="CB84" i="3"/>
  <c r="CI84" i="3" s="1" a="1"/>
  <c r="CI84" i="3" s="1"/>
  <c r="CA36" i="3"/>
  <c r="CH36" i="3" s="1" a="1"/>
  <c r="CH36" i="3" s="1"/>
  <c r="CC93" i="3"/>
  <c r="CJ93" i="3" s="1" a="1"/>
  <c r="CJ93" i="3" s="1"/>
  <c r="BZ29" i="3"/>
  <c r="CG29" i="3" s="1" a="1"/>
  <c r="CG29" i="3" s="1"/>
  <c r="CC58" i="3"/>
  <c r="CJ58" i="3" s="1" a="1"/>
  <c r="CJ58" i="3" s="1"/>
  <c r="CB97" i="3"/>
  <c r="CI97" i="3" s="1" a="1"/>
  <c r="CI97" i="3" s="1"/>
  <c r="CB19" i="3"/>
  <c r="CI19" i="3" s="1" a="1"/>
  <c r="CI19" i="3" s="1"/>
  <c r="BZ27" i="3"/>
  <c r="CG27" i="3" s="1" a="1"/>
  <c r="CG27" i="3" s="1"/>
  <c r="CB94" i="3"/>
  <c r="CI94" i="3" s="1" a="1"/>
  <c r="CI94" i="3" s="1"/>
  <c r="CE50" i="3"/>
  <c r="CL50" i="3" s="1" a="1"/>
  <c r="CL50" i="3" s="1"/>
  <c r="CD41" i="3"/>
  <c r="CK41" i="3" s="1" a="1"/>
  <c r="CK41" i="3" s="1"/>
  <c r="CD67" i="3"/>
  <c r="CK67" i="3" s="1" a="1"/>
  <c r="CK67" i="3" s="1"/>
  <c r="CD103" i="3"/>
  <c r="CK103" i="3" s="1" a="1"/>
  <c r="CK103" i="3" s="1"/>
  <c r="CB89" i="3"/>
  <c r="CI89" i="3" s="1" a="1"/>
  <c r="CI89" i="3" s="1"/>
  <c r="CE82" i="3"/>
  <c r="CL82" i="3" s="1" a="1"/>
  <c r="CL82" i="3" s="1"/>
  <c r="CD61" i="3"/>
  <c r="CK61" i="3" s="1" a="1"/>
  <c r="CK61" i="3" s="1"/>
  <c r="CC41" i="3"/>
  <c r="CJ41" i="3" s="1" a="1"/>
  <c r="CJ41" i="3" s="1"/>
  <c r="CC53" i="3"/>
  <c r="CJ53" i="3" s="1" a="1"/>
  <c r="CJ53" i="3" s="1"/>
  <c r="CB76" i="3"/>
  <c r="CI76" i="3" s="1" a="1"/>
  <c r="CI76" i="3" s="1"/>
  <c r="CB62" i="3"/>
  <c r="CI62" i="3" s="1" a="1"/>
  <c r="CI62" i="3" s="1"/>
  <c r="CE38" i="3"/>
  <c r="CL38" i="3" s="1" a="1"/>
  <c r="CL38" i="3" s="1"/>
  <c r="BZ103" i="3"/>
  <c r="CG103" i="3" s="1" a="1"/>
  <c r="CG103" i="3" s="1"/>
  <c r="BZ36" i="3"/>
  <c r="CG36" i="3" s="1" a="1"/>
  <c r="CG36" i="3" s="1"/>
  <c r="BZ80" i="3"/>
  <c r="CG80" i="3" s="1" a="1"/>
  <c r="CG80" i="3" s="1"/>
  <c r="CD36" i="3"/>
  <c r="CK36" i="3" s="1" a="1"/>
  <c r="CK36" i="3" s="1"/>
  <c r="CC74" i="3"/>
  <c r="CJ74" i="3" s="1" a="1"/>
  <c r="CJ74" i="3" s="1"/>
  <c r="CA43" i="3"/>
  <c r="CH43" i="3" s="1" a="1"/>
  <c r="CH43" i="3" s="1"/>
  <c r="CA99" i="3"/>
  <c r="CH99" i="3" s="1" a="1"/>
  <c r="CH99" i="3" s="1"/>
  <c r="CC43" i="3"/>
  <c r="CJ43" i="3" s="1" a="1"/>
  <c r="CJ43" i="3" s="1"/>
  <c r="CD98" i="3"/>
  <c r="CK98" i="3" s="1" a="1"/>
  <c r="CK98" i="3" s="1"/>
  <c r="CC91" i="3"/>
  <c r="CJ91" i="3" s="1" a="1"/>
  <c r="CJ91" i="3" s="1"/>
  <c r="BZ47" i="3"/>
  <c r="CG47" i="3" s="1" a="1"/>
  <c r="CG47" i="3" s="1"/>
  <c r="CA26" i="3"/>
  <c r="CH26" i="3" s="1" a="1"/>
  <c r="CH26" i="3" s="1"/>
  <c r="CB60" i="3"/>
  <c r="CI60" i="3" s="1" a="1"/>
  <c r="CI60" i="3" s="1"/>
  <c r="CC28" i="3"/>
  <c r="CJ28" i="3" s="1" a="1"/>
  <c r="CJ28" i="3" s="1"/>
  <c r="BZ77" i="3"/>
  <c r="CG77" i="3" s="1" a="1"/>
  <c r="CG77" i="3" s="1"/>
  <c r="CA101" i="3"/>
  <c r="CH101" i="3" s="1" a="1"/>
  <c r="CH101" i="3" s="1"/>
  <c r="CD78" i="3"/>
  <c r="CK78" i="3" s="1" a="1"/>
  <c r="CK78" i="3" s="1"/>
  <c r="CB22" i="3"/>
  <c r="CI22" i="3" s="1" a="1"/>
  <c r="CI22" i="3" s="1"/>
  <c r="BZ81" i="3"/>
  <c r="CG81" i="3" s="1" a="1"/>
  <c r="CG81" i="3" s="1"/>
  <c r="BZ25" i="3"/>
  <c r="CG25" i="3" s="1" a="1"/>
  <c r="CG25" i="3" s="1"/>
  <c r="BZ71" i="3"/>
  <c r="CG71" i="3" s="1" a="1"/>
  <c r="CG71" i="3" s="1"/>
  <c r="CE19" i="3"/>
  <c r="CL19" i="3" s="1" a="1"/>
  <c r="CL19" i="3" s="1"/>
  <c r="CC80" i="3"/>
  <c r="CJ80" i="3" s="1" a="1"/>
  <c r="CJ80" i="3" s="1"/>
  <c r="BZ62" i="3"/>
  <c r="CG62" i="3" s="1" a="1"/>
  <c r="CG62" i="3" s="1"/>
  <c r="CC50" i="3"/>
  <c r="CJ50" i="3" s="1" a="1"/>
  <c r="CJ50" i="3" s="1"/>
  <c r="CD60" i="3"/>
  <c r="CK60" i="3" s="1" a="1"/>
  <c r="CK60" i="3" s="1"/>
  <c r="CD39" i="3"/>
  <c r="CK39" i="3" s="1" a="1"/>
  <c r="CK39" i="3" s="1"/>
  <c r="CD76" i="3"/>
  <c r="CK76" i="3" s="1" a="1"/>
  <c r="CK76" i="3" s="1"/>
  <c r="CE43" i="3"/>
  <c r="CL43" i="3" s="1" a="1"/>
  <c r="CL43" i="3" s="1"/>
  <c r="CA25" i="3"/>
  <c r="CH25" i="3" s="1" a="1"/>
  <c r="CH25" i="3" s="1"/>
  <c r="CA96" i="3"/>
  <c r="CH96" i="3" s="1" a="1"/>
  <c r="CH96" i="3" s="1"/>
  <c r="BZ34" i="3"/>
  <c r="CG34" i="3" s="1" a="1"/>
  <c r="CG34" i="3" s="1"/>
  <c r="CD91" i="3"/>
  <c r="CK91" i="3" s="1" a="1"/>
  <c r="CK91" i="3" s="1"/>
  <c r="CD37" i="3"/>
  <c r="CK37" i="3" s="1" a="1"/>
  <c r="CK37" i="3" s="1"/>
  <c r="CD22" i="3"/>
  <c r="CK22" i="3" s="1" a="1"/>
  <c r="CK22" i="3" s="1"/>
  <c r="CE29" i="3"/>
  <c r="CL29" i="3" s="1" a="1"/>
  <c r="CL29" i="3" s="1"/>
  <c r="CE88" i="3"/>
  <c r="CL88" i="3" s="1" a="1"/>
  <c r="CL88" i="3" s="1"/>
  <c r="BZ35" i="3"/>
  <c r="CG35" i="3" s="1" a="1"/>
  <c r="CG35" i="3" s="1"/>
  <c r="CB102" i="3"/>
  <c r="CI102" i="3" s="1" a="1"/>
  <c r="CI102" i="3" s="1"/>
  <c r="CC97" i="3"/>
  <c r="CJ97" i="3" s="1" a="1"/>
  <c r="CJ97" i="3" s="1"/>
  <c r="CA19" i="3"/>
  <c r="CH19" i="3" s="1" a="1"/>
  <c r="CH19" i="3" s="1"/>
  <c r="CE93" i="3"/>
  <c r="CL93" i="3" s="1" a="1"/>
  <c r="CL93" i="3" s="1"/>
  <c r="CB57" i="3"/>
  <c r="CI57" i="3" s="1" a="1"/>
  <c r="CI57" i="3" s="1"/>
  <c r="CD66" i="3"/>
  <c r="CK66" i="3" s="1" a="1"/>
  <c r="CK66" i="3" s="1"/>
  <c r="CE48" i="3"/>
  <c r="CL48" i="3" s="1" a="1"/>
  <c r="CL48" i="3" s="1"/>
  <c r="BZ54" i="3"/>
  <c r="CG54" i="3" s="1" a="1"/>
  <c r="CG54" i="3" s="1"/>
  <c r="BZ82" i="3"/>
  <c r="CG82" i="3" s="1" a="1"/>
  <c r="CG82" i="3" s="1"/>
  <c r="CE96" i="3"/>
  <c r="CL96" i="3" s="1" a="1"/>
  <c r="CL96" i="3" s="1"/>
  <c r="CE75" i="3"/>
  <c r="CL75" i="3" s="1" a="1"/>
  <c r="CL75" i="3" s="1"/>
  <c r="CC59" i="3"/>
  <c r="CJ59" i="3" s="1" a="1"/>
  <c r="CJ59" i="3" s="1"/>
  <c r="CE21" i="3"/>
  <c r="CL21" i="3" s="1" a="1"/>
  <c r="CL21" i="3" s="1"/>
  <c r="CC21" i="3"/>
  <c r="CJ21" i="3" s="1" a="1"/>
  <c r="CJ21" i="3" s="1"/>
  <c r="CB25" i="3"/>
  <c r="CI25" i="3" s="1" a="1"/>
  <c r="CI25" i="3" s="1"/>
  <c r="CA51" i="3"/>
  <c r="CH51" i="3" s="1" a="1"/>
  <c r="CH51" i="3" s="1"/>
  <c r="CB42" i="3"/>
  <c r="CI42" i="3" s="1" a="1"/>
  <c r="CI42" i="3" s="1"/>
  <c r="CC49" i="3"/>
  <c r="CJ49" i="3" s="1" a="1"/>
  <c r="CJ49" i="3" s="1"/>
  <c r="CA82" i="3"/>
  <c r="CH82" i="3" s="1" a="1"/>
  <c r="CH82" i="3" s="1"/>
  <c r="CE45" i="3"/>
  <c r="CL45" i="3" s="1" a="1"/>
  <c r="CL45" i="3" s="1"/>
  <c r="CC45" i="3"/>
  <c r="CJ45" i="3" s="1" a="1"/>
  <c r="CJ45" i="3" s="1"/>
  <c r="CB49" i="3"/>
  <c r="CI49" i="3" s="1" a="1"/>
  <c r="CI49" i="3" s="1"/>
  <c r="CA91" i="3"/>
  <c r="CH91" i="3" s="1" a="1"/>
  <c r="CH91" i="3" s="1"/>
  <c r="CB69" i="3"/>
  <c r="CI69" i="3" s="1" a="1"/>
  <c r="CI69" i="3" s="1"/>
  <c r="CD64" i="3"/>
  <c r="CK64" i="3" s="1" a="1"/>
  <c r="CK64" i="3" s="1"/>
  <c r="CD56" i="3"/>
  <c r="CK56" i="3" s="1" a="1"/>
  <c r="CK56" i="3" s="1"/>
  <c r="BZ23" i="3"/>
  <c r="CG23" i="3" s="1" a="1"/>
  <c r="CG23" i="3" s="1"/>
  <c r="CB90" i="3"/>
  <c r="CI90" i="3" s="1" a="1"/>
  <c r="CI90" i="3" s="1"/>
  <c r="CC85" i="3"/>
  <c r="CJ85" i="3" s="1" a="1"/>
  <c r="CJ85" i="3" s="1"/>
  <c r="CD29" i="3"/>
  <c r="CK29" i="3" s="1" a="1"/>
  <c r="CK29" i="3" s="1"/>
  <c r="CC24" i="3"/>
  <c r="CJ24" i="3" s="1" a="1"/>
  <c r="CJ24" i="3" s="1"/>
  <c r="BZ68" i="3"/>
  <c r="CG68" i="3" s="1" a="1"/>
  <c r="CG68" i="3" s="1"/>
  <c r="CC62" i="3"/>
  <c r="CJ62" i="3" s="1" a="1"/>
  <c r="CJ62" i="3" s="1"/>
  <c r="CE44" i="3"/>
  <c r="CL44" i="3" s="1" a="1"/>
  <c r="CL44" i="3" s="1"/>
  <c r="CB99" i="3"/>
  <c r="CI99" i="3" s="1" a="1"/>
  <c r="CI99" i="3" s="1"/>
  <c r="CD24" i="3"/>
  <c r="CK24" i="3" s="1" a="1"/>
  <c r="CK24" i="3" s="1"/>
  <c r="CA46" i="3"/>
  <c r="CH46" i="3" s="1" a="1"/>
  <c r="CH46" i="3" s="1"/>
  <c r="CD59" i="3"/>
  <c r="CK59" i="3" s="1" a="1"/>
  <c r="CK59" i="3" s="1"/>
  <c r="CA32" i="3"/>
  <c r="CH32" i="3" s="1" a="1"/>
  <c r="CH32" i="3" s="1"/>
  <c r="CE64" i="3"/>
  <c r="CL64" i="3" s="1" a="1"/>
  <c r="CL64" i="3" s="1"/>
  <c r="CE80" i="3"/>
  <c r="CL80" i="3" s="1" a="1"/>
  <c r="CL80" i="3" s="1"/>
  <c r="CB46" i="3"/>
  <c r="CI46" i="3" s="1" a="1"/>
  <c r="CI46" i="3" s="1"/>
  <c r="CE83" i="3"/>
  <c r="CL83" i="3" s="1" a="1"/>
  <c r="CL83" i="3" s="1"/>
  <c r="CB27" i="3"/>
  <c r="CI27" i="3" s="1" a="1"/>
  <c r="CI27" i="3" s="1"/>
  <c r="CB103" i="3"/>
  <c r="CI103" i="3" s="1" a="1"/>
  <c r="CI103" i="3" s="1"/>
  <c r="CE68" i="3"/>
  <c r="CL68" i="3" s="1" a="1"/>
  <c r="CL68" i="3" s="1"/>
  <c r="CA65" i="3"/>
  <c r="CH65" i="3" s="1" a="1"/>
  <c r="CH65" i="3" s="1"/>
  <c r="BZ20" i="3"/>
  <c r="CG20" i="3" s="1" a="1"/>
  <c r="CG20" i="3" s="1"/>
  <c r="CA103" i="3"/>
  <c r="CH103" i="3" s="1" a="1"/>
  <c r="CH103" i="3" s="1"/>
  <c r="CA57" i="3"/>
  <c r="CH57" i="3" s="1" a="1"/>
  <c r="CH57" i="3" s="1"/>
  <c r="CB51" i="3"/>
  <c r="CI51" i="3" s="1" a="1"/>
  <c r="CI51" i="3" s="1"/>
  <c r="BZ93" i="3"/>
  <c r="CG93" i="3" s="1" a="1"/>
  <c r="CG93" i="3" s="1"/>
  <c r="CD18" i="3"/>
  <c r="CK18" i="3" s="1" a="1"/>
  <c r="CK18" i="3" s="1"/>
  <c r="CA75" i="3"/>
  <c r="CH75" i="3" s="1" a="1"/>
  <c r="CH75" i="3" s="1"/>
  <c r="CC19" i="3"/>
  <c r="CJ19" i="3" s="1" a="1"/>
  <c r="CJ19" i="3" s="1"/>
  <c r="CD74" i="3"/>
  <c r="CK74" i="3" s="1" a="1"/>
  <c r="CK74" i="3" s="1"/>
  <c r="CA30" i="3"/>
  <c r="CH30" i="3" s="1" a="1"/>
  <c r="CH30" i="3" s="1"/>
  <c r="CE52" i="3"/>
  <c r="CL52" i="3" s="1" a="1"/>
  <c r="CL52" i="3" s="1"/>
  <c r="BZ56" i="3"/>
  <c r="CG56" i="3" s="1" a="1"/>
  <c r="CG56" i="3" s="1"/>
  <c r="CD28" i="3"/>
  <c r="CK28" i="3" s="1" a="1"/>
  <c r="CK28" i="3" s="1"/>
  <c r="CA93" i="3"/>
  <c r="CH93" i="3" s="1" a="1"/>
  <c r="CH93" i="3" s="1"/>
  <c r="CD75" i="3"/>
  <c r="CK75" i="3" s="1" a="1"/>
  <c r="CK75" i="3" s="1"/>
  <c r="BZ38" i="3"/>
  <c r="CG38" i="3" s="1" a="1"/>
  <c r="CG38" i="3" s="1"/>
  <c r="CE103" i="3"/>
  <c r="CL103" i="3" s="1" a="1"/>
  <c r="CL103" i="3" s="1"/>
  <c r="CD55" i="3"/>
  <c r="CK55" i="3" s="1" a="1"/>
  <c r="CK55" i="3" s="1"/>
  <c r="CE94" i="3"/>
  <c r="CL94" i="3" s="1" a="1"/>
  <c r="CL94" i="3" s="1"/>
  <c r="CB92" i="3"/>
  <c r="CI92" i="3" s="1" a="1"/>
  <c r="CI92" i="3" s="1"/>
  <c r="CD100" i="3"/>
  <c r="CK100" i="3" s="1" a="1"/>
  <c r="CK100" i="3" s="1"/>
  <c r="BZ33" i="3"/>
  <c r="CG33" i="3" s="1" a="1"/>
  <c r="CG33" i="3" s="1"/>
  <c r="CC67" i="3"/>
  <c r="CJ67" i="3" s="1" a="1"/>
  <c r="CJ67" i="3" s="1"/>
  <c r="CB58" i="3"/>
  <c r="CI58" i="3" s="1" a="1"/>
  <c r="CI58" i="3" s="1"/>
  <c r="CE72" i="3"/>
  <c r="CL72" i="3" s="1" a="1"/>
  <c r="CL72" i="3" s="1"/>
  <c r="BZ97" i="3"/>
  <c r="CG97" i="3" s="1" a="1"/>
  <c r="CG97" i="3" s="1"/>
  <c r="CC99" i="3"/>
  <c r="CJ99" i="3" s="1" a="1"/>
  <c r="CJ99" i="3" s="1"/>
  <c r="CB48" i="3"/>
  <c r="CI48" i="3" s="1" a="1"/>
  <c r="CI48" i="3" s="1"/>
  <c r="CA68" i="3"/>
  <c r="CH68" i="3" s="1" a="1"/>
  <c r="CH68" i="3" s="1"/>
  <c r="CB38" i="3"/>
  <c r="CI38" i="3" s="1" a="1"/>
  <c r="CI38" i="3" s="1"/>
  <c r="CD27" i="3"/>
  <c r="CK27" i="3" s="1" a="1"/>
  <c r="CK27" i="3" s="1"/>
  <c r="CE42" i="3"/>
  <c r="CL42" i="3" s="1" a="1"/>
  <c r="CL42" i="3" s="1"/>
  <c r="CE31" i="3"/>
  <c r="CL31" i="3" s="1" a="1"/>
  <c r="CL31" i="3" s="1"/>
  <c r="BZ61" i="3"/>
  <c r="CG61" i="3" s="1" a="1"/>
  <c r="CG61" i="3" s="1"/>
  <c r="BZ98" i="3"/>
  <c r="CG98" i="3" s="1" a="1"/>
  <c r="CG98" i="3" s="1"/>
  <c r="CE62" i="3"/>
  <c r="CL62" i="3" s="1" a="1"/>
  <c r="CL62" i="3" s="1"/>
  <c r="CB74" i="3"/>
  <c r="CI74" i="3" s="1" a="1"/>
  <c r="CI74" i="3" s="1"/>
  <c r="CE26" i="3"/>
  <c r="CL26" i="3" s="1" a="1"/>
  <c r="CL26" i="3" s="1"/>
  <c r="CB77" i="3"/>
  <c r="CI77" i="3" s="1" a="1"/>
  <c r="CI77" i="3" s="1"/>
  <c r="CA102" i="3"/>
  <c r="CH102" i="3" s="1" a="1"/>
  <c r="CH102" i="3" s="1"/>
  <c r="CA81" i="3"/>
  <c r="CH81" i="3" s="1" a="1"/>
  <c r="CH81" i="3" s="1"/>
  <c r="CD63" i="3"/>
  <c r="CK63" i="3" s="1" a="1"/>
  <c r="CK63" i="3" s="1"/>
  <c r="CA56" i="3"/>
  <c r="CH56" i="3" s="1" a="1"/>
  <c r="CH56" i="3" s="1"/>
  <c r="CE79" i="3"/>
  <c r="CL79" i="3" s="1" a="1"/>
  <c r="CL79" i="3" s="1"/>
  <c r="CE32" i="3"/>
  <c r="CL32" i="3" s="1" a="1"/>
  <c r="CL32" i="3" s="1"/>
  <c r="CE81" i="3"/>
  <c r="CL81" i="3" s="1" a="1"/>
  <c r="CL81" i="3" s="1"/>
  <c r="CC81" i="3"/>
  <c r="CJ81" i="3" s="1" a="1"/>
  <c r="CJ81" i="3" s="1"/>
  <c r="CB85" i="3"/>
  <c r="CI85" i="3" s="1" a="1"/>
  <c r="CI85" i="3" s="1"/>
  <c r="CA61" i="3"/>
  <c r="CH61" i="3" s="1" a="1"/>
  <c r="CH61" i="3" s="1"/>
  <c r="CB64" i="3"/>
  <c r="CI64" i="3" s="1" a="1"/>
  <c r="CI64" i="3" s="1"/>
  <c r="BZ70" i="3"/>
  <c r="CG70" i="3" s="1" a="1"/>
  <c r="CG70" i="3" s="1"/>
  <c r="CE34" i="3"/>
  <c r="CL34" i="3" s="1" a="1"/>
  <c r="CL34" i="3" s="1"/>
  <c r="CC34" i="3"/>
  <c r="CJ34" i="3" s="1" a="1"/>
  <c r="CJ34" i="3" s="1"/>
  <c r="BZ79" i="3"/>
  <c r="CG79" i="3" s="1" a="1"/>
  <c r="CG79" i="3" s="1"/>
  <c r="BZ60" i="3"/>
  <c r="CG60" i="3" s="1" a="1"/>
  <c r="CG60" i="3" s="1"/>
  <c r="CE49" i="3"/>
  <c r="CL49" i="3" s="1" a="1"/>
  <c r="CL49" i="3" s="1"/>
  <c r="BZ73" i="3"/>
  <c r="CG73" i="3" s="1" a="1"/>
  <c r="CG73" i="3" s="1"/>
  <c r="CB86" i="3"/>
  <c r="CI86" i="3" s="1" a="1"/>
  <c r="CI86" i="3" s="1"/>
  <c r="CD92" i="3"/>
  <c r="CK92" i="3" s="1" a="1"/>
  <c r="CK92" i="3" s="1"/>
  <c r="CD96" i="3"/>
  <c r="CK96" i="3" s="1" a="1"/>
  <c r="CK96" i="3" s="1"/>
  <c r="BZ40" i="3"/>
  <c r="CG40" i="3" s="1" a="1"/>
  <c r="CG40" i="3" s="1"/>
  <c r="CE33" i="3"/>
  <c r="CL33" i="3" s="1" a="1"/>
  <c r="CL33" i="3" s="1"/>
  <c r="CC33" i="3"/>
  <c r="CJ33" i="3" s="1" a="1"/>
  <c r="CJ33" i="3" s="1"/>
  <c r="CB37" i="3"/>
  <c r="CI37" i="3" s="1" a="1"/>
  <c r="CI37" i="3" s="1"/>
  <c r="CA71" i="3"/>
  <c r="CH71" i="3" s="1" a="1"/>
  <c r="CH71" i="3" s="1"/>
  <c r="CC102" i="3"/>
  <c r="CJ102" i="3" s="1" a="1"/>
  <c r="CJ102" i="3" s="1"/>
  <c r="CB32" i="3"/>
  <c r="CI32" i="3" s="1" a="1"/>
  <c r="CI32" i="3" s="1"/>
  <c r="BZ64" i="3"/>
  <c r="CG64" i="3" s="1" a="1"/>
  <c r="CG64" i="3" s="1"/>
  <c r="CD25" i="3"/>
  <c r="CK25" i="3" s="1" a="1"/>
  <c r="CK25" i="3" s="1"/>
  <c r="CE84" i="3"/>
  <c r="CL84" i="3" s="1" a="1"/>
  <c r="CL84" i="3" s="1"/>
  <c r="CA18" i="3"/>
  <c r="CH18" i="3" s="1" a="1"/>
  <c r="CH18" i="3" s="1"/>
  <c r="CE20" i="3"/>
  <c r="CL20" i="3" s="1" a="1"/>
  <c r="CL20" i="3" s="1"/>
  <c r="CE69" i="3"/>
  <c r="CL69" i="3" s="1" a="1"/>
  <c r="CL69" i="3" s="1"/>
  <c r="CC69" i="3"/>
  <c r="CJ69" i="3" s="1" a="1"/>
  <c r="CJ69" i="3" s="1"/>
  <c r="CB73" i="3"/>
  <c r="CI73" i="3" s="1" a="1"/>
  <c r="CI73" i="3" s="1"/>
  <c r="CD43" i="3"/>
  <c r="CK43" i="3" s="1" a="1"/>
  <c r="CK43" i="3" s="1"/>
  <c r="CB87" i="3"/>
  <c r="CI87" i="3" s="1" a="1"/>
  <c r="CI87" i="3" s="1"/>
  <c r="CC95" i="3"/>
  <c r="CJ95" i="3" s="1" a="1"/>
  <c r="CJ95" i="3" s="1"/>
  <c r="CD54" i="3"/>
  <c r="CK54" i="3" s="1" a="1"/>
  <c r="CK54" i="3" s="1"/>
  <c r="CE36" i="3"/>
  <c r="CL36" i="3" s="1" a="1"/>
  <c r="CL36" i="3" s="1"/>
  <c r="BZ42" i="3"/>
  <c r="CG42" i="3" s="1" a="1"/>
  <c r="CG42" i="3" s="1"/>
  <c r="BZ26" i="3"/>
  <c r="CG26" i="3" s="1" a="1"/>
  <c r="CG26" i="3" s="1"/>
  <c r="CC72" i="3"/>
  <c r="CJ72" i="3" s="1" a="1"/>
  <c r="CJ72" i="3" s="1"/>
  <c r="CD73" i="3"/>
  <c r="CK73" i="3" s="1" a="1"/>
  <c r="CK73" i="3" s="1"/>
  <c r="CD58" i="3"/>
  <c r="CK58" i="3" s="1" a="1"/>
  <c r="CK58" i="3" s="1"/>
  <c r="CE65" i="3"/>
  <c r="CL65" i="3" s="1" a="1"/>
  <c r="CL65" i="3" s="1"/>
  <c r="CE25" i="3"/>
  <c r="CL25" i="3" s="1" a="1"/>
  <c r="CL25" i="3" s="1"/>
  <c r="CE39" i="3"/>
  <c r="CL39" i="3" s="1" a="1"/>
  <c r="CL39" i="3" s="1"/>
  <c r="BZ65" i="3"/>
  <c r="CG65" i="3" s="1" a="1"/>
  <c r="CG65" i="3" s="1"/>
  <c r="CB34" i="3"/>
  <c r="CI34" i="3" s="1" a="1"/>
  <c r="CI34" i="3" s="1"/>
  <c r="CE73" i="3"/>
  <c r="CL73" i="3" s="1" a="1"/>
  <c r="CL73" i="3" s="1"/>
  <c r="BZ59" i="3"/>
  <c r="CG59" i="3" s="1" a="1"/>
  <c r="CG59" i="3" s="1"/>
  <c r="CA38" i="3"/>
  <c r="CH38" i="3" s="1" a="1"/>
  <c r="CH38" i="3" s="1"/>
  <c r="CB35" i="3"/>
  <c r="CI35" i="3" s="1" a="1"/>
  <c r="CI35" i="3" s="1"/>
  <c r="BZ89" i="3"/>
  <c r="CG89" i="3" s="1" a="1"/>
  <c r="CG89" i="3" s="1"/>
  <c r="CD101" i="3"/>
  <c r="CK101" i="3" s="1" a="1"/>
  <c r="CK101" i="3" s="1"/>
  <c r="CC29" i="3"/>
  <c r="CJ29" i="3" s="1" a="1"/>
  <c r="CJ29" i="3" s="1"/>
  <c r="CE99" i="3"/>
  <c r="CL99" i="3" s="1" a="1"/>
  <c r="CL99" i="3" s="1"/>
  <c r="CB45" i="3"/>
  <c r="CI45" i="3" s="1" a="1"/>
  <c r="CI45" i="3" s="1"/>
  <c r="CA45" i="3"/>
  <c r="CH45" i="3" s="1" a="1"/>
  <c r="CH45" i="3" s="1"/>
  <c r="CA92" i="3"/>
  <c r="CH92" i="3" s="1" a="1"/>
  <c r="CH92" i="3" s="1"/>
  <c r="BZ74" i="3"/>
  <c r="CG74" i="3" s="1" a="1"/>
  <c r="CG74" i="3" s="1"/>
  <c r="CB50" i="3"/>
  <c r="CI50" i="3" s="1" a="1"/>
  <c r="CI50" i="3" s="1"/>
  <c r="CD93" i="3"/>
  <c r="CK93" i="3" s="1" a="1"/>
  <c r="CK93" i="3" s="1"/>
  <c r="CB33" i="3"/>
  <c r="CI33" i="3" s="1" a="1"/>
  <c r="CI33" i="3" s="1"/>
  <c r="CE18" i="3"/>
  <c r="CL18" i="3" s="1" a="1"/>
  <c r="CL18" i="3" s="1"/>
  <c r="CB100" i="3"/>
  <c r="CI100" i="3" s="1" a="1"/>
  <c r="CI100" i="3" s="1"/>
  <c r="CE40" i="3"/>
  <c r="CL40" i="3" s="1" a="1"/>
  <c r="CL40" i="3" s="1"/>
  <c r="BZ44" i="3"/>
  <c r="CG44" i="3" s="1" a="1"/>
  <c r="CG44" i="3" s="1"/>
  <c r="CE66" i="3"/>
  <c r="CL66" i="3" s="1" a="1"/>
  <c r="CL66" i="3" s="1"/>
  <c r="CA95" i="3"/>
  <c r="CH95" i="3" s="1" a="1"/>
  <c r="CH95" i="3" s="1"/>
  <c r="CE70" i="3"/>
  <c r="CL70" i="3" s="1" a="1"/>
  <c r="CL70" i="3" s="1"/>
  <c r="CE86" i="3"/>
  <c r="CL86" i="3" s="1" a="1"/>
  <c r="CL86" i="3" s="1"/>
  <c r="CA22" i="3"/>
  <c r="CH22" i="3" s="1" a="1"/>
  <c r="CH22" i="3" s="1"/>
  <c r="CA49" i="3"/>
  <c r="CH49" i="3" s="1" a="1"/>
  <c r="CH49" i="3" s="1"/>
  <c r="CB52" i="3"/>
  <c r="CI52" i="3" s="1" a="1"/>
  <c r="CI52" i="3" s="1"/>
  <c r="CB80" i="3"/>
  <c r="CI80" i="3" s="1" a="1"/>
  <c r="CI80" i="3" s="1"/>
  <c r="BZ100" i="3"/>
  <c r="CG100" i="3" s="1" a="1"/>
  <c r="CG100" i="3" s="1"/>
  <c r="BZ21" i="3"/>
  <c r="CG21" i="3" s="1" a="1"/>
  <c r="CG21" i="3" s="1"/>
  <c r="CC55" i="3"/>
  <c r="CJ55" i="3" s="1" a="1"/>
  <c r="CJ55" i="3" s="1"/>
  <c r="BZ48" i="3"/>
  <c r="CG48" i="3" s="1" a="1"/>
  <c r="CG48" i="3" s="1"/>
  <c r="CC63" i="3"/>
  <c r="CJ63" i="3" s="1" a="1"/>
  <c r="CJ63" i="3" s="1"/>
  <c r="CC48" i="3"/>
  <c r="CJ48" i="3" s="1" a="1"/>
  <c r="CJ48" i="3" s="1"/>
  <c r="BZ92" i="3"/>
  <c r="CG92" i="3" s="1" a="1"/>
  <c r="CG92" i="3" s="1"/>
  <c r="CE54" i="3"/>
  <c r="CL54" i="3" s="1" a="1"/>
  <c r="CL54" i="3" s="1"/>
  <c r="CB70" i="3"/>
  <c r="CI70" i="3" s="1" a="1"/>
  <c r="CI70" i="3" s="1"/>
  <c r="CB78" i="3"/>
  <c r="CI78" i="3" s="1" a="1"/>
  <c r="CI78" i="3" s="1"/>
  <c r="CE91" i="3"/>
  <c r="CL91" i="3" s="1" a="1"/>
  <c r="CL91" i="3" s="1"/>
  <c r="CE59" i="3"/>
  <c r="CL59" i="3" s="1" a="1"/>
  <c r="CL59" i="3" s="1"/>
  <c r="CD38" i="3"/>
  <c r="CK38" i="3" s="1" a="1"/>
  <c r="CK38" i="3" s="1"/>
  <c r="BZ53" i="3"/>
  <c r="CG53" i="3" s="1" a="1"/>
  <c r="CG53" i="3" s="1"/>
  <c r="CC18" i="3"/>
  <c r="CJ18" i="3" s="1" a="1"/>
  <c r="CJ18" i="3" s="1"/>
  <c r="CB20" i="3"/>
  <c r="CI20" i="3" s="1" a="1"/>
  <c r="CI20" i="3" s="1"/>
  <c r="BZ52" i="3"/>
  <c r="CG52" i="3" s="1" a="1"/>
  <c r="CG52" i="3" s="1"/>
  <c r="CA67" i="3"/>
  <c r="CH67" i="3" s="1" a="1"/>
  <c r="CH67" i="3" s="1"/>
  <c r="CE95" i="3"/>
  <c r="CL95" i="3" s="1" a="1"/>
  <c r="CL95" i="3" s="1"/>
  <c r="CD62" i="3"/>
  <c r="CK62" i="3" s="1" a="1"/>
  <c r="CK62" i="3" s="1"/>
  <c r="BZ84" i="3"/>
  <c r="CG84" i="3" s="1" a="1"/>
  <c r="CG84" i="3" s="1"/>
  <c r="CD51" i="3"/>
  <c r="CK51" i="3" s="1" a="1"/>
  <c r="CK51" i="3" s="1"/>
  <c r="CB24" i="3"/>
  <c r="CI24" i="3" s="1" a="1"/>
  <c r="CI24" i="3" s="1"/>
  <c r="CE55" i="3"/>
  <c r="CL55" i="3" s="1" a="1"/>
  <c r="CL55" i="3" s="1"/>
  <c r="CC90" i="3"/>
  <c r="CJ90" i="3" s="1" a="1"/>
  <c r="CJ90" i="3" s="1"/>
  <c r="CB40" i="3"/>
  <c r="CI40" i="3" s="1" a="1"/>
  <c r="CI40" i="3" s="1"/>
  <c r="CB68" i="3"/>
  <c r="CI68" i="3" s="1" a="1"/>
  <c r="CI68" i="3" s="1"/>
  <c r="BZ88" i="3"/>
  <c r="CG88" i="3" s="1" a="1"/>
  <c r="CG88" i="3" s="1"/>
  <c r="CE24" i="3"/>
  <c r="CL24" i="3" s="1" a="1"/>
  <c r="CL24" i="3" s="1"/>
  <c r="BZ30" i="3"/>
  <c r="CG30" i="3" s="1" a="1"/>
  <c r="CG30" i="3" s="1"/>
  <c r="BZ58" i="3"/>
  <c r="CG58" i="3" s="1" a="1"/>
  <c r="CG58" i="3" s="1"/>
  <c r="CC52" i="3"/>
  <c r="CJ52" i="3" s="1" a="1"/>
  <c r="CJ52" i="3" s="1"/>
  <c r="CC22" i="3"/>
  <c r="CJ22" i="3" s="1" a="1"/>
  <c r="CJ22" i="3" s="1"/>
  <c r="BZ67" i="3"/>
  <c r="CG67" i="3" s="1" a="1"/>
  <c r="CG67" i="3" s="1"/>
  <c r="CE53" i="3"/>
  <c r="CL53" i="3" s="1" a="1"/>
  <c r="CL53" i="3" s="1"/>
  <c r="CD53" i="3"/>
  <c r="CK53" i="3" s="1" a="1"/>
  <c r="CK53" i="3" s="1"/>
  <c r="CD99" i="3"/>
  <c r="CK99" i="3" s="1" a="1"/>
  <c r="CK99" i="3" s="1"/>
  <c r="CE37" i="3"/>
  <c r="CL37" i="3" s="1" a="1"/>
  <c r="CL37" i="3" s="1"/>
  <c r="CC39" i="3"/>
  <c r="CJ39" i="3" s="1" a="1"/>
  <c r="CJ39" i="3" s="1"/>
  <c r="CB56" i="3"/>
  <c r="CI56" i="3" s="1" a="1"/>
  <c r="CI56" i="3" s="1"/>
  <c r="CB43" i="3"/>
  <c r="CI43" i="3" s="1" a="1"/>
  <c r="CI43" i="3" s="1"/>
  <c r="CE67" i="3"/>
  <c r="CL67" i="3" s="1" a="1"/>
  <c r="CL67" i="3" s="1"/>
  <c r="S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<sst xmlns="http://schemas.openxmlformats.org/spreadsheetml/2006/main" count="432" uniqueCount="231">
  <si>
    <t>No</t>
  </si>
  <si>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</si>
  <si>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</si>
  <si>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</si>
  <si>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</si>
  <si>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</si>
  <si>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</si>
  <si>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</si>
  <si>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</si>
  <si>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</si>
  <si>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</si>
  <si>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</si>
  <si>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</si>
  <si>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</si>
  <si>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</si>
  <si>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</si>
  <si>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</si>
  <si>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</si>
  <si>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</si>
  <si>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</si>
  <si>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</si>
  <si>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</si>
  <si>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</si>
  <si>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</si>
  <si>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</si>
  <si>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</si>
  <si>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</si>
  <si>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</si>
  <si>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</si>
  <si>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</si>
  <si>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</si>
  <si>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</si>
  <si>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</si>
  <si>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</si>
  <si>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</si>
  <si>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</si>
  <si>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</si>
  <si>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</si>
  <si>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</si>
  <si>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</si>
  <si>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</si>
  <si>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</si>
  <si>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</si>
  <si>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</si>
  <si>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</si>
  <si>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</si>
  <si>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</si>
  <si>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</si>
  <si>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</si>
  <si>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</si>
  <si>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</si>
  <si>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</si>
  <si>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</si>
  <si>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</si>
  <si>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</si>
  <si>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</si>
  <si>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</si>
  <si>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</si>
  <si>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</si>
  <si>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</si>
  <si>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</si>
  <si>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</si>
  <si>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</si>
  <si>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</si>
  <si>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</si>
  <si>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</si>
  <si>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</si>
  <si>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</si>
  <si>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</si>
  <si>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</si>
  <si>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</si>
  <si>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</si>
  <si>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</si>
  <si>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</si>
  <si>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</si>
  <si>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</si>
  <si>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</si>
  <si>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</si>
  <si>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</si>
  <si>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</si>
  <si>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</si>
  <si>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</si>
  <si>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</si>
  <si>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</si>
  <si>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</si>
  <si>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</si>
  <si>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</si>
  <si>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</si>
  <si>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</si>
  <si>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</si>
  <si>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</si>
  <si>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</si>
  <si>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</si>
  <si>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</si>
  <si>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</si>
  <si>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</si>
  <si>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</si>
  <si>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</si>
  <si>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</si>
  <si>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</si>
  <si>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</si>
  <si>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</si>
  <si>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</si>
  <si>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</si>
  <si>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</si>
  <si>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Close</t>
  </si>
  <si>
    <t>Open</t>
  </si>
  <si>
    <t>High</t>
  </si>
  <si>
    <t>Low</t>
  </si>
  <si>
    <t>Peak_Line_1</t>
  </si>
  <si>
    <t>Peak_Line_2</t>
  </si>
  <si>
    <t>Peak_Line_3</t>
  </si>
  <si>
    <t>Bottom_Line_1</t>
  </si>
  <si>
    <t>Bottom_Line_2</t>
  </si>
  <si>
    <t>Bottom_Line_3</t>
  </si>
  <si>
    <t>High_Map</t>
  </si>
  <si>
    <t>Low_Map</t>
  </si>
  <si>
    <t>pinbar</t>
  </si>
  <si>
    <t>ZigZag_High</t>
  </si>
  <si>
    <t>ZigZag_Low</t>
  </si>
  <si>
    <t>Z-Score of body size</t>
  </si>
  <si>
    <t>Candle classification</t>
  </si>
  <si>
    <t>Peak_Line_1_Upper</t>
  </si>
  <si>
    <t>Peak_Line_1_Lower</t>
  </si>
  <si>
    <t>Peak_Line_2_Upper</t>
  </si>
  <si>
    <t>Peak_Line_2_Lower</t>
  </si>
  <si>
    <t>Peak_Line_3_Upper</t>
  </si>
  <si>
    <t>Peak_Line_3_Lower</t>
  </si>
  <si>
    <t>Bottom_Line_1_Upper</t>
  </si>
  <si>
    <t>Bottom_Line_1_Lower</t>
  </si>
  <si>
    <t>Bottom_Line_2_Upper</t>
  </si>
  <si>
    <t>Bottom_Line_2_Lower</t>
  </si>
  <si>
    <t>Bottom_Line_3_Upper</t>
  </si>
  <si>
    <t>Bottom_Line_3_Lower</t>
  </si>
  <si>
    <t>Trendline Band Tolerance</t>
  </si>
  <si>
    <t>Touch_Peak_Line_1</t>
  </si>
  <si>
    <t>Touch_Peak_Line_2</t>
  </si>
  <si>
    <t>Touch_Peak_Line_3</t>
  </si>
  <si>
    <t>Touch_Bottom_Line_1</t>
  </si>
  <si>
    <t>Touch_Bottom_Line_2</t>
  </si>
  <si>
    <t>Touch_Bottom_Line_3</t>
  </si>
  <si>
    <t>Slope_Peak_Line_1</t>
  </si>
  <si>
    <t>Slope_Peak_Line_2</t>
  </si>
  <si>
    <t>Slope_Peak_Line_3</t>
  </si>
  <si>
    <t>Slope_Bottom_Line_1</t>
  </si>
  <si>
    <t>Slope_Bottom_Line_2</t>
  </si>
  <si>
    <t>Slope_Bottom_Line_3</t>
  </si>
  <si>
    <t>Rank_Peak_Line_1</t>
  </si>
  <si>
    <t>Rank_Peak_Line_2</t>
  </si>
  <si>
    <t>Rank_Peak_Line_3</t>
  </si>
  <si>
    <t>Rank_Bottom_Line_1</t>
  </si>
  <si>
    <t>Rank_Bottom_Line_2</t>
  </si>
  <si>
    <t>Rank_Bottom_Line_3</t>
  </si>
  <si>
    <t>Status_Peak_Line_1</t>
  </si>
  <si>
    <t>Status_Peak_Line_2</t>
  </si>
  <si>
    <t>Status_Peak_Line_3</t>
  </si>
  <si>
    <t>Status_Bottom_Line_1</t>
  </si>
  <si>
    <t>Status_Bottom_Line_2</t>
  </si>
  <si>
    <t>Status_Bottom_Line_3</t>
  </si>
  <si>
    <t>Count_R</t>
  </si>
  <si>
    <t>Count_S</t>
  </si>
  <si>
    <t>%_To_Peak_Line_1</t>
  </si>
  <si>
    <t>%_To_Peak_Line_2</t>
  </si>
  <si>
    <t>%_To_Peak_Line_3</t>
  </si>
  <si>
    <t>%_To_Bottom_Line_1</t>
  </si>
  <si>
    <t>%_To_Bottom_Line_2</t>
  </si>
  <si>
    <t>%_To_Bottom_Line_3</t>
  </si>
  <si>
    <t>Trendline Stochastics</t>
  </si>
  <si>
    <t>Angle_Peak_Line_1</t>
  </si>
  <si>
    <t>Angle_Peak_Line_2</t>
  </si>
  <si>
    <t>Angle_Peak_Line_3</t>
  </si>
  <si>
    <t>ATR(14)</t>
  </si>
  <si>
    <t>H - L</t>
  </si>
  <si>
    <t>I H - Cp I</t>
  </si>
  <si>
    <t>I L - Cp I</t>
  </si>
  <si>
    <t>TR</t>
  </si>
  <si>
    <t>Avg. ATR</t>
  </si>
  <si>
    <t>Angle_Classification_P1</t>
  </si>
  <si>
    <t>Angle_Classification_P2</t>
  </si>
  <si>
    <t>Angle_Classification_P3</t>
  </si>
  <si>
    <t>Angle_Classification_B1</t>
  </si>
  <si>
    <t>Angle_Classification_B2</t>
  </si>
  <si>
    <t>Angle_Classification_B3</t>
  </si>
  <si>
    <t>kc_ultra_extreme_upper</t>
  </si>
  <si>
    <t>kc_extreme_upper</t>
  </si>
  <si>
    <t>kc_uppermost</t>
  </si>
  <si>
    <t>kc_upper</t>
  </si>
  <si>
    <t>kc_upper_middle</t>
  </si>
  <si>
    <t>kc_lower_middle</t>
  </si>
  <si>
    <t>kc_lower</t>
  </si>
  <si>
    <t>kc_lowermost</t>
  </si>
  <si>
    <t>kc_extreme_lower</t>
  </si>
  <si>
    <t>kc_ultra_extreme_lower</t>
  </si>
  <si>
    <t>S&amp;R_Level_1</t>
  </si>
  <si>
    <t>S&amp;R_Level_2</t>
  </si>
  <si>
    <t>S&amp;R_Level_3</t>
  </si>
  <si>
    <t>S&amp;R_Level_4</t>
  </si>
  <si>
    <t>S&amp;R_Level_5</t>
  </si>
  <si>
    <t>S&amp;R_Level_6</t>
  </si>
  <si>
    <t>Tema</t>
  </si>
  <si>
    <t>Hrma</t>
  </si>
  <si>
    <t>Bullish Conditon</t>
  </si>
  <si>
    <t>Bearish Condition</t>
  </si>
  <si>
    <t>dual_tema_high</t>
  </si>
  <si>
    <t>dual_tema_low</t>
  </si>
  <si>
    <t>Breakout triggering</t>
  </si>
  <si>
    <t>Tema_Band</t>
  </si>
  <si>
    <t>Z-Score of Tema_Band</t>
  </si>
  <si>
    <t>Tema_Band_Class</t>
  </si>
  <si>
    <t>Spike Detect</t>
  </si>
  <si>
    <t>EMA</t>
  </si>
  <si>
    <t>Smma</t>
  </si>
  <si>
    <t>Important High</t>
  </si>
  <si>
    <t>Important Low</t>
  </si>
  <si>
    <t>Close-TEMA crossover</t>
  </si>
  <si>
    <t>Close-TEMA crossunder</t>
  </si>
  <si>
    <t>%Hrma-EMA_Dev</t>
  </si>
  <si>
    <t>Z-Score %Hrma-EMA_Dev</t>
  </si>
  <si>
    <t>Hrma-EMA_Based_Momentum</t>
  </si>
  <si>
    <t>Trend</t>
  </si>
  <si>
    <t>S1</t>
  </si>
  <si>
    <t>S2</t>
  </si>
  <si>
    <t>S3</t>
  </si>
  <si>
    <t>S4</t>
  </si>
  <si>
    <t>B1</t>
  </si>
  <si>
    <t>B2</t>
  </si>
  <si>
    <t>B3</t>
  </si>
  <si>
    <t>B4</t>
  </si>
  <si>
    <t>Sell Recommendation</t>
  </si>
  <si>
    <t>Buy Recommendation</t>
  </si>
  <si>
    <t>TEMA &lt;&gt; HRMA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</si>
</sst>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0_-;\-* #,##0.000_-;_-* &quot;-&quot;??_-;_-@_-"/>
    <numFmt numFmtId="165" formatCode="0.000%"/>
    <numFmt numFmtId="166" formatCode="0.00000"/>
    <numFmt numFmtId="167" formatCode="0.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16" fillId="0" borderId="0" xfId="0" applyFont="1" applyAlignment="1">
      <alignment horizontal="center"/>
    </xf>
    <xf numFmtId="0" fontId="19" fillId="0" borderId="0" xfId="0" applyFont="1"/>
    <xf numFmtId="0" fontId="16" fillId="0" borderId="0" xfId="0" applyFont="1"/>
    <xf numFmtId="164" fontId="0" fillId="0" borderId="0" xfId="42" applyNumberFormat="1" applyFont="1"/>
    <xf numFmtId="43" fontId="0" fillId="0" borderId="0" xfId="0" applyNumberFormat="1"/>
    <xf numFmtId="0" fontId="20" fillId="0" borderId="10" xfId="0" applyFont="1" applyBorder="1"/>
    <xf numFmtId="165" fontId="0" fillId="0" borderId="11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6" fontId="0" fillId="0" borderId="0" xfId="0" applyNumberFormat="1"/>
    <xf numFmtId="167" fontId="0" fillId="0" borderId="0" xfId="0" applyNumberFormat="1"/>
    <xf numFmtId="10" fontId="0" fillId="0" borderId="0" xfId="43" applyNumberFormat="1" applyFont="1" applyAlignment="1">
      <alignment horizontal="center"/>
    </xf>
    <xf numFmtId="0" fontId="0" fillId="0" borderId="0" xfId="42" applyNumberFormat="1" applyFont="1" applyAlignment="1">
      <alignment horizontal="center"/>
    </xf>
    <xf numFmtId="0" fontId="0" fillId="0" borderId="0" xfId="43" applyNumberFormat="1" applyFont="1" applyAlignment="1">
      <alignment horizontal="center"/>
    </xf>
    <xf numFmtId="0" fontId="0" fillId="33" borderId="0" xfId="0" applyFill="1" applyAlignment="1">
      <alignment horizontal="center"/>
    </xf>
    <xf numFmtId="166" fontId="21" fillId="0" borderId="0" xfId="0" applyNumberFormat="1" applyFont="1"/>
    <xf numFmtId="0" fontId="22" fillId="0" borderId="0" xfId="0" applyFont="1" applyAlignment="1">
      <alignment horizontal="center"/>
    </xf>
    <xf numFmtId="0" fontId="0" fillId="33" borderId="0" xfId="0" applyFill="1"/>
    <xf numFmtId="0" fontId="23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1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16" fillId="34" borderId="0" xfId="0" applyFont="1" applyFill="1" applyAlignment="1">
      <alignment wrapText="1"/>
    </xf>
    <xf numFmtId="0" fontId="16" fillId="34" borderId="0" xfId="0" applyFont="1" applyFill="1"/>
    <xf numFmtId="0" fontId="23" fillId="34" borderId="0" xfId="0" applyFont="1" applyFill="1" applyAlignment="1">
      <alignment horizontal="center"/>
    </xf>
    <xf numFmtId="0" fontId="0" fillId="0" borderId="0" xfId="0" applyFill="1"/>
    <xf numFmtId="0" fontId="16" fillId="0" borderId="0" xfId="0" applyFont="1" applyFill="1" applyAlignment="1">
      <alignment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USDJPY_M5!$H$4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USDJPY_M5!$H$5:$H$103</c:f>
              <c:numCache>
                <c:formatCode>General</c:formatCode>
                <c:ptCount val="99"/>
                <c:pt idx="0">
                  <c:v>153.249</c:v>
                </c:pt>
                <c:pt idx="1">
                  <c:v>153.196</c:v>
                </c:pt>
                <c:pt idx="2">
                  <c:v>153.05000000000001</c:v>
                </c:pt>
                <c:pt idx="3">
                  <c:v>153.06700000000001</c:v>
                </c:pt>
                <c:pt idx="4">
                  <c:v>153.042</c:v>
                </c:pt>
                <c:pt idx="5">
                  <c:v>153.05000000000001</c:v>
                </c:pt>
                <c:pt idx="6">
                  <c:v>153.03299999999999</c:v>
                </c:pt>
                <c:pt idx="7">
                  <c:v>152.999</c:v>
                </c:pt>
                <c:pt idx="8">
                  <c:v>152.999</c:v>
                </c:pt>
                <c:pt idx="9">
                  <c:v>152.89699999999999</c:v>
                </c:pt>
                <c:pt idx="10">
                  <c:v>152.91</c:v>
                </c:pt>
                <c:pt idx="11">
                  <c:v>152.87700000000001</c:v>
                </c:pt>
                <c:pt idx="12">
                  <c:v>152.96600000000001</c:v>
                </c:pt>
                <c:pt idx="13">
                  <c:v>153.02000000000001</c:v>
                </c:pt>
                <c:pt idx="14">
                  <c:v>153.04900000000001</c:v>
                </c:pt>
                <c:pt idx="15">
                  <c:v>153.04499999999999</c:v>
                </c:pt>
                <c:pt idx="16">
                  <c:v>152.96199999999999</c:v>
                </c:pt>
                <c:pt idx="17">
                  <c:v>153.04599999999999</c:v>
                </c:pt>
                <c:pt idx="18">
                  <c:v>153.04599999999999</c:v>
                </c:pt>
                <c:pt idx="19">
                  <c:v>153.09</c:v>
                </c:pt>
                <c:pt idx="20">
                  <c:v>153.001</c:v>
                </c:pt>
                <c:pt idx="21">
                  <c:v>153.036</c:v>
                </c:pt>
                <c:pt idx="22">
                  <c:v>153.07499999999999</c:v>
                </c:pt>
                <c:pt idx="23">
                  <c:v>153.072</c:v>
                </c:pt>
                <c:pt idx="24">
                  <c:v>152.95099999999999</c:v>
                </c:pt>
                <c:pt idx="25">
                  <c:v>152.94800000000001</c:v>
                </c:pt>
                <c:pt idx="26">
                  <c:v>153.006</c:v>
                </c:pt>
                <c:pt idx="27">
                  <c:v>153.13200000000001</c:v>
                </c:pt>
                <c:pt idx="28">
                  <c:v>153.16499999999999</c:v>
                </c:pt>
                <c:pt idx="29">
                  <c:v>153.161</c:v>
                </c:pt>
                <c:pt idx="30">
                  <c:v>153.053</c:v>
                </c:pt>
                <c:pt idx="31">
                  <c:v>153.05699999999999</c:v>
                </c:pt>
                <c:pt idx="32">
                  <c:v>152.89500000000001</c:v>
                </c:pt>
                <c:pt idx="33">
                  <c:v>152.87</c:v>
                </c:pt>
                <c:pt idx="34">
                  <c:v>152.86199999999999</c:v>
                </c:pt>
                <c:pt idx="35">
                  <c:v>152.89400000000001</c:v>
                </c:pt>
                <c:pt idx="36">
                  <c:v>152.80699999999999</c:v>
                </c:pt>
                <c:pt idx="37">
                  <c:v>152.81700000000001</c:v>
                </c:pt>
                <c:pt idx="38">
                  <c:v>152.77000000000001</c:v>
                </c:pt>
                <c:pt idx="39">
                  <c:v>152.79</c:v>
                </c:pt>
                <c:pt idx="40">
                  <c:v>152.78899999999999</c:v>
                </c:pt>
                <c:pt idx="41">
                  <c:v>152.75</c:v>
                </c:pt>
                <c:pt idx="42">
                  <c:v>152.661</c:v>
                </c:pt>
                <c:pt idx="43">
                  <c:v>152.672</c:v>
                </c:pt>
                <c:pt idx="44">
                  <c:v>152.738</c:v>
                </c:pt>
                <c:pt idx="45">
                  <c:v>152.69800000000001</c:v>
                </c:pt>
                <c:pt idx="46">
                  <c:v>152.81299999999999</c:v>
                </c:pt>
                <c:pt idx="47">
                  <c:v>152.81899999999999</c:v>
                </c:pt>
                <c:pt idx="48">
                  <c:v>152.816</c:v>
                </c:pt>
                <c:pt idx="49">
                  <c:v>152.82499999999999</c:v>
                </c:pt>
                <c:pt idx="50">
                  <c:v>152.75299999999999</c:v>
                </c:pt>
                <c:pt idx="51">
                  <c:v>152.80600000000001</c:v>
                </c:pt>
                <c:pt idx="52">
                  <c:v>152.78800000000001</c:v>
                </c:pt>
                <c:pt idx="53">
                  <c:v>152.81399999999999</c:v>
                </c:pt>
                <c:pt idx="54">
                  <c:v>152.803</c:v>
                </c:pt>
                <c:pt idx="55">
                  <c:v>152.83799999999999</c:v>
                </c:pt>
                <c:pt idx="56">
                  <c:v>152.864</c:v>
                </c:pt>
                <c:pt idx="57">
                  <c:v>152.81299999999999</c:v>
                </c:pt>
                <c:pt idx="58">
                  <c:v>152.81200000000001</c:v>
                </c:pt>
                <c:pt idx="59">
                  <c:v>152.84700000000001</c:v>
                </c:pt>
                <c:pt idx="60">
                  <c:v>152.803</c:v>
                </c:pt>
                <c:pt idx="61">
                  <c:v>152.84</c:v>
                </c:pt>
                <c:pt idx="62">
                  <c:v>152.874</c:v>
                </c:pt>
                <c:pt idx="63">
                  <c:v>152.83099999999999</c:v>
                </c:pt>
                <c:pt idx="64">
                  <c:v>152.84399999999999</c:v>
                </c:pt>
                <c:pt idx="65">
                  <c:v>152.81</c:v>
                </c:pt>
                <c:pt idx="66">
                  <c:v>152.809</c:v>
                </c:pt>
                <c:pt idx="67">
                  <c:v>152.81299999999999</c:v>
                </c:pt>
                <c:pt idx="68">
                  <c:v>152.779</c:v>
                </c:pt>
                <c:pt idx="69">
                  <c:v>152.76900000000001</c:v>
                </c:pt>
                <c:pt idx="70">
                  <c:v>152.74299999999999</c:v>
                </c:pt>
                <c:pt idx="71">
                  <c:v>152.75399999999999</c:v>
                </c:pt>
                <c:pt idx="72">
                  <c:v>152.73599999999999</c:v>
                </c:pt>
                <c:pt idx="73">
                  <c:v>152.76300000000001</c:v>
                </c:pt>
                <c:pt idx="74">
                  <c:v>152.77000000000001</c:v>
                </c:pt>
                <c:pt idx="75">
                  <c:v>152.77699999999999</c:v>
                </c:pt>
                <c:pt idx="76">
                  <c:v>152.80099999999999</c:v>
                </c:pt>
                <c:pt idx="77">
                  <c:v>152.81200000000001</c:v>
                </c:pt>
                <c:pt idx="78">
                  <c:v>152.786</c:v>
                </c:pt>
                <c:pt idx="79">
                  <c:v>152.81399999999999</c:v>
                </c:pt>
                <c:pt idx="80">
                  <c:v>152.78700000000001</c:v>
                </c:pt>
                <c:pt idx="81">
                  <c:v>152.72999999999999</c:v>
                </c:pt>
                <c:pt idx="82">
                  <c:v>152.72800000000001</c:v>
                </c:pt>
                <c:pt idx="83">
                  <c:v>152.72900000000001</c:v>
                </c:pt>
                <c:pt idx="84">
                  <c:v>152.74600000000001</c:v>
                </c:pt>
                <c:pt idx="85">
                  <c:v>152.74199999999999</c:v>
                </c:pt>
                <c:pt idx="86">
                  <c:v>152.70599999999999</c:v>
                </c:pt>
                <c:pt idx="87">
                  <c:v>152.75700000000001</c:v>
                </c:pt>
                <c:pt idx="88">
                  <c:v>152.649</c:v>
                </c:pt>
                <c:pt idx="89">
                  <c:v>152.648</c:v>
                </c:pt>
                <c:pt idx="90">
                  <c:v>152.67599999999999</c:v>
                </c:pt>
                <c:pt idx="91">
                  <c:v>152.642</c:v>
                </c:pt>
                <c:pt idx="92">
                  <c:v>152.64500000000001</c:v>
                </c:pt>
                <c:pt idx="93">
                  <c:v>152.65</c:v>
                </c:pt>
                <c:pt idx="94">
                  <c:v>152.69999999999999</c:v>
                </c:pt>
                <c:pt idx="95">
                  <c:v>152.72200000000001</c:v>
                </c:pt>
                <c:pt idx="96">
                  <c:v>152.69200000000001</c:v>
                </c:pt>
                <c:pt idx="97">
                  <c:v>152.727</c:v>
                </c:pt>
                <c:pt idx="98">
                  <c:v>152.71199999999999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5-4623-85ED-6855FD913086}"/>
            </c:ext>
          </c:extLst>
        </c:ser>
        <c:ser>
          <c:idx val="1"/>
          <c:order val="1"/>
          <c:tx>
            <c:strRef>
              <c:f>USDJPY_M5!$I$4</c:f>
              <c:strCache>
                <c:ptCount val="1"/>
                <c:pt idx="0">
                  <c:v>Peak_Line_1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USDJPY_M5!$I$5:$I$103</c:f>
              <c:numCache>
                <c:formatCode>General</c:formatCode>
                <c:ptCount val="99"/>
                <c:pt idx="0">
                  <c:v>153.03800000000001</c:v>
                </c:pt>
                <c:pt idx="1">
                  <c:v>153.036</c:v>
                </c:pt>
                <c:pt idx="2">
                  <c:v>153.03299999999999</c:v>
                </c:pt>
                <c:pt idx="3">
                  <c:v>153.03100000000001</c:v>
                </c:pt>
                <c:pt idx="4">
                  <c:v>153.029</c:v>
                </c:pt>
                <c:pt idx="5">
                  <c:v>153.02600000000001</c:v>
                </c:pt>
                <c:pt idx="6">
                  <c:v>153.024</c:v>
                </c:pt>
                <c:pt idx="7">
                  <c:v>153.02099999999999</c:v>
                </c:pt>
                <c:pt idx="8">
                  <c:v>153.01900000000001</c:v>
                </c:pt>
                <c:pt idx="9">
                  <c:v>153.01599999999999</c:v>
                </c:pt>
                <c:pt idx="10">
                  <c:v>153.01400000000001</c:v>
                </c:pt>
                <c:pt idx="11">
                  <c:v>153.012</c:v>
                </c:pt>
                <c:pt idx="12">
                  <c:v>153.00899999999999</c:v>
                </c:pt>
                <c:pt idx="13">
                  <c:v>153.00700000000001</c:v>
                </c:pt>
                <c:pt idx="14">
                  <c:v>153.00399999999999</c:v>
                </c:pt>
                <c:pt idx="15">
                  <c:v>153.00200000000001</c:v>
                </c:pt>
                <c:pt idx="16">
                  <c:v>152.999</c:v>
                </c:pt>
                <c:pt idx="17">
                  <c:v>152.99700000000001</c:v>
                </c:pt>
                <c:pt idx="18">
                  <c:v>152.995</c:v>
                </c:pt>
                <c:pt idx="19">
                  <c:v>152.99199999999999</c:v>
                </c:pt>
                <c:pt idx="20">
                  <c:v>152.99</c:v>
                </c:pt>
                <c:pt idx="21">
                  <c:v>152.98699999999999</c:v>
                </c:pt>
                <c:pt idx="22">
                  <c:v>152.98500000000001</c:v>
                </c:pt>
                <c:pt idx="23">
                  <c:v>152.983</c:v>
                </c:pt>
                <c:pt idx="24">
                  <c:v>152.97999999999999</c:v>
                </c:pt>
                <c:pt idx="25">
                  <c:v>152.97800000000001</c:v>
                </c:pt>
                <c:pt idx="26">
                  <c:v>152.97499999999999</c:v>
                </c:pt>
                <c:pt idx="27">
                  <c:v>152.97300000000001</c:v>
                </c:pt>
                <c:pt idx="28">
                  <c:v>152.97</c:v>
                </c:pt>
                <c:pt idx="29">
                  <c:v>152.96799999999999</c:v>
                </c:pt>
                <c:pt idx="30">
                  <c:v>152.96600000000001</c:v>
                </c:pt>
                <c:pt idx="31">
                  <c:v>152.96299999999999</c:v>
                </c:pt>
                <c:pt idx="32">
                  <c:v>152.96100000000001</c:v>
                </c:pt>
                <c:pt idx="33">
                  <c:v>152.958</c:v>
                </c:pt>
                <c:pt idx="34">
                  <c:v>152.95599999999999</c:v>
                </c:pt>
                <c:pt idx="35">
                  <c:v>152.953</c:v>
                </c:pt>
                <c:pt idx="36">
                  <c:v>152.95099999999999</c:v>
                </c:pt>
                <c:pt idx="37">
                  <c:v>152.94900000000001</c:v>
                </c:pt>
                <c:pt idx="38">
                  <c:v>152.946</c:v>
                </c:pt>
                <c:pt idx="39">
                  <c:v>152.94399999999999</c:v>
                </c:pt>
                <c:pt idx="40">
                  <c:v>152.941</c:v>
                </c:pt>
                <c:pt idx="41">
                  <c:v>152.93899999999999</c:v>
                </c:pt>
                <c:pt idx="42">
                  <c:v>152.93600000000001</c:v>
                </c:pt>
                <c:pt idx="43">
                  <c:v>152.934</c:v>
                </c:pt>
                <c:pt idx="44">
                  <c:v>152.93199999999999</c:v>
                </c:pt>
                <c:pt idx="45">
                  <c:v>152.929</c:v>
                </c:pt>
                <c:pt idx="46">
                  <c:v>152.92699999999999</c:v>
                </c:pt>
                <c:pt idx="47">
                  <c:v>152.92400000000001</c:v>
                </c:pt>
                <c:pt idx="48">
                  <c:v>152.922</c:v>
                </c:pt>
                <c:pt idx="49">
                  <c:v>152.91999999999999</c:v>
                </c:pt>
                <c:pt idx="50">
                  <c:v>152.917</c:v>
                </c:pt>
                <c:pt idx="51">
                  <c:v>152.91499999999999</c:v>
                </c:pt>
                <c:pt idx="52">
                  <c:v>152.91200000000001</c:v>
                </c:pt>
                <c:pt idx="53">
                  <c:v>152.91</c:v>
                </c:pt>
                <c:pt idx="54">
                  <c:v>152.90700000000001</c:v>
                </c:pt>
                <c:pt idx="55">
                  <c:v>152.905</c:v>
                </c:pt>
                <c:pt idx="56">
                  <c:v>152.90299999999999</c:v>
                </c:pt>
                <c:pt idx="57">
                  <c:v>152.9</c:v>
                </c:pt>
                <c:pt idx="58">
                  <c:v>152.898</c:v>
                </c:pt>
                <c:pt idx="59">
                  <c:v>152.89500000000001</c:v>
                </c:pt>
                <c:pt idx="60">
                  <c:v>152.893</c:v>
                </c:pt>
                <c:pt idx="61">
                  <c:v>152.88999999999999</c:v>
                </c:pt>
                <c:pt idx="62">
                  <c:v>152.88800000000001</c:v>
                </c:pt>
                <c:pt idx="63">
                  <c:v>152.886</c:v>
                </c:pt>
                <c:pt idx="64">
                  <c:v>152.88300000000001</c:v>
                </c:pt>
                <c:pt idx="65">
                  <c:v>152.881</c:v>
                </c:pt>
                <c:pt idx="66">
                  <c:v>152.87799999999999</c:v>
                </c:pt>
                <c:pt idx="67">
                  <c:v>152.876</c:v>
                </c:pt>
                <c:pt idx="68">
                  <c:v>152.87299999999999</c:v>
                </c:pt>
                <c:pt idx="69">
                  <c:v>152.87100000000001</c:v>
                </c:pt>
                <c:pt idx="70">
                  <c:v>152.869</c:v>
                </c:pt>
                <c:pt idx="71">
                  <c:v>152.86600000000001</c:v>
                </c:pt>
                <c:pt idx="72">
                  <c:v>152.864</c:v>
                </c:pt>
                <c:pt idx="73">
                  <c:v>152.86099999999999</c:v>
                </c:pt>
                <c:pt idx="74">
                  <c:v>152.85900000000001</c:v>
                </c:pt>
                <c:pt idx="75">
                  <c:v>152.85599999999999</c:v>
                </c:pt>
                <c:pt idx="76">
                  <c:v>152.85400000000001</c:v>
                </c:pt>
                <c:pt idx="77">
                  <c:v>152.852</c:v>
                </c:pt>
                <c:pt idx="78">
                  <c:v>152.84899999999999</c:v>
                </c:pt>
                <c:pt idx="79">
                  <c:v>152.84700000000001</c:v>
                </c:pt>
                <c:pt idx="80">
                  <c:v>152.84399999999999</c:v>
                </c:pt>
                <c:pt idx="81">
                  <c:v>152.84200000000001</c:v>
                </c:pt>
                <c:pt idx="82">
                  <c:v>152.84</c:v>
                </c:pt>
                <c:pt idx="83">
                  <c:v>152.83699999999999</c:v>
                </c:pt>
                <c:pt idx="84">
                  <c:v>152.83500000000001</c:v>
                </c:pt>
                <c:pt idx="85">
                  <c:v>152.83199999999999</c:v>
                </c:pt>
                <c:pt idx="86">
                  <c:v>152.83000000000001</c:v>
                </c:pt>
                <c:pt idx="87">
                  <c:v>152.827</c:v>
                </c:pt>
                <c:pt idx="88">
                  <c:v>152.82499999999999</c:v>
                </c:pt>
                <c:pt idx="89">
                  <c:v>152.82300000000001</c:v>
                </c:pt>
                <c:pt idx="90">
                  <c:v>152.82</c:v>
                </c:pt>
                <c:pt idx="91">
                  <c:v>152.81800000000001</c:v>
                </c:pt>
                <c:pt idx="92">
                  <c:v>152.815</c:v>
                </c:pt>
                <c:pt idx="93">
                  <c:v>152.81299999999999</c:v>
                </c:pt>
                <c:pt idx="94">
                  <c:v>152.81</c:v>
                </c:pt>
                <c:pt idx="95">
                  <c:v>152.80799999999999</c:v>
                </c:pt>
                <c:pt idx="96">
                  <c:v>152.80600000000001</c:v>
                </c:pt>
                <c:pt idx="97">
                  <c:v>152.803</c:v>
                </c:pt>
                <c:pt idx="98">
                  <c:v>152.80099999999999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5-4623-85ED-6855FD913086}"/>
            </c:ext>
          </c:extLst>
        </c:ser>
        <c:ser>
          <c:idx val="2"/>
          <c:order val="2"/>
          <c:tx>
            <c:strRef>
              <c:f>USDJPY_M5!$J$4</c:f>
              <c:strCache>
                <c:ptCount val="1"/>
                <c:pt idx="0">
                  <c:v>Peak_Line_2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USDJPY_M5!$J$5:$J$103</c:f>
              <c:numCache>
                <c:formatCode>General</c:formatCode>
                <c:ptCount val="99"/>
                <c:pt idx="0">
                  <c:v>152.911</c:v>
                </c:pt>
                <c:pt idx="1">
                  <c:v>152.911</c:v>
                </c:pt>
                <c:pt idx="2">
                  <c:v>152.91</c:v>
                </c:pt>
                <c:pt idx="3">
                  <c:v>152.91</c:v>
                </c:pt>
                <c:pt idx="4">
                  <c:v>152.91</c:v>
                </c:pt>
                <c:pt idx="5">
                  <c:v>152.90899999999999</c:v>
                </c:pt>
                <c:pt idx="6">
                  <c:v>152.90899999999999</c:v>
                </c:pt>
                <c:pt idx="7">
                  <c:v>152.90799999999999</c:v>
                </c:pt>
                <c:pt idx="8">
                  <c:v>152.90799999999999</c:v>
                </c:pt>
                <c:pt idx="9">
                  <c:v>152.90799999999999</c:v>
                </c:pt>
                <c:pt idx="10">
                  <c:v>152.90700000000001</c:v>
                </c:pt>
                <c:pt idx="11">
                  <c:v>152.90700000000001</c:v>
                </c:pt>
                <c:pt idx="12">
                  <c:v>152.90700000000001</c:v>
                </c:pt>
                <c:pt idx="13">
                  <c:v>152.90600000000001</c:v>
                </c:pt>
                <c:pt idx="14">
                  <c:v>152.90600000000001</c:v>
                </c:pt>
                <c:pt idx="15">
                  <c:v>152.905</c:v>
                </c:pt>
                <c:pt idx="16">
                  <c:v>152.905</c:v>
                </c:pt>
                <c:pt idx="17">
                  <c:v>152.905</c:v>
                </c:pt>
                <c:pt idx="18">
                  <c:v>152.904</c:v>
                </c:pt>
                <c:pt idx="19">
                  <c:v>152.904</c:v>
                </c:pt>
                <c:pt idx="20">
                  <c:v>152.904</c:v>
                </c:pt>
                <c:pt idx="21">
                  <c:v>152.90299999999999</c:v>
                </c:pt>
                <c:pt idx="22">
                  <c:v>152.90299999999999</c:v>
                </c:pt>
                <c:pt idx="23">
                  <c:v>152.90299999999999</c:v>
                </c:pt>
                <c:pt idx="24">
                  <c:v>152.90199999999999</c:v>
                </c:pt>
                <c:pt idx="25">
                  <c:v>152.90199999999999</c:v>
                </c:pt>
                <c:pt idx="26">
                  <c:v>152.90100000000001</c:v>
                </c:pt>
                <c:pt idx="27">
                  <c:v>152.90100000000001</c:v>
                </c:pt>
                <c:pt idx="28">
                  <c:v>152.90100000000001</c:v>
                </c:pt>
                <c:pt idx="29">
                  <c:v>152.9</c:v>
                </c:pt>
                <c:pt idx="30">
                  <c:v>152.9</c:v>
                </c:pt>
                <c:pt idx="31">
                  <c:v>152.9</c:v>
                </c:pt>
                <c:pt idx="32">
                  <c:v>152.899</c:v>
                </c:pt>
                <c:pt idx="33">
                  <c:v>152.899</c:v>
                </c:pt>
                <c:pt idx="34">
                  <c:v>152.898</c:v>
                </c:pt>
                <c:pt idx="35">
                  <c:v>152.898</c:v>
                </c:pt>
                <c:pt idx="36">
                  <c:v>152.898</c:v>
                </c:pt>
                <c:pt idx="37">
                  <c:v>152.89699999999999</c:v>
                </c:pt>
                <c:pt idx="38">
                  <c:v>152.89699999999999</c:v>
                </c:pt>
                <c:pt idx="39">
                  <c:v>152.89699999999999</c:v>
                </c:pt>
                <c:pt idx="40">
                  <c:v>152.89599999999999</c:v>
                </c:pt>
                <c:pt idx="41">
                  <c:v>152.89599999999999</c:v>
                </c:pt>
                <c:pt idx="42">
                  <c:v>152.89500000000001</c:v>
                </c:pt>
                <c:pt idx="43">
                  <c:v>152.89500000000001</c:v>
                </c:pt>
                <c:pt idx="44">
                  <c:v>152.89500000000001</c:v>
                </c:pt>
                <c:pt idx="45">
                  <c:v>152.89400000000001</c:v>
                </c:pt>
                <c:pt idx="46">
                  <c:v>152.89400000000001</c:v>
                </c:pt>
                <c:pt idx="47">
                  <c:v>152.89400000000001</c:v>
                </c:pt>
                <c:pt idx="48">
                  <c:v>152.893</c:v>
                </c:pt>
                <c:pt idx="49">
                  <c:v>152.893</c:v>
                </c:pt>
                <c:pt idx="50">
                  <c:v>152.892</c:v>
                </c:pt>
                <c:pt idx="51">
                  <c:v>152.892</c:v>
                </c:pt>
                <c:pt idx="52">
                  <c:v>152.892</c:v>
                </c:pt>
                <c:pt idx="53">
                  <c:v>152.89099999999999</c:v>
                </c:pt>
                <c:pt idx="54">
                  <c:v>152.89099999999999</c:v>
                </c:pt>
                <c:pt idx="55">
                  <c:v>152.89099999999999</c:v>
                </c:pt>
                <c:pt idx="56">
                  <c:v>152.88999999999999</c:v>
                </c:pt>
                <c:pt idx="57">
                  <c:v>152.88999999999999</c:v>
                </c:pt>
                <c:pt idx="58">
                  <c:v>152.88900000000001</c:v>
                </c:pt>
                <c:pt idx="59">
                  <c:v>152.88900000000001</c:v>
                </c:pt>
                <c:pt idx="60">
                  <c:v>152.88900000000001</c:v>
                </c:pt>
                <c:pt idx="61">
                  <c:v>152.88800000000001</c:v>
                </c:pt>
                <c:pt idx="62">
                  <c:v>152.88800000000001</c:v>
                </c:pt>
                <c:pt idx="63">
                  <c:v>152.88800000000001</c:v>
                </c:pt>
                <c:pt idx="64">
                  <c:v>152.887</c:v>
                </c:pt>
                <c:pt idx="65">
                  <c:v>152.887</c:v>
                </c:pt>
                <c:pt idx="66">
                  <c:v>152.887</c:v>
                </c:pt>
                <c:pt idx="67">
                  <c:v>152.886</c:v>
                </c:pt>
                <c:pt idx="68">
                  <c:v>152.886</c:v>
                </c:pt>
                <c:pt idx="69">
                  <c:v>152.88499999999999</c:v>
                </c:pt>
                <c:pt idx="70">
                  <c:v>152.88499999999999</c:v>
                </c:pt>
                <c:pt idx="71">
                  <c:v>152.88499999999999</c:v>
                </c:pt>
                <c:pt idx="72">
                  <c:v>152.88399999999999</c:v>
                </c:pt>
                <c:pt idx="73">
                  <c:v>152.88399999999999</c:v>
                </c:pt>
                <c:pt idx="74">
                  <c:v>152.88399999999999</c:v>
                </c:pt>
                <c:pt idx="75">
                  <c:v>152.88300000000001</c:v>
                </c:pt>
                <c:pt idx="76">
                  <c:v>152.88300000000001</c:v>
                </c:pt>
                <c:pt idx="77">
                  <c:v>152.88200000000001</c:v>
                </c:pt>
                <c:pt idx="78">
                  <c:v>152.88200000000001</c:v>
                </c:pt>
                <c:pt idx="79">
                  <c:v>152.88200000000001</c:v>
                </c:pt>
                <c:pt idx="80">
                  <c:v>152.881</c:v>
                </c:pt>
                <c:pt idx="81">
                  <c:v>152.881</c:v>
                </c:pt>
                <c:pt idx="82">
                  <c:v>152.881</c:v>
                </c:pt>
                <c:pt idx="83">
                  <c:v>152.88</c:v>
                </c:pt>
                <c:pt idx="84">
                  <c:v>152.88</c:v>
                </c:pt>
                <c:pt idx="85">
                  <c:v>152.87899999999999</c:v>
                </c:pt>
                <c:pt idx="86">
                  <c:v>152.87899999999999</c:v>
                </c:pt>
                <c:pt idx="87">
                  <c:v>152.87899999999999</c:v>
                </c:pt>
                <c:pt idx="88">
                  <c:v>152.87799999999999</c:v>
                </c:pt>
                <c:pt idx="89">
                  <c:v>152.87799999999999</c:v>
                </c:pt>
                <c:pt idx="90">
                  <c:v>152.87799999999999</c:v>
                </c:pt>
                <c:pt idx="91">
                  <c:v>152.87700000000001</c:v>
                </c:pt>
                <c:pt idx="92">
                  <c:v>152.87700000000001</c:v>
                </c:pt>
                <c:pt idx="93">
                  <c:v>152.876</c:v>
                </c:pt>
                <c:pt idx="94">
                  <c:v>152.876</c:v>
                </c:pt>
                <c:pt idx="95">
                  <c:v>152.876</c:v>
                </c:pt>
                <c:pt idx="96">
                  <c:v>152.875</c:v>
                </c:pt>
                <c:pt idx="97">
                  <c:v>152.875</c:v>
                </c:pt>
                <c:pt idx="98">
                  <c:v>152.875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25-4623-85ED-6855FD913086}"/>
            </c:ext>
          </c:extLst>
        </c:ser>
        <c:ser>
          <c:idx val="3"/>
          <c:order val="3"/>
          <c:tx>
            <c:strRef>
              <c:f>USDJPY_M5!$K$4</c:f>
              <c:strCache>
                <c:ptCount val="1"/>
                <c:pt idx="0">
                  <c:v>Peak_Line_3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USDJPY_M5!$K$5:$K$103</c:f>
              <c:numCache>
                <c:formatCode>General</c:formatCode>
                <c:ptCount val="99"/>
                <c:pt idx="0">
                  <c:v>153.27099999999999</c:v>
                </c:pt>
                <c:pt idx="1">
                  <c:v>153.26900000000001</c:v>
                </c:pt>
                <c:pt idx="2">
                  <c:v>153.268</c:v>
                </c:pt>
                <c:pt idx="3">
                  <c:v>153.26599999999999</c:v>
                </c:pt>
                <c:pt idx="4">
                  <c:v>153.26400000000001</c:v>
                </c:pt>
                <c:pt idx="5">
                  <c:v>153.26300000000001</c:v>
                </c:pt>
                <c:pt idx="6">
                  <c:v>153.261</c:v>
                </c:pt>
                <c:pt idx="7">
                  <c:v>153.25899999999999</c:v>
                </c:pt>
                <c:pt idx="8">
                  <c:v>153.25800000000001</c:v>
                </c:pt>
                <c:pt idx="9">
                  <c:v>153.256</c:v>
                </c:pt>
                <c:pt idx="10">
                  <c:v>153.255</c:v>
                </c:pt>
                <c:pt idx="11">
                  <c:v>153.25299999999999</c:v>
                </c:pt>
                <c:pt idx="12">
                  <c:v>153.251</c:v>
                </c:pt>
                <c:pt idx="13">
                  <c:v>153.25</c:v>
                </c:pt>
                <c:pt idx="14">
                  <c:v>153.24799999999999</c:v>
                </c:pt>
                <c:pt idx="15">
                  <c:v>153.24600000000001</c:v>
                </c:pt>
                <c:pt idx="16">
                  <c:v>153.245</c:v>
                </c:pt>
                <c:pt idx="17">
                  <c:v>153.24299999999999</c:v>
                </c:pt>
                <c:pt idx="18">
                  <c:v>153.24100000000001</c:v>
                </c:pt>
                <c:pt idx="19">
                  <c:v>153.24</c:v>
                </c:pt>
                <c:pt idx="20">
                  <c:v>153.238</c:v>
                </c:pt>
                <c:pt idx="21">
                  <c:v>153.23599999999999</c:v>
                </c:pt>
                <c:pt idx="22">
                  <c:v>153.23500000000001</c:v>
                </c:pt>
                <c:pt idx="23">
                  <c:v>153.233</c:v>
                </c:pt>
                <c:pt idx="24">
                  <c:v>153.232</c:v>
                </c:pt>
                <c:pt idx="25">
                  <c:v>153.22999999999999</c:v>
                </c:pt>
                <c:pt idx="26">
                  <c:v>153.22800000000001</c:v>
                </c:pt>
                <c:pt idx="27">
                  <c:v>153.227</c:v>
                </c:pt>
                <c:pt idx="28">
                  <c:v>153.22499999999999</c:v>
                </c:pt>
                <c:pt idx="29">
                  <c:v>153.22300000000001</c:v>
                </c:pt>
                <c:pt idx="30">
                  <c:v>153.22200000000001</c:v>
                </c:pt>
                <c:pt idx="31">
                  <c:v>153.22</c:v>
                </c:pt>
                <c:pt idx="32">
                  <c:v>153.21799999999999</c:v>
                </c:pt>
                <c:pt idx="33">
                  <c:v>153.21700000000001</c:v>
                </c:pt>
                <c:pt idx="34">
                  <c:v>153.215</c:v>
                </c:pt>
                <c:pt idx="35">
                  <c:v>153.214</c:v>
                </c:pt>
                <c:pt idx="36">
                  <c:v>153.21199999999999</c:v>
                </c:pt>
                <c:pt idx="37">
                  <c:v>153.21</c:v>
                </c:pt>
                <c:pt idx="38">
                  <c:v>153.209</c:v>
                </c:pt>
                <c:pt idx="39">
                  <c:v>153.20699999999999</c:v>
                </c:pt>
                <c:pt idx="40">
                  <c:v>153.20500000000001</c:v>
                </c:pt>
                <c:pt idx="41">
                  <c:v>153.20400000000001</c:v>
                </c:pt>
                <c:pt idx="42">
                  <c:v>153.202</c:v>
                </c:pt>
                <c:pt idx="43">
                  <c:v>153.19999999999999</c:v>
                </c:pt>
                <c:pt idx="44">
                  <c:v>153.19900000000001</c:v>
                </c:pt>
                <c:pt idx="45">
                  <c:v>153.197</c:v>
                </c:pt>
                <c:pt idx="46">
                  <c:v>153.19499999999999</c:v>
                </c:pt>
                <c:pt idx="47">
                  <c:v>153.19399999999999</c:v>
                </c:pt>
                <c:pt idx="48">
                  <c:v>153.19200000000001</c:v>
                </c:pt>
                <c:pt idx="49">
                  <c:v>153.191</c:v>
                </c:pt>
                <c:pt idx="50">
                  <c:v>153.18899999999999</c:v>
                </c:pt>
                <c:pt idx="51">
                  <c:v>153.18700000000001</c:v>
                </c:pt>
                <c:pt idx="52">
                  <c:v>153.18600000000001</c:v>
                </c:pt>
                <c:pt idx="53">
                  <c:v>153.184</c:v>
                </c:pt>
                <c:pt idx="54">
                  <c:v>153.18199999999999</c:v>
                </c:pt>
                <c:pt idx="55">
                  <c:v>153.18100000000001</c:v>
                </c:pt>
                <c:pt idx="56">
                  <c:v>153.179</c:v>
                </c:pt>
                <c:pt idx="57">
                  <c:v>153.17699999999999</c:v>
                </c:pt>
                <c:pt idx="58">
                  <c:v>153.17599999999999</c:v>
                </c:pt>
                <c:pt idx="59">
                  <c:v>153.17400000000001</c:v>
                </c:pt>
                <c:pt idx="60">
                  <c:v>153.173</c:v>
                </c:pt>
                <c:pt idx="61">
                  <c:v>153.17099999999999</c:v>
                </c:pt>
                <c:pt idx="62">
                  <c:v>153.16900000000001</c:v>
                </c:pt>
                <c:pt idx="63">
                  <c:v>153.16800000000001</c:v>
                </c:pt>
                <c:pt idx="64">
                  <c:v>153.166</c:v>
                </c:pt>
                <c:pt idx="65">
                  <c:v>153.16399999999999</c:v>
                </c:pt>
                <c:pt idx="66">
                  <c:v>153.16300000000001</c:v>
                </c:pt>
                <c:pt idx="67">
                  <c:v>153.161</c:v>
                </c:pt>
                <c:pt idx="68">
                  <c:v>153.15899999999999</c:v>
                </c:pt>
                <c:pt idx="69">
                  <c:v>153.15799999999999</c:v>
                </c:pt>
                <c:pt idx="70">
                  <c:v>153.15600000000001</c:v>
                </c:pt>
                <c:pt idx="71">
                  <c:v>153.154</c:v>
                </c:pt>
                <c:pt idx="72">
                  <c:v>153.15299999999999</c:v>
                </c:pt>
                <c:pt idx="73">
                  <c:v>153.15100000000001</c:v>
                </c:pt>
                <c:pt idx="74">
                  <c:v>153.15</c:v>
                </c:pt>
                <c:pt idx="75">
                  <c:v>153.148</c:v>
                </c:pt>
                <c:pt idx="76">
                  <c:v>153.14599999999999</c:v>
                </c:pt>
                <c:pt idx="77">
                  <c:v>153.14500000000001</c:v>
                </c:pt>
                <c:pt idx="78">
                  <c:v>153.143</c:v>
                </c:pt>
                <c:pt idx="79">
                  <c:v>153.14099999999999</c:v>
                </c:pt>
                <c:pt idx="80">
                  <c:v>153.13999999999999</c:v>
                </c:pt>
                <c:pt idx="81">
                  <c:v>153.13800000000001</c:v>
                </c:pt>
                <c:pt idx="82">
                  <c:v>153.136</c:v>
                </c:pt>
                <c:pt idx="83">
                  <c:v>153.13499999999999</c:v>
                </c:pt>
                <c:pt idx="84">
                  <c:v>153.13300000000001</c:v>
                </c:pt>
                <c:pt idx="85">
                  <c:v>153.13200000000001</c:v>
                </c:pt>
                <c:pt idx="86">
                  <c:v>153.13</c:v>
                </c:pt>
                <c:pt idx="87">
                  <c:v>153.12799999999999</c:v>
                </c:pt>
                <c:pt idx="88">
                  <c:v>153.12700000000001</c:v>
                </c:pt>
                <c:pt idx="89">
                  <c:v>153.125</c:v>
                </c:pt>
                <c:pt idx="90">
                  <c:v>153.12299999999999</c:v>
                </c:pt>
                <c:pt idx="91">
                  <c:v>153.12200000000001</c:v>
                </c:pt>
                <c:pt idx="92">
                  <c:v>153.12</c:v>
                </c:pt>
                <c:pt idx="93">
                  <c:v>153.11799999999999</c:v>
                </c:pt>
                <c:pt idx="94">
                  <c:v>153.11699999999999</c:v>
                </c:pt>
                <c:pt idx="95">
                  <c:v>153.11500000000001</c:v>
                </c:pt>
                <c:pt idx="96">
                  <c:v>153.113</c:v>
                </c:pt>
                <c:pt idx="97">
                  <c:v>153.11199999999999</c:v>
                </c:pt>
                <c:pt idx="98">
                  <c:v>153.11000000000001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25-4623-85ED-6855FD913086}"/>
            </c:ext>
          </c:extLst>
        </c:ser>
        <c:ser>
          <c:idx val="4"/>
          <c:order val="4"/>
          <c:tx>
            <c:strRef>
              <c:f>USDJPY_M5!$L$4</c:f>
              <c:strCache>
                <c:ptCount val="1"/>
                <c:pt idx="0">
                  <c:v>Bottom_Line_1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USDJPY_M5!$L$5:$L$103</c:f>
              <c:numCache>
                <c:formatCode>General</c:formatCode>
                <c:ptCount val="99"/>
                <c:pt idx="0">
                  <c:v>152.56</c:v>
                </c:pt>
                <c:pt idx="1">
                  <c:v>152.56100000000001</c:v>
                </c:pt>
                <c:pt idx="2">
                  <c:v>152.56200000000001</c:v>
                </c:pt>
                <c:pt idx="3">
                  <c:v>152.56200000000001</c:v>
                </c:pt>
                <c:pt idx="4">
                  <c:v>152.56299999999999</c:v>
                </c:pt>
                <c:pt idx="5">
                  <c:v>152.56399999999999</c:v>
                </c:pt>
                <c:pt idx="6">
                  <c:v>152.565</c:v>
                </c:pt>
                <c:pt idx="7">
                  <c:v>152.565</c:v>
                </c:pt>
                <c:pt idx="8">
                  <c:v>152.566</c:v>
                </c:pt>
                <c:pt idx="9">
                  <c:v>152.56700000000001</c:v>
                </c:pt>
                <c:pt idx="10">
                  <c:v>152.56800000000001</c:v>
                </c:pt>
                <c:pt idx="11">
                  <c:v>152.56899999999999</c:v>
                </c:pt>
                <c:pt idx="12">
                  <c:v>152.56899999999999</c:v>
                </c:pt>
                <c:pt idx="13">
                  <c:v>152.57</c:v>
                </c:pt>
                <c:pt idx="14">
                  <c:v>152.571</c:v>
                </c:pt>
                <c:pt idx="15">
                  <c:v>152.572</c:v>
                </c:pt>
                <c:pt idx="16">
                  <c:v>152.572</c:v>
                </c:pt>
                <c:pt idx="17">
                  <c:v>152.57300000000001</c:v>
                </c:pt>
                <c:pt idx="18">
                  <c:v>152.57400000000001</c:v>
                </c:pt>
                <c:pt idx="19">
                  <c:v>152.57499999999999</c:v>
                </c:pt>
                <c:pt idx="20">
                  <c:v>152.57499999999999</c:v>
                </c:pt>
                <c:pt idx="21">
                  <c:v>152.57599999999999</c:v>
                </c:pt>
                <c:pt idx="22">
                  <c:v>152.577</c:v>
                </c:pt>
                <c:pt idx="23">
                  <c:v>152.578</c:v>
                </c:pt>
                <c:pt idx="24">
                  <c:v>152.578</c:v>
                </c:pt>
                <c:pt idx="25">
                  <c:v>152.57900000000001</c:v>
                </c:pt>
                <c:pt idx="26">
                  <c:v>152.58000000000001</c:v>
                </c:pt>
                <c:pt idx="27">
                  <c:v>152.58099999999999</c:v>
                </c:pt>
                <c:pt idx="28">
                  <c:v>152.58199999999999</c:v>
                </c:pt>
                <c:pt idx="29">
                  <c:v>152.58199999999999</c:v>
                </c:pt>
                <c:pt idx="30">
                  <c:v>152.583</c:v>
                </c:pt>
                <c:pt idx="31">
                  <c:v>152.584</c:v>
                </c:pt>
                <c:pt idx="32">
                  <c:v>152.58500000000001</c:v>
                </c:pt>
                <c:pt idx="33">
                  <c:v>152.58500000000001</c:v>
                </c:pt>
                <c:pt idx="34">
                  <c:v>152.58600000000001</c:v>
                </c:pt>
                <c:pt idx="35">
                  <c:v>152.58699999999999</c:v>
                </c:pt>
                <c:pt idx="36">
                  <c:v>152.58799999999999</c:v>
                </c:pt>
                <c:pt idx="37">
                  <c:v>152.58799999999999</c:v>
                </c:pt>
                <c:pt idx="38">
                  <c:v>152.589</c:v>
                </c:pt>
                <c:pt idx="39">
                  <c:v>152.59</c:v>
                </c:pt>
                <c:pt idx="40">
                  <c:v>152.59100000000001</c:v>
                </c:pt>
                <c:pt idx="41">
                  <c:v>152.59100000000001</c:v>
                </c:pt>
                <c:pt idx="42">
                  <c:v>152.59200000000001</c:v>
                </c:pt>
                <c:pt idx="43">
                  <c:v>152.59299999999999</c:v>
                </c:pt>
                <c:pt idx="44">
                  <c:v>152.59399999999999</c:v>
                </c:pt>
                <c:pt idx="45">
                  <c:v>152.595</c:v>
                </c:pt>
                <c:pt idx="46">
                  <c:v>152.595</c:v>
                </c:pt>
                <c:pt idx="47">
                  <c:v>152.596</c:v>
                </c:pt>
                <c:pt idx="48">
                  <c:v>152.59700000000001</c:v>
                </c:pt>
                <c:pt idx="49">
                  <c:v>152.59800000000001</c:v>
                </c:pt>
                <c:pt idx="50">
                  <c:v>152.59800000000001</c:v>
                </c:pt>
                <c:pt idx="51">
                  <c:v>152.59899999999999</c:v>
                </c:pt>
                <c:pt idx="52">
                  <c:v>152.6</c:v>
                </c:pt>
                <c:pt idx="53">
                  <c:v>152.601</c:v>
                </c:pt>
                <c:pt idx="54">
                  <c:v>152.601</c:v>
                </c:pt>
                <c:pt idx="55">
                  <c:v>152.602</c:v>
                </c:pt>
                <c:pt idx="56">
                  <c:v>152.60300000000001</c:v>
                </c:pt>
                <c:pt idx="57">
                  <c:v>152.60400000000001</c:v>
                </c:pt>
                <c:pt idx="58">
                  <c:v>152.60400000000001</c:v>
                </c:pt>
                <c:pt idx="59">
                  <c:v>152.60499999999999</c:v>
                </c:pt>
                <c:pt idx="60">
                  <c:v>152.60599999999999</c:v>
                </c:pt>
                <c:pt idx="61">
                  <c:v>152.607</c:v>
                </c:pt>
                <c:pt idx="62">
                  <c:v>152.608</c:v>
                </c:pt>
                <c:pt idx="63">
                  <c:v>152.608</c:v>
                </c:pt>
                <c:pt idx="64">
                  <c:v>152.60900000000001</c:v>
                </c:pt>
                <c:pt idx="65">
                  <c:v>152.61000000000001</c:v>
                </c:pt>
                <c:pt idx="66">
                  <c:v>152.61099999999999</c:v>
                </c:pt>
                <c:pt idx="67">
                  <c:v>152.61099999999999</c:v>
                </c:pt>
                <c:pt idx="68">
                  <c:v>152.61199999999999</c:v>
                </c:pt>
                <c:pt idx="69">
                  <c:v>152.613</c:v>
                </c:pt>
                <c:pt idx="70">
                  <c:v>152.614</c:v>
                </c:pt>
                <c:pt idx="71">
                  <c:v>152.614</c:v>
                </c:pt>
                <c:pt idx="72">
                  <c:v>152.61500000000001</c:v>
                </c:pt>
                <c:pt idx="73">
                  <c:v>152.61600000000001</c:v>
                </c:pt>
                <c:pt idx="74">
                  <c:v>152.61699999999999</c:v>
                </c:pt>
                <c:pt idx="75">
                  <c:v>152.61699999999999</c:v>
                </c:pt>
                <c:pt idx="76">
                  <c:v>152.61799999999999</c:v>
                </c:pt>
                <c:pt idx="77">
                  <c:v>152.619</c:v>
                </c:pt>
                <c:pt idx="78">
                  <c:v>152.62</c:v>
                </c:pt>
                <c:pt idx="79">
                  <c:v>152.62100000000001</c:v>
                </c:pt>
                <c:pt idx="80">
                  <c:v>152.62100000000001</c:v>
                </c:pt>
                <c:pt idx="81">
                  <c:v>152.62200000000001</c:v>
                </c:pt>
                <c:pt idx="82">
                  <c:v>152.62299999999999</c:v>
                </c:pt>
                <c:pt idx="83">
                  <c:v>152.624</c:v>
                </c:pt>
                <c:pt idx="84">
                  <c:v>152.624</c:v>
                </c:pt>
                <c:pt idx="85">
                  <c:v>152.625</c:v>
                </c:pt>
                <c:pt idx="86">
                  <c:v>152.626</c:v>
                </c:pt>
                <c:pt idx="87">
                  <c:v>152.62700000000001</c:v>
                </c:pt>
                <c:pt idx="88">
                  <c:v>152.62700000000001</c:v>
                </c:pt>
                <c:pt idx="89">
                  <c:v>152.62799999999999</c:v>
                </c:pt>
                <c:pt idx="90">
                  <c:v>152.62899999999999</c:v>
                </c:pt>
                <c:pt idx="91">
                  <c:v>152.63</c:v>
                </c:pt>
                <c:pt idx="92">
                  <c:v>152.63</c:v>
                </c:pt>
                <c:pt idx="93">
                  <c:v>152.631</c:v>
                </c:pt>
                <c:pt idx="94">
                  <c:v>152.63200000000001</c:v>
                </c:pt>
                <c:pt idx="95">
                  <c:v>152.63300000000001</c:v>
                </c:pt>
                <c:pt idx="96">
                  <c:v>152.63399999999999</c:v>
                </c:pt>
                <c:pt idx="97">
                  <c:v>152.63399999999999</c:v>
                </c:pt>
                <c:pt idx="98">
                  <c:v>152.63499999999999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25-4623-85ED-6855FD913086}"/>
            </c:ext>
          </c:extLst>
        </c:ser>
        <c:ser>
          <c:idx val="5"/>
          <c:order val="5"/>
          <c:tx>
            <c:strRef>
              <c:f>USDJPY_M5!$M$4</c:f>
              <c:strCache>
                <c:ptCount val="1"/>
                <c:pt idx="0">
                  <c:v>Bottom_Line_2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USDJPY_M5!$M$5:$M$103</c:f>
              <c:numCache>
                <c:formatCode>General</c:formatCode>
                <c:ptCount val="99"/>
                <c:pt idx="0">
                  <c:v>152.60300000000001</c:v>
                </c:pt>
                <c:pt idx="1">
                  <c:v>152.60300000000001</c:v>
                </c:pt>
                <c:pt idx="2">
                  <c:v>152.602</c:v>
                </c:pt>
                <c:pt idx="3">
                  <c:v>152.602</c:v>
                </c:pt>
                <c:pt idx="4">
                  <c:v>152.602</c:v>
                </c:pt>
                <c:pt idx="5">
                  <c:v>152.602</c:v>
                </c:pt>
                <c:pt idx="6">
                  <c:v>152.602</c:v>
                </c:pt>
                <c:pt idx="7">
                  <c:v>152.601</c:v>
                </c:pt>
                <c:pt idx="8">
                  <c:v>152.601</c:v>
                </c:pt>
                <c:pt idx="9">
                  <c:v>152.601</c:v>
                </c:pt>
                <c:pt idx="10">
                  <c:v>152.601</c:v>
                </c:pt>
                <c:pt idx="11">
                  <c:v>152.6</c:v>
                </c:pt>
                <c:pt idx="12">
                  <c:v>152.6</c:v>
                </c:pt>
                <c:pt idx="13">
                  <c:v>152.6</c:v>
                </c:pt>
                <c:pt idx="14">
                  <c:v>152.6</c:v>
                </c:pt>
                <c:pt idx="15">
                  <c:v>152.59899999999999</c:v>
                </c:pt>
                <c:pt idx="16">
                  <c:v>152.59899999999999</c:v>
                </c:pt>
                <c:pt idx="17">
                  <c:v>152.59899999999999</c:v>
                </c:pt>
                <c:pt idx="18">
                  <c:v>152.59899999999999</c:v>
                </c:pt>
                <c:pt idx="19">
                  <c:v>152.59899999999999</c:v>
                </c:pt>
                <c:pt idx="20">
                  <c:v>152.59800000000001</c:v>
                </c:pt>
                <c:pt idx="21">
                  <c:v>152.59800000000001</c:v>
                </c:pt>
                <c:pt idx="22">
                  <c:v>152.59800000000001</c:v>
                </c:pt>
                <c:pt idx="23">
                  <c:v>152.59800000000001</c:v>
                </c:pt>
                <c:pt idx="24">
                  <c:v>152.59700000000001</c:v>
                </c:pt>
                <c:pt idx="25">
                  <c:v>152.59700000000001</c:v>
                </c:pt>
                <c:pt idx="26">
                  <c:v>152.59700000000001</c:v>
                </c:pt>
                <c:pt idx="27">
                  <c:v>152.59700000000001</c:v>
                </c:pt>
                <c:pt idx="28">
                  <c:v>152.596</c:v>
                </c:pt>
                <c:pt idx="29">
                  <c:v>152.596</c:v>
                </c:pt>
                <c:pt idx="30">
                  <c:v>152.596</c:v>
                </c:pt>
                <c:pt idx="31">
                  <c:v>152.596</c:v>
                </c:pt>
                <c:pt idx="32">
                  <c:v>152.596</c:v>
                </c:pt>
                <c:pt idx="33">
                  <c:v>152.595</c:v>
                </c:pt>
                <c:pt idx="34">
                  <c:v>152.595</c:v>
                </c:pt>
                <c:pt idx="35">
                  <c:v>152.595</c:v>
                </c:pt>
                <c:pt idx="36">
                  <c:v>152.595</c:v>
                </c:pt>
                <c:pt idx="37">
                  <c:v>152.59399999999999</c:v>
                </c:pt>
                <c:pt idx="38">
                  <c:v>152.59399999999999</c:v>
                </c:pt>
                <c:pt idx="39">
                  <c:v>152.59399999999999</c:v>
                </c:pt>
                <c:pt idx="40">
                  <c:v>152.59399999999999</c:v>
                </c:pt>
                <c:pt idx="41">
                  <c:v>152.59299999999999</c:v>
                </c:pt>
                <c:pt idx="42">
                  <c:v>152.59299999999999</c:v>
                </c:pt>
                <c:pt idx="43">
                  <c:v>152.59299999999999</c:v>
                </c:pt>
                <c:pt idx="44">
                  <c:v>152.59299999999999</c:v>
                </c:pt>
                <c:pt idx="45">
                  <c:v>152.59299999999999</c:v>
                </c:pt>
                <c:pt idx="46">
                  <c:v>152.59200000000001</c:v>
                </c:pt>
                <c:pt idx="47">
                  <c:v>152.59200000000001</c:v>
                </c:pt>
                <c:pt idx="48">
                  <c:v>152.59200000000001</c:v>
                </c:pt>
                <c:pt idx="49">
                  <c:v>152.59200000000001</c:v>
                </c:pt>
                <c:pt idx="50">
                  <c:v>152.59100000000001</c:v>
                </c:pt>
                <c:pt idx="51">
                  <c:v>152.59100000000001</c:v>
                </c:pt>
                <c:pt idx="52">
                  <c:v>152.59100000000001</c:v>
                </c:pt>
                <c:pt idx="53">
                  <c:v>152.59100000000001</c:v>
                </c:pt>
                <c:pt idx="54">
                  <c:v>152.59</c:v>
                </c:pt>
                <c:pt idx="55">
                  <c:v>152.59</c:v>
                </c:pt>
                <c:pt idx="56">
                  <c:v>152.59</c:v>
                </c:pt>
                <c:pt idx="57">
                  <c:v>152.59</c:v>
                </c:pt>
                <c:pt idx="58">
                  <c:v>152.59</c:v>
                </c:pt>
                <c:pt idx="59">
                  <c:v>152.589</c:v>
                </c:pt>
                <c:pt idx="60">
                  <c:v>152.589</c:v>
                </c:pt>
                <c:pt idx="61">
                  <c:v>152.589</c:v>
                </c:pt>
                <c:pt idx="62">
                  <c:v>152.589</c:v>
                </c:pt>
                <c:pt idx="63">
                  <c:v>152.58799999999999</c:v>
                </c:pt>
                <c:pt idx="64">
                  <c:v>152.58799999999999</c:v>
                </c:pt>
                <c:pt idx="65">
                  <c:v>152.58799999999999</c:v>
                </c:pt>
                <c:pt idx="66">
                  <c:v>152.58799999999999</c:v>
                </c:pt>
                <c:pt idx="67">
                  <c:v>152.58699999999999</c:v>
                </c:pt>
                <c:pt idx="68">
                  <c:v>152.58699999999999</c:v>
                </c:pt>
                <c:pt idx="69">
                  <c:v>152.58699999999999</c:v>
                </c:pt>
                <c:pt idx="70">
                  <c:v>152.58699999999999</c:v>
                </c:pt>
                <c:pt idx="71">
                  <c:v>152.58699999999999</c:v>
                </c:pt>
                <c:pt idx="72">
                  <c:v>152.58600000000001</c:v>
                </c:pt>
                <c:pt idx="73">
                  <c:v>152.58600000000001</c:v>
                </c:pt>
                <c:pt idx="74">
                  <c:v>152.58600000000001</c:v>
                </c:pt>
                <c:pt idx="75">
                  <c:v>152.58600000000001</c:v>
                </c:pt>
                <c:pt idx="76">
                  <c:v>152.58500000000001</c:v>
                </c:pt>
                <c:pt idx="77">
                  <c:v>152.58500000000001</c:v>
                </c:pt>
                <c:pt idx="78">
                  <c:v>152.58500000000001</c:v>
                </c:pt>
                <c:pt idx="79">
                  <c:v>152.58500000000001</c:v>
                </c:pt>
                <c:pt idx="80">
                  <c:v>152.584</c:v>
                </c:pt>
                <c:pt idx="81">
                  <c:v>152.584</c:v>
                </c:pt>
                <c:pt idx="82">
                  <c:v>152.584</c:v>
                </c:pt>
                <c:pt idx="83">
                  <c:v>152.584</c:v>
                </c:pt>
                <c:pt idx="84">
                  <c:v>152.584</c:v>
                </c:pt>
                <c:pt idx="85">
                  <c:v>152.583</c:v>
                </c:pt>
                <c:pt idx="86">
                  <c:v>152.583</c:v>
                </c:pt>
                <c:pt idx="87">
                  <c:v>152.583</c:v>
                </c:pt>
                <c:pt idx="88">
                  <c:v>152.583</c:v>
                </c:pt>
                <c:pt idx="89">
                  <c:v>152.58199999999999</c:v>
                </c:pt>
                <c:pt idx="90">
                  <c:v>152.58199999999999</c:v>
                </c:pt>
                <c:pt idx="91">
                  <c:v>152.58199999999999</c:v>
                </c:pt>
                <c:pt idx="92">
                  <c:v>152.58199999999999</c:v>
                </c:pt>
                <c:pt idx="93">
                  <c:v>152.58099999999999</c:v>
                </c:pt>
                <c:pt idx="94">
                  <c:v>152.58099999999999</c:v>
                </c:pt>
                <c:pt idx="95">
                  <c:v>152.58099999999999</c:v>
                </c:pt>
                <c:pt idx="96">
                  <c:v>152.58099999999999</c:v>
                </c:pt>
                <c:pt idx="97">
                  <c:v>152.58099999999999</c:v>
                </c:pt>
                <c:pt idx="98">
                  <c:v>152.58000000000001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25-4623-85ED-6855FD913086}"/>
            </c:ext>
          </c:extLst>
        </c:ser>
        <c:ser>
          <c:idx val="6"/>
          <c:order val="6"/>
          <c:tx>
            <c:strRef>
              <c:f>USDJPY_M5!$N$4</c:f>
              <c:strCache>
                <c:ptCount val="1"/>
                <c:pt idx="0">
                  <c:v>Bottom_Line_3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USDJPY_M5!$N$5:$N$103</c:f>
              <c:numCache>
                <c:formatCode>General</c:formatCode>
                <c:ptCount val="99"/>
                <c:pt idx="0">
                  <c:v>152.768</c:v>
                </c:pt>
                <c:pt idx="1">
                  <c:v>152.77000000000001</c:v>
                </c:pt>
                <c:pt idx="2">
                  <c:v>152.77099999999999</c:v>
                </c:pt>
                <c:pt idx="3">
                  <c:v>152.773</c:v>
                </c:pt>
                <c:pt idx="4">
                  <c:v>152.774</c:v>
                </c:pt>
                <c:pt idx="5">
                  <c:v>152.77600000000001</c:v>
                </c:pt>
                <c:pt idx="6">
                  <c:v>152.77799999999999</c:v>
                </c:pt>
                <c:pt idx="7">
                  <c:v>152.779</c:v>
                </c:pt>
                <c:pt idx="8">
                  <c:v>152.78100000000001</c:v>
                </c:pt>
                <c:pt idx="9">
                  <c:v>152.78200000000001</c:v>
                </c:pt>
                <c:pt idx="10">
                  <c:v>152.78399999999999</c:v>
                </c:pt>
                <c:pt idx="11">
                  <c:v>152.785</c:v>
                </c:pt>
                <c:pt idx="12">
                  <c:v>152.78700000000001</c:v>
                </c:pt>
                <c:pt idx="13">
                  <c:v>152.78899999999999</c:v>
                </c:pt>
                <c:pt idx="14">
                  <c:v>152.79</c:v>
                </c:pt>
                <c:pt idx="15">
                  <c:v>152.792</c:v>
                </c:pt>
                <c:pt idx="16">
                  <c:v>152.79300000000001</c:v>
                </c:pt>
                <c:pt idx="17">
                  <c:v>152.79499999999999</c:v>
                </c:pt>
                <c:pt idx="18">
                  <c:v>152.79599999999999</c:v>
                </c:pt>
                <c:pt idx="19">
                  <c:v>152.798</c:v>
                </c:pt>
                <c:pt idx="20">
                  <c:v>152.80000000000001</c:v>
                </c:pt>
                <c:pt idx="21">
                  <c:v>152.80099999999999</c:v>
                </c:pt>
                <c:pt idx="22">
                  <c:v>152.803</c:v>
                </c:pt>
                <c:pt idx="23">
                  <c:v>152.804</c:v>
                </c:pt>
                <c:pt idx="24">
                  <c:v>152.80600000000001</c:v>
                </c:pt>
                <c:pt idx="25">
                  <c:v>152.80799999999999</c:v>
                </c:pt>
                <c:pt idx="26">
                  <c:v>152.809</c:v>
                </c:pt>
                <c:pt idx="27">
                  <c:v>152.81100000000001</c:v>
                </c:pt>
                <c:pt idx="28">
                  <c:v>152.81200000000001</c:v>
                </c:pt>
                <c:pt idx="29">
                  <c:v>152.81399999999999</c:v>
                </c:pt>
                <c:pt idx="30">
                  <c:v>152.815</c:v>
                </c:pt>
                <c:pt idx="31">
                  <c:v>152.81700000000001</c:v>
                </c:pt>
                <c:pt idx="32">
                  <c:v>152.81899999999999</c:v>
                </c:pt>
                <c:pt idx="33">
                  <c:v>152.82</c:v>
                </c:pt>
                <c:pt idx="34">
                  <c:v>152.822</c:v>
                </c:pt>
                <c:pt idx="35">
                  <c:v>152.82300000000001</c:v>
                </c:pt>
                <c:pt idx="36">
                  <c:v>152.82499999999999</c:v>
                </c:pt>
                <c:pt idx="37">
                  <c:v>152.827</c:v>
                </c:pt>
                <c:pt idx="38">
                  <c:v>152.828</c:v>
                </c:pt>
                <c:pt idx="39">
                  <c:v>152.83000000000001</c:v>
                </c:pt>
                <c:pt idx="40">
                  <c:v>152.83099999999999</c:v>
                </c:pt>
                <c:pt idx="41">
                  <c:v>152.833</c:v>
                </c:pt>
                <c:pt idx="42">
                  <c:v>152.834</c:v>
                </c:pt>
                <c:pt idx="43">
                  <c:v>152.83600000000001</c:v>
                </c:pt>
                <c:pt idx="44">
                  <c:v>152.83799999999999</c:v>
                </c:pt>
                <c:pt idx="45">
                  <c:v>152.839</c:v>
                </c:pt>
                <c:pt idx="46">
                  <c:v>152.84100000000001</c:v>
                </c:pt>
                <c:pt idx="47">
                  <c:v>152.84200000000001</c:v>
                </c:pt>
                <c:pt idx="48">
                  <c:v>152.84399999999999</c:v>
                </c:pt>
                <c:pt idx="49">
                  <c:v>152.845</c:v>
                </c:pt>
                <c:pt idx="50">
                  <c:v>152.84700000000001</c:v>
                </c:pt>
                <c:pt idx="51">
                  <c:v>152.84899999999999</c:v>
                </c:pt>
                <c:pt idx="52">
                  <c:v>152.85</c:v>
                </c:pt>
                <c:pt idx="53">
                  <c:v>152.852</c:v>
                </c:pt>
                <c:pt idx="54">
                  <c:v>152.85300000000001</c:v>
                </c:pt>
                <c:pt idx="55">
                  <c:v>152.85499999999999</c:v>
                </c:pt>
                <c:pt idx="56">
                  <c:v>152.857</c:v>
                </c:pt>
                <c:pt idx="57">
                  <c:v>152.858</c:v>
                </c:pt>
                <c:pt idx="58">
                  <c:v>152.86000000000001</c:v>
                </c:pt>
                <c:pt idx="59">
                  <c:v>152.86099999999999</c:v>
                </c:pt>
                <c:pt idx="60">
                  <c:v>152.863</c:v>
                </c:pt>
                <c:pt idx="61">
                  <c:v>152.864</c:v>
                </c:pt>
                <c:pt idx="62">
                  <c:v>152.86600000000001</c:v>
                </c:pt>
                <c:pt idx="63">
                  <c:v>152.86799999999999</c:v>
                </c:pt>
                <c:pt idx="64">
                  <c:v>152.869</c:v>
                </c:pt>
                <c:pt idx="65">
                  <c:v>152.87100000000001</c:v>
                </c:pt>
                <c:pt idx="66">
                  <c:v>152.87200000000001</c:v>
                </c:pt>
                <c:pt idx="67">
                  <c:v>152.874</c:v>
                </c:pt>
                <c:pt idx="68">
                  <c:v>152.876</c:v>
                </c:pt>
                <c:pt idx="69">
                  <c:v>152.87700000000001</c:v>
                </c:pt>
                <c:pt idx="70">
                  <c:v>152.87899999999999</c:v>
                </c:pt>
                <c:pt idx="71">
                  <c:v>152.88</c:v>
                </c:pt>
                <c:pt idx="72">
                  <c:v>152.88200000000001</c:v>
                </c:pt>
                <c:pt idx="73">
                  <c:v>152.88300000000001</c:v>
                </c:pt>
                <c:pt idx="74">
                  <c:v>152.88499999999999</c:v>
                </c:pt>
                <c:pt idx="75">
                  <c:v>152.887</c:v>
                </c:pt>
                <c:pt idx="76">
                  <c:v>152.88800000000001</c:v>
                </c:pt>
                <c:pt idx="77">
                  <c:v>152.88999999999999</c:v>
                </c:pt>
                <c:pt idx="78">
                  <c:v>152.89099999999999</c:v>
                </c:pt>
                <c:pt idx="79">
                  <c:v>152.893</c:v>
                </c:pt>
                <c:pt idx="80">
                  <c:v>152.89400000000001</c:v>
                </c:pt>
                <c:pt idx="81">
                  <c:v>152.89599999999999</c:v>
                </c:pt>
                <c:pt idx="82">
                  <c:v>152.898</c:v>
                </c:pt>
                <c:pt idx="83">
                  <c:v>152.899</c:v>
                </c:pt>
                <c:pt idx="84">
                  <c:v>152.90100000000001</c:v>
                </c:pt>
                <c:pt idx="85">
                  <c:v>152.90199999999999</c:v>
                </c:pt>
                <c:pt idx="86">
                  <c:v>152.904</c:v>
                </c:pt>
                <c:pt idx="87">
                  <c:v>152.90600000000001</c:v>
                </c:pt>
                <c:pt idx="88">
                  <c:v>152.90700000000001</c:v>
                </c:pt>
                <c:pt idx="89">
                  <c:v>152.90899999999999</c:v>
                </c:pt>
                <c:pt idx="90">
                  <c:v>152.91</c:v>
                </c:pt>
                <c:pt idx="91">
                  <c:v>152.91200000000001</c:v>
                </c:pt>
                <c:pt idx="92">
                  <c:v>152.91300000000001</c:v>
                </c:pt>
                <c:pt idx="93">
                  <c:v>152.91499999999999</c:v>
                </c:pt>
                <c:pt idx="94">
                  <c:v>152.917</c:v>
                </c:pt>
                <c:pt idx="95">
                  <c:v>152.91800000000001</c:v>
                </c:pt>
                <c:pt idx="96">
                  <c:v>152.91999999999999</c:v>
                </c:pt>
                <c:pt idx="97">
                  <c:v>152.92099999999999</c:v>
                </c:pt>
                <c:pt idx="98">
                  <c:v>152.923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25-4623-85ED-6855FD913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153568"/>
        <c:axId val="313157312"/>
      </c:lineChart>
      <c:catAx>
        <c:axId val="313153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313157312"/>
        <c:crosses val="autoZero"/>
        <c:auto val="1"/>
        <c:lblAlgn val="ctr"/>
        <c:lblOffset val="100"/>
        <c:noMultiLvlLbl val="0"/>
      </c:catAx>
      <c:valAx>
        <c:axId val="31315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3131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USDJPY_M5!$DI$4</c:f>
              <c:strCache>
                <c:ptCount val="1"/>
                <c:pt idx="0">
                  <c:v>Trendline Stochastics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USDJPY_M5!$DI$5:$DI$103</c:f>
              <c:numCache>
                <c:formatCode>0.00%</c:formatCode>
                <c:ptCount val="99"/>
                <c:pt idx="0">
                  <c:v>0.96905766526020842</c:v>
                </c:pt>
                <c:pt idx="1">
                  <c:v>0.89689265536722085</c:v>
                </c:pt>
                <c:pt idx="2">
                  <c:v>0.69121813031162505</c:v>
                </c:pt>
                <c:pt idx="3">
                  <c:v>0.71732954545456007</c:v>
                </c:pt>
                <c:pt idx="4">
                  <c:v>0.68330955777460556</c:v>
                </c:pt>
                <c:pt idx="5">
                  <c:v>0.6952789699570957</c:v>
                </c:pt>
                <c:pt idx="6">
                  <c:v>0.67241379310343485</c:v>
                </c:pt>
                <c:pt idx="7">
                  <c:v>0.62536023054755729</c:v>
                </c:pt>
                <c:pt idx="8">
                  <c:v>0.62572254335258404</c:v>
                </c:pt>
                <c:pt idx="9">
                  <c:v>0.47895500725687584</c:v>
                </c:pt>
                <c:pt idx="10">
                  <c:v>0.49781659388645239</c:v>
                </c:pt>
                <c:pt idx="11">
                  <c:v>0.45029239766085127</c:v>
                </c:pt>
                <c:pt idx="12">
                  <c:v>0.58211143695016165</c:v>
                </c:pt>
                <c:pt idx="13">
                  <c:v>0.66176470588237135</c:v>
                </c:pt>
                <c:pt idx="14">
                  <c:v>0.70605612998524958</c:v>
                </c:pt>
                <c:pt idx="15">
                  <c:v>0.70178041543023761</c:v>
                </c:pt>
                <c:pt idx="16">
                  <c:v>0.57949479940562454</c:v>
                </c:pt>
                <c:pt idx="17">
                  <c:v>0.70597014925372181</c:v>
                </c:pt>
                <c:pt idx="18">
                  <c:v>0.70764617691151255</c:v>
                </c:pt>
                <c:pt idx="19">
                  <c:v>0.77443609022556226</c:v>
                </c:pt>
                <c:pt idx="20">
                  <c:v>0.64253393665159753</c:v>
                </c:pt>
                <c:pt idx="21">
                  <c:v>0.69696969696971267</c:v>
                </c:pt>
                <c:pt idx="22">
                  <c:v>0.75683890577504365</c:v>
                </c:pt>
                <c:pt idx="23">
                  <c:v>0.75419847328244105</c:v>
                </c:pt>
                <c:pt idx="24">
                  <c:v>0.57033639143729742</c:v>
                </c:pt>
                <c:pt idx="25">
                  <c:v>0.56682027649771116</c:v>
                </c:pt>
                <c:pt idx="26">
                  <c:v>0.65740740740739234</c:v>
                </c:pt>
                <c:pt idx="27">
                  <c:v>0.85294117647059342</c:v>
                </c:pt>
                <c:pt idx="28">
                  <c:v>0.90668740279937443</c:v>
                </c:pt>
                <c:pt idx="29">
                  <c:v>0.9032761310452263</c:v>
                </c:pt>
                <c:pt idx="30">
                  <c:v>0.73552425665100396</c:v>
                </c:pt>
                <c:pt idx="31">
                  <c:v>0.7437106918238805</c:v>
                </c:pt>
                <c:pt idx="32">
                  <c:v>0.4897314375987542</c:v>
                </c:pt>
                <c:pt idx="33">
                  <c:v>0.45094936708859862</c:v>
                </c:pt>
                <c:pt idx="34">
                  <c:v>0.43879173290935791</c:v>
                </c:pt>
                <c:pt idx="35">
                  <c:v>0.48963317384371879</c:v>
                </c:pt>
                <c:pt idx="36">
                  <c:v>0.35096153846153166</c:v>
                </c:pt>
                <c:pt idx="37">
                  <c:v>0.36816720257236046</c:v>
                </c:pt>
                <c:pt idx="38">
                  <c:v>0.29193548387098428</c:v>
                </c:pt>
                <c:pt idx="39">
                  <c:v>0.32414910858993806</c:v>
                </c:pt>
                <c:pt idx="40">
                  <c:v>0.32247557003253696</c:v>
                </c:pt>
                <c:pt idx="41">
                  <c:v>0.25938009787926908</c:v>
                </c:pt>
                <c:pt idx="42">
                  <c:v>0.11311475409834439</c:v>
                </c:pt>
                <c:pt idx="43">
                  <c:v>0.13014827018123198</c:v>
                </c:pt>
                <c:pt idx="44">
                  <c:v>0.23927392739274708</c:v>
                </c:pt>
                <c:pt idx="45">
                  <c:v>0.17384105960267526</c:v>
                </c:pt>
                <c:pt idx="46">
                  <c:v>0.36650082918736726</c:v>
                </c:pt>
                <c:pt idx="47">
                  <c:v>0.37707641196010749</c:v>
                </c:pt>
                <c:pt idx="48">
                  <c:v>0.37333333333331942</c:v>
                </c:pt>
                <c:pt idx="49">
                  <c:v>0.38898163606006636</c:v>
                </c:pt>
                <c:pt idx="50">
                  <c:v>0.27090301003341444</c:v>
                </c:pt>
                <c:pt idx="51">
                  <c:v>0.36073825503356055</c:v>
                </c:pt>
                <c:pt idx="52">
                  <c:v>0.33109243697479512</c:v>
                </c:pt>
                <c:pt idx="53">
                  <c:v>0.37605396290048698</c:v>
                </c:pt>
                <c:pt idx="54">
                  <c:v>0.35979729729729631</c:v>
                </c:pt>
                <c:pt idx="55">
                  <c:v>0.41962774957696619</c:v>
                </c:pt>
                <c:pt idx="56">
                  <c:v>0.46519524617996866</c:v>
                </c:pt>
                <c:pt idx="57">
                  <c:v>0.37989778534921448</c:v>
                </c:pt>
                <c:pt idx="58">
                  <c:v>0.37883959044371052</c:v>
                </c:pt>
                <c:pt idx="59">
                  <c:v>0.44102564102565173</c:v>
                </c:pt>
                <c:pt idx="60">
                  <c:v>0.36643835616437925</c:v>
                </c:pt>
                <c:pt idx="61">
                  <c:v>0.43127147766324314</c:v>
                </c:pt>
                <c:pt idx="62">
                  <c:v>0.49137931034481114</c:v>
                </c:pt>
                <c:pt idx="63">
                  <c:v>0.41896551724136166</c:v>
                </c:pt>
                <c:pt idx="64">
                  <c:v>0.44290657439446179</c:v>
                </c:pt>
                <c:pt idx="65">
                  <c:v>0.38541666666668567</c:v>
                </c:pt>
                <c:pt idx="66">
                  <c:v>0.38434782608695145</c:v>
                </c:pt>
                <c:pt idx="67">
                  <c:v>0.39372822299650567</c:v>
                </c:pt>
                <c:pt idx="68">
                  <c:v>0.33566433566434678</c:v>
                </c:pt>
                <c:pt idx="69">
                  <c:v>0.31873905429074784</c:v>
                </c:pt>
                <c:pt idx="70">
                  <c:v>0.27416520210896539</c:v>
                </c:pt>
                <c:pt idx="71">
                  <c:v>0.29453262786596024</c:v>
                </c:pt>
                <c:pt idx="72">
                  <c:v>0.26455026455023434</c:v>
                </c:pt>
                <c:pt idx="73">
                  <c:v>0.3132743362831738</c:v>
                </c:pt>
                <c:pt idx="74">
                  <c:v>0.32624113475177269</c:v>
                </c:pt>
                <c:pt idx="75">
                  <c:v>0.33985765124551554</c:v>
                </c:pt>
                <c:pt idx="76">
                  <c:v>0.38502673796789305</c:v>
                </c:pt>
                <c:pt idx="77">
                  <c:v>0.40535714285714813</c:v>
                </c:pt>
                <c:pt idx="78">
                  <c:v>0.36021505376343377</c:v>
                </c:pt>
                <c:pt idx="79">
                  <c:v>0.41187050359710775</c:v>
                </c:pt>
                <c:pt idx="80">
                  <c:v>0.36510791366908113</c:v>
                </c:pt>
                <c:pt idx="81">
                  <c:v>0.26353790613715894</c:v>
                </c:pt>
                <c:pt idx="82">
                  <c:v>0.26086956521740473</c:v>
                </c:pt>
                <c:pt idx="83">
                  <c:v>0.26315789473686652</c:v>
                </c:pt>
                <c:pt idx="84">
                  <c:v>0.29508196721312241</c:v>
                </c:pt>
                <c:pt idx="85">
                  <c:v>0.28961748633877943</c:v>
                </c:pt>
                <c:pt idx="86">
                  <c:v>0.22486288848261629</c:v>
                </c:pt>
                <c:pt idx="87">
                  <c:v>0.31926605504589101</c:v>
                </c:pt>
                <c:pt idx="88">
                  <c:v>0.12132352941176681</c:v>
                </c:pt>
                <c:pt idx="89">
                  <c:v>0.12154696132597004</c:v>
                </c:pt>
                <c:pt idx="90">
                  <c:v>0.17375231053603446</c:v>
                </c:pt>
                <c:pt idx="91">
                  <c:v>0.1111111111111111</c:v>
                </c:pt>
                <c:pt idx="92">
                  <c:v>0.11710037174724038</c:v>
                </c:pt>
                <c:pt idx="93">
                  <c:v>0.12849162011176171</c:v>
                </c:pt>
                <c:pt idx="94">
                  <c:v>0.22201492537313333</c:v>
                </c:pt>
                <c:pt idx="95">
                  <c:v>0.26404494382025134</c:v>
                </c:pt>
                <c:pt idx="96">
                  <c:v>0.20864661654138381</c:v>
                </c:pt>
                <c:pt idx="97">
                  <c:v>0.27495291902074082</c:v>
                </c:pt>
                <c:pt idx="98">
                  <c:v>0.24905660377354019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82-47EA-A865-965864024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3097616"/>
        <c:axId val="1073080560"/>
      </c:lineChart>
      <c:catAx>
        <c:axId val="1073097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073080560"/>
        <c:crosses val="autoZero"/>
        <c:auto val="1"/>
        <c:lblAlgn val="ctr"/>
        <c:lblOffset val="100"/>
        <c:noMultiLvlLbl val="0"/>
      </c:catAx>
      <c:valAx>
        <c:axId val="10730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07309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USDJPY_M5!$H$4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USDJPY_M5!$H$5:$H$103</c:f>
              <c:numCache>
                <c:formatCode>General</c:formatCode>
                <c:ptCount val="99"/>
                <c:pt idx="0">
                  <c:v>153.249</c:v>
                </c:pt>
                <c:pt idx="1">
                  <c:v>153.196</c:v>
                </c:pt>
                <c:pt idx="2">
                  <c:v>153.05000000000001</c:v>
                </c:pt>
                <c:pt idx="3">
                  <c:v>153.06700000000001</c:v>
                </c:pt>
                <c:pt idx="4">
                  <c:v>153.042</c:v>
                </c:pt>
                <c:pt idx="5">
                  <c:v>153.05000000000001</c:v>
                </c:pt>
                <c:pt idx="6">
                  <c:v>153.03299999999999</c:v>
                </c:pt>
                <c:pt idx="7">
                  <c:v>152.999</c:v>
                </c:pt>
                <c:pt idx="8">
                  <c:v>152.999</c:v>
                </c:pt>
                <c:pt idx="9">
                  <c:v>152.89699999999999</c:v>
                </c:pt>
                <c:pt idx="10">
                  <c:v>152.91</c:v>
                </c:pt>
                <c:pt idx="11">
                  <c:v>152.87700000000001</c:v>
                </c:pt>
                <c:pt idx="12">
                  <c:v>152.96600000000001</c:v>
                </c:pt>
                <c:pt idx="13">
                  <c:v>153.02000000000001</c:v>
                </c:pt>
                <c:pt idx="14">
                  <c:v>153.04900000000001</c:v>
                </c:pt>
                <c:pt idx="15">
                  <c:v>153.04499999999999</c:v>
                </c:pt>
                <c:pt idx="16">
                  <c:v>152.96199999999999</c:v>
                </c:pt>
                <c:pt idx="17">
                  <c:v>153.04599999999999</c:v>
                </c:pt>
                <c:pt idx="18">
                  <c:v>153.04599999999999</c:v>
                </c:pt>
                <c:pt idx="19">
                  <c:v>153.09</c:v>
                </c:pt>
                <c:pt idx="20">
                  <c:v>153.001</c:v>
                </c:pt>
                <c:pt idx="21">
                  <c:v>153.036</c:v>
                </c:pt>
                <c:pt idx="22">
                  <c:v>153.07499999999999</c:v>
                </c:pt>
                <c:pt idx="23">
                  <c:v>153.072</c:v>
                </c:pt>
                <c:pt idx="24">
                  <c:v>152.95099999999999</c:v>
                </c:pt>
                <c:pt idx="25">
                  <c:v>152.94800000000001</c:v>
                </c:pt>
                <c:pt idx="26">
                  <c:v>153.006</c:v>
                </c:pt>
                <c:pt idx="27">
                  <c:v>153.13200000000001</c:v>
                </c:pt>
                <c:pt idx="28">
                  <c:v>153.16499999999999</c:v>
                </c:pt>
                <c:pt idx="29">
                  <c:v>153.161</c:v>
                </c:pt>
                <c:pt idx="30">
                  <c:v>153.053</c:v>
                </c:pt>
                <c:pt idx="31">
                  <c:v>153.05699999999999</c:v>
                </c:pt>
                <c:pt idx="32">
                  <c:v>152.89500000000001</c:v>
                </c:pt>
                <c:pt idx="33">
                  <c:v>152.87</c:v>
                </c:pt>
                <c:pt idx="34">
                  <c:v>152.86199999999999</c:v>
                </c:pt>
                <c:pt idx="35">
                  <c:v>152.89400000000001</c:v>
                </c:pt>
                <c:pt idx="36">
                  <c:v>152.80699999999999</c:v>
                </c:pt>
                <c:pt idx="37">
                  <c:v>152.81700000000001</c:v>
                </c:pt>
                <c:pt idx="38">
                  <c:v>152.77000000000001</c:v>
                </c:pt>
                <c:pt idx="39">
                  <c:v>152.79</c:v>
                </c:pt>
                <c:pt idx="40">
                  <c:v>152.78899999999999</c:v>
                </c:pt>
                <c:pt idx="41">
                  <c:v>152.75</c:v>
                </c:pt>
                <c:pt idx="42">
                  <c:v>152.661</c:v>
                </c:pt>
                <c:pt idx="43">
                  <c:v>152.672</c:v>
                </c:pt>
                <c:pt idx="44">
                  <c:v>152.738</c:v>
                </c:pt>
                <c:pt idx="45">
                  <c:v>152.69800000000001</c:v>
                </c:pt>
                <c:pt idx="46">
                  <c:v>152.81299999999999</c:v>
                </c:pt>
                <c:pt idx="47">
                  <c:v>152.81899999999999</c:v>
                </c:pt>
                <c:pt idx="48">
                  <c:v>152.816</c:v>
                </c:pt>
                <c:pt idx="49">
                  <c:v>152.82499999999999</c:v>
                </c:pt>
                <c:pt idx="50">
                  <c:v>152.75299999999999</c:v>
                </c:pt>
                <c:pt idx="51">
                  <c:v>152.80600000000001</c:v>
                </c:pt>
                <c:pt idx="52">
                  <c:v>152.78800000000001</c:v>
                </c:pt>
                <c:pt idx="53">
                  <c:v>152.81399999999999</c:v>
                </c:pt>
                <c:pt idx="54">
                  <c:v>152.803</c:v>
                </c:pt>
                <c:pt idx="55">
                  <c:v>152.83799999999999</c:v>
                </c:pt>
                <c:pt idx="56">
                  <c:v>152.864</c:v>
                </c:pt>
                <c:pt idx="57">
                  <c:v>152.81299999999999</c:v>
                </c:pt>
                <c:pt idx="58">
                  <c:v>152.81200000000001</c:v>
                </c:pt>
                <c:pt idx="59">
                  <c:v>152.84700000000001</c:v>
                </c:pt>
                <c:pt idx="60">
                  <c:v>152.803</c:v>
                </c:pt>
                <c:pt idx="61">
                  <c:v>152.84</c:v>
                </c:pt>
                <c:pt idx="62">
                  <c:v>152.874</c:v>
                </c:pt>
                <c:pt idx="63">
                  <c:v>152.83099999999999</c:v>
                </c:pt>
                <c:pt idx="64">
                  <c:v>152.84399999999999</c:v>
                </c:pt>
                <c:pt idx="65">
                  <c:v>152.81</c:v>
                </c:pt>
                <c:pt idx="66">
                  <c:v>152.809</c:v>
                </c:pt>
                <c:pt idx="67">
                  <c:v>152.81299999999999</c:v>
                </c:pt>
                <c:pt idx="68">
                  <c:v>152.779</c:v>
                </c:pt>
                <c:pt idx="69">
                  <c:v>152.76900000000001</c:v>
                </c:pt>
                <c:pt idx="70">
                  <c:v>152.74299999999999</c:v>
                </c:pt>
                <c:pt idx="71">
                  <c:v>152.75399999999999</c:v>
                </c:pt>
                <c:pt idx="72">
                  <c:v>152.73599999999999</c:v>
                </c:pt>
                <c:pt idx="73">
                  <c:v>152.76300000000001</c:v>
                </c:pt>
                <c:pt idx="74">
                  <c:v>152.77000000000001</c:v>
                </c:pt>
                <c:pt idx="75">
                  <c:v>152.77699999999999</c:v>
                </c:pt>
                <c:pt idx="76">
                  <c:v>152.80099999999999</c:v>
                </c:pt>
                <c:pt idx="77">
                  <c:v>152.81200000000001</c:v>
                </c:pt>
                <c:pt idx="78">
                  <c:v>152.786</c:v>
                </c:pt>
                <c:pt idx="79">
                  <c:v>152.81399999999999</c:v>
                </c:pt>
                <c:pt idx="80">
                  <c:v>152.78700000000001</c:v>
                </c:pt>
                <c:pt idx="81">
                  <c:v>152.72999999999999</c:v>
                </c:pt>
                <c:pt idx="82">
                  <c:v>152.72800000000001</c:v>
                </c:pt>
                <c:pt idx="83">
                  <c:v>152.72900000000001</c:v>
                </c:pt>
                <c:pt idx="84">
                  <c:v>152.74600000000001</c:v>
                </c:pt>
                <c:pt idx="85">
                  <c:v>152.74199999999999</c:v>
                </c:pt>
                <c:pt idx="86">
                  <c:v>152.70599999999999</c:v>
                </c:pt>
                <c:pt idx="87">
                  <c:v>152.75700000000001</c:v>
                </c:pt>
                <c:pt idx="88">
                  <c:v>152.649</c:v>
                </c:pt>
                <c:pt idx="89">
                  <c:v>152.648</c:v>
                </c:pt>
                <c:pt idx="90">
                  <c:v>152.67599999999999</c:v>
                </c:pt>
                <c:pt idx="91">
                  <c:v>152.642</c:v>
                </c:pt>
                <c:pt idx="92">
                  <c:v>152.64500000000001</c:v>
                </c:pt>
                <c:pt idx="93">
                  <c:v>152.65</c:v>
                </c:pt>
                <c:pt idx="94">
                  <c:v>152.69999999999999</c:v>
                </c:pt>
                <c:pt idx="95">
                  <c:v>152.72200000000001</c:v>
                </c:pt>
                <c:pt idx="96">
                  <c:v>152.69200000000001</c:v>
                </c:pt>
                <c:pt idx="97">
                  <c:v>152.727</c:v>
                </c:pt>
                <c:pt idx="98">
                  <c:v>152.71199999999999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F-4359-8CDF-8C4C32AD0144}"/>
            </c:ext>
          </c:extLst>
        </c:ser>
        <c:ser>
          <c:idx val="1"/>
          <c:order val="1"/>
          <c:tx>
            <c:strRef>
              <c:f>USDJPY_M5!$I$4</c:f>
              <c:strCache>
                <c:ptCount val="1"/>
                <c:pt idx="0">
                  <c:v>Peak_Line_1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USDJPY_M5!$I$5:$I$103</c:f>
              <c:numCache>
                <c:formatCode>General</c:formatCode>
                <c:ptCount val="99"/>
                <c:pt idx="0">
                  <c:v>153.03800000000001</c:v>
                </c:pt>
                <c:pt idx="1">
                  <c:v>153.036</c:v>
                </c:pt>
                <c:pt idx="2">
                  <c:v>153.03299999999999</c:v>
                </c:pt>
                <c:pt idx="3">
                  <c:v>153.03100000000001</c:v>
                </c:pt>
                <c:pt idx="4">
                  <c:v>153.029</c:v>
                </c:pt>
                <c:pt idx="5">
                  <c:v>153.02600000000001</c:v>
                </c:pt>
                <c:pt idx="6">
                  <c:v>153.024</c:v>
                </c:pt>
                <c:pt idx="7">
                  <c:v>153.02099999999999</c:v>
                </c:pt>
                <c:pt idx="8">
                  <c:v>153.01900000000001</c:v>
                </c:pt>
                <c:pt idx="9">
                  <c:v>153.01599999999999</c:v>
                </c:pt>
                <c:pt idx="10">
                  <c:v>153.01400000000001</c:v>
                </c:pt>
                <c:pt idx="11">
                  <c:v>153.012</c:v>
                </c:pt>
                <c:pt idx="12">
                  <c:v>153.00899999999999</c:v>
                </c:pt>
                <c:pt idx="13">
                  <c:v>153.00700000000001</c:v>
                </c:pt>
                <c:pt idx="14">
                  <c:v>153.00399999999999</c:v>
                </c:pt>
                <c:pt idx="15">
                  <c:v>153.00200000000001</c:v>
                </c:pt>
                <c:pt idx="16">
                  <c:v>152.999</c:v>
                </c:pt>
                <c:pt idx="17">
                  <c:v>152.99700000000001</c:v>
                </c:pt>
                <c:pt idx="18">
                  <c:v>152.995</c:v>
                </c:pt>
                <c:pt idx="19">
                  <c:v>152.99199999999999</c:v>
                </c:pt>
                <c:pt idx="20">
                  <c:v>152.99</c:v>
                </c:pt>
                <c:pt idx="21">
                  <c:v>152.98699999999999</c:v>
                </c:pt>
                <c:pt idx="22">
                  <c:v>152.98500000000001</c:v>
                </c:pt>
                <c:pt idx="23">
                  <c:v>152.983</c:v>
                </c:pt>
                <c:pt idx="24">
                  <c:v>152.97999999999999</c:v>
                </c:pt>
                <c:pt idx="25">
                  <c:v>152.97800000000001</c:v>
                </c:pt>
                <c:pt idx="26">
                  <c:v>152.97499999999999</c:v>
                </c:pt>
                <c:pt idx="27">
                  <c:v>152.97300000000001</c:v>
                </c:pt>
                <c:pt idx="28">
                  <c:v>152.97</c:v>
                </c:pt>
                <c:pt idx="29">
                  <c:v>152.96799999999999</c:v>
                </c:pt>
                <c:pt idx="30">
                  <c:v>152.96600000000001</c:v>
                </c:pt>
                <c:pt idx="31">
                  <c:v>152.96299999999999</c:v>
                </c:pt>
                <c:pt idx="32">
                  <c:v>152.96100000000001</c:v>
                </c:pt>
                <c:pt idx="33">
                  <c:v>152.958</c:v>
                </c:pt>
                <c:pt idx="34">
                  <c:v>152.95599999999999</c:v>
                </c:pt>
                <c:pt idx="35">
                  <c:v>152.953</c:v>
                </c:pt>
                <c:pt idx="36">
                  <c:v>152.95099999999999</c:v>
                </c:pt>
                <c:pt idx="37">
                  <c:v>152.94900000000001</c:v>
                </c:pt>
                <c:pt idx="38">
                  <c:v>152.946</c:v>
                </c:pt>
                <c:pt idx="39">
                  <c:v>152.94399999999999</c:v>
                </c:pt>
                <c:pt idx="40">
                  <c:v>152.941</c:v>
                </c:pt>
                <c:pt idx="41">
                  <c:v>152.93899999999999</c:v>
                </c:pt>
                <c:pt idx="42">
                  <c:v>152.93600000000001</c:v>
                </c:pt>
                <c:pt idx="43">
                  <c:v>152.934</c:v>
                </c:pt>
                <c:pt idx="44">
                  <c:v>152.93199999999999</c:v>
                </c:pt>
                <c:pt idx="45">
                  <c:v>152.929</c:v>
                </c:pt>
                <c:pt idx="46">
                  <c:v>152.92699999999999</c:v>
                </c:pt>
                <c:pt idx="47">
                  <c:v>152.92400000000001</c:v>
                </c:pt>
                <c:pt idx="48">
                  <c:v>152.922</c:v>
                </c:pt>
                <c:pt idx="49">
                  <c:v>152.91999999999999</c:v>
                </c:pt>
                <c:pt idx="50">
                  <c:v>152.917</c:v>
                </c:pt>
                <c:pt idx="51">
                  <c:v>152.91499999999999</c:v>
                </c:pt>
                <c:pt idx="52">
                  <c:v>152.91200000000001</c:v>
                </c:pt>
                <c:pt idx="53">
                  <c:v>152.91</c:v>
                </c:pt>
                <c:pt idx="54">
                  <c:v>152.90700000000001</c:v>
                </c:pt>
                <c:pt idx="55">
                  <c:v>152.905</c:v>
                </c:pt>
                <c:pt idx="56">
                  <c:v>152.90299999999999</c:v>
                </c:pt>
                <c:pt idx="57">
                  <c:v>152.9</c:v>
                </c:pt>
                <c:pt idx="58">
                  <c:v>152.898</c:v>
                </c:pt>
                <c:pt idx="59">
                  <c:v>152.89500000000001</c:v>
                </c:pt>
                <c:pt idx="60">
                  <c:v>152.893</c:v>
                </c:pt>
                <c:pt idx="61">
                  <c:v>152.88999999999999</c:v>
                </c:pt>
                <c:pt idx="62">
                  <c:v>152.88800000000001</c:v>
                </c:pt>
                <c:pt idx="63">
                  <c:v>152.886</c:v>
                </c:pt>
                <c:pt idx="64">
                  <c:v>152.88300000000001</c:v>
                </c:pt>
                <c:pt idx="65">
                  <c:v>152.881</c:v>
                </c:pt>
                <c:pt idx="66">
                  <c:v>152.87799999999999</c:v>
                </c:pt>
                <c:pt idx="67">
                  <c:v>152.876</c:v>
                </c:pt>
                <c:pt idx="68">
                  <c:v>152.87299999999999</c:v>
                </c:pt>
                <c:pt idx="69">
                  <c:v>152.87100000000001</c:v>
                </c:pt>
                <c:pt idx="70">
                  <c:v>152.869</c:v>
                </c:pt>
                <c:pt idx="71">
                  <c:v>152.86600000000001</c:v>
                </c:pt>
                <c:pt idx="72">
                  <c:v>152.864</c:v>
                </c:pt>
                <c:pt idx="73">
                  <c:v>152.86099999999999</c:v>
                </c:pt>
                <c:pt idx="74">
                  <c:v>152.85900000000001</c:v>
                </c:pt>
                <c:pt idx="75">
                  <c:v>152.85599999999999</c:v>
                </c:pt>
                <c:pt idx="76">
                  <c:v>152.85400000000001</c:v>
                </c:pt>
                <c:pt idx="77">
                  <c:v>152.852</c:v>
                </c:pt>
                <c:pt idx="78">
                  <c:v>152.84899999999999</c:v>
                </c:pt>
                <c:pt idx="79">
                  <c:v>152.84700000000001</c:v>
                </c:pt>
                <c:pt idx="80">
                  <c:v>152.84399999999999</c:v>
                </c:pt>
                <c:pt idx="81">
                  <c:v>152.84200000000001</c:v>
                </c:pt>
                <c:pt idx="82">
                  <c:v>152.84</c:v>
                </c:pt>
                <c:pt idx="83">
                  <c:v>152.83699999999999</c:v>
                </c:pt>
                <c:pt idx="84">
                  <c:v>152.83500000000001</c:v>
                </c:pt>
                <c:pt idx="85">
                  <c:v>152.83199999999999</c:v>
                </c:pt>
                <c:pt idx="86">
                  <c:v>152.83000000000001</c:v>
                </c:pt>
                <c:pt idx="87">
                  <c:v>152.827</c:v>
                </c:pt>
                <c:pt idx="88">
                  <c:v>152.82499999999999</c:v>
                </c:pt>
                <c:pt idx="89">
                  <c:v>152.82300000000001</c:v>
                </c:pt>
                <c:pt idx="90">
                  <c:v>152.82</c:v>
                </c:pt>
                <c:pt idx="91">
                  <c:v>152.81800000000001</c:v>
                </c:pt>
                <c:pt idx="92">
                  <c:v>152.815</c:v>
                </c:pt>
                <c:pt idx="93">
                  <c:v>152.81299999999999</c:v>
                </c:pt>
                <c:pt idx="94">
                  <c:v>152.81</c:v>
                </c:pt>
                <c:pt idx="95">
                  <c:v>152.80799999999999</c:v>
                </c:pt>
                <c:pt idx="96">
                  <c:v>152.80600000000001</c:v>
                </c:pt>
                <c:pt idx="97">
                  <c:v>152.803</c:v>
                </c:pt>
                <c:pt idx="98">
                  <c:v>152.80099999999999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DF-4359-8CDF-8C4C32AD0144}"/>
            </c:ext>
          </c:extLst>
        </c:ser>
        <c:ser>
          <c:idx val="2"/>
          <c:order val="2"/>
          <c:tx>
            <c:strRef>
              <c:f>USDJPY_M5!$J$4</c:f>
              <c:strCache>
                <c:ptCount val="1"/>
                <c:pt idx="0">
                  <c:v>Peak_Line_2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USDJPY_M5!$J$5:$J$103</c:f>
              <c:numCache>
                <c:formatCode>General</c:formatCode>
                <c:ptCount val="99"/>
                <c:pt idx="0">
                  <c:v>152.911</c:v>
                </c:pt>
                <c:pt idx="1">
                  <c:v>152.911</c:v>
                </c:pt>
                <c:pt idx="2">
                  <c:v>152.91</c:v>
                </c:pt>
                <c:pt idx="3">
                  <c:v>152.91</c:v>
                </c:pt>
                <c:pt idx="4">
                  <c:v>152.91</c:v>
                </c:pt>
                <c:pt idx="5">
                  <c:v>152.90899999999999</c:v>
                </c:pt>
                <c:pt idx="6">
                  <c:v>152.90899999999999</c:v>
                </c:pt>
                <c:pt idx="7">
                  <c:v>152.90799999999999</c:v>
                </c:pt>
                <c:pt idx="8">
                  <c:v>152.90799999999999</c:v>
                </c:pt>
                <c:pt idx="9">
                  <c:v>152.90799999999999</c:v>
                </c:pt>
                <c:pt idx="10">
                  <c:v>152.90700000000001</c:v>
                </c:pt>
                <c:pt idx="11">
                  <c:v>152.90700000000001</c:v>
                </c:pt>
                <c:pt idx="12">
                  <c:v>152.90700000000001</c:v>
                </c:pt>
                <c:pt idx="13">
                  <c:v>152.90600000000001</c:v>
                </c:pt>
                <c:pt idx="14">
                  <c:v>152.90600000000001</c:v>
                </c:pt>
                <c:pt idx="15">
                  <c:v>152.905</c:v>
                </c:pt>
                <c:pt idx="16">
                  <c:v>152.905</c:v>
                </c:pt>
                <c:pt idx="17">
                  <c:v>152.905</c:v>
                </c:pt>
                <c:pt idx="18">
                  <c:v>152.904</c:v>
                </c:pt>
                <c:pt idx="19">
                  <c:v>152.904</c:v>
                </c:pt>
                <c:pt idx="20">
                  <c:v>152.904</c:v>
                </c:pt>
                <c:pt idx="21">
                  <c:v>152.90299999999999</c:v>
                </c:pt>
                <c:pt idx="22">
                  <c:v>152.90299999999999</c:v>
                </c:pt>
                <c:pt idx="23">
                  <c:v>152.90299999999999</c:v>
                </c:pt>
                <c:pt idx="24">
                  <c:v>152.90199999999999</c:v>
                </c:pt>
                <c:pt idx="25">
                  <c:v>152.90199999999999</c:v>
                </c:pt>
                <c:pt idx="26">
                  <c:v>152.90100000000001</c:v>
                </c:pt>
                <c:pt idx="27">
                  <c:v>152.90100000000001</c:v>
                </c:pt>
                <c:pt idx="28">
                  <c:v>152.90100000000001</c:v>
                </c:pt>
                <c:pt idx="29">
                  <c:v>152.9</c:v>
                </c:pt>
                <c:pt idx="30">
                  <c:v>152.9</c:v>
                </c:pt>
                <c:pt idx="31">
                  <c:v>152.9</c:v>
                </c:pt>
                <c:pt idx="32">
                  <c:v>152.899</c:v>
                </c:pt>
                <c:pt idx="33">
                  <c:v>152.899</c:v>
                </c:pt>
                <c:pt idx="34">
                  <c:v>152.898</c:v>
                </c:pt>
                <c:pt idx="35">
                  <c:v>152.898</c:v>
                </c:pt>
                <c:pt idx="36">
                  <c:v>152.898</c:v>
                </c:pt>
                <c:pt idx="37">
                  <c:v>152.89699999999999</c:v>
                </c:pt>
                <c:pt idx="38">
                  <c:v>152.89699999999999</c:v>
                </c:pt>
                <c:pt idx="39">
                  <c:v>152.89699999999999</c:v>
                </c:pt>
                <c:pt idx="40">
                  <c:v>152.89599999999999</c:v>
                </c:pt>
                <c:pt idx="41">
                  <c:v>152.89599999999999</c:v>
                </c:pt>
                <c:pt idx="42">
                  <c:v>152.89500000000001</c:v>
                </c:pt>
                <c:pt idx="43">
                  <c:v>152.89500000000001</c:v>
                </c:pt>
                <c:pt idx="44">
                  <c:v>152.89500000000001</c:v>
                </c:pt>
                <c:pt idx="45">
                  <c:v>152.89400000000001</c:v>
                </c:pt>
                <c:pt idx="46">
                  <c:v>152.89400000000001</c:v>
                </c:pt>
                <c:pt idx="47">
                  <c:v>152.89400000000001</c:v>
                </c:pt>
                <c:pt idx="48">
                  <c:v>152.893</c:v>
                </c:pt>
                <c:pt idx="49">
                  <c:v>152.893</c:v>
                </c:pt>
                <c:pt idx="50">
                  <c:v>152.892</c:v>
                </c:pt>
                <c:pt idx="51">
                  <c:v>152.892</c:v>
                </c:pt>
                <c:pt idx="52">
                  <c:v>152.892</c:v>
                </c:pt>
                <c:pt idx="53">
                  <c:v>152.89099999999999</c:v>
                </c:pt>
                <c:pt idx="54">
                  <c:v>152.89099999999999</c:v>
                </c:pt>
                <c:pt idx="55">
                  <c:v>152.89099999999999</c:v>
                </c:pt>
                <c:pt idx="56">
                  <c:v>152.88999999999999</c:v>
                </c:pt>
                <c:pt idx="57">
                  <c:v>152.88999999999999</c:v>
                </c:pt>
                <c:pt idx="58">
                  <c:v>152.88900000000001</c:v>
                </c:pt>
                <c:pt idx="59">
                  <c:v>152.88900000000001</c:v>
                </c:pt>
                <c:pt idx="60">
                  <c:v>152.88900000000001</c:v>
                </c:pt>
                <c:pt idx="61">
                  <c:v>152.88800000000001</c:v>
                </c:pt>
                <c:pt idx="62">
                  <c:v>152.88800000000001</c:v>
                </c:pt>
                <c:pt idx="63">
                  <c:v>152.88800000000001</c:v>
                </c:pt>
                <c:pt idx="64">
                  <c:v>152.887</c:v>
                </c:pt>
                <c:pt idx="65">
                  <c:v>152.887</c:v>
                </c:pt>
                <c:pt idx="66">
                  <c:v>152.887</c:v>
                </c:pt>
                <c:pt idx="67">
                  <c:v>152.886</c:v>
                </c:pt>
                <c:pt idx="68">
                  <c:v>152.886</c:v>
                </c:pt>
                <c:pt idx="69">
                  <c:v>152.88499999999999</c:v>
                </c:pt>
                <c:pt idx="70">
                  <c:v>152.88499999999999</c:v>
                </c:pt>
                <c:pt idx="71">
                  <c:v>152.88499999999999</c:v>
                </c:pt>
                <c:pt idx="72">
                  <c:v>152.88399999999999</c:v>
                </c:pt>
                <c:pt idx="73">
                  <c:v>152.88399999999999</c:v>
                </c:pt>
                <c:pt idx="74">
                  <c:v>152.88399999999999</c:v>
                </c:pt>
                <c:pt idx="75">
                  <c:v>152.88300000000001</c:v>
                </c:pt>
                <c:pt idx="76">
                  <c:v>152.88300000000001</c:v>
                </c:pt>
                <c:pt idx="77">
                  <c:v>152.88200000000001</c:v>
                </c:pt>
                <c:pt idx="78">
                  <c:v>152.88200000000001</c:v>
                </c:pt>
                <c:pt idx="79">
                  <c:v>152.88200000000001</c:v>
                </c:pt>
                <c:pt idx="80">
                  <c:v>152.881</c:v>
                </c:pt>
                <c:pt idx="81">
                  <c:v>152.881</c:v>
                </c:pt>
                <c:pt idx="82">
                  <c:v>152.881</c:v>
                </c:pt>
                <c:pt idx="83">
                  <c:v>152.88</c:v>
                </c:pt>
                <c:pt idx="84">
                  <c:v>152.88</c:v>
                </c:pt>
                <c:pt idx="85">
                  <c:v>152.87899999999999</c:v>
                </c:pt>
                <c:pt idx="86">
                  <c:v>152.87899999999999</c:v>
                </c:pt>
                <c:pt idx="87">
                  <c:v>152.87899999999999</c:v>
                </c:pt>
                <c:pt idx="88">
                  <c:v>152.87799999999999</c:v>
                </c:pt>
                <c:pt idx="89">
                  <c:v>152.87799999999999</c:v>
                </c:pt>
                <c:pt idx="90">
                  <c:v>152.87799999999999</c:v>
                </c:pt>
                <c:pt idx="91">
                  <c:v>152.87700000000001</c:v>
                </c:pt>
                <c:pt idx="92">
                  <c:v>152.87700000000001</c:v>
                </c:pt>
                <c:pt idx="93">
                  <c:v>152.876</c:v>
                </c:pt>
                <c:pt idx="94">
                  <c:v>152.876</c:v>
                </c:pt>
                <c:pt idx="95">
                  <c:v>152.876</c:v>
                </c:pt>
                <c:pt idx="96">
                  <c:v>152.875</c:v>
                </c:pt>
                <c:pt idx="97">
                  <c:v>152.875</c:v>
                </c:pt>
                <c:pt idx="98">
                  <c:v>152.875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DF-4359-8CDF-8C4C32AD0144}"/>
            </c:ext>
          </c:extLst>
        </c:ser>
        <c:ser>
          <c:idx val="3"/>
          <c:order val="3"/>
          <c:tx>
            <c:strRef>
              <c:f>USDJPY_M5!$K$4</c:f>
              <c:strCache>
                <c:ptCount val="1"/>
                <c:pt idx="0">
                  <c:v>Peak_Line_3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USDJPY_M5!$K$5:$K$103</c:f>
              <c:numCache>
                <c:formatCode>General</c:formatCode>
                <c:ptCount val="99"/>
                <c:pt idx="0">
                  <c:v>153.27099999999999</c:v>
                </c:pt>
                <c:pt idx="1">
                  <c:v>153.26900000000001</c:v>
                </c:pt>
                <c:pt idx="2">
                  <c:v>153.268</c:v>
                </c:pt>
                <c:pt idx="3">
                  <c:v>153.26599999999999</c:v>
                </c:pt>
                <c:pt idx="4">
                  <c:v>153.26400000000001</c:v>
                </c:pt>
                <c:pt idx="5">
                  <c:v>153.26300000000001</c:v>
                </c:pt>
                <c:pt idx="6">
                  <c:v>153.261</c:v>
                </c:pt>
                <c:pt idx="7">
                  <c:v>153.25899999999999</c:v>
                </c:pt>
                <c:pt idx="8">
                  <c:v>153.25800000000001</c:v>
                </c:pt>
                <c:pt idx="9">
                  <c:v>153.256</c:v>
                </c:pt>
                <c:pt idx="10">
                  <c:v>153.255</c:v>
                </c:pt>
                <c:pt idx="11">
                  <c:v>153.25299999999999</c:v>
                </c:pt>
                <c:pt idx="12">
                  <c:v>153.251</c:v>
                </c:pt>
                <c:pt idx="13">
                  <c:v>153.25</c:v>
                </c:pt>
                <c:pt idx="14">
                  <c:v>153.24799999999999</c:v>
                </c:pt>
                <c:pt idx="15">
                  <c:v>153.24600000000001</c:v>
                </c:pt>
                <c:pt idx="16">
                  <c:v>153.245</c:v>
                </c:pt>
                <c:pt idx="17">
                  <c:v>153.24299999999999</c:v>
                </c:pt>
                <c:pt idx="18">
                  <c:v>153.24100000000001</c:v>
                </c:pt>
                <c:pt idx="19">
                  <c:v>153.24</c:v>
                </c:pt>
                <c:pt idx="20">
                  <c:v>153.238</c:v>
                </c:pt>
                <c:pt idx="21">
                  <c:v>153.23599999999999</c:v>
                </c:pt>
                <c:pt idx="22">
                  <c:v>153.23500000000001</c:v>
                </c:pt>
                <c:pt idx="23">
                  <c:v>153.233</c:v>
                </c:pt>
                <c:pt idx="24">
                  <c:v>153.232</c:v>
                </c:pt>
                <c:pt idx="25">
                  <c:v>153.22999999999999</c:v>
                </c:pt>
                <c:pt idx="26">
                  <c:v>153.22800000000001</c:v>
                </c:pt>
                <c:pt idx="27">
                  <c:v>153.227</c:v>
                </c:pt>
                <c:pt idx="28">
                  <c:v>153.22499999999999</c:v>
                </c:pt>
                <c:pt idx="29">
                  <c:v>153.22300000000001</c:v>
                </c:pt>
                <c:pt idx="30">
                  <c:v>153.22200000000001</c:v>
                </c:pt>
                <c:pt idx="31">
                  <c:v>153.22</c:v>
                </c:pt>
                <c:pt idx="32">
                  <c:v>153.21799999999999</c:v>
                </c:pt>
                <c:pt idx="33">
                  <c:v>153.21700000000001</c:v>
                </c:pt>
                <c:pt idx="34">
                  <c:v>153.215</c:v>
                </c:pt>
                <c:pt idx="35">
                  <c:v>153.214</c:v>
                </c:pt>
                <c:pt idx="36">
                  <c:v>153.21199999999999</c:v>
                </c:pt>
                <c:pt idx="37">
                  <c:v>153.21</c:v>
                </c:pt>
                <c:pt idx="38">
                  <c:v>153.209</c:v>
                </c:pt>
                <c:pt idx="39">
                  <c:v>153.20699999999999</c:v>
                </c:pt>
                <c:pt idx="40">
                  <c:v>153.20500000000001</c:v>
                </c:pt>
                <c:pt idx="41">
                  <c:v>153.20400000000001</c:v>
                </c:pt>
                <c:pt idx="42">
                  <c:v>153.202</c:v>
                </c:pt>
                <c:pt idx="43">
                  <c:v>153.19999999999999</c:v>
                </c:pt>
                <c:pt idx="44">
                  <c:v>153.19900000000001</c:v>
                </c:pt>
                <c:pt idx="45">
                  <c:v>153.197</c:v>
                </c:pt>
                <c:pt idx="46">
                  <c:v>153.19499999999999</c:v>
                </c:pt>
                <c:pt idx="47">
                  <c:v>153.19399999999999</c:v>
                </c:pt>
                <c:pt idx="48">
                  <c:v>153.19200000000001</c:v>
                </c:pt>
                <c:pt idx="49">
                  <c:v>153.191</c:v>
                </c:pt>
                <c:pt idx="50">
                  <c:v>153.18899999999999</c:v>
                </c:pt>
                <c:pt idx="51">
                  <c:v>153.18700000000001</c:v>
                </c:pt>
                <c:pt idx="52">
                  <c:v>153.18600000000001</c:v>
                </c:pt>
                <c:pt idx="53">
                  <c:v>153.184</c:v>
                </c:pt>
                <c:pt idx="54">
                  <c:v>153.18199999999999</c:v>
                </c:pt>
                <c:pt idx="55">
                  <c:v>153.18100000000001</c:v>
                </c:pt>
                <c:pt idx="56">
                  <c:v>153.179</c:v>
                </c:pt>
                <c:pt idx="57">
                  <c:v>153.17699999999999</c:v>
                </c:pt>
                <c:pt idx="58">
                  <c:v>153.17599999999999</c:v>
                </c:pt>
                <c:pt idx="59">
                  <c:v>153.17400000000001</c:v>
                </c:pt>
                <c:pt idx="60">
                  <c:v>153.173</c:v>
                </c:pt>
                <c:pt idx="61">
                  <c:v>153.17099999999999</c:v>
                </c:pt>
                <c:pt idx="62">
                  <c:v>153.16900000000001</c:v>
                </c:pt>
                <c:pt idx="63">
                  <c:v>153.16800000000001</c:v>
                </c:pt>
                <c:pt idx="64">
                  <c:v>153.166</c:v>
                </c:pt>
                <c:pt idx="65">
                  <c:v>153.16399999999999</c:v>
                </c:pt>
                <c:pt idx="66">
                  <c:v>153.16300000000001</c:v>
                </c:pt>
                <c:pt idx="67">
                  <c:v>153.161</c:v>
                </c:pt>
                <c:pt idx="68">
                  <c:v>153.15899999999999</c:v>
                </c:pt>
                <c:pt idx="69">
                  <c:v>153.15799999999999</c:v>
                </c:pt>
                <c:pt idx="70">
                  <c:v>153.15600000000001</c:v>
                </c:pt>
                <c:pt idx="71">
                  <c:v>153.154</c:v>
                </c:pt>
                <c:pt idx="72">
                  <c:v>153.15299999999999</c:v>
                </c:pt>
                <c:pt idx="73">
                  <c:v>153.15100000000001</c:v>
                </c:pt>
                <c:pt idx="74">
                  <c:v>153.15</c:v>
                </c:pt>
                <c:pt idx="75">
                  <c:v>153.148</c:v>
                </c:pt>
                <c:pt idx="76">
                  <c:v>153.14599999999999</c:v>
                </c:pt>
                <c:pt idx="77">
                  <c:v>153.14500000000001</c:v>
                </c:pt>
                <c:pt idx="78">
                  <c:v>153.143</c:v>
                </c:pt>
                <c:pt idx="79">
                  <c:v>153.14099999999999</c:v>
                </c:pt>
                <c:pt idx="80">
                  <c:v>153.13999999999999</c:v>
                </c:pt>
                <c:pt idx="81">
                  <c:v>153.13800000000001</c:v>
                </c:pt>
                <c:pt idx="82">
                  <c:v>153.136</c:v>
                </c:pt>
                <c:pt idx="83">
                  <c:v>153.13499999999999</c:v>
                </c:pt>
                <c:pt idx="84">
                  <c:v>153.13300000000001</c:v>
                </c:pt>
                <c:pt idx="85">
                  <c:v>153.13200000000001</c:v>
                </c:pt>
                <c:pt idx="86">
                  <c:v>153.13</c:v>
                </c:pt>
                <c:pt idx="87">
                  <c:v>153.12799999999999</c:v>
                </c:pt>
                <c:pt idx="88">
                  <c:v>153.12700000000001</c:v>
                </c:pt>
                <c:pt idx="89">
                  <c:v>153.125</c:v>
                </c:pt>
                <c:pt idx="90">
                  <c:v>153.12299999999999</c:v>
                </c:pt>
                <c:pt idx="91">
                  <c:v>153.12200000000001</c:v>
                </c:pt>
                <c:pt idx="92">
                  <c:v>153.12</c:v>
                </c:pt>
                <c:pt idx="93">
                  <c:v>153.11799999999999</c:v>
                </c:pt>
                <c:pt idx="94">
                  <c:v>153.11699999999999</c:v>
                </c:pt>
                <c:pt idx="95">
                  <c:v>153.11500000000001</c:v>
                </c:pt>
                <c:pt idx="96">
                  <c:v>153.113</c:v>
                </c:pt>
                <c:pt idx="97">
                  <c:v>153.11199999999999</c:v>
                </c:pt>
                <c:pt idx="98">
                  <c:v>153.11000000000001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DF-4359-8CDF-8C4C32AD0144}"/>
            </c:ext>
          </c:extLst>
        </c:ser>
        <c:ser>
          <c:idx val="4"/>
          <c:order val="4"/>
          <c:tx>
            <c:strRef>
              <c:f>USDJPY_M5!$L$4</c:f>
              <c:strCache>
                <c:ptCount val="1"/>
                <c:pt idx="0">
                  <c:v>Bottom_Line_1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USDJPY_M5!$L$5:$L$103</c:f>
              <c:numCache>
                <c:formatCode>General</c:formatCode>
                <c:ptCount val="99"/>
                <c:pt idx="0">
                  <c:v>152.56</c:v>
                </c:pt>
                <c:pt idx="1">
                  <c:v>152.56100000000001</c:v>
                </c:pt>
                <c:pt idx="2">
                  <c:v>152.56200000000001</c:v>
                </c:pt>
                <c:pt idx="3">
                  <c:v>152.56200000000001</c:v>
                </c:pt>
                <c:pt idx="4">
                  <c:v>152.56299999999999</c:v>
                </c:pt>
                <c:pt idx="5">
                  <c:v>152.56399999999999</c:v>
                </c:pt>
                <c:pt idx="6">
                  <c:v>152.565</c:v>
                </c:pt>
                <c:pt idx="7">
                  <c:v>152.565</c:v>
                </c:pt>
                <c:pt idx="8">
                  <c:v>152.566</c:v>
                </c:pt>
                <c:pt idx="9">
                  <c:v>152.56700000000001</c:v>
                </c:pt>
                <c:pt idx="10">
                  <c:v>152.56800000000001</c:v>
                </c:pt>
                <c:pt idx="11">
                  <c:v>152.56899999999999</c:v>
                </c:pt>
                <c:pt idx="12">
                  <c:v>152.56899999999999</c:v>
                </c:pt>
                <c:pt idx="13">
                  <c:v>152.57</c:v>
                </c:pt>
                <c:pt idx="14">
                  <c:v>152.571</c:v>
                </c:pt>
                <c:pt idx="15">
                  <c:v>152.572</c:v>
                </c:pt>
                <c:pt idx="16">
                  <c:v>152.572</c:v>
                </c:pt>
                <c:pt idx="17">
                  <c:v>152.57300000000001</c:v>
                </c:pt>
                <c:pt idx="18">
                  <c:v>152.57400000000001</c:v>
                </c:pt>
                <c:pt idx="19">
                  <c:v>152.57499999999999</c:v>
                </c:pt>
                <c:pt idx="20">
                  <c:v>152.57499999999999</c:v>
                </c:pt>
                <c:pt idx="21">
                  <c:v>152.57599999999999</c:v>
                </c:pt>
                <c:pt idx="22">
                  <c:v>152.577</c:v>
                </c:pt>
                <c:pt idx="23">
                  <c:v>152.578</c:v>
                </c:pt>
                <c:pt idx="24">
                  <c:v>152.578</c:v>
                </c:pt>
                <c:pt idx="25">
                  <c:v>152.57900000000001</c:v>
                </c:pt>
                <c:pt idx="26">
                  <c:v>152.58000000000001</c:v>
                </c:pt>
                <c:pt idx="27">
                  <c:v>152.58099999999999</c:v>
                </c:pt>
                <c:pt idx="28">
                  <c:v>152.58199999999999</c:v>
                </c:pt>
                <c:pt idx="29">
                  <c:v>152.58199999999999</c:v>
                </c:pt>
                <c:pt idx="30">
                  <c:v>152.583</c:v>
                </c:pt>
                <c:pt idx="31">
                  <c:v>152.584</c:v>
                </c:pt>
                <c:pt idx="32">
                  <c:v>152.58500000000001</c:v>
                </c:pt>
                <c:pt idx="33">
                  <c:v>152.58500000000001</c:v>
                </c:pt>
                <c:pt idx="34">
                  <c:v>152.58600000000001</c:v>
                </c:pt>
                <c:pt idx="35">
                  <c:v>152.58699999999999</c:v>
                </c:pt>
                <c:pt idx="36">
                  <c:v>152.58799999999999</c:v>
                </c:pt>
                <c:pt idx="37">
                  <c:v>152.58799999999999</c:v>
                </c:pt>
                <c:pt idx="38">
                  <c:v>152.589</c:v>
                </c:pt>
                <c:pt idx="39">
                  <c:v>152.59</c:v>
                </c:pt>
                <c:pt idx="40">
                  <c:v>152.59100000000001</c:v>
                </c:pt>
                <c:pt idx="41">
                  <c:v>152.59100000000001</c:v>
                </c:pt>
                <c:pt idx="42">
                  <c:v>152.59200000000001</c:v>
                </c:pt>
                <c:pt idx="43">
                  <c:v>152.59299999999999</c:v>
                </c:pt>
                <c:pt idx="44">
                  <c:v>152.59399999999999</c:v>
                </c:pt>
                <c:pt idx="45">
                  <c:v>152.595</c:v>
                </c:pt>
                <c:pt idx="46">
                  <c:v>152.595</c:v>
                </c:pt>
                <c:pt idx="47">
                  <c:v>152.596</c:v>
                </c:pt>
                <c:pt idx="48">
                  <c:v>152.59700000000001</c:v>
                </c:pt>
                <c:pt idx="49">
                  <c:v>152.59800000000001</c:v>
                </c:pt>
                <c:pt idx="50">
                  <c:v>152.59800000000001</c:v>
                </c:pt>
                <c:pt idx="51">
                  <c:v>152.59899999999999</c:v>
                </c:pt>
                <c:pt idx="52">
                  <c:v>152.6</c:v>
                </c:pt>
                <c:pt idx="53">
                  <c:v>152.601</c:v>
                </c:pt>
                <c:pt idx="54">
                  <c:v>152.601</c:v>
                </c:pt>
                <c:pt idx="55">
                  <c:v>152.602</c:v>
                </c:pt>
                <c:pt idx="56">
                  <c:v>152.60300000000001</c:v>
                </c:pt>
                <c:pt idx="57">
                  <c:v>152.60400000000001</c:v>
                </c:pt>
                <c:pt idx="58">
                  <c:v>152.60400000000001</c:v>
                </c:pt>
                <c:pt idx="59">
                  <c:v>152.60499999999999</c:v>
                </c:pt>
                <c:pt idx="60">
                  <c:v>152.60599999999999</c:v>
                </c:pt>
                <c:pt idx="61">
                  <c:v>152.607</c:v>
                </c:pt>
                <c:pt idx="62">
                  <c:v>152.608</c:v>
                </c:pt>
                <c:pt idx="63">
                  <c:v>152.608</c:v>
                </c:pt>
                <c:pt idx="64">
                  <c:v>152.60900000000001</c:v>
                </c:pt>
                <c:pt idx="65">
                  <c:v>152.61000000000001</c:v>
                </c:pt>
                <c:pt idx="66">
                  <c:v>152.61099999999999</c:v>
                </c:pt>
                <c:pt idx="67">
                  <c:v>152.61099999999999</c:v>
                </c:pt>
                <c:pt idx="68">
                  <c:v>152.61199999999999</c:v>
                </c:pt>
                <c:pt idx="69">
                  <c:v>152.613</c:v>
                </c:pt>
                <c:pt idx="70">
                  <c:v>152.614</c:v>
                </c:pt>
                <c:pt idx="71">
                  <c:v>152.614</c:v>
                </c:pt>
                <c:pt idx="72">
                  <c:v>152.61500000000001</c:v>
                </c:pt>
                <c:pt idx="73">
                  <c:v>152.61600000000001</c:v>
                </c:pt>
                <c:pt idx="74">
                  <c:v>152.61699999999999</c:v>
                </c:pt>
                <c:pt idx="75">
                  <c:v>152.61699999999999</c:v>
                </c:pt>
                <c:pt idx="76">
                  <c:v>152.61799999999999</c:v>
                </c:pt>
                <c:pt idx="77">
                  <c:v>152.619</c:v>
                </c:pt>
                <c:pt idx="78">
                  <c:v>152.62</c:v>
                </c:pt>
                <c:pt idx="79">
                  <c:v>152.62100000000001</c:v>
                </c:pt>
                <c:pt idx="80">
                  <c:v>152.62100000000001</c:v>
                </c:pt>
                <c:pt idx="81">
                  <c:v>152.62200000000001</c:v>
                </c:pt>
                <c:pt idx="82">
                  <c:v>152.62299999999999</c:v>
                </c:pt>
                <c:pt idx="83">
                  <c:v>152.624</c:v>
                </c:pt>
                <c:pt idx="84">
                  <c:v>152.624</c:v>
                </c:pt>
                <c:pt idx="85">
                  <c:v>152.625</c:v>
                </c:pt>
                <c:pt idx="86">
                  <c:v>152.626</c:v>
                </c:pt>
                <c:pt idx="87">
                  <c:v>152.62700000000001</c:v>
                </c:pt>
                <c:pt idx="88">
                  <c:v>152.62700000000001</c:v>
                </c:pt>
                <c:pt idx="89">
                  <c:v>152.62799999999999</c:v>
                </c:pt>
                <c:pt idx="90">
                  <c:v>152.62899999999999</c:v>
                </c:pt>
                <c:pt idx="91">
                  <c:v>152.63</c:v>
                </c:pt>
                <c:pt idx="92">
                  <c:v>152.63</c:v>
                </c:pt>
                <c:pt idx="93">
                  <c:v>152.631</c:v>
                </c:pt>
                <c:pt idx="94">
                  <c:v>152.63200000000001</c:v>
                </c:pt>
                <c:pt idx="95">
                  <c:v>152.63300000000001</c:v>
                </c:pt>
                <c:pt idx="96">
                  <c:v>152.63399999999999</c:v>
                </c:pt>
                <c:pt idx="97">
                  <c:v>152.63399999999999</c:v>
                </c:pt>
                <c:pt idx="98">
                  <c:v>152.63499999999999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DF-4359-8CDF-8C4C32AD0144}"/>
            </c:ext>
          </c:extLst>
        </c:ser>
        <c:ser>
          <c:idx val="5"/>
          <c:order val="5"/>
          <c:tx>
            <c:strRef>
              <c:f>USDJPY_M5!$M$4</c:f>
              <c:strCache>
                <c:ptCount val="1"/>
                <c:pt idx="0">
                  <c:v>Bottom_Line_2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USDJPY_M5!$M$5:$M$103</c:f>
              <c:numCache>
                <c:formatCode>General</c:formatCode>
                <c:ptCount val="99"/>
                <c:pt idx="0">
                  <c:v>152.60300000000001</c:v>
                </c:pt>
                <c:pt idx="1">
                  <c:v>152.60300000000001</c:v>
                </c:pt>
                <c:pt idx="2">
                  <c:v>152.602</c:v>
                </c:pt>
                <c:pt idx="3">
                  <c:v>152.602</c:v>
                </c:pt>
                <c:pt idx="4">
                  <c:v>152.602</c:v>
                </c:pt>
                <c:pt idx="5">
                  <c:v>152.602</c:v>
                </c:pt>
                <c:pt idx="6">
                  <c:v>152.602</c:v>
                </c:pt>
                <c:pt idx="7">
                  <c:v>152.601</c:v>
                </c:pt>
                <c:pt idx="8">
                  <c:v>152.601</c:v>
                </c:pt>
                <c:pt idx="9">
                  <c:v>152.601</c:v>
                </c:pt>
                <c:pt idx="10">
                  <c:v>152.601</c:v>
                </c:pt>
                <c:pt idx="11">
                  <c:v>152.6</c:v>
                </c:pt>
                <c:pt idx="12">
                  <c:v>152.6</c:v>
                </c:pt>
                <c:pt idx="13">
                  <c:v>152.6</c:v>
                </c:pt>
                <c:pt idx="14">
                  <c:v>152.6</c:v>
                </c:pt>
                <c:pt idx="15">
                  <c:v>152.59899999999999</c:v>
                </c:pt>
                <c:pt idx="16">
                  <c:v>152.59899999999999</c:v>
                </c:pt>
                <c:pt idx="17">
                  <c:v>152.59899999999999</c:v>
                </c:pt>
                <c:pt idx="18">
                  <c:v>152.59899999999999</c:v>
                </c:pt>
                <c:pt idx="19">
                  <c:v>152.59899999999999</c:v>
                </c:pt>
                <c:pt idx="20">
                  <c:v>152.59800000000001</c:v>
                </c:pt>
                <c:pt idx="21">
                  <c:v>152.59800000000001</c:v>
                </c:pt>
                <c:pt idx="22">
                  <c:v>152.59800000000001</c:v>
                </c:pt>
                <c:pt idx="23">
                  <c:v>152.59800000000001</c:v>
                </c:pt>
                <c:pt idx="24">
                  <c:v>152.59700000000001</c:v>
                </c:pt>
                <c:pt idx="25">
                  <c:v>152.59700000000001</c:v>
                </c:pt>
                <c:pt idx="26">
                  <c:v>152.59700000000001</c:v>
                </c:pt>
                <c:pt idx="27">
                  <c:v>152.59700000000001</c:v>
                </c:pt>
                <c:pt idx="28">
                  <c:v>152.596</c:v>
                </c:pt>
                <c:pt idx="29">
                  <c:v>152.596</c:v>
                </c:pt>
                <c:pt idx="30">
                  <c:v>152.596</c:v>
                </c:pt>
                <c:pt idx="31">
                  <c:v>152.596</c:v>
                </c:pt>
                <c:pt idx="32">
                  <c:v>152.596</c:v>
                </c:pt>
                <c:pt idx="33">
                  <c:v>152.595</c:v>
                </c:pt>
                <c:pt idx="34">
                  <c:v>152.595</c:v>
                </c:pt>
                <c:pt idx="35">
                  <c:v>152.595</c:v>
                </c:pt>
                <c:pt idx="36">
                  <c:v>152.595</c:v>
                </c:pt>
                <c:pt idx="37">
                  <c:v>152.59399999999999</c:v>
                </c:pt>
                <c:pt idx="38">
                  <c:v>152.59399999999999</c:v>
                </c:pt>
                <c:pt idx="39">
                  <c:v>152.59399999999999</c:v>
                </c:pt>
                <c:pt idx="40">
                  <c:v>152.59399999999999</c:v>
                </c:pt>
                <c:pt idx="41">
                  <c:v>152.59299999999999</c:v>
                </c:pt>
                <c:pt idx="42">
                  <c:v>152.59299999999999</c:v>
                </c:pt>
                <c:pt idx="43">
                  <c:v>152.59299999999999</c:v>
                </c:pt>
                <c:pt idx="44">
                  <c:v>152.59299999999999</c:v>
                </c:pt>
                <c:pt idx="45">
                  <c:v>152.59299999999999</c:v>
                </c:pt>
                <c:pt idx="46">
                  <c:v>152.59200000000001</c:v>
                </c:pt>
                <c:pt idx="47">
                  <c:v>152.59200000000001</c:v>
                </c:pt>
                <c:pt idx="48">
                  <c:v>152.59200000000001</c:v>
                </c:pt>
                <c:pt idx="49">
                  <c:v>152.59200000000001</c:v>
                </c:pt>
                <c:pt idx="50">
                  <c:v>152.59100000000001</c:v>
                </c:pt>
                <c:pt idx="51">
                  <c:v>152.59100000000001</c:v>
                </c:pt>
                <c:pt idx="52">
                  <c:v>152.59100000000001</c:v>
                </c:pt>
                <c:pt idx="53">
                  <c:v>152.59100000000001</c:v>
                </c:pt>
                <c:pt idx="54">
                  <c:v>152.59</c:v>
                </c:pt>
                <c:pt idx="55">
                  <c:v>152.59</c:v>
                </c:pt>
                <c:pt idx="56">
                  <c:v>152.59</c:v>
                </c:pt>
                <c:pt idx="57">
                  <c:v>152.59</c:v>
                </c:pt>
                <c:pt idx="58">
                  <c:v>152.59</c:v>
                </c:pt>
                <c:pt idx="59">
                  <c:v>152.589</c:v>
                </c:pt>
                <c:pt idx="60">
                  <c:v>152.589</c:v>
                </c:pt>
                <c:pt idx="61">
                  <c:v>152.589</c:v>
                </c:pt>
                <c:pt idx="62">
                  <c:v>152.589</c:v>
                </c:pt>
                <c:pt idx="63">
                  <c:v>152.58799999999999</c:v>
                </c:pt>
                <c:pt idx="64">
                  <c:v>152.58799999999999</c:v>
                </c:pt>
                <c:pt idx="65">
                  <c:v>152.58799999999999</c:v>
                </c:pt>
                <c:pt idx="66">
                  <c:v>152.58799999999999</c:v>
                </c:pt>
                <c:pt idx="67">
                  <c:v>152.58699999999999</c:v>
                </c:pt>
                <c:pt idx="68">
                  <c:v>152.58699999999999</c:v>
                </c:pt>
                <c:pt idx="69">
                  <c:v>152.58699999999999</c:v>
                </c:pt>
                <c:pt idx="70">
                  <c:v>152.58699999999999</c:v>
                </c:pt>
                <c:pt idx="71">
                  <c:v>152.58699999999999</c:v>
                </c:pt>
                <c:pt idx="72">
                  <c:v>152.58600000000001</c:v>
                </c:pt>
                <c:pt idx="73">
                  <c:v>152.58600000000001</c:v>
                </c:pt>
                <c:pt idx="74">
                  <c:v>152.58600000000001</c:v>
                </c:pt>
                <c:pt idx="75">
                  <c:v>152.58600000000001</c:v>
                </c:pt>
                <c:pt idx="76">
                  <c:v>152.58500000000001</c:v>
                </c:pt>
                <c:pt idx="77">
                  <c:v>152.58500000000001</c:v>
                </c:pt>
                <c:pt idx="78">
                  <c:v>152.58500000000001</c:v>
                </c:pt>
                <c:pt idx="79">
                  <c:v>152.58500000000001</c:v>
                </c:pt>
                <c:pt idx="80">
                  <c:v>152.584</c:v>
                </c:pt>
                <c:pt idx="81">
                  <c:v>152.584</c:v>
                </c:pt>
                <c:pt idx="82">
                  <c:v>152.584</c:v>
                </c:pt>
                <c:pt idx="83">
                  <c:v>152.584</c:v>
                </c:pt>
                <c:pt idx="84">
                  <c:v>152.584</c:v>
                </c:pt>
                <c:pt idx="85">
                  <c:v>152.583</c:v>
                </c:pt>
                <c:pt idx="86">
                  <c:v>152.583</c:v>
                </c:pt>
                <c:pt idx="87">
                  <c:v>152.583</c:v>
                </c:pt>
                <c:pt idx="88">
                  <c:v>152.583</c:v>
                </c:pt>
                <c:pt idx="89">
                  <c:v>152.58199999999999</c:v>
                </c:pt>
                <c:pt idx="90">
                  <c:v>152.58199999999999</c:v>
                </c:pt>
                <c:pt idx="91">
                  <c:v>152.58199999999999</c:v>
                </c:pt>
                <c:pt idx="92">
                  <c:v>152.58199999999999</c:v>
                </c:pt>
                <c:pt idx="93">
                  <c:v>152.58099999999999</c:v>
                </c:pt>
                <c:pt idx="94">
                  <c:v>152.58099999999999</c:v>
                </c:pt>
                <c:pt idx="95">
                  <c:v>152.58099999999999</c:v>
                </c:pt>
                <c:pt idx="96">
                  <c:v>152.58099999999999</c:v>
                </c:pt>
                <c:pt idx="97">
                  <c:v>152.58099999999999</c:v>
                </c:pt>
                <c:pt idx="98">
                  <c:v>152.58000000000001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DF-4359-8CDF-8C4C32AD0144}"/>
            </c:ext>
          </c:extLst>
        </c:ser>
        <c:ser>
          <c:idx val="6"/>
          <c:order val="6"/>
          <c:tx>
            <c:strRef>
              <c:f>USDJPY_M5!$N$4</c:f>
              <c:strCache>
                <c:ptCount val="1"/>
                <c:pt idx="0">
                  <c:v>Bottom_Line_3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USDJPY_M5!$N$5:$N$103</c:f>
              <c:numCache>
                <c:formatCode>General</c:formatCode>
                <c:ptCount val="99"/>
                <c:pt idx="0">
                  <c:v>152.768</c:v>
                </c:pt>
                <c:pt idx="1">
                  <c:v>152.77000000000001</c:v>
                </c:pt>
                <c:pt idx="2">
                  <c:v>152.77099999999999</c:v>
                </c:pt>
                <c:pt idx="3">
                  <c:v>152.773</c:v>
                </c:pt>
                <c:pt idx="4">
                  <c:v>152.774</c:v>
                </c:pt>
                <c:pt idx="5">
                  <c:v>152.77600000000001</c:v>
                </c:pt>
                <c:pt idx="6">
                  <c:v>152.77799999999999</c:v>
                </c:pt>
                <c:pt idx="7">
                  <c:v>152.779</c:v>
                </c:pt>
                <c:pt idx="8">
                  <c:v>152.78100000000001</c:v>
                </c:pt>
                <c:pt idx="9">
                  <c:v>152.78200000000001</c:v>
                </c:pt>
                <c:pt idx="10">
                  <c:v>152.78399999999999</c:v>
                </c:pt>
                <c:pt idx="11">
                  <c:v>152.785</c:v>
                </c:pt>
                <c:pt idx="12">
                  <c:v>152.78700000000001</c:v>
                </c:pt>
                <c:pt idx="13">
                  <c:v>152.78899999999999</c:v>
                </c:pt>
                <c:pt idx="14">
                  <c:v>152.79</c:v>
                </c:pt>
                <c:pt idx="15">
                  <c:v>152.792</c:v>
                </c:pt>
                <c:pt idx="16">
                  <c:v>152.79300000000001</c:v>
                </c:pt>
                <c:pt idx="17">
                  <c:v>152.79499999999999</c:v>
                </c:pt>
                <c:pt idx="18">
                  <c:v>152.79599999999999</c:v>
                </c:pt>
                <c:pt idx="19">
                  <c:v>152.798</c:v>
                </c:pt>
                <c:pt idx="20">
                  <c:v>152.80000000000001</c:v>
                </c:pt>
                <c:pt idx="21">
                  <c:v>152.80099999999999</c:v>
                </c:pt>
                <c:pt idx="22">
                  <c:v>152.803</c:v>
                </c:pt>
                <c:pt idx="23">
                  <c:v>152.804</c:v>
                </c:pt>
                <c:pt idx="24">
                  <c:v>152.80600000000001</c:v>
                </c:pt>
                <c:pt idx="25">
                  <c:v>152.80799999999999</c:v>
                </c:pt>
                <c:pt idx="26">
                  <c:v>152.809</c:v>
                </c:pt>
                <c:pt idx="27">
                  <c:v>152.81100000000001</c:v>
                </c:pt>
                <c:pt idx="28">
                  <c:v>152.81200000000001</c:v>
                </c:pt>
                <c:pt idx="29">
                  <c:v>152.81399999999999</c:v>
                </c:pt>
                <c:pt idx="30">
                  <c:v>152.815</c:v>
                </c:pt>
                <c:pt idx="31">
                  <c:v>152.81700000000001</c:v>
                </c:pt>
                <c:pt idx="32">
                  <c:v>152.81899999999999</c:v>
                </c:pt>
                <c:pt idx="33">
                  <c:v>152.82</c:v>
                </c:pt>
                <c:pt idx="34">
                  <c:v>152.822</c:v>
                </c:pt>
                <c:pt idx="35">
                  <c:v>152.82300000000001</c:v>
                </c:pt>
                <c:pt idx="36">
                  <c:v>152.82499999999999</c:v>
                </c:pt>
                <c:pt idx="37">
                  <c:v>152.827</c:v>
                </c:pt>
                <c:pt idx="38">
                  <c:v>152.828</c:v>
                </c:pt>
                <c:pt idx="39">
                  <c:v>152.83000000000001</c:v>
                </c:pt>
                <c:pt idx="40">
                  <c:v>152.83099999999999</c:v>
                </c:pt>
                <c:pt idx="41">
                  <c:v>152.833</c:v>
                </c:pt>
                <c:pt idx="42">
                  <c:v>152.834</c:v>
                </c:pt>
                <c:pt idx="43">
                  <c:v>152.83600000000001</c:v>
                </c:pt>
                <c:pt idx="44">
                  <c:v>152.83799999999999</c:v>
                </c:pt>
                <c:pt idx="45">
                  <c:v>152.839</c:v>
                </c:pt>
                <c:pt idx="46">
                  <c:v>152.84100000000001</c:v>
                </c:pt>
                <c:pt idx="47">
                  <c:v>152.84200000000001</c:v>
                </c:pt>
                <c:pt idx="48">
                  <c:v>152.84399999999999</c:v>
                </c:pt>
                <c:pt idx="49">
                  <c:v>152.845</c:v>
                </c:pt>
                <c:pt idx="50">
                  <c:v>152.84700000000001</c:v>
                </c:pt>
                <c:pt idx="51">
                  <c:v>152.84899999999999</c:v>
                </c:pt>
                <c:pt idx="52">
                  <c:v>152.85</c:v>
                </c:pt>
                <c:pt idx="53">
                  <c:v>152.852</c:v>
                </c:pt>
                <c:pt idx="54">
                  <c:v>152.85300000000001</c:v>
                </c:pt>
                <c:pt idx="55">
                  <c:v>152.85499999999999</c:v>
                </c:pt>
                <c:pt idx="56">
                  <c:v>152.857</c:v>
                </c:pt>
                <c:pt idx="57">
                  <c:v>152.858</c:v>
                </c:pt>
                <c:pt idx="58">
                  <c:v>152.86000000000001</c:v>
                </c:pt>
                <c:pt idx="59">
                  <c:v>152.86099999999999</c:v>
                </c:pt>
                <c:pt idx="60">
                  <c:v>152.863</c:v>
                </c:pt>
                <c:pt idx="61">
                  <c:v>152.864</c:v>
                </c:pt>
                <c:pt idx="62">
                  <c:v>152.86600000000001</c:v>
                </c:pt>
                <c:pt idx="63">
                  <c:v>152.86799999999999</c:v>
                </c:pt>
                <c:pt idx="64">
                  <c:v>152.869</c:v>
                </c:pt>
                <c:pt idx="65">
                  <c:v>152.87100000000001</c:v>
                </c:pt>
                <c:pt idx="66">
                  <c:v>152.87200000000001</c:v>
                </c:pt>
                <c:pt idx="67">
                  <c:v>152.874</c:v>
                </c:pt>
                <c:pt idx="68">
                  <c:v>152.876</c:v>
                </c:pt>
                <c:pt idx="69">
                  <c:v>152.87700000000001</c:v>
                </c:pt>
                <c:pt idx="70">
                  <c:v>152.87899999999999</c:v>
                </c:pt>
                <c:pt idx="71">
                  <c:v>152.88</c:v>
                </c:pt>
                <c:pt idx="72">
                  <c:v>152.88200000000001</c:v>
                </c:pt>
                <c:pt idx="73">
                  <c:v>152.88300000000001</c:v>
                </c:pt>
                <c:pt idx="74">
                  <c:v>152.88499999999999</c:v>
                </c:pt>
                <c:pt idx="75">
                  <c:v>152.887</c:v>
                </c:pt>
                <c:pt idx="76">
                  <c:v>152.88800000000001</c:v>
                </c:pt>
                <c:pt idx="77">
                  <c:v>152.88999999999999</c:v>
                </c:pt>
                <c:pt idx="78">
                  <c:v>152.89099999999999</c:v>
                </c:pt>
                <c:pt idx="79">
                  <c:v>152.893</c:v>
                </c:pt>
                <c:pt idx="80">
                  <c:v>152.89400000000001</c:v>
                </c:pt>
                <c:pt idx="81">
                  <c:v>152.89599999999999</c:v>
                </c:pt>
                <c:pt idx="82">
                  <c:v>152.898</c:v>
                </c:pt>
                <c:pt idx="83">
                  <c:v>152.899</c:v>
                </c:pt>
                <c:pt idx="84">
                  <c:v>152.90100000000001</c:v>
                </c:pt>
                <c:pt idx="85">
                  <c:v>152.90199999999999</c:v>
                </c:pt>
                <c:pt idx="86">
                  <c:v>152.904</c:v>
                </c:pt>
                <c:pt idx="87">
                  <c:v>152.90600000000001</c:v>
                </c:pt>
                <c:pt idx="88">
                  <c:v>152.90700000000001</c:v>
                </c:pt>
                <c:pt idx="89">
                  <c:v>152.90899999999999</c:v>
                </c:pt>
                <c:pt idx="90">
                  <c:v>152.91</c:v>
                </c:pt>
                <c:pt idx="91">
                  <c:v>152.91200000000001</c:v>
                </c:pt>
                <c:pt idx="92">
                  <c:v>152.91300000000001</c:v>
                </c:pt>
                <c:pt idx="93">
                  <c:v>152.91499999999999</c:v>
                </c:pt>
                <c:pt idx="94">
                  <c:v>152.917</c:v>
                </c:pt>
                <c:pt idx="95">
                  <c:v>152.91800000000001</c:v>
                </c:pt>
                <c:pt idx="96">
                  <c:v>152.91999999999999</c:v>
                </c:pt>
                <c:pt idx="97">
                  <c:v>152.92099999999999</c:v>
                </c:pt>
                <c:pt idx="98">
                  <c:v>152.923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DF-4359-8CDF-8C4C32AD0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871424"/>
        <c:axId val="1072869760"/>
      </c:lineChart>
      <c:catAx>
        <c:axId val="1072871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072869760"/>
        <c:crosses val="autoZero"/>
        <c:auto val="1"/>
        <c:lblAlgn val="ctr"/>
        <c:lblOffset val="100"/>
        <c:noMultiLvlLbl val="0"/>
      </c:catAx>
      <c:valAx>
        <c:axId val="10728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0728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583199219439134E-2"/>
          <c:y val="0.96769051114373417"/>
          <c:w val="0.90936932266182779"/>
          <c:h val="2.3834912585079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453300</xdr:colOff>
      <xdr:row>58</xdr:row>
      <xdr:rowOff>103869</xdr:rowOff>
    </xdr:from>
    <xdr:to>
      <xdr:col>75</xdr:col>
      <xdr:colOff>537483</xdr:colOff>
      <xdr:row>91</xdr:row>
      <xdr:rowOff>7802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279F046-F05C-4123-9C98-B3F687371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113</xdr:col>
      <xdr:colOff>297180</xdr:colOff>
      <xdr:row>70</xdr:row>
      <xdr:rowOff>87630</xdr:rowOff>
    </xdr:from>
    <xdr:to>
      <xdr:col>117</xdr:col>
      <xdr:colOff>15240</xdr:colOff>
      <xdr:row>85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41DEB3-A3E9-463E-ADF2-CF8777CE4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91</xdr:col>
      <xdr:colOff>57150</xdr:colOff>
      <xdr:row>14</xdr:row>
      <xdr:rowOff>161925</xdr:rowOff>
    </xdr:from>
    <xdr:to>
      <xdr:col>102</xdr:col>
      <xdr:colOff>1190625</xdr:colOff>
      <xdr:row>64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A8D107-3494-4970-951A-2D196A354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62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D821-9B8D-4217-A97C-EDEAD0A6AC62}">
  <dimension ref="A1:EY104"/>
  <sheetViews>
    <sheetView tabSelected="1" topLeftCell="BH1" zoomScale="40" zoomScaleNormal="40" workbookViewId="0">
      <selection activeCell="CO95" sqref="CO95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9" max="11" width="10.7890625" bestFit="1" customWidth="1"/>
    <col min="12" max="14" width="13.20703125" bestFit="1" customWidth="1"/>
    <col min="15" max="19" width="13.20703125" customWidth="1"/>
    <col min="20" max="20" width="9.15625" bestFit="1" customWidth="1"/>
    <col min="21" max="21" width="10.5234375" bestFit="1" customWidth="1"/>
    <col min="22" max="22" width="9.3125" customWidth="1"/>
    <col min="23" max="23" width="10.05078125" bestFit="1" customWidth="1"/>
    <col min="24" max="24" width="10.05078125" customWidth="1"/>
    <col min="25" max="25" width="13.15625" bestFit="1" customWidth="1"/>
    <col min="26" max="26" width="12.83984375" bestFit="1" customWidth="1"/>
    <col min="27" max="27" width="12.83984375" customWidth="1"/>
    <col min="30" max="30" width="25.1015625" bestFit="1" customWidth="1"/>
    <col min="31" max="31" width="16.5234375" customWidth="1"/>
    <col min="32" max="32" width="17.26171875" bestFit="1" customWidth="1"/>
    <col min="33" max="33" width="21.1015625" bestFit="1" customWidth="1"/>
    <col min="34" max="34" width="16.15625" bestFit="1" customWidth="1"/>
    <col min="35" max="35" width="12.3671875" bestFit="1" customWidth="1"/>
    <col min="36" max="36" width="9.68359375" bestFit="1" customWidth="1"/>
    <col min="37" max="37" width="14.9453125" bestFit="1" customWidth="1"/>
    <col min="38" max="38" width="14.734375" bestFit="1" customWidth="1"/>
    <col min="39" max="39" width="9.68359375" bestFit="1" customWidth="1"/>
    <col min="40" max="40" width="12.15625" bestFit="1" customWidth="1"/>
    <col min="41" max="41" width="15.89453125" bestFit="1" customWidth="1"/>
    <col min="42" max="42" width="20.89453125" bestFit="1" customWidth="1"/>
    <col min="43" max="43" width="12.26171875" customWidth="1"/>
    <col min="44" max="49" width="13.89453125" customWidth="1"/>
    <col min="51" max="51" width="16.9453125" customWidth="1"/>
    <col min="52" max="52" width="16.89453125" customWidth="1"/>
    <col min="53" max="55" width="16.9453125" customWidth="1"/>
    <col min="56" max="56" width="16.89453125" customWidth="1"/>
    <col min="57" max="57" width="19.3125" customWidth="1"/>
    <col min="58" max="58" width="19.20703125" customWidth="1"/>
    <col min="59" max="59" width="19.3125" customWidth="1"/>
    <col min="60" max="60" width="19.20703125" customWidth="1"/>
    <col min="61" max="61" width="19.3125" customWidth="1"/>
    <col min="62" max="62" width="19.20703125" customWidth="1"/>
    <col min="63" max="63" width="8.83984375" customWidth="1"/>
    <col min="64" max="66" width="17.05078125" customWidth="1"/>
    <col min="67" max="69" width="19.3125" customWidth="1"/>
    <col min="70" max="70" width="4.83984375" style="30" customWidth="1"/>
    <col min="71" max="76" width="19.3125" style="30" hidden="1" customWidth="1"/>
    <col min="77" max="77" width="4.20703125" style="30" hidden="1" customWidth="1"/>
    <col min="78" max="83" width="19.3125" style="30" hidden="1" customWidth="1"/>
    <col min="84" max="84" width="4.15625" style="30" customWidth="1"/>
    <col min="85" max="87" width="19.3125" style="30" customWidth="1"/>
    <col min="88" max="90" width="20.578125" style="30" bestFit="1" customWidth="1"/>
    <col min="91" max="91" width="12.3671875" customWidth="1"/>
    <col min="92" max="94" width="15.7890625" customWidth="1"/>
    <col min="95" max="97" width="18.15625" customWidth="1"/>
    <col min="98" max="98" width="4.578125" customWidth="1"/>
    <col min="99" max="101" width="16.89453125" customWidth="1"/>
    <col min="102" max="104" width="19.20703125" customWidth="1"/>
    <col min="105" max="105" width="4.26171875" customWidth="1"/>
    <col min="106" max="108" width="16.3125" customWidth="1"/>
    <col min="109" max="111" width="18.68359375" customWidth="1"/>
    <col min="112" max="112" width="5.1015625" customWidth="1"/>
    <col min="113" max="113" width="17.7890625" bestFit="1" customWidth="1"/>
    <col min="114" max="114" width="14.3125" customWidth="1"/>
    <col min="115" max="115" width="15.26171875" customWidth="1"/>
    <col min="116" max="120" width="18.68359375" customWidth="1"/>
    <col min="121" max="121" width="16.20703125" customWidth="1"/>
    <col min="122" max="122" width="11.89453125" customWidth="1"/>
    <col min="123" max="123" width="17.62890625" customWidth="1"/>
    <col min="124" max="124" width="18.83984375" customWidth="1"/>
    <col min="125" max="125" width="11.89453125" customWidth="1"/>
    <col min="126" max="127" width="12.89453125" customWidth="1"/>
    <col min="128" max="128" width="15.15625" bestFit="1" customWidth="1"/>
    <col min="129" max="129" width="21.734375" bestFit="1" customWidth="1"/>
    <col min="130" max="130" width="26.3671875" bestFit="1" customWidth="1"/>
    <col min="131" max="133" width="20.83984375" customWidth="1"/>
    <col min="134" max="134" width="6.62890625" customWidth="1"/>
    <col min="135" max="138" width="3.578125" bestFit="1" customWidth="1"/>
    <col min="139" max="142" width="3.83984375" bestFit="1" customWidth="1"/>
    <col min="143" max="143" width="19.62890625" customWidth="1"/>
    <col min="144" max="144" width="20.83984375" customWidth="1"/>
    <col min="145" max="145" width="6.20703125" customWidth="1"/>
    <col min="146" max="147" width="16.3125" customWidth="1"/>
    <col min="148" max="148" width="5.68359375" customWidth="1"/>
    <col min="149" max="150" width="11.89453125" customWidth="1"/>
    <col min="151" max="151" width="5.68359375" customWidth="1"/>
    <col min="152" max="152" width="11.89453125" customWidth="1"/>
    <col min="153" max="153" width="19.15625" customWidth="1"/>
    <col min="154" max="154" width="16.20703125" customWidth="1"/>
    <col min="155" max="155" width="11.89453125" customWidth="1"/>
    <col min="156" max="158" width="16.3125" bestFit="1" customWidth="1"/>
    <col min="159" max="161" width="18.68359375" bestFit="1" customWidth="1"/>
    <col min="163" max="165" width="16.3671875" bestFit="1" customWidth="1"/>
    <col min="166" max="168" width="18.68359375" bestFit="1" customWidth="1"/>
    <col min="170" max="172" width="19.734375" bestFit="1" customWidth="1"/>
    <col min="173" max="175" width="19.83984375" bestFit="1" customWidth="1"/>
  </cols>
  <sheetData>
    <row r="1" spans="1:155" x14ac:dyDescent="0.55000000000000004">
      <c r="S1" t="s">
        <v>176</v>
      </c>
      <c r="AY1" s="6" t="s">
        <v>134</v>
      </c>
    </row>
    <row r="2" spans="1:155" ht="14.7" thickBot="1" x14ac:dyDescent="0.6">
      <c r="S2" s="10">
        <f>AVERAGE(S18:S103)</f>
        <v>7.9234856331684353E-2</v>
      </c>
      <c r="AY2" s="7">
        <v>1.4999999999999999E-4</v>
      </c>
    </row>
    <row r="3" spans="1:155" x14ac:dyDescent="0.55000000000000004">
      <c r="S3" s="10">
        <f>AVERAGE(R6:R103)</f>
        <v>7.2744897959183583E-2</v>
      </c>
      <c r="AZ3" s="4"/>
      <c r="BA3" s="5"/>
      <c r="BB3" s="5"/>
    </row>
    <row r="4" spans="1:155" ht="28.8" x14ac:dyDescent="0.55000000000000004">
      <c r="A4" s="1" t="s">
        <v>0</v>
      </c>
      <c r="B4" s="1" t="s">
        <v>104</v>
      </c>
      <c r="C4" s="1" t="s">
        <v>1</v>
      </c>
      <c r="D4" s="1" t="s">
        <v>2</v>
      </c>
      <c r="E4" s="1" t="s">
        <v>106</v>
      </c>
      <c r="F4" s="1" t="s">
        <v>107</v>
      </c>
      <c r="G4" s="1" t="s">
        <v>108</v>
      </c>
      <c r="H4" s="1" t="s">
        <v>105</v>
      </c>
      <c r="I4" s="1" t="s">
        <v>109</v>
      </c>
      <c r="J4" s="1" t="s">
        <v>110</v>
      </c>
      <c r="K4" s="1" t="s">
        <v>111</v>
      </c>
      <c r="L4" s="1" t="s">
        <v>112</v>
      </c>
      <c r="M4" s="1" t="s">
        <v>113</v>
      </c>
      <c r="N4" s="1" t="s">
        <v>114</v>
      </c>
      <c r="O4" s="17" t="s">
        <v>172</v>
      </c>
      <c r="P4" s="17" t="s">
        <v>173</v>
      </c>
      <c r="Q4" s="17" t="s">
        <v>174</v>
      </c>
      <c r="R4" s="17" t="s">
        <v>175</v>
      </c>
      <c r="S4" s="17" t="s">
        <v>171</v>
      </c>
      <c r="T4" s="26" t="s">
        <v>115</v>
      </c>
      <c r="U4" s="26" t="s">
        <v>118</v>
      </c>
      <c r="V4" s="26" t="s">
        <v>116</v>
      </c>
      <c r="W4" s="26" t="s">
        <v>119</v>
      </c>
      <c r="X4" s="1"/>
      <c r="Y4" s="26" t="s">
        <v>212</v>
      </c>
      <c r="Z4" s="26" t="s">
        <v>213</v>
      </c>
      <c r="AA4" s="1"/>
      <c r="AB4" s="26" t="s">
        <v>117</v>
      </c>
      <c r="AC4" s="1"/>
      <c r="AD4" s="1"/>
      <c r="AE4" s="3" t="s">
        <v>120</v>
      </c>
      <c r="AF4" s="3" t="s">
        <v>121</v>
      </c>
      <c r="AG4" s="3" t="s">
        <v>183</v>
      </c>
      <c r="AH4" s="3" t="s">
        <v>184</v>
      </c>
      <c r="AI4" s="3" t="s">
        <v>185</v>
      </c>
      <c r="AJ4" s="3" t="s">
        <v>186</v>
      </c>
      <c r="AK4" s="3" t="s">
        <v>187</v>
      </c>
      <c r="AL4" s="3" t="s">
        <v>188</v>
      </c>
      <c r="AM4" s="3" t="s">
        <v>189</v>
      </c>
      <c r="AN4" s="3" t="s">
        <v>190</v>
      </c>
      <c r="AO4" s="3" t="s">
        <v>191</v>
      </c>
      <c r="AP4" s="3" t="s">
        <v>192</v>
      </c>
      <c r="AQ4" s="3" t="s">
        <v>199</v>
      </c>
      <c r="AR4" s="3" t="s">
        <v>200</v>
      </c>
      <c r="AS4" s="3"/>
      <c r="AT4" s="3" t="s">
        <v>210</v>
      </c>
      <c r="AU4" s="3" t="s">
        <v>211</v>
      </c>
      <c r="AV4" s="3" t="s">
        <v>203</v>
      </c>
      <c r="AW4" s="3" t="s">
        <v>204</v>
      </c>
      <c r="AY4" t="s">
        <v>122</v>
      </c>
      <c r="AZ4" t="s">
        <v>123</v>
      </c>
      <c r="BA4" t="s">
        <v>124</v>
      </c>
      <c r="BB4" t="s">
        <v>125</v>
      </c>
      <c r="BC4" t="s">
        <v>126</v>
      </c>
      <c r="BD4" t="s">
        <v>127</v>
      </c>
      <c r="BE4" t="s">
        <v>128</v>
      </c>
      <c r="BF4" t="s">
        <v>129</v>
      </c>
      <c r="BG4" t="s">
        <v>130</v>
      </c>
      <c r="BH4" t="s">
        <v>131</v>
      </c>
      <c r="BI4" t="s">
        <v>132</v>
      </c>
      <c r="BJ4" t="s">
        <v>133</v>
      </c>
      <c r="BL4" s="27" t="s">
        <v>135</v>
      </c>
      <c r="BM4" s="27" t="s">
        <v>136</v>
      </c>
      <c r="BN4" s="27" t="s">
        <v>137</v>
      </c>
      <c r="BO4" s="27" t="s">
        <v>138</v>
      </c>
      <c r="BP4" s="27" t="s">
        <v>139</v>
      </c>
      <c r="BQ4" s="27" t="s">
        <v>140</v>
      </c>
      <c r="BR4" s="31"/>
      <c r="BS4" t="s">
        <v>141</v>
      </c>
      <c r="BT4" t="s">
        <v>142</v>
      </c>
      <c r="BU4" t="s">
        <v>143</v>
      </c>
      <c r="BV4" t="s">
        <v>144</v>
      </c>
      <c r="BW4" t="s">
        <v>145</v>
      </c>
      <c r="BX4" t="s">
        <v>146</v>
      </c>
      <c r="BY4"/>
      <c r="BZ4" s="28" t="s">
        <v>168</v>
      </c>
      <c r="CA4" s="28" t="s">
        <v>169</v>
      </c>
      <c r="CB4" s="28" t="s">
        <v>170</v>
      </c>
      <c r="CC4" s="28" t="s">
        <v>144</v>
      </c>
      <c r="CD4" s="28" t="s">
        <v>145</v>
      </c>
      <c r="CE4" s="28" t="s">
        <v>146</v>
      </c>
      <c r="CF4"/>
      <c r="CG4" s="28" t="s">
        <v>177</v>
      </c>
      <c r="CH4" s="28" t="s">
        <v>178</v>
      </c>
      <c r="CI4" s="28" t="s">
        <v>179</v>
      </c>
      <c r="CJ4" s="28" t="s">
        <v>180</v>
      </c>
      <c r="CK4" s="28" t="s">
        <v>181</v>
      </c>
      <c r="CL4" s="28" t="s">
        <v>182</v>
      </c>
      <c r="CM4" s="8"/>
      <c r="CN4" s="28" t="s">
        <v>147</v>
      </c>
      <c r="CO4" s="28" t="s">
        <v>148</v>
      </c>
      <c r="CP4" s="28" t="s">
        <v>149</v>
      </c>
      <c r="CQ4" s="28" t="s">
        <v>150</v>
      </c>
      <c r="CR4" s="28" t="s">
        <v>151</v>
      </c>
      <c r="CS4" s="28" t="s">
        <v>152</v>
      </c>
      <c r="CU4" s="28" t="s">
        <v>153</v>
      </c>
      <c r="CV4" s="28" t="s">
        <v>154</v>
      </c>
      <c r="CW4" s="28" t="s">
        <v>155</v>
      </c>
      <c r="CX4" s="28" t="s">
        <v>156</v>
      </c>
      <c r="CY4" s="28" t="s">
        <v>157</v>
      </c>
      <c r="CZ4" s="28" t="s">
        <v>158</v>
      </c>
      <c r="DB4" s="28" t="s">
        <v>161</v>
      </c>
      <c r="DC4" s="28" t="s">
        <v>162</v>
      </c>
      <c r="DD4" s="28" t="s">
        <v>163</v>
      </c>
      <c r="DE4" s="28" t="s">
        <v>164</v>
      </c>
      <c r="DF4" s="28" t="s">
        <v>165</v>
      </c>
      <c r="DG4" s="28" t="s">
        <v>166</v>
      </c>
      <c r="DI4" s="28" t="s">
        <v>167</v>
      </c>
      <c r="DJ4" s="28" t="s">
        <v>159</v>
      </c>
      <c r="DK4" s="28" t="s">
        <v>160</v>
      </c>
      <c r="DL4" s="28" t="s">
        <v>193</v>
      </c>
      <c r="DM4" s="28" t="s">
        <v>194</v>
      </c>
      <c r="DN4" s="28" t="s">
        <v>195</v>
      </c>
      <c r="DO4" s="28" t="s">
        <v>196</v>
      </c>
      <c r="DP4" s="28" t="s">
        <v>197</v>
      </c>
      <c r="DQ4" s="28" t="s">
        <v>198</v>
      </c>
      <c r="DS4" s="28" t="s">
        <v>201</v>
      </c>
      <c r="DT4" s="28" t="s">
        <v>202</v>
      </c>
      <c r="DV4" s="29" t="s">
        <v>219</v>
      </c>
      <c r="DW4" s="19"/>
      <c r="DX4" s="19" t="s">
        <v>216</v>
      </c>
      <c r="DY4" s="19" t="s">
        <v>217</v>
      </c>
      <c r="DZ4" s="29" t="s">
        <v>218</v>
      </c>
      <c r="EA4" s="29" t="s">
        <v>230</v>
      </c>
      <c r="EB4" s="28" t="s">
        <v>214</v>
      </c>
      <c r="EC4" s="28" t="s">
        <v>215</v>
      </c>
      <c r="ED4" s="3"/>
      <c r="EE4" s="28" t="s">
        <v>220</v>
      </c>
      <c r="EF4" s="28" t="s">
        <v>221</v>
      </c>
      <c r="EG4" s="28" t="s">
        <v>222</v>
      </c>
      <c r="EH4" s="28" t="s">
        <v>223</v>
      </c>
      <c r="EI4" s="28" t="s">
        <v>224</v>
      </c>
      <c r="EJ4" s="28" t="s">
        <v>225</v>
      </c>
      <c r="EK4" s="28" t="s">
        <v>226</v>
      </c>
      <c r="EL4" s="28" t="s">
        <v>227</v>
      </c>
      <c r="EM4" s="28" t="s">
        <v>228</v>
      </c>
      <c r="EN4" s="29" t="s">
        <v>229</v>
      </c>
      <c r="EO4" s="19"/>
      <c r="EP4" s="28" t="s">
        <v>205</v>
      </c>
      <c r="EQ4" s="28" t="s">
        <v>205</v>
      </c>
      <c r="ES4" s="28" t="s">
        <v>209</v>
      </c>
      <c r="ET4" s="28" t="s">
        <v>209</v>
      </c>
      <c r="EV4" s="3" t="s">
        <v>206</v>
      </c>
      <c r="EW4" s="3" t="s">
        <v>207</v>
      </c>
      <c r="EX4" s="28" t="s">
        <v>208</v>
      </c>
    </row>
    <row r="5" spans="1:155" x14ac:dyDescent="0.55000000000000004">
      <c r="A5">
        <v>1</v>
      </c>
      <c r="B5" t="s">
        <v>3</v>
      </c>
      <c r="C5" t="s">
        <v>4</v>
      </c>
      <c r="D5" t="s">
        <v>103</v>
      </c>
      <c r="E5">
        <v>153.10599999999999</v>
      </c>
      <c r="F5">
        <v>153.28200000000001</v>
      </c>
      <c r="G5">
        <v>153.03899999999999</v>
      </c>
      <c r="H5">
        <v>153.249</v>
      </c>
      <c r="I5">
        <v>153.03800000000001</v>
      </c>
      <c r="J5">
        <v>152.911</v>
      </c>
      <c r="K5">
        <v>153.27099999999999</v>
      </c>
      <c r="L5">
        <v>152.56</v>
      </c>
      <c r="M5">
        <v>152.60300000000001</v>
      </c>
      <c r="N5">
        <v>152.768</v>
      </c>
      <c r="O5" s="16">
        <f t="shared" ref="O5:O36" si="0">F5-G5</f>
        <v>0.24300000000002342</v>
      </c>
      <c r="P5" s="16"/>
      <c r="Q5" s="16"/>
      <c r="R5" s="16">
        <f>O5</f>
        <v>0.24300000000002342</v>
      </c>
      <c r="S5" s="16"/>
      <c r="T5">
        <v>0</v>
      </c>
      <c r="U5">
        <v>0</v>
      </c>
      <c r="V5">
        <v>0</v>
      </c>
      <c r="W5">
        <v>0</v>
      </c>
      <c r="Y5" s="9" t="str">
        <f>IF(AND(T5=U5,T5&gt;0,U5&gt;0),"Important High","------")</f>
        <v>------</v>
      </c>
      <c r="Z5" s="9" t="str">
        <f>IF(AND(V5=W5,V5&gt;0,W5&gt;0),"Important Low","------")</f>
        <v>------</v>
      </c>
      <c r="AA5" s="9"/>
      <c r="AB5">
        <v>0</v>
      </c>
      <c r="AD5" t="str">
        <f t="shared" ref="AD5:AD35" si="1">IF(OR(Y5="Important High",Z5="Important High"),IF(AB5=1,"Important High with Rejection",""),IF(OR(Y5="Important Low",Z5="Important Low"),IF(AB5=1,"Important Low with Rejection",""),""))</f>
        <v/>
      </c>
      <c r="AE5">
        <v>2.1415099999999998</v>
      </c>
      <c r="AF5">
        <v>1</v>
      </c>
      <c r="AG5">
        <v>153.63953000000001</v>
      </c>
      <c r="AH5">
        <v>153.55868000000001</v>
      </c>
      <c r="AI5">
        <v>153.47783000000001</v>
      </c>
      <c r="AJ5">
        <v>153.39698000000001</v>
      </c>
      <c r="AK5">
        <v>153.31612999999999</v>
      </c>
      <c r="AL5">
        <v>153.23518999999999</v>
      </c>
      <c r="AM5">
        <v>153.15433999999999</v>
      </c>
      <c r="AN5">
        <v>153.07348999999999</v>
      </c>
      <c r="AO5">
        <v>152.99263999999999</v>
      </c>
      <c r="AP5">
        <v>152.91177999999999</v>
      </c>
      <c r="AQ5">
        <v>153.13499999999999</v>
      </c>
      <c r="AR5">
        <v>153.19300000000001</v>
      </c>
      <c r="AS5">
        <v>1</v>
      </c>
      <c r="AT5">
        <v>153.28299999999999</v>
      </c>
      <c r="AU5">
        <v>153.345</v>
      </c>
      <c r="AV5">
        <v>153.23599999999999</v>
      </c>
      <c r="AW5">
        <v>152.99700000000001</v>
      </c>
      <c r="AY5" s="4">
        <f>I5*(1+$AY$2)</f>
        <v>153.06095570000002</v>
      </c>
      <c r="AZ5" s="4">
        <f>I5*(1-$AY$2)</f>
        <v>153.0150443</v>
      </c>
      <c r="BA5" s="4">
        <f>J5*(1+$AY$2)</f>
        <v>152.93393665000002</v>
      </c>
      <c r="BB5" s="4">
        <f>J5*(1-$AY$2)</f>
        <v>152.88806335000001</v>
      </c>
      <c r="BC5" s="4">
        <f>K5*(1+$AY$2)</f>
        <v>153.29399065000001</v>
      </c>
      <c r="BD5" s="4">
        <f>K5*(1-$AY$2)</f>
        <v>153.24800934999999</v>
      </c>
      <c r="BE5" s="4">
        <f>L5*(1+$AY$2)</f>
        <v>152.58288400000001</v>
      </c>
      <c r="BF5" s="4">
        <f>L5*(1-$AY$2)</f>
        <v>152.537116</v>
      </c>
      <c r="BG5" s="4">
        <f>M5*(1+$AY$2)</f>
        <v>152.62589045000001</v>
      </c>
      <c r="BH5" s="4">
        <f>M5*(1-$AY$2)</f>
        <v>152.58010955</v>
      </c>
      <c r="BI5" s="4">
        <f>N5*(1+$AY$2)</f>
        <v>152.79091520000003</v>
      </c>
      <c r="BJ5" s="4">
        <f>N5*(1-$AY$2)</f>
        <v>152.7450848</v>
      </c>
      <c r="BK5" s="30">
        <v>1</v>
      </c>
      <c r="BL5" s="15" t="str">
        <f>IF(AND(MAX($E5,$H5)&gt;=MIN(AY5,AZ5),MAX(AY5,AZ5)&gt;=MIN($E5,$H5)),"TOUCH","-----")</f>
        <v>-----</v>
      </c>
      <c r="BM5" s="15" t="str">
        <f>IF(AND(MAX($E5,$H5)&gt;=MIN(BA5,BB5),MAX(BA5,BB5)&gt;=MIN($E5,$H5)),"TOUCH","-----")</f>
        <v>-----</v>
      </c>
      <c r="BN5" s="15" t="str">
        <f>IF(AND(MAX($E5,$H5)&gt;=MIN(BC5,BD5),MAX(BC5,BD5)&gt;=MIN($E5,$H5)),"TOUCH","-----")</f>
        <v>TOUCH</v>
      </c>
      <c r="BO5" s="15" t="str">
        <f>IF(AND(MAX($E5,$H5)&gt;=MIN(BE5,BF5),MAX(BE5,BF5)&gt;=MIN($E5,$H5)),"TOUCH","-----")</f>
        <v>-----</v>
      </c>
      <c r="BP5" s="15" t="str">
        <f>IF(AND(MAX($E5,$H5)&gt;=MIN(BG5,BH5),MAX(BG5,BH5)&gt;=MIN($E5,$H5)),"TOUCH","-----")</f>
        <v>-----</v>
      </c>
      <c r="BQ5" s="15" t="str">
        <f>IF(AND(MAX($E5,$H5)&gt;=MIN(BI5,BJ5),MAX(BI5,BJ5)&gt;=MIN($E5,$H5)),"TOUCH","-----")</f>
        <v>-----</v>
      </c>
      <c r="BR5" s="22"/>
      <c r="BS5" s="9">
        <f>SLOPE(I$5:I$103,$A$5:$A$103)</f>
        <v>-2.423265306122455E-3</v>
      </c>
      <c r="BT5" s="9">
        <f>SLOPE(J$5:J$103,$A$5:$A$103)</f>
        <v>-3.7194805194805478E-4</v>
      </c>
      <c r="BU5" s="9">
        <f>SLOPE(K$5:K$103,$A$5:$A$103)</f>
        <v>-1.6402721088435472E-3</v>
      </c>
      <c r="BV5" s="9">
        <f>SLOPE(L$5:L$103,$A$5:$A$103)</f>
        <v>7.6471243042669956E-4</v>
      </c>
      <c r="BW5" s="9">
        <f>SLOPE(M$5:M$103,$A$5:$A$103)</f>
        <v>-2.3081014223875058E-4</v>
      </c>
      <c r="BX5" s="9">
        <f>SLOPE(N$5:N$103,$A$5:$A$103)</f>
        <v>1.5802844774273381E-3</v>
      </c>
      <c r="BY5"/>
      <c r="BZ5" s="9"/>
      <c r="CA5" s="9"/>
      <c r="CB5" s="9"/>
      <c r="CC5" s="9"/>
      <c r="CD5" s="9"/>
      <c r="CE5" s="9"/>
      <c r="CF5" s="9"/>
      <c r="CG5"/>
      <c r="CH5"/>
      <c r="CI5"/>
      <c r="CJ5"/>
      <c r="CK5"/>
      <c r="CL5"/>
      <c r="CM5" s="9"/>
      <c r="CN5" s="9">
        <f>RANK(I5,$I5:$N5,0)</f>
        <v>2</v>
      </c>
      <c r="CO5" s="9">
        <f>RANK(J5,$I5:$N5,0)</f>
        <v>3</v>
      </c>
      <c r="CP5" s="9">
        <f>RANK(K5,$I5:$N5,0)</f>
        <v>1</v>
      </c>
      <c r="CQ5" s="9">
        <f>RANK(L5,$I5:$N5,0)</f>
        <v>6</v>
      </c>
      <c r="CR5" s="9">
        <f>RANK(M5,$I5:$N5,0)</f>
        <v>5</v>
      </c>
      <c r="CS5" s="9">
        <f>RANK(N5,$I5:$N5,0)</f>
        <v>4</v>
      </c>
      <c r="CT5" s="9"/>
      <c r="CU5" s="9" t="str">
        <f>IF($H5&gt;I5,"SUP","RES")</f>
        <v>SUP</v>
      </c>
      <c r="CV5" s="9" t="str">
        <f>IF($H5&gt;J5,"SUP","RES")</f>
        <v>SUP</v>
      </c>
      <c r="CW5" s="9" t="str">
        <f>IF($H5&gt;K5,"SUP","RES")</f>
        <v>RES</v>
      </c>
      <c r="CX5" s="9" t="str">
        <f>IF($H5&gt;L5,"SUP","RES")</f>
        <v>SUP</v>
      </c>
      <c r="CY5" s="9" t="str">
        <f>IF($H5&gt;M5,"SUP","RES")</f>
        <v>SUP</v>
      </c>
      <c r="CZ5" s="9" t="str">
        <f>IF($H5&gt;N5,"SUP","RES")</f>
        <v>SUP</v>
      </c>
      <c r="DA5" s="9"/>
      <c r="DB5" s="12">
        <f>(I5-$H5)/$H5</f>
        <v>-1.3768442208431006E-3</v>
      </c>
      <c r="DC5" s="12">
        <f>(J5-$H5)/$H5</f>
        <v>-2.2055608845734319E-3</v>
      </c>
      <c r="DD5" s="12">
        <f>(K5-$H5)/$H5</f>
        <v>1.4355721733904536E-4</v>
      </c>
      <c r="DE5" s="12">
        <f>(L5-$H5)/$H5</f>
        <v>-4.4959510339381854E-3</v>
      </c>
      <c r="DF5" s="12">
        <f>(M5-$H5)/$H5</f>
        <v>-4.2153619273208086E-3</v>
      </c>
      <c r="DG5" s="12">
        <f>(N5-$H5)/$H5</f>
        <v>-3.1386827972775975E-3</v>
      </c>
      <c r="DH5" s="12"/>
      <c r="DI5" s="12">
        <f>((H5-MIN(I5:N5))/(MAX(I5:N5)-MIN(I5:N5)))</f>
        <v>0.96905766526020842</v>
      </c>
      <c r="DJ5" s="13">
        <f t="shared" ref="DJ5:DJ36" si="2">COUNTIF(CU5:CZ5,"RES")</f>
        <v>1</v>
      </c>
      <c r="DK5" s="14">
        <f t="shared" ref="DK5:DK36" si="3">COUNTIF(CU5:CZ5,"SUP")</f>
        <v>5</v>
      </c>
      <c r="DL5" s="12">
        <f>LARGE($DB5:$DG5,1)</f>
        <v>1.4355721733904536E-4</v>
      </c>
      <c r="DM5" s="12">
        <f>LARGE($DB5:$DG5,2)</f>
        <v>-1.3768442208431006E-3</v>
      </c>
      <c r="DN5" s="12">
        <f>LARGE($DB5:$DG5,3)</f>
        <v>-2.2055608845734319E-3</v>
      </c>
      <c r="DO5" s="12">
        <f>LARGE($DB5:$DG5,4)</f>
        <v>-3.1386827972775975E-3</v>
      </c>
      <c r="DP5" s="12">
        <f>LARGE($DB5:$DG5,5)</f>
        <v>-4.2153619273208086E-3</v>
      </c>
      <c r="DQ5" s="12">
        <f>LARGE($DB5:$DG5,6)</f>
        <v>-4.4959510339381854E-3</v>
      </c>
      <c r="DR5" s="9"/>
      <c r="DS5" s="9" t="str">
        <f>IF(AQ5&gt;AG5,"Overbought",IF(AQ5&gt;AI5,"Bullish Momentum",IF(AQ5&gt;AK5,"Overprice Setting Up","-----")))</f>
        <v>-----</v>
      </c>
      <c r="DT5" s="9" t="str">
        <f>IF(AQ5&lt;AP5,"Oversold",IF(AQ5&lt;AN5,"Bearish Momentum",IF(AQ5&lt;AL5,"Underprice Setting Up","-----")))</f>
        <v>Underprice Setting Up</v>
      </c>
      <c r="DU5" s="9"/>
      <c r="DV5" s="22"/>
      <c r="DW5" s="22"/>
      <c r="DX5" s="23">
        <f>(AR5-AT5)/AT5</f>
        <v>-5.8714925986557537E-4</v>
      </c>
      <c r="DY5" s="23">
        <f t="shared" ref="DY5:DY36" si="4">STANDARDIZE(DX5,AVERAGE($DX$5:$DX$103),_xlfn.STDEV.P($DX$5:$DX$103))</f>
        <v>-0.39468404754843017</v>
      </c>
      <c r="DZ5" s="23" t="str">
        <f>IF(DY5&gt;PERCENTILE($DY$5:$DY$103,90%),"Reverse to Bearish",IF(DY5&gt;=PERCENTILE($DY$5:$DY$103,70%),"-----",IF(DY5&gt;=PERCENTILE($DY$5:$DY$103,30%),"-----",IF(DY5&gt;=PERCENTILE($DY$5:$DY$103,10%),"-----","Reverse to Bullish"))))</f>
        <v>-----</v>
      </c>
      <c r="EA5" s="23" t="str">
        <f>IF(AQ5&gt;AR5,"Bullish","Bearish")</f>
        <v>Bearish</v>
      </c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3"/>
      <c r="EO5" s="23"/>
      <c r="EP5" s="9" t="str">
        <f>IF(AND(H5&gt;AV5,H5&gt;E5),"Bullish Trigger","-----")</f>
        <v>Bullish Trigger</v>
      </c>
      <c r="EQ5" s="9" t="str">
        <f>IF(AND(H5&lt;AW5,H5&lt;E5),"Bearish Trigger","-----")</f>
        <v>-----</v>
      </c>
      <c r="ER5" s="9"/>
      <c r="ES5" s="9" t="str">
        <f>IF(G5&gt;AV5,"Bullish Spike","-----")</f>
        <v>-----</v>
      </c>
      <c r="ET5" s="9" t="str">
        <f>IF(F5&lt;AW5,"Bearish Spike","-----")</f>
        <v>-----</v>
      </c>
      <c r="EU5" s="9"/>
      <c r="EV5" s="20">
        <f t="shared" ref="EV5:EV36" si="5">AV5-AW5</f>
        <v>0.2389999999999759</v>
      </c>
      <c r="EW5" s="9">
        <f>STANDARDIZE(EV5,AVERAGE($EV$5:$EV$103),_xlfn.STDEV.P($EV$5:$EV$103))</f>
        <v>3.7618020209194327</v>
      </c>
      <c r="EX5" s="21" t="str">
        <f>IF(EW5&gt;=PERCENTILE($EW$5:$EW$103,90.815%),"Consolidation","-----")</f>
        <v>Consolidation</v>
      </c>
      <c r="EY5" s="9"/>
    </row>
    <row r="6" spans="1:155" x14ac:dyDescent="0.55000000000000004">
      <c r="A6">
        <v>2</v>
      </c>
      <c r="B6" t="s">
        <v>5</v>
      </c>
      <c r="C6" t="s">
        <v>4</v>
      </c>
      <c r="D6" t="s">
        <v>103</v>
      </c>
      <c r="E6">
        <v>153.251</v>
      </c>
      <c r="F6">
        <v>153.274</v>
      </c>
      <c r="G6">
        <v>153.137</v>
      </c>
      <c r="H6">
        <v>153.196</v>
      </c>
      <c r="I6">
        <v>153.036</v>
      </c>
      <c r="J6">
        <v>152.911</v>
      </c>
      <c r="K6">
        <v>153.26900000000001</v>
      </c>
      <c r="L6">
        <v>152.56100000000001</v>
      </c>
      <c r="M6">
        <v>152.60300000000001</v>
      </c>
      <c r="N6">
        <v>152.77000000000001</v>
      </c>
      <c r="O6" s="16">
        <f t="shared" si="0"/>
        <v>0.13700000000000045</v>
      </c>
      <c r="P6" s="16">
        <f t="shared" ref="P6:P37" si="6">ABS(F6-H5)</f>
        <v>2.5000000000005684E-2</v>
      </c>
      <c r="Q6" s="16">
        <f t="shared" ref="Q6:Q37" si="7">ABS(G6-H5)</f>
        <v>0.11199999999999477</v>
      </c>
      <c r="R6" s="16">
        <f t="shared" ref="R6:R37" si="8">MAX(O6:Q6)</f>
        <v>0.13700000000000045</v>
      </c>
      <c r="S6" s="16"/>
      <c r="T6">
        <v>0</v>
      </c>
      <c r="U6">
        <v>0</v>
      </c>
      <c r="V6">
        <v>0</v>
      </c>
      <c r="W6">
        <v>0</v>
      </c>
      <c r="Y6" s="9" t="str">
        <f t="shared" ref="Y6:Y69" si="9">IF(AND(T6=U6,T6&gt;0,U6&gt;0),"Important High","------")</f>
        <v>------</v>
      </c>
      <c r="Z6" s="9" t="str">
        <f t="shared" ref="Z6:Z69" si="10">IF(AND(V6=W6,V6&gt;0,W6&gt;0),"Important Low","------")</f>
        <v>------</v>
      </c>
      <c r="AA6" s="9"/>
      <c r="AB6">
        <v>0</v>
      </c>
      <c r="AD6" t="str">
        <f t="shared" si="1"/>
        <v/>
      </c>
      <c r="AE6">
        <v>0.13991000000000001</v>
      </c>
      <c r="AF6">
        <v>3</v>
      </c>
      <c r="AG6">
        <v>153.63284999999999</v>
      </c>
      <c r="AH6">
        <v>153.55171999999999</v>
      </c>
      <c r="AI6">
        <v>153.47058999999999</v>
      </c>
      <c r="AJ6">
        <v>153.38946000000001</v>
      </c>
      <c r="AK6">
        <v>153.30833000000001</v>
      </c>
      <c r="AL6">
        <v>153.21899999999999</v>
      </c>
      <c r="AM6">
        <v>153.13786999999999</v>
      </c>
      <c r="AN6">
        <v>153.05673999999999</v>
      </c>
      <c r="AO6">
        <v>152.97560999999999</v>
      </c>
      <c r="AP6">
        <v>152.89447999999999</v>
      </c>
      <c r="AQ6">
        <v>153.15600000000001</v>
      </c>
      <c r="AR6">
        <v>153.18199999999999</v>
      </c>
      <c r="AS6">
        <f>AS5+1</f>
        <v>2</v>
      </c>
      <c r="AT6">
        <v>153.27699999999999</v>
      </c>
      <c r="AU6">
        <v>153.34</v>
      </c>
      <c r="AV6">
        <v>153.249</v>
      </c>
      <c r="AW6">
        <v>153.04300000000001</v>
      </c>
      <c r="AY6" s="4">
        <f>I6*(1+$AY$2)</f>
        <v>153.0589554</v>
      </c>
      <c r="AZ6" s="4">
        <f>I6*(1-$AY$2)</f>
        <v>153.0130446</v>
      </c>
      <c r="BA6" s="4">
        <f>J6*(1+$AY$2)</f>
        <v>152.93393665000002</v>
      </c>
      <c r="BB6" s="4">
        <f>J6*(1-$AY$2)</f>
        <v>152.88806335000001</v>
      </c>
      <c r="BC6" s="4">
        <f>K6*(1+$AY$2)</f>
        <v>153.29199035000002</v>
      </c>
      <c r="BD6" s="4">
        <f>K6*(1-$AY$2)</f>
        <v>153.24600965000002</v>
      </c>
      <c r="BE6" s="4">
        <f>L6*(1+$AY$2)</f>
        <v>152.58388415000002</v>
      </c>
      <c r="BF6" s="4">
        <f>L6*(1-$AY$2)</f>
        <v>152.53811585</v>
      </c>
      <c r="BG6" s="4">
        <f>M6*(1+$AY$2)</f>
        <v>152.62589045000001</v>
      </c>
      <c r="BH6" s="4">
        <f>M6*(1-$AY$2)</f>
        <v>152.58010955</v>
      </c>
      <c r="BI6" s="4">
        <f>N6*(1+$AY$2)</f>
        <v>152.79291550000002</v>
      </c>
      <c r="BJ6" s="4">
        <f>N6*(1-$AY$2)</f>
        <v>152.7470845</v>
      </c>
      <c r="BK6" s="30">
        <f>BK5+1</f>
        <v>2</v>
      </c>
      <c r="BL6" s="15" t="str">
        <f t="shared" ref="BL6:BL69" si="11">IF(AND(MAX($E6,$H6)&gt;=MIN(AY6,AZ6),MAX(AY6,AZ6)&gt;=MIN($E6,$H6)),"TOUCH","-----")</f>
        <v>-----</v>
      </c>
      <c r="BM6" s="15" t="str">
        <f t="shared" ref="BM6:BM69" si="12">IF(AND(MAX($E6,$H6)&gt;=MIN(BA6,BB6),MAX(BA6,BB6)&gt;=MIN($E6,$H6)),"TOUCH","-----")</f>
        <v>-----</v>
      </c>
      <c r="BN6" s="15" t="str">
        <f t="shared" ref="BN6:BN69" si="13">IF(AND(MAX($E6,$H6)&gt;=MIN(BC6,BD6),MAX(BC6,BD6)&gt;=MIN($E6,$H6)),"TOUCH","-----")</f>
        <v>TOUCH</v>
      </c>
      <c r="BO6" s="15" t="str">
        <f t="shared" ref="BO6:BO69" si="14">IF(AND(MAX($E6,$H6)&gt;=MIN(BE6,BF6),MAX(BE6,BF6)&gt;=MIN($E6,$H6)),"TOUCH","-----")</f>
        <v>-----</v>
      </c>
      <c r="BP6" s="15" t="str">
        <f t="shared" ref="BP6:BP69" si="15">IF(AND(MAX($E6,$H6)&gt;=MIN(BG6,BH6),MAX(BG6,BH6)&gt;=MIN($E6,$H6)),"TOUCH","-----")</f>
        <v>-----</v>
      </c>
      <c r="BQ6" s="15" t="str">
        <f t="shared" ref="BQ6:BQ69" si="16">IF(AND(MAX($E6,$H6)&gt;=MIN(BI6,BJ6),MAX(BI6,BJ6)&gt;=MIN($E6,$H6)),"TOUCH","-----")</f>
        <v>-----</v>
      </c>
      <c r="BR6" s="22"/>
      <c r="BS6" s="9">
        <f t="shared" ref="BS6:BS37" si="17">SLOPE($I$5:$I$103,$A$5:$A$103)</f>
        <v>-2.423265306122455E-3</v>
      </c>
      <c r="BT6" s="9">
        <f>SLOPE(J$5:J$103,$A$5:$A$103)</f>
        <v>-3.7194805194805478E-4</v>
      </c>
      <c r="BU6" s="9">
        <f>SLOPE(K$5:K$103,$A$5:$A$103)</f>
        <v>-1.6402721088435472E-3</v>
      </c>
      <c r="BV6" s="9">
        <f>SLOPE(L$5:L$103,$A$5:$A$103)</f>
        <v>7.6471243042669956E-4</v>
      </c>
      <c r="BW6" s="9">
        <f>SLOPE(M$5:M$103,$A$5:$A$103)</f>
        <v>-2.3081014223875058E-4</v>
      </c>
      <c r="BX6" s="9">
        <f>SLOPE(N$5:N$103,$A$5:$A$103)</f>
        <v>1.5802844774273381E-3</v>
      </c>
      <c r="BY6"/>
      <c r="BZ6" s="9"/>
      <c r="CA6" s="9"/>
      <c r="CB6" s="9"/>
      <c r="CC6" s="9"/>
      <c r="CD6" s="9"/>
      <c r="CE6" s="9"/>
      <c r="CF6"/>
      <c r="CG6"/>
      <c r="CH6"/>
      <c r="CI6"/>
      <c r="CJ6"/>
      <c r="CK6"/>
      <c r="CL6"/>
      <c r="CM6" s="9"/>
      <c r="CN6" s="9">
        <f>RANK(I6,$I6:$N6,0)</f>
        <v>2</v>
      </c>
      <c r="CO6" s="9">
        <f>RANK(J6,$I6:$N6,0)</f>
        <v>3</v>
      </c>
      <c r="CP6" s="9">
        <f>RANK(K6,$I6:$N6,0)</f>
        <v>1</v>
      </c>
      <c r="CQ6" s="9">
        <f>RANK(L6,$I6:$N6,0)</f>
        <v>6</v>
      </c>
      <c r="CR6" s="9">
        <f>RANK(M6,$I6:$N6,0)</f>
        <v>5</v>
      </c>
      <c r="CS6" s="9">
        <f>RANK(N6,$I6:$N6,0)</f>
        <v>4</v>
      </c>
      <c r="CT6" s="9"/>
      <c r="CU6" s="9" t="str">
        <f>IF($H6&gt;I6,"SUP","RES")</f>
        <v>SUP</v>
      </c>
      <c r="CV6" s="9" t="str">
        <f>IF($H6&gt;J6,"SUP","RES")</f>
        <v>SUP</v>
      </c>
      <c r="CW6" s="9" t="str">
        <f>IF($H6&gt;K6,"SUP","RES")</f>
        <v>RES</v>
      </c>
      <c r="CX6" s="9" t="str">
        <f>IF($H6&gt;L6,"SUP","RES")</f>
        <v>SUP</v>
      </c>
      <c r="CY6" s="9" t="str">
        <f>IF($H6&gt;M6,"SUP","RES")</f>
        <v>SUP</v>
      </c>
      <c r="CZ6" s="9" t="str">
        <f>IF($H6&gt;N6,"SUP","RES")</f>
        <v>SUP</v>
      </c>
      <c r="DA6" s="9"/>
      <c r="DB6" s="12">
        <f>(I6-$H6)/$H6</f>
        <v>-1.0444136922634834E-3</v>
      </c>
      <c r="DC6" s="12">
        <f>(J6-$H6)/$H6</f>
        <v>-1.8603618893443471E-3</v>
      </c>
      <c r="DD6" s="12">
        <f>(K6-$H6)/$H6</f>
        <v>4.7651374709527342E-4</v>
      </c>
      <c r="DE6" s="12">
        <f>(L6-$H6)/$H6</f>
        <v>-4.1450168411707282E-3</v>
      </c>
      <c r="DF6" s="12">
        <f>(M6-$H6)/$H6</f>
        <v>-3.8708582469515478E-3</v>
      </c>
      <c r="DG6" s="12">
        <f>(N6-$H6)/$H6</f>
        <v>-2.7807514556515037E-3</v>
      </c>
      <c r="DH6" s="12"/>
      <c r="DI6" s="12">
        <f>((H6-MIN(I6:N6))/(MAX(I6:N6)-MIN(I6:N6)))</f>
        <v>0.89689265536722085</v>
      </c>
      <c r="DJ6" s="13">
        <f t="shared" si="2"/>
        <v>1</v>
      </c>
      <c r="DK6" s="14">
        <f t="shared" si="3"/>
        <v>5</v>
      </c>
      <c r="DL6" s="12">
        <f t="shared" ref="DL6:DL69" si="18">LARGE($DB6:$DG6,1)</f>
        <v>4.7651374709527342E-4</v>
      </c>
      <c r="DM6" s="12">
        <f t="shared" ref="DM6:DM69" si="19">LARGE($DB6:$DG6,2)</f>
        <v>-1.0444136922634834E-3</v>
      </c>
      <c r="DN6" s="12">
        <f t="shared" ref="DN6:DN69" si="20">LARGE($DB6:$DG6,3)</f>
        <v>-1.8603618893443471E-3</v>
      </c>
      <c r="DO6" s="12">
        <f t="shared" ref="DO6:DO69" si="21">LARGE($DB6:$DG6,4)</f>
        <v>-2.7807514556515037E-3</v>
      </c>
      <c r="DP6" s="12">
        <f t="shared" ref="DP6:DP69" si="22">LARGE($DB6:$DG6,5)</f>
        <v>-3.8708582469515478E-3</v>
      </c>
      <c r="DQ6" s="12">
        <f t="shared" ref="DQ6:DQ69" si="23">LARGE($DB6:$DG6,6)</f>
        <v>-4.1450168411707282E-3</v>
      </c>
      <c r="DR6" s="9"/>
      <c r="DS6" s="9" t="str">
        <f>IF(AQ6&gt;AG6,"Overbought",IF(AQ6&gt;AI6,"Bullish Momentum",IF(AQ6&gt;AK6,"Overprice Setting Up","-----")))</f>
        <v>-----</v>
      </c>
      <c r="DT6" s="9" t="str">
        <f>IF(AQ6&lt;AP6,"Oversold",IF(AQ6&lt;AN6,"Bearish Momentum",IF(AQ6&lt;AL6,"Underprice Setting Up","-----")))</f>
        <v>Underprice Setting Up</v>
      </c>
      <c r="DU6" s="9"/>
      <c r="DV6" s="22"/>
      <c r="DW6" s="22"/>
      <c r="DX6" s="23">
        <f>(AR6-AT6)/AT6</f>
        <v>-6.1979292392204226E-4</v>
      </c>
      <c r="DY6" s="23">
        <f t="shared" si="4"/>
        <v>-0.48883009752490603</v>
      </c>
      <c r="DZ6" s="23" t="str">
        <f>IF(DY6&gt;PERCENTILE($DY$5:$DY$103,90%),"Reverse to Bearish",IF(DY6&gt;=PERCENTILE($DY$5:$DY$103,70%),"-----",IF(DY6&gt;=PERCENTILE($DY$5:$DY$103,30%),"-----",IF(DY6&gt;=PERCENTILE($DY$5:$DY$103,10%),"-----","Reverse to Bullish"))))</f>
        <v>-----</v>
      </c>
      <c r="EA6" s="23" t="str">
        <f>IF(AQ6&gt;AR6,"Bullish","Bearish")</f>
        <v>Bearish</v>
      </c>
      <c r="EB6" s="22" t="str">
        <f>IF(AND(H6&gt;AQ6,H5&lt;AQ5),"TEMA crossover","-----")</f>
        <v>-----</v>
      </c>
      <c r="EC6" s="22" t="str">
        <f>IF(AND(H6&lt;AQ6,H5&gt;AQ5),"TEMA crossunder","-----")</f>
        <v>-----</v>
      </c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3"/>
      <c r="EO6" s="23"/>
      <c r="EP6" s="9" t="str">
        <f>IF(AND(H6&gt;AV6,H6&gt;E6),"Bullish Trigger","-----")</f>
        <v>-----</v>
      </c>
      <c r="EQ6" s="9" t="str">
        <f>IF(AND(H6&lt;AW6,H6&lt;E6),"Bearish Trigger","-----")</f>
        <v>-----</v>
      </c>
      <c r="ER6" s="9"/>
      <c r="ES6" s="9" t="str">
        <f>IF(G6&gt;AV6,"Bullish Spike","-----")</f>
        <v>-----</v>
      </c>
      <c r="ET6" s="9" t="str">
        <f>IF(F6&lt;AW6,"Bearish Spike","-----")</f>
        <v>-----</v>
      </c>
      <c r="EU6" s="9"/>
      <c r="EV6" s="20">
        <f t="shared" si="5"/>
        <v>0.20599999999998886</v>
      </c>
      <c r="EW6" s="9">
        <f t="shared" ref="EW6:EW69" si="24">STANDARDIZE(EV6,AVERAGE($EV$5:$EV$103),_xlfn.STDEV.P($EV$5:$EV$103))</f>
        <v>3.0012470854444073</v>
      </c>
      <c r="EX6" s="21" t="str">
        <f t="shared" ref="EX6:EX69" si="25">IF(EW6&gt;=PERCENTILE($EW$5:$EW$103,90.815%),"Consolidation","-----")</f>
        <v>Consolidation</v>
      </c>
      <c r="EY6" s="9"/>
    </row>
    <row r="7" spans="1:155" x14ac:dyDescent="0.55000000000000004">
      <c r="A7">
        <v>3</v>
      </c>
      <c r="B7" t="s">
        <v>6</v>
      </c>
      <c r="C7" t="s">
        <v>4</v>
      </c>
      <c r="D7" t="s">
        <v>103</v>
      </c>
      <c r="E7">
        <v>153.197</v>
      </c>
      <c r="F7">
        <v>153.19800000000001</v>
      </c>
      <c r="G7">
        <v>153.02099999999999</v>
      </c>
      <c r="H7">
        <v>153.05000000000001</v>
      </c>
      <c r="I7">
        <v>153.03299999999999</v>
      </c>
      <c r="J7">
        <v>152.91</v>
      </c>
      <c r="K7">
        <v>153.268</v>
      </c>
      <c r="L7">
        <v>152.56200000000001</v>
      </c>
      <c r="M7">
        <v>152.602</v>
      </c>
      <c r="N7">
        <v>152.77099999999999</v>
      </c>
      <c r="O7" s="16">
        <f t="shared" si="0"/>
        <v>0.17700000000002092</v>
      </c>
      <c r="P7" s="16">
        <f t="shared" si="6"/>
        <v>2.0000000000095497E-3</v>
      </c>
      <c r="Q7" s="16">
        <f t="shared" si="7"/>
        <v>0.17500000000001137</v>
      </c>
      <c r="R7" s="16">
        <f t="shared" si="8"/>
        <v>0.17700000000002092</v>
      </c>
      <c r="S7" s="16"/>
      <c r="T7">
        <v>0</v>
      </c>
      <c r="U7">
        <v>0</v>
      </c>
      <c r="V7">
        <v>0</v>
      </c>
      <c r="W7">
        <v>0</v>
      </c>
      <c r="Y7" s="9" t="str">
        <f t="shared" si="9"/>
        <v>------</v>
      </c>
      <c r="Z7" s="9" t="str">
        <f t="shared" si="10"/>
        <v>------</v>
      </c>
      <c r="AA7" s="9"/>
      <c r="AB7">
        <v>0</v>
      </c>
      <c r="AD7" t="str">
        <f t="shared" si="1"/>
        <v/>
      </c>
      <c r="AE7">
        <v>2.2459899999999999</v>
      </c>
      <c r="AF7">
        <v>4</v>
      </c>
      <c r="AG7">
        <v>153.62689</v>
      </c>
      <c r="AH7">
        <v>153.54503</v>
      </c>
      <c r="AI7">
        <v>153.46316999999999</v>
      </c>
      <c r="AJ7">
        <v>153.38130000000001</v>
      </c>
      <c r="AK7">
        <v>153.29944</v>
      </c>
      <c r="AL7">
        <v>153.20193</v>
      </c>
      <c r="AM7">
        <v>153.12006</v>
      </c>
      <c r="AN7">
        <v>153.03819999999999</v>
      </c>
      <c r="AO7">
        <v>152.95633000000001</v>
      </c>
      <c r="AP7">
        <v>152.87447</v>
      </c>
      <c r="AQ7">
        <v>153.11600000000001</v>
      </c>
      <c r="AR7">
        <v>153.16300000000001</v>
      </c>
      <c r="AS7">
        <f t="shared" ref="AS7:AS70" si="26">AS6+1</f>
        <v>3</v>
      </c>
      <c r="AT7">
        <v>153.26300000000001</v>
      </c>
      <c r="AU7">
        <v>153.33500000000001</v>
      </c>
      <c r="AV7">
        <v>153.221</v>
      </c>
      <c r="AW7">
        <v>153.01900000000001</v>
      </c>
      <c r="AY7" s="4">
        <f>I7*(1+$AY$2)</f>
        <v>153.05595495</v>
      </c>
      <c r="AZ7" s="4">
        <f>I7*(1-$AY$2)</f>
        <v>153.01004505</v>
      </c>
      <c r="BA7" s="4">
        <f>J7*(1+$AY$2)</f>
        <v>152.93293650000001</v>
      </c>
      <c r="BB7" s="4">
        <f>J7*(1-$AY$2)</f>
        <v>152.88706350000001</v>
      </c>
      <c r="BC7" s="4">
        <f>K7*(1+$AY$2)</f>
        <v>153.29099020000001</v>
      </c>
      <c r="BD7" s="4">
        <f>K7*(1-$AY$2)</f>
        <v>153.24500979999999</v>
      </c>
      <c r="BE7" s="4">
        <f>L7*(1+$AY$2)</f>
        <v>152.58488430000003</v>
      </c>
      <c r="BF7" s="4">
        <f>L7*(1-$AY$2)</f>
        <v>152.53911570000002</v>
      </c>
      <c r="BG7" s="4">
        <f>M7*(1+$AY$2)</f>
        <v>152.6248903</v>
      </c>
      <c r="BH7" s="4">
        <f>M7*(1-$AY$2)</f>
        <v>152.5791097</v>
      </c>
      <c r="BI7" s="4">
        <f>N7*(1+$AY$2)</f>
        <v>152.79391565</v>
      </c>
      <c r="BJ7" s="4">
        <f>N7*(1-$AY$2)</f>
        <v>152.74808435</v>
      </c>
      <c r="BK7" s="30">
        <f t="shared" ref="BK7:BK70" si="27">BK6+1</f>
        <v>3</v>
      </c>
      <c r="BL7" s="15" t="str">
        <f t="shared" si="11"/>
        <v>TOUCH</v>
      </c>
      <c r="BM7" s="15" t="str">
        <f t="shared" si="12"/>
        <v>-----</v>
      </c>
      <c r="BN7" s="15" t="str">
        <f t="shared" si="13"/>
        <v>-----</v>
      </c>
      <c r="BO7" s="15" t="str">
        <f t="shared" si="14"/>
        <v>-----</v>
      </c>
      <c r="BP7" s="15" t="str">
        <f t="shared" si="15"/>
        <v>-----</v>
      </c>
      <c r="BQ7" s="15" t="str">
        <f t="shared" si="16"/>
        <v>-----</v>
      </c>
      <c r="BR7" s="22"/>
      <c r="BS7" s="9">
        <f t="shared" si="17"/>
        <v>-2.423265306122455E-3</v>
      </c>
      <c r="BT7" s="9">
        <f>SLOPE(J$5:J$103,$A$5:$A$103)</f>
        <v>-3.7194805194805478E-4</v>
      </c>
      <c r="BU7" s="9">
        <f>SLOPE(K$5:K$103,$A$5:$A$103)</f>
        <v>-1.6402721088435472E-3</v>
      </c>
      <c r="BV7" s="9">
        <f>SLOPE(L$5:L$103,$A$5:$A$103)</f>
        <v>7.6471243042669956E-4</v>
      </c>
      <c r="BW7" s="9">
        <f>SLOPE(M$5:M$103,$A$5:$A$103)</f>
        <v>-2.3081014223875058E-4</v>
      </c>
      <c r="BX7" s="9">
        <f>SLOPE(N$5:N$103,$A$5:$A$103)</f>
        <v>1.5802844774273381E-3</v>
      </c>
      <c r="BY7"/>
      <c r="BZ7" s="9"/>
      <c r="CA7" s="9"/>
      <c r="CB7" s="9"/>
      <c r="CC7" s="9"/>
      <c r="CD7" s="9"/>
      <c r="CE7" s="9"/>
      <c r="CF7"/>
      <c r="CG7"/>
      <c r="CH7"/>
      <c r="CI7"/>
      <c r="CJ7"/>
      <c r="CK7"/>
      <c r="CL7"/>
      <c r="CM7" s="9"/>
      <c r="CN7" s="9">
        <f>RANK(I7,$I7:$N7,0)</f>
        <v>2</v>
      </c>
      <c r="CO7" s="9">
        <f>RANK(J7,$I7:$N7,0)</f>
        <v>3</v>
      </c>
      <c r="CP7" s="9">
        <f>RANK(K7,$I7:$N7,0)</f>
        <v>1</v>
      </c>
      <c r="CQ7" s="9">
        <f>RANK(L7,$I7:$N7,0)</f>
        <v>6</v>
      </c>
      <c r="CR7" s="9">
        <f>RANK(M7,$I7:$N7,0)</f>
        <v>5</v>
      </c>
      <c r="CS7" s="9">
        <f>RANK(N7,$I7:$N7,0)</f>
        <v>4</v>
      </c>
      <c r="CT7" s="9"/>
      <c r="CU7" s="9" t="str">
        <f>IF($H7&gt;I7,"SUP","RES")</f>
        <v>SUP</v>
      </c>
      <c r="CV7" s="9" t="str">
        <f>IF($H7&gt;J7,"SUP","RES")</f>
        <v>SUP</v>
      </c>
      <c r="CW7" s="9" t="str">
        <f>IF($H7&gt;K7,"SUP","RES")</f>
        <v>RES</v>
      </c>
      <c r="CX7" s="9" t="str">
        <f>IF($H7&gt;L7,"SUP","RES")</f>
        <v>SUP</v>
      </c>
      <c r="CY7" s="9" t="str">
        <f>IF($H7&gt;M7,"SUP","RES")</f>
        <v>SUP</v>
      </c>
      <c r="CZ7" s="9" t="str">
        <f>IF($H7&gt;N7,"SUP","RES")</f>
        <v>SUP</v>
      </c>
      <c r="DA7" s="9"/>
      <c r="DB7" s="12">
        <f>(I7-$H7)/$H7</f>
        <v>-1.1107481215305016E-4</v>
      </c>
      <c r="DC7" s="12">
        <f>(J7-$H7)/$H7</f>
        <v>-9.1473374714155353E-4</v>
      </c>
      <c r="DD7" s="12">
        <f>(K7-$H7)/$H7</f>
        <v>1.4243711205487704E-3</v>
      </c>
      <c r="DE7" s="12">
        <f>(L7-$H7)/$H7</f>
        <v>-3.1885004900359328E-3</v>
      </c>
      <c r="DF7" s="12">
        <f>(M7-$H7)/$H7</f>
        <v>-2.9271479908527112E-3</v>
      </c>
      <c r="DG7" s="12">
        <f>(N7-$H7)/$H7</f>
        <v>-1.822933681803494E-3</v>
      </c>
      <c r="DH7" s="12"/>
      <c r="DI7" s="12">
        <f>((H7-MIN(I7:N7))/(MAX(I7:N7)-MIN(I7:N7)))</f>
        <v>0.69121813031162505</v>
      </c>
      <c r="DJ7" s="13">
        <f t="shared" si="2"/>
        <v>1</v>
      </c>
      <c r="DK7" s="14">
        <f t="shared" si="3"/>
        <v>5</v>
      </c>
      <c r="DL7" s="12">
        <f t="shared" si="18"/>
        <v>1.4243711205487704E-3</v>
      </c>
      <c r="DM7" s="12">
        <f t="shared" si="19"/>
        <v>-1.1107481215305016E-4</v>
      </c>
      <c r="DN7" s="12">
        <f t="shared" si="20"/>
        <v>-9.1473374714155353E-4</v>
      </c>
      <c r="DO7" s="12">
        <f t="shared" si="21"/>
        <v>-1.822933681803494E-3</v>
      </c>
      <c r="DP7" s="12">
        <f t="shared" si="22"/>
        <v>-2.9271479908527112E-3</v>
      </c>
      <c r="DQ7" s="12">
        <f t="shared" si="23"/>
        <v>-3.1885004900359328E-3</v>
      </c>
      <c r="DR7" s="9"/>
      <c r="DS7" s="9" t="str">
        <f>IF(AQ7&gt;AG7,"Overbought",IF(AQ7&gt;AI7,"Bullish Momentum",IF(AQ7&gt;AK7,"Overprice Setting Up","-----")))</f>
        <v>-----</v>
      </c>
      <c r="DT7" s="9" t="str">
        <f>IF(AQ7&lt;AP7,"Oversold",IF(AQ7&lt;AN7,"Bearish Momentum",IF(AQ7&lt;AL7,"Underprice Setting Up","-----")))</f>
        <v>Underprice Setting Up</v>
      </c>
      <c r="DU7" s="9"/>
      <c r="DV7" s="22"/>
      <c r="DW7" s="22"/>
      <c r="DX7" s="23">
        <f>(AR7-AT7)/AT7</f>
        <v>-6.5247319966328676E-4</v>
      </c>
      <c r="DY7" s="23">
        <f t="shared" si="4"/>
        <v>-0.58308173753253878</v>
      </c>
      <c r="DZ7" s="23" t="str">
        <f>IF(DY7&gt;PERCENTILE($DY$5:$DY$103,90%),"Reverse to Bearish",IF(DY7&gt;=PERCENTILE($DY$5:$DY$103,70%),"-----",IF(DY7&gt;=PERCENTILE($DY$5:$DY$103,30%),"-----",IF(DY7&gt;=PERCENTILE($DY$5:$DY$103,10%),"-----","Reverse to Bullish"))))</f>
        <v>-----</v>
      </c>
      <c r="EA7" s="23" t="str">
        <f>IF(AQ7&gt;AR7,"Bullish","Bearish")</f>
        <v>Bearish</v>
      </c>
      <c r="EB7" s="22" t="str">
        <f>IF(AND(H7&gt;AQ7,H6&lt;AQ6),"TEMA crossover","-----")</f>
        <v>-----</v>
      </c>
      <c r="EC7" s="22" t="str">
        <f>IF(AND(H7&lt;AQ7,H6&gt;AQ6),"TEMA crossunder","-----")</f>
        <v>TEMA crossunder</v>
      </c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3"/>
      <c r="EO7" s="23"/>
      <c r="EP7" s="9" t="str">
        <f>IF(AND(H7&gt;AV7,H7&gt;E7),"Bullish Trigger","-----")</f>
        <v>-----</v>
      </c>
      <c r="EQ7" s="9" t="str">
        <f>IF(AND(H7&lt;AW7,H7&lt;E7),"Bearish Trigger","-----")</f>
        <v>-----</v>
      </c>
      <c r="ER7" s="9"/>
      <c r="ES7" s="9" t="str">
        <f>IF(G7&gt;AV7,"Bullish Spike","-----")</f>
        <v>-----</v>
      </c>
      <c r="ET7" s="9" t="str">
        <f>IF(F7&lt;AW7,"Bearish Spike","-----")</f>
        <v>-----</v>
      </c>
      <c r="EU7" s="9"/>
      <c r="EV7" s="20">
        <f t="shared" si="5"/>
        <v>0.20199999999999818</v>
      </c>
      <c r="EW7" s="9">
        <f t="shared" si="24"/>
        <v>2.9090586084173102</v>
      </c>
      <c r="EX7" s="21" t="str">
        <f t="shared" si="25"/>
        <v>Consolidation</v>
      </c>
      <c r="EY7" s="9"/>
    </row>
    <row r="8" spans="1:155" x14ac:dyDescent="0.55000000000000004">
      <c r="A8">
        <v>4</v>
      </c>
      <c r="B8" t="s">
        <v>7</v>
      </c>
      <c r="C8" t="s">
        <v>4</v>
      </c>
      <c r="D8" t="s">
        <v>103</v>
      </c>
      <c r="E8">
        <v>153.048</v>
      </c>
      <c r="F8">
        <v>153.07</v>
      </c>
      <c r="G8">
        <v>152.964</v>
      </c>
      <c r="H8">
        <v>153.06700000000001</v>
      </c>
      <c r="I8">
        <v>153.03100000000001</v>
      </c>
      <c r="J8">
        <v>152.91</v>
      </c>
      <c r="K8">
        <v>153.26599999999999</v>
      </c>
      <c r="L8">
        <v>152.56200000000001</v>
      </c>
      <c r="M8">
        <v>152.602</v>
      </c>
      <c r="N8">
        <v>152.773</v>
      </c>
      <c r="O8" s="16">
        <f t="shared" si="0"/>
        <v>0.10599999999999454</v>
      </c>
      <c r="P8" s="16">
        <f t="shared" si="6"/>
        <v>1.999999999998181E-2</v>
      </c>
      <c r="Q8" s="16">
        <f t="shared" si="7"/>
        <v>8.6000000000012733E-2</v>
      </c>
      <c r="R8" s="16">
        <f t="shared" si="8"/>
        <v>0.10599999999999454</v>
      </c>
      <c r="S8" s="16"/>
      <c r="T8">
        <v>0</v>
      </c>
      <c r="U8">
        <v>0</v>
      </c>
      <c r="V8">
        <v>0</v>
      </c>
      <c r="W8">
        <v>0</v>
      </c>
      <c r="Y8" s="9" t="str">
        <f t="shared" si="9"/>
        <v>------</v>
      </c>
      <c r="Z8" s="9" t="str">
        <f t="shared" si="10"/>
        <v>------</v>
      </c>
      <c r="AA8" s="9"/>
      <c r="AB8">
        <v>1</v>
      </c>
      <c r="AD8" t="str">
        <f t="shared" si="1"/>
        <v/>
      </c>
      <c r="AE8">
        <v>0.67898000000000003</v>
      </c>
      <c r="AF8">
        <v>0</v>
      </c>
      <c r="AG8">
        <v>153.61530999999999</v>
      </c>
      <c r="AH8">
        <v>153.53316000000001</v>
      </c>
      <c r="AI8">
        <v>153.45101</v>
      </c>
      <c r="AJ8">
        <v>153.36886000000001</v>
      </c>
      <c r="AK8">
        <v>153.28672</v>
      </c>
      <c r="AL8">
        <v>153.18314000000001</v>
      </c>
      <c r="AM8">
        <v>153.10099</v>
      </c>
      <c r="AN8">
        <v>153.01884999999999</v>
      </c>
      <c r="AO8">
        <v>152.9367</v>
      </c>
      <c r="AP8">
        <v>152.85454999999999</v>
      </c>
      <c r="AQ8">
        <v>153.065</v>
      </c>
      <c r="AR8">
        <v>153.137</v>
      </c>
      <c r="AS8">
        <f t="shared" si="26"/>
        <v>4</v>
      </c>
      <c r="AT8">
        <v>153.24600000000001</v>
      </c>
      <c r="AU8">
        <v>153.327</v>
      </c>
      <c r="AV8">
        <v>153.14099999999999</v>
      </c>
      <c r="AW8">
        <v>152.97900000000001</v>
      </c>
      <c r="AY8" s="4">
        <f>I8*(1+$AY$2)</f>
        <v>153.05395465000001</v>
      </c>
      <c r="AZ8" s="4">
        <f>I8*(1-$AY$2)</f>
        <v>153.00804535</v>
      </c>
      <c r="BA8" s="4">
        <f>J8*(1+$AY$2)</f>
        <v>152.93293650000001</v>
      </c>
      <c r="BB8" s="4">
        <f>J8*(1-$AY$2)</f>
        <v>152.88706350000001</v>
      </c>
      <c r="BC8" s="4">
        <f>K8*(1+$AY$2)</f>
        <v>153.28898990000002</v>
      </c>
      <c r="BD8" s="4">
        <f>K8*(1-$AY$2)</f>
        <v>153.24301009999999</v>
      </c>
      <c r="BE8" s="4">
        <f>L8*(1+$AY$2)</f>
        <v>152.58488430000003</v>
      </c>
      <c r="BF8" s="4">
        <f>L8*(1-$AY$2)</f>
        <v>152.53911570000002</v>
      </c>
      <c r="BG8" s="4">
        <f>M8*(1+$AY$2)</f>
        <v>152.6248903</v>
      </c>
      <c r="BH8" s="4">
        <f>M8*(1-$AY$2)</f>
        <v>152.5791097</v>
      </c>
      <c r="BI8" s="4">
        <f>N8*(1+$AY$2)</f>
        <v>152.79591595000002</v>
      </c>
      <c r="BJ8" s="4">
        <f>N8*(1-$AY$2)</f>
        <v>152.75008405</v>
      </c>
      <c r="BK8" s="30">
        <f t="shared" si="27"/>
        <v>4</v>
      </c>
      <c r="BL8" s="15" t="str">
        <f t="shared" si="11"/>
        <v>TOUCH</v>
      </c>
      <c r="BM8" s="15" t="str">
        <f t="shared" si="12"/>
        <v>-----</v>
      </c>
      <c r="BN8" s="15" t="str">
        <f t="shared" si="13"/>
        <v>-----</v>
      </c>
      <c r="BO8" s="15" t="str">
        <f t="shared" si="14"/>
        <v>-----</v>
      </c>
      <c r="BP8" s="15" t="str">
        <f t="shared" si="15"/>
        <v>-----</v>
      </c>
      <c r="BQ8" s="15" t="str">
        <f t="shared" si="16"/>
        <v>-----</v>
      </c>
      <c r="BR8" s="22"/>
      <c r="BS8" s="9">
        <f t="shared" si="17"/>
        <v>-2.423265306122455E-3</v>
      </c>
      <c r="BT8" s="9">
        <f>SLOPE(J$5:J$103,$A$5:$A$103)</f>
        <v>-3.7194805194805478E-4</v>
      </c>
      <c r="BU8" s="9">
        <f>SLOPE(K$5:K$103,$A$5:$A$103)</f>
        <v>-1.6402721088435472E-3</v>
      </c>
      <c r="BV8" s="9">
        <f>SLOPE(L$5:L$103,$A$5:$A$103)</f>
        <v>7.6471243042669956E-4</v>
      </c>
      <c r="BW8" s="9">
        <f>SLOPE(M$5:M$103,$A$5:$A$103)</f>
        <v>-2.3081014223875058E-4</v>
      </c>
      <c r="BX8" s="9">
        <f>SLOPE(N$5:N$103,$A$5:$A$103)</f>
        <v>1.5802844774273381E-3</v>
      </c>
      <c r="BY8"/>
      <c r="BZ8" s="9"/>
      <c r="CA8" s="9"/>
      <c r="CB8" s="9"/>
      <c r="CC8" s="9"/>
      <c r="CD8" s="9"/>
      <c r="CE8" s="9"/>
      <c r="CF8"/>
      <c r="CG8"/>
      <c r="CH8"/>
      <c r="CI8"/>
      <c r="CJ8"/>
      <c r="CK8"/>
      <c r="CL8"/>
      <c r="CM8" s="9"/>
      <c r="CN8" s="9">
        <f>RANK(I8,$I8:$N8,0)</f>
        <v>2</v>
      </c>
      <c r="CO8" s="9">
        <f>RANK(J8,$I8:$N8,0)</f>
        <v>3</v>
      </c>
      <c r="CP8" s="9">
        <f>RANK(K8,$I8:$N8,0)</f>
        <v>1</v>
      </c>
      <c r="CQ8" s="9">
        <f>RANK(L8,$I8:$N8,0)</f>
        <v>6</v>
      </c>
      <c r="CR8" s="9">
        <f>RANK(M8,$I8:$N8,0)</f>
        <v>5</v>
      </c>
      <c r="CS8" s="9">
        <f>RANK(N8,$I8:$N8,0)</f>
        <v>4</v>
      </c>
      <c r="CT8" s="9"/>
      <c r="CU8" s="9" t="str">
        <f>IF($H8&gt;I8,"SUP","RES")</f>
        <v>SUP</v>
      </c>
      <c r="CV8" s="9" t="str">
        <f>IF($H8&gt;J8,"SUP","RES")</f>
        <v>SUP</v>
      </c>
      <c r="CW8" s="9" t="str">
        <f>IF($H8&gt;K8,"SUP","RES")</f>
        <v>RES</v>
      </c>
      <c r="CX8" s="9" t="str">
        <f>IF($H8&gt;L8,"SUP","RES")</f>
        <v>SUP</v>
      </c>
      <c r="CY8" s="9" t="str">
        <f>IF($H8&gt;M8,"SUP","RES")</f>
        <v>SUP</v>
      </c>
      <c r="CZ8" s="9" t="str">
        <f>IF($H8&gt;N8,"SUP","RES")</f>
        <v>SUP</v>
      </c>
      <c r="DA8" s="9"/>
      <c r="DB8" s="12">
        <f>(I8-$H8)/$H8</f>
        <v>-2.3519112545487508E-4</v>
      </c>
      <c r="DC8" s="12">
        <f>(J8-$H8)/$H8</f>
        <v>-1.025694630456014E-3</v>
      </c>
      <c r="DD8" s="12">
        <f>(K8-$H8)/$H8</f>
        <v>1.3000842768198491E-3</v>
      </c>
      <c r="DE8" s="12">
        <f>(L8-$H8)/$H8</f>
        <v>-3.2992088431862874E-3</v>
      </c>
      <c r="DF8" s="12">
        <f>(M8-$H8)/$H8</f>
        <v>-3.0378853704587103E-3</v>
      </c>
      <c r="DG8" s="12">
        <f>(N8-$H8)/$H8</f>
        <v>-1.9207275245481463E-3</v>
      </c>
      <c r="DH8" s="12"/>
      <c r="DI8" s="12">
        <f>((H8-MIN(I8:N8))/(MAX(I8:N8)-MIN(I8:N8)))</f>
        <v>0.71732954545456007</v>
      </c>
      <c r="DJ8" s="13">
        <f t="shared" si="2"/>
        <v>1</v>
      </c>
      <c r="DK8" s="14">
        <f t="shared" si="3"/>
        <v>5</v>
      </c>
      <c r="DL8" s="12">
        <f t="shared" si="18"/>
        <v>1.3000842768198491E-3</v>
      </c>
      <c r="DM8" s="12">
        <f t="shared" si="19"/>
        <v>-2.3519112545487508E-4</v>
      </c>
      <c r="DN8" s="12">
        <f t="shared" si="20"/>
        <v>-1.025694630456014E-3</v>
      </c>
      <c r="DO8" s="12">
        <f t="shared" si="21"/>
        <v>-1.9207275245481463E-3</v>
      </c>
      <c r="DP8" s="12">
        <f t="shared" si="22"/>
        <v>-3.0378853704587103E-3</v>
      </c>
      <c r="DQ8" s="12">
        <f t="shared" si="23"/>
        <v>-3.2992088431862874E-3</v>
      </c>
      <c r="DR8" s="9"/>
      <c r="DS8" s="9" t="str">
        <f>IF(AQ8&gt;AG8,"Overbought",IF(AQ8&gt;AI8,"Bullish Momentum",IF(AQ8&gt;AK8,"Overprice Setting Up","-----")))</f>
        <v>-----</v>
      </c>
      <c r="DT8" s="9" t="str">
        <f>IF(AQ8&lt;AP8,"Oversold",IF(AQ8&lt;AN8,"Bearish Momentum",IF(AQ8&lt;AL8,"Underprice Setting Up","-----")))</f>
        <v>Underprice Setting Up</v>
      </c>
      <c r="DU8" s="9"/>
      <c r="DV8" s="22"/>
      <c r="DW8" s="22"/>
      <c r="DX8" s="23">
        <f>(AR8-AT8)/AT8</f>
        <v>-7.1127468253663303E-4</v>
      </c>
      <c r="DY8" s="23">
        <f t="shared" si="4"/>
        <v>-0.75266831751047625</v>
      </c>
      <c r="DZ8" s="23" t="str">
        <f>IF(DY8&gt;PERCENTILE($DY$5:$DY$103,90%),"Reverse to Bearish",IF(DY8&gt;=PERCENTILE($DY$5:$DY$103,70%),"-----",IF(DY8&gt;=PERCENTILE($DY$5:$DY$103,30%),"-----",IF(DY8&gt;=PERCENTILE($DY$5:$DY$103,10%),"-----","Reverse to Bullish"))))</f>
        <v>-----</v>
      </c>
      <c r="EA8" s="23" t="str">
        <f>IF(AQ8&gt;AR8,"Bullish","Bearish")</f>
        <v>Bearish</v>
      </c>
      <c r="EB8" s="22" t="str">
        <f>IF(AND(H8&gt;AQ8,H7&lt;AQ7),"TEMA crossover","-----")</f>
        <v>TEMA crossover</v>
      </c>
      <c r="EC8" s="22" t="str">
        <f>IF(AND(H8&lt;AQ8,H7&gt;AQ7),"TEMA crossunder","-----")</f>
        <v>-----</v>
      </c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3"/>
      <c r="EO8" s="23"/>
      <c r="EP8" s="9" t="str">
        <f>IF(AND(H8&gt;AV8,H8&gt;E8),"Bullish Trigger","-----")</f>
        <v>-----</v>
      </c>
      <c r="EQ8" s="9" t="str">
        <f>IF(AND(H8&lt;AW8,H8&lt;E8),"Bearish Trigger","-----")</f>
        <v>-----</v>
      </c>
      <c r="ER8" s="9"/>
      <c r="ES8" s="9" t="str">
        <f>IF(G8&gt;AV8,"Bullish Spike","-----")</f>
        <v>-----</v>
      </c>
      <c r="ET8" s="9" t="str">
        <f>IF(F8&lt;AW8,"Bearish Spike","-----")</f>
        <v>-----</v>
      </c>
      <c r="EU8" s="9"/>
      <c r="EV8" s="20">
        <f t="shared" si="5"/>
        <v>0.16199999999997772</v>
      </c>
      <c r="EW8" s="9">
        <f t="shared" si="24"/>
        <v>1.9871738381437187</v>
      </c>
      <c r="EX8" s="21" t="str">
        <f t="shared" si="25"/>
        <v>Consolidation</v>
      </c>
      <c r="EY8" s="9"/>
    </row>
    <row r="9" spans="1:155" x14ac:dyDescent="0.55000000000000004">
      <c r="A9">
        <v>5</v>
      </c>
      <c r="B9" t="s">
        <v>8</v>
      </c>
      <c r="C9" t="s">
        <v>4</v>
      </c>
      <c r="D9" t="s">
        <v>103</v>
      </c>
      <c r="E9">
        <v>153.06899999999999</v>
      </c>
      <c r="F9">
        <v>153.124</v>
      </c>
      <c r="G9">
        <v>153.005</v>
      </c>
      <c r="H9">
        <v>153.042</v>
      </c>
      <c r="I9">
        <v>153.029</v>
      </c>
      <c r="J9">
        <v>152.91</v>
      </c>
      <c r="K9">
        <v>153.26400000000001</v>
      </c>
      <c r="L9">
        <v>152.56299999999999</v>
      </c>
      <c r="M9">
        <v>152.602</v>
      </c>
      <c r="N9">
        <v>152.774</v>
      </c>
      <c r="O9" s="16">
        <f t="shared" si="0"/>
        <v>0.11899999999999977</v>
      </c>
      <c r="P9" s="16">
        <f t="shared" si="6"/>
        <v>5.6999999999987949E-2</v>
      </c>
      <c r="Q9" s="16">
        <f t="shared" si="7"/>
        <v>6.2000000000011823E-2</v>
      </c>
      <c r="R9" s="16">
        <f t="shared" si="8"/>
        <v>0.11899999999999977</v>
      </c>
      <c r="S9" s="16"/>
      <c r="T9">
        <v>0</v>
      </c>
      <c r="U9">
        <v>0</v>
      </c>
      <c r="V9">
        <v>0</v>
      </c>
      <c r="W9">
        <v>0</v>
      </c>
      <c r="Y9" s="9" t="str">
        <f t="shared" si="9"/>
        <v>------</v>
      </c>
      <c r="Z9" s="9" t="str">
        <f t="shared" si="10"/>
        <v>------</v>
      </c>
      <c r="AA9" s="9"/>
      <c r="AB9">
        <v>0</v>
      </c>
      <c r="AD9" t="str">
        <f t="shared" si="1"/>
        <v/>
      </c>
      <c r="AE9">
        <v>0.49259999999999998</v>
      </c>
      <c r="AF9">
        <v>3</v>
      </c>
      <c r="AG9">
        <v>153.60209</v>
      </c>
      <c r="AH9">
        <v>153.51981000000001</v>
      </c>
      <c r="AI9">
        <v>153.43753000000001</v>
      </c>
      <c r="AJ9">
        <v>153.35525999999999</v>
      </c>
      <c r="AK9">
        <v>153.27297999999999</v>
      </c>
      <c r="AL9">
        <v>153.16462000000001</v>
      </c>
      <c r="AM9">
        <v>153.08233999999999</v>
      </c>
      <c r="AN9">
        <v>153.00005999999999</v>
      </c>
      <c r="AO9">
        <v>152.91777999999999</v>
      </c>
      <c r="AP9">
        <v>152.83551</v>
      </c>
      <c r="AQ9">
        <v>153.047</v>
      </c>
      <c r="AR9">
        <v>153.113</v>
      </c>
      <c r="AS9">
        <f t="shared" si="26"/>
        <v>5</v>
      </c>
      <c r="AT9">
        <v>153.232</v>
      </c>
      <c r="AU9">
        <v>153.32</v>
      </c>
      <c r="AV9">
        <v>153.119</v>
      </c>
      <c r="AW9">
        <v>152.976</v>
      </c>
      <c r="AY9" s="4">
        <f>I9*(1+$AY$2)</f>
        <v>153.05195435000002</v>
      </c>
      <c r="AZ9" s="4">
        <f>I9*(1-$AY$2)</f>
        <v>153.00604565</v>
      </c>
      <c r="BA9" s="4">
        <f>J9*(1+$AY$2)</f>
        <v>152.93293650000001</v>
      </c>
      <c r="BB9" s="4">
        <f>J9*(1-$AY$2)</f>
        <v>152.88706350000001</v>
      </c>
      <c r="BC9" s="4">
        <f>K9*(1+$AY$2)</f>
        <v>153.28698960000003</v>
      </c>
      <c r="BD9" s="4">
        <f>K9*(1-$AY$2)</f>
        <v>153.24101040000002</v>
      </c>
      <c r="BE9" s="4">
        <f>L9*(1+$AY$2)</f>
        <v>152.58588445000001</v>
      </c>
      <c r="BF9" s="4">
        <f>L9*(1-$AY$2)</f>
        <v>152.54011555</v>
      </c>
      <c r="BG9" s="4">
        <f>M9*(1+$AY$2)</f>
        <v>152.6248903</v>
      </c>
      <c r="BH9" s="4">
        <f>M9*(1-$AY$2)</f>
        <v>152.5791097</v>
      </c>
      <c r="BI9" s="4">
        <f>N9*(1+$AY$2)</f>
        <v>152.7969161</v>
      </c>
      <c r="BJ9" s="4">
        <f>N9*(1-$AY$2)</f>
        <v>152.7510839</v>
      </c>
      <c r="BK9" s="30">
        <f t="shared" si="27"/>
        <v>5</v>
      </c>
      <c r="BL9" s="15" t="str">
        <f t="shared" si="11"/>
        <v>TOUCH</v>
      </c>
      <c r="BM9" s="15" t="str">
        <f t="shared" si="12"/>
        <v>-----</v>
      </c>
      <c r="BN9" s="15" t="str">
        <f t="shared" si="13"/>
        <v>-----</v>
      </c>
      <c r="BO9" s="15" t="str">
        <f t="shared" si="14"/>
        <v>-----</v>
      </c>
      <c r="BP9" s="15" t="str">
        <f t="shared" si="15"/>
        <v>-----</v>
      </c>
      <c r="BQ9" s="15" t="str">
        <f t="shared" si="16"/>
        <v>-----</v>
      </c>
      <c r="BR9" s="22"/>
      <c r="BS9" s="9">
        <f t="shared" si="17"/>
        <v>-2.423265306122455E-3</v>
      </c>
      <c r="BT9" s="9">
        <f>SLOPE(J$5:J$103,$A$5:$A$103)</f>
        <v>-3.7194805194805478E-4</v>
      </c>
      <c r="BU9" s="9">
        <f>SLOPE(K$5:K$103,$A$5:$A$103)</f>
        <v>-1.6402721088435472E-3</v>
      </c>
      <c r="BV9" s="9">
        <f>SLOPE(L$5:L$103,$A$5:$A$103)</f>
        <v>7.6471243042669956E-4</v>
      </c>
      <c r="BW9" s="9">
        <f>SLOPE(M$5:M$103,$A$5:$A$103)</f>
        <v>-2.3081014223875058E-4</v>
      </c>
      <c r="BX9" s="9">
        <f>SLOPE(N$5:N$103,$A$5:$A$103)</f>
        <v>1.5802844774273381E-3</v>
      </c>
      <c r="BY9"/>
      <c r="BZ9" s="9"/>
      <c r="CA9" s="9"/>
      <c r="CB9" s="9"/>
      <c r="CC9" s="9"/>
      <c r="CD9" s="9"/>
      <c r="CE9" s="9"/>
      <c r="CF9"/>
      <c r="CG9"/>
      <c r="CH9"/>
      <c r="CI9"/>
      <c r="CJ9"/>
      <c r="CK9"/>
      <c r="CL9"/>
      <c r="CM9" s="9"/>
      <c r="CN9" s="9">
        <f>RANK(I9,$I9:$N9,0)</f>
        <v>2</v>
      </c>
      <c r="CO9" s="9">
        <f>RANK(J9,$I9:$N9,0)</f>
        <v>3</v>
      </c>
      <c r="CP9" s="9">
        <f>RANK(K9,$I9:$N9,0)</f>
        <v>1</v>
      </c>
      <c r="CQ9" s="9">
        <f>RANK(L9,$I9:$N9,0)</f>
        <v>6</v>
      </c>
      <c r="CR9" s="9">
        <f>RANK(M9,$I9:$N9,0)</f>
        <v>5</v>
      </c>
      <c r="CS9" s="9">
        <f>RANK(N9,$I9:$N9,0)</f>
        <v>4</v>
      </c>
      <c r="CT9" s="9"/>
      <c r="CU9" s="9" t="str">
        <f>IF($H9&gt;I9,"SUP","RES")</f>
        <v>SUP</v>
      </c>
      <c r="CV9" s="9" t="str">
        <f>IF($H9&gt;J9,"SUP","RES")</f>
        <v>SUP</v>
      </c>
      <c r="CW9" s="9" t="str">
        <f>IF($H9&gt;K9,"SUP","RES")</f>
        <v>RES</v>
      </c>
      <c r="CX9" s="9" t="str">
        <f>IF($H9&gt;L9,"SUP","RES")</f>
        <v>SUP</v>
      </c>
      <c r="CY9" s="9" t="str">
        <f>IF($H9&gt;M9,"SUP","RES")</f>
        <v>SUP</v>
      </c>
      <c r="CZ9" s="9" t="str">
        <f>IF($H9&gt;N9,"SUP","RES")</f>
        <v>SUP</v>
      </c>
      <c r="DA9" s="9"/>
      <c r="DB9" s="12">
        <f>(I9-$H9)/$H9</f>
        <v>-8.4944002300056391E-5</v>
      </c>
      <c r="DC9" s="12">
        <f>(J9-$H9)/$H9</f>
        <v>-8.6250833104641207E-4</v>
      </c>
      <c r="DD9" s="12">
        <f>(K9-$H9)/$H9</f>
        <v>1.4505821931235113E-3</v>
      </c>
      <c r="DE9" s="12">
        <f>(L9-$H9)/$H9</f>
        <v>-3.1298597770547522E-3</v>
      </c>
      <c r="DF9" s="12">
        <f>(M9-$H9)/$H9</f>
        <v>-2.8750277701545834E-3</v>
      </c>
      <c r="DG9" s="12">
        <f>(N9-$H9)/$H9</f>
        <v>-1.7511532781850779E-3</v>
      </c>
      <c r="DH9" s="12"/>
      <c r="DI9" s="12">
        <f>((H9-MIN(I9:N9))/(MAX(I9:N9)-MIN(I9:N9)))</f>
        <v>0.68330955777460556</v>
      </c>
      <c r="DJ9" s="13">
        <f t="shared" si="2"/>
        <v>1</v>
      </c>
      <c r="DK9" s="14">
        <f t="shared" si="3"/>
        <v>5</v>
      </c>
      <c r="DL9" s="12">
        <f t="shared" si="18"/>
        <v>1.4505821931235113E-3</v>
      </c>
      <c r="DM9" s="12">
        <f t="shared" si="19"/>
        <v>-8.4944002300056391E-5</v>
      </c>
      <c r="DN9" s="12">
        <f t="shared" si="20"/>
        <v>-8.6250833104641207E-4</v>
      </c>
      <c r="DO9" s="12">
        <f t="shared" si="21"/>
        <v>-1.7511532781850779E-3</v>
      </c>
      <c r="DP9" s="12">
        <f t="shared" si="22"/>
        <v>-2.8750277701545834E-3</v>
      </c>
      <c r="DQ9" s="12">
        <f t="shared" si="23"/>
        <v>-3.1298597770547522E-3</v>
      </c>
      <c r="DR9" s="9"/>
      <c r="DS9" s="9" t="str">
        <f>IF(AQ9&gt;AG9,"Overbought",IF(AQ9&gt;AI9,"Bullish Momentum",IF(AQ9&gt;AK9,"Overprice Setting Up","-----")))</f>
        <v>-----</v>
      </c>
      <c r="DT9" s="9" t="str">
        <f>IF(AQ9&lt;AP9,"Oversold",IF(AQ9&lt;AN9,"Bearish Momentum",IF(AQ9&lt;AL9,"Underprice Setting Up","-----")))</f>
        <v>Underprice Setting Up</v>
      </c>
      <c r="DU9" s="9"/>
      <c r="DV9" s="22"/>
      <c r="DW9" s="22"/>
      <c r="DX9" s="23">
        <f>(AR9-AT9)/AT9</f>
        <v>-7.7660018795029607E-4</v>
      </c>
      <c r="DY9" s="23">
        <f t="shared" si="4"/>
        <v>-0.94107052281361803</v>
      </c>
      <c r="DZ9" s="23" t="str">
        <f>IF(DY9&gt;PERCENTILE($DY$5:$DY$103,90%),"Reverse to Bearish",IF(DY9&gt;=PERCENTILE($DY$5:$DY$103,70%),"-----",IF(DY9&gt;=PERCENTILE($DY$5:$DY$103,30%),"-----",IF(DY9&gt;=PERCENTILE($DY$5:$DY$103,10%),"-----","Reverse to Bullish"))))</f>
        <v>-----</v>
      </c>
      <c r="EA9" s="23" t="str">
        <f>IF(AQ9&gt;AR9,"Bullish","Bearish")</f>
        <v>Bearish</v>
      </c>
      <c r="EB9" s="22" t="str">
        <f>IF(AND(H9&gt;AQ9,H8&lt;AQ8),"TEMA crossover","-----")</f>
        <v>-----</v>
      </c>
      <c r="EC9" s="22" t="str">
        <f>IF(AND(H9&lt;AQ9,H8&gt;AQ8),"TEMA crossunder","-----")</f>
        <v>TEMA crossunder</v>
      </c>
      <c r="ED9" s="22"/>
      <c r="EE9" s="24" t="str">
        <f t="shared" ref="EE9" si="28">IF(DV9="Bearish","YES","-----")</f>
        <v>-----</v>
      </c>
      <c r="EF9" s="24" t="str">
        <f t="shared" ref="EF9" si="29">IF(DZ9="Reverse to Bearish","YES","-----")</f>
        <v>-----</v>
      </c>
      <c r="EG9" s="24" t="str">
        <f t="shared" ref="EG9" si="30">IF(AND(EA9="Bullish",EA8="Bullish",EA7="Bullish",EA6="Bullish"),"YES","-----")</f>
        <v>-----</v>
      </c>
      <c r="EH9" s="24" t="str">
        <f t="shared" ref="EH9" si="31">IF(OR(EC9="TEMA crossunder",EC8="TEMA crossunder",EC7="TEMA crossunder",EC6="TEMA crossunder"),"YES","-----")</f>
        <v>YES</v>
      </c>
      <c r="EI9" s="25" t="str">
        <f>IF(DV9="Bullish","YES","-----")</f>
        <v>-----</v>
      </c>
      <c r="EJ9" s="25" t="str">
        <f>IF(DZ9="Reverse to Bullish","YES","-----")</f>
        <v>-----</v>
      </c>
      <c r="EK9" s="25" t="str">
        <f>IF(AND(EA9="Bearish",EA8="Bearish",EA7="Bearish",EA6="Bearish"),"YES","-----")</f>
        <v>YES</v>
      </c>
      <c r="EL9" s="25" t="str">
        <f>IF(OR(EC9="TEMA crossover",EC8="TEMA crossover",EC7="TEMA crossover",EC6="TEMA crossover"),"YES","-----")</f>
        <v>-----</v>
      </c>
      <c r="EM9" s="24" t="str">
        <f>IF(AND(EE9="YES",EF9="YES",EG9="YES",EH9="YES"),"Open Sell / Close Buy","-----")</f>
        <v>-----</v>
      </c>
      <c r="EN9" s="25" t="str">
        <f t="shared" ref="EN9:EN72" si="32">IF(AND(EI9="YES",EJ9="YES",EK9="YES",EL9="YES"),"Open Buy / Close Sell","-----")</f>
        <v>-----</v>
      </c>
      <c r="EO9" s="23"/>
      <c r="EP9" s="9" t="str">
        <f>IF(AND(H9&gt;AV9,H9&gt;E9),"Bullish Trigger","-----")</f>
        <v>-----</v>
      </c>
      <c r="EQ9" s="9" t="str">
        <f>IF(AND(H9&lt;AW9,H9&lt;E9),"Bearish Trigger","-----")</f>
        <v>-----</v>
      </c>
      <c r="ER9" s="9"/>
      <c r="ES9" s="9" t="str">
        <f>IF(G9&gt;AV9,"Bullish Spike","-----")</f>
        <v>-----</v>
      </c>
      <c r="ET9" s="9" t="str">
        <f>IF(F9&lt;AW9,"Bearish Spike","-----")</f>
        <v>-----</v>
      </c>
      <c r="EU9" s="9"/>
      <c r="EV9" s="20">
        <f t="shared" si="5"/>
        <v>0.14300000000000068</v>
      </c>
      <c r="EW9" s="9">
        <f t="shared" si="24"/>
        <v>1.5492785722645159</v>
      </c>
      <c r="EX9" s="21" t="str">
        <f t="shared" si="25"/>
        <v>Consolidation</v>
      </c>
      <c r="EY9" s="9"/>
    </row>
    <row r="10" spans="1:155" x14ac:dyDescent="0.55000000000000004">
      <c r="A10">
        <v>6</v>
      </c>
      <c r="B10" t="s">
        <v>9</v>
      </c>
      <c r="C10" t="s">
        <v>4</v>
      </c>
      <c r="D10" t="s">
        <v>103</v>
      </c>
      <c r="E10">
        <v>153.042</v>
      </c>
      <c r="F10">
        <v>153.101</v>
      </c>
      <c r="G10">
        <v>153.02199999999999</v>
      </c>
      <c r="H10">
        <v>153.05000000000001</v>
      </c>
      <c r="I10">
        <v>153.02600000000001</v>
      </c>
      <c r="J10">
        <v>152.90899999999999</v>
      </c>
      <c r="K10">
        <v>153.26300000000001</v>
      </c>
      <c r="L10">
        <v>152.56399999999999</v>
      </c>
      <c r="M10">
        <v>152.602</v>
      </c>
      <c r="N10">
        <v>152.77600000000001</v>
      </c>
      <c r="O10" s="16">
        <f t="shared" si="0"/>
        <v>7.9000000000007731E-2</v>
      </c>
      <c r="P10" s="16">
        <f t="shared" si="6"/>
        <v>5.8999999999997499E-2</v>
      </c>
      <c r="Q10" s="16">
        <f t="shared" si="7"/>
        <v>2.0000000000010232E-2</v>
      </c>
      <c r="R10" s="16">
        <f t="shared" si="8"/>
        <v>7.9000000000007731E-2</v>
      </c>
      <c r="S10" s="16"/>
      <c r="T10">
        <v>0</v>
      </c>
      <c r="U10">
        <v>0</v>
      </c>
      <c r="V10">
        <v>0</v>
      </c>
      <c r="W10">
        <v>0</v>
      </c>
      <c r="Y10" s="9" t="str">
        <f t="shared" si="9"/>
        <v>------</v>
      </c>
      <c r="Z10" s="9" t="str">
        <f t="shared" si="10"/>
        <v>------</v>
      </c>
      <c r="AA10" s="9"/>
      <c r="AB10">
        <v>0</v>
      </c>
      <c r="AD10" t="str">
        <f t="shared" si="1"/>
        <v/>
      </c>
      <c r="AE10">
        <v>0.92852999999999997</v>
      </c>
      <c r="AF10">
        <v>0</v>
      </c>
      <c r="AG10">
        <v>153.58624</v>
      </c>
      <c r="AH10">
        <v>153.50424000000001</v>
      </c>
      <c r="AI10">
        <v>153.42223999999999</v>
      </c>
      <c r="AJ10">
        <v>153.34023999999999</v>
      </c>
      <c r="AK10">
        <v>153.25824</v>
      </c>
      <c r="AL10">
        <v>153.14709999999999</v>
      </c>
      <c r="AM10">
        <v>153.0651</v>
      </c>
      <c r="AN10">
        <v>152.98310000000001</v>
      </c>
      <c r="AO10">
        <v>152.90110000000001</v>
      </c>
      <c r="AP10">
        <v>152.81909999999999</v>
      </c>
      <c r="AQ10">
        <v>153.03800000000001</v>
      </c>
      <c r="AR10">
        <v>153.09100000000001</v>
      </c>
      <c r="AS10">
        <f t="shared" si="26"/>
        <v>6</v>
      </c>
      <c r="AT10">
        <v>153.21899999999999</v>
      </c>
      <c r="AU10">
        <v>153.31200000000001</v>
      </c>
      <c r="AV10">
        <v>153.096</v>
      </c>
      <c r="AW10">
        <v>152.98500000000001</v>
      </c>
      <c r="AY10" s="4">
        <f>I10*(1+$AY$2)</f>
        <v>153.04895390000001</v>
      </c>
      <c r="AZ10" s="4">
        <f>I10*(1-$AY$2)</f>
        <v>153.00304610000001</v>
      </c>
      <c r="BA10" s="4">
        <f>J10*(1+$AY$2)</f>
        <v>152.93193635</v>
      </c>
      <c r="BB10" s="4">
        <f>J10*(1-$AY$2)</f>
        <v>152.88606364999998</v>
      </c>
      <c r="BC10" s="4">
        <f>K10*(1+$AY$2)</f>
        <v>153.28598945000002</v>
      </c>
      <c r="BD10" s="4">
        <f>K10*(1-$AY$2)</f>
        <v>153.24001054999999</v>
      </c>
      <c r="BE10" s="4">
        <f>L10*(1+$AY$2)</f>
        <v>152.58688460000002</v>
      </c>
      <c r="BF10" s="4">
        <f>L10*(1-$AY$2)</f>
        <v>152.5411154</v>
      </c>
      <c r="BG10" s="4">
        <f>M10*(1+$AY$2)</f>
        <v>152.6248903</v>
      </c>
      <c r="BH10" s="4">
        <f>M10*(1-$AY$2)</f>
        <v>152.5791097</v>
      </c>
      <c r="BI10" s="4">
        <f>N10*(1+$AY$2)</f>
        <v>152.79891640000002</v>
      </c>
      <c r="BJ10" s="4">
        <f>N10*(1-$AY$2)</f>
        <v>152.75308360000002</v>
      </c>
      <c r="BK10" s="30">
        <f t="shared" si="27"/>
        <v>6</v>
      </c>
      <c r="BL10" s="15" t="str">
        <f t="shared" si="11"/>
        <v>TOUCH</v>
      </c>
      <c r="BM10" s="15" t="str">
        <f t="shared" si="12"/>
        <v>-----</v>
      </c>
      <c r="BN10" s="15" t="str">
        <f t="shared" si="13"/>
        <v>-----</v>
      </c>
      <c r="BO10" s="15" t="str">
        <f t="shared" si="14"/>
        <v>-----</v>
      </c>
      <c r="BP10" s="15" t="str">
        <f t="shared" si="15"/>
        <v>-----</v>
      </c>
      <c r="BQ10" s="15" t="str">
        <f t="shared" si="16"/>
        <v>-----</v>
      </c>
      <c r="BR10" s="22"/>
      <c r="BS10" s="9">
        <f t="shared" si="17"/>
        <v>-2.423265306122455E-3</v>
      </c>
      <c r="BT10" s="9">
        <f>SLOPE(J$5:J$103,$A$5:$A$103)</f>
        <v>-3.7194805194805478E-4</v>
      </c>
      <c r="BU10" s="9">
        <f>SLOPE(K$5:K$103,$A$5:$A$103)</f>
        <v>-1.6402721088435472E-3</v>
      </c>
      <c r="BV10" s="9">
        <f>SLOPE(L$5:L$103,$A$5:$A$103)</f>
        <v>7.6471243042669956E-4</v>
      </c>
      <c r="BW10" s="9">
        <f>SLOPE(M$5:M$103,$A$5:$A$103)</f>
        <v>-2.3081014223875058E-4</v>
      </c>
      <c r="BX10" s="9">
        <f>SLOPE(N$5:N$103,$A$5:$A$103)</f>
        <v>1.5802844774273381E-3</v>
      </c>
      <c r="BY10" s="11"/>
      <c r="BZ10" s="9"/>
      <c r="CA10" s="9"/>
      <c r="CB10" s="9"/>
      <c r="CC10" s="9"/>
      <c r="CD10" s="9"/>
      <c r="CE10" s="9"/>
      <c r="CF10"/>
      <c r="CG10"/>
      <c r="CH10"/>
      <c r="CI10"/>
      <c r="CJ10"/>
      <c r="CK10"/>
      <c r="CL10"/>
      <c r="CM10" s="9"/>
      <c r="CN10" s="9">
        <f>RANK(I10,$I10:$N10,0)</f>
        <v>2</v>
      </c>
      <c r="CO10" s="9">
        <f>RANK(J10,$I10:$N10,0)</f>
        <v>3</v>
      </c>
      <c r="CP10" s="9">
        <f>RANK(K10,$I10:$N10,0)</f>
        <v>1</v>
      </c>
      <c r="CQ10" s="9">
        <f>RANK(L10,$I10:$N10,0)</f>
        <v>6</v>
      </c>
      <c r="CR10" s="9">
        <f>RANK(M10,$I10:$N10,0)</f>
        <v>5</v>
      </c>
      <c r="CS10" s="9">
        <f>RANK(N10,$I10:$N10,0)</f>
        <v>4</v>
      </c>
      <c r="CT10" s="9"/>
      <c r="CU10" s="9" t="str">
        <f>IF($H10&gt;I10,"SUP","RES")</f>
        <v>SUP</v>
      </c>
      <c r="CV10" s="9" t="str">
        <f>IF($H10&gt;J10,"SUP","RES")</f>
        <v>SUP</v>
      </c>
      <c r="CW10" s="9" t="str">
        <f>IF($H10&gt;K10,"SUP","RES")</f>
        <v>RES</v>
      </c>
      <c r="CX10" s="9" t="str">
        <f>IF($H10&gt;L10,"SUP","RES")</f>
        <v>SUP</v>
      </c>
      <c r="CY10" s="9" t="str">
        <f>IF($H10&gt;M10,"SUP","RES")</f>
        <v>SUP</v>
      </c>
      <c r="CZ10" s="9" t="str">
        <f>IF($H10&gt;N10,"SUP","RES")</f>
        <v>SUP</v>
      </c>
      <c r="DA10" s="9"/>
      <c r="DB10" s="12">
        <f>(I10-$H10)/$H10</f>
        <v>-1.5681149950997001E-4</v>
      </c>
      <c r="DC10" s="12">
        <f>(J10-$H10)/$H10</f>
        <v>-9.212675596211666E-4</v>
      </c>
      <c r="DD10" s="12">
        <f>(K10-$H10)/$H10</f>
        <v>1.3917020581508909E-3</v>
      </c>
      <c r="DE10" s="12">
        <f>(L10-$H10)/$H10</f>
        <v>-3.1754328650768922E-3</v>
      </c>
      <c r="DF10" s="12">
        <f>(M10-$H10)/$H10</f>
        <v>-2.9271479908527112E-3</v>
      </c>
      <c r="DG10" s="12">
        <f>(N10-$H10)/$H10</f>
        <v>-1.7902646194054288E-3</v>
      </c>
      <c r="DH10" s="12"/>
      <c r="DI10" s="12">
        <f>((H10-MIN(I10:N10))/(MAX(I10:N10)-MIN(I10:N10)))</f>
        <v>0.6952789699570957</v>
      </c>
      <c r="DJ10" s="13">
        <f t="shared" si="2"/>
        <v>1</v>
      </c>
      <c r="DK10" s="14">
        <f t="shared" si="3"/>
        <v>5</v>
      </c>
      <c r="DL10" s="12">
        <f t="shared" si="18"/>
        <v>1.3917020581508909E-3</v>
      </c>
      <c r="DM10" s="12">
        <f t="shared" si="19"/>
        <v>-1.5681149950997001E-4</v>
      </c>
      <c r="DN10" s="12">
        <f t="shared" si="20"/>
        <v>-9.212675596211666E-4</v>
      </c>
      <c r="DO10" s="12">
        <f t="shared" si="21"/>
        <v>-1.7902646194054288E-3</v>
      </c>
      <c r="DP10" s="12">
        <f t="shared" si="22"/>
        <v>-2.9271479908527112E-3</v>
      </c>
      <c r="DQ10" s="12">
        <f t="shared" si="23"/>
        <v>-3.1754328650768922E-3</v>
      </c>
      <c r="DR10" s="9"/>
      <c r="DS10" s="9" t="str">
        <f>IF(AQ10&gt;AG10,"Overbought",IF(AQ10&gt;AI10,"Bullish Momentum",IF(AQ10&gt;AK10,"Overprice Setting Up","-----")))</f>
        <v>-----</v>
      </c>
      <c r="DT10" s="9" t="str">
        <f>IF(AQ10&lt;AP10,"Oversold",IF(AQ10&lt;AN10,"Bearish Momentum",IF(AQ10&lt;AL10,"Underprice Setting Up","-----")))</f>
        <v>Underprice Setting Up</v>
      </c>
      <c r="DU10" s="9"/>
      <c r="DV10" s="22"/>
      <c r="DW10" s="22"/>
      <c r="DX10" s="23">
        <f>(AR10-AT10)/AT10</f>
        <v>-8.3540553064558509E-4</v>
      </c>
      <c r="DY10" s="23">
        <f t="shared" si="4"/>
        <v>-1.1106682347217487</v>
      </c>
      <c r="DZ10" s="23" t="str">
        <f>IF(DY10&gt;PERCENTILE($DY$5:$DY$103,90%),"Reverse to Bearish",IF(DY10&gt;=PERCENTILE($DY$5:$DY$103,70%),"-----",IF(DY10&gt;=PERCENTILE($DY$5:$DY$103,30%),"-----",IF(DY10&gt;=PERCENTILE($DY$5:$DY$103,10%),"-----","Reverse to Bullish"))))</f>
        <v>-----</v>
      </c>
      <c r="EA10" s="23" t="str">
        <f>IF(AQ10&gt;AR10,"Bullish","Bearish")</f>
        <v>Bearish</v>
      </c>
      <c r="EB10" s="22" t="str">
        <f>IF(AND(H10&gt;AQ10,H9&lt;AQ9),"TEMA crossover","-----")</f>
        <v>TEMA crossover</v>
      </c>
      <c r="EC10" s="22" t="str">
        <f>IF(AND(H10&lt;AQ10,H9&gt;AQ9),"TEMA crossunder","-----")</f>
        <v>-----</v>
      </c>
      <c r="ED10" s="22"/>
      <c r="EE10" s="24" t="str">
        <f t="shared" ref="EE10:EE34" si="33">IF(DV10="Bearish","YES","-----")</f>
        <v>-----</v>
      </c>
      <c r="EF10" s="24" t="str">
        <f t="shared" ref="EF10:EF34" si="34">IF(DZ10="Reverse to Bearish","YES","-----")</f>
        <v>-----</v>
      </c>
      <c r="EG10" s="24" t="str">
        <f t="shared" ref="EG10:EG34" si="35">IF(AND(EA10="Bullish",EA9="Bullish",EA8="Bullish",EA7="Bullish"),"YES","-----")</f>
        <v>-----</v>
      </c>
      <c r="EH10" s="24" t="str">
        <f t="shared" ref="EH10:EH34" si="36">IF(OR(EC10="TEMA crossunder",EC9="TEMA crossunder",EC8="TEMA crossunder",EC7="TEMA crossunder"),"YES","-----")</f>
        <v>YES</v>
      </c>
      <c r="EI10" s="25" t="str">
        <f>IF(DV10="Bullish","YES","-----")</f>
        <v>-----</v>
      </c>
      <c r="EJ10" s="25" t="str">
        <f>IF(DZ10="Reverse to Bullish","YES","-----")</f>
        <v>-----</v>
      </c>
      <c r="EK10" s="25" t="str">
        <f>IF(AND(EA10="Bearish",EA9="Bearish",EA8="Bearish",EA7="Bearish"),"YES","-----")</f>
        <v>YES</v>
      </c>
      <c r="EL10" s="25" t="str">
        <f>IF(OR(EC10="TEMA crossover",EC9="TEMA crossover",EC8="TEMA crossover",EC7="TEMA crossover"),"YES","-----")</f>
        <v>-----</v>
      </c>
      <c r="EM10" s="24" t="str">
        <f>IF(AND(EE10="YES",EF10="YES",EG10="YES",EH10="YES"),"Open Sell / Close Buy","-----")</f>
        <v>-----</v>
      </c>
      <c r="EN10" s="25" t="str">
        <f t="shared" si="32"/>
        <v>-----</v>
      </c>
      <c r="EO10" s="23"/>
      <c r="EP10" s="9" t="str">
        <f>IF(AND(H10&gt;AV10,H10&gt;E10),"Bullish Trigger","-----")</f>
        <v>-----</v>
      </c>
      <c r="EQ10" s="9" t="str">
        <f>IF(AND(H10&lt;AW10,H10&lt;E10),"Bearish Trigger","-----")</f>
        <v>-----</v>
      </c>
      <c r="ER10" s="9"/>
      <c r="ES10" s="9" t="str">
        <f>IF(G10&gt;AV10,"Bullish Spike","-----")</f>
        <v>-----</v>
      </c>
      <c r="ET10" s="9" t="str">
        <f>IF(F10&lt;AW10,"Bearish Spike","-----")</f>
        <v>-----</v>
      </c>
      <c r="EU10" s="9"/>
      <c r="EV10" s="20">
        <f t="shared" si="5"/>
        <v>0.11099999999999</v>
      </c>
      <c r="EW10" s="9">
        <f t="shared" si="24"/>
        <v>0.81177075604577364</v>
      </c>
      <c r="EX10" s="21" t="str">
        <f t="shared" si="25"/>
        <v>-----</v>
      </c>
      <c r="EY10" s="9"/>
    </row>
    <row r="11" spans="1:155" x14ac:dyDescent="0.55000000000000004">
      <c r="A11">
        <v>7</v>
      </c>
      <c r="B11" t="s">
        <v>10</v>
      </c>
      <c r="C11" t="s">
        <v>4</v>
      </c>
      <c r="D11" t="s">
        <v>103</v>
      </c>
      <c r="E11">
        <v>153.05099999999999</v>
      </c>
      <c r="F11">
        <v>153.05099999999999</v>
      </c>
      <c r="G11">
        <v>152.97200000000001</v>
      </c>
      <c r="H11">
        <v>153.03299999999999</v>
      </c>
      <c r="I11">
        <v>153.024</v>
      </c>
      <c r="J11">
        <v>152.90899999999999</v>
      </c>
      <c r="K11">
        <v>153.261</v>
      </c>
      <c r="L11">
        <v>152.565</v>
      </c>
      <c r="M11">
        <v>152.602</v>
      </c>
      <c r="N11">
        <v>152.77799999999999</v>
      </c>
      <c r="O11" s="16">
        <f t="shared" si="0"/>
        <v>7.8999999999979309E-2</v>
      </c>
      <c r="P11" s="16">
        <f t="shared" si="6"/>
        <v>9.9999999997635314E-4</v>
      </c>
      <c r="Q11" s="16">
        <f t="shared" si="7"/>
        <v>7.8000000000002956E-2</v>
      </c>
      <c r="R11" s="16">
        <f t="shared" si="8"/>
        <v>7.8999999999979309E-2</v>
      </c>
      <c r="S11" s="16"/>
      <c r="T11">
        <v>0</v>
      </c>
      <c r="U11">
        <v>0</v>
      </c>
      <c r="V11">
        <v>0</v>
      </c>
      <c r="W11">
        <v>0</v>
      </c>
      <c r="Y11" s="9" t="str">
        <f t="shared" si="9"/>
        <v>------</v>
      </c>
      <c r="Z11" s="9" t="str">
        <f t="shared" si="10"/>
        <v>------</v>
      </c>
      <c r="AA11" s="9"/>
      <c r="AB11">
        <v>1</v>
      </c>
      <c r="AD11" t="str">
        <f t="shared" si="1"/>
        <v/>
      </c>
      <c r="AE11">
        <v>0.69721</v>
      </c>
      <c r="AF11">
        <v>3</v>
      </c>
      <c r="AG11">
        <v>153.56995000000001</v>
      </c>
      <c r="AH11">
        <v>153.48793000000001</v>
      </c>
      <c r="AI11">
        <v>153.4059</v>
      </c>
      <c r="AJ11">
        <v>153.32388</v>
      </c>
      <c r="AK11">
        <v>153.24185</v>
      </c>
      <c r="AL11">
        <v>153.1294</v>
      </c>
      <c r="AM11">
        <v>153.04738</v>
      </c>
      <c r="AN11">
        <v>152.96535</v>
      </c>
      <c r="AO11">
        <v>152.88333</v>
      </c>
      <c r="AP11">
        <v>152.8013</v>
      </c>
      <c r="AQ11">
        <v>153.01599999999999</v>
      </c>
      <c r="AR11">
        <v>153.07</v>
      </c>
      <c r="AS11">
        <f t="shared" si="26"/>
        <v>7</v>
      </c>
      <c r="AT11">
        <v>153.20500000000001</v>
      </c>
      <c r="AU11">
        <v>153.30500000000001</v>
      </c>
      <c r="AV11">
        <v>153.06</v>
      </c>
      <c r="AW11">
        <v>152.97</v>
      </c>
      <c r="AY11" s="4">
        <f>I11*(1+$AY$2)</f>
        <v>153.04695360000002</v>
      </c>
      <c r="AZ11" s="4">
        <f>I11*(1-$AY$2)</f>
        <v>153.00104640000001</v>
      </c>
      <c r="BA11" s="4">
        <f>J11*(1+$AY$2)</f>
        <v>152.93193635</v>
      </c>
      <c r="BB11" s="4">
        <f>J11*(1-$AY$2)</f>
        <v>152.88606364999998</v>
      </c>
      <c r="BC11" s="4">
        <f>K11*(1+$AY$2)</f>
        <v>153.28398915</v>
      </c>
      <c r="BD11" s="4">
        <f>K11*(1-$AY$2)</f>
        <v>153.23801084999999</v>
      </c>
      <c r="BE11" s="4">
        <f>L11*(1+$AY$2)</f>
        <v>152.58788475</v>
      </c>
      <c r="BF11" s="4">
        <f>L11*(1-$AY$2)</f>
        <v>152.54211524999999</v>
      </c>
      <c r="BG11" s="4">
        <f>M11*(1+$AY$2)</f>
        <v>152.6248903</v>
      </c>
      <c r="BH11" s="4">
        <f>M11*(1-$AY$2)</f>
        <v>152.5791097</v>
      </c>
      <c r="BI11" s="4">
        <f>N11*(1+$AY$2)</f>
        <v>152.80091670000002</v>
      </c>
      <c r="BJ11" s="4">
        <f>N11*(1-$AY$2)</f>
        <v>152.7550833</v>
      </c>
      <c r="BK11" s="30">
        <f t="shared" si="27"/>
        <v>7</v>
      </c>
      <c r="BL11" s="15" t="str">
        <f t="shared" si="11"/>
        <v>TOUCH</v>
      </c>
      <c r="BM11" s="15" t="str">
        <f t="shared" si="12"/>
        <v>-----</v>
      </c>
      <c r="BN11" s="15" t="str">
        <f t="shared" si="13"/>
        <v>-----</v>
      </c>
      <c r="BO11" s="15" t="str">
        <f t="shared" si="14"/>
        <v>-----</v>
      </c>
      <c r="BP11" s="15" t="str">
        <f t="shared" si="15"/>
        <v>-----</v>
      </c>
      <c r="BQ11" s="15" t="str">
        <f t="shared" si="16"/>
        <v>-----</v>
      </c>
      <c r="BR11" s="22"/>
      <c r="BS11" s="9">
        <f t="shared" si="17"/>
        <v>-2.423265306122455E-3</v>
      </c>
      <c r="BT11" s="9">
        <f>SLOPE(J$5:J$103,$A$5:$A$103)</f>
        <v>-3.7194805194805478E-4</v>
      </c>
      <c r="BU11" s="9">
        <f>SLOPE(K$5:K$103,$A$5:$A$103)</f>
        <v>-1.6402721088435472E-3</v>
      </c>
      <c r="BV11" s="9">
        <f>SLOPE(L$5:L$103,$A$5:$A$103)</f>
        <v>7.6471243042669956E-4</v>
      </c>
      <c r="BW11" s="9">
        <f>SLOPE(M$5:M$103,$A$5:$A$103)</f>
        <v>-2.3081014223875058E-4</v>
      </c>
      <c r="BX11" s="9">
        <f>SLOPE(N$5:N$103,$A$5:$A$103)</f>
        <v>1.5802844774273381E-3</v>
      </c>
      <c r="BY11"/>
      <c r="BZ11" s="9"/>
      <c r="CA11" s="9"/>
      <c r="CB11" s="9"/>
      <c r="CC11" s="9"/>
      <c r="CD11" s="9"/>
      <c r="CE11" s="9"/>
      <c r="CF11"/>
      <c r="CG11"/>
      <c r="CH11"/>
      <c r="CI11"/>
      <c r="CJ11"/>
      <c r="CK11"/>
      <c r="CL11"/>
      <c r="CM11" s="9"/>
      <c r="CN11" s="9">
        <f>RANK(I11,$I11:$N11,0)</f>
        <v>2</v>
      </c>
      <c r="CO11" s="9">
        <f>RANK(J11,$I11:$N11,0)</f>
        <v>3</v>
      </c>
      <c r="CP11" s="9">
        <f>RANK(K11,$I11:$N11,0)</f>
        <v>1</v>
      </c>
      <c r="CQ11" s="9">
        <f>RANK(L11,$I11:$N11,0)</f>
        <v>6</v>
      </c>
      <c r="CR11" s="9">
        <f>RANK(M11,$I11:$N11,0)</f>
        <v>5</v>
      </c>
      <c r="CS11" s="9">
        <f>RANK(N11,$I11:$N11,0)</f>
        <v>4</v>
      </c>
      <c r="CT11" s="9"/>
      <c r="CU11" s="9" t="str">
        <f>IF($H11&gt;I11,"SUP","RES")</f>
        <v>SUP</v>
      </c>
      <c r="CV11" s="9" t="str">
        <f>IF($H11&gt;J11,"SUP","RES")</f>
        <v>SUP</v>
      </c>
      <c r="CW11" s="9" t="str">
        <f>IF($H11&gt;K11,"SUP","RES")</f>
        <v>RES</v>
      </c>
      <c r="CX11" s="9" t="str">
        <f>IF($H11&gt;L11,"SUP","RES")</f>
        <v>SUP</v>
      </c>
      <c r="CY11" s="9" t="str">
        <f>IF($H11&gt;M11,"SUP","RES")</f>
        <v>SUP</v>
      </c>
      <c r="CZ11" s="9" t="str">
        <f>IF($H11&gt;N11,"SUP","RES")</f>
        <v>SUP</v>
      </c>
      <c r="DA11" s="9"/>
      <c r="DB11" s="12">
        <f>(I11-$H11)/$H11</f>
        <v>-5.8810844719675699E-5</v>
      </c>
      <c r="DC11" s="12">
        <f>(J11-$H11)/$H11</f>
        <v>-8.1028274947230491E-4</v>
      </c>
      <c r="DD11" s="12">
        <f>(K11-$H11)/$H11</f>
        <v>1.4898747329008034E-3</v>
      </c>
      <c r="DE11" s="12">
        <f>(L11-$H11)/$H11</f>
        <v>-3.0581639254277791E-3</v>
      </c>
      <c r="DF11" s="12">
        <f>(M11-$H11)/$H11</f>
        <v>-2.8163860082464774E-3</v>
      </c>
      <c r="DG11" s="12">
        <f>(N11-$H11)/$H11</f>
        <v>-1.6663072670600164E-3</v>
      </c>
      <c r="DH11" s="12"/>
      <c r="DI11" s="12">
        <f>((H11-MIN(I11:N11))/(MAX(I11:N11)-MIN(I11:N11)))</f>
        <v>0.67241379310343485</v>
      </c>
      <c r="DJ11" s="13">
        <f t="shared" si="2"/>
        <v>1</v>
      </c>
      <c r="DK11" s="14">
        <f t="shared" si="3"/>
        <v>5</v>
      </c>
      <c r="DL11" s="12">
        <f t="shared" si="18"/>
        <v>1.4898747329008034E-3</v>
      </c>
      <c r="DM11" s="12">
        <f t="shared" si="19"/>
        <v>-5.8810844719675699E-5</v>
      </c>
      <c r="DN11" s="12">
        <f t="shared" si="20"/>
        <v>-8.1028274947230491E-4</v>
      </c>
      <c r="DO11" s="12">
        <f t="shared" si="21"/>
        <v>-1.6663072670600164E-3</v>
      </c>
      <c r="DP11" s="12">
        <f t="shared" si="22"/>
        <v>-2.8163860082464774E-3</v>
      </c>
      <c r="DQ11" s="12">
        <f t="shared" si="23"/>
        <v>-3.0581639254277791E-3</v>
      </c>
      <c r="DR11" s="9"/>
      <c r="DS11" s="9" t="str">
        <f>IF(AQ11&gt;AG11,"Overbought",IF(AQ11&gt;AI11,"Bullish Momentum",IF(AQ11&gt;AK11,"Overprice Setting Up","-----")))</f>
        <v>-----</v>
      </c>
      <c r="DT11" s="9" t="str">
        <f>IF(AQ11&lt;AP11,"Oversold",IF(AQ11&lt;AN11,"Bearish Momentum",IF(AQ11&lt;AL11,"Underprice Setting Up","-----")))</f>
        <v>Underprice Setting Up</v>
      </c>
      <c r="DU11" s="9"/>
      <c r="DV11" s="22"/>
      <c r="DW11" s="22"/>
      <c r="DX11" s="23">
        <f>(AR11-AT11)/AT11</f>
        <v>-8.8117228549994655E-4</v>
      </c>
      <c r="DY11" s="23">
        <f t="shared" si="4"/>
        <v>-1.2426619711579083</v>
      </c>
      <c r="DZ11" s="23" t="str">
        <f>IF(DY11&gt;PERCENTILE($DY$5:$DY$103,90%),"Reverse to Bearish",IF(DY11&gt;=PERCENTILE($DY$5:$DY$103,70%),"-----",IF(DY11&gt;=PERCENTILE($DY$5:$DY$103,30%),"-----",IF(DY11&gt;=PERCENTILE($DY$5:$DY$103,10%),"-----","Reverse to Bullish"))))</f>
        <v>-----</v>
      </c>
      <c r="EA11" s="23" t="str">
        <f>IF(AQ11&gt;AR11,"Bullish","Bearish")</f>
        <v>Bearish</v>
      </c>
      <c r="EB11" s="22" t="str">
        <f>IF(AND(H11&gt;AQ11,H10&lt;AQ10),"TEMA crossover","-----")</f>
        <v>-----</v>
      </c>
      <c r="EC11" s="22" t="str">
        <f>IF(AND(H11&lt;AQ11,H10&gt;AQ10),"TEMA crossunder","-----")</f>
        <v>-----</v>
      </c>
      <c r="ED11" s="22"/>
      <c r="EE11" s="24" t="str">
        <f t="shared" si="33"/>
        <v>-----</v>
      </c>
      <c r="EF11" s="24" t="str">
        <f t="shared" si="34"/>
        <v>-----</v>
      </c>
      <c r="EG11" s="24" t="str">
        <f t="shared" si="35"/>
        <v>-----</v>
      </c>
      <c r="EH11" s="24" t="str">
        <f t="shared" si="36"/>
        <v>YES</v>
      </c>
      <c r="EI11" s="25" t="str">
        <f>IF(DV11="Bullish","YES","-----")</f>
        <v>-----</v>
      </c>
      <c r="EJ11" s="25" t="str">
        <f>IF(DZ11="Reverse to Bullish","YES","-----")</f>
        <v>-----</v>
      </c>
      <c r="EK11" s="25" t="str">
        <f>IF(AND(EA11="Bearish",EA10="Bearish",EA9="Bearish",EA8="Bearish"),"YES","-----")</f>
        <v>YES</v>
      </c>
      <c r="EL11" s="25" t="str">
        <f>IF(OR(EC11="TEMA crossover",EC10="TEMA crossover",EC9="TEMA crossover",EC8="TEMA crossover"),"YES","-----")</f>
        <v>-----</v>
      </c>
      <c r="EM11" s="24" t="str">
        <f>IF(AND(EE11="YES",EF11="YES",EG11="YES",EH11="YES"),"Open Sell / Close Buy","-----")</f>
        <v>-----</v>
      </c>
      <c r="EN11" s="25" t="str">
        <f t="shared" si="32"/>
        <v>-----</v>
      </c>
      <c r="EO11" s="23"/>
      <c r="EP11" s="9" t="str">
        <f>IF(AND(H11&gt;AV11,H11&gt;E11),"Bullish Trigger","-----")</f>
        <v>-----</v>
      </c>
      <c r="EQ11" s="9" t="str">
        <f>IF(AND(H11&lt;AW11,H11&lt;E11),"Bearish Trigger","-----")</f>
        <v>-----</v>
      </c>
      <c r="ER11" s="9"/>
      <c r="ES11" s="9" t="str">
        <f>IF(G11&gt;AV11,"Bullish Spike","-----")</f>
        <v>-----</v>
      </c>
      <c r="ET11" s="9" t="str">
        <f>IF(F11&lt;AW11,"Bearish Spike","-----")</f>
        <v>-----</v>
      </c>
      <c r="EU11" s="9"/>
      <c r="EV11" s="20">
        <f t="shared" si="5"/>
        <v>9.0000000000003411E-2</v>
      </c>
      <c r="EW11" s="9">
        <f t="shared" si="24"/>
        <v>0.32778125165269489</v>
      </c>
      <c r="EX11" s="21" t="str">
        <f t="shared" si="25"/>
        <v>-----</v>
      </c>
      <c r="EY11" s="9"/>
    </row>
    <row r="12" spans="1:155" x14ac:dyDescent="0.55000000000000004">
      <c r="A12">
        <v>8</v>
      </c>
      <c r="B12" t="s">
        <v>11</v>
      </c>
      <c r="C12" t="s">
        <v>4</v>
      </c>
      <c r="D12" t="s">
        <v>103</v>
      </c>
      <c r="E12">
        <v>153.03299999999999</v>
      </c>
      <c r="F12">
        <v>153.102</v>
      </c>
      <c r="G12">
        <v>152.98599999999999</v>
      </c>
      <c r="H12">
        <v>152.999</v>
      </c>
      <c r="I12">
        <v>153.02099999999999</v>
      </c>
      <c r="J12">
        <v>152.90799999999999</v>
      </c>
      <c r="K12">
        <v>153.25899999999999</v>
      </c>
      <c r="L12">
        <v>152.565</v>
      </c>
      <c r="M12">
        <v>152.601</v>
      </c>
      <c r="N12">
        <v>152.779</v>
      </c>
      <c r="O12" s="16">
        <f t="shared" si="0"/>
        <v>0.11600000000001387</v>
      </c>
      <c r="P12" s="16">
        <f t="shared" si="6"/>
        <v>6.9000000000016826E-2</v>
      </c>
      <c r="Q12" s="16">
        <f t="shared" si="7"/>
        <v>4.6999999999997044E-2</v>
      </c>
      <c r="R12" s="16">
        <f t="shared" si="8"/>
        <v>0.11600000000001387</v>
      </c>
      <c r="S12" s="16"/>
      <c r="T12">
        <v>0</v>
      </c>
      <c r="U12">
        <v>0</v>
      </c>
      <c r="V12">
        <v>0</v>
      </c>
      <c r="W12">
        <v>0</v>
      </c>
      <c r="Y12" s="9" t="str">
        <f t="shared" si="9"/>
        <v>------</v>
      </c>
      <c r="Z12" s="9" t="str">
        <f t="shared" si="10"/>
        <v>------</v>
      </c>
      <c r="AA12" s="9"/>
      <c r="AB12">
        <v>0</v>
      </c>
      <c r="AD12" t="str">
        <f t="shared" si="1"/>
        <v/>
      </c>
      <c r="AE12">
        <v>0.33183000000000001</v>
      </c>
      <c r="AF12">
        <v>3</v>
      </c>
      <c r="AG12">
        <v>153.55466000000001</v>
      </c>
      <c r="AH12">
        <v>153.47248999999999</v>
      </c>
      <c r="AI12">
        <v>153.39032</v>
      </c>
      <c r="AJ12">
        <v>153.30814000000001</v>
      </c>
      <c r="AK12">
        <v>153.22596999999999</v>
      </c>
      <c r="AL12">
        <v>153.11232000000001</v>
      </c>
      <c r="AM12">
        <v>153.03013999999999</v>
      </c>
      <c r="AN12">
        <v>152.94797</v>
      </c>
      <c r="AO12">
        <v>152.86580000000001</v>
      </c>
      <c r="AP12">
        <v>152.78362000000001</v>
      </c>
      <c r="AQ12">
        <v>153.01</v>
      </c>
      <c r="AR12">
        <v>153.05099999999999</v>
      </c>
      <c r="AS12">
        <f t="shared" si="26"/>
        <v>8</v>
      </c>
      <c r="AT12">
        <v>153.19200000000001</v>
      </c>
      <c r="AU12">
        <v>153.297</v>
      </c>
      <c r="AV12">
        <v>153.06399999999999</v>
      </c>
      <c r="AW12">
        <v>152.96899999999999</v>
      </c>
      <c r="AY12" s="4">
        <f>I12*(1+$AY$2)</f>
        <v>153.04395314999999</v>
      </c>
      <c r="AZ12" s="4">
        <f>I12*(1-$AY$2)</f>
        <v>152.99804684999998</v>
      </c>
      <c r="BA12" s="4">
        <f>J12*(1+$AY$2)</f>
        <v>152.93093619999999</v>
      </c>
      <c r="BB12" s="4">
        <f>J12*(1-$AY$2)</f>
        <v>152.88506379999998</v>
      </c>
      <c r="BC12" s="4">
        <f>K12*(1+$AY$2)</f>
        <v>153.28198885</v>
      </c>
      <c r="BD12" s="4">
        <f>K12*(1-$AY$2)</f>
        <v>153.23601115</v>
      </c>
      <c r="BE12" s="4">
        <f>L12*(1+$AY$2)</f>
        <v>152.58788475</v>
      </c>
      <c r="BF12" s="4">
        <f>L12*(1-$AY$2)</f>
        <v>152.54211524999999</v>
      </c>
      <c r="BG12" s="4">
        <f>M12*(1+$AY$2)</f>
        <v>152.62389015000002</v>
      </c>
      <c r="BH12" s="4">
        <f>M12*(1-$AY$2)</f>
        <v>152.57810985</v>
      </c>
      <c r="BI12" s="4">
        <f>N12*(1+$AY$2)</f>
        <v>152.80191685</v>
      </c>
      <c r="BJ12" s="4">
        <f>N12*(1-$AY$2)</f>
        <v>152.75608314999999</v>
      </c>
      <c r="BK12" s="30">
        <f t="shared" si="27"/>
        <v>8</v>
      </c>
      <c r="BL12" s="15" t="str">
        <f t="shared" si="11"/>
        <v>TOUCH</v>
      </c>
      <c r="BM12" s="15" t="str">
        <f t="shared" si="12"/>
        <v>-----</v>
      </c>
      <c r="BN12" s="15" t="str">
        <f t="shared" si="13"/>
        <v>-----</v>
      </c>
      <c r="BO12" s="15" t="str">
        <f t="shared" si="14"/>
        <v>-----</v>
      </c>
      <c r="BP12" s="15" t="str">
        <f t="shared" si="15"/>
        <v>-----</v>
      </c>
      <c r="BQ12" s="15" t="str">
        <f t="shared" si="16"/>
        <v>-----</v>
      </c>
      <c r="BR12" s="22"/>
      <c r="BS12" s="9">
        <f t="shared" si="17"/>
        <v>-2.423265306122455E-3</v>
      </c>
      <c r="BT12" s="9">
        <f>SLOPE(J$5:J$103,$A$5:$A$103)</f>
        <v>-3.7194805194805478E-4</v>
      </c>
      <c r="BU12" s="9">
        <f>SLOPE(K$5:K$103,$A$5:$A$103)</f>
        <v>-1.6402721088435472E-3</v>
      </c>
      <c r="BV12" s="9">
        <f>SLOPE(L$5:L$103,$A$5:$A$103)</f>
        <v>7.6471243042669956E-4</v>
      </c>
      <c r="BW12" s="9">
        <f>SLOPE(M$5:M$103,$A$5:$A$103)</f>
        <v>-2.3081014223875058E-4</v>
      </c>
      <c r="BX12" s="9">
        <f>SLOPE(N$5:N$103,$A$5:$A$103)</f>
        <v>1.5802844774273381E-3</v>
      </c>
      <c r="BY12"/>
      <c r="BZ12" s="9"/>
      <c r="CA12" s="9"/>
      <c r="CB12" s="9"/>
      <c r="CC12" s="9"/>
      <c r="CD12" s="9"/>
      <c r="CE12" s="9"/>
      <c r="CF12"/>
      <c r="CG12"/>
      <c r="CH12"/>
      <c r="CI12"/>
      <c r="CJ12"/>
      <c r="CK12"/>
      <c r="CL12"/>
      <c r="CM12" s="9"/>
      <c r="CN12" s="9">
        <f>RANK(I12,$I12:$N12,0)</f>
        <v>2</v>
      </c>
      <c r="CO12" s="9">
        <f>RANK(J12,$I12:$N12,0)</f>
        <v>3</v>
      </c>
      <c r="CP12" s="9">
        <f>RANK(K12,$I12:$N12,0)</f>
        <v>1</v>
      </c>
      <c r="CQ12" s="9">
        <f>RANK(L12,$I12:$N12,0)</f>
        <v>6</v>
      </c>
      <c r="CR12" s="9">
        <f>RANK(M12,$I12:$N12,0)</f>
        <v>5</v>
      </c>
      <c r="CS12" s="9">
        <f>RANK(N12,$I12:$N12,0)</f>
        <v>4</v>
      </c>
      <c r="CT12" s="9"/>
      <c r="CU12" s="9" t="str">
        <f>IF($H12&gt;I12,"SUP","RES")</f>
        <v>RES</v>
      </c>
      <c r="CV12" s="9" t="str">
        <f>IF($H12&gt;J12,"SUP","RES")</f>
        <v>SUP</v>
      </c>
      <c r="CW12" s="9" t="str">
        <f>IF($H12&gt;K12,"SUP","RES")</f>
        <v>RES</v>
      </c>
      <c r="CX12" s="9" t="str">
        <f>IF($H12&gt;L12,"SUP","RES")</f>
        <v>SUP</v>
      </c>
      <c r="CY12" s="9" t="str">
        <f>IF($H12&gt;M12,"SUP","RES")</f>
        <v>SUP</v>
      </c>
      <c r="CZ12" s="9" t="str">
        <f>IF($H12&gt;N12,"SUP","RES")</f>
        <v>SUP</v>
      </c>
      <c r="DA12" s="9"/>
      <c r="DB12" s="12">
        <f>(I12-$H12)/$H12</f>
        <v>1.4379178948876372E-4</v>
      </c>
      <c r="DC12" s="12">
        <f>(J12-$H12)/$H12</f>
        <v>-5.9477512924926426E-4</v>
      </c>
      <c r="DD12" s="12">
        <f>(K12-$H12)/$H12</f>
        <v>1.6993575121405427E-3</v>
      </c>
      <c r="DE12" s="12">
        <f>(L12-$H12)/$H12</f>
        <v>-2.8366198471885275E-3</v>
      </c>
      <c r="DF12" s="12">
        <f>(M12-$H12)/$H12</f>
        <v>-2.6013241916613581E-3</v>
      </c>
      <c r="DG12" s="12">
        <f>(N12-$H12)/$H12</f>
        <v>-1.4379178948881945E-3</v>
      </c>
      <c r="DH12" s="12"/>
      <c r="DI12" s="12">
        <f>((H12-MIN(I12:N12))/(MAX(I12:N12)-MIN(I12:N12)))</f>
        <v>0.62536023054755729</v>
      </c>
      <c r="DJ12" s="13">
        <f t="shared" si="2"/>
        <v>2</v>
      </c>
      <c r="DK12" s="14">
        <f t="shared" si="3"/>
        <v>4</v>
      </c>
      <c r="DL12" s="12">
        <f t="shared" si="18"/>
        <v>1.6993575121405427E-3</v>
      </c>
      <c r="DM12" s="12">
        <f t="shared" si="19"/>
        <v>1.4379178948876372E-4</v>
      </c>
      <c r="DN12" s="12">
        <f t="shared" si="20"/>
        <v>-5.9477512924926426E-4</v>
      </c>
      <c r="DO12" s="12">
        <f t="shared" si="21"/>
        <v>-1.4379178948881945E-3</v>
      </c>
      <c r="DP12" s="12">
        <f t="shared" si="22"/>
        <v>-2.6013241916613581E-3</v>
      </c>
      <c r="DQ12" s="12">
        <f t="shared" si="23"/>
        <v>-2.8366198471885275E-3</v>
      </c>
      <c r="DR12" s="9"/>
      <c r="DS12" s="9" t="str">
        <f>IF(AQ12&gt;AG12,"Overbought",IF(AQ12&gt;AI12,"Bullish Momentum",IF(AQ12&gt;AK12,"Overprice Setting Up","-----")))</f>
        <v>-----</v>
      </c>
      <c r="DT12" s="9" t="str">
        <f>IF(AQ12&lt;AP12,"Oversold",IF(AQ12&lt;AN12,"Bearish Momentum",IF(AQ12&lt;AL12,"Underprice Setting Up","-----")))</f>
        <v>Underprice Setting Up</v>
      </c>
      <c r="DU12" s="9"/>
      <c r="DV12" s="22"/>
      <c r="DW12" s="22"/>
      <c r="DX12" s="23">
        <f>(AR12-AT12)/AT12</f>
        <v>-9.2041359862146557E-4</v>
      </c>
      <c r="DY12" s="23">
        <f t="shared" si="4"/>
        <v>-1.3558359892427192</v>
      </c>
      <c r="DZ12" s="23" t="str">
        <f>IF(DY12&gt;PERCENTILE($DY$5:$DY$103,90%),"Reverse to Bearish",IF(DY12&gt;=PERCENTILE($DY$5:$DY$103,70%),"-----",IF(DY12&gt;=PERCENTILE($DY$5:$DY$103,30%),"-----",IF(DY12&gt;=PERCENTILE($DY$5:$DY$103,10%),"-----","Reverse to Bullish"))))</f>
        <v>-----</v>
      </c>
      <c r="EA12" s="23" t="str">
        <f>IF(AQ12&gt;AR12,"Bullish","Bearish")</f>
        <v>Bearish</v>
      </c>
      <c r="EB12" s="22" t="str">
        <f>IF(AND(H12&gt;AQ12,H11&lt;AQ11),"TEMA crossover","-----")</f>
        <v>-----</v>
      </c>
      <c r="EC12" s="22" t="str">
        <f>IF(AND(H12&lt;AQ12,H11&gt;AQ11),"TEMA crossunder","-----")</f>
        <v>TEMA crossunder</v>
      </c>
      <c r="ED12" s="22"/>
      <c r="EE12" s="24" t="str">
        <f t="shared" si="33"/>
        <v>-----</v>
      </c>
      <c r="EF12" s="24" t="str">
        <f t="shared" si="34"/>
        <v>-----</v>
      </c>
      <c r="EG12" s="24" t="str">
        <f t="shared" si="35"/>
        <v>-----</v>
      </c>
      <c r="EH12" s="24" t="str">
        <f t="shared" si="36"/>
        <v>YES</v>
      </c>
      <c r="EI12" s="25" t="str">
        <f>IF(DV12="Bullish","YES","-----")</f>
        <v>-----</v>
      </c>
      <c r="EJ12" s="25" t="str">
        <f>IF(DZ12="Reverse to Bullish","YES","-----")</f>
        <v>-----</v>
      </c>
      <c r="EK12" s="25" t="str">
        <f>IF(AND(EA12="Bearish",EA11="Bearish",EA10="Bearish",EA9="Bearish"),"YES","-----")</f>
        <v>YES</v>
      </c>
      <c r="EL12" s="25" t="str">
        <f>IF(OR(EC12="TEMA crossover",EC11="TEMA crossover",EC10="TEMA crossover",EC9="TEMA crossover"),"YES","-----")</f>
        <v>-----</v>
      </c>
      <c r="EM12" s="24" t="str">
        <f>IF(AND(EE12="YES",EF12="YES",EG12="YES",EH12="YES"),"Open Sell / Close Buy","-----")</f>
        <v>-----</v>
      </c>
      <c r="EN12" s="25" t="str">
        <f t="shared" si="32"/>
        <v>-----</v>
      </c>
      <c r="EO12" s="23"/>
      <c r="EP12" s="9" t="str">
        <f>IF(AND(H12&gt;AV12,H12&gt;E12),"Bullish Trigger","-----")</f>
        <v>-----</v>
      </c>
      <c r="EQ12" s="9" t="str">
        <f>IF(AND(H12&lt;AW12,H12&lt;E12),"Bearish Trigger","-----")</f>
        <v>-----</v>
      </c>
      <c r="ER12" s="9"/>
      <c r="ES12" s="9" t="str">
        <f>IF(G12&gt;AV12,"Bullish Spike","-----")</f>
        <v>-----</v>
      </c>
      <c r="ET12" s="9" t="str">
        <f>IF(F12&lt;AW12,"Bearish Spike","-----")</f>
        <v>-----</v>
      </c>
      <c r="EU12" s="9"/>
      <c r="EV12" s="20">
        <f t="shared" si="5"/>
        <v>9.4999999999998863E-2</v>
      </c>
      <c r="EW12" s="9">
        <f t="shared" si="24"/>
        <v>0.44301684793673007</v>
      </c>
      <c r="EX12" s="21" t="str">
        <f t="shared" si="25"/>
        <v>-----</v>
      </c>
      <c r="EY12" s="9"/>
    </row>
    <row r="13" spans="1:155" x14ac:dyDescent="0.55000000000000004">
      <c r="A13">
        <v>9</v>
      </c>
      <c r="B13" t="s">
        <v>12</v>
      </c>
      <c r="C13" t="s">
        <v>4</v>
      </c>
      <c r="D13" t="s">
        <v>103</v>
      </c>
      <c r="E13">
        <v>152.988</v>
      </c>
      <c r="F13">
        <v>153.03399999999999</v>
      </c>
      <c r="G13">
        <v>152.96199999999999</v>
      </c>
      <c r="H13">
        <v>152.999</v>
      </c>
      <c r="I13">
        <v>153.01900000000001</v>
      </c>
      <c r="J13">
        <v>152.90799999999999</v>
      </c>
      <c r="K13">
        <v>153.25800000000001</v>
      </c>
      <c r="L13">
        <v>152.566</v>
      </c>
      <c r="M13">
        <v>152.601</v>
      </c>
      <c r="N13">
        <v>152.78100000000001</v>
      </c>
      <c r="O13" s="16">
        <f t="shared" si="0"/>
        <v>7.2000000000002728E-2</v>
      </c>
      <c r="P13" s="16">
        <f t="shared" si="6"/>
        <v>3.4999999999996589E-2</v>
      </c>
      <c r="Q13" s="16">
        <f t="shared" si="7"/>
        <v>3.7000000000006139E-2</v>
      </c>
      <c r="R13" s="16">
        <f t="shared" si="8"/>
        <v>7.2000000000002728E-2</v>
      </c>
      <c r="S13" s="16"/>
      <c r="T13">
        <v>0</v>
      </c>
      <c r="U13">
        <v>0</v>
      </c>
      <c r="V13">
        <v>0</v>
      </c>
      <c r="W13">
        <v>0</v>
      </c>
      <c r="Y13" s="9" t="str">
        <f t="shared" si="9"/>
        <v>------</v>
      </c>
      <c r="Z13" s="9" t="str">
        <f t="shared" si="10"/>
        <v>------</v>
      </c>
      <c r="AA13" s="9"/>
      <c r="AB13">
        <v>0</v>
      </c>
      <c r="AD13" t="str">
        <f t="shared" si="1"/>
        <v/>
      </c>
      <c r="AE13">
        <v>0.85755999999999999</v>
      </c>
      <c r="AF13">
        <v>0</v>
      </c>
      <c r="AG13">
        <v>153.53522000000001</v>
      </c>
      <c r="AH13">
        <v>153.45367999999999</v>
      </c>
      <c r="AI13">
        <v>153.37213</v>
      </c>
      <c r="AJ13">
        <v>153.29059000000001</v>
      </c>
      <c r="AK13">
        <v>153.20904999999999</v>
      </c>
      <c r="AL13">
        <v>153.09541999999999</v>
      </c>
      <c r="AM13">
        <v>153.01387</v>
      </c>
      <c r="AN13">
        <v>152.93233000000001</v>
      </c>
      <c r="AO13">
        <v>152.85078999999999</v>
      </c>
      <c r="AP13">
        <v>152.76924</v>
      </c>
      <c r="AQ13">
        <v>152.99299999999999</v>
      </c>
      <c r="AR13">
        <v>153.03200000000001</v>
      </c>
      <c r="AS13">
        <f t="shared" si="26"/>
        <v>9</v>
      </c>
      <c r="AT13">
        <v>153.17699999999999</v>
      </c>
      <c r="AU13">
        <v>153.28899999999999</v>
      </c>
      <c r="AV13">
        <v>153.03700000000001</v>
      </c>
      <c r="AW13">
        <v>152.958</v>
      </c>
      <c r="AY13" s="4">
        <f>I13*(1+$AY$2)</f>
        <v>153.04195285000003</v>
      </c>
      <c r="AZ13" s="4">
        <f>I13*(1-$AY$2)</f>
        <v>152.99604715000001</v>
      </c>
      <c r="BA13" s="4">
        <f>J13*(1+$AY$2)</f>
        <v>152.93093619999999</v>
      </c>
      <c r="BB13" s="4">
        <f>J13*(1-$AY$2)</f>
        <v>152.88506379999998</v>
      </c>
      <c r="BC13" s="4">
        <f>K13*(1+$AY$2)</f>
        <v>153.28098870000002</v>
      </c>
      <c r="BD13" s="4">
        <f>K13*(1-$AY$2)</f>
        <v>153.23501130000002</v>
      </c>
      <c r="BE13" s="4">
        <f>L13*(1+$AY$2)</f>
        <v>152.58888490000001</v>
      </c>
      <c r="BF13" s="4">
        <f>L13*(1-$AY$2)</f>
        <v>152.54311509999999</v>
      </c>
      <c r="BG13" s="4">
        <f>M13*(1+$AY$2)</f>
        <v>152.62389015000002</v>
      </c>
      <c r="BH13" s="4">
        <f>M13*(1-$AY$2)</f>
        <v>152.57810985</v>
      </c>
      <c r="BI13" s="4">
        <f>N13*(1+$AY$2)</f>
        <v>152.80391715000002</v>
      </c>
      <c r="BJ13" s="4">
        <f>N13*(1-$AY$2)</f>
        <v>152.75808285000002</v>
      </c>
      <c r="BK13" s="30">
        <f t="shared" si="27"/>
        <v>9</v>
      </c>
      <c r="BL13" s="15" t="str">
        <f t="shared" si="11"/>
        <v>TOUCH</v>
      </c>
      <c r="BM13" s="15" t="str">
        <f t="shared" si="12"/>
        <v>-----</v>
      </c>
      <c r="BN13" s="15" t="str">
        <f t="shared" si="13"/>
        <v>-----</v>
      </c>
      <c r="BO13" s="15" t="str">
        <f t="shared" si="14"/>
        <v>-----</v>
      </c>
      <c r="BP13" s="15" t="str">
        <f t="shared" si="15"/>
        <v>-----</v>
      </c>
      <c r="BQ13" s="15" t="str">
        <f t="shared" si="16"/>
        <v>-----</v>
      </c>
      <c r="BR13" s="22"/>
      <c r="BS13" s="9">
        <f t="shared" si="17"/>
        <v>-2.423265306122455E-3</v>
      </c>
      <c r="BT13" s="9">
        <f>SLOPE(J$5:J$103,$A$5:$A$103)</f>
        <v>-3.7194805194805478E-4</v>
      </c>
      <c r="BU13" s="9">
        <f>SLOPE(K$5:K$103,$A$5:$A$103)</f>
        <v>-1.6402721088435472E-3</v>
      </c>
      <c r="BV13" s="9">
        <f>SLOPE(L$5:L$103,$A$5:$A$103)</f>
        <v>7.6471243042669956E-4</v>
      </c>
      <c r="BW13" s="9">
        <f>SLOPE(M$5:M$103,$A$5:$A$103)</f>
        <v>-2.3081014223875058E-4</v>
      </c>
      <c r="BX13" s="9">
        <f>SLOPE(N$5:N$103,$A$5:$A$103)</f>
        <v>1.5802844774273381E-3</v>
      </c>
      <c r="BY13"/>
      <c r="BZ13" s="9"/>
      <c r="CA13" s="9"/>
      <c r="CB13" s="9"/>
      <c r="CC13" s="9"/>
      <c r="CD13" s="9"/>
      <c r="CE13" s="9"/>
      <c r="CF13"/>
      <c r="CG13"/>
      <c r="CH13"/>
      <c r="CI13"/>
      <c r="CJ13"/>
      <c r="CK13"/>
      <c r="CL13"/>
      <c r="CM13" s="9"/>
      <c r="CN13" s="9">
        <f>RANK(I13,$I13:$N13,0)</f>
        <v>2</v>
      </c>
      <c r="CO13" s="9">
        <f>RANK(J13,$I13:$N13,0)</f>
        <v>3</v>
      </c>
      <c r="CP13" s="9">
        <f>RANK(K13,$I13:$N13,0)</f>
        <v>1</v>
      </c>
      <c r="CQ13" s="9">
        <f>RANK(L13,$I13:$N13,0)</f>
        <v>6</v>
      </c>
      <c r="CR13" s="9">
        <f>RANK(M13,$I13:$N13,0)</f>
        <v>5</v>
      </c>
      <c r="CS13" s="9">
        <f>RANK(N13,$I13:$N13,0)</f>
        <v>4</v>
      </c>
      <c r="CT13" s="9"/>
      <c r="CU13" s="9" t="str">
        <f>IF($H13&gt;I13,"SUP","RES")</f>
        <v>RES</v>
      </c>
      <c r="CV13" s="9" t="str">
        <f>IF($H13&gt;J13,"SUP","RES")</f>
        <v>SUP</v>
      </c>
      <c r="CW13" s="9" t="str">
        <f>IF($H13&gt;K13,"SUP","RES")</f>
        <v>RES</v>
      </c>
      <c r="CX13" s="9" t="str">
        <f>IF($H13&gt;L13,"SUP","RES")</f>
        <v>SUP</v>
      </c>
      <c r="CY13" s="9" t="str">
        <f>IF($H13&gt;M13,"SUP","RES")</f>
        <v>SUP</v>
      </c>
      <c r="CZ13" s="9" t="str">
        <f>IF($H13&gt;N13,"SUP","RES")</f>
        <v>SUP</v>
      </c>
      <c r="DA13" s="9"/>
      <c r="DB13" s="12">
        <f>(I13-$H13)/$H13</f>
        <v>1.3071980862626705E-4</v>
      </c>
      <c r="DC13" s="12">
        <f>(J13-$H13)/$H13</f>
        <v>-5.9477512924926426E-4</v>
      </c>
      <c r="DD13" s="12">
        <f>(K13-$H13)/$H13</f>
        <v>1.6928215217093874E-3</v>
      </c>
      <c r="DE13" s="12">
        <f>(L13-$H13)/$H13</f>
        <v>-2.8300838567571862E-3</v>
      </c>
      <c r="DF13" s="12">
        <f>(M13-$H13)/$H13</f>
        <v>-2.6013241916613581E-3</v>
      </c>
      <c r="DG13" s="12">
        <f>(N13-$H13)/$H13</f>
        <v>-1.4248459140255121E-3</v>
      </c>
      <c r="DH13" s="12"/>
      <c r="DI13" s="12">
        <f>((H13-MIN(I13:N13))/(MAX(I13:N13)-MIN(I13:N13)))</f>
        <v>0.62572254335258404</v>
      </c>
      <c r="DJ13" s="13">
        <f t="shared" si="2"/>
        <v>2</v>
      </c>
      <c r="DK13" s="14">
        <f t="shared" si="3"/>
        <v>4</v>
      </c>
      <c r="DL13" s="12">
        <f t="shared" si="18"/>
        <v>1.6928215217093874E-3</v>
      </c>
      <c r="DM13" s="12">
        <f t="shared" si="19"/>
        <v>1.3071980862626705E-4</v>
      </c>
      <c r="DN13" s="12">
        <f t="shared" si="20"/>
        <v>-5.9477512924926426E-4</v>
      </c>
      <c r="DO13" s="12">
        <f t="shared" si="21"/>
        <v>-1.4248459140255121E-3</v>
      </c>
      <c r="DP13" s="12">
        <f t="shared" si="22"/>
        <v>-2.6013241916613581E-3</v>
      </c>
      <c r="DQ13" s="12">
        <f t="shared" si="23"/>
        <v>-2.8300838567571862E-3</v>
      </c>
      <c r="DR13" s="9"/>
      <c r="DS13" s="9" t="str">
        <f>IF(AQ13&gt;AG13,"Overbought",IF(AQ13&gt;AI13,"Bullish Momentum",IF(AQ13&gt;AK13,"Overprice Setting Up","-----")))</f>
        <v>-----</v>
      </c>
      <c r="DT13" s="9" t="str">
        <f>IF(AQ13&lt;AP13,"Oversold",IF(AQ13&lt;AN13,"Bearish Momentum",IF(AQ13&lt;AL13,"Underprice Setting Up","-----")))</f>
        <v>Underprice Setting Up</v>
      </c>
      <c r="DU13" s="9"/>
      <c r="DV13" s="22"/>
      <c r="DW13" s="22"/>
      <c r="DX13" s="23">
        <f>(AR13-AT13)/AT13</f>
        <v>-9.4661731199841893E-4</v>
      </c>
      <c r="DY13" s="23">
        <f t="shared" si="4"/>
        <v>-1.4314088815776156</v>
      </c>
      <c r="DZ13" s="23" t="str">
        <f>IF(DY13&gt;PERCENTILE($DY$5:$DY$103,90%),"Reverse to Bearish",IF(DY13&gt;=PERCENTILE($DY$5:$DY$103,70%),"-----",IF(DY13&gt;=PERCENTILE($DY$5:$DY$103,30%),"-----",IF(DY13&gt;=PERCENTILE($DY$5:$DY$103,10%),"-----","Reverse to Bullish"))))</f>
        <v>-----</v>
      </c>
      <c r="EA13" s="23" t="str">
        <f>IF(AQ13&gt;AR13,"Bullish","Bearish")</f>
        <v>Bearish</v>
      </c>
      <c r="EB13" s="22" t="str">
        <f>IF(AND(H13&gt;AQ13,H12&lt;AQ12),"TEMA crossover","-----")</f>
        <v>TEMA crossover</v>
      </c>
      <c r="EC13" s="22" t="str">
        <f>IF(AND(H13&lt;AQ13,H12&gt;AQ12),"TEMA crossunder","-----")</f>
        <v>-----</v>
      </c>
      <c r="ED13" s="22"/>
      <c r="EE13" s="24" t="str">
        <f t="shared" si="33"/>
        <v>-----</v>
      </c>
      <c r="EF13" s="24" t="str">
        <f t="shared" si="34"/>
        <v>-----</v>
      </c>
      <c r="EG13" s="24" t="str">
        <f t="shared" si="35"/>
        <v>-----</v>
      </c>
      <c r="EH13" s="24" t="str">
        <f t="shared" si="36"/>
        <v>YES</v>
      </c>
      <c r="EI13" s="25" t="str">
        <f>IF(DV13="Bullish","YES","-----")</f>
        <v>-----</v>
      </c>
      <c r="EJ13" s="25" t="str">
        <f>IF(DZ13="Reverse to Bullish","YES","-----")</f>
        <v>-----</v>
      </c>
      <c r="EK13" s="25" t="str">
        <f>IF(AND(EA13="Bearish",EA12="Bearish",EA11="Bearish",EA10="Bearish"),"YES","-----")</f>
        <v>YES</v>
      </c>
      <c r="EL13" s="25" t="str">
        <f>IF(OR(EC13="TEMA crossover",EC12="TEMA crossover",EC11="TEMA crossover",EC10="TEMA crossover"),"YES","-----")</f>
        <v>-----</v>
      </c>
      <c r="EM13" s="24" t="str">
        <f>IF(AND(EE13="YES",EF13="YES",EG13="YES",EH13="YES"),"Open Sell / Close Buy","-----")</f>
        <v>-----</v>
      </c>
      <c r="EN13" s="25" t="str">
        <f t="shared" si="32"/>
        <v>-----</v>
      </c>
      <c r="EO13" s="23"/>
      <c r="EP13" s="9" t="str">
        <f>IF(AND(H13&gt;AV13,H13&gt;E13),"Bullish Trigger","-----")</f>
        <v>-----</v>
      </c>
      <c r="EQ13" s="9" t="str">
        <f>IF(AND(H13&lt;AW13,H13&lt;E13),"Bearish Trigger","-----")</f>
        <v>-----</v>
      </c>
      <c r="ER13" s="9"/>
      <c r="ES13" s="9" t="str">
        <f>IF(G13&gt;AV13,"Bullish Spike","-----")</f>
        <v>-----</v>
      </c>
      <c r="ET13" s="9" t="str">
        <f>IF(F13&lt;AW13,"Bearish Spike","-----")</f>
        <v>-----</v>
      </c>
      <c r="EU13" s="9"/>
      <c r="EV13" s="20">
        <f t="shared" si="5"/>
        <v>7.9000000000007731E-2</v>
      </c>
      <c r="EW13" s="9">
        <f t="shared" si="24"/>
        <v>7.4262939827686447E-2</v>
      </c>
      <c r="EX13" s="21" t="str">
        <f t="shared" si="25"/>
        <v>-----</v>
      </c>
      <c r="EY13" s="9"/>
    </row>
    <row r="14" spans="1:155" x14ac:dyDescent="0.55000000000000004">
      <c r="A14">
        <v>10</v>
      </c>
      <c r="B14" t="s">
        <v>13</v>
      </c>
      <c r="C14" t="s">
        <v>4</v>
      </c>
      <c r="D14" t="s">
        <v>103</v>
      </c>
      <c r="E14">
        <v>152.999</v>
      </c>
      <c r="F14">
        <v>153.00399999999999</v>
      </c>
      <c r="G14">
        <v>152.82400000000001</v>
      </c>
      <c r="H14">
        <v>152.89699999999999</v>
      </c>
      <c r="I14">
        <v>153.01599999999999</v>
      </c>
      <c r="J14">
        <v>152.90799999999999</v>
      </c>
      <c r="K14">
        <v>153.256</v>
      </c>
      <c r="L14">
        <v>152.56700000000001</v>
      </c>
      <c r="M14">
        <v>152.601</v>
      </c>
      <c r="N14">
        <v>152.78200000000001</v>
      </c>
      <c r="O14" s="16">
        <f t="shared" si="0"/>
        <v>0.1799999999999784</v>
      </c>
      <c r="P14" s="16">
        <f t="shared" si="6"/>
        <v>4.9999999999954525E-3</v>
      </c>
      <c r="Q14" s="16">
        <f t="shared" si="7"/>
        <v>0.17499999999998295</v>
      </c>
      <c r="R14" s="16">
        <f t="shared" si="8"/>
        <v>0.1799999999999784</v>
      </c>
      <c r="S14" s="16"/>
      <c r="T14">
        <v>0</v>
      </c>
      <c r="U14">
        <v>0</v>
      </c>
      <c r="V14">
        <v>0</v>
      </c>
      <c r="W14">
        <v>0</v>
      </c>
      <c r="Y14" s="9" t="str">
        <f t="shared" si="9"/>
        <v>------</v>
      </c>
      <c r="Z14" s="9" t="str">
        <f t="shared" si="10"/>
        <v>------</v>
      </c>
      <c r="AA14" s="9"/>
      <c r="AB14">
        <v>0</v>
      </c>
      <c r="AD14" t="str">
        <f t="shared" si="1"/>
        <v/>
      </c>
      <c r="AE14">
        <v>1.2274099999999999</v>
      </c>
      <c r="AF14">
        <v>3</v>
      </c>
      <c r="AG14">
        <v>153.51904999999999</v>
      </c>
      <c r="AH14">
        <v>153.43704</v>
      </c>
      <c r="AI14">
        <v>153.35503</v>
      </c>
      <c r="AJ14">
        <v>153.27302</v>
      </c>
      <c r="AK14">
        <v>153.191</v>
      </c>
      <c r="AL14">
        <v>153.07550000000001</v>
      </c>
      <c r="AM14">
        <v>152.99349000000001</v>
      </c>
      <c r="AN14">
        <v>152.91148000000001</v>
      </c>
      <c r="AO14">
        <v>152.82946999999999</v>
      </c>
      <c r="AP14">
        <v>152.74745999999999</v>
      </c>
      <c r="AQ14">
        <v>152.941</v>
      </c>
      <c r="AR14">
        <v>153.005</v>
      </c>
      <c r="AS14">
        <f t="shared" si="26"/>
        <v>10</v>
      </c>
      <c r="AT14">
        <v>153.15700000000001</v>
      </c>
      <c r="AU14">
        <v>153.28</v>
      </c>
      <c r="AV14">
        <v>153.00800000000001</v>
      </c>
      <c r="AW14">
        <v>152.886</v>
      </c>
      <c r="AY14" s="4">
        <f>I14*(1+$AY$2)</f>
        <v>153.0389524</v>
      </c>
      <c r="AZ14" s="4">
        <f>I14*(1-$AY$2)</f>
        <v>152.99304759999998</v>
      </c>
      <c r="BA14" s="4">
        <f>J14*(1+$AY$2)</f>
        <v>152.93093619999999</v>
      </c>
      <c r="BB14" s="4">
        <f>J14*(1-$AY$2)</f>
        <v>152.88506379999998</v>
      </c>
      <c r="BC14" s="4">
        <f>K14*(1+$AY$2)</f>
        <v>153.2789884</v>
      </c>
      <c r="BD14" s="4">
        <f>K14*(1-$AY$2)</f>
        <v>153.2330116</v>
      </c>
      <c r="BE14" s="4">
        <f>L14*(1+$AY$2)</f>
        <v>152.58988505000002</v>
      </c>
      <c r="BF14" s="4">
        <f>L14*(1-$AY$2)</f>
        <v>152.54411495000002</v>
      </c>
      <c r="BG14" s="4">
        <f>M14*(1+$AY$2)</f>
        <v>152.62389015000002</v>
      </c>
      <c r="BH14" s="4">
        <f>M14*(1-$AY$2)</f>
        <v>152.57810985</v>
      </c>
      <c r="BI14" s="4">
        <f>N14*(1+$AY$2)</f>
        <v>152.80491730000003</v>
      </c>
      <c r="BJ14" s="4">
        <f>N14*(1-$AY$2)</f>
        <v>152.75908270000002</v>
      </c>
      <c r="BK14" s="30">
        <f t="shared" si="27"/>
        <v>10</v>
      </c>
      <c r="BL14" s="15" t="str">
        <f t="shared" si="11"/>
        <v>TOUCH</v>
      </c>
      <c r="BM14" s="15" t="str">
        <f t="shared" si="12"/>
        <v>TOUCH</v>
      </c>
      <c r="BN14" s="15" t="str">
        <f t="shared" si="13"/>
        <v>-----</v>
      </c>
      <c r="BO14" s="15" t="str">
        <f t="shared" si="14"/>
        <v>-----</v>
      </c>
      <c r="BP14" s="15" t="str">
        <f t="shared" si="15"/>
        <v>-----</v>
      </c>
      <c r="BQ14" s="15" t="str">
        <f t="shared" si="16"/>
        <v>-----</v>
      </c>
      <c r="BR14" s="22"/>
      <c r="BS14" s="9">
        <f t="shared" si="17"/>
        <v>-2.423265306122455E-3</v>
      </c>
      <c r="BT14" s="9">
        <f>SLOPE(J$5:J$103,$A$5:$A$103)</f>
        <v>-3.7194805194805478E-4</v>
      </c>
      <c r="BU14" s="9">
        <f>SLOPE(K$5:K$103,$A$5:$A$103)</f>
        <v>-1.6402721088435472E-3</v>
      </c>
      <c r="BV14" s="9">
        <f>SLOPE(L$5:L$103,$A$5:$A$103)</f>
        <v>7.6471243042669956E-4</v>
      </c>
      <c r="BW14" s="9">
        <f>SLOPE(M$5:M$103,$A$5:$A$103)</f>
        <v>-2.3081014223875058E-4</v>
      </c>
      <c r="BX14" s="9">
        <f>SLOPE(N$5:N$103,$A$5:$A$103)</f>
        <v>1.5802844774273381E-3</v>
      </c>
      <c r="BY14"/>
      <c r="BZ14" s="9"/>
      <c r="CA14" s="9"/>
      <c r="CB14" s="9"/>
      <c r="CC14" s="9"/>
      <c r="CD14" s="9"/>
      <c r="CE14" s="9"/>
      <c r="CF14"/>
      <c r="CG14"/>
      <c r="CH14"/>
      <c r="CI14"/>
      <c r="CJ14"/>
      <c r="CK14"/>
      <c r="CL14"/>
      <c r="CM14" s="9"/>
      <c r="CN14" s="9">
        <f>RANK(I14,$I14:$N14,0)</f>
        <v>2</v>
      </c>
      <c r="CO14" s="9">
        <f>RANK(J14,$I14:$N14,0)</f>
        <v>3</v>
      </c>
      <c r="CP14" s="9">
        <f>RANK(K14,$I14:$N14,0)</f>
        <v>1</v>
      </c>
      <c r="CQ14" s="9">
        <f>RANK(L14,$I14:$N14,0)</f>
        <v>6</v>
      </c>
      <c r="CR14" s="9">
        <f>RANK(M14,$I14:$N14,0)</f>
        <v>5</v>
      </c>
      <c r="CS14" s="9">
        <f>RANK(N14,$I14:$N14,0)</f>
        <v>4</v>
      </c>
      <c r="CT14" s="9"/>
      <c r="CU14" s="9" t="str">
        <f>IF($H14&gt;I14,"SUP","RES")</f>
        <v>RES</v>
      </c>
      <c r="CV14" s="9" t="str">
        <f>IF($H14&gt;J14,"SUP","RES")</f>
        <v>RES</v>
      </c>
      <c r="CW14" s="9" t="str">
        <f>IF($H14&gt;K14,"SUP","RES")</f>
        <v>RES</v>
      </c>
      <c r="CX14" s="9" t="str">
        <f>IF($H14&gt;L14,"SUP","RES")</f>
        <v>SUP</v>
      </c>
      <c r="CY14" s="9" t="str">
        <f>IF($H14&gt;M14,"SUP","RES")</f>
        <v>SUP</v>
      </c>
      <c r="CZ14" s="9" t="str">
        <f>IF($H14&gt;N14,"SUP","RES")</f>
        <v>SUP</v>
      </c>
      <c r="DA14" s="9"/>
      <c r="DB14" s="12">
        <f>(I14-$H14)/$H14</f>
        <v>7.7830173253889729E-4</v>
      </c>
      <c r="DC14" s="12">
        <f>(J14-$H14)/$H14</f>
        <v>7.1943857629617848E-5</v>
      </c>
      <c r="DD14" s="12">
        <f>(K14-$H14)/$H14</f>
        <v>2.3479858990039628E-3</v>
      </c>
      <c r="DE14" s="12">
        <f>(L14-$H14)/$H14</f>
        <v>-2.1583157288892793E-3</v>
      </c>
      <c r="DF14" s="12">
        <f>(M14-$H14)/$H14</f>
        <v>-1.9359438053067901E-3</v>
      </c>
      <c r="DG14" s="12">
        <f>(N14-$H14)/$H14</f>
        <v>-7.5214032976435557E-4</v>
      </c>
      <c r="DH14" s="12"/>
      <c r="DI14" s="12">
        <f>((H14-MIN(I14:N14))/(MAX(I14:N14)-MIN(I14:N14)))</f>
        <v>0.47895500725687584</v>
      </c>
      <c r="DJ14" s="13">
        <f t="shared" si="2"/>
        <v>3</v>
      </c>
      <c r="DK14" s="14">
        <f t="shared" si="3"/>
        <v>3</v>
      </c>
      <c r="DL14" s="12">
        <f t="shared" si="18"/>
        <v>2.3479858990039628E-3</v>
      </c>
      <c r="DM14" s="12">
        <f t="shared" si="19"/>
        <v>7.7830173253889729E-4</v>
      </c>
      <c r="DN14" s="12">
        <f t="shared" si="20"/>
        <v>7.1943857629617848E-5</v>
      </c>
      <c r="DO14" s="12">
        <f t="shared" si="21"/>
        <v>-7.5214032976435557E-4</v>
      </c>
      <c r="DP14" s="12">
        <f t="shared" si="22"/>
        <v>-1.9359438053067901E-3</v>
      </c>
      <c r="DQ14" s="12">
        <f t="shared" si="23"/>
        <v>-2.1583157288892793E-3</v>
      </c>
      <c r="DR14" s="9"/>
      <c r="DS14" s="9" t="str">
        <f>IF(AQ14&gt;AG14,"Overbought",IF(AQ14&gt;AI14,"Bullish Momentum",IF(AQ14&gt;AK14,"Overprice Setting Up","-----")))</f>
        <v>-----</v>
      </c>
      <c r="DT14" s="9" t="str">
        <f>IF(AQ14&lt;AP14,"Oversold",IF(AQ14&lt;AN14,"Bearish Momentum",IF(AQ14&lt;AL14,"Underprice Setting Up","-----")))</f>
        <v>Underprice Setting Up</v>
      </c>
      <c r="DU14" s="9"/>
      <c r="DV14" s="22"/>
      <c r="DW14" s="22"/>
      <c r="DX14" s="23">
        <f>(AR14-AT14)/AT14</f>
        <v>-9.9244566033557225E-4</v>
      </c>
      <c r="DY14" s="23">
        <f t="shared" si="4"/>
        <v>-1.5635802568688719</v>
      </c>
      <c r="DZ14" s="23" t="str">
        <f>IF(DY14&gt;PERCENTILE($DY$5:$DY$103,90%),"Reverse to Bearish",IF(DY14&gt;=PERCENTILE($DY$5:$DY$103,70%),"-----",IF(DY14&gt;=PERCENTILE($DY$5:$DY$103,30%),"-----",IF(DY14&gt;=PERCENTILE($DY$5:$DY$103,10%),"-----","Reverse to Bullish"))))</f>
        <v>-----</v>
      </c>
      <c r="EA14" s="23" t="str">
        <f>IF(AQ14&gt;AR14,"Bullish","Bearish")</f>
        <v>Bearish</v>
      </c>
      <c r="EB14" s="22" t="str">
        <f>IF(AND(H14&gt;AQ14,H13&lt;AQ13),"TEMA crossover","-----")</f>
        <v>-----</v>
      </c>
      <c r="EC14" s="22" t="str">
        <f>IF(AND(H14&lt;AQ14,H13&gt;AQ13),"TEMA crossunder","-----")</f>
        <v>TEMA crossunder</v>
      </c>
      <c r="ED14" s="22"/>
      <c r="EE14" s="24" t="str">
        <f t="shared" si="33"/>
        <v>-----</v>
      </c>
      <c r="EF14" s="24" t="str">
        <f t="shared" si="34"/>
        <v>-----</v>
      </c>
      <c r="EG14" s="24" t="str">
        <f t="shared" si="35"/>
        <v>-----</v>
      </c>
      <c r="EH14" s="24" t="str">
        <f t="shared" si="36"/>
        <v>YES</v>
      </c>
      <c r="EI14" s="25" t="str">
        <f>IF(DV14="Bullish","YES","-----")</f>
        <v>-----</v>
      </c>
      <c r="EJ14" s="25" t="str">
        <f>IF(DZ14="Reverse to Bullish","YES","-----")</f>
        <v>-----</v>
      </c>
      <c r="EK14" s="25" t="str">
        <f>IF(AND(EA14="Bearish",EA13="Bearish",EA12="Bearish",EA11="Bearish"),"YES","-----")</f>
        <v>YES</v>
      </c>
      <c r="EL14" s="25" t="str">
        <f>IF(OR(EC14="TEMA crossover",EC13="TEMA crossover",EC12="TEMA crossover",EC11="TEMA crossover"),"YES","-----")</f>
        <v>-----</v>
      </c>
      <c r="EM14" s="24" t="str">
        <f>IF(AND(EE14="YES",EF14="YES",EG14="YES",EH14="YES"),"Open Sell / Close Buy","-----")</f>
        <v>-----</v>
      </c>
      <c r="EN14" s="25" t="str">
        <f t="shared" si="32"/>
        <v>-----</v>
      </c>
      <c r="EO14" s="23"/>
      <c r="EP14" s="9" t="str">
        <f>IF(AND(H14&gt;AV14,H14&gt;E14),"Bullish Trigger","-----")</f>
        <v>-----</v>
      </c>
      <c r="EQ14" s="9" t="str">
        <f>IF(AND(H14&lt;AW14,H14&lt;E14),"Bearish Trigger","-----")</f>
        <v>-----</v>
      </c>
      <c r="ER14" s="9"/>
      <c r="ES14" s="9" t="str">
        <f>IF(G14&gt;AV14,"Bullish Spike","-----")</f>
        <v>-----</v>
      </c>
      <c r="ET14" s="9" t="str">
        <f>IF(F14&lt;AW14,"Bearish Spike","-----")</f>
        <v>-----</v>
      </c>
      <c r="EU14" s="9"/>
      <c r="EV14" s="20">
        <f t="shared" si="5"/>
        <v>0.1220000000000141</v>
      </c>
      <c r="EW14" s="9">
        <f t="shared" si="24"/>
        <v>1.0652890678714371</v>
      </c>
      <c r="EX14" s="21" t="str">
        <f t="shared" si="25"/>
        <v>-----</v>
      </c>
      <c r="EY14" s="9"/>
    </row>
    <row r="15" spans="1:155" x14ac:dyDescent="0.55000000000000004">
      <c r="A15">
        <v>11</v>
      </c>
      <c r="B15" t="s">
        <v>14</v>
      </c>
      <c r="C15" t="s">
        <v>4</v>
      </c>
      <c r="D15" t="s">
        <v>103</v>
      </c>
      <c r="E15">
        <v>152.9</v>
      </c>
      <c r="F15">
        <v>152.96199999999999</v>
      </c>
      <c r="G15">
        <v>152.869</v>
      </c>
      <c r="H15">
        <v>152.91</v>
      </c>
      <c r="I15">
        <v>153.01400000000001</v>
      </c>
      <c r="J15">
        <v>152.90700000000001</v>
      </c>
      <c r="K15">
        <v>153.255</v>
      </c>
      <c r="L15">
        <v>152.56800000000001</v>
      </c>
      <c r="M15">
        <v>152.601</v>
      </c>
      <c r="N15">
        <v>152.78399999999999</v>
      </c>
      <c r="O15" s="16">
        <f t="shared" si="0"/>
        <v>9.2999999999989313E-2</v>
      </c>
      <c r="P15" s="16">
        <f t="shared" si="6"/>
        <v>6.4999999999997726E-2</v>
      </c>
      <c r="Q15" s="16">
        <f t="shared" si="7"/>
        <v>2.7999999999991587E-2</v>
      </c>
      <c r="R15" s="16">
        <f t="shared" si="8"/>
        <v>9.2999999999989313E-2</v>
      </c>
      <c r="S15" s="16"/>
      <c r="T15">
        <v>0</v>
      </c>
      <c r="U15">
        <v>0</v>
      </c>
      <c r="V15">
        <v>0</v>
      </c>
      <c r="W15">
        <v>0</v>
      </c>
      <c r="Y15" s="9" t="str">
        <f t="shared" si="9"/>
        <v>------</v>
      </c>
      <c r="Z15" s="9" t="str">
        <f t="shared" si="10"/>
        <v>------</v>
      </c>
      <c r="AA15" s="9"/>
      <c r="AB15">
        <v>0</v>
      </c>
      <c r="AD15" t="str">
        <f t="shared" si="1"/>
        <v/>
      </c>
      <c r="AE15">
        <v>0.88166999999999995</v>
      </c>
      <c r="AF15">
        <v>0</v>
      </c>
      <c r="AG15">
        <v>153.49529999999999</v>
      </c>
      <c r="AH15">
        <v>153.41435000000001</v>
      </c>
      <c r="AI15">
        <v>153.33340000000001</v>
      </c>
      <c r="AJ15">
        <v>153.25245000000001</v>
      </c>
      <c r="AK15">
        <v>153.17150000000001</v>
      </c>
      <c r="AL15">
        <v>153.05507</v>
      </c>
      <c r="AM15">
        <v>152.97412</v>
      </c>
      <c r="AN15">
        <v>152.89317</v>
      </c>
      <c r="AO15">
        <v>152.81222</v>
      </c>
      <c r="AP15">
        <v>152.73126999999999</v>
      </c>
      <c r="AQ15">
        <v>152.91300000000001</v>
      </c>
      <c r="AR15">
        <v>152.97800000000001</v>
      </c>
      <c r="AS15">
        <f t="shared" si="26"/>
        <v>11</v>
      </c>
      <c r="AT15">
        <v>153.13900000000001</v>
      </c>
      <c r="AU15">
        <v>153.26900000000001</v>
      </c>
      <c r="AV15">
        <v>152.971</v>
      </c>
      <c r="AW15">
        <v>152.864</v>
      </c>
      <c r="AY15" s="4">
        <f>I15*(1+$AY$2)</f>
        <v>153.03695210000004</v>
      </c>
      <c r="AZ15" s="4">
        <f>I15*(1-$AY$2)</f>
        <v>152.99104790000001</v>
      </c>
      <c r="BA15" s="4">
        <f>J15*(1+$AY$2)</f>
        <v>152.92993605000004</v>
      </c>
      <c r="BB15" s="4">
        <f>J15*(1-$AY$2)</f>
        <v>152.88406395000001</v>
      </c>
      <c r="BC15" s="4">
        <f>K15*(1+$AY$2)</f>
        <v>153.27798825000002</v>
      </c>
      <c r="BD15" s="4">
        <f>K15*(1-$AY$2)</f>
        <v>153.23201175</v>
      </c>
      <c r="BE15" s="4">
        <f>L15*(1+$AY$2)</f>
        <v>152.59088520000003</v>
      </c>
      <c r="BF15" s="4">
        <f>L15*(1-$AY$2)</f>
        <v>152.54511480000002</v>
      </c>
      <c r="BG15" s="4">
        <f>M15*(1+$AY$2)</f>
        <v>152.62389015000002</v>
      </c>
      <c r="BH15" s="4">
        <f>M15*(1-$AY$2)</f>
        <v>152.57810985</v>
      </c>
      <c r="BI15" s="4">
        <f>N15*(1+$AY$2)</f>
        <v>152.80691760000002</v>
      </c>
      <c r="BJ15" s="4">
        <f>N15*(1-$AY$2)</f>
        <v>152.76108239999999</v>
      </c>
      <c r="BK15" s="30">
        <f t="shared" si="27"/>
        <v>11</v>
      </c>
      <c r="BL15" s="15" t="str">
        <f t="shared" si="11"/>
        <v>-----</v>
      </c>
      <c r="BM15" s="15" t="str">
        <f t="shared" si="12"/>
        <v>TOUCH</v>
      </c>
      <c r="BN15" s="15" t="str">
        <f t="shared" si="13"/>
        <v>-----</v>
      </c>
      <c r="BO15" s="15" t="str">
        <f t="shared" si="14"/>
        <v>-----</v>
      </c>
      <c r="BP15" s="15" t="str">
        <f t="shared" si="15"/>
        <v>-----</v>
      </c>
      <c r="BQ15" s="15" t="str">
        <f t="shared" si="16"/>
        <v>-----</v>
      </c>
      <c r="BR15" s="22"/>
      <c r="BS15" s="9">
        <f t="shared" si="17"/>
        <v>-2.423265306122455E-3</v>
      </c>
      <c r="BT15" s="9">
        <f>SLOPE(J$5:J$103,$A$5:$A$103)</f>
        <v>-3.7194805194805478E-4</v>
      </c>
      <c r="BU15" s="9">
        <f>SLOPE(K$5:K$103,$A$5:$A$103)</f>
        <v>-1.6402721088435472E-3</v>
      </c>
      <c r="BV15" s="9">
        <f>SLOPE(L$5:L$103,$A$5:$A$103)</f>
        <v>7.6471243042669956E-4</v>
      </c>
      <c r="BW15" s="9">
        <f>SLOPE(M$5:M$103,$A$5:$A$103)</f>
        <v>-2.3081014223875058E-4</v>
      </c>
      <c r="BX15" s="9">
        <f>SLOPE(N$5:N$103,$A$5:$A$103)</f>
        <v>1.5802844774273381E-3</v>
      </c>
      <c r="BY15"/>
      <c r="BZ15" s="9"/>
      <c r="CA15" s="9"/>
      <c r="CB15" s="9"/>
      <c r="CC15" s="9"/>
      <c r="CD15" s="9"/>
      <c r="CE15" s="9"/>
      <c r="CF15"/>
      <c r="CG15"/>
      <c r="CH15"/>
      <c r="CI15"/>
      <c r="CJ15"/>
      <c r="CK15"/>
      <c r="CL15"/>
      <c r="CM15" s="9"/>
      <c r="CN15" s="9">
        <f>RANK(I15,$I15:$N15,0)</f>
        <v>2</v>
      </c>
      <c r="CO15" s="9">
        <f>RANK(J15,$I15:$N15,0)</f>
        <v>3</v>
      </c>
      <c r="CP15" s="9">
        <f>RANK(K15,$I15:$N15,0)</f>
        <v>1</v>
      </c>
      <c r="CQ15" s="9">
        <f>RANK(L15,$I15:$N15,0)</f>
        <v>6</v>
      </c>
      <c r="CR15" s="9">
        <f>RANK(M15,$I15:$N15,0)</f>
        <v>5</v>
      </c>
      <c r="CS15" s="9">
        <f>RANK(N15,$I15:$N15,0)</f>
        <v>4</v>
      </c>
      <c r="CT15" s="9"/>
      <c r="CU15" s="9" t="str">
        <f>IF($H15&gt;I15,"SUP","RES")</f>
        <v>RES</v>
      </c>
      <c r="CV15" s="9" t="str">
        <f>IF($H15&gt;J15,"SUP","RES")</f>
        <v>SUP</v>
      </c>
      <c r="CW15" s="9" t="str">
        <f>IF($H15&gt;K15,"SUP","RES")</f>
        <v>RES</v>
      </c>
      <c r="CX15" s="9" t="str">
        <f>IF($H15&gt;L15,"SUP","RES")</f>
        <v>SUP</v>
      </c>
      <c r="CY15" s="9" t="str">
        <f>IF($H15&gt;M15,"SUP","RES")</f>
        <v>SUP</v>
      </c>
      <c r="CZ15" s="9" t="str">
        <f>IF($H15&gt;N15,"SUP","RES")</f>
        <v>SUP</v>
      </c>
      <c r="DA15" s="9"/>
      <c r="DB15" s="12">
        <f>(I15-$H15)/$H15</f>
        <v>6.8013864364667724E-4</v>
      </c>
      <c r="DC15" s="12">
        <f>(J15-$H15)/$H15</f>
        <v>-1.9619383951251736E-5</v>
      </c>
      <c r="DD15" s="12">
        <f>(K15-$H15)/$H15</f>
        <v>2.2562291544045445E-3</v>
      </c>
      <c r="DE15" s="12">
        <f>(L15-$H15)/$H15</f>
        <v>-2.2366097704531068E-3</v>
      </c>
      <c r="DF15" s="12">
        <f>(M15-$H15)/$H15</f>
        <v>-2.0207965469884082E-3</v>
      </c>
      <c r="DG15" s="12">
        <f>(N15-$H15)/$H15</f>
        <v>-8.2401412595647624E-4</v>
      </c>
      <c r="DH15" s="12"/>
      <c r="DI15" s="12">
        <f>((H15-MIN(I15:N15))/(MAX(I15:N15)-MIN(I15:N15)))</f>
        <v>0.49781659388645239</v>
      </c>
      <c r="DJ15" s="13">
        <f t="shared" si="2"/>
        <v>2</v>
      </c>
      <c r="DK15" s="14">
        <f t="shared" si="3"/>
        <v>4</v>
      </c>
      <c r="DL15" s="12">
        <f t="shared" si="18"/>
        <v>2.2562291544045445E-3</v>
      </c>
      <c r="DM15" s="12">
        <f t="shared" si="19"/>
        <v>6.8013864364667724E-4</v>
      </c>
      <c r="DN15" s="12">
        <f t="shared" si="20"/>
        <v>-1.9619383951251736E-5</v>
      </c>
      <c r="DO15" s="12">
        <f t="shared" si="21"/>
        <v>-8.2401412595647624E-4</v>
      </c>
      <c r="DP15" s="12">
        <f t="shared" si="22"/>
        <v>-2.0207965469884082E-3</v>
      </c>
      <c r="DQ15" s="12">
        <f t="shared" si="23"/>
        <v>-2.2366097704531068E-3</v>
      </c>
      <c r="DR15" s="9"/>
      <c r="DS15" s="9" t="str">
        <f>IF(AQ15&gt;AG15,"Overbought",IF(AQ15&gt;AI15,"Bullish Momentum",IF(AQ15&gt;AK15,"Overprice Setting Up","-----")))</f>
        <v>-----</v>
      </c>
      <c r="DT15" s="9" t="str">
        <f>IF(AQ15&lt;AP15,"Oversold",IF(AQ15&lt;AN15,"Bearish Momentum",IF(AQ15&lt;AL15,"Underprice Setting Up","-----")))</f>
        <v>Underprice Setting Up</v>
      </c>
      <c r="DU15" s="9"/>
      <c r="DV15" s="22"/>
      <c r="DW15" s="22"/>
      <c r="DX15" s="23">
        <f>(AR15-AT15)/AT15</f>
        <v>-1.0513324496046164E-3</v>
      </c>
      <c r="DY15" s="23">
        <f t="shared" si="4"/>
        <v>-1.7334128649942255</v>
      </c>
      <c r="DZ15" s="23" t="str">
        <f>IF(DY15&gt;PERCENTILE($DY$5:$DY$103,90%),"Reverse to Bearish",IF(DY15&gt;=PERCENTILE($DY$5:$DY$103,70%),"-----",IF(DY15&gt;=PERCENTILE($DY$5:$DY$103,30%),"-----",IF(DY15&gt;=PERCENTILE($DY$5:$DY$103,10%),"-----","Reverse to Bullish"))))</f>
        <v>Reverse to Bullish</v>
      </c>
      <c r="EA15" s="23" t="str">
        <f>IF(AQ15&gt;AR15,"Bullish","Bearish")</f>
        <v>Bearish</v>
      </c>
      <c r="EB15" s="22" t="str">
        <f>IF(AND(H15&gt;AQ15,H14&lt;AQ14),"TEMA crossover","-----")</f>
        <v>-----</v>
      </c>
      <c r="EC15" s="22" t="str">
        <f>IF(AND(H15&lt;AQ15,H14&gt;AQ14),"TEMA crossunder","-----")</f>
        <v>-----</v>
      </c>
      <c r="ED15" s="22"/>
      <c r="EE15" s="24" t="str">
        <f t="shared" si="33"/>
        <v>-----</v>
      </c>
      <c r="EF15" s="24" t="str">
        <f t="shared" si="34"/>
        <v>-----</v>
      </c>
      <c r="EG15" s="24" t="str">
        <f t="shared" si="35"/>
        <v>-----</v>
      </c>
      <c r="EH15" s="24" t="str">
        <f t="shared" si="36"/>
        <v>YES</v>
      </c>
      <c r="EI15" s="25" t="str">
        <f>IF(DV15="Bullish","YES","-----")</f>
        <v>-----</v>
      </c>
      <c r="EJ15" s="25" t="str">
        <f>IF(DZ15="Reverse to Bullish","YES","-----")</f>
        <v>YES</v>
      </c>
      <c r="EK15" s="25" t="str">
        <f>IF(AND(EA15="Bearish",EA14="Bearish",EA13="Bearish",EA12="Bearish"),"YES","-----")</f>
        <v>YES</v>
      </c>
      <c r="EL15" s="25" t="str">
        <f>IF(OR(EC15="TEMA crossover",EC14="TEMA crossover",EC13="TEMA crossover",EC12="TEMA crossover"),"YES","-----")</f>
        <v>-----</v>
      </c>
      <c r="EM15" s="24" t="str">
        <f>IF(AND(EE15="YES",EF15="YES",EG15="YES",EH15="YES"),"Open Sell / Close Buy","-----")</f>
        <v>-----</v>
      </c>
      <c r="EN15" s="25" t="str">
        <f t="shared" si="32"/>
        <v>-----</v>
      </c>
      <c r="EO15" s="23"/>
      <c r="EP15" s="9" t="str">
        <f>IF(AND(H15&gt;AV15,H15&gt;E15),"Bullish Trigger","-----")</f>
        <v>-----</v>
      </c>
      <c r="EQ15" s="9" t="str">
        <f>IF(AND(H15&lt;AW15,H15&lt;E15),"Bearish Trigger","-----")</f>
        <v>-----</v>
      </c>
      <c r="ER15" s="9"/>
      <c r="ES15" s="9" t="str">
        <f>IF(G15&gt;AV15,"Bullish Spike","-----")</f>
        <v>-----</v>
      </c>
      <c r="ET15" s="9" t="str">
        <f>IF(F15&lt;AW15,"Bearish Spike","-----")</f>
        <v>-----</v>
      </c>
      <c r="EU15" s="9"/>
      <c r="EV15" s="20">
        <f t="shared" si="5"/>
        <v>0.10699999999999932</v>
      </c>
      <c r="EW15" s="9">
        <f t="shared" si="24"/>
        <v>0.71958227901867655</v>
      </c>
      <c r="EX15" s="21" t="str">
        <f t="shared" si="25"/>
        <v>-----</v>
      </c>
      <c r="EY15" s="9"/>
    </row>
    <row r="16" spans="1:155" x14ac:dyDescent="0.55000000000000004">
      <c r="A16">
        <v>12</v>
      </c>
      <c r="B16" t="s">
        <v>15</v>
      </c>
      <c r="C16" t="s">
        <v>4</v>
      </c>
      <c r="D16" t="s">
        <v>103</v>
      </c>
      <c r="E16">
        <v>152.91</v>
      </c>
      <c r="F16">
        <v>152.965</v>
      </c>
      <c r="G16">
        <v>152.87700000000001</v>
      </c>
      <c r="H16">
        <v>152.87700000000001</v>
      </c>
      <c r="I16">
        <v>153.012</v>
      </c>
      <c r="J16">
        <v>152.90700000000001</v>
      </c>
      <c r="K16">
        <v>153.25299999999999</v>
      </c>
      <c r="L16">
        <v>152.56899999999999</v>
      </c>
      <c r="M16">
        <v>152.6</v>
      </c>
      <c r="N16">
        <v>152.785</v>
      </c>
      <c r="O16" s="16">
        <f t="shared" si="0"/>
        <v>8.7999999999993861E-2</v>
      </c>
      <c r="P16" s="16">
        <f t="shared" si="6"/>
        <v>5.5000000000006821E-2</v>
      </c>
      <c r="Q16" s="16">
        <f t="shared" si="7"/>
        <v>3.299999999998704E-2</v>
      </c>
      <c r="R16" s="16">
        <f t="shared" si="8"/>
        <v>8.7999999999993861E-2</v>
      </c>
      <c r="S16" s="16"/>
      <c r="T16">
        <v>0</v>
      </c>
      <c r="U16">
        <v>0</v>
      </c>
      <c r="V16">
        <v>0</v>
      </c>
      <c r="W16">
        <v>0</v>
      </c>
      <c r="Y16" s="9" t="str">
        <f t="shared" si="9"/>
        <v>------</v>
      </c>
      <c r="Z16" s="9" t="str">
        <f t="shared" si="10"/>
        <v>------</v>
      </c>
      <c r="AA16" s="9"/>
      <c r="AB16">
        <v>0</v>
      </c>
      <c r="AD16" t="str">
        <f t="shared" si="1"/>
        <v/>
      </c>
      <c r="AE16">
        <v>0.35322999999999999</v>
      </c>
      <c r="AF16">
        <v>3</v>
      </c>
      <c r="AG16">
        <v>153.47368</v>
      </c>
      <c r="AH16">
        <v>153.39313000000001</v>
      </c>
      <c r="AI16">
        <v>153.31258</v>
      </c>
      <c r="AJ16">
        <v>153.23203000000001</v>
      </c>
      <c r="AK16">
        <v>153.15147999999999</v>
      </c>
      <c r="AL16">
        <v>153.03493</v>
      </c>
      <c r="AM16">
        <v>152.95437999999999</v>
      </c>
      <c r="AN16">
        <v>152.87383</v>
      </c>
      <c r="AO16">
        <v>152.79328000000001</v>
      </c>
      <c r="AP16">
        <v>152.71272999999999</v>
      </c>
      <c r="AQ16">
        <v>152.89500000000001</v>
      </c>
      <c r="AR16">
        <v>152.952</v>
      </c>
      <c r="AS16">
        <f t="shared" si="26"/>
        <v>12</v>
      </c>
      <c r="AT16">
        <v>153.12200000000001</v>
      </c>
      <c r="AU16">
        <v>153.25899999999999</v>
      </c>
      <c r="AV16">
        <v>152.953</v>
      </c>
      <c r="AW16">
        <v>152.857</v>
      </c>
      <c r="AY16" s="4">
        <f>I16*(1+$AY$2)</f>
        <v>153.03495180000002</v>
      </c>
      <c r="AZ16" s="4">
        <f>I16*(1-$AY$2)</f>
        <v>152.98904820000001</v>
      </c>
      <c r="BA16" s="4">
        <f>J16*(1+$AY$2)</f>
        <v>152.92993605000004</v>
      </c>
      <c r="BB16" s="4">
        <f>J16*(1-$AY$2)</f>
        <v>152.88406395000001</v>
      </c>
      <c r="BC16" s="4">
        <f>K16*(1+$AY$2)</f>
        <v>153.27598795</v>
      </c>
      <c r="BD16" s="4">
        <f>K16*(1-$AY$2)</f>
        <v>153.23001205</v>
      </c>
      <c r="BE16" s="4">
        <f>L16*(1+$AY$2)</f>
        <v>152.59188535000001</v>
      </c>
      <c r="BF16" s="4">
        <f>L16*(1-$AY$2)</f>
        <v>152.54611464999999</v>
      </c>
      <c r="BG16" s="4">
        <f>M16*(1+$AY$2)</f>
        <v>152.62289000000001</v>
      </c>
      <c r="BH16" s="4">
        <f>M16*(1-$AY$2)</f>
        <v>152.57711</v>
      </c>
      <c r="BI16" s="4">
        <f>N16*(1+$AY$2)</f>
        <v>152.80791775</v>
      </c>
      <c r="BJ16" s="4">
        <f>N16*(1-$AY$2)</f>
        <v>152.76208224999999</v>
      </c>
      <c r="BK16" s="30">
        <f t="shared" si="27"/>
        <v>12</v>
      </c>
      <c r="BL16" s="15" t="str">
        <f t="shared" si="11"/>
        <v>-----</v>
      </c>
      <c r="BM16" s="15" t="str">
        <f t="shared" si="12"/>
        <v>TOUCH</v>
      </c>
      <c r="BN16" s="15" t="str">
        <f t="shared" si="13"/>
        <v>-----</v>
      </c>
      <c r="BO16" s="15" t="str">
        <f t="shared" si="14"/>
        <v>-----</v>
      </c>
      <c r="BP16" s="15" t="str">
        <f t="shared" si="15"/>
        <v>-----</v>
      </c>
      <c r="BQ16" s="15" t="str">
        <f t="shared" si="16"/>
        <v>-----</v>
      </c>
      <c r="BR16" s="22"/>
      <c r="BS16" s="9">
        <f t="shared" si="17"/>
        <v>-2.423265306122455E-3</v>
      </c>
      <c r="BT16" s="9">
        <f>SLOPE(J$5:J$103,$A$5:$A$103)</f>
        <v>-3.7194805194805478E-4</v>
      </c>
      <c r="BU16" s="9">
        <f>SLOPE(K$5:K$103,$A$5:$A$103)</f>
        <v>-1.6402721088435472E-3</v>
      </c>
      <c r="BV16" s="9">
        <f>SLOPE(L$5:L$103,$A$5:$A$103)</f>
        <v>7.6471243042669956E-4</v>
      </c>
      <c r="BW16" s="9">
        <f>SLOPE(M$5:M$103,$A$5:$A$103)</f>
        <v>-2.3081014223875058E-4</v>
      </c>
      <c r="BX16" s="9">
        <f>SLOPE(N$5:N$103,$A$5:$A$103)</f>
        <v>1.5802844774273381E-3</v>
      </c>
      <c r="BY16"/>
      <c r="BZ16" s="9"/>
      <c r="CA16" s="9"/>
      <c r="CB16" s="9"/>
      <c r="CC16" s="9"/>
      <c r="CD16" s="9"/>
      <c r="CE16" s="9"/>
      <c r="CF16"/>
      <c r="CG16"/>
      <c r="CH16"/>
      <c r="CI16"/>
      <c r="CJ16"/>
      <c r="CK16"/>
      <c r="CL16"/>
      <c r="CM16" s="9"/>
      <c r="CN16" s="9">
        <f>RANK(I16,$I16:$N16,0)</f>
        <v>2</v>
      </c>
      <c r="CO16" s="9">
        <f>RANK(J16,$I16:$N16,0)</f>
        <v>3</v>
      </c>
      <c r="CP16" s="9">
        <f>RANK(K16,$I16:$N16,0)</f>
        <v>1</v>
      </c>
      <c r="CQ16" s="9">
        <f>RANK(L16,$I16:$N16,0)</f>
        <v>6</v>
      </c>
      <c r="CR16" s="9">
        <f>RANK(M16,$I16:$N16,0)</f>
        <v>5</v>
      </c>
      <c r="CS16" s="9">
        <f>RANK(N16,$I16:$N16,0)</f>
        <v>4</v>
      </c>
      <c r="CT16" s="9"/>
      <c r="CU16" s="9" t="str">
        <f>IF($H16&gt;I16,"SUP","RES")</f>
        <v>RES</v>
      </c>
      <c r="CV16" s="9" t="str">
        <f>IF($H16&gt;J16,"SUP","RES")</f>
        <v>RES</v>
      </c>
      <c r="CW16" s="9" t="str">
        <f>IF($H16&gt;K16,"SUP","RES")</f>
        <v>RES</v>
      </c>
      <c r="CX16" s="9" t="str">
        <f>IF($H16&gt;L16,"SUP","RES")</f>
        <v>SUP</v>
      </c>
      <c r="CY16" s="9" t="str">
        <f>IF($H16&gt;M16,"SUP","RES")</f>
        <v>SUP</v>
      </c>
      <c r="CZ16" s="9" t="str">
        <f>IF($H16&gt;N16,"SUP","RES")</f>
        <v>SUP</v>
      </c>
      <c r="DA16" s="9"/>
      <c r="DB16" s="12">
        <f>(I16-$H16)/$H16</f>
        <v>8.8306285445155844E-4</v>
      </c>
      <c r="DC16" s="12">
        <f>(J16-$H16)/$H16</f>
        <v>1.9623618987814475E-4</v>
      </c>
      <c r="DD16" s="12">
        <f>(K16-$H16)/$H16</f>
        <v>2.4594935798058328E-3</v>
      </c>
      <c r="DE16" s="12">
        <f>(L16-$H16)/$H16</f>
        <v>-2.0146915494156812E-3</v>
      </c>
      <c r="DF16" s="12">
        <f>(M16-$H16)/$H16</f>
        <v>-1.8119141532082343E-3</v>
      </c>
      <c r="DG16" s="12">
        <f>(N16-$H16)/$H16</f>
        <v>-6.0179098229303917E-4</v>
      </c>
      <c r="DH16" s="12"/>
      <c r="DI16" s="12">
        <f>((H16-MIN(I16:N16))/(MAX(I16:N16)-MIN(I16:N16)))</f>
        <v>0.45029239766085127</v>
      </c>
      <c r="DJ16" s="13">
        <f t="shared" si="2"/>
        <v>3</v>
      </c>
      <c r="DK16" s="14">
        <f t="shared" si="3"/>
        <v>3</v>
      </c>
      <c r="DL16" s="12">
        <f t="shared" si="18"/>
        <v>2.4594935798058328E-3</v>
      </c>
      <c r="DM16" s="12">
        <f t="shared" si="19"/>
        <v>8.8306285445155844E-4</v>
      </c>
      <c r="DN16" s="12">
        <f t="shared" si="20"/>
        <v>1.9623618987814475E-4</v>
      </c>
      <c r="DO16" s="12">
        <f t="shared" si="21"/>
        <v>-6.0179098229303917E-4</v>
      </c>
      <c r="DP16" s="12">
        <f t="shared" si="22"/>
        <v>-1.8119141532082343E-3</v>
      </c>
      <c r="DQ16" s="12">
        <f t="shared" si="23"/>
        <v>-2.0146915494156812E-3</v>
      </c>
      <c r="DR16" s="9"/>
      <c r="DS16" s="9" t="str">
        <f>IF(AQ16&gt;AG16,"Overbought",IF(AQ16&gt;AI16,"Bullish Momentum",IF(AQ16&gt;AK16,"Overprice Setting Up","-----")))</f>
        <v>-----</v>
      </c>
      <c r="DT16" s="9" t="str">
        <f>IF(AQ16&lt;AP16,"Oversold",IF(AQ16&lt;AN16,"Bearish Momentum",IF(AQ16&lt;AL16,"Underprice Setting Up","-----")))</f>
        <v>Underprice Setting Up</v>
      </c>
      <c r="DU16" s="9"/>
      <c r="DV16" s="12" t="str">
        <f>IF(AND(AT16&gt;AU16,AT15&gt;AU15,AT14&gt;AU14,AT13&gt;AU13,AT12&gt;AU12,AT11&gt;AU11,AT10&gt;AU10,AT9&gt;AU9,AT8&gt;AU8,AT7&gt;AU7,AT6&gt;AU6,AT5&gt;AU5),"Bullish",IF(AND(AT16&lt;AU16,AT15&lt;AU15,AT14&lt;AU14,AT13&lt;AU13,AT12&lt;AU12,AT11&lt;AU11,AT10&lt;AU10,AT9&lt;AU9,AT8&lt;AU8,AT7&lt;AU7,AT6&lt;AU6,AT5&lt;AU5),"Bearish","-----"))</f>
        <v>Bearish</v>
      </c>
      <c r="DW16" s="12"/>
      <c r="DX16" s="23">
        <f>(AR16-AT16)/AT16</f>
        <v>-1.1102258329960155E-3</v>
      </c>
      <c r="DY16" s="23">
        <f t="shared" si="4"/>
        <v>-1.9032644909164695</v>
      </c>
      <c r="DZ16" s="23" t="str">
        <f>IF(DY16&gt;PERCENTILE($DY$5:$DY$103,90%),"Reverse to Bearish",IF(DY16&gt;=PERCENTILE($DY$5:$DY$103,70%),"-----",IF(DY16&gt;=PERCENTILE($DY$5:$DY$103,30%),"-----",IF(DY16&gt;=PERCENTILE($DY$5:$DY$103,10%),"-----","Reverse to Bullish"))))</f>
        <v>Reverse to Bullish</v>
      </c>
      <c r="EA16" s="23" t="str">
        <f>IF(AQ16&gt;AR16,"Bullish","Bearish")</f>
        <v>Bearish</v>
      </c>
      <c r="EB16" s="22" t="str">
        <f>IF(AND(H16&gt;AQ16,H15&lt;AQ15),"TEMA crossover","-----")</f>
        <v>-----</v>
      </c>
      <c r="EC16" s="22" t="str">
        <f>IF(AND(H16&lt;AQ16,H15&gt;AQ15),"TEMA crossunder","-----")</f>
        <v>-----</v>
      </c>
      <c r="ED16" s="22"/>
      <c r="EE16" s="24" t="str">
        <f t="shared" si="33"/>
        <v>YES</v>
      </c>
      <c r="EF16" s="24" t="str">
        <f t="shared" si="34"/>
        <v>-----</v>
      </c>
      <c r="EG16" s="24" t="str">
        <f t="shared" si="35"/>
        <v>-----</v>
      </c>
      <c r="EH16" s="24" t="str">
        <f t="shared" si="36"/>
        <v>YES</v>
      </c>
      <c r="EI16" s="25" t="str">
        <f>IF(DV16="Bullish","YES","-----")</f>
        <v>-----</v>
      </c>
      <c r="EJ16" s="25" t="str">
        <f>IF(DZ16="Reverse to Bullish","YES","-----")</f>
        <v>YES</v>
      </c>
      <c r="EK16" s="25" t="str">
        <f>IF(AND(EA16="Bearish",EA15="Bearish",EA14="Bearish",EA13="Bearish"),"YES","-----")</f>
        <v>YES</v>
      </c>
      <c r="EL16" s="25" t="str">
        <f>IF(OR(EC16="TEMA crossover",EC15="TEMA crossover",EC14="TEMA crossover",EC13="TEMA crossover"),"YES","-----")</f>
        <v>-----</v>
      </c>
      <c r="EM16" s="24" t="str">
        <f>IF(AND(EE16="YES",EF16="YES",EG16="YES",EH16="YES"),"Open Sell / Close Buy","-----")</f>
        <v>-----</v>
      </c>
      <c r="EN16" s="25" t="str">
        <f t="shared" si="32"/>
        <v>-----</v>
      </c>
      <c r="EO16" s="23"/>
      <c r="EP16" s="9" t="str">
        <f>IF(AND(H16&gt;AV16,H16&gt;E16),"Bullish Trigger","-----")</f>
        <v>-----</v>
      </c>
      <c r="EQ16" s="9" t="str">
        <f>IF(AND(H16&lt;AW16,H16&lt;E16),"Bearish Trigger","-----")</f>
        <v>-----</v>
      </c>
      <c r="ER16" s="9"/>
      <c r="ES16" s="9" t="str">
        <f>IF(G16&gt;AV16,"Bullish Spike","-----")</f>
        <v>-----</v>
      </c>
      <c r="ET16" s="9" t="str">
        <f>IF(F16&lt;AW16,"Bearish Spike","-----")</f>
        <v>-----</v>
      </c>
      <c r="EU16" s="9"/>
      <c r="EV16" s="20">
        <f t="shared" si="5"/>
        <v>9.6000000000003638E-2</v>
      </c>
      <c r="EW16" s="9">
        <f t="shared" si="24"/>
        <v>0.4660639671936681</v>
      </c>
      <c r="EX16" s="21" t="str">
        <f t="shared" si="25"/>
        <v>-----</v>
      </c>
      <c r="EY16" s="9"/>
    </row>
    <row r="17" spans="1:155" x14ac:dyDescent="0.55000000000000004">
      <c r="A17">
        <v>13</v>
      </c>
      <c r="B17" t="s">
        <v>16</v>
      </c>
      <c r="C17" t="s">
        <v>4</v>
      </c>
      <c r="D17" t="s">
        <v>103</v>
      </c>
      <c r="E17">
        <v>152.88200000000001</v>
      </c>
      <c r="F17">
        <v>152.96600000000001</v>
      </c>
      <c r="G17">
        <v>152.78700000000001</v>
      </c>
      <c r="H17">
        <v>152.96600000000001</v>
      </c>
      <c r="I17">
        <v>153.00899999999999</v>
      </c>
      <c r="J17">
        <v>152.90700000000001</v>
      </c>
      <c r="K17">
        <v>153.251</v>
      </c>
      <c r="L17">
        <v>152.56899999999999</v>
      </c>
      <c r="M17">
        <v>152.6</v>
      </c>
      <c r="N17">
        <v>152.78700000000001</v>
      </c>
      <c r="O17" s="16">
        <f t="shared" si="0"/>
        <v>0.17900000000000205</v>
      </c>
      <c r="P17" s="16">
        <f t="shared" si="6"/>
        <v>8.8999999999998636E-2</v>
      </c>
      <c r="Q17" s="16">
        <f t="shared" si="7"/>
        <v>9.0000000000003411E-2</v>
      </c>
      <c r="R17" s="16">
        <f t="shared" si="8"/>
        <v>0.17900000000000205</v>
      </c>
      <c r="S17" s="16"/>
      <c r="T17">
        <v>0</v>
      </c>
      <c r="U17">
        <v>0</v>
      </c>
      <c r="V17" s="2">
        <v>152.78700000000001</v>
      </c>
      <c r="W17" s="2">
        <v>152.78700000000001</v>
      </c>
      <c r="X17" s="2"/>
      <c r="Y17" s="9" t="str">
        <f t="shared" si="9"/>
        <v>------</v>
      </c>
      <c r="Z17" s="9" t="str">
        <f t="shared" si="10"/>
        <v>Important Low</v>
      </c>
      <c r="AA17" s="9"/>
      <c r="AB17">
        <v>0</v>
      </c>
      <c r="AD17" t="str">
        <f>IF(OR(Y17="Important High",Z17="Important High"),IF(AB17=1,"Important High with Rejection",""),IF(OR(Y17="Important Low",Z17="Important Low"),IF(AB17=1,"Important Low with Rejection",""),""))</f>
        <v/>
      </c>
      <c r="AE17">
        <v>0.81484999999999996</v>
      </c>
      <c r="AF17">
        <v>0</v>
      </c>
      <c r="AG17">
        <v>153.45435000000001</v>
      </c>
      <c r="AH17">
        <v>153.37365</v>
      </c>
      <c r="AI17">
        <v>153.29295999999999</v>
      </c>
      <c r="AJ17">
        <v>153.21225999999999</v>
      </c>
      <c r="AK17">
        <v>153.13156000000001</v>
      </c>
      <c r="AL17">
        <v>153.01313999999999</v>
      </c>
      <c r="AM17">
        <v>152.93244000000001</v>
      </c>
      <c r="AN17">
        <v>152.85175000000001</v>
      </c>
      <c r="AO17">
        <v>152.77105</v>
      </c>
      <c r="AP17">
        <v>152.69035</v>
      </c>
      <c r="AQ17">
        <v>152.886</v>
      </c>
      <c r="AR17">
        <v>152.93</v>
      </c>
      <c r="AS17">
        <f t="shared" si="26"/>
        <v>13</v>
      </c>
      <c r="AT17">
        <v>153.10599999999999</v>
      </c>
      <c r="AU17">
        <v>153.25</v>
      </c>
      <c r="AV17">
        <v>152.94399999999999</v>
      </c>
      <c r="AW17">
        <v>152.81200000000001</v>
      </c>
      <c r="AY17" s="4">
        <f>I17*(1+$AY$2)</f>
        <v>153.03195135000001</v>
      </c>
      <c r="AZ17" s="4">
        <f>I17*(1-$AY$2)</f>
        <v>152.98604864999999</v>
      </c>
      <c r="BA17" s="4">
        <f>J17*(1+$AY$2)</f>
        <v>152.92993605000004</v>
      </c>
      <c r="BB17" s="4">
        <f>J17*(1-$AY$2)</f>
        <v>152.88406395000001</v>
      </c>
      <c r="BC17" s="4">
        <f>K17*(1+$AY$2)</f>
        <v>153.27398765000001</v>
      </c>
      <c r="BD17" s="4">
        <f>K17*(1-$AY$2)</f>
        <v>153.22801235</v>
      </c>
      <c r="BE17" s="4">
        <f>L17*(1+$AY$2)</f>
        <v>152.59188535000001</v>
      </c>
      <c r="BF17" s="4">
        <f>L17*(1-$AY$2)</f>
        <v>152.54611464999999</v>
      </c>
      <c r="BG17" s="4">
        <f>M17*(1+$AY$2)</f>
        <v>152.62289000000001</v>
      </c>
      <c r="BH17" s="4">
        <f>M17*(1-$AY$2)</f>
        <v>152.57711</v>
      </c>
      <c r="BI17" s="4">
        <f>N17*(1+$AY$2)</f>
        <v>152.80991805000002</v>
      </c>
      <c r="BJ17" s="4">
        <f>N17*(1-$AY$2)</f>
        <v>152.76408195000002</v>
      </c>
      <c r="BK17" s="30">
        <f t="shared" si="27"/>
        <v>13</v>
      </c>
      <c r="BL17" s="15" t="str">
        <f t="shared" si="11"/>
        <v>-----</v>
      </c>
      <c r="BM17" s="15" t="str">
        <f t="shared" si="12"/>
        <v>TOUCH</v>
      </c>
      <c r="BN17" s="15" t="str">
        <f t="shared" si="13"/>
        <v>-----</v>
      </c>
      <c r="BO17" s="15" t="str">
        <f t="shared" si="14"/>
        <v>-----</v>
      </c>
      <c r="BP17" s="15" t="str">
        <f t="shared" si="15"/>
        <v>-----</v>
      </c>
      <c r="BQ17" s="15" t="str">
        <f t="shared" si="16"/>
        <v>-----</v>
      </c>
      <c r="BR17" s="22"/>
      <c r="BS17" s="9">
        <f t="shared" si="17"/>
        <v>-2.423265306122455E-3</v>
      </c>
      <c r="BT17" s="9">
        <f>SLOPE(J$5:J$103,$A$5:$A$103)</f>
        <v>-3.7194805194805478E-4</v>
      </c>
      <c r="BU17" s="9">
        <f>SLOPE(K$5:K$103,$A$5:$A$103)</f>
        <v>-1.6402721088435472E-3</v>
      </c>
      <c r="BV17" s="9">
        <f>SLOPE(L$5:L$103,$A$5:$A$103)</f>
        <v>7.6471243042669956E-4</v>
      </c>
      <c r="BW17" s="9">
        <f>SLOPE(M$5:M$103,$A$5:$A$103)</f>
        <v>-2.3081014223875058E-4</v>
      </c>
      <c r="BX17" s="9">
        <f>SLOPE(N$5:N$103,$A$5:$A$103)</f>
        <v>1.5802844774273381E-3</v>
      </c>
      <c r="BY17"/>
      <c r="BZ17" s="9"/>
      <c r="CA17" s="9"/>
      <c r="CB17" s="9"/>
      <c r="CC17" s="9"/>
      <c r="CD17" s="9"/>
      <c r="CE17" s="9"/>
      <c r="CF17"/>
      <c r="CG17"/>
      <c r="CH17"/>
      <c r="CI17"/>
      <c r="CJ17"/>
      <c r="CK17"/>
      <c r="CL17"/>
      <c r="CM17" s="9"/>
      <c r="CN17" s="9">
        <f>RANK(I17,$I17:$N17,0)</f>
        <v>2</v>
      </c>
      <c r="CO17" s="9">
        <f>RANK(J17,$I17:$N17,0)</f>
        <v>3</v>
      </c>
      <c r="CP17" s="9">
        <f>RANK(K17,$I17:$N17,0)</f>
        <v>1</v>
      </c>
      <c r="CQ17" s="9">
        <f>RANK(L17,$I17:$N17,0)</f>
        <v>6</v>
      </c>
      <c r="CR17" s="9">
        <f>RANK(M17,$I17:$N17,0)</f>
        <v>5</v>
      </c>
      <c r="CS17" s="9">
        <f>RANK(N17,$I17:$N17,0)</f>
        <v>4</v>
      </c>
      <c r="CT17" s="9"/>
      <c r="CU17" s="9" t="str">
        <f>IF($H17&gt;I17,"SUP","RES")</f>
        <v>RES</v>
      </c>
      <c r="CV17" s="9" t="str">
        <f>IF($H17&gt;J17,"SUP","RES")</f>
        <v>SUP</v>
      </c>
      <c r="CW17" s="9" t="str">
        <f>IF($H17&gt;K17,"SUP","RES")</f>
        <v>RES</v>
      </c>
      <c r="CX17" s="9" t="str">
        <f>IF($H17&gt;L17,"SUP","RES")</f>
        <v>SUP</v>
      </c>
      <c r="CY17" s="9" t="str">
        <f>IF($H17&gt;M17,"SUP","RES")</f>
        <v>SUP</v>
      </c>
      <c r="CZ17" s="9" t="str">
        <f>IF($H17&gt;N17,"SUP","RES")</f>
        <v>SUP</v>
      </c>
      <c r="DA17" s="9"/>
      <c r="DB17" s="12">
        <f>(I17-$H17)/$H17</f>
        <v>2.8110822012720435E-4</v>
      </c>
      <c r="DC17" s="12">
        <f>(J17-$H17)/$H17</f>
        <v>-3.8570662761657816E-4</v>
      </c>
      <c r="DD17" s="12">
        <f>(K17-$H17)/$H17</f>
        <v>1.8631591334021716E-3</v>
      </c>
      <c r="DE17" s="12">
        <f>(L17-$H17)/$H17</f>
        <v>-2.595347985827045E-3</v>
      </c>
      <c r="DF17" s="12">
        <f>(M17-$H17)/$H17</f>
        <v>-2.3926885713165921E-3</v>
      </c>
      <c r="DG17" s="12">
        <f>(N17-$H17)/$H17</f>
        <v>-1.1701946837859526E-3</v>
      </c>
      <c r="DH17" s="12"/>
      <c r="DI17" s="12">
        <f>((H17-MIN(I17:N17))/(MAX(I17:N17)-MIN(I17:N17)))</f>
        <v>0.58211143695016165</v>
      </c>
      <c r="DJ17" s="13">
        <f t="shared" si="2"/>
        <v>2</v>
      </c>
      <c r="DK17" s="14">
        <f t="shared" si="3"/>
        <v>4</v>
      </c>
      <c r="DL17" s="12">
        <f t="shared" si="18"/>
        <v>1.8631591334021716E-3</v>
      </c>
      <c r="DM17" s="12">
        <f t="shared" si="19"/>
        <v>2.8110822012720435E-4</v>
      </c>
      <c r="DN17" s="12">
        <f t="shared" si="20"/>
        <v>-3.8570662761657816E-4</v>
      </c>
      <c r="DO17" s="12">
        <f t="shared" si="21"/>
        <v>-1.1701946837859526E-3</v>
      </c>
      <c r="DP17" s="12">
        <f t="shared" si="22"/>
        <v>-2.3926885713165921E-3</v>
      </c>
      <c r="DQ17" s="12">
        <f t="shared" si="23"/>
        <v>-2.595347985827045E-3</v>
      </c>
      <c r="DR17" s="9"/>
      <c r="DS17" s="9" t="str">
        <f>IF(AQ17&gt;AG17,"Overbought",IF(AQ17&gt;AI17,"Bullish Momentum",IF(AQ17&gt;AK17,"Overprice Setting Up","-----")))</f>
        <v>-----</v>
      </c>
      <c r="DT17" s="9" t="str">
        <f>IF(AQ17&lt;AP17,"Oversold",IF(AQ17&lt;AN17,"Bearish Momentum",IF(AQ17&lt;AL17,"Underprice Setting Up","-----")))</f>
        <v>Underprice Setting Up</v>
      </c>
      <c r="DU17" s="9"/>
      <c r="DV17" s="12" t="str">
        <f>IF(AND(AT17&gt;AU17,AT16&gt;AU16,AT15&gt;AU15,AT14&gt;AU14,AT13&gt;AU13,AT12&gt;AU12,AT11&gt;AU11,AT10&gt;AU10,AT9&gt;AU9,AT8&gt;AU8,AT7&gt;AU7,AT6&gt;AU6),"Bullish",IF(AND(AT17&lt;AU17,AT16&lt;AU16,AT15&lt;AU15,AT14&lt;AU14,AT13&lt;AU13,AT12&lt;AU12,AT11&lt;AU11,AT10&lt;AU10,AT9&lt;AU9,AT8&lt;AU8,AT7&lt;AU7,AT6&lt;AU6),"Bearish","-----"))</f>
        <v>Bearish</v>
      </c>
      <c r="DW17" s="12"/>
      <c r="DX17" s="23">
        <f>(AR17-AT17)/AT17</f>
        <v>-1.1495303907096243E-3</v>
      </c>
      <c r="DY17" s="23">
        <f t="shared" si="4"/>
        <v>-2.0166209097427328</v>
      </c>
      <c r="DZ17" s="23" t="str">
        <f>IF(DY17&gt;PERCENTILE($DY$5:$DY$103,90%),"Reverse to Bearish",IF(DY17&gt;=PERCENTILE($DY$5:$DY$103,70%),"-----",IF(DY17&gt;=PERCENTILE($DY$5:$DY$103,30%),"-----",IF(DY17&gt;=PERCENTILE($DY$5:$DY$103,10%),"-----","Reverse to Bullish"))))</f>
        <v>Reverse to Bullish</v>
      </c>
      <c r="EA17" s="23" t="str">
        <f>IF(AQ17&gt;AR17,"Bullish","Bearish")</f>
        <v>Bearish</v>
      </c>
      <c r="EB17" s="22" t="str">
        <f>IF(AND(H17&gt;AQ17,H16&lt;AQ16),"TEMA crossover","-----")</f>
        <v>TEMA crossover</v>
      </c>
      <c r="EC17" s="22" t="str">
        <f>IF(AND(H17&lt;AQ17,H16&gt;AQ16),"TEMA crossunder","-----")</f>
        <v>-----</v>
      </c>
      <c r="ED17" s="22"/>
      <c r="EE17" s="24" t="str">
        <f t="shared" si="33"/>
        <v>YES</v>
      </c>
      <c r="EF17" s="24" t="str">
        <f t="shared" si="34"/>
        <v>-----</v>
      </c>
      <c r="EG17" s="24" t="str">
        <f t="shared" si="35"/>
        <v>-----</v>
      </c>
      <c r="EH17" s="24" t="str">
        <f t="shared" si="36"/>
        <v>YES</v>
      </c>
      <c r="EI17" s="25" t="str">
        <f>IF(DV17="Bullish","YES","-----")</f>
        <v>-----</v>
      </c>
      <c r="EJ17" s="25" t="str">
        <f>IF(DZ17="Reverse to Bullish","YES","-----")</f>
        <v>YES</v>
      </c>
      <c r="EK17" s="25" t="str">
        <f>IF(AND(EA17="Bearish",EA16="Bearish",EA15="Bearish",EA14="Bearish"),"YES","-----")</f>
        <v>YES</v>
      </c>
      <c r="EL17" s="25" t="str">
        <f>IF(OR(EC17="TEMA crossover",EC16="TEMA crossover",EC15="TEMA crossover",EC14="TEMA crossover"),"YES","-----")</f>
        <v>-----</v>
      </c>
      <c r="EM17" s="24" t="str">
        <f>IF(AND(EE17="YES",EF17="YES",EG17="YES",EH17="YES"),"Open Sell / Close Buy","-----")</f>
        <v>-----</v>
      </c>
      <c r="EN17" s="25" t="str">
        <f t="shared" si="32"/>
        <v>-----</v>
      </c>
      <c r="EO17" s="23"/>
      <c r="EP17" s="9" t="str">
        <f>IF(AND(H17&gt;AV17,H17&gt;E17),"Bullish Trigger","-----")</f>
        <v>Bullish Trigger</v>
      </c>
      <c r="EQ17" s="9" t="str">
        <f>IF(AND(H17&lt;AW17,H17&lt;E17),"Bearish Trigger","-----")</f>
        <v>-----</v>
      </c>
      <c r="ER17" s="9"/>
      <c r="ES17" s="9" t="str">
        <f>IF(G17&gt;AV17,"Bullish Spike","-----")</f>
        <v>-----</v>
      </c>
      <c r="ET17" s="9" t="str">
        <f>IF(F17&lt;AW17,"Bearish Spike","-----")</f>
        <v>-----</v>
      </c>
      <c r="EU17" s="9"/>
      <c r="EV17" s="20">
        <f t="shared" si="5"/>
        <v>0.13199999999997658</v>
      </c>
      <c r="EW17" s="9">
        <f t="shared" si="24"/>
        <v>1.2957602604388525</v>
      </c>
      <c r="EX17" s="21" t="str">
        <f t="shared" si="25"/>
        <v>Consolidation</v>
      </c>
      <c r="EY17" s="9"/>
    </row>
    <row r="18" spans="1:155" x14ac:dyDescent="0.55000000000000004">
      <c r="A18">
        <v>14</v>
      </c>
      <c r="B18" t="s">
        <v>17</v>
      </c>
      <c r="C18" t="s">
        <v>4</v>
      </c>
      <c r="D18" t="s">
        <v>103</v>
      </c>
      <c r="E18">
        <v>152.964</v>
      </c>
      <c r="F18">
        <v>153.06700000000001</v>
      </c>
      <c r="G18">
        <v>152.964</v>
      </c>
      <c r="H18">
        <v>153.02000000000001</v>
      </c>
      <c r="I18">
        <v>153.00700000000001</v>
      </c>
      <c r="J18">
        <v>152.90600000000001</v>
      </c>
      <c r="K18">
        <v>153.25</v>
      </c>
      <c r="L18">
        <v>152.57</v>
      </c>
      <c r="M18">
        <v>152.6</v>
      </c>
      <c r="N18">
        <v>152.78899999999999</v>
      </c>
      <c r="O18" s="16">
        <f t="shared" si="0"/>
        <v>0.10300000000000864</v>
      </c>
      <c r="P18" s="16">
        <f t="shared" si="6"/>
        <v>0.10099999999999909</v>
      </c>
      <c r="Q18" s="16">
        <f t="shared" si="7"/>
        <v>2.0000000000095497E-3</v>
      </c>
      <c r="R18" s="16">
        <f t="shared" si="8"/>
        <v>0.10300000000000864</v>
      </c>
      <c r="S18" s="16">
        <f>AVERAGE(R5:R18)</f>
        <v>0.12650000000000108</v>
      </c>
      <c r="T18">
        <v>0</v>
      </c>
      <c r="U18">
        <v>0</v>
      </c>
      <c r="V18">
        <v>0</v>
      </c>
      <c r="W18">
        <v>0</v>
      </c>
      <c r="Y18" s="9" t="str">
        <f t="shared" si="9"/>
        <v>------</v>
      </c>
      <c r="Z18" s="9" t="str">
        <f t="shared" si="10"/>
        <v>------</v>
      </c>
      <c r="AA18" s="9"/>
      <c r="AB18">
        <v>0</v>
      </c>
      <c r="AD18" t="str">
        <f t="shared" si="1"/>
        <v/>
      </c>
      <c r="AE18">
        <v>0.17030999999999999</v>
      </c>
      <c r="AF18">
        <v>0</v>
      </c>
      <c r="AG18">
        <v>153.43762000000001</v>
      </c>
      <c r="AH18">
        <v>153.35688999999999</v>
      </c>
      <c r="AI18">
        <v>153.27617000000001</v>
      </c>
      <c r="AJ18">
        <v>153.19544999999999</v>
      </c>
      <c r="AK18">
        <v>153.11473000000001</v>
      </c>
      <c r="AL18">
        <v>152.99520000000001</v>
      </c>
      <c r="AM18">
        <v>152.91446999999999</v>
      </c>
      <c r="AN18">
        <v>152.83375000000001</v>
      </c>
      <c r="AO18">
        <v>152.75303</v>
      </c>
      <c r="AP18">
        <v>152.67231000000001</v>
      </c>
      <c r="AQ18">
        <v>152.93799999999999</v>
      </c>
      <c r="AR18">
        <v>152.92500000000001</v>
      </c>
      <c r="AS18">
        <f t="shared" si="26"/>
        <v>14</v>
      </c>
      <c r="AT18">
        <v>153.09899999999999</v>
      </c>
      <c r="AU18">
        <v>153.24199999999999</v>
      </c>
      <c r="AV18">
        <v>152.99100000000001</v>
      </c>
      <c r="AW18">
        <v>152.87200000000001</v>
      </c>
      <c r="AY18" s="4">
        <f>I18*(1+$AY$2)</f>
        <v>153.02995105000002</v>
      </c>
      <c r="AZ18" s="4">
        <f>I18*(1-$AY$2)</f>
        <v>152.98404895000002</v>
      </c>
      <c r="BA18" s="4">
        <f>J18*(1+$AY$2)</f>
        <v>152.92893590000003</v>
      </c>
      <c r="BB18" s="4">
        <f>J18*(1-$AY$2)</f>
        <v>152.88306410000001</v>
      </c>
      <c r="BC18" s="4">
        <f>K18*(1+$AY$2)</f>
        <v>153.27298750000003</v>
      </c>
      <c r="BD18" s="4">
        <f>K18*(1-$AY$2)</f>
        <v>153.2270125</v>
      </c>
      <c r="BE18" s="4">
        <f>L18*(1+$AY$2)</f>
        <v>152.59288549999999</v>
      </c>
      <c r="BF18" s="4">
        <f>L18*(1-$AY$2)</f>
        <v>152.54711449999999</v>
      </c>
      <c r="BG18" s="4">
        <f>M18*(1+$AY$2)</f>
        <v>152.62289000000001</v>
      </c>
      <c r="BH18" s="4">
        <f>M18*(1-$AY$2)</f>
        <v>152.57711</v>
      </c>
      <c r="BI18" s="4">
        <f>N18*(1+$AY$2)</f>
        <v>152.81191835000001</v>
      </c>
      <c r="BJ18" s="4">
        <f>N18*(1-$AY$2)</f>
        <v>152.76608164999999</v>
      </c>
      <c r="BK18" s="30">
        <f t="shared" si="27"/>
        <v>14</v>
      </c>
      <c r="BL18" s="15" t="str">
        <f t="shared" si="11"/>
        <v>TOUCH</v>
      </c>
      <c r="BM18" s="15" t="str">
        <f t="shared" si="12"/>
        <v>-----</v>
      </c>
      <c r="BN18" s="15" t="str">
        <f t="shared" si="13"/>
        <v>-----</v>
      </c>
      <c r="BO18" s="15" t="str">
        <f t="shared" si="14"/>
        <v>-----</v>
      </c>
      <c r="BP18" s="15" t="str">
        <f t="shared" si="15"/>
        <v>-----</v>
      </c>
      <c r="BQ18" s="15" t="str">
        <f t="shared" si="16"/>
        <v>-----</v>
      </c>
      <c r="BR18" s="22"/>
      <c r="BS18" s="9">
        <f t="shared" si="17"/>
        <v>-2.423265306122455E-3</v>
      </c>
      <c r="BT18" s="9">
        <f>SLOPE(J$5:J$103,$A$5:$A$103)</f>
        <v>-3.7194805194805478E-4</v>
      </c>
      <c r="BU18" s="9">
        <f>SLOPE(K$5:K$103,$A$5:$A$103)</f>
        <v>-1.6402721088435472E-3</v>
      </c>
      <c r="BV18" s="9">
        <f>SLOPE(L$5:L$103,$A$5:$A$103)</f>
        <v>7.6471243042669956E-4</v>
      </c>
      <c r="BW18" s="9">
        <f>SLOPE(M$5:M$103,$A$5:$A$103)</f>
        <v>-2.3081014223875058E-4</v>
      </c>
      <c r="BX18" s="9">
        <f>SLOPE(N$5:N$103,$A$5:$A$103)</f>
        <v>1.5802844774273381E-3</v>
      </c>
      <c r="BY18"/>
      <c r="BZ18" s="9">
        <f t="shared" ref="BZ18:BZ49" si="37">DEGREES(ATAN(BS18/$S$3))</f>
        <v>-1.9079214597220278</v>
      </c>
      <c r="CA18" s="9">
        <f t="shared" ref="CA18:CA49" si="38">DEGREES(ATAN(BT18/$S$3))</f>
        <v>-0.29295343676527091</v>
      </c>
      <c r="CB18" s="9">
        <f t="shared" ref="CB18:CB49" si="39">DEGREES(ATAN(BU18/$S$3))</f>
        <v>-1.2917022253843653</v>
      </c>
      <c r="CC18" s="9">
        <f t="shared" ref="CC18:CC49" si="40">DEGREES(ATAN(BV18/$S$3))</f>
        <v>0.60228527619529781</v>
      </c>
      <c r="CD18" s="9">
        <f t="shared" ref="CD18:CD49" si="41">DEGREES(ATAN(BW18/$S$3))</f>
        <v>-0.18179147971962978</v>
      </c>
      <c r="CE18" s="9">
        <f t="shared" ref="CE18:CE49" si="42">DEGREES(ATAN(BX18/$S$3))</f>
        <v>1.2444775446344229</v>
      </c>
      <c r="CF18"/>
      <c r="CG18" s="18" t="str" cm="1">
        <f t="array" ref="CG18">_xlfn.IFS(BZ18&gt;3,"Strong + Slope",BZ18&gt;1.5,"Moderate + Slope",BZ18&gt;0.5,"Sideway + Slope",BZ18&gt;=-0.5,"Sideway Flat",BZ18&gt;=-1.5,"Sideway - Slope",BZ18&gt;=-3,"Moderate - Slope",TRUE,"Strong - Slope")</f>
        <v>Moderate - Slope</v>
      </c>
      <c r="CH18" s="18" t="str" cm="1">
        <f t="array" ref="CH18">_xlfn.IFS(CA18&gt;3,"Strong + Slope",CA18&gt;1.5,"Moderate + Slope",CA18&gt;0.5,"Sideway + Slope",CA18&gt;=-0.5,"Sideway Flat",CA18&gt;=-1.5,"Sideway - Slope",CA18&gt;=-3,"Moderate - Slope",TRUE,"Strong - Slope")</f>
        <v>Sideway Flat</v>
      </c>
      <c r="CI18" s="18" t="str" cm="1">
        <f t="array" ref="CI18">_xlfn.IFS(CB18&gt;3,"Strong + Slope",CB18&gt;1.5,"Moderate + Slope",CB18&gt;0.5,"Sideway + Slope",CB18&gt;=-0.5,"Sideway Flat",CB18&gt;=-1.5,"Sideway - Slope",CB18&gt;=-3,"Moderate - Slope",TRUE,"Strong - Slope")</f>
        <v>Sideway - Slope</v>
      </c>
      <c r="CJ18" s="18" t="str" cm="1">
        <f t="array" ref="CJ18">_xlfn.IFS(CC18&gt;3,"Strong + Slope",CC18&gt;1.5,"Moderate + Slope",CC18&gt;0.5,"Sideway + Slope",CC18&gt;=-0.5,"Sideway Flat",CC18&gt;=-1.5,"Sideway - Slope",CC18&gt;=-3,"Moderate - Slope",TRUE,"Strong - Slope")</f>
        <v>Sideway + Slope</v>
      </c>
      <c r="CK18" s="18" t="str" cm="1">
        <f t="array" ref="CK18">_xlfn.IFS(CD18&gt;3,"Strong + Slope",CD18&gt;1.5,"Moderate + Slope",CD18&gt;0.5,"Sideway + Slope",CD18&gt;=-0.5,"Sideway Flat",CD18&gt;=-1.5,"Sideway - Slope",CD18&gt;=-3,"Moderate - Slope",TRUE,"Strong - Slope")</f>
        <v>Sideway Flat</v>
      </c>
      <c r="CL18" s="18" t="str" cm="1">
        <f t="array" ref="CL18">_xlfn.IFS(CE18&gt;3,"Strong + Slope",CE18&gt;1.5,"Moderate + Slope",CE18&gt;0.5,"Sideway + Slope",CE18&gt;=-0.5,"Sideway Flat",CE18&gt;=-1.5,"Sideway - Slope",CE18&gt;=-3,"Moderate - Slope",TRUE,"Strong - Slope")</f>
        <v>Sideway + Slope</v>
      </c>
      <c r="CM18" s="9"/>
      <c r="CN18" s="9">
        <f>RANK(I18,$I18:$N18,0)</f>
        <v>2</v>
      </c>
      <c r="CO18" s="9">
        <f>RANK(J18,$I18:$N18,0)</f>
        <v>3</v>
      </c>
      <c r="CP18" s="9">
        <f>RANK(K18,$I18:$N18,0)</f>
        <v>1</v>
      </c>
      <c r="CQ18" s="9">
        <f>RANK(L18,$I18:$N18,0)</f>
        <v>6</v>
      </c>
      <c r="CR18" s="9">
        <f>RANK(M18,$I18:$N18,0)</f>
        <v>5</v>
      </c>
      <c r="CS18" s="9">
        <f>RANK(N18,$I18:$N18,0)</f>
        <v>4</v>
      </c>
      <c r="CT18" s="9"/>
      <c r="CU18" s="9" t="str">
        <f>IF($H18&gt;I18,"SUP","RES")</f>
        <v>SUP</v>
      </c>
      <c r="CV18" s="9" t="str">
        <f>IF($H18&gt;J18,"SUP","RES")</f>
        <v>SUP</v>
      </c>
      <c r="CW18" s="9" t="str">
        <f>IF($H18&gt;K18,"SUP","RES")</f>
        <v>RES</v>
      </c>
      <c r="CX18" s="9" t="str">
        <f>IF($H18&gt;L18,"SUP","RES")</f>
        <v>SUP</v>
      </c>
      <c r="CY18" s="9" t="str">
        <f>IF($H18&gt;M18,"SUP","RES")</f>
        <v>SUP</v>
      </c>
      <c r="CZ18" s="9" t="str">
        <f>IF($H18&gt;N18,"SUP","RES")</f>
        <v>SUP</v>
      </c>
      <c r="DA18" s="9"/>
      <c r="DB18" s="12">
        <f>(I18-$H18)/$H18</f>
        <v>-8.4956214873906866E-5</v>
      </c>
      <c r="DC18" s="12">
        <f>(J18-$H18)/$H18</f>
        <v>-7.4500065350937335E-4</v>
      </c>
      <c r="DD18" s="12">
        <f>(K18-$H18)/$H18</f>
        <v>1.5030714939222962E-3</v>
      </c>
      <c r="DE18" s="12">
        <f>(L18-$H18)/$H18</f>
        <v>-2.9407920533264737E-3</v>
      </c>
      <c r="DF18" s="12">
        <f>(M18-$H18)/$H18</f>
        <v>-2.7447392497713754E-3</v>
      </c>
      <c r="DG18" s="12">
        <f>(N18-$H18)/$H18</f>
        <v>-1.5096065873743494E-3</v>
      </c>
      <c r="DH18" s="12"/>
      <c r="DI18" s="12">
        <f>((H18-MIN(I18:N18))/(MAX(I18:N18)-MIN(I18:N18)))</f>
        <v>0.66176470588237135</v>
      </c>
      <c r="DJ18" s="13">
        <f t="shared" si="2"/>
        <v>1</v>
      </c>
      <c r="DK18" s="14">
        <f t="shared" si="3"/>
        <v>5</v>
      </c>
      <c r="DL18" s="12">
        <f t="shared" si="18"/>
        <v>1.5030714939222962E-3</v>
      </c>
      <c r="DM18" s="12">
        <f t="shared" si="19"/>
        <v>-8.4956214873906866E-5</v>
      </c>
      <c r="DN18" s="12">
        <f t="shared" si="20"/>
        <v>-7.4500065350937335E-4</v>
      </c>
      <c r="DO18" s="12">
        <f t="shared" si="21"/>
        <v>-1.5096065873743494E-3</v>
      </c>
      <c r="DP18" s="12">
        <f t="shared" si="22"/>
        <v>-2.7447392497713754E-3</v>
      </c>
      <c r="DQ18" s="12">
        <f t="shared" si="23"/>
        <v>-2.9407920533264737E-3</v>
      </c>
      <c r="DR18" s="9"/>
      <c r="DS18" s="9" t="str">
        <f>IF(AQ18&gt;AG18,"Overbought",IF(AQ18&gt;AI18,"Bullish Momentum",IF(AQ18&gt;AK18,"Overprice Setting Up","-----")))</f>
        <v>-----</v>
      </c>
      <c r="DT18" s="9" t="str">
        <f>IF(AQ18&lt;AP18,"Oversold",IF(AQ18&lt;AN18,"Bearish Momentum",IF(AQ18&lt;AL18,"Underprice Setting Up","-----")))</f>
        <v>Underprice Setting Up</v>
      </c>
      <c r="DU18" s="9"/>
      <c r="DV18" s="12" t="str">
        <f>IF(AND(AT18&gt;AU18,AT17&gt;AU17,AT16&gt;AU16,AT15&gt;AU15,AT14&gt;AU14,AT13&gt;AU13,AT12&gt;AU12,AT11&gt;AU11,AT10&gt;AU10,AT9&gt;AU9,AT8&gt;AU8,AT7&gt;AU7),"Bullish",IF(AND(AT18&lt;AU18,AT17&lt;AU17,AT16&lt;AU16,AT15&lt;AU15,AT14&lt;AU14,AT13&lt;AU13,AT12&lt;AU12,AT11&lt;AU11,AT10&lt;AU10,AT9&lt;AU9,AT8&lt;AU8,AT7&lt;AU7),"Bearish","-----"))</f>
        <v>Bearish</v>
      </c>
      <c r="DW18" s="12"/>
      <c r="DX18" s="23">
        <f>(AR18-AT18)/AT18</f>
        <v>-1.1365195069855335E-3</v>
      </c>
      <c r="DY18" s="23">
        <f t="shared" si="4"/>
        <v>-1.9790968344058617</v>
      </c>
      <c r="DZ18" s="23" t="str">
        <f>IF(DY18&gt;PERCENTILE($DY$5:$DY$103,90%),"Reverse to Bearish",IF(DY18&gt;=PERCENTILE($DY$5:$DY$103,70%),"-----",IF(DY18&gt;=PERCENTILE($DY$5:$DY$103,30%),"-----",IF(DY18&gt;=PERCENTILE($DY$5:$DY$103,10%),"-----","Reverse to Bullish"))))</f>
        <v>Reverse to Bullish</v>
      </c>
      <c r="EA18" s="23" t="str">
        <f>IF(AQ18&gt;AR18,"Bullish","Bearish")</f>
        <v>Bullish</v>
      </c>
      <c r="EB18" s="22" t="str">
        <f>IF(AND(H18&gt;AQ18,H17&lt;AQ17),"TEMA crossover","-----")</f>
        <v>-----</v>
      </c>
      <c r="EC18" s="22" t="str">
        <f>IF(AND(H18&lt;AQ18,H17&gt;AQ17),"TEMA crossunder","-----")</f>
        <v>-----</v>
      </c>
      <c r="ED18" s="22"/>
      <c r="EE18" s="24" t="str">
        <f t="shared" si="33"/>
        <v>YES</v>
      </c>
      <c r="EF18" s="24" t="str">
        <f t="shared" si="34"/>
        <v>-----</v>
      </c>
      <c r="EG18" s="24" t="str">
        <f t="shared" si="35"/>
        <v>-----</v>
      </c>
      <c r="EH18" s="24" t="str">
        <f t="shared" si="36"/>
        <v>-----</v>
      </c>
      <c r="EI18" s="25" t="str">
        <f>IF(DV18="Bullish","YES","-----")</f>
        <v>-----</v>
      </c>
      <c r="EJ18" s="25" t="str">
        <f>IF(DZ18="Reverse to Bullish","YES","-----")</f>
        <v>YES</v>
      </c>
      <c r="EK18" s="25" t="str">
        <f>IF(AND(EA18="Bearish",EA17="Bearish",EA16="Bearish",EA15="Bearish"),"YES","-----")</f>
        <v>-----</v>
      </c>
      <c r="EL18" s="25" t="str">
        <f>IF(OR(EC18="TEMA crossover",EC17="TEMA crossover",EC16="TEMA crossover",EC15="TEMA crossover"),"YES","-----")</f>
        <v>-----</v>
      </c>
      <c r="EM18" s="24" t="str">
        <f>IF(AND(EE18="YES",EF18="YES",EG18="YES",EH18="YES"),"Open Sell / Close Buy","-----")</f>
        <v>-----</v>
      </c>
      <c r="EN18" s="25" t="str">
        <f t="shared" si="32"/>
        <v>-----</v>
      </c>
      <c r="EO18" s="23"/>
      <c r="EP18" s="9" t="str">
        <f>IF(AND(H18&gt;AV18,H18&gt;E18),"Bullish Trigger","-----")</f>
        <v>Bullish Trigger</v>
      </c>
      <c r="EQ18" s="9" t="str">
        <f>IF(AND(H18&lt;AW18,H18&lt;E18),"Bearish Trigger","-----")</f>
        <v>-----</v>
      </c>
      <c r="ER18" s="9"/>
      <c r="ES18" s="9" t="str">
        <f>IF(G18&gt;AV18,"Bullish Spike","-----")</f>
        <v>-----</v>
      </c>
      <c r="ET18" s="9" t="str">
        <f>IF(F18&lt;AW18,"Bearish Spike","-----")</f>
        <v>-----</v>
      </c>
      <c r="EU18" s="9"/>
      <c r="EV18" s="20">
        <f t="shared" si="5"/>
        <v>0.11899999999999977</v>
      </c>
      <c r="EW18" s="9">
        <f t="shared" si="24"/>
        <v>0.99614771010062297</v>
      </c>
      <c r="EX18" s="21" t="str">
        <f t="shared" si="25"/>
        <v>-----</v>
      </c>
      <c r="EY18" s="9"/>
    </row>
    <row r="19" spans="1:155" x14ac:dyDescent="0.55000000000000004">
      <c r="A19">
        <v>15</v>
      </c>
      <c r="B19" t="s">
        <v>18</v>
      </c>
      <c r="C19" t="s">
        <v>4</v>
      </c>
      <c r="D19" t="s">
        <v>103</v>
      </c>
      <c r="E19">
        <v>153.01900000000001</v>
      </c>
      <c r="F19">
        <v>153.09200000000001</v>
      </c>
      <c r="G19">
        <v>152.94</v>
      </c>
      <c r="H19">
        <v>153.04900000000001</v>
      </c>
      <c r="I19">
        <v>153.00399999999999</v>
      </c>
      <c r="J19">
        <v>152.90600000000001</v>
      </c>
      <c r="K19">
        <v>153.24799999999999</v>
      </c>
      <c r="L19">
        <v>152.571</v>
      </c>
      <c r="M19">
        <v>152.6</v>
      </c>
      <c r="N19">
        <v>152.79</v>
      </c>
      <c r="O19" s="16">
        <f t="shared" si="0"/>
        <v>0.15200000000001523</v>
      </c>
      <c r="P19" s="16">
        <f t="shared" si="6"/>
        <v>7.2000000000002728E-2</v>
      </c>
      <c r="Q19" s="16">
        <f t="shared" si="7"/>
        <v>8.0000000000012506E-2</v>
      </c>
      <c r="R19" s="16">
        <f t="shared" si="8"/>
        <v>0.15200000000001523</v>
      </c>
      <c r="S19" s="16">
        <f t="shared" ref="S19:S50" si="43">(S18*13+R19)/14</f>
        <v>0.12832142857143067</v>
      </c>
      <c r="T19">
        <v>0</v>
      </c>
      <c r="U19">
        <v>0</v>
      </c>
      <c r="V19">
        <v>0</v>
      </c>
      <c r="W19">
        <v>0</v>
      </c>
      <c r="Y19" s="9" t="str">
        <f t="shared" si="9"/>
        <v>------</v>
      </c>
      <c r="Z19" s="9" t="str">
        <f t="shared" si="10"/>
        <v>------</v>
      </c>
      <c r="AA19" s="9"/>
      <c r="AB19">
        <v>0</v>
      </c>
      <c r="AD19" t="str">
        <f t="shared" si="1"/>
        <v/>
      </c>
      <c r="AE19">
        <v>0.42524000000000001</v>
      </c>
      <c r="AF19">
        <v>0</v>
      </c>
      <c r="AG19">
        <v>153.42570000000001</v>
      </c>
      <c r="AH19">
        <v>153.34453999999999</v>
      </c>
      <c r="AI19">
        <v>153.26338000000001</v>
      </c>
      <c r="AJ19">
        <v>153.18222</v>
      </c>
      <c r="AK19">
        <v>153.10105999999999</v>
      </c>
      <c r="AL19">
        <v>152.97971999999999</v>
      </c>
      <c r="AM19">
        <v>152.89856</v>
      </c>
      <c r="AN19">
        <v>152.81739999999999</v>
      </c>
      <c r="AO19">
        <v>152.73624000000001</v>
      </c>
      <c r="AP19">
        <v>152.65508</v>
      </c>
      <c r="AQ19">
        <v>152.97800000000001</v>
      </c>
      <c r="AR19">
        <v>152.929</v>
      </c>
      <c r="AS19">
        <f t="shared" si="26"/>
        <v>15</v>
      </c>
      <c r="AT19">
        <v>153.09399999999999</v>
      </c>
      <c r="AU19">
        <v>153.23599999999999</v>
      </c>
      <c r="AV19">
        <v>153.036</v>
      </c>
      <c r="AW19">
        <v>152.90100000000001</v>
      </c>
      <c r="AY19" s="4">
        <f>I19*(1+$AY$2)</f>
        <v>153.02695059999999</v>
      </c>
      <c r="AZ19" s="4">
        <f>I19*(1-$AY$2)</f>
        <v>152.98104939999999</v>
      </c>
      <c r="BA19" s="4">
        <f>J19*(1+$AY$2)</f>
        <v>152.92893590000003</v>
      </c>
      <c r="BB19" s="4">
        <f>J19*(1-$AY$2)</f>
        <v>152.88306410000001</v>
      </c>
      <c r="BC19" s="4">
        <f>K19*(1+$AY$2)</f>
        <v>153.27098720000001</v>
      </c>
      <c r="BD19" s="4">
        <f>K19*(1-$AY$2)</f>
        <v>153.2250128</v>
      </c>
      <c r="BE19" s="4">
        <f>L19*(1+$AY$2)</f>
        <v>152.59388565</v>
      </c>
      <c r="BF19" s="4">
        <f>L19*(1-$AY$2)</f>
        <v>152.54811434999999</v>
      </c>
      <c r="BG19" s="4">
        <f>M19*(1+$AY$2)</f>
        <v>152.62289000000001</v>
      </c>
      <c r="BH19" s="4">
        <f>M19*(1-$AY$2)</f>
        <v>152.57711</v>
      </c>
      <c r="BI19" s="4">
        <f>N19*(1+$AY$2)</f>
        <v>152.81291849999999</v>
      </c>
      <c r="BJ19" s="4">
        <f>N19*(1-$AY$2)</f>
        <v>152.76708149999999</v>
      </c>
      <c r="BK19" s="30">
        <f t="shared" si="27"/>
        <v>15</v>
      </c>
      <c r="BL19" s="15" t="str">
        <f t="shared" si="11"/>
        <v>TOUCH</v>
      </c>
      <c r="BM19" s="15" t="str">
        <f t="shared" si="12"/>
        <v>-----</v>
      </c>
      <c r="BN19" s="15" t="str">
        <f t="shared" si="13"/>
        <v>-----</v>
      </c>
      <c r="BO19" s="15" t="str">
        <f t="shared" si="14"/>
        <v>-----</v>
      </c>
      <c r="BP19" s="15" t="str">
        <f t="shared" si="15"/>
        <v>-----</v>
      </c>
      <c r="BQ19" s="15" t="str">
        <f t="shared" si="16"/>
        <v>-----</v>
      </c>
      <c r="BR19" s="22"/>
      <c r="BS19" s="9">
        <f t="shared" si="17"/>
        <v>-2.423265306122455E-3</v>
      </c>
      <c r="BT19" s="9">
        <f>SLOPE(J$5:J$103,$A$5:$A$103)</f>
        <v>-3.7194805194805478E-4</v>
      </c>
      <c r="BU19" s="9">
        <f>SLOPE(K$5:K$103,$A$5:$A$103)</f>
        <v>-1.6402721088435472E-3</v>
      </c>
      <c r="BV19" s="9">
        <f>SLOPE(L$5:L$103,$A$5:$A$103)</f>
        <v>7.6471243042669956E-4</v>
      </c>
      <c r="BW19" s="9">
        <f>SLOPE(M$5:M$103,$A$5:$A$103)</f>
        <v>-2.3081014223875058E-4</v>
      </c>
      <c r="BX19" s="9">
        <f>SLOPE(N$5:N$103,$A$5:$A$103)</f>
        <v>1.5802844774273381E-3</v>
      </c>
      <c r="BY19"/>
      <c r="BZ19" s="9">
        <f t="shared" si="37"/>
        <v>-1.9079214597220278</v>
      </c>
      <c r="CA19" s="9">
        <f t="shared" si="38"/>
        <v>-0.29295343676527091</v>
      </c>
      <c r="CB19" s="9">
        <f t="shared" si="39"/>
        <v>-1.2917022253843653</v>
      </c>
      <c r="CC19" s="9">
        <f t="shared" si="40"/>
        <v>0.60228527619529781</v>
      </c>
      <c r="CD19" s="9">
        <f t="shared" si="41"/>
        <v>-0.18179147971962978</v>
      </c>
      <c r="CE19" s="9">
        <f t="shared" si="42"/>
        <v>1.2444775446344229</v>
      </c>
      <c r="CF19"/>
      <c r="CG19" s="18" t="str" cm="1">
        <f t="array" ref="CG19">_xlfn.IFS(BZ19&gt;3,"Strong + Slope",BZ19&gt;1.5,"Moderate + Slope",BZ19&gt;0.5,"Sideway + Slope",BZ19&gt;=-0.5,"Sideway Flat",BZ19&gt;=-1.5,"Sideway - Slope",BZ19&gt;=-3,"Moderate - Slope",TRUE,"Strong - Slope")</f>
        <v>Moderate - Slope</v>
      </c>
      <c r="CH19" s="18" t="str" cm="1">
        <f t="array" ref="CH19">_xlfn.IFS(CA19&gt;3,"Strong + Slope",CA19&gt;1.5,"Moderate + Slope",CA19&gt;0.5,"Sideway + Slope",CA19&gt;=-0.5,"Sideway Flat",CA19&gt;=-1.5,"Sideway - Slope",CA19&gt;=-3,"Moderate - Slope",TRUE,"Strong - Slope")</f>
        <v>Sideway Flat</v>
      </c>
      <c r="CI19" s="18" t="str" cm="1">
        <f t="array" ref="CI19">_xlfn.IFS(CB19&gt;3,"Strong + Slope",CB19&gt;1.5,"Moderate + Slope",CB19&gt;0.5,"Sideway + Slope",CB19&gt;=-0.5,"Sideway Flat",CB19&gt;=-1.5,"Sideway - Slope",CB19&gt;=-3,"Moderate - Slope",TRUE,"Strong - Slope")</f>
        <v>Sideway - Slope</v>
      </c>
      <c r="CJ19" s="18" t="str" cm="1">
        <f t="array" ref="CJ19">_xlfn.IFS(CC19&gt;3,"Strong + Slope",CC19&gt;1.5,"Moderate + Slope",CC19&gt;0.5,"Sideway + Slope",CC19&gt;=-0.5,"Sideway Flat",CC19&gt;=-1.5,"Sideway - Slope",CC19&gt;=-3,"Moderate - Slope",TRUE,"Strong - Slope")</f>
        <v>Sideway + Slope</v>
      </c>
      <c r="CK19" s="18" t="str" cm="1">
        <f t="array" ref="CK19">_xlfn.IFS(CD19&gt;3,"Strong + Slope",CD19&gt;1.5,"Moderate + Slope",CD19&gt;0.5,"Sideway + Slope",CD19&gt;=-0.5,"Sideway Flat",CD19&gt;=-1.5,"Sideway - Slope",CD19&gt;=-3,"Moderate - Slope",TRUE,"Strong - Slope")</f>
        <v>Sideway Flat</v>
      </c>
      <c r="CL19" s="18" t="str" cm="1">
        <f t="array" ref="CL19">_xlfn.IFS(CE19&gt;3,"Strong + Slope",CE19&gt;1.5,"Moderate + Slope",CE19&gt;0.5,"Sideway + Slope",CE19&gt;=-0.5,"Sideway Flat",CE19&gt;=-1.5,"Sideway - Slope",CE19&gt;=-3,"Moderate - Slope",TRUE,"Strong - Slope")</f>
        <v>Sideway + Slope</v>
      </c>
      <c r="CM19" s="9"/>
      <c r="CN19" s="9">
        <f>RANK(I19,$I19:$N19,0)</f>
        <v>2</v>
      </c>
      <c r="CO19" s="9">
        <f>RANK(J19,$I19:$N19,0)</f>
        <v>3</v>
      </c>
      <c r="CP19" s="9">
        <f>RANK(K19,$I19:$N19,0)</f>
        <v>1</v>
      </c>
      <c r="CQ19" s="9">
        <f>RANK(L19,$I19:$N19,0)</f>
        <v>6</v>
      </c>
      <c r="CR19" s="9">
        <f>RANK(M19,$I19:$N19,0)</f>
        <v>5</v>
      </c>
      <c r="CS19" s="9">
        <f>RANK(N19,$I19:$N19,0)</f>
        <v>4</v>
      </c>
      <c r="CT19" s="9"/>
      <c r="CU19" s="9" t="str">
        <f>IF($H19&gt;I19,"SUP","RES")</f>
        <v>SUP</v>
      </c>
      <c r="CV19" s="9" t="str">
        <f>IF($H19&gt;J19,"SUP","RES")</f>
        <v>SUP</v>
      </c>
      <c r="CW19" s="9" t="str">
        <f>IF($H19&gt;K19,"SUP","RES")</f>
        <v>RES</v>
      </c>
      <c r="CX19" s="9" t="str">
        <f>IF($H19&gt;L19,"SUP","RES")</f>
        <v>SUP</v>
      </c>
      <c r="CY19" s="9" t="str">
        <f>IF($H19&gt;M19,"SUP","RES")</f>
        <v>SUP</v>
      </c>
      <c r="CZ19" s="9" t="str">
        <f>IF($H19&gt;N19,"SUP","RES")</f>
        <v>SUP</v>
      </c>
      <c r="DA19" s="9"/>
      <c r="DB19" s="12">
        <f>(I19-$H19)/$H19</f>
        <v>-2.9402348267558697E-4</v>
      </c>
      <c r="DC19" s="12">
        <f>(J19-$H19)/$H19</f>
        <v>-9.3434128939098382E-4</v>
      </c>
      <c r="DD19" s="12">
        <f>(K19-$H19)/$H19</f>
        <v>1.3002371789425861E-3</v>
      </c>
      <c r="DE19" s="12">
        <f>(L19-$H19)/$H19</f>
        <v>-3.1231827715307425E-3</v>
      </c>
      <c r="DF19" s="12">
        <f>(M19-$H19)/$H19</f>
        <v>-2.9337009715843438E-3</v>
      </c>
      <c r="DG19" s="12">
        <f>(N19-$H19)/$H19</f>
        <v>-1.692268489176764E-3</v>
      </c>
      <c r="DH19" s="12"/>
      <c r="DI19" s="12">
        <f>((H19-MIN(I19:N19))/(MAX(I19:N19)-MIN(I19:N19)))</f>
        <v>0.70605612998524958</v>
      </c>
      <c r="DJ19" s="13">
        <f t="shared" si="2"/>
        <v>1</v>
      </c>
      <c r="DK19" s="14">
        <f t="shared" si="3"/>
        <v>5</v>
      </c>
      <c r="DL19" s="12">
        <f t="shared" si="18"/>
        <v>1.3002371789425861E-3</v>
      </c>
      <c r="DM19" s="12">
        <f t="shared" si="19"/>
        <v>-2.9402348267558697E-4</v>
      </c>
      <c r="DN19" s="12">
        <f t="shared" si="20"/>
        <v>-9.3434128939098382E-4</v>
      </c>
      <c r="DO19" s="12">
        <f t="shared" si="21"/>
        <v>-1.692268489176764E-3</v>
      </c>
      <c r="DP19" s="12">
        <f t="shared" si="22"/>
        <v>-2.9337009715843438E-3</v>
      </c>
      <c r="DQ19" s="12">
        <f t="shared" si="23"/>
        <v>-3.1231827715307425E-3</v>
      </c>
      <c r="DR19" s="9"/>
      <c r="DS19" s="9" t="str">
        <f>IF(AQ19&gt;AG19,"Overbought",IF(AQ19&gt;AI19,"Bullish Momentum",IF(AQ19&gt;AK19,"Overprice Setting Up","-----")))</f>
        <v>-----</v>
      </c>
      <c r="DT19" s="9" t="str">
        <f>IF(AQ19&lt;AP19,"Oversold",IF(AQ19&lt;AN19,"Bearish Momentum",IF(AQ19&lt;AL19,"Underprice Setting Up","-----")))</f>
        <v>Underprice Setting Up</v>
      </c>
      <c r="DU19" s="9"/>
      <c r="DV19" s="12" t="str">
        <f>IF(AND(AT19&gt;AU19,AT18&gt;AU18,AT17&gt;AU17,AT16&gt;AU16,AT15&gt;AU15,AT14&gt;AU14,AT13&gt;AU13,AT12&gt;AU12,AT11&gt;AU11,AT10&gt;AU10,AT9&gt;AU9,AT8&gt;AU8),"Bullish",IF(AND(AT19&lt;AU19,AT18&lt;AU18,AT17&lt;AU17,AT16&lt;AU16,AT15&lt;AU15,AT14&lt;AU14,AT13&lt;AU13,AT12&lt;AU12,AT11&lt;AU11,AT10&lt;AU10,AT9&lt;AU9,AT8&lt;AU8),"Bearish","-----"))</f>
        <v>Bearish</v>
      </c>
      <c r="DW19" s="12"/>
      <c r="DX19" s="23">
        <f>(AR19-AT19)/AT19</f>
        <v>-1.0777692136856574E-3</v>
      </c>
      <c r="DY19" s="23">
        <f t="shared" si="4"/>
        <v>-1.8096578878594489</v>
      </c>
      <c r="DZ19" s="23" t="str">
        <f>IF(DY19&gt;PERCENTILE($DY$5:$DY$103,90%),"Reverse to Bearish",IF(DY19&gt;=PERCENTILE($DY$5:$DY$103,70%),"-----",IF(DY19&gt;=PERCENTILE($DY$5:$DY$103,30%),"-----",IF(DY19&gt;=PERCENTILE($DY$5:$DY$103,10%),"-----","Reverse to Bullish"))))</f>
        <v>Reverse to Bullish</v>
      </c>
      <c r="EA19" s="23" t="str">
        <f>IF(AQ19&gt;AR19,"Bullish","Bearish")</f>
        <v>Bullish</v>
      </c>
      <c r="EB19" s="22" t="str">
        <f>IF(AND(H19&gt;AQ19,H18&lt;AQ18),"TEMA crossover","-----")</f>
        <v>-----</v>
      </c>
      <c r="EC19" s="22" t="str">
        <f>IF(AND(H19&lt;AQ19,H18&gt;AQ18),"TEMA crossunder","-----")</f>
        <v>-----</v>
      </c>
      <c r="ED19" s="22"/>
      <c r="EE19" s="24" t="str">
        <f t="shared" si="33"/>
        <v>YES</v>
      </c>
      <c r="EF19" s="24" t="str">
        <f t="shared" si="34"/>
        <v>-----</v>
      </c>
      <c r="EG19" s="24" t="str">
        <f t="shared" si="35"/>
        <v>-----</v>
      </c>
      <c r="EH19" s="24" t="str">
        <f t="shared" si="36"/>
        <v>-----</v>
      </c>
      <c r="EI19" s="25" t="str">
        <f>IF(DV19="Bullish","YES","-----")</f>
        <v>-----</v>
      </c>
      <c r="EJ19" s="25" t="str">
        <f>IF(DZ19="Reverse to Bullish","YES","-----")</f>
        <v>YES</v>
      </c>
      <c r="EK19" s="25" t="str">
        <f>IF(AND(EA19="Bearish",EA18="Bearish",EA17="Bearish",EA16="Bearish"),"YES","-----")</f>
        <v>-----</v>
      </c>
      <c r="EL19" s="25" t="str">
        <f>IF(OR(EC19="TEMA crossover",EC18="TEMA crossover",EC17="TEMA crossover",EC16="TEMA crossover"),"YES","-----")</f>
        <v>-----</v>
      </c>
      <c r="EM19" s="24" t="str">
        <f>IF(AND(EE19="YES",EF19="YES",EG19="YES",EH19="YES"),"Open Sell / Close Buy","-----")</f>
        <v>-----</v>
      </c>
      <c r="EN19" s="25" t="str">
        <f t="shared" si="32"/>
        <v>-----</v>
      </c>
      <c r="EO19" s="23"/>
      <c r="EP19" s="9" t="str">
        <f>IF(AND(H19&gt;AV19,H19&gt;E19),"Bullish Trigger","-----")</f>
        <v>Bullish Trigger</v>
      </c>
      <c r="EQ19" s="9" t="str">
        <f>IF(AND(H19&lt;AW19,H19&lt;E19),"Bearish Trigger","-----")</f>
        <v>-----</v>
      </c>
      <c r="ER19" s="9"/>
      <c r="ES19" s="9" t="str">
        <f>IF(G19&gt;AV19,"Bullish Spike","-----")</f>
        <v>-----</v>
      </c>
      <c r="ET19" s="9" t="str">
        <f>IF(F19&lt;AW19,"Bearish Spike","-----")</f>
        <v>-----</v>
      </c>
      <c r="EU19" s="9"/>
      <c r="EV19" s="20">
        <f t="shared" si="5"/>
        <v>0.13499999999999091</v>
      </c>
      <c r="EW19" s="9">
        <f t="shared" si="24"/>
        <v>1.3649016182096665</v>
      </c>
      <c r="EX19" s="21" t="str">
        <f t="shared" si="25"/>
        <v>Consolidation</v>
      </c>
      <c r="EY19" s="9"/>
    </row>
    <row r="20" spans="1:155" x14ac:dyDescent="0.55000000000000004">
      <c r="A20">
        <v>16</v>
      </c>
      <c r="B20" t="s">
        <v>19</v>
      </c>
      <c r="C20" t="s">
        <v>4</v>
      </c>
      <c r="D20" t="s">
        <v>103</v>
      </c>
      <c r="E20">
        <v>153.053</v>
      </c>
      <c r="F20">
        <v>153.08000000000001</v>
      </c>
      <c r="G20">
        <v>152.99700000000001</v>
      </c>
      <c r="H20">
        <v>153.04499999999999</v>
      </c>
      <c r="I20">
        <v>153.00200000000001</v>
      </c>
      <c r="J20">
        <v>152.905</v>
      </c>
      <c r="K20">
        <v>153.24600000000001</v>
      </c>
      <c r="L20">
        <v>152.572</v>
      </c>
      <c r="M20">
        <v>152.59899999999999</v>
      </c>
      <c r="N20">
        <v>152.792</v>
      </c>
      <c r="O20" s="16">
        <f t="shared" si="0"/>
        <v>8.2999999999998408E-2</v>
      </c>
      <c r="P20" s="16">
        <f t="shared" si="6"/>
        <v>3.1000000000005912E-2</v>
      </c>
      <c r="Q20" s="16">
        <f t="shared" si="7"/>
        <v>5.1999999999992497E-2</v>
      </c>
      <c r="R20" s="16">
        <f t="shared" si="8"/>
        <v>8.2999999999998408E-2</v>
      </c>
      <c r="S20" s="16">
        <f t="shared" si="43"/>
        <v>0.12508418367347121</v>
      </c>
      <c r="T20">
        <v>0</v>
      </c>
      <c r="U20">
        <v>0</v>
      </c>
      <c r="V20">
        <v>0</v>
      </c>
      <c r="W20">
        <v>0</v>
      </c>
      <c r="Y20" s="9" t="str">
        <f t="shared" si="9"/>
        <v>------</v>
      </c>
      <c r="Z20" s="9" t="str">
        <f t="shared" si="10"/>
        <v>------</v>
      </c>
      <c r="AA20" s="9"/>
      <c r="AB20">
        <v>0</v>
      </c>
      <c r="AD20" t="str">
        <f t="shared" si="1"/>
        <v/>
      </c>
      <c r="AE20">
        <v>0.92591999999999997</v>
      </c>
      <c r="AF20">
        <v>3</v>
      </c>
      <c r="AG20">
        <v>153.41305</v>
      </c>
      <c r="AH20">
        <v>153.33219</v>
      </c>
      <c r="AI20">
        <v>153.25133</v>
      </c>
      <c r="AJ20">
        <v>153.17045999999999</v>
      </c>
      <c r="AK20">
        <v>153.08959999999999</v>
      </c>
      <c r="AL20">
        <v>152.96778</v>
      </c>
      <c r="AM20">
        <v>152.88692</v>
      </c>
      <c r="AN20">
        <v>152.80605</v>
      </c>
      <c r="AO20">
        <v>152.72519</v>
      </c>
      <c r="AP20">
        <v>152.64431999999999</v>
      </c>
      <c r="AQ20">
        <v>153.011</v>
      </c>
      <c r="AR20">
        <v>152.93899999999999</v>
      </c>
      <c r="AS20">
        <f t="shared" si="26"/>
        <v>16</v>
      </c>
      <c r="AT20">
        <v>153.09</v>
      </c>
      <c r="AU20">
        <v>153.22999999999999</v>
      </c>
      <c r="AV20">
        <v>153.059</v>
      </c>
      <c r="AW20">
        <v>152.94800000000001</v>
      </c>
      <c r="AY20" s="4">
        <f>I20*(1+$AY$2)</f>
        <v>153.02495030000003</v>
      </c>
      <c r="AZ20" s="4">
        <f>I20*(1-$AY$2)</f>
        <v>152.97904970000002</v>
      </c>
      <c r="BA20" s="4">
        <f>J20*(1+$AY$2)</f>
        <v>152.92793575000002</v>
      </c>
      <c r="BB20" s="4">
        <f>J20*(1-$AY$2)</f>
        <v>152.88206425000001</v>
      </c>
      <c r="BC20" s="4">
        <f>K20*(1+$AY$2)</f>
        <v>153.26898690000002</v>
      </c>
      <c r="BD20" s="4">
        <f>K20*(1-$AY$2)</f>
        <v>153.2230131</v>
      </c>
      <c r="BE20" s="4">
        <f>L20*(1+$AY$2)</f>
        <v>152.59488580000001</v>
      </c>
      <c r="BF20" s="4">
        <f>L20*(1-$AY$2)</f>
        <v>152.54911419999999</v>
      </c>
      <c r="BG20" s="4">
        <f>M20*(1+$AY$2)</f>
        <v>152.62188985</v>
      </c>
      <c r="BH20" s="4">
        <f>M20*(1-$AY$2)</f>
        <v>152.57611015000001</v>
      </c>
      <c r="BI20" s="4">
        <f>N20*(1+$AY$2)</f>
        <v>152.81491880000002</v>
      </c>
      <c r="BJ20" s="4">
        <f>N20*(1-$AY$2)</f>
        <v>152.76908120000002</v>
      </c>
      <c r="BK20" s="30">
        <f t="shared" si="27"/>
        <v>16</v>
      </c>
      <c r="BL20" s="15" t="str">
        <f t="shared" si="11"/>
        <v>-----</v>
      </c>
      <c r="BM20" s="15" t="str">
        <f t="shared" si="12"/>
        <v>-----</v>
      </c>
      <c r="BN20" s="15" t="str">
        <f t="shared" si="13"/>
        <v>-----</v>
      </c>
      <c r="BO20" s="15" t="str">
        <f t="shared" si="14"/>
        <v>-----</v>
      </c>
      <c r="BP20" s="15" t="str">
        <f t="shared" si="15"/>
        <v>-----</v>
      </c>
      <c r="BQ20" s="15" t="str">
        <f t="shared" si="16"/>
        <v>-----</v>
      </c>
      <c r="BR20" s="22"/>
      <c r="BS20" s="9">
        <f t="shared" si="17"/>
        <v>-2.423265306122455E-3</v>
      </c>
      <c r="BT20" s="9">
        <f>SLOPE(J$5:J$103,$A$5:$A$103)</f>
        <v>-3.7194805194805478E-4</v>
      </c>
      <c r="BU20" s="9">
        <f>SLOPE(K$5:K$103,$A$5:$A$103)</f>
        <v>-1.6402721088435472E-3</v>
      </c>
      <c r="BV20" s="9">
        <f>SLOPE(L$5:L$103,$A$5:$A$103)</f>
        <v>7.6471243042669956E-4</v>
      </c>
      <c r="BW20" s="9">
        <f>SLOPE(M$5:M$103,$A$5:$A$103)</f>
        <v>-2.3081014223875058E-4</v>
      </c>
      <c r="BX20" s="9">
        <f>SLOPE(N$5:N$103,$A$5:$A$103)</f>
        <v>1.5802844774273381E-3</v>
      </c>
      <c r="BY20"/>
      <c r="BZ20" s="9">
        <f t="shared" si="37"/>
        <v>-1.9079214597220278</v>
      </c>
      <c r="CA20" s="9">
        <f t="shared" si="38"/>
        <v>-0.29295343676527091</v>
      </c>
      <c r="CB20" s="9">
        <f t="shared" si="39"/>
        <v>-1.2917022253843653</v>
      </c>
      <c r="CC20" s="9">
        <f t="shared" si="40"/>
        <v>0.60228527619529781</v>
      </c>
      <c r="CD20" s="9">
        <f t="shared" si="41"/>
        <v>-0.18179147971962978</v>
      </c>
      <c r="CE20" s="9">
        <f t="shared" si="42"/>
        <v>1.2444775446344229</v>
      </c>
      <c r="CF20"/>
      <c r="CG20" s="18" t="str" cm="1">
        <f t="array" ref="CG20">_xlfn.IFS(BZ20&gt;3,"Strong + Slope",BZ20&gt;1.5,"Moderate + Slope",BZ20&gt;0.5,"Sideway + Slope",BZ20&gt;=-0.5,"Sideway Flat",BZ20&gt;=-1.5,"Sideway - Slope",BZ20&gt;=-3,"Moderate - Slope",TRUE,"Strong - Slope")</f>
        <v>Moderate - Slope</v>
      </c>
      <c r="CH20" s="18" t="str" cm="1">
        <f t="array" ref="CH20">_xlfn.IFS(CA20&gt;3,"Strong + Slope",CA20&gt;1.5,"Moderate + Slope",CA20&gt;0.5,"Sideway + Slope",CA20&gt;=-0.5,"Sideway Flat",CA20&gt;=-1.5,"Sideway - Slope",CA20&gt;=-3,"Moderate - Slope",TRUE,"Strong - Slope")</f>
        <v>Sideway Flat</v>
      </c>
      <c r="CI20" s="18" t="str" cm="1">
        <f t="array" ref="CI20">_xlfn.IFS(CB20&gt;3,"Strong + Slope",CB20&gt;1.5,"Moderate + Slope",CB20&gt;0.5,"Sideway + Slope",CB20&gt;=-0.5,"Sideway Flat",CB20&gt;=-1.5,"Sideway - Slope",CB20&gt;=-3,"Moderate - Slope",TRUE,"Strong - Slope")</f>
        <v>Sideway - Slope</v>
      </c>
      <c r="CJ20" s="18" t="str" cm="1">
        <f t="array" ref="CJ20">_xlfn.IFS(CC20&gt;3,"Strong + Slope",CC20&gt;1.5,"Moderate + Slope",CC20&gt;0.5,"Sideway + Slope",CC20&gt;=-0.5,"Sideway Flat",CC20&gt;=-1.5,"Sideway - Slope",CC20&gt;=-3,"Moderate - Slope",TRUE,"Strong - Slope")</f>
        <v>Sideway + Slope</v>
      </c>
      <c r="CK20" s="18" t="str" cm="1">
        <f t="array" ref="CK20">_xlfn.IFS(CD20&gt;3,"Strong + Slope",CD20&gt;1.5,"Moderate + Slope",CD20&gt;0.5,"Sideway + Slope",CD20&gt;=-0.5,"Sideway Flat",CD20&gt;=-1.5,"Sideway - Slope",CD20&gt;=-3,"Moderate - Slope",TRUE,"Strong - Slope")</f>
        <v>Sideway Flat</v>
      </c>
      <c r="CL20" s="18" t="str" cm="1">
        <f t="array" ref="CL20">_xlfn.IFS(CE20&gt;3,"Strong + Slope",CE20&gt;1.5,"Moderate + Slope",CE20&gt;0.5,"Sideway + Slope",CE20&gt;=-0.5,"Sideway Flat",CE20&gt;=-1.5,"Sideway - Slope",CE20&gt;=-3,"Moderate - Slope",TRUE,"Strong - Slope")</f>
        <v>Sideway + Slope</v>
      </c>
      <c r="CM20" s="9"/>
      <c r="CN20" s="9">
        <f>RANK(I20,$I20:$N20,0)</f>
        <v>2</v>
      </c>
      <c r="CO20" s="9">
        <f>RANK(J20,$I20:$N20,0)</f>
        <v>3</v>
      </c>
      <c r="CP20" s="9">
        <f>RANK(K20,$I20:$N20,0)</f>
        <v>1</v>
      </c>
      <c r="CQ20" s="9">
        <f>RANK(L20,$I20:$N20,0)</f>
        <v>6</v>
      </c>
      <c r="CR20" s="9">
        <f>RANK(M20,$I20:$N20,0)</f>
        <v>5</v>
      </c>
      <c r="CS20" s="9">
        <f>RANK(N20,$I20:$N20,0)</f>
        <v>4</v>
      </c>
      <c r="CT20" s="9"/>
      <c r="CU20" s="9" t="str">
        <f>IF($H20&gt;I20,"SUP","RES")</f>
        <v>SUP</v>
      </c>
      <c r="CV20" s="9" t="str">
        <f>IF($H20&gt;J20,"SUP","RES")</f>
        <v>SUP</v>
      </c>
      <c r="CW20" s="9" t="str">
        <f>IF($H20&gt;K20,"SUP","RES")</f>
        <v>RES</v>
      </c>
      <c r="CX20" s="9" t="str">
        <f>IF($H20&gt;L20,"SUP","RES")</f>
        <v>SUP</v>
      </c>
      <c r="CY20" s="9" t="str">
        <f>IF($H20&gt;M20,"SUP","RES")</f>
        <v>SUP</v>
      </c>
      <c r="CZ20" s="9" t="str">
        <f>IF($H20&gt;N20,"SUP","RES")</f>
        <v>SUP</v>
      </c>
      <c r="DA20" s="9"/>
      <c r="DB20" s="12">
        <f>(I20-$H20)/$H20</f>
        <v>-2.8096311542342414E-4</v>
      </c>
      <c r="DC20" s="12">
        <f>(J20-$H20)/$H20</f>
        <v>-9.1476363161152846E-4</v>
      </c>
      <c r="DD20" s="12">
        <f>(K20-$H20)/$H20</f>
        <v>1.3133392139568221E-3</v>
      </c>
      <c r="DE20" s="12">
        <f>(L20-$H20)/$H20</f>
        <v>-3.0905942696591512E-3</v>
      </c>
      <c r="DF20" s="12">
        <f>(M20-$H20)/$H20</f>
        <v>-2.9141755692769968E-3</v>
      </c>
      <c r="DG20" s="12">
        <f>(N20-$H20)/$H20</f>
        <v>-1.6531085628409025E-3</v>
      </c>
      <c r="DH20" s="12"/>
      <c r="DI20" s="12">
        <f>((H20-MIN(I20:N20))/(MAX(I20:N20)-MIN(I20:N20)))</f>
        <v>0.70178041543023761</v>
      </c>
      <c r="DJ20" s="13">
        <f t="shared" si="2"/>
        <v>1</v>
      </c>
      <c r="DK20" s="14">
        <f t="shared" si="3"/>
        <v>5</v>
      </c>
      <c r="DL20" s="12">
        <f t="shared" si="18"/>
        <v>1.3133392139568221E-3</v>
      </c>
      <c r="DM20" s="12">
        <f t="shared" si="19"/>
        <v>-2.8096311542342414E-4</v>
      </c>
      <c r="DN20" s="12">
        <f t="shared" si="20"/>
        <v>-9.1476363161152846E-4</v>
      </c>
      <c r="DO20" s="12">
        <f t="shared" si="21"/>
        <v>-1.6531085628409025E-3</v>
      </c>
      <c r="DP20" s="12">
        <f t="shared" si="22"/>
        <v>-2.9141755692769968E-3</v>
      </c>
      <c r="DQ20" s="12">
        <f t="shared" si="23"/>
        <v>-3.0905942696591512E-3</v>
      </c>
      <c r="DR20" s="9"/>
      <c r="DS20" s="9" t="str">
        <f>IF(AQ20&gt;AG20,"Overbought",IF(AQ20&gt;AI20,"Bullish Momentum",IF(AQ20&gt;AK20,"Overprice Setting Up","-----")))</f>
        <v>-----</v>
      </c>
      <c r="DT20" s="9" t="str">
        <f>IF(AQ20&lt;AP20,"Oversold",IF(AQ20&lt;AN20,"Bearish Momentum",IF(AQ20&lt;AL20,"Underprice Setting Up","-----")))</f>
        <v>-----</v>
      </c>
      <c r="DU20" s="9"/>
      <c r="DV20" s="12" t="str">
        <f>IF(AND(AT20&gt;AU20,AT19&gt;AU19,AT18&gt;AU18,AT17&gt;AU17,AT16&gt;AU16,AT15&gt;AU15,AT14&gt;AU14,AT13&gt;AU13,AT12&gt;AU12,AT11&gt;AU11,AT10&gt;AU10,AT9&gt;AU9),"Bullish",IF(AND(AT20&lt;AU20,AT19&lt;AU19,AT18&lt;AU18,AT17&lt;AU17,AT16&lt;AU16,AT15&lt;AU15,AT14&lt;AU14,AT13&lt;AU13,AT12&lt;AU12,AT11&lt;AU11,AT10&lt;AU10,AT9&lt;AU9),"Bearish","-----"))</f>
        <v>Bearish</v>
      </c>
      <c r="DW20" s="12"/>
      <c r="DX20" s="23">
        <f>(AR20-AT20)/AT20</f>
        <v>-9.8634789992821511E-4</v>
      </c>
      <c r="DY20" s="23">
        <f t="shared" si="4"/>
        <v>-1.5459939940319984</v>
      </c>
      <c r="DZ20" s="23" t="str">
        <f>IF(DY20&gt;PERCENTILE($DY$5:$DY$103,90%),"Reverse to Bearish",IF(DY20&gt;=PERCENTILE($DY$5:$DY$103,70%),"-----",IF(DY20&gt;=PERCENTILE($DY$5:$DY$103,30%),"-----",IF(DY20&gt;=PERCENTILE($DY$5:$DY$103,10%),"-----","Reverse to Bullish"))))</f>
        <v>-----</v>
      </c>
      <c r="EA20" s="23" t="str">
        <f>IF(AQ20&gt;AR20,"Bullish","Bearish")</f>
        <v>Bullish</v>
      </c>
      <c r="EB20" s="22" t="str">
        <f>IF(AND(H20&gt;AQ20,H19&lt;AQ19),"TEMA crossover","-----")</f>
        <v>-----</v>
      </c>
      <c r="EC20" s="22" t="str">
        <f>IF(AND(H20&lt;AQ20,H19&gt;AQ19),"TEMA crossunder","-----")</f>
        <v>-----</v>
      </c>
      <c r="ED20" s="22"/>
      <c r="EE20" s="24" t="str">
        <f t="shared" si="33"/>
        <v>YES</v>
      </c>
      <c r="EF20" s="24" t="str">
        <f t="shared" si="34"/>
        <v>-----</v>
      </c>
      <c r="EG20" s="24" t="str">
        <f t="shared" si="35"/>
        <v>-----</v>
      </c>
      <c r="EH20" s="24" t="str">
        <f t="shared" si="36"/>
        <v>-----</v>
      </c>
      <c r="EI20" s="25" t="str">
        <f>IF(DV20="Bullish","YES","-----")</f>
        <v>-----</v>
      </c>
      <c r="EJ20" s="25" t="str">
        <f>IF(DZ20="Reverse to Bullish","YES","-----")</f>
        <v>-----</v>
      </c>
      <c r="EK20" s="25" t="str">
        <f>IF(AND(EA20="Bearish",EA19="Bearish",EA18="Bearish",EA17="Bearish"),"YES","-----")</f>
        <v>-----</v>
      </c>
      <c r="EL20" s="25" t="str">
        <f>IF(OR(EC20="TEMA crossover",EC19="TEMA crossover",EC18="TEMA crossover",EC17="TEMA crossover"),"YES","-----")</f>
        <v>-----</v>
      </c>
      <c r="EM20" s="24" t="str">
        <f>IF(AND(EE20="YES",EF20="YES",EG20="YES",EH20="YES"),"Open Sell / Close Buy","-----")</f>
        <v>-----</v>
      </c>
      <c r="EN20" s="25" t="str">
        <f t="shared" si="32"/>
        <v>-----</v>
      </c>
      <c r="EO20" s="23"/>
      <c r="EP20" s="9" t="str">
        <f>IF(AND(H20&gt;AV20,H20&gt;E20),"Bullish Trigger","-----")</f>
        <v>-----</v>
      </c>
      <c r="EQ20" s="9" t="str">
        <f>IF(AND(H20&lt;AW20,H20&lt;E20),"Bearish Trigger","-----")</f>
        <v>-----</v>
      </c>
      <c r="ER20" s="9"/>
      <c r="ES20" s="9" t="str">
        <f>IF(G20&gt;AV20,"Bullish Spike","-----")</f>
        <v>-----</v>
      </c>
      <c r="ET20" s="9" t="str">
        <f>IF(F20&lt;AW20,"Bearish Spike","-----")</f>
        <v>-----</v>
      </c>
      <c r="EU20" s="9"/>
      <c r="EV20" s="20">
        <f t="shared" si="5"/>
        <v>0.11099999999999</v>
      </c>
      <c r="EW20" s="9">
        <f t="shared" si="24"/>
        <v>0.81177075604577364</v>
      </c>
      <c r="EX20" s="21" t="str">
        <f t="shared" si="25"/>
        <v>-----</v>
      </c>
      <c r="EY20" s="9"/>
    </row>
    <row r="21" spans="1:155" x14ac:dyDescent="0.55000000000000004">
      <c r="A21">
        <v>17</v>
      </c>
      <c r="B21" t="s">
        <v>20</v>
      </c>
      <c r="C21" t="s">
        <v>4</v>
      </c>
      <c r="D21" t="s">
        <v>103</v>
      </c>
      <c r="E21">
        <v>153.048</v>
      </c>
      <c r="F21">
        <v>153.09100000000001</v>
      </c>
      <c r="G21">
        <v>152.947</v>
      </c>
      <c r="H21">
        <v>152.96199999999999</v>
      </c>
      <c r="I21">
        <v>152.999</v>
      </c>
      <c r="J21">
        <v>152.905</v>
      </c>
      <c r="K21">
        <v>153.245</v>
      </c>
      <c r="L21">
        <v>152.572</v>
      </c>
      <c r="M21">
        <v>152.59899999999999</v>
      </c>
      <c r="N21">
        <v>152.79300000000001</v>
      </c>
      <c r="O21" s="16">
        <f t="shared" si="0"/>
        <v>0.14400000000000546</v>
      </c>
      <c r="P21" s="16">
        <f t="shared" si="6"/>
        <v>4.6000000000020691E-2</v>
      </c>
      <c r="Q21" s="16">
        <f t="shared" si="7"/>
        <v>9.7999999999984766E-2</v>
      </c>
      <c r="R21" s="16">
        <f t="shared" si="8"/>
        <v>0.14400000000000546</v>
      </c>
      <c r="S21" s="16">
        <f t="shared" si="43"/>
        <v>0.1264353134110808</v>
      </c>
      <c r="T21">
        <v>0</v>
      </c>
      <c r="U21">
        <v>0</v>
      </c>
      <c r="V21">
        <v>0</v>
      </c>
      <c r="W21">
        <v>0</v>
      </c>
      <c r="Y21" s="9" t="str">
        <f t="shared" si="9"/>
        <v>------</v>
      </c>
      <c r="Z21" s="9" t="str">
        <f t="shared" si="10"/>
        <v>------</v>
      </c>
      <c r="AA21" s="9"/>
      <c r="AB21">
        <v>0</v>
      </c>
      <c r="AD21" t="str">
        <f t="shared" si="1"/>
        <v/>
      </c>
      <c r="AE21">
        <v>0.86573</v>
      </c>
      <c r="AF21">
        <v>3</v>
      </c>
      <c r="AG21">
        <v>153.40485000000001</v>
      </c>
      <c r="AH21">
        <v>153.32369</v>
      </c>
      <c r="AI21">
        <v>153.24253999999999</v>
      </c>
      <c r="AJ21">
        <v>153.16139000000001</v>
      </c>
      <c r="AK21">
        <v>153.08023</v>
      </c>
      <c r="AL21">
        <v>152.95731000000001</v>
      </c>
      <c r="AM21">
        <v>152.87616</v>
      </c>
      <c r="AN21">
        <v>152.79499999999999</v>
      </c>
      <c r="AO21">
        <v>152.71385000000001</v>
      </c>
      <c r="AP21">
        <v>152.63269</v>
      </c>
      <c r="AQ21">
        <v>153.012</v>
      </c>
      <c r="AR21">
        <v>152.94800000000001</v>
      </c>
      <c r="AS21">
        <f t="shared" si="26"/>
        <v>17</v>
      </c>
      <c r="AT21">
        <v>153.083</v>
      </c>
      <c r="AU21">
        <v>153.22399999999999</v>
      </c>
      <c r="AV21">
        <v>153.08000000000001</v>
      </c>
      <c r="AW21">
        <v>152.95400000000001</v>
      </c>
      <c r="AY21" s="4">
        <f>I21*(1+$AY$2)</f>
        <v>153.02194985</v>
      </c>
      <c r="AZ21" s="4">
        <f>I21*(1-$AY$2)</f>
        <v>152.97605014999999</v>
      </c>
      <c r="BA21" s="4">
        <f>J21*(1+$AY$2)</f>
        <v>152.92793575000002</v>
      </c>
      <c r="BB21" s="4">
        <f>J21*(1-$AY$2)</f>
        <v>152.88206425000001</v>
      </c>
      <c r="BC21" s="4">
        <f>K21*(1+$AY$2)</f>
        <v>153.26798675000001</v>
      </c>
      <c r="BD21" s="4">
        <f>K21*(1-$AY$2)</f>
        <v>153.22201325</v>
      </c>
      <c r="BE21" s="4">
        <f>L21*(1+$AY$2)</f>
        <v>152.59488580000001</v>
      </c>
      <c r="BF21" s="4">
        <f>L21*(1-$AY$2)</f>
        <v>152.54911419999999</v>
      </c>
      <c r="BG21" s="4">
        <f>M21*(1+$AY$2)</f>
        <v>152.62188985</v>
      </c>
      <c r="BH21" s="4">
        <f>M21*(1-$AY$2)</f>
        <v>152.57611015000001</v>
      </c>
      <c r="BI21" s="4">
        <f>N21*(1+$AY$2)</f>
        <v>152.81591895000003</v>
      </c>
      <c r="BJ21" s="4">
        <f>N21*(1-$AY$2)</f>
        <v>152.77008105000002</v>
      </c>
      <c r="BK21" s="30">
        <f t="shared" si="27"/>
        <v>17</v>
      </c>
      <c r="BL21" s="15" t="str">
        <f t="shared" si="11"/>
        <v>TOUCH</v>
      </c>
      <c r="BM21" s="15" t="str">
        <f t="shared" si="12"/>
        <v>-----</v>
      </c>
      <c r="BN21" s="15" t="str">
        <f t="shared" si="13"/>
        <v>-----</v>
      </c>
      <c r="BO21" s="15" t="str">
        <f t="shared" si="14"/>
        <v>-----</v>
      </c>
      <c r="BP21" s="15" t="str">
        <f t="shared" si="15"/>
        <v>-----</v>
      </c>
      <c r="BQ21" s="15" t="str">
        <f t="shared" si="16"/>
        <v>-----</v>
      </c>
      <c r="BR21" s="22"/>
      <c r="BS21" s="9">
        <f t="shared" si="17"/>
        <v>-2.423265306122455E-3</v>
      </c>
      <c r="BT21" s="9">
        <f>SLOPE(J$5:J$103,$A$5:$A$103)</f>
        <v>-3.7194805194805478E-4</v>
      </c>
      <c r="BU21" s="9">
        <f>SLOPE(K$5:K$103,$A$5:$A$103)</f>
        <v>-1.6402721088435472E-3</v>
      </c>
      <c r="BV21" s="9">
        <f>SLOPE(L$5:L$103,$A$5:$A$103)</f>
        <v>7.6471243042669956E-4</v>
      </c>
      <c r="BW21" s="9">
        <f>SLOPE(M$5:M$103,$A$5:$A$103)</f>
        <v>-2.3081014223875058E-4</v>
      </c>
      <c r="BX21" s="9">
        <f>SLOPE(N$5:N$103,$A$5:$A$103)</f>
        <v>1.5802844774273381E-3</v>
      </c>
      <c r="BY21"/>
      <c r="BZ21" s="9">
        <f t="shared" si="37"/>
        <v>-1.9079214597220278</v>
      </c>
      <c r="CA21" s="9">
        <f t="shared" si="38"/>
        <v>-0.29295343676527091</v>
      </c>
      <c r="CB21" s="9">
        <f t="shared" si="39"/>
        <v>-1.2917022253843653</v>
      </c>
      <c r="CC21" s="9">
        <f t="shared" si="40"/>
        <v>0.60228527619529781</v>
      </c>
      <c r="CD21" s="9">
        <f t="shared" si="41"/>
        <v>-0.18179147971962978</v>
      </c>
      <c r="CE21" s="9">
        <f t="shared" si="42"/>
        <v>1.2444775446344229</v>
      </c>
      <c r="CF21"/>
      <c r="CG21" s="18" t="str" cm="1">
        <f t="array" ref="CG21">_xlfn.IFS(BZ21&gt;3,"Strong + Slope",BZ21&gt;1.5,"Moderate + Slope",BZ21&gt;0.5,"Sideway + Slope",BZ21&gt;=-0.5,"Sideway Flat",BZ21&gt;=-1.5,"Sideway - Slope",BZ21&gt;=-3,"Moderate - Slope",TRUE,"Strong - Slope")</f>
        <v>Moderate - Slope</v>
      </c>
      <c r="CH21" s="18" t="str" cm="1">
        <f t="array" ref="CH21">_xlfn.IFS(CA21&gt;3,"Strong + Slope",CA21&gt;1.5,"Moderate + Slope",CA21&gt;0.5,"Sideway + Slope",CA21&gt;=-0.5,"Sideway Flat",CA21&gt;=-1.5,"Sideway - Slope",CA21&gt;=-3,"Moderate - Slope",TRUE,"Strong - Slope")</f>
        <v>Sideway Flat</v>
      </c>
      <c r="CI21" s="18" t="str" cm="1">
        <f t="array" ref="CI21">_xlfn.IFS(CB21&gt;3,"Strong + Slope",CB21&gt;1.5,"Moderate + Slope",CB21&gt;0.5,"Sideway + Slope",CB21&gt;=-0.5,"Sideway Flat",CB21&gt;=-1.5,"Sideway - Slope",CB21&gt;=-3,"Moderate - Slope",TRUE,"Strong - Slope")</f>
        <v>Sideway - Slope</v>
      </c>
      <c r="CJ21" s="18" t="str" cm="1">
        <f t="array" ref="CJ21">_xlfn.IFS(CC21&gt;3,"Strong + Slope",CC21&gt;1.5,"Moderate + Slope",CC21&gt;0.5,"Sideway + Slope",CC21&gt;=-0.5,"Sideway Flat",CC21&gt;=-1.5,"Sideway - Slope",CC21&gt;=-3,"Moderate - Slope",TRUE,"Strong - Slope")</f>
        <v>Sideway + Slope</v>
      </c>
      <c r="CK21" s="18" t="str" cm="1">
        <f t="array" ref="CK21">_xlfn.IFS(CD21&gt;3,"Strong + Slope",CD21&gt;1.5,"Moderate + Slope",CD21&gt;0.5,"Sideway + Slope",CD21&gt;=-0.5,"Sideway Flat",CD21&gt;=-1.5,"Sideway - Slope",CD21&gt;=-3,"Moderate - Slope",TRUE,"Strong - Slope")</f>
        <v>Sideway Flat</v>
      </c>
      <c r="CL21" s="18" t="str" cm="1">
        <f t="array" ref="CL21">_xlfn.IFS(CE21&gt;3,"Strong + Slope",CE21&gt;1.5,"Moderate + Slope",CE21&gt;0.5,"Sideway + Slope",CE21&gt;=-0.5,"Sideway Flat",CE21&gt;=-1.5,"Sideway - Slope",CE21&gt;=-3,"Moderate - Slope",TRUE,"Strong - Slope")</f>
        <v>Sideway + Slope</v>
      </c>
      <c r="CM21" s="9"/>
      <c r="CN21" s="9">
        <f>RANK(I21,$I21:$N21,0)</f>
        <v>2</v>
      </c>
      <c r="CO21" s="9">
        <f>RANK(J21,$I21:$N21,0)</f>
        <v>3</v>
      </c>
      <c r="CP21" s="9">
        <f>RANK(K21,$I21:$N21,0)</f>
        <v>1</v>
      </c>
      <c r="CQ21" s="9">
        <f>RANK(L21,$I21:$N21,0)</f>
        <v>6</v>
      </c>
      <c r="CR21" s="9">
        <f>RANK(M21,$I21:$N21,0)</f>
        <v>5</v>
      </c>
      <c r="CS21" s="9">
        <f>RANK(N21,$I21:$N21,0)</f>
        <v>4</v>
      </c>
      <c r="CT21" s="9"/>
      <c r="CU21" s="9" t="str">
        <f>IF($H21&gt;I21,"SUP","RES")</f>
        <v>RES</v>
      </c>
      <c r="CV21" s="9" t="str">
        <f>IF($H21&gt;J21,"SUP","RES")</f>
        <v>SUP</v>
      </c>
      <c r="CW21" s="9" t="str">
        <f>IF($H21&gt;K21,"SUP","RES")</f>
        <v>RES</v>
      </c>
      <c r="CX21" s="9" t="str">
        <f>IF($H21&gt;L21,"SUP","RES")</f>
        <v>SUP</v>
      </c>
      <c r="CY21" s="9" t="str">
        <f>IF($H21&gt;M21,"SUP","RES")</f>
        <v>SUP</v>
      </c>
      <c r="CZ21" s="9" t="str">
        <f>IF($H21&gt;N21,"SUP","RES")</f>
        <v>SUP</v>
      </c>
      <c r="DA21" s="9"/>
      <c r="DB21" s="12">
        <f>(I21-$H21)/$H21</f>
        <v>2.4189014264984859E-4</v>
      </c>
      <c r="DC21" s="12">
        <f>(J21-$H21)/$H21</f>
        <v>-3.7264157110908559E-4</v>
      </c>
      <c r="DD21" s="12">
        <f>(K21-$H21)/$H21</f>
        <v>1.8501327126999876E-3</v>
      </c>
      <c r="DE21" s="12">
        <f>(L21-$H21)/$H21</f>
        <v>-2.5496528549573514E-3</v>
      </c>
      <c r="DF21" s="12">
        <f>(M21-$H21)/$H21</f>
        <v>-2.3731384265373071E-3</v>
      </c>
      <c r="DG21" s="12">
        <f>(N21-$H21)/$H21</f>
        <v>-1.1048495704814446E-3</v>
      </c>
      <c r="DH21" s="12"/>
      <c r="DI21" s="12">
        <f>((H21-MIN(I21:N21))/(MAX(I21:N21)-MIN(I21:N21)))</f>
        <v>0.57949479940562454</v>
      </c>
      <c r="DJ21" s="13">
        <f t="shared" si="2"/>
        <v>2</v>
      </c>
      <c r="DK21" s="14">
        <f t="shared" si="3"/>
        <v>4</v>
      </c>
      <c r="DL21" s="12">
        <f t="shared" si="18"/>
        <v>1.8501327126999876E-3</v>
      </c>
      <c r="DM21" s="12">
        <f t="shared" si="19"/>
        <v>2.4189014264984859E-4</v>
      </c>
      <c r="DN21" s="12">
        <f t="shared" si="20"/>
        <v>-3.7264157110908559E-4</v>
      </c>
      <c r="DO21" s="12">
        <f t="shared" si="21"/>
        <v>-1.1048495704814446E-3</v>
      </c>
      <c r="DP21" s="12">
        <f t="shared" si="22"/>
        <v>-2.3731384265373071E-3</v>
      </c>
      <c r="DQ21" s="12">
        <f t="shared" si="23"/>
        <v>-2.5496528549573514E-3</v>
      </c>
      <c r="DR21" s="9"/>
      <c r="DS21" s="9" t="str">
        <f>IF(AQ21&gt;AG21,"Overbought",IF(AQ21&gt;AI21,"Bullish Momentum",IF(AQ21&gt;AK21,"Overprice Setting Up","-----")))</f>
        <v>-----</v>
      </c>
      <c r="DT21" s="9" t="str">
        <f>IF(AQ21&lt;AP21,"Oversold",IF(AQ21&lt;AN21,"Bearish Momentum",IF(AQ21&lt;AL21,"Underprice Setting Up","-----")))</f>
        <v>-----</v>
      </c>
      <c r="DU21" s="9"/>
      <c r="DV21" s="12" t="str">
        <f>IF(AND(AT21&gt;AU21,AT20&gt;AU20,AT19&gt;AU19,AT18&gt;AU18,AT17&gt;AU17,AT16&gt;AU16,AT15&gt;AU15,AT14&gt;AU14,AT13&gt;AU13,AT12&gt;AU12,AT11&gt;AU11,AT10&gt;AU10),"Bullish",IF(AND(AT21&lt;AU21,AT20&lt;AU20,AT19&lt;AU19,AT18&lt;AU18,AT17&lt;AU17,AT16&lt;AU16,AT15&lt;AU15,AT14&lt;AU14,AT13&lt;AU13,AT12&lt;AU12,AT11&lt;AU11,AT10&lt;AU10),"Bearish","-----"))</f>
        <v>Bearish</v>
      </c>
      <c r="DW21" s="12"/>
      <c r="DX21" s="23">
        <f>(AR21-AT21)/AT21</f>
        <v>-8.8187453864890884E-4</v>
      </c>
      <c r="DY21" s="23">
        <f t="shared" si="4"/>
        <v>-1.244687306302394</v>
      </c>
      <c r="DZ21" s="23" t="str">
        <f>IF(DY21&gt;PERCENTILE($DY$5:$DY$103,90%),"Reverse to Bearish",IF(DY21&gt;=PERCENTILE($DY$5:$DY$103,70%),"-----",IF(DY21&gt;=PERCENTILE($DY$5:$DY$103,30%),"-----",IF(DY21&gt;=PERCENTILE($DY$5:$DY$103,10%),"-----","Reverse to Bullish"))))</f>
        <v>-----</v>
      </c>
      <c r="EA21" s="23" t="str">
        <f>IF(AQ21&gt;AR21,"Bullish","Bearish")</f>
        <v>Bullish</v>
      </c>
      <c r="EB21" s="22" t="str">
        <f>IF(AND(H21&gt;AQ21,H20&lt;AQ20),"TEMA crossover","-----")</f>
        <v>-----</v>
      </c>
      <c r="EC21" s="22" t="str">
        <f>IF(AND(H21&lt;AQ21,H20&gt;AQ20),"TEMA crossunder","-----")</f>
        <v>TEMA crossunder</v>
      </c>
      <c r="ED21" s="22"/>
      <c r="EE21" s="24" t="str">
        <f t="shared" si="33"/>
        <v>YES</v>
      </c>
      <c r="EF21" s="24" t="str">
        <f t="shared" si="34"/>
        <v>-----</v>
      </c>
      <c r="EG21" s="24" t="str">
        <f t="shared" si="35"/>
        <v>YES</v>
      </c>
      <c r="EH21" s="24" t="str">
        <f t="shared" si="36"/>
        <v>YES</v>
      </c>
      <c r="EI21" s="25" t="str">
        <f>IF(DV21="Bullish","YES","-----")</f>
        <v>-----</v>
      </c>
      <c r="EJ21" s="25" t="str">
        <f>IF(DZ21="Reverse to Bullish","YES","-----")</f>
        <v>-----</v>
      </c>
      <c r="EK21" s="25" t="str">
        <f>IF(AND(EA21="Bearish",EA20="Bearish",EA19="Bearish",EA18="Bearish"),"YES","-----")</f>
        <v>-----</v>
      </c>
      <c r="EL21" s="25" t="str">
        <f>IF(OR(EC21="TEMA crossover",EC20="TEMA crossover",EC19="TEMA crossover",EC18="TEMA crossover"),"YES","-----")</f>
        <v>-----</v>
      </c>
      <c r="EM21" s="24" t="str">
        <f>IF(AND(EE21="YES",EF21="YES",EG21="YES",EH21="YES"),"Open Sell / Close Buy","-----")</f>
        <v>-----</v>
      </c>
      <c r="EN21" s="25" t="str">
        <f t="shared" si="32"/>
        <v>-----</v>
      </c>
      <c r="EO21" s="23"/>
      <c r="EP21" s="9" t="str">
        <f>IF(AND(H21&gt;AV21,H21&gt;E21),"Bullish Trigger","-----")</f>
        <v>-----</v>
      </c>
      <c r="EQ21" s="9" t="str">
        <f>IF(AND(H21&lt;AW21,H21&lt;E21),"Bearish Trigger","-----")</f>
        <v>-----</v>
      </c>
      <c r="ER21" s="9"/>
      <c r="ES21" s="9" t="str">
        <f>IF(G21&gt;AV21,"Bullish Spike","-----")</f>
        <v>-----</v>
      </c>
      <c r="ET21" s="9" t="str">
        <f>IF(F21&lt;AW21,"Bearish Spike","-----")</f>
        <v>-----</v>
      </c>
      <c r="EU21" s="9"/>
      <c r="EV21" s="20">
        <f t="shared" si="5"/>
        <v>0.12600000000000477</v>
      </c>
      <c r="EW21" s="9">
        <f t="shared" si="24"/>
        <v>1.1574775448985342</v>
      </c>
      <c r="EX21" s="21" t="str">
        <f t="shared" si="25"/>
        <v>-----</v>
      </c>
      <c r="EY21" s="9"/>
    </row>
    <row r="22" spans="1:155" x14ac:dyDescent="0.55000000000000004">
      <c r="A22">
        <v>18</v>
      </c>
      <c r="B22" t="s">
        <v>21</v>
      </c>
      <c r="C22" t="s">
        <v>4</v>
      </c>
      <c r="D22" t="s">
        <v>103</v>
      </c>
      <c r="E22">
        <v>152.96199999999999</v>
      </c>
      <c r="F22">
        <v>153.04900000000001</v>
      </c>
      <c r="G22">
        <v>152.911</v>
      </c>
      <c r="H22">
        <v>153.04599999999999</v>
      </c>
      <c r="I22">
        <v>152.99700000000001</v>
      </c>
      <c r="J22">
        <v>152.905</v>
      </c>
      <c r="K22">
        <v>153.24299999999999</v>
      </c>
      <c r="L22">
        <v>152.57300000000001</v>
      </c>
      <c r="M22">
        <v>152.59899999999999</v>
      </c>
      <c r="N22">
        <v>152.79499999999999</v>
      </c>
      <c r="O22" s="16">
        <f t="shared" si="0"/>
        <v>0.13800000000000523</v>
      </c>
      <c r="P22" s="16">
        <f t="shared" si="6"/>
        <v>8.7000000000017508E-2</v>
      </c>
      <c r="Q22" s="16">
        <f t="shared" si="7"/>
        <v>5.0999999999987722E-2</v>
      </c>
      <c r="R22" s="16">
        <f t="shared" si="8"/>
        <v>0.13800000000000523</v>
      </c>
      <c r="S22" s="16">
        <f t="shared" si="43"/>
        <v>0.12726136245314684</v>
      </c>
      <c r="T22">
        <v>0</v>
      </c>
      <c r="U22">
        <v>0</v>
      </c>
      <c r="V22">
        <v>0</v>
      </c>
      <c r="W22">
        <v>0</v>
      </c>
      <c r="Y22" s="9" t="str">
        <f t="shared" si="9"/>
        <v>------</v>
      </c>
      <c r="Z22" s="9" t="str">
        <f t="shared" si="10"/>
        <v>------</v>
      </c>
      <c r="AA22" s="9"/>
      <c r="AB22">
        <v>0</v>
      </c>
      <c r="AD22" t="str">
        <f t="shared" si="1"/>
        <v/>
      </c>
      <c r="AE22">
        <v>0.81586999999999998</v>
      </c>
      <c r="AF22">
        <v>0</v>
      </c>
      <c r="AG22">
        <v>153.39735999999999</v>
      </c>
      <c r="AH22">
        <v>153.31589</v>
      </c>
      <c r="AI22">
        <v>153.23442</v>
      </c>
      <c r="AJ22">
        <v>153.15295</v>
      </c>
      <c r="AK22">
        <v>153.07148000000001</v>
      </c>
      <c r="AL22">
        <v>152.94720000000001</v>
      </c>
      <c r="AM22">
        <v>152.86573000000001</v>
      </c>
      <c r="AN22">
        <v>152.78425999999999</v>
      </c>
      <c r="AO22">
        <v>152.70278999999999</v>
      </c>
      <c r="AP22">
        <v>152.62132</v>
      </c>
      <c r="AQ22">
        <v>153.01300000000001</v>
      </c>
      <c r="AR22">
        <v>152.95400000000001</v>
      </c>
      <c r="AS22">
        <f t="shared" si="26"/>
        <v>18</v>
      </c>
      <c r="AT22">
        <v>153.077</v>
      </c>
      <c r="AU22">
        <v>153.21799999999999</v>
      </c>
      <c r="AV22">
        <v>153.072</v>
      </c>
      <c r="AW22">
        <v>152.94</v>
      </c>
      <c r="AY22" s="4">
        <f>I22*(1+$AY$2)</f>
        <v>153.01994955000004</v>
      </c>
      <c r="AZ22" s="4">
        <f>I22*(1-$AY$2)</f>
        <v>152.97405045000002</v>
      </c>
      <c r="BA22" s="4">
        <f>J22*(1+$AY$2)</f>
        <v>152.92793575000002</v>
      </c>
      <c r="BB22" s="4">
        <f>J22*(1-$AY$2)</f>
        <v>152.88206425000001</v>
      </c>
      <c r="BC22" s="4">
        <f>K22*(1+$AY$2)</f>
        <v>153.26598645000001</v>
      </c>
      <c r="BD22" s="4">
        <f>K22*(1-$AY$2)</f>
        <v>153.22001355</v>
      </c>
      <c r="BE22" s="4">
        <f>L22*(1+$AY$2)</f>
        <v>152.59588595000002</v>
      </c>
      <c r="BF22" s="4">
        <f>L22*(1-$AY$2)</f>
        <v>152.55011405000002</v>
      </c>
      <c r="BG22" s="4">
        <f>M22*(1+$AY$2)</f>
        <v>152.62188985</v>
      </c>
      <c r="BH22" s="4">
        <f>M22*(1-$AY$2)</f>
        <v>152.57611015000001</v>
      </c>
      <c r="BI22" s="4">
        <f>N22*(1+$AY$2)</f>
        <v>152.81791924999999</v>
      </c>
      <c r="BJ22" s="4">
        <f>N22*(1-$AY$2)</f>
        <v>152.77208074999999</v>
      </c>
      <c r="BK22" s="30">
        <f t="shared" si="27"/>
        <v>18</v>
      </c>
      <c r="BL22" s="15" t="str">
        <f t="shared" si="11"/>
        <v>TOUCH</v>
      </c>
      <c r="BM22" s="15" t="str">
        <f t="shared" si="12"/>
        <v>-----</v>
      </c>
      <c r="BN22" s="15" t="str">
        <f t="shared" si="13"/>
        <v>-----</v>
      </c>
      <c r="BO22" s="15" t="str">
        <f t="shared" si="14"/>
        <v>-----</v>
      </c>
      <c r="BP22" s="15" t="str">
        <f t="shared" si="15"/>
        <v>-----</v>
      </c>
      <c r="BQ22" s="15" t="str">
        <f t="shared" si="16"/>
        <v>-----</v>
      </c>
      <c r="BR22" s="22"/>
      <c r="BS22" s="9">
        <f t="shared" si="17"/>
        <v>-2.423265306122455E-3</v>
      </c>
      <c r="BT22" s="9">
        <f>SLOPE(J$5:J$103,$A$5:$A$103)</f>
        <v>-3.7194805194805478E-4</v>
      </c>
      <c r="BU22" s="9">
        <f>SLOPE(K$5:K$103,$A$5:$A$103)</f>
        <v>-1.6402721088435472E-3</v>
      </c>
      <c r="BV22" s="9">
        <f>SLOPE(L$5:L$103,$A$5:$A$103)</f>
        <v>7.6471243042669956E-4</v>
      </c>
      <c r="BW22" s="9">
        <f>SLOPE(M$5:M$103,$A$5:$A$103)</f>
        <v>-2.3081014223875058E-4</v>
      </c>
      <c r="BX22" s="9">
        <f>SLOPE(N$5:N$103,$A$5:$A$103)</f>
        <v>1.5802844774273381E-3</v>
      </c>
      <c r="BY22"/>
      <c r="BZ22" s="9">
        <f t="shared" si="37"/>
        <v>-1.9079214597220278</v>
      </c>
      <c r="CA22" s="9">
        <f t="shared" si="38"/>
        <v>-0.29295343676527091</v>
      </c>
      <c r="CB22" s="9">
        <f t="shared" si="39"/>
        <v>-1.2917022253843653</v>
      </c>
      <c r="CC22" s="9">
        <f t="shared" si="40"/>
        <v>0.60228527619529781</v>
      </c>
      <c r="CD22" s="9">
        <f t="shared" si="41"/>
        <v>-0.18179147971962978</v>
      </c>
      <c r="CE22" s="9">
        <f t="shared" si="42"/>
        <v>1.2444775446344229</v>
      </c>
      <c r="CF22"/>
      <c r="CG22" s="18" t="str" cm="1">
        <f t="array" ref="CG22">_xlfn.IFS(BZ22&gt;3,"Strong + Slope",BZ22&gt;1.5,"Moderate + Slope",BZ22&gt;0.5,"Sideway + Slope",BZ22&gt;=-0.5,"Sideway Flat",BZ22&gt;=-1.5,"Sideway - Slope",BZ22&gt;=-3,"Moderate - Slope",TRUE,"Strong - Slope")</f>
        <v>Moderate - Slope</v>
      </c>
      <c r="CH22" s="18" t="str" cm="1">
        <f t="array" ref="CH22">_xlfn.IFS(CA22&gt;3,"Strong + Slope",CA22&gt;1.5,"Moderate + Slope",CA22&gt;0.5,"Sideway + Slope",CA22&gt;=-0.5,"Sideway Flat",CA22&gt;=-1.5,"Sideway - Slope",CA22&gt;=-3,"Moderate - Slope",TRUE,"Strong - Slope")</f>
        <v>Sideway Flat</v>
      </c>
      <c r="CI22" s="18" t="str" cm="1">
        <f t="array" ref="CI22">_xlfn.IFS(CB22&gt;3,"Strong + Slope",CB22&gt;1.5,"Moderate + Slope",CB22&gt;0.5,"Sideway + Slope",CB22&gt;=-0.5,"Sideway Flat",CB22&gt;=-1.5,"Sideway - Slope",CB22&gt;=-3,"Moderate - Slope",TRUE,"Strong - Slope")</f>
        <v>Sideway - Slope</v>
      </c>
      <c r="CJ22" s="18" t="str" cm="1">
        <f t="array" ref="CJ22">_xlfn.IFS(CC22&gt;3,"Strong + Slope",CC22&gt;1.5,"Moderate + Slope",CC22&gt;0.5,"Sideway + Slope",CC22&gt;=-0.5,"Sideway Flat",CC22&gt;=-1.5,"Sideway - Slope",CC22&gt;=-3,"Moderate - Slope",TRUE,"Strong - Slope")</f>
        <v>Sideway + Slope</v>
      </c>
      <c r="CK22" s="18" t="str" cm="1">
        <f t="array" ref="CK22">_xlfn.IFS(CD22&gt;3,"Strong + Slope",CD22&gt;1.5,"Moderate + Slope",CD22&gt;0.5,"Sideway + Slope",CD22&gt;=-0.5,"Sideway Flat",CD22&gt;=-1.5,"Sideway - Slope",CD22&gt;=-3,"Moderate - Slope",TRUE,"Strong - Slope")</f>
        <v>Sideway Flat</v>
      </c>
      <c r="CL22" s="18" t="str" cm="1">
        <f t="array" ref="CL22">_xlfn.IFS(CE22&gt;3,"Strong + Slope",CE22&gt;1.5,"Moderate + Slope",CE22&gt;0.5,"Sideway + Slope",CE22&gt;=-0.5,"Sideway Flat",CE22&gt;=-1.5,"Sideway - Slope",CE22&gt;=-3,"Moderate - Slope",TRUE,"Strong - Slope")</f>
        <v>Sideway + Slope</v>
      </c>
      <c r="CM22" s="9"/>
      <c r="CN22" s="9">
        <f>RANK(I22,$I22:$N22,0)</f>
        <v>2</v>
      </c>
      <c r="CO22" s="9">
        <f>RANK(J22,$I22:$N22,0)</f>
        <v>3</v>
      </c>
      <c r="CP22" s="9">
        <f>RANK(K22,$I22:$N22,0)</f>
        <v>1</v>
      </c>
      <c r="CQ22" s="9">
        <f>RANK(L22,$I22:$N22,0)</f>
        <v>6</v>
      </c>
      <c r="CR22" s="9">
        <f>RANK(M22,$I22:$N22,0)</f>
        <v>5</v>
      </c>
      <c r="CS22" s="9">
        <f>RANK(N22,$I22:$N22,0)</f>
        <v>4</v>
      </c>
      <c r="CT22" s="9"/>
      <c r="CU22" s="9" t="str">
        <f>IF($H22&gt;I22,"SUP","RES")</f>
        <v>SUP</v>
      </c>
      <c r="CV22" s="9" t="str">
        <f>IF($H22&gt;J22,"SUP","RES")</f>
        <v>SUP</v>
      </c>
      <c r="CW22" s="9" t="str">
        <f>IF($H22&gt;K22,"SUP","RES")</f>
        <v>RES</v>
      </c>
      <c r="CX22" s="9" t="str">
        <f>IF($H22&gt;L22,"SUP","RES")</f>
        <v>SUP</v>
      </c>
      <c r="CY22" s="9" t="str">
        <f>IF($H22&gt;M22,"SUP","RES")</f>
        <v>SUP</v>
      </c>
      <c r="CZ22" s="9" t="str">
        <f>IF($H22&gt;N22,"SUP","RES")</f>
        <v>SUP</v>
      </c>
      <c r="DA22" s="9"/>
      <c r="DB22" s="12">
        <f>(I22-$H22)/$H22</f>
        <v>-3.2016517909633821E-4</v>
      </c>
      <c r="DC22" s="12">
        <f>(J22-$H22)/$H22</f>
        <v>-9.2129163780818276E-4</v>
      </c>
      <c r="DD22" s="12">
        <f>(K22-$H22)/$H22</f>
        <v>1.287194699632808E-3</v>
      </c>
      <c r="DE22" s="12">
        <f>(L22-$H22)/$H22</f>
        <v>-3.0905740757679705E-3</v>
      </c>
      <c r="DF22" s="12">
        <f>(M22-$H22)/$H22</f>
        <v>-2.920690511349547E-3</v>
      </c>
      <c r="DG22" s="12">
        <f>(N22-$H22)/$H22</f>
        <v>-1.6400297949636369E-3</v>
      </c>
      <c r="DH22" s="12"/>
      <c r="DI22" s="12">
        <f>((H22-MIN(I22:N22))/(MAX(I22:N22)-MIN(I22:N22)))</f>
        <v>0.70597014925372181</v>
      </c>
      <c r="DJ22" s="13">
        <f t="shared" si="2"/>
        <v>1</v>
      </c>
      <c r="DK22" s="14">
        <f t="shared" si="3"/>
        <v>5</v>
      </c>
      <c r="DL22" s="12">
        <f t="shared" si="18"/>
        <v>1.287194699632808E-3</v>
      </c>
      <c r="DM22" s="12">
        <f t="shared" si="19"/>
        <v>-3.2016517909633821E-4</v>
      </c>
      <c r="DN22" s="12">
        <f t="shared" si="20"/>
        <v>-9.2129163780818276E-4</v>
      </c>
      <c r="DO22" s="12">
        <f t="shared" si="21"/>
        <v>-1.6400297949636369E-3</v>
      </c>
      <c r="DP22" s="12">
        <f t="shared" si="22"/>
        <v>-2.920690511349547E-3</v>
      </c>
      <c r="DQ22" s="12">
        <f t="shared" si="23"/>
        <v>-3.0905740757679705E-3</v>
      </c>
      <c r="DR22" s="9"/>
      <c r="DS22" s="9" t="str">
        <f>IF(AQ22&gt;AG22,"Overbought",IF(AQ22&gt;AI22,"Bullish Momentum",IF(AQ22&gt;AK22,"Overprice Setting Up","-----")))</f>
        <v>-----</v>
      </c>
      <c r="DT22" s="9" t="str">
        <f>IF(AQ22&lt;AP22,"Oversold",IF(AQ22&lt;AN22,"Bearish Momentum",IF(AQ22&lt;AL22,"Underprice Setting Up","-----")))</f>
        <v>-----</v>
      </c>
      <c r="DU22" s="9"/>
      <c r="DV22" s="12" t="str">
        <f>IF(AND(AT22&gt;AU22,AT21&gt;AU21,AT20&gt;AU20,AT19&gt;AU19,AT18&gt;AU18,AT17&gt;AU17,AT16&gt;AU16,AT15&gt;AU15,AT14&gt;AU14,AT13&gt;AU13,AT12&gt;AU12,AT11&gt;AU11),"Bullish",IF(AND(AT22&lt;AU22,AT21&lt;AU21,AT20&lt;AU20,AT19&lt;AU19,AT18&lt;AU18,AT17&lt;AU17,AT16&lt;AU16,AT15&lt;AU15,AT14&lt;AU14,AT13&lt;AU13,AT12&lt;AU12,AT11&lt;AU11),"Bearish","-----"))</f>
        <v>Bearish</v>
      </c>
      <c r="DW22" s="12"/>
      <c r="DX22" s="23">
        <f>(AR22-AT22)/AT22</f>
        <v>-8.0351718416215667E-4</v>
      </c>
      <c r="DY22" s="23">
        <f t="shared" si="4"/>
        <v>-1.01870056048938</v>
      </c>
      <c r="DZ22" s="23" t="str">
        <f>IF(DY22&gt;PERCENTILE($DY$5:$DY$103,90%),"Reverse to Bearish",IF(DY22&gt;=PERCENTILE($DY$5:$DY$103,70%),"-----",IF(DY22&gt;=PERCENTILE($DY$5:$DY$103,30%),"-----",IF(DY22&gt;=PERCENTILE($DY$5:$DY$103,10%),"-----","Reverse to Bullish"))))</f>
        <v>-----</v>
      </c>
      <c r="EA22" s="23" t="str">
        <f>IF(AQ22&gt;AR22,"Bullish","Bearish")</f>
        <v>Bullish</v>
      </c>
      <c r="EB22" s="22" t="str">
        <f>IF(AND(H22&gt;AQ22,H21&lt;AQ21),"TEMA crossover","-----")</f>
        <v>TEMA crossover</v>
      </c>
      <c r="EC22" s="22" t="str">
        <f>IF(AND(H22&lt;AQ22,H21&gt;AQ21),"TEMA crossunder","-----")</f>
        <v>-----</v>
      </c>
      <c r="ED22" s="22"/>
      <c r="EE22" s="24" t="str">
        <f t="shared" si="33"/>
        <v>YES</v>
      </c>
      <c r="EF22" s="24" t="str">
        <f t="shared" si="34"/>
        <v>-----</v>
      </c>
      <c r="EG22" s="24" t="str">
        <f t="shared" si="35"/>
        <v>YES</v>
      </c>
      <c r="EH22" s="24" t="str">
        <f t="shared" si="36"/>
        <v>YES</v>
      </c>
      <c r="EI22" s="25" t="str">
        <f>IF(DV22="Bullish","YES","-----")</f>
        <v>-----</v>
      </c>
      <c r="EJ22" s="25" t="str">
        <f>IF(DZ22="Reverse to Bullish","YES","-----")</f>
        <v>-----</v>
      </c>
      <c r="EK22" s="25" t="str">
        <f>IF(AND(EA22="Bearish",EA21="Bearish",EA20="Bearish",EA19="Bearish"),"YES","-----")</f>
        <v>-----</v>
      </c>
      <c r="EL22" s="25" t="str">
        <f>IF(OR(EC22="TEMA crossover",EC21="TEMA crossover",EC20="TEMA crossover",EC19="TEMA crossover"),"YES","-----")</f>
        <v>-----</v>
      </c>
      <c r="EM22" s="24" t="str">
        <f>IF(AND(EE22="YES",EF22="YES",EG22="YES",EH22="YES"),"Open Sell / Close Buy","-----")</f>
        <v>-----</v>
      </c>
      <c r="EN22" s="25" t="str">
        <f t="shared" si="32"/>
        <v>-----</v>
      </c>
      <c r="EO22" s="23"/>
      <c r="EP22" s="9" t="str">
        <f>IF(AND(H22&gt;AV22,H22&gt;E22),"Bullish Trigger","-----")</f>
        <v>-----</v>
      </c>
      <c r="EQ22" s="9" t="str">
        <f>IF(AND(H22&lt;AW22,H22&lt;E22),"Bearish Trigger","-----")</f>
        <v>-----</v>
      </c>
      <c r="ER22" s="9"/>
      <c r="ES22" s="9" t="str">
        <f>IF(G22&gt;AV22,"Bullish Spike","-----")</f>
        <v>-----</v>
      </c>
      <c r="ET22" s="9" t="str">
        <f>IF(F22&lt;AW22,"Bearish Spike","-----")</f>
        <v>-----</v>
      </c>
      <c r="EU22" s="9"/>
      <c r="EV22" s="20">
        <f t="shared" si="5"/>
        <v>0.132000000000005</v>
      </c>
      <c r="EW22" s="9">
        <f t="shared" si="24"/>
        <v>1.2957602604395075</v>
      </c>
      <c r="EX22" s="21" t="str">
        <f t="shared" si="25"/>
        <v>Consolidation</v>
      </c>
      <c r="EY22" s="9"/>
    </row>
    <row r="23" spans="1:155" x14ac:dyDescent="0.55000000000000004">
      <c r="A23">
        <v>19</v>
      </c>
      <c r="B23" t="s">
        <v>22</v>
      </c>
      <c r="C23" t="s">
        <v>4</v>
      </c>
      <c r="D23" t="s">
        <v>103</v>
      </c>
      <c r="E23">
        <v>153.04599999999999</v>
      </c>
      <c r="F23">
        <v>153.15100000000001</v>
      </c>
      <c r="G23">
        <v>153.036</v>
      </c>
      <c r="H23">
        <v>153.04599999999999</v>
      </c>
      <c r="I23">
        <v>152.995</v>
      </c>
      <c r="J23">
        <v>152.904</v>
      </c>
      <c r="K23">
        <v>153.24100000000001</v>
      </c>
      <c r="L23">
        <v>152.57400000000001</v>
      </c>
      <c r="M23">
        <v>152.59899999999999</v>
      </c>
      <c r="N23">
        <v>152.79599999999999</v>
      </c>
      <c r="O23" s="16">
        <f t="shared" si="0"/>
        <v>0.11500000000000909</v>
      </c>
      <c r="P23" s="16">
        <f t="shared" si="6"/>
        <v>0.10500000000001819</v>
      </c>
      <c r="Q23" s="16">
        <f t="shared" si="7"/>
        <v>9.9999999999909051E-3</v>
      </c>
      <c r="R23" s="16">
        <f t="shared" si="8"/>
        <v>0.11500000000000909</v>
      </c>
      <c r="S23" s="16">
        <f t="shared" si="43"/>
        <v>0.1263855508493513</v>
      </c>
      <c r="T23">
        <v>0</v>
      </c>
      <c r="U23">
        <v>153.15100000000001</v>
      </c>
      <c r="V23">
        <v>0</v>
      </c>
      <c r="W23">
        <v>0</v>
      </c>
      <c r="Y23" s="9" t="str">
        <f t="shared" si="9"/>
        <v>------</v>
      </c>
      <c r="Z23" s="9" t="str">
        <f t="shared" si="10"/>
        <v>------</v>
      </c>
      <c r="AA23" s="9"/>
      <c r="AB23">
        <v>1</v>
      </c>
      <c r="AD23" t="str">
        <f t="shared" si="1"/>
        <v/>
      </c>
      <c r="AE23">
        <v>1.11164</v>
      </c>
      <c r="AF23">
        <v>0</v>
      </c>
      <c r="AG23">
        <v>153.39231000000001</v>
      </c>
      <c r="AH23">
        <v>153.31073000000001</v>
      </c>
      <c r="AI23">
        <v>153.22914</v>
      </c>
      <c r="AJ23">
        <v>153.14756</v>
      </c>
      <c r="AK23">
        <v>153.06596999999999</v>
      </c>
      <c r="AL23">
        <v>152.94076999999999</v>
      </c>
      <c r="AM23">
        <v>152.85919000000001</v>
      </c>
      <c r="AN23">
        <v>152.77760000000001</v>
      </c>
      <c r="AO23">
        <v>152.69602</v>
      </c>
      <c r="AP23">
        <v>152.61443</v>
      </c>
      <c r="AQ23">
        <v>153.05000000000001</v>
      </c>
      <c r="AR23">
        <v>152.96899999999999</v>
      </c>
      <c r="AS23">
        <f t="shared" si="26"/>
        <v>19</v>
      </c>
      <c r="AT23">
        <v>153.077</v>
      </c>
      <c r="AU23">
        <v>153.21299999999999</v>
      </c>
      <c r="AV23">
        <v>153.11600000000001</v>
      </c>
      <c r="AW23">
        <v>152.99100000000001</v>
      </c>
      <c r="AY23" s="4">
        <f>I23*(1+$AY$2)</f>
        <v>153.01794925000002</v>
      </c>
      <c r="AZ23" s="4">
        <f>I23*(1-$AY$2)</f>
        <v>152.97205074999999</v>
      </c>
      <c r="BA23" s="4">
        <f>J23*(1+$AY$2)</f>
        <v>152.92693560000001</v>
      </c>
      <c r="BB23" s="4">
        <f>J23*(1-$AY$2)</f>
        <v>152.88106439999999</v>
      </c>
      <c r="BC23" s="4">
        <f>K23*(1+$AY$2)</f>
        <v>153.26398615000002</v>
      </c>
      <c r="BD23" s="4">
        <f>K23*(1-$AY$2)</f>
        <v>153.21801385000001</v>
      </c>
      <c r="BE23" s="4">
        <f>L23*(1+$AY$2)</f>
        <v>152.59688610000003</v>
      </c>
      <c r="BF23" s="4">
        <f>L23*(1-$AY$2)</f>
        <v>152.55111390000002</v>
      </c>
      <c r="BG23" s="4">
        <f>M23*(1+$AY$2)</f>
        <v>152.62188985</v>
      </c>
      <c r="BH23" s="4">
        <f>M23*(1-$AY$2)</f>
        <v>152.57611015000001</v>
      </c>
      <c r="BI23" s="4">
        <f>N23*(1+$AY$2)</f>
        <v>152.8189194</v>
      </c>
      <c r="BJ23" s="4">
        <f>N23*(1-$AY$2)</f>
        <v>152.77308059999999</v>
      </c>
      <c r="BK23" s="30">
        <f t="shared" si="27"/>
        <v>19</v>
      </c>
      <c r="BL23" s="15" t="str">
        <f t="shared" si="11"/>
        <v>-----</v>
      </c>
      <c r="BM23" s="15" t="str">
        <f t="shared" si="12"/>
        <v>-----</v>
      </c>
      <c r="BN23" s="15" t="str">
        <f t="shared" si="13"/>
        <v>-----</v>
      </c>
      <c r="BO23" s="15" t="str">
        <f t="shared" si="14"/>
        <v>-----</v>
      </c>
      <c r="BP23" s="15" t="str">
        <f t="shared" si="15"/>
        <v>-----</v>
      </c>
      <c r="BQ23" s="15" t="str">
        <f t="shared" si="16"/>
        <v>-----</v>
      </c>
      <c r="BR23" s="22"/>
      <c r="BS23" s="9">
        <f t="shared" si="17"/>
        <v>-2.423265306122455E-3</v>
      </c>
      <c r="BT23" s="9">
        <f>SLOPE(J$5:J$103,$A$5:$A$103)</f>
        <v>-3.7194805194805478E-4</v>
      </c>
      <c r="BU23" s="9">
        <f>SLOPE(K$5:K$103,$A$5:$A$103)</f>
        <v>-1.6402721088435472E-3</v>
      </c>
      <c r="BV23" s="9">
        <f>SLOPE(L$5:L$103,$A$5:$A$103)</f>
        <v>7.6471243042669956E-4</v>
      </c>
      <c r="BW23" s="9">
        <f>SLOPE(M$5:M$103,$A$5:$A$103)</f>
        <v>-2.3081014223875058E-4</v>
      </c>
      <c r="BX23" s="9">
        <f>SLOPE(N$5:N$103,$A$5:$A$103)</f>
        <v>1.5802844774273381E-3</v>
      </c>
      <c r="BY23"/>
      <c r="BZ23" s="9">
        <f t="shared" si="37"/>
        <v>-1.9079214597220278</v>
      </c>
      <c r="CA23" s="9">
        <f t="shared" si="38"/>
        <v>-0.29295343676527091</v>
      </c>
      <c r="CB23" s="9">
        <f t="shared" si="39"/>
        <v>-1.2917022253843653</v>
      </c>
      <c r="CC23" s="9">
        <f t="shared" si="40"/>
        <v>0.60228527619529781</v>
      </c>
      <c r="CD23" s="9">
        <f t="shared" si="41"/>
        <v>-0.18179147971962978</v>
      </c>
      <c r="CE23" s="9">
        <f t="shared" si="42"/>
        <v>1.2444775446344229</v>
      </c>
      <c r="CF23"/>
      <c r="CG23" s="18" t="str" cm="1">
        <f t="array" ref="CG23">_xlfn.IFS(BZ23&gt;3,"Strong + Slope",BZ23&gt;1.5,"Moderate + Slope",BZ23&gt;0.5,"Sideway + Slope",BZ23&gt;=-0.5,"Sideway Flat",BZ23&gt;=-1.5,"Sideway - Slope",BZ23&gt;=-3,"Moderate - Slope",TRUE,"Strong - Slope")</f>
        <v>Moderate - Slope</v>
      </c>
      <c r="CH23" s="18" t="str" cm="1">
        <f t="array" ref="CH23">_xlfn.IFS(CA23&gt;3,"Strong + Slope",CA23&gt;1.5,"Moderate + Slope",CA23&gt;0.5,"Sideway + Slope",CA23&gt;=-0.5,"Sideway Flat",CA23&gt;=-1.5,"Sideway - Slope",CA23&gt;=-3,"Moderate - Slope",TRUE,"Strong - Slope")</f>
        <v>Sideway Flat</v>
      </c>
      <c r="CI23" s="18" t="str" cm="1">
        <f t="array" ref="CI23">_xlfn.IFS(CB23&gt;3,"Strong + Slope",CB23&gt;1.5,"Moderate + Slope",CB23&gt;0.5,"Sideway + Slope",CB23&gt;=-0.5,"Sideway Flat",CB23&gt;=-1.5,"Sideway - Slope",CB23&gt;=-3,"Moderate - Slope",TRUE,"Strong - Slope")</f>
        <v>Sideway - Slope</v>
      </c>
      <c r="CJ23" s="18" t="str" cm="1">
        <f t="array" ref="CJ23">_xlfn.IFS(CC23&gt;3,"Strong + Slope",CC23&gt;1.5,"Moderate + Slope",CC23&gt;0.5,"Sideway + Slope",CC23&gt;=-0.5,"Sideway Flat",CC23&gt;=-1.5,"Sideway - Slope",CC23&gt;=-3,"Moderate - Slope",TRUE,"Strong - Slope")</f>
        <v>Sideway + Slope</v>
      </c>
      <c r="CK23" s="18" t="str" cm="1">
        <f t="array" ref="CK23">_xlfn.IFS(CD23&gt;3,"Strong + Slope",CD23&gt;1.5,"Moderate + Slope",CD23&gt;0.5,"Sideway + Slope",CD23&gt;=-0.5,"Sideway Flat",CD23&gt;=-1.5,"Sideway - Slope",CD23&gt;=-3,"Moderate - Slope",TRUE,"Strong - Slope")</f>
        <v>Sideway Flat</v>
      </c>
      <c r="CL23" s="18" t="str" cm="1">
        <f t="array" ref="CL23">_xlfn.IFS(CE23&gt;3,"Strong + Slope",CE23&gt;1.5,"Moderate + Slope",CE23&gt;0.5,"Sideway + Slope",CE23&gt;=-0.5,"Sideway Flat",CE23&gt;=-1.5,"Sideway - Slope",CE23&gt;=-3,"Moderate - Slope",TRUE,"Strong - Slope")</f>
        <v>Sideway + Slope</v>
      </c>
      <c r="CM23" s="9"/>
      <c r="CN23" s="9">
        <f>RANK(I23,$I23:$N23,0)</f>
        <v>2</v>
      </c>
      <c r="CO23" s="9">
        <f>RANK(J23,$I23:$N23,0)</f>
        <v>3</v>
      </c>
      <c r="CP23" s="9">
        <f>RANK(K23,$I23:$N23,0)</f>
        <v>1</v>
      </c>
      <c r="CQ23" s="9">
        <f>RANK(L23,$I23:$N23,0)</f>
        <v>6</v>
      </c>
      <c r="CR23" s="9">
        <f>RANK(M23,$I23:$N23,0)</f>
        <v>5</v>
      </c>
      <c r="CS23" s="9">
        <f>RANK(N23,$I23:$N23,0)</f>
        <v>4</v>
      </c>
      <c r="CT23" s="9"/>
      <c r="CU23" s="9" t="str">
        <f>IF($H23&gt;I23,"SUP","RES")</f>
        <v>SUP</v>
      </c>
      <c r="CV23" s="9" t="str">
        <f>IF($H23&gt;J23,"SUP","RES")</f>
        <v>SUP</v>
      </c>
      <c r="CW23" s="9" t="str">
        <f>IF($H23&gt;K23,"SUP","RES")</f>
        <v>RES</v>
      </c>
      <c r="CX23" s="9" t="str">
        <f>IF($H23&gt;L23,"SUP","RES")</f>
        <v>SUP</v>
      </c>
      <c r="CY23" s="9" t="str">
        <f>IF($H23&gt;M23,"SUP","RES")</f>
        <v>SUP</v>
      </c>
      <c r="CZ23" s="9" t="str">
        <f>IF($H23&gt;N23,"SUP","RES")</f>
        <v>SUP</v>
      </c>
      <c r="DA23" s="9"/>
      <c r="DB23" s="12">
        <f>(I23-$H23)/$H23</f>
        <v>-3.3323314559013451E-4</v>
      </c>
      <c r="DC23" s="12">
        <f>(J23-$H23)/$H23</f>
        <v>-9.2782562105508091E-4</v>
      </c>
      <c r="DD23" s="12">
        <f>(K23-$H23)/$H23</f>
        <v>1.2741267331391973E-3</v>
      </c>
      <c r="DE23" s="12">
        <f>(L23-$H23)/$H23</f>
        <v>-3.0840400925210721E-3</v>
      </c>
      <c r="DF23" s="12">
        <f>(M23-$H23)/$H23</f>
        <v>-2.920690511349547E-3</v>
      </c>
      <c r="DG23" s="12">
        <f>(N23-$H23)/$H23</f>
        <v>-1.6334958117167387E-3</v>
      </c>
      <c r="DH23" s="12"/>
      <c r="DI23" s="12">
        <f>((H23-MIN(I23:N23))/(MAX(I23:N23)-MIN(I23:N23)))</f>
        <v>0.70764617691151255</v>
      </c>
      <c r="DJ23" s="13">
        <f t="shared" si="2"/>
        <v>1</v>
      </c>
      <c r="DK23" s="14">
        <f t="shared" si="3"/>
        <v>5</v>
      </c>
      <c r="DL23" s="12">
        <f t="shared" si="18"/>
        <v>1.2741267331391973E-3</v>
      </c>
      <c r="DM23" s="12">
        <f t="shared" si="19"/>
        <v>-3.3323314559013451E-4</v>
      </c>
      <c r="DN23" s="12">
        <f t="shared" si="20"/>
        <v>-9.2782562105508091E-4</v>
      </c>
      <c r="DO23" s="12">
        <f t="shared" si="21"/>
        <v>-1.6334958117167387E-3</v>
      </c>
      <c r="DP23" s="12">
        <f t="shared" si="22"/>
        <v>-2.920690511349547E-3</v>
      </c>
      <c r="DQ23" s="12">
        <f t="shared" si="23"/>
        <v>-3.0840400925210721E-3</v>
      </c>
      <c r="DR23" s="9"/>
      <c r="DS23" s="9" t="str">
        <f>IF(AQ23&gt;AG23,"Overbought",IF(AQ23&gt;AI23,"Bullish Momentum",IF(AQ23&gt;AK23,"Overprice Setting Up","-----")))</f>
        <v>-----</v>
      </c>
      <c r="DT23" s="9" t="str">
        <f>IF(AQ23&lt;AP23,"Oversold",IF(AQ23&lt;AN23,"Bearish Momentum",IF(AQ23&lt;AL23,"Underprice Setting Up","-----")))</f>
        <v>-----</v>
      </c>
      <c r="DU23" s="9"/>
      <c r="DV23" s="12" t="str">
        <f>IF(AND(AT23&gt;AU23,AT22&gt;AU22,AT21&gt;AU21,AT20&gt;AU20,AT19&gt;AU19,AT18&gt;AU18,AT17&gt;AU17,AT16&gt;AU16,AT15&gt;AU15,AT14&gt;AU14,AT13&gt;AU13,AT12&gt;AU12),"Bullish",IF(AND(AT23&lt;AU23,AT22&lt;AU22,AT21&lt;AU21,AT20&lt;AU20,AT19&lt;AU19,AT18&lt;AU18,AT17&lt;AU17,AT16&lt;AU16,AT15&lt;AU15,AT14&lt;AU14,AT13&lt;AU13,AT12&lt;AU12),"Bearish","-----"))</f>
        <v>Bearish</v>
      </c>
      <c r="DW23" s="12"/>
      <c r="DX23" s="23">
        <f>(AR23-AT23)/AT23</f>
        <v>-7.0552728365465809E-4</v>
      </c>
      <c r="DY23" s="23">
        <f t="shared" si="4"/>
        <v>-0.73609251580386736</v>
      </c>
      <c r="DZ23" s="23" t="str">
        <f>IF(DY23&gt;PERCENTILE($DY$5:$DY$103,90%),"Reverse to Bearish",IF(DY23&gt;=PERCENTILE($DY$5:$DY$103,70%),"-----",IF(DY23&gt;=PERCENTILE($DY$5:$DY$103,30%),"-----",IF(DY23&gt;=PERCENTILE($DY$5:$DY$103,10%),"-----","Reverse to Bullish"))))</f>
        <v>-----</v>
      </c>
      <c r="EA23" s="23" t="str">
        <f>IF(AQ23&gt;AR23,"Bullish","Bearish")</f>
        <v>Bullish</v>
      </c>
      <c r="EB23" s="22" t="str">
        <f>IF(AND(H23&gt;AQ23,H22&lt;AQ22),"TEMA crossover","-----")</f>
        <v>-----</v>
      </c>
      <c r="EC23" s="22" t="str">
        <f>IF(AND(H23&lt;AQ23,H22&gt;AQ22),"TEMA crossunder","-----")</f>
        <v>TEMA crossunder</v>
      </c>
      <c r="ED23" s="22"/>
      <c r="EE23" s="24" t="str">
        <f t="shared" si="33"/>
        <v>YES</v>
      </c>
      <c r="EF23" s="24" t="str">
        <f t="shared" si="34"/>
        <v>-----</v>
      </c>
      <c r="EG23" s="24" t="str">
        <f t="shared" si="35"/>
        <v>YES</v>
      </c>
      <c r="EH23" s="24" t="str">
        <f t="shared" si="36"/>
        <v>YES</v>
      </c>
      <c r="EI23" s="25" t="str">
        <f>IF(DV23="Bullish","YES","-----")</f>
        <v>-----</v>
      </c>
      <c r="EJ23" s="25" t="str">
        <f>IF(DZ23="Reverse to Bullish","YES","-----")</f>
        <v>-----</v>
      </c>
      <c r="EK23" s="25" t="str">
        <f>IF(AND(EA23="Bearish",EA22="Bearish",EA21="Bearish",EA20="Bearish"),"YES","-----")</f>
        <v>-----</v>
      </c>
      <c r="EL23" s="25" t="str">
        <f>IF(OR(EC23="TEMA crossover",EC22="TEMA crossover",EC21="TEMA crossover",EC20="TEMA crossover"),"YES","-----")</f>
        <v>-----</v>
      </c>
      <c r="EM23" s="24" t="str">
        <f>IF(AND(EE23="YES",EF23="YES",EG23="YES",EH23="YES"),"Open Sell / Close Buy","-----")</f>
        <v>-----</v>
      </c>
      <c r="EN23" s="25" t="str">
        <f t="shared" si="32"/>
        <v>-----</v>
      </c>
      <c r="EO23" s="23"/>
      <c r="EP23" s="9" t="str">
        <f>IF(AND(H23&gt;AV23,H23&gt;E23),"Bullish Trigger","-----")</f>
        <v>-----</v>
      </c>
      <c r="EQ23" s="9" t="str">
        <f>IF(AND(H23&lt;AW23,H23&lt;E23),"Bearish Trigger","-----")</f>
        <v>-----</v>
      </c>
      <c r="ER23" s="9"/>
      <c r="ES23" s="9" t="str">
        <f>IF(G23&gt;AV23,"Bullish Spike","-----")</f>
        <v>-----</v>
      </c>
      <c r="ET23" s="9" t="str">
        <f>IF(F23&lt;AW23,"Bearish Spike","-----")</f>
        <v>-----</v>
      </c>
      <c r="EU23" s="9"/>
      <c r="EV23" s="20">
        <f t="shared" si="5"/>
        <v>0.125</v>
      </c>
      <c r="EW23" s="9">
        <f t="shared" si="24"/>
        <v>1.1344304256415962</v>
      </c>
      <c r="EX23" s="21" t="str">
        <f t="shared" si="25"/>
        <v>-----</v>
      </c>
      <c r="EY23" s="9"/>
    </row>
    <row r="24" spans="1:155" x14ac:dyDescent="0.55000000000000004">
      <c r="A24">
        <v>20</v>
      </c>
      <c r="B24" t="s">
        <v>23</v>
      </c>
      <c r="C24" t="s">
        <v>4</v>
      </c>
      <c r="D24" t="s">
        <v>103</v>
      </c>
      <c r="E24">
        <v>153.04599999999999</v>
      </c>
      <c r="F24">
        <v>153.12899999999999</v>
      </c>
      <c r="G24">
        <v>153.00700000000001</v>
      </c>
      <c r="H24">
        <v>153.09</v>
      </c>
      <c r="I24">
        <v>152.99199999999999</v>
      </c>
      <c r="J24">
        <v>152.904</v>
      </c>
      <c r="K24">
        <v>153.24</v>
      </c>
      <c r="L24">
        <v>152.57499999999999</v>
      </c>
      <c r="M24">
        <v>152.59899999999999</v>
      </c>
      <c r="N24">
        <v>152.798</v>
      </c>
      <c r="O24" s="16">
        <f t="shared" si="0"/>
        <v>0.12199999999998568</v>
      </c>
      <c r="P24" s="16">
        <f t="shared" si="6"/>
        <v>8.2999999999998408E-2</v>
      </c>
      <c r="Q24" s="16">
        <f t="shared" si="7"/>
        <v>3.8999999999987267E-2</v>
      </c>
      <c r="R24" s="16">
        <f t="shared" si="8"/>
        <v>0.12199999999998568</v>
      </c>
      <c r="S24" s="16">
        <f t="shared" si="43"/>
        <v>0.12607229721725374</v>
      </c>
      <c r="T24">
        <v>0</v>
      </c>
      <c r="U24">
        <v>0</v>
      </c>
      <c r="V24">
        <v>0</v>
      </c>
      <c r="W24">
        <v>0</v>
      </c>
      <c r="Y24" s="9" t="str">
        <f t="shared" si="9"/>
        <v>------</v>
      </c>
      <c r="Z24" s="9" t="str">
        <f t="shared" si="10"/>
        <v>------</v>
      </c>
      <c r="AA24" s="9"/>
      <c r="AB24">
        <v>0</v>
      </c>
      <c r="AD24" t="str">
        <f t="shared" si="1"/>
        <v/>
      </c>
      <c r="AE24">
        <v>0.10075000000000001</v>
      </c>
      <c r="AF24">
        <v>0</v>
      </c>
      <c r="AG24">
        <v>153.38915</v>
      </c>
      <c r="AH24">
        <v>153.30744000000001</v>
      </c>
      <c r="AI24">
        <v>153.22573</v>
      </c>
      <c r="AJ24">
        <v>153.14402000000001</v>
      </c>
      <c r="AK24">
        <v>153.06231</v>
      </c>
      <c r="AL24">
        <v>152.93635</v>
      </c>
      <c r="AM24">
        <v>152.85463999999999</v>
      </c>
      <c r="AN24">
        <v>152.77293</v>
      </c>
      <c r="AO24">
        <v>152.69121999999999</v>
      </c>
      <c r="AP24">
        <v>152.60951</v>
      </c>
      <c r="AQ24">
        <v>153.072</v>
      </c>
      <c r="AR24">
        <v>152.98500000000001</v>
      </c>
      <c r="AS24">
        <f t="shared" si="26"/>
        <v>20</v>
      </c>
      <c r="AT24">
        <v>153.077</v>
      </c>
      <c r="AU24">
        <v>153.209</v>
      </c>
      <c r="AV24">
        <v>153.13300000000001</v>
      </c>
      <c r="AW24">
        <v>153.00899999999999</v>
      </c>
      <c r="AY24" s="4">
        <f>I24*(1+$AY$2)</f>
        <v>153.01494880000001</v>
      </c>
      <c r="AZ24" s="4">
        <f>I24*(1-$AY$2)</f>
        <v>152.9690512</v>
      </c>
      <c r="BA24" s="4">
        <f>J24*(1+$AY$2)</f>
        <v>152.92693560000001</v>
      </c>
      <c r="BB24" s="4">
        <f>J24*(1-$AY$2)</f>
        <v>152.88106439999999</v>
      </c>
      <c r="BC24" s="4">
        <f>K24*(1+$AY$2)</f>
        <v>153.26298600000001</v>
      </c>
      <c r="BD24" s="4">
        <f>K24*(1-$AY$2)</f>
        <v>153.21701400000001</v>
      </c>
      <c r="BE24" s="4">
        <f>L24*(1+$AY$2)</f>
        <v>152.59788625000002</v>
      </c>
      <c r="BF24" s="4">
        <f>L24*(1-$AY$2)</f>
        <v>152.55211374999999</v>
      </c>
      <c r="BG24" s="4">
        <f>M24*(1+$AY$2)</f>
        <v>152.62188985</v>
      </c>
      <c r="BH24" s="4">
        <f>M24*(1-$AY$2)</f>
        <v>152.57611015000001</v>
      </c>
      <c r="BI24" s="4">
        <f>N24*(1+$AY$2)</f>
        <v>152.82091970000002</v>
      </c>
      <c r="BJ24" s="4">
        <f>N24*(1-$AY$2)</f>
        <v>152.77508030000001</v>
      </c>
      <c r="BK24" s="30">
        <f t="shared" si="27"/>
        <v>20</v>
      </c>
      <c r="BL24" s="15" t="str">
        <f t="shared" si="11"/>
        <v>-----</v>
      </c>
      <c r="BM24" s="15" t="str">
        <f t="shared" si="12"/>
        <v>-----</v>
      </c>
      <c r="BN24" s="15" t="str">
        <f t="shared" si="13"/>
        <v>-----</v>
      </c>
      <c r="BO24" s="15" t="str">
        <f t="shared" si="14"/>
        <v>-----</v>
      </c>
      <c r="BP24" s="15" t="str">
        <f t="shared" si="15"/>
        <v>-----</v>
      </c>
      <c r="BQ24" s="15" t="str">
        <f t="shared" si="16"/>
        <v>-----</v>
      </c>
      <c r="BR24" s="22"/>
      <c r="BS24" s="9">
        <f t="shared" si="17"/>
        <v>-2.423265306122455E-3</v>
      </c>
      <c r="BT24" s="9">
        <f>SLOPE(J$5:J$103,$A$5:$A$103)</f>
        <v>-3.7194805194805478E-4</v>
      </c>
      <c r="BU24" s="9">
        <f>SLOPE(K$5:K$103,$A$5:$A$103)</f>
        <v>-1.6402721088435472E-3</v>
      </c>
      <c r="BV24" s="9">
        <f>SLOPE(L$5:L$103,$A$5:$A$103)</f>
        <v>7.6471243042669956E-4</v>
      </c>
      <c r="BW24" s="9">
        <f>SLOPE(M$5:M$103,$A$5:$A$103)</f>
        <v>-2.3081014223875058E-4</v>
      </c>
      <c r="BX24" s="9">
        <f>SLOPE(N$5:N$103,$A$5:$A$103)</f>
        <v>1.5802844774273381E-3</v>
      </c>
      <c r="BY24"/>
      <c r="BZ24" s="9">
        <f t="shared" si="37"/>
        <v>-1.9079214597220278</v>
      </c>
      <c r="CA24" s="9">
        <f t="shared" si="38"/>
        <v>-0.29295343676527091</v>
      </c>
      <c r="CB24" s="9">
        <f t="shared" si="39"/>
        <v>-1.2917022253843653</v>
      </c>
      <c r="CC24" s="9">
        <f t="shared" si="40"/>
        <v>0.60228527619529781</v>
      </c>
      <c r="CD24" s="9">
        <f t="shared" si="41"/>
        <v>-0.18179147971962978</v>
      </c>
      <c r="CE24" s="9">
        <f t="shared" si="42"/>
        <v>1.2444775446344229</v>
      </c>
      <c r="CF24"/>
      <c r="CG24" s="18" t="str" cm="1">
        <f t="array" ref="CG24">_xlfn.IFS(BZ24&gt;3,"Strong + Slope",BZ24&gt;1.5,"Moderate + Slope",BZ24&gt;0.5,"Sideway + Slope",BZ24&gt;=-0.5,"Sideway Flat",BZ24&gt;=-1.5,"Sideway - Slope",BZ24&gt;=-3,"Moderate - Slope",TRUE,"Strong - Slope")</f>
        <v>Moderate - Slope</v>
      </c>
      <c r="CH24" s="18" t="str" cm="1">
        <f t="array" ref="CH24">_xlfn.IFS(CA24&gt;3,"Strong + Slope",CA24&gt;1.5,"Moderate + Slope",CA24&gt;0.5,"Sideway + Slope",CA24&gt;=-0.5,"Sideway Flat",CA24&gt;=-1.5,"Sideway - Slope",CA24&gt;=-3,"Moderate - Slope",TRUE,"Strong - Slope")</f>
        <v>Sideway Flat</v>
      </c>
      <c r="CI24" s="18" t="str" cm="1">
        <f t="array" ref="CI24">_xlfn.IFS(CB24&gt;3,"Strong + Slope",CB24&gt;1.5,"Moderate + Slope",CB24&gt;0.5,"Sideway + Slope",CB24&gt;=-0.5,"Sideway Flat",CB24&gt;=-1.5,"Sideway - Slope",CB24&gt;=-3,"Moderate - Slope",TRUE,"Strong - Slope")</f>
        <v>Sideway - Slope</v>
      </c>
      <c r="CJ24" s="18" t="str" cm="1">
        <f t="array" ref="CJ24">_xlfn.IFS(CC24&gt;3,"Strong + Slope",CC24&gt;1.5,"Moderate + Slope",CC24&gt;0.5,"Sideway + Slope",CC24&gt;=-0.5,"Sideway Flat",CC24&gt;=-1.5,"Sideway - Slope",CC24&gt;=-3,"Moderate - Slope",TRUE,"Strong - Slope")</f>
        <v>Sideway + Slope</v>
      </c>
      <c r="CK24" s="18" t="str" cm="1">
        <f t="array" ref="CK24">_xlfn.IFS(CD24&gt;3,"Strong + Slope",CD24&gt;1.5,"Moderate + Slope",CD24&gt;0.5,"Sideway + Slope",CD24&gt;=-0.5,"Sideway Flat",CD24&gt;=-1.5,"Sideway - Slope",CD24&gt;=-3,"Moderate - Slope",TRUE,"Strong - Slope")</f>
        <v>Sideway Flat</v>
      </c>
      <c r="CL24" s="18" t="str" cm="1">
        <f t="array" ref="CL24">_xlfn.IFS(CE24&gt;3,"Strong + Slope",CE24&gt;1.5,"Moderate + Slope",CE24&gt;0.5,"Sideway + Slope",CE24&gt;=-0.5,"Sideway Flat",CE24&gt;=-1.5,"Sideway - Slope",CE24&gt;=-3,"Moderate - Slope",TRUE,"Strong - Slope")</f>
        <v>Sideway + Slope</v>
      </c>
      <c r="CM24" s="9"/>
      <c r="CN24" s="9">
        <f>RANK(I24,$I24:$N24,0)</f>
        <v>2</v>
      </c>
      <c r="CO24" s="9">
        <f>RANK(J24,$I24:$N24,0)</f>
        <v>3</v>
      </c>
      <c r="CP24" s="9">
        <f>RANK(K24,$I24:$N24,0)</f>
        <v>1</v>
      </c>
      <c r="CQ24" s="9">
        <f>RANK(L24,$I24:$N24,0)</f>
        <v>6</v>
      </c>
      <c r="CR24" s="9">
        <f>RANK(M24,$I24:$N24,0)</f>
        <v>5</v>
      </c>
      <c r="CS24" s="9">
        <f>RANK(N24,$I24:$N24,0)</f>
        <v>4</v>
      </c>
      <c r="CT24" s="9"/>
      <c r="CU24" s="9" t="str">
        <f>IF($H24&gt;I24,"SUP","RES")</f>
        <v>SUP</v>
      </c>
      <c r="CV24" s="9" t="str">
        <f>IF($H24&gt;J24,"SUP","RES")</f>
        <v>SUP</v>
      </c>
      <c r="CW24" s="9" t="str">
        <f>IF($H24&gt;K24,"SUP","RES")</f>
        <v>RES</v>
      </c>
      <c r="CX24" s="9" t="str">
        <f>IF($H24&gt;L24,"SUP","RES")</f>
        <v>SUP</v>
      </c>
      <c r="CY24" s="9" t="str">
        <f>IF($H24&gt;M24,"SUP","RES")</f>
        <v>SUP</v>
      </c>
      <c r="CZ24" s="9" t="str">
        <f>IF($H24&gt;N24,"SUP","RES")</f>
        <v>SUP</v>
      </c>
      <c r="DA24" s="9"/>
      <c r="DB24" s="12">
        <f>(I24-$H24)/$H24</f>
        <v>-6.4014631915875093E-4</v>
      </c>
      <c r="DC24" s="12">
        <f>(J24-$H24)/$H24</f>
        <v>-1.2149715853420017E-3</v>
      </c>
      <c r="DD24" s="12">
        <f>(K24-$H24)/$H24</f>
        <v>9.7981579463064664E-4</v>
      </c>
      <c r="DE24" s="12">
        <f>(L24-$H24)/$H24</f>
        <v>-3.3640342282318554E-3</v>
      </c>
      <c r="DF24" s="12">
        <f>(M24-$H24)/$H24</f>
        <v>-3.2072637010909519E-3</v>
      </c>
      <c r="DG24" s="12">
        <f>(N24-$H24)/$H24</f>
        <v>-1.90737474688093E-3</v>
      </c>
      <c r="DH24" s="12"/>
      <c r="DI24" s="12">
        <f>((H24-MIN(I24:N24))/(MAX(I24:N24)-MIN(I24:N24)))</f>
        <v>0.77443609022556226</v>
      </c>
      <c r="DJ24" s="13">
        <f t="shared" si="2"/>
        <v>1</v>
      </c>
      <c r="DK24" s="14">
        <f t="shared" si="3"/>
        <v>5</v>
      </c>
      <c r="DL24" s="12">
        <f t="shared" si="18"/>
        <v>9.7981579463064664E-4</v>
      </c>
      <c r="DM24" s="12">
        <f t="shared" si="19"/>
        <v>-6.4014631915875093E-4</v>
      </c>
      <c r="DN24" s="12">
        <f t="shared" si="20"/>
        <v>-1.2149715853420017E-3</v>
      </c>
      <c r="DO24" s="12">
        <f t="shared" si="21"/>
        <v>-1.90737474688093E-3</v>
      </c>
      <c r="DP24" s="12">
        <f t="shared" si="22"/>
        <v>-3.2072637010909519E-3</v>
      </c>
      <c r="DQ24" s="12">
        <f t="shared" si="23"/>
        <v>-3.3640342282318554E-3</v>
      </c>
      <c r="DR24" s="9"/>
      <c r="DS24" s="9" t="str">
        <f>IF(AQ24&gt;AG24,"Overbought",IF(AQ24&gt;AI24,"Bullish Momentum",IF(AQ24&gt;AK24,"Overprice Setting Up","-----")))</f>
        <v>Overprice Setting Up</v>
      </c>
      <c r="DT24" s="9" t="str">
        <f>IF(AQ24&lt;AP24,"Oversold",IF(AQ24&lt;AN24,"Bearish Momentum",IF(AQ24&lt;AL24,"Underprice Setting Up","-----")))</f>
        <v>-----</v>
      </c>
      <c r="DU24" s="9"/>
      <c r="DV24" s="12" t="str">
        <f>IF(AND(AT24&gt;AU24,AT23&gt;AU23,AT22&gt;AU22,AT21&gt;AU21,AT20&gt;AU20,AT19&gt;AU19,AT18&gt;AU18,AT17&gt;AU17,AT16&gt;AU16,AT15&gt;AU15,AT14&gt;AU14,AT13&gt;AU13),"Bullish",IF(AND(AT24&lt;AU24,AT23&lt;AU23,AT22&lt;AU22,AT21&lt;AU21,AT20&lt;AU20,AT19&lt;AU19,AT18&lt;AU18,AT17&lt;AU17,AT16&lt;AU16,AT15&lt;AU15,AT14&lt;AU14,AT13&lt;AU13),"Bearish","-----"))</f>
        <v>Bearish</v>
      </c>
      <c r="DW24" s="12"/>
      <c r="DX24" s="23">
        <f>(AR24-AT24)/AT24</f>
        <v>-6.010047231131035E-4</v>
      </c>
      <c r="DY24" s="23">
        <f t="shared" si="4"/>
        <v>-0.43464393480534463</v>
      </c>
      <c r="DZ24" s="23" t="str">
        <f>IF(DY24&gt;PERCENTILE($DY$5:$DY$103,90%),"Reverse to Bearish",IF(DY24&gt;=PERCENTILE($DY$5:$DY$103,70%),"-----",IF(DY24&gt;=PERCENTILE($DY$5:$DY$103,30%),"-----",IF(DY24&gt;=PERCENTILE($DY$5:$DY$103,10%),"-----","Reverse to Bullish"))))</f>
        <v>-----</v>
      </c>
      <c r="EA24" s="23" t="str">
        <f>IF(AQ24&gt;AR24,"Bullish","Bearish")</f>
        <v>Bullish</v>
      </c>
      <c r="EB24" s="22" t="str">
        <f>IF(AND(H24&gt;AQ24,H23&lt;AQ23),"TEMA crossover","-----")</f>
        <v>TEMA crossover</v>
      </c>
      <c r="EC24" s="22" t="str">
        <f>IF(AND(H24&lt;AQ24,H23&gt;AQ23),"TEMA crossunder","-----")</f>
        <v>-----</v>
      </c>
      <c r="ED24" s="22"/>
      <c r="EE24" s="24" t="str">
        <f t="shared" si="33"/>
        <v>YES</v>
      </c>
      <c r="EF24" s="24" t="str">
        <f t="shared" si="34"/>
        <v>-----</v>
      </c>
      <c r="EG24" s="24" t="str">
        <f t="shared" si="35"/>
        <v>YES</v>
      </c>
      <c r="EH24" s="24" t="str">
        <f t="shared" si="36"/>
        <v>YES</v>
      </c>
      <c r="EI24" s="25" t="str">
        <f>IF(DV24="Bullish","YES","-----")</f>
        <v>-----</v>
      </c>
      <c r="EJ24" s="25" t="str">
        <f>IF(DZ24="Reverse to Bullish","YES","-----")</f>
        <v>-----</v>
      </c>
      <c r="EK24" s="25" t="str">
        <f>IF(AND(EA24="Bearish",EA23="Bearish",EA22="Bearish",EA21="Bearish"),"YES","-----")</f>
        <v>-----</v>
      </c>
      <c r="EL24" s="25" t="str">
        <f>IF(OR(EC24="TEMA crossover",EC23="TEMA crossover",EC22="TEMA crossover",EC21="TEMA crossover"),"YES","-----")</f>
        <v>-----</v>
      </c>
      <c r="EM24" s="24" t="str">
        <f>IF(AND(EE24="YES",EF24="YES",EG24="YES",EH24="YES"),"Open Sell / Close Buy","-----")</f>
        <v>-----</v>
      </c>
      <c r="EN24" s="25" t="str">
        <f t="shared" si="32"/>
        <v>-----</v>
      </c>
      <c r="EO24" s="23"/>
      <c r="EP24" s="9" t="str">
        <f>IF(AND(H24&gt;AV24,H24&gt;E24),"Bullish Trigger","-----")</f>
        <v>-----</v>
      </c>
      <c r="EQ24" s="9" t="str">
        <f>IF(AND(H24&lt;AW24,H24&lt;E24),"Bearish Trigger","-----")</f>
        <v>-----</v>
      </c>
      <c r="ER24" s="9"/>
      <c r="ES24" s="9" t="str">
        <f>IF(G24&gt;AV24,"Bullish Spike","-----")</f>
        <v>-----</v>
      </c>
      <c r="ET24" s="9" t="str">
        <f>IF(F24&lt;AW24,"Bearish Spike","-----")</f>
        <v>-----</v>
      </c>
      <c r="EU24" s="9"/>
      <c r="EV24" s="20">
        <f t="shared" si="5"/>
        <v>0.12400000000002365</v>
      </c>
      <c r="EW24" s="9">
        <f t="shared" si="24"/>
        <v>1.1113833063853131</v>
      </c>
      <c r="EX24" s="21" t="str">
        <f t="shared" si="25"/>
        <v>-----</v>
      </c>
      <c r="EY24" s="9"/>
    </row>
    <row r="25" spans="1:155" x14ac:dyDescent="0.55000000000000004">
      <c r="A25">
        <v>21</v>
      </c>
      <c r="B25" t="s">
        <v>24</v>
      </c>
      <c r="C25" t="s">
        <v>4</v>
      </c>
      <c r="D25" t="s">
        <v>103</v>
      </c>
      <c r="E25">
        <v>153.089</v>
      </c>
      <c r="F25">
        <v>153.09200000000001</v>
      </c>
      <c r="G25">
        <v>152.989</v>
      </c>
      <c r="H25">
        <v>153.001</v>
      </c>
      <c r="I25">
        <v>152.99</v>
      </c>
      <c r="J25">
        <v>152.904</v>
      </c>
      <c r="K25">
        <v>153.238</v>
      </c>
      <c r="L25">
        <v>152.57499999999999</v>
      </c>
      <c r="M25">
        <v>152.59800000000001</v>
      </c>
      <c r="N25">
        <v>152.80000000000001</v>
      </c>
      <c r="O25" s="16">
        <f t="shared" si="0"/>
        <v>0.10300000000000864</v>
      </c>
      <c r="P25" s="16">
        <f t="shared" si="6"/>
        <v>2.0000000000095497E-3</v>
      </c>
      <c r="Q25" s="16">
        <f t="shared" si="7"/>
        <v>0.10099999999999909</v>
      </c>
      <c r="R25" s="16">
        <f t="shared" si="8"/>
        <v>0.10300000000000864</v>
      </c>
      <c r="S25" s="16">
        <f t="shared" si="43"/>
        <v>0.12442427598745052</v>
      </c>
      <c r="T25">
        <v>0</v>
      </c>
      <c r="U25">
        <v>0</v>
      </c>
      <c r="V25">
        <v>0</v>
      </c>
      <c r="W25">
        <v>0</v>
      </c>
      <c r="Y25" s="9" t="str">
        <f t="shared" si="9"/>
        <v>------</v>
      </c>
      <c r="Z25" s="9" t="str">
        <f t="shared" si="10"/>
        <v>------</v>
      </c>
      <c r="AA25" s="9"/>
      <c r="AB25">
        <v>0</v>
      </c>
      <c r="AD25" t="str">
        <f t="shared" si="1"/>
        <v/>
      </c>
      <c r="AE25">
        <v>0.90571000000000002</v>
      </c>
      <c r="AF25">
        <v>3</v>
      </c>
      <c r="AG25">
        <v>153.38673</v>
      </c>
      <c r="AH25">
        <v>153.30482000000001</v>
      </c>
      <c r="AI25">
        <v>153.22291999999999</v>
      </c>
      <c r="AJ25">
        <v>153.14100999999999</v>
      </c>
      <c r="AK25">
        <v>153.0591</v>
      </c>
      <c r="AL25">
        <v>152.93299999999999</v>
      </c>
      <c r="AM25">
        <v>152.85109</v>
      </c>
      <c r="AN25">
        <v>152.76918000000001</v>
      </c>
      <c r="AO25">
        <v>152.68727999999999</v>
      </c>
      <c r="AP25">
        <v>152.60536999999999</v>
      </c>
      <c r="AQ25">
        <v>153.06100000000001</v>
      </c>
      <c r="AR25">
        <v>152.99600000000001</v>
      </c>
      <c r="AS25">
        <f t="shared" si="26"/>
        <v>21</v>
      </c>
      <c r="AT25">
        <v>153.07400000000001</v>
      </c>
      <c r="AU25">
        <v>153.20500000000001</v>
      </c>
      <c r="AV25">
        <v>153.124</v>
      </c>
      <c r="AW25">
        <v>153.011</v>
      </c>
      <c r="AY25" s="4">
        <f>I25*(1+$AY$2)</f>
        <v>153.01294850000002</v>
      </c>
      <c r="AZ25" s="4">
        <f>I25*(1-$AY$2)</f>
        <v>152.96705150000003</v>
      </c>
      <c r="BA25" s="4">
        <f>J25*(1+$AY$2)</f>
        <v>152.92693560000001</v>
      </c>
      <c r="BB25" s="4">
        <f>J25*(1-$AY$2)</f>
        <v>152.88106439999999</v>
      </c>
      <c r="BC25" s="4">
        <f>K25*(1+$AY$2)</f>
        <v>153.26098570000002</v>
      </c>
      <c r="BD25" s="4">
        <f>K25*(1-$AY$2)</f>
        <v>153.21501430000001</v>
      </c>
      <c r="BE25" s="4">
        <f>L25*(1+$AY$2)</f>
        <v>152.59788625000002</v>
      </c>
      <c r="BF25" s="4">
        <f>L25*(1-$AY$2)</f>
        <v>152.55211374999999</v>
      </c>
      <c r="BG25" s="4">
        <f>M25*(1+$AY$2)</f>
        <v>152.62088970000002</v>
      </c>
      <c r="BH25" s="4">
        <f>M25*(1-$AY$2)</f>
        <v>152.57511030000001</v>
      </c>
      <c r="BI25" s="4">
        <f>N25*(1+$AY$2)</f>
        <v>152.82292000000004</v>
      </c>
      <c r="BJ25" s="4">
        <f>N25*(1-$AY$2)</f>
        <v>152.77708000000001</v>
      </c>
      <c r="BK25" s="30">
        <f t="shared" si="27"/>
        <v>21</v>
      </c>
      <c r="BL25" s="15" t="str">
        <f t="shared" si="11"/>
        <v>TOUCH</v>
      </c>
      <c r="BM25" s="15" t="str">
        <f t="shared" si="12"/>
        <v>-----</v>
      </c>
      <c r="BN25" s="15" t="str">
        <f t="shared" si="13"/>
        <v>-----</v>
      </c>
      <c r="BO25" s="15" t="str">
        <f t="shared" si="14"/>
        <v>-----</v>
      </c>
      <c r="BP25" s="15" t="str">
        <f t="shared" si="15"/>
        <v>-----</v>
      </c>
      <c r="BQ25" s="15" t="str">
        <f t="shared" si="16"/>
        <v>-----</v>
      </c>
      <c r="BR25" s="22"/>
      <c r="BS25" s="9">
        <f t="shared" si="17"/>
        <v>-2.423265306122455E-3</v>
      </c>
      <c r="BT25" s="9">
        <f>SLOPE(J$5:J$103,$A$5:$A$103)</f>
        <v>-3.7194805194805478E-4</v>
      </c>
      <c r="BU25" s="9">
        <f>SLOPE(K$5:K$103,$A$5:$A$103)</f>
        <v>-1.6402721088435472E-3</v>
      </c>
      <c r="BV25" s="9">
        <f>SLOPE(L$5:L$103,$A$5:$A$103)</f>
        <v>7.6471243042669956E-4</v>
      </c>
      <c r="BW25" s="9">
        <f>SLOPE(M$5:M$103,$A$5:$A$103)</f>
        <v>-2.3081014223875058E-4</v>
      </c>
      <c r="BX25" s="9">
        <f>SLOPE(N$5:N$103,$A$5:$A$103)</f>
        <v>1.5802844774273381E-3</v>
      </c>
      <c r="BY25"/>
      <c r="BZ25" s="9">
        <f t="shared" si="37"/>
        <v>-1.9079214597220278</v>
      </c>
      <c r="CA25" s="9">
        <f t="shared" si="38"/>
        <v>-0.29295343676527091</v>
      </c>
      <c r="CB25" s="9">
        <f t="shared" si="39"/>
        <v>-1.2917022253843653</v>
      </c>
      <c r="CC25" s="9">
        <f t="shared" si="40"/>
        <v>0.60228527619529781</v>
      </c>
      <c r="CD25" s="9">
        <f t="shared" si="41"/>
        <v>-0.18179147971962978</v>
      </c>
      <c r="CE25" s="9">
        <f t="shared" si="42"/>
        <v>1.2444775446344229</v>
      </c>
      <c r="CF25"/>
      <c r="CG25" s="18" t="str" cm="1">
        <f t="array" ref="CG25">_xlfn.IFS(BZ25&gt;3,"Strong + Slope",BZ25&gt;1.5,"Moderate + Slope",BZ25&gt;0.5,"Sideway + Slope",BZ25&gt;=-0.5,"Sideway Flat",BZ25&gt;=-1.5,"Sideway - Slope",BZ25&gt;=-3,"Moderate - Slope",TRUE,"Strong - Slope")</f>
        <v>Moderate - Slope</v>
      </c>
      <c r="CH25" s="18" t="str" cm="1">
        <f t="array" ref="CH25">_xlfn.IFS(CA25&gt;3,"Strong + Slope",CA25&gt;1.5,"Moderate + Slope",CA25&gt;0.5,"Sideway + Slope",CA25&gt;=-0.5,"Sideway Flat",CA25&gt;=-1.5,"Sideway - Slope",CA25&gt;=-3,"Moderate - Slope",TRUE,"Strong - Slope")</f>
        <v>Sideway Flat</v>
      </c>
      <c r="CI25" s="18" t="str" cm="1">
        <f t="array" ref="CI25">_xlfn.IFS(CB25&gt;3,"Strong + Slope",CB25&gt;1.5,"Moderate + Slope",CB25&gt;0.5,"Sideway + Slope",CB25&gt;=-0.5,"Sideway Flat",CB25&gt;=-1.5,"Sideway - Slope",CB25&gt;=-3,"Moderate - Slope",TRUE,"Strong - Slope")</f>
        <v>Sideway - Slope</v>
      </c>
      <c r="CJ25" s="18" t="str" cm="1">
        <f t="array" ref="CJ25">_xlfn.IFS(CC25&gt;3,"Strong + Slope",CC25&gt;1.5,"Moderate + Slope",CC25&gt;0.5,"Sideway + Slope",CC25&gt;=-0.5,"Sideway Flat",CC25&gt;=-1.5,"Sideway - Slope",CC25&gt;=-3,"Moderate - Slope",TRUE,"Strong - Slope")</f>
        <v>Sideway + Slope</v>
      </c>
      <c r="CK25" s="18" t="str" cm="1">
        <f t="array" ref="CK25">_xlfn.IFS(CD25&gt;3,"Strong + Slope",CD25&gt;1.5,"Moderate + Slope",CD25&gt;0.5,"Sideway + Slope",CD25&gt;=-0.5,"Sideway Flat",CD25&gt;=-1.5,"Sideway - Slope",CD25&gt;=-3,"Moderate - Slope",TRUE,"Strong - Slope")</f>
        <v>Sideway Flat</v>
      </c>
      <c r="CL25" s="18" t="str" cm="1">
        <f t="array" ref="CL25">_xlfn.IFS(CE25&gt;3,"Strong + Slope",CE25&gt;1.5,"Moderate + Slope",CE25&gt;0.5,"Sideway + Slope",CE25&gt;=-0.5,"Sideway Flat",CE25&gt;=-1.5,"Sideway - Slope",CE25&gt;=-3,"Moderate - Slope",TRUE,"Strong - Slope")</f>
        <v>Sideway + Slope</v>
      </c>
      <c r="CM25" s="9"/>
      <c r="CN25" s="9">
        <f>RANK(I25,$I25:$N25,0)</f>
        <v>2</v>
      </c>
      <c r="CO25" s="9">
        <f>RANK(J25,$I25:$N25,0)</f>
        <v>3</v>
      </c>
      <c r="CP25" s="9">
        <f>RANK(K25,$I25:$N25,0)</f>
        <v>1</v>
      </c>
      <c r="CQ25" s="9">
        <f>RANK(L25,$I25:$N25,0)</f>
        <v>6</v>
      </c>
      <c r="CR25" s="9">
        <f>RANK(M25,$I25:$N25,0)</f>
        <v>5</v>
      </c>
      <c r="CS25" s="9">
        <f>RANK(N25,$I25:$N25,0)</f>
        <v>4</v>
      </c>
      <c r="CT25" s="9"/>
      <c r="CU25" s="9" t="str">
        <f>IF($H25&gt;I25,"SUP","RES")</f>
        <v>SUP</v>
      </c>
      <c r="CV25" s="9" t="str">
        <f>IF($H25&gt;J25,"SUP","RES")</f>
        <v>SUP</v>
      </c>
      <c r="CW25" s="9" t="str">
        <f>IF($H25&gt;K25,"SUP","RES")</f>
        <v>RES</v>
      </c>
      <c r="CX25" s="9" t="str">
        <f>IF($H25&gt;L25,"SUP","RES")</f>
        <v>SUP</v>
      </c>
      <c r="CY25" s="9" t="str">
        <f>IF($H25&gt;M25,"SUP","RES")</f>
        <v>SUP</v>
      </c>
      <c r="CZ25" s="9" t="str">
        <f>IF($H25&gt;N25,"SUP","RES")</f>
        <v>SUP</v>
      </c>
      <c r="DA25" s="9"/>
      <c r="DB25" s="12">
        <f>(I25-$H25)/$H25</f>
        <v>-7.1894954934906825E-5</v>
      </c>
      <c r="DC25" s="12">
        <f>(J25-$H25)/$H25</f>
        <v>-6.3398278442630056E-4</v>
      </c>
      <c r="DD25" s="12">
        <f>(K25-$H25)/$H25</f>
        <v>1.5490094835981121E-3</v>
      </c>
      <c r="DE25" s="12">
        <f>(L25-$H25)/$H25</f>
        <v>-2.7842955274803181E-3</v>
      </c>
      <c r="DF25" s="12">
        <f>(M25-$H25)/$H25</f>
        <v>-2.6339697126162025E-3</v>
      </c>
      <c r="DG25" s="12">
        <f>(N25-$H25)/$H25</f>
        <v>-1.3137169038110431E-3</v>
      </c>
      <c r="DH25" s="12"/>
      <c r="DI25" s="12">
        <f>((H25-MIN(I25:N25))/(MAX(I25:N25)-MIN(I25:N25)))</f>
        <v>0.64253393665159753</v>
      </c>
      <c r="DJ25" s="13">
        <f t="shared" si="2"/>
        <v>1</v>
      </c>
      <c r="DK25" s="14">
        <f t="shared" si="3"/>
        <v>5</v>
      </c>
      <c r="DL25" s="12">
        <f t="shared" si="18"/>
        <v>1.5490094835981121E-3</v>
      </c>
      <c r="DM25" s="12">
        <f t="shared" si="19"/>
        <v>-7.1894954934906825E-5</v>
      </c>
      <c r="DN25" s="12">
        <f t="shared" si="20"/>
        <v>-6.3398278442630056E-4</v>
      </c>
      <c r="DO25" s="12">
        <f t="shared" si="21"/>
        <v>-1.3137169038110431E-3</v>
      </c>
      <c r="DP25" s="12">
        <f t="shared" si="22"/>
        <v>-2.6339697126162025E-3</v>
      </c>
      <c r="DQ25" s="12">
        <f t="shared" si="23"/>
        <v>-2.7842955274803181E-3</v>
      </c>
      <c r="DR25" s="9"/>
      <c r="DS25" s="9" t="str">
        <f>IF(AQ25&gt;AG25,"Overbought",IF(AQ25&gt;AI25,"Bullish Momentum",IF(AQ25&gt;AK25,"Overprice Setting Up","-----")))</f>
        <v>Overprice Setting Up</v>
      </c>
      <c r="DT25" s="9" t="str">
        <f>IF(AQ25&lt;AP25,"Oversold",IF(AQ25&lt;AN25,"Bearish Momentum",IF(AQ25&lt;AL25,"Underprice Setting Up","-----")))</f>
        <v>-----</v>
      </c>
      <c r="DU25" s="9"/>
      <c r="DV25" s="12" t="str">
        <f>IF(AND(AT25&gt;AU25,AT24&gt;AU24,AT23&gt;AU23,AT22&gt;AU22,AT21&gt;AU21,AT20&gt;AU20,AT19&gt;AU19,AT18&gt;AU18,AT17&gt;AU17,AT16&gt;AU16,AT15&gt;AU15,AT14&gt;AU14),"Bullish",IF(AND(AT25&lt;AU25,AT24&lt;AU24,AT23&lt;AU23,AT22&lt;AU22,AT21&lt;AU21,AT20&lt;AU20,AT19&lt;AU19,AT18&lt;AU18,AT17&lt;AU17,AT16&lt;AU16,AT15&lt;AU15,AT14&lt;AU14),"Bearish","-----"))</f>
        <v>Bearish</v>
      </c>
      <c r="DW25" s="12"/>
      <c r="DX25" s="23">
        <f>(AR25-AT25)/AT25</f>
        <v>-5.0955746893661198E-4</v>
      </c>
      <c r="DY25" s="23">
        <f t="shared" si="4"/>
        <v>-0.17090522744029651</v>
      </c>
      <c r="DZ25" s="23" t="str">
        <f>IF(DY25&gt;PERCENTILE($DY$5:$DY$103,90%),"Reverse to Bearish",IF(DY25&gt;=PERCENTILE($DY$5:$DY$103,70%),"-----",IF(DY25&gt;=PERCENTILE($DY$5:$DY$103,30%),"-----",IF(DY25&gt;=PERCENTILE($DY$5:$DY$103,10%),"-----","Reverse to Bullish"))))</f>
        <v>-----</v>
      </c>
      <c r="EA25" s="23" t="str">
        <f>IF(AQ25&gt;AR25,"Bullish","Bearish")</f>
        <v>Bullish</v>
      </c>
      <c r="EB25" s="22" t="str">
        <f>IF(AND(H25&gt;AQ25,H24&lt;AQ24),"TEMA crossover","-----")</f>
        <v>-----</v>
      </c>
      <c r="EC25" s="22" t="str">
        <f>IF(AND(H25&lt;AQ25,H24&gt;AQ24),"TEMA crossunder","-----")</f>
        <v>TEMA crossunder</v>
      </c>
      <c r="ED25" s="22"/>
      <c r="EE25" s="24" t="str">
        <f t="shared" si="33"/>
        <v>YES</v>
      </c>
      <c r="EF25" s="24" t="str">
        <f t="shared" si="34"/>
        <v>-----</v>
      </c>
      <c r="EG25" s="24" t="str">
        <f t="shared" si="35"/>
        <v>YES</v>
      </c>
      <c r="EH25" s="24" t="str">
        <f t="shared" si="36"/>
        <v>YES</v>
      </c>
      <c r="EI25" s="25" t="str">
        <f>IF(DV25="Bullish","YES","-----")</f>
        <v>-----</v>
      </c>
      <c r="EJ25" s="25" t="str">
        <f>IF(DZ25="Reverse to Bullish","YES","-----")</f>
        <v>-----</v>
      </c>
      <c r="EK25" s="25" t="str">
        <f>IF(AND(EA25="Bearish",EA24="Bearish",EA23="Bearish",EA22="Bearish"),"YES","-----")</f>
        <v>-----</v>
      </c>
      <c r="EL25" s="25" t="str">
        <f>IF(OR(EC25="TEMA crossover",EC24="TEMA crossover",EC23="TEMA crossover",EC22="TEMA crossover"),"YES","-----")</f>
        <v>-----</v>
      </c>
      <c r="EM25" s="24" t="str">
        <f>IF(AND(EE25="YES",EF25="YES",EG25="YES",EH25="YES"),"Open Sell / Close Buy","-----")</f>
        <v>-----</v>
      </c>
      <c r="EN25" s="25" t="str">
        <f t="shared" si="32"/>
        <v>-----</v>
      </c>
      <c r="EO25" s="23"/>
      <c r="EP25" s="9" t="str">
        <f>IF(AND(H25&gt;AV25,H25&gt;E25),"Bullish Trigger","-----")</f>
        <v>-----</v>
      </c>
      <c r="EQ25" s="9" t="str">
        <f>IF(AND(H25&lt;AW25,H25&lt;E25),"Bearish Trigger","-----")</f>
        <v>Bearish Trigger</v>
      </c>
      <c r="ER25" s="9"/>
      <c r="ES25" s="9" t="str">
        <f>IF(G25&gt;AV25,"Bullish Spike","-----")</f>
        <v>-----</v>
      </c>
      <c r="ET25" s="9" t="str">
        <f>IF(F25&lt;AW25,"Bearish Spike","-----")</f>
        <v>-----</v>
      </c>
      <c r="EU25" s="9"/>
      <c r="EV25" s="20">
        <f t="shared" si="5"/>
        <v>0.11299999999999955</v>
      </c>
      <c r="EW25" s="9">
        <f t="shared" si="24"/>
        <v>0.85786499455964971</v>
      </c>
      <c r="EX25" s="21" t="str">
        <f t="shared" si="25"/>
        <v>-----</v>
      </c>
      <c r="EY25" s="9"/>
    </row>
    <row r="26" spans="1:155" x14ac:dyDescent="0.55000000000000004">
      <c r="A26">
        <v>22</v>
      </c>
      <c r="B26" t="s">
        <v>25</v>
      </c>
      <c r="C26" t="s">
        <v>4</v>
      </c>
      <c r="D26" t="s">
        <v>103</v>
      </c>
      <c r="E26">
        <v>153</v>
      </c>
      <c r="F26">
        <v>153.05199999999999</v>
      </c>
      <c r="G26">
        <v>152.98400000000001</v>
      </c>
      <c r="H26">
        <v>153.036</v>
      </c>
      <c r="I26">
        <v>152.98699999999999</v>
      </c>
      <c r="J26">
        <v>152.90299999999999</v>
      </c>
      <c r="K26">
        <v>153.23599999999999</v>
      </c>
      <c r="L26">
        <v>152.57599999999999</v>
      </c>
      <c r="M26">
        <v>152.59800000000001</v>
      </c>
      <c r="N26">
        <v>152.80099999999999</v>
      </c>
      <c r="O26" s="16">
        <f t="shared" si="0"/>
        <v>6.7999999999983629E-2</v>
      </c>
      <c r="P26" s="16">
        <f t="shared" si="6"/>
        <v>5.0999999999987722E-2</v>
      </c>
      <c r="Q26" s="16">
        <f t="shared" si="7"/>
        <v>1.6999999999995907E-2</v>
      </c>
      <c r="R26" s="16">
        <f t="shared" si="8"/>
        <v>6.7999999999983629E-2</v>
      </c>
      <c r="S26" s="16">
        <f t="shared" si="43"/>
        <v>0.12039397055977431</v>
      </c>
      <c r="T26">
        <v>0</v>
      </c>
      <c r="U26">
        <v>0</v>
      </c>
      <c r="V26">
        <v>0</v>
      </c>
      <c r="W26">
        <v>0</v>
      </c>
      <c r="Y26" s="9" t="str">
        <f t="shared" si="9"/>
        <v>------</v>
      </c>
      <c r="Z26" s="9" t="str">
        <f t="shared" si="10"/>
        <v>------</v>
      </c>
      <c r="AA26" s="9"/>
      <c r="AB26">
        <v>0</v>
      </c>
      <c r="AD26" t="str">
        <f t="shared" si="1"/>
        <v/>
      </c>
      <c r="AE26">
        <v>0.28775000000000001</v>
      </c>
      <c r="AF26">
        <v>0</v>
      </c>
      <c r="AG26">
        <v>153.38255000000001</v>
      </c>
      <c r="AH26">
        <v>153.30072999999999</v>
      </c>
      <c r="AI26">
        <v>153.21892</v>
      </c>
      <c r="AJ26">
        <v>153.1371</v>
      </c>
      <c r="AK26">
        <v>153.05529000000001</v>
      </c>
      <c r="AL26">
        <v>152.93037000000001</v>
      </c>
      <c r="AM26">
        <v>152.84854999999999</v>
      </c>
      <c r="AN26">
        <v>152.76674</v>
      </c>
      <c r="AO26">
        <v>152.68492000000001</v>
      </c>
      <c r="AP26">
        <v>152.60310999999999</v>
      </c>
      <c r="AQ26">
        <v>153.05199999999999</v>
      </c>
      <c r="AR26">
        <v>153.00299999999999</v>
      </c>
      <c r="AS26">
        <f t="shared" si="26"/>
        <v>22</v>
      </c>
      <c r="AT26">
        <v>153.07</v>
      </c>
      <c r="AU26">
        <v>153.19999999999999</v>
      </c>
      <c r="AV26">
        <v>153.09700000000001</v>
      </c>
      <c r="AW26">
        <v>153.00800000000001</v>
      </c>
      <c r="AY26" s="4">
        <f>I26*(1+$AY$2)</f>
        <v>153.00994805000002</v>
      </c>
      <c r="AZ26" s="4">
        <f>I26*(1-$AY$2)</f>
        <v>152.96405195</v>
      </c>
      <c r="BA26" s="4">
        <f>J26*(1+$AY$2)</f>
        <v>152.92593545</v>
      </c>
      <c r="BB26" s="4">
        <f>J26*(1-$AY$2)</f>
        <v>152.88006454999999</v>
      </c>
      <c r="BC26" s="4">
        <f>K26*(1+$AY$2)</f>
        <v>153.2589854</v>
      </c>
      <c r="BD26" s="4">
        <f>K26*(1-$AY$2)</f>
        <v>153.21301459999998</v>
      </c>
      <c r="BE26" s="4">
        <f>L26*(1+$AY$2)</f>
        <v>152.5988864</v>
      </c>
      <c r="BF26" s="4">
        <f>L26*(1-$AY$2)</f>
        <v>152.55311359999999</v>
      </c>
      <c r="BG26" s="4">
        <f>M26*(1+$AY$2)</f>
        <v>152.62088970000002</v>
      </c>
      <c r="BH26" s="4">
        <f>M26*(1-$AY$2)</f>
        <v>152.57511030000001</v>
      </c>
      <c r="BI26" s="4">
        <f>N26*(1+$AY$2)</f>
        <v>152.82392014999999</v>
      </c>
      <c r="BJ26" s="4">
        <f>N26*(1-$AY$2)</f>
        <v>152.77807984999998</v>
      </c>
      <c r="BK26" s="30">
        <f t="shared" si="27"/>
        <v>22</v>
      </c>
      <c r="BL26" s="15" t="str">
        <f t="shared" si="11"/>
        <v>TOUCH</v>
      </c>
      <c r="BM26" s="15" t="str">
        <f t="shared" si="12"/>
        <v>-----</v>
      </c>
      <c r="BN26" s="15" t="str">
        <f t="shared" si="13"/>
        <v>-----</v>
      </c>
      <c r="BO26" s="15" t="str">
        <f t="shared" si="14"/>
        <v>-----</v>
      </c>
      <c r="BP26" s="15" t="str">
        <f t="shared" si="15"/>
        <v>-----</v>
      </c>
      <c r="BQ26" s="15" t="str">
        <f t="shared" si="16"/>
        <v>-----</v>
      </c>
      <c r="BR26" s="22"/>
      <c r="BS26" s="9">
        <f t="shared" si="17"/>
        <v>-2.423265306122455E-3</v>
      </c>
      <c r="BT26" s="9">
        <f>SLOPE(J$5:J$103,$A$5:$A$103)</f>
        <v>-3.7194805194805478E-4</v>
      </c>
      <c r="BU26" s="9">
        <f>SLOPE(K$5:K$103,$A$5:$A$103)</f>
        <v>-1.6402721088435472E-3</v>
      </c>
      <c r="BV26" s="9">
        <f>SLOPE(L$5:L$103,$A$5:$A$103)</f>
        <v>7.6471243042669956E-4</v>
      </c>
      <c r="BW26" s="9">
        <f>SLOPE(M$5:M$103,$A$5:$A$103)</f>
        <v>-2.3081014223875058E-4</v>
      </c>
      <c r="BX26" s="9">
        <f>SLOPE(N$5:N$103,$A$5:$A$103)</f>
        <v>1.5802844774273381E-3</v>
      </c>
      <c r="BY26"/>
      <c r="BZ26" s="9">
        <f t="shared" si="37"/>
        <v>-1.9079214597220278</v>
      </c>
      <c r="CA26" s="9">
        <f t="shared" si="38"/>
        <v>-0.29295343676527091</v>
      </c>
      <c r="CB26" s="9">
        <f t="shared" si="39"/>
        <v>-1.2917022253843653</v>
      </c>
      <c r="CC26" s="9">
        <f t="shared" si="40"/>
        <v>0.60228527619529781</v>
      </c>
      <c r="CD26" s="9">
        <f t="shared" si="41"/>
        <v>-0.18179147971962978</v>
      </c>
      <c r="CE26" s="9">
        <f t="shared" si="42"/>
        <v>1.2444775446344229</v>
      </c>
      <c r="CF26"/>
      <c r="CG26" s="18" t="str" cm="1">
        <f t="array" ref="CG26">_xlfn.IFS(BZ26&gt;3,"Strong + Slope",BZ26&gt;1.5,"Moderate + Slope",BZ26&gt;0.5,"Sideway + Slope",BZ26&gt;=-0.5,"Sideway Flat",BZ26&gt;=-1.5,"Sideway - Slope",BZ26&gt;=-3,"Moderate - Slope",TRUE,"Strong - Slope")</f>
        <v>Moderate - Slope</v>
      </c>
      <c r="CH26" s="18" t="str" cm="1">
        <f t="array" ref="CH26">_xlfn.IFS(CA26&gt;3,"Strong + Slope",CA26&gt;1.5,"Moderate + Slope",CA26&gt;0.5,"Sideway + Slope",CA26&gt;=-0.5,"Sideway Flat",CA26&gt;=-1.5,"Sideway - Slope",CA26&gt;=-3,"Moderate - Slope",TRUE,"Strong - Slope")</f>
        <v>Sideway Flat</v>
      </c>
      <c r="CI26" s="18" t="str" cm="1">
        <f t="array" ref="CI26">_xlfn.IFS(CB26&gt;3,"Strong + Slope",CB26&gt;1.5,"Moderate + Slope",CB26&gt;0.5,"Sideway + Slope",CB26&gt;=-0.5,"Sideway Flat",CB26&gt;=-1.5,"Sideway - Slope",CB26&gt;=-3,"Moderate - Slope",TRUE,"Strong - Slope")</f>
        <v>Sideway - Slope</v>
      </c>
      <c r="CJ26" s="18" t="str" cm="1">
        <f t="array" ref="CJ26">_xlfn.IFS(CC26&gt;3,"Strong + Slope",CC26&gt;1.5,"Moderate + Slope",CC26&gt;0.5,"Sideway + Slope",CC26&gt;=-0.5,"Sideway Flat",CC26&gt;=-1.5,"Sideway - Slope",CC26&gt;=-3,"Moderate - Slope",TRUE,"Strong - Slope")</f>
        <v>Sideway + Slope</v>
      </c>
      <c r="CK26" s="18" t="str" cm="1">
        <f t="array" ref="CK26">_xlfn.IFS(CD26&gt;3,"Strong + Slope",CD26&gt;1.5,"Moderate + Slope",CD26&gt;0.5,"Sideway + Slope",CD26&gt;=-0.5,"Sideway Flat",CD26&gt;=-1.5,"Sideway - Slope",CD26&gt;=-3,"Moderate - Slope",TRUE,"Strong - Slope")</f>
        <v>Sideway Flat</v>
      </c>
      <c r="CL26" s="18" t="str" cm="1">
        <f t="array" ref="CL26">_xlfn.IFS(CE26&gt;3,"Strong + Slope",CE26&gt;1.5,"Moderate + Slope",CE26&gt;0.5,"Sideway + Slope",CE26&gt;=-0.5,"Sideway Flat",CE26&gt;=-1.5,"Sideway - Slope",CE26&gt;=-3,"Moderate - Slope",TRUE,"Strong - Slope")</f>
        <v>Sideway + Slope</v>
      </c>
      <c r="CM26" s="9"/>
      <c r="CN26" s="9">
        <f>RANK(I26,$I26:$N26,0)</f>
        <v>2</v>
      </c>
      <c r="CO26" s="9">
        <f>RANK(J26,$I26:$N26,0)</f>
        <v>3</v>
      </c>
      <c r="CP26" s="9">
        <f>RANK(K26,$I26:$N26,0)</f>
        <v>1</v>
      </c>
      <c r="CQ26" s="9">
        <f>RANK(L26,$I26:$N26,0)</f>
        <v>6</v>
      </c>
      <c r="CR26" s="9">
        <f>RANK(M26,$I26:$N26,0)</f>
        <v>5</v>
      </c>
      <c r="CS26" s="9">
        <f>RANK(N26,$I26:$N26,0)</f>
        <v>4</v>
      </c>
      <c r="CT26" s="9"/>
      <c r="CU26" s="9" t="str">
        <f>IF($H26&gt;I26,"SUP","RES")</f>
        <v>SUP</v>
      </c>
      <c r="CV26" s="9" t="str">
        <f>IF($H26&gt;J26,"SUP","RES")</f>
        <v>SUP</v>
      </c>
      <c r="CW26" s="9" t="str">
        <f>IF($H26&gt;K26,"SUP","RES")</f>
        <v>RES</v>
      </c>
      <c r="CX26" s="9" t="str">
        <f>IF($H26&gt;L26,"SUP","RES")</f>
        <v>SUP</v>
      </c>
      <c r="CY26" s="9" t="str">
        <f>IF($H26&gt;M26,"SUP","RES")</f>
        <v>SUP</v>
      </c>
      <c r="CZ26" s="9" t="str">
        <f>IF($H26&gt;N26,"SUP","RES")</f>
        <v>SUP</v>
      </c>
      <c r="DA26" s="9"/>
      <c r="DB26" s="12">
        <f>(I26-$H26)/$H26</f>
        <v>-3.2018610000265684E-4</v>
      </c>
      <c r="DC26" s="12">
        <f>(J26-$H26)/$H26</f>
        <v>-8.6907655715001556E-4</v>
      </c>
      <c r="DD26" s="12">
        <f>(K26-$H26)/$H26</f>
        <v>1.3068820408269207E-3</v>
      </c>
      <c r="DE26" s="12">
        <f>(L26-$H26)/$H26</f>
        <v>-3.0058286939021405E-3</v>
      </c>
      <c r="DF26" s="12">
        <f>(M26-$H26)/$H26</f>
        <v>-2.8620716694110417E-3</v>
      </c>
      <c r="DG26" s="12">
        <f>(N26-$H26)/$H26</f>
        <v>-1.5355863979718083E-3</v>
      </c>
      <c r="DH26" s="12"/>
      <c r="DI26" s="12">
        <f>((H26-MIN(I26:N26))/(MAX(I26:N26)-MIN(I26:N26)))</f>
        <v>0.69696969696971267</v>
      </c>
      <c r="DJ26" s="13">
        <f t="shared" si="2"/>
        <v>1</v>
      </c>
      <c r="DK26" s="14">
        <f t="shared" si="3"/>
        <v>5</v>
      </c>
      <c r="DL26" s="12">
        <f t="shared" si="18"/>
        <v>1.3068820408269207E-3</v>
      </c>
      <c r="DM26" s="12">
        <f t="shared" si="19"/>
        <v>-3.2018610000265684E-4</v>
      </c>
      <c r="DN26" s="12">
        <f t="shared" si="20"/>
        <v>-8.6907655715001556E-4</v>
      </c>
      <c r="DO26" s="12">
        <f t="shared" si="21"/>
        <v>-1.5355863979718083E-3</v>
      </c>
      <c r="DP26" s="12">
        <f t="shared" si="22"/>
        <v>-2.8620716694110417E-3</v>
      </c>
      <c r="DQ26" s="12">
        <f t="shared" si="23"/>
        <v>-3.0058286939021405E-3</v>
      </c>
      <c r="DR26" s="9"/>
      <c r="DS26" s="9" t="str">
        <f>IF(AQ26&gt;AG26,"Overbought",IF(AQ26&gt;AI26,"Bullish Momentum",IF(AQ26&gt;AK26,"Overprice Setting Up","-----")))</f>
        <v>-----</v>
      </c>
      <c r="DT26" s="9" t="str">
        <f>IF(AQ26&lt;AP26,"Oversold",IF(AQ26&lt;AN26,"Bearish Momentum",IF(AQ26&lt;AL26,"Underprice Setting Up","-----")))</f>
        <v>-----</v>
      </c>
      <c r="DU26" s="9"/>
      <c r="DV26" s="12" t="str">
        <f>IF(AND(AT26&gt;AU26,AT25&gt;AU25,AT24&gt;AU24,AT23&gt;AU23,AT22&gt;AU22,AT21&gt;AU21,AT20&gt;AU20,AT19&gt;AU19,AT18&gt;AU18,AT17&gt;AU17,AT16&gt;AU16,AT15&gt;AU15),"Bullish",IF(AND(AT26&lt;AU26,AT25&lt;AU25,AT24&lt;AU24,AT23&lt;AU23,AT22&lt;AU22,AT21&lt;AU21,AT20&lt;AU20,AT19&lt;AU19,AT18&lt;AU18,AT17&lt;AU17,AT16&lt;AU16,AT15&lt;AU15),"Bearish","-----"))</f>
        <v>Bearish</v>
      </c>
      <c r="DW26" s="12"/>
      <c r="DX26" s="23">
        <f>(AR26-AT26)/AT26</f>
        <v>-4.3770823806106541E-4</v>
      </c>
      <c r="DY26" s="23">
        <f t="shared" si="4"/>
        <v>3.6311746398169087E-2</v>
      </c>
      <c r="DZ26" s="23" t="str">
        <f>IF(DY26&gt;PERCENTILE($DY$5:$DY$103,90%),"Reverse to Bearish",IF(DY26&gt;=PERCENTILE($DY$5:$DY$103,70%),"-----",IF(DY26&gt;=PERCENTILE($DY$5:$DY$103,30%),"-----",IF(DY26&gt;=PERCENTILE($DY$5:$DY$103,10%),"-----","Reverse to Bullish"))))</f>
        <v>-----</v>
      </c>
      <c r="EA26" s="23" t="str">
        <f>IF(AQ26&gt;AR26,"Bullish","Bearish")</f>
        <v>Bullish</v>
      </c>
      <c r="EB26" s="22" t="str">
        <f>IF(AND(H26&gt;AQ26,H25&lt;AQ25),"TEMA crossover","-----")</f>
        <v>-----</v>
      </c>
      <c r="EC26" s="22" t="str">
        <f>IF(AND(H26&lt;AQ26,H25&gt;AQ25),"TEMA crossunder","-----")</f>
        <v>-----</v>
      </c>
      <c r="ED26" s="22"/>
      <c r="EE26" s="24" t="str">
        <f t="shared" si="33"/>
        <v>YES</v>
      </c>
      <c r="EF26" s="24" t="str">
        <f t="shared" si="34"/>
        <v>-----</v>
      </c>
      <c r="EG26" s="24" t="str">
        <f t="shared" si="35"/>
        <v>YES</v>
      </c>
      <c r="EH26" s="24" t="str">
        <f t="shared" si="36"/>
        <v>YES</v>
      </c>
      <c r="EI26" s="25" t="str">
        <f>IF(DV26="Bullish","YES","-----")</f>
        <v>-----</v>
      </c>
      <c r="EJ26" s="25" t="str">
        <f>IF(DZ26="Reverse to Bullish","YES","-----")</f>
        <v>-----</v>
      </c>
      <c r="EK26" s="25" t="str">
        <f>IF(AND(EA26="Bearish",EA25="Bearish",EA24="Bearish",EA23="Bearish"),"YES","-----")</f>
        <v>-----</v>
      </c>
      <c r="EL26" s="25" t="str">
        <f>IF(OR(EC26="TEMA crossover",EC25="TEMA crossover",EC24="TEMA crossover",EC23="TEMA crossover"),"YES","-----")</f>
        <v>-----</v>
      </c>
      <c r="EM26" s="24" t="str">
        <f>IF(AND(EE26="YES",EF26="YES",EG26="YES",EH26="YES"),"Open Sell / Close Buy","-----")</f>
        <v>-----</v>
      </c>
      <c r="EN26" s="25" t="str">
        <f t="shared" si="32"/>
        <v>-----</v>
      </c>
      <c r="EO26" s="23"/>
      <c r="EP26" s="9" t="str">
        <f>IF(AND(H26&gt;AV26,H26&gt;E26),"Bullish Trigger","-----")</f>
        <v>-----</v>
      </c>
      <c r="EQ26" s="9" t="str">
        <f>IF(AND(H26&lt;AW26,H26&lt;E26),"Bearish Trigger","-----")</f>
        <v>-----</v>
      </c>
      <c r="ER26" s="9"/>
      <c r="ES26" s="9" t="str">
        <f>IF(G26&gt;AV26,"Bullish Spike","-----")</f>
        <v>-----</v>
      </c>
      <c r="ET26" s="9" t="str">
        <f>IF(F26&lt;AW26,"Bearish Spike","-----")</f>
        <v>-----</v>
      </c>
      <c r="EU26" s="9"/>
      <c r="EV26" s="20">
        <f t="shared" si="5"/>
        <v>8.8999999999998636E-2</v>
      </c>
      <c r="EW26" s="9">
        <f t="shared" si="24"/>
        <v>0.30473413239575681</v>
      </c>
      <c r="EX26" s="21" t="str">
        <f t="shared" si="25"/>
        <v>-----</v>
      </c>
      <c r="EY26" s="9"/>
    </row>
    <row r="27" spans="1:155" x14ac:dyDescent="0.55000000000000004">
      <c r="A27">
        <v>23</v>
      </c>
      <c r="B27" t="s">
        <v>26</v>
      </c>
      <c r="C27" t="s">
        <v>4</v>
      </c>
      <c r="D27" t="s">
        <v>103</v>
      </c>
      <c r="E27">
        <v>153.035</v>
      </c>
      <c r="F27">
        <v>153.13</v>
      </c>
      <c r="G27">
        <v>153.03200000000001</v>
      </c>
      <c r="H27">
        <v>153.07499999999999</v>
      </c>
      <c r="I27">
        <v>152.98500000000001</v>
      </c>
      <c r="J27">
        <v>152.90299999999999</v>
      </c>
      <c r="K27">
        <v>153.23500000000001</v>
      </c>
      <c r="L27">
        <v>152.577</v>
      </c>
      <c r="M27">
        <v>152.59800000000001</v>
      </c>
      <c r="N27">
        <v>152.803</v>
      </c>
      <c r="O27" s="16">
        <f t="shared" si="0"/>
        <v>9.7999999999984766E-2</v>
      </c>
      <c r="P27" s="16">
        <f t="shared" si="6"/>
        <v>9.3999999999994088E-2</v>
      </c>
      <c r="Q27" s="16">
        <f t="shared" si="7"/>
        <v>3.9999999999906777E-3</v>
      </c>
      <c r="R27" s="16">
        <f t="shared" si="8"/>
        <v>9.7999999999984766E-2</v>
      </c>
      <c r="S27" s="16">
        <f t="shared" si="43"/>
        <v>0.11879440123407506</v>
      </c>
      <c r="T27">
        <v>0</v>
      </c>
      <c r="U27">
        <v>0</v>
      </c>
      <c r="V27">
        <v>0</v>
      </c>
      <c r="W27">
        <v>0</v>
      </c>
      <c r="Y27" s="9" t="str">
        <f t="shared" si="9"/>
        <v>------</v>
      </c>
      <c r="Z27" s="9" t="str">
        <f t="shared" si="10"/>
        <v>------</v>
      </c>
      <c r="AA27" s="9"/>
      <c r="AB27">
        <v>0</v>
      </c>
      <c r="AD27" t="str">
        <f t="shared" si="1"/>
        <v/>
      </c>
      <c r="AE27">
        <v>0.19369</v>
      </c>
      <c r="AF27">
        <v>0</v>
      </c>
      <c r="AG27">
        <v>153.38057000000001</v>
      </c>
      <c r="AH27">
        <v>153.29872</v>
      </c>
      <c r="AI27">
        <v>153.21686</v>
      </c>
      <c r="AJ27">
        <v>153.13500999999999</v>
      </c>
      <c r="AK27">
        <v>153.05315999999999</v>
      </c>
      <c r="AL27">
        <v>152.92956000000001</v>
      </c>
      <c r="AM27">
        <v>152.84771000000001</v>
      </c>
      <c r="AN27">
        <v>152.76586</v>
      </c>
      <c r="AO27">
        <v>152.68401</v>
      </c>
      <c r="AP27">
        <v>152.60214999999999</v>
      </c>
      <c r="AQ27">
        <v>153.071</v>
      </c>
      <c r="AR27">
        <v>153.01300000000001</v>
      </c>
      <c r="AS27">
        <f t="shared" si="26"/>
        <v>23</v>
      </c>
      <c r="AT27">
        <v>153.071</v>
      </c>
      <c r="AU27">
        <v>153.196</v>
      </c>
      <c r="AV27">
        <v>153.11799999999999</v>
      </c>
      <c r="AW27">
        <v>153.02799999999999</v>
      </c>
      <c r="AY27" s="4">
        <f>I27*(1+$AY$2)</f>
        <v>153.00794775000003</v>
      </c>
      <c r="AZ27" s="4">
        <f>I27*(1-$AY$2)</f>
        <v>152.96205225000003</v>
      </c>
      <c r="BA27" s="4">
        <f>J27*(1+$AY$2)</f>
        <v>152.92593545</v>
      </c>
      <c r="BB27" s="4">
        <f>J27*(1-$AY$2)</f>
        <v>152.88006454999999</v>
      </c>
      <c r="BC27" s="4">
        <f>K27*(1+$AY$2)</f>
        <v>153.25798525000002</v>
      </c>
      <c r="BD27" s="4">
        <f>K27*(1-$AY$2)</f>
        <v>153.21201475000001</v>
      </c>
      <c r="BE27" s="4">
        <f>L27*(1+$AY$2)</f>
        <v>152.59988655000001</v>
      </c>
      <c r="BF27" s="4">
        <f>L27*(1-$AY$2)</f>
        <v>152.55411344999999</v>
      </c>
      <c r="BG27" s="4">
        <f>M27*(1+$AY$2)</f>
        <v>152.62088970000002</v>
      </c>
      <c r="BH27" s="4">
        <f>M27*(1-$AY$2)</f>
        <v>152.57511030000001</v>
      </c>
      <c r="BI27" s="4">
        <f>N27*(1+$AY$2)</f>
        <v>152.82592045000001</v>
      </c>
      <c r="BJ27" s="4">
        <f>N27*(1-$AY$2)</f>
        <v>152.78007955000001</v>
      </c>
      <c r="BK27" s="30">
        <f t="shared" si="27"/>
        <v>23</v>
      </c>
      <c r="BL27" s="15" t="str">
        <f t="shared" si="11"/>
        <v>-----</v>
      </c>
      <c r="BM27" s="15" t="str">
        <f t="shared" si="12"/>
        <v>-----</v>
      </c>
      <c r="BN27" s="15" t="str">
        <f t="shared" si="13"/>
        <v>-----</v>
      </c>
      <c r="BO27" s="15" t="str">
        <f t="shared" si="14"/>
        <v>-----</v>
      </c>
      <c r="BP27" s="15" t="str">
        <f t="shared" si="15"/>
        <v>-----</v>
      </c>
      <c r="BQ27" s="15" t="str">
        <f t="shared" si="16"/>
        <v>-----</v>
      </c>
      <c r="BR27" s="22"/>
      <c r="BS27" s="9">
        <f t="shared" si="17"/>
        <v>-2.423265306122455E-3</v>
      </c>
      <c r="BT27" s="9">
        <f>SLOPE(J$5:J$103,$A$5:$A$103)</f>
        <v>-3.7194805194805478E-4</v>
      </c>
      <c r="BU27" s="9">
        <f>SLOPE(K$5:K$103,$A$5:$A$103)</f>
        <v>-1.6402721088435472E-3</v>
      </c>
      <c r="BV27" s="9">
        <f>SLOPE(L$5:L$103,$A$5:$A$103)</f>
        <v>7.6471243042669956E-4</v>
      </c>
      <c r="BW27" s="9">
        <f>SLOPE(M$5:M$103,$A$5:$A$103)</f>
        <v>-2.3081014223875058E-4</v>
      </c>
      <c r="BX27" s="9">
        <f>SLOPE(N$5:N$103,$A$5:$A$103)</f>
        <v>1.5802844774273381E-3</v>
      </c>
      <c r="BY27"/>
      <c r="BZ27" s="9">
        <f t="shared" si="37"/>
        <v>-1.9079214597220278</v>
      </c>
      <c r="CA27" s="9">
        <f t="shared" si="38"/>
        <v>-0.29295343676527091</v>
      </c>
      <c r="CB27" s="9">
        <f t="shared" si="39"/>
        <v>-1.2917022253843653</v>
      </c>
      <c r="CC27" s="9">
        <f t="shared" si="40"/>
        <v>0.60228527619529781</v>
      </c>
      <c r="CD27" s="9">
        <f t="shared" si="41"/>
        <v>-0.18179147971962978</v>
      </c>
      <c r="CE27" s="9">
        <f t="shared" si="42"/>
        <v>1.2444775446344229</v>
      </c>
      <c r="CF27"/>
      <c r="CG27" s="18" t="str" cm="1">
        <f t="array" ref="CG27">_xlfn.IFS(BZ27&gt;3,"Strong + Slope",BZ27&gt;1.5,"Moderate + Slope",BZ27&gt;0.5,"Sideway + Slope",BZ27&gt;=-0.5,"Sideway Flat",BZ27&gt;=-1.5,"Sideway - Slope",BZ27&gt;=-3,"Moderate - Slope",TRUE,"Strong - Slope")</f>
        <v>Moderate - Slope</v>
      </c>
      <c r="CH27" s="18" t="str" cm="1">
        <f t="array" ref="CH27">_xlfn.IFS(CA27&gt;3,"Strong + Slope",CA27&gt;1.5,"Moderate + Slope",CA27&gt;0.5,"Sideway + Slope",CA27&gt;=-0.5,"Sideway Flat",CA27&gt;=-1.5,"Sideway - Slope",CA27&gt;=-3,"Moderate - Slope",TRUE,"Strong - Slope")</f>
        <v>Sideway Flat</v>
      </c>
      <c r="CI27" s="18" t="str" cm="1">
        <f t="array" ref="CI27">_xlfn.IFS(CB27&gt;3,"Strong + Slope",CB27&gt;1.5,"Moderate + Slope",CB27&gt;0.5,"Sideway + Slope",CB27&gt;=-0.5,"Sideway Flat",CB27&gt;=-1.5,"Sideway - Slope",CB27&gt;=-3,"Moderate - Slope",TRUE,"Strong - Slope")</f>
        <v>Sideway - Slope</v>
      </c>
      <c r="CJ27" s="18" t="str" cm="1">
        <f t="array" ref="CJ27">_xlfn.IFS(CC27&gt;3,"Strong + Slope",CC27&gt;1.5,"Moderate + Slope",CC27&gt;0.5,"Sideway + Slope",CC27&gt;=-0.5,"Sideway Flat",CC27&gt;=-1.5,"Sideway - Slope",CC27&gt;=-3,"Moderate - Slope",TRUE,"Strong - Slope")</f>
        <v>Sideway + Slope</v>
      </c>
      <c r="CK27" s="18" t="str" cm="1">
        <f t="array" ref="CK27">_xlfn.IFS(CD27&gt;3,"Strong + Slope",CD27&gt;1.5,"Moderate + Slope",CD27&gt;0.5,"Sideway + Slope",CD27&gt;=-0.5,"Sideway Flat",CD27&gt;=-1.5,"Sideway - Slope",CD27&gt;=-3,"Moderate - Slope",TRUE,"Strong - Slope")</f>
        <v>Sideway Flat</v>
      </c>
      <c r="CL27" s="18" t="str" cm="1">
        <f t="array" ref="CL27">_xlfn.IFS(CE27&gt;3,"Strong + Slope",CE27&gt;1.5,"Moderate + Slope",CE27&gt;0.5,"Sideway + Slope",CE27&gt;=-0.5,"Sideway Flat",CE27&gt;=-1.5,"Sideway - Slope",CE27&gt;=-3,"Moderate - Slope",TRUE,"Strong - Slope")</f>
        <v>Sideway + Slope</v>
      </c>
      <c r="CM27" s="9"/>
      <c r="CN27" s="9">
        <f>RANK(I27,$I27:$N27,0)</f>
        <v>2</v>
      </c>
      <c r="CO27" s="9">
        <f>RANK(J27,$I27:$N27,0)</f>
        <v>3</v>
      </c>
      <c r="CP27" s="9">
        <f>RANK(K27,$I27:$N27,0)</f>
        <v>1</v>
      </c>
      <c r="CQ27" s="9">
        <f>RANK(L27,$I27:$N27,0)</f>
        <v>6</v>
      </c>
      <c r="CR27" s="9">
        <f>RANK(M27,$I27:$N27,0)</f>
        <v>5</v>
      </c>
      <c r="CS27" s="9">
        <f>RANK(N27,$I27:$N27,0)</f>
        <v>4</v>
      </c>
      <c r="CT27" s="9"/>
      <c r="CU27" s="9" t="str">
        <f>IF($H27&gt;I27,"SUP","RES")</f>
        <v>SUP</v>
      </c>
      <c r="CV27" s="9" t="str">
        <f>IF($H27&gt;J27,"SUP","RES")</f>
        <v>SUP</v>
      </c>
      <c r="CW27" s="9" t="str">
        <f>IF($H27&gt;K27,"SUP","RES")</f>
        <v>RES</v>
      </c>
      <c r="CX27" s="9" t="str">
        <f>IF($H27&gt;L27,"SUP","RES")</f>
        <v>SUP</v>
      </c>
      <c r="CY27" s="9" t="str">
        <f>IF($H27&gt;M27,"SUP","RES")</f>
        <v>SUP</v>
      </c>
      <c r="CZ27" s="9" t="str">
        <f>IF($H27&gt;N27,"SUP","RES")</f>
        <v>SUP</v>
      </c>
      <c r="DA27" s="9"/>
      <c r="DB27" s="12">
        <f>(I27-$H27)/$H27</f>
        <v>-5.8794708476220801E-4</v>
      </c>
      <c r="DC27" s="12">
        <f>(J27-$H27)/$H27</f>
        <v>-1.123632206434735E-3</v>
      </c>
      <c r="DD27" s="12">
        <f>(K27-$H27)/$H27</f>
        <v>1.0452392617999349E-3</v>
      </c>
      <c r="DE27" s="12">
        <f>(L27-$H27)/$H27</f>
        <v>-3.2533072023517261E-3</v>
      </c>
      <c r="DF27" s="12">
        <f>(M27-$H27)/$H27</f>
        <v>-3.116119549240408E-3</v>
      </c>
      <c r="DG27" s="12">
        <f>(N27-$H27)/$H27</f>
        <v>-1.776906745059555E-3</v>
      </c>
      <c r="DH27" s="12"/>
      <c r="DI27" s="12">
        <f>((H27-MIN(I27:N27))/(MAX(I27:N27)-MIN(I27:N27)))</f>
        <v>0.75683890577504365</v>
      </c>
      <c r="DJ27" s="13">
        <f t="shared" si="2"/>
        <v>1</v>
      </c>
      <c r="DK27" s="14">
        <f t="shared" si="3"/>
        <v>5</v>
      </c>
      <c r="DL27" s="12">
        <f t="shared" si="18"/>
        <v>1.0452392617999349E-3</v>
      </c>
      <c r="DM27" s="12">
        <f t="shared" si="19"/>
        <v>-5.8794708476220801E-4</v>
      </c>
      <c r="DN27" s="12">
        <f t="shared" si="20"/>
        <v>-1.123632206434735E-3</v>
      </c>
      <c r="DO27" s="12">
        <f t="shared" si="21"/>
        <v>-1.776906745059555E-3</v>
      </c>
      <c r="DP27" s="12">
        <f t="shared" si="22"/>
        <v>-3.116119549240408E-3</v>
      </c>
      <c r="DQ27" s="12">
        <f t="shared" si="23"/>
        <v>-3.2533072023517261E-3</v>
      </c>
      <c r="DR27" s="9"/>
      <c r="DS27" s="9" t="str">
        <f>IF(AQ27&gt;AG27,"Overbought",IF(AQ27&gt;AI27,"Bullish Momentum",IF(AQ27&gt;AK27,"Overprice Setting Up","-----")))</f>
        <v>Overprice Setting Up</v>
      </c>
      <c r="DT27" s="9" t="str">
        <f>IF(AQ27&lt;AP27,"Oversold",IF(AQ27&lt;AN27,"Bearish Momentum",IF(AQ27&lt;AL27,"Underprice Setting Up","-----")))</f>
        <v>-----</v>
      </c>
      <c r="DU27" s="9"/>
      <c r="DV27" s="12" t="str">
        <f>IF(AND(AT27&gt;AU27,AT26&gt;AU26,AT25&gt;AU25,AT24&gt;AU24,AT23&gt;AU23,AT22&gt;AU22,AT21&gt;AU21,AT20&gt;AU20,AT19&gt;AU19,AT18&gt;AU18,AT17&gt;AU17,AT16&gt;AU16),"Bullish",IF(AND(AT27&lt;AU27,AT26&lt;AU26,AT25&lt;AU25,AT24&lt;AU24,AT23&lt;AU23,AT22&lt;AU22,AT21&lt;AU21,AT20&lt;AU20,AT19&lt;AU19,AT18&lt;AU18,AT17&lt;AU17,AT16&lt;AU16),"Bearish","-----"))</f>
        <v>Bearish</v>
      </c>
      <c r="DW27" s="12"/>
      <c r="DX27" s="23">
        <f>(AR27-AT27)/AT27</f>
        <v>-3.7890913366994873E-4</v>
      </c>
      <c r="DY27" s="23">
        <f t="shared" si="4"/>
        <v>0.20589146670782713</v>
      </c>
      <c r="DZ27" s="23" t="str">
        <f>IF(DY27&gt;PERCENTILE($DY$5:$DY$103,90%),"Reverse to Bearish",IF(DY27&gt;=PERCENTILE($DY$5:$DY$103,70%),"-----",IF(DY27&gt;=PERCENTILE($DY$5:$DY$103,30%),"-----",IF(DY27&gt;=PERCENTILE($DY$5:$DY$103,10%),"-----","Reverse to Bullish"))))</f>
        <v>-----</v>
      </c>
      <c r="EA27" s="23" t="str">
        <f>IF(AQ27&gt;AR27,"Bullish","Bearish")</f>
        <v>Bullish</v>
      </c>
      <c r="EB27" s="22" t="str">
        <f>IF(AND(H27&gt;AQ27,H26&lt;AQ26),"TEMA crossover","-----")</f>
        <v>TEMA crossover</v>
      </c>
      <c r="EC27" s="22" t="str">
        <f>IF(AND(H27&lt;AQ27,H26&gt;AQ26),"TEMA crossunder","-----")</f>
        <v>-----</v>
      </c>
      <c r="ED27" s="22"/>
      <c r="EE27" s="24" t="str">
        <f t="shared" si="33"/>
        <v>YES</v>
      </c>
      <c r="EF27" s="24" t="str">
        <f t="shared" si="34"/>
        <v>-----</v>
      </c>
      <c r="EG27" s="24" t="str">
        <f t="shared" si="35"/>
        <v>YES</v>
      </c>
      <c r="EH27" s="24" t="str">
        <f t="shared" si="36"/>
        <v>YES</v>
      </c>
      <c r="EI27" s="25" t="str">
        <f>IF(DV27="Bullish","YES","-----")</f>
        <v>-----</v>
      </c>
      <c r="EJ27" s="25" t="str">
        <f>IF(DZ27="Reverse to Bullish","YES","-----")</f>
        <v>-----</v>
      </c>
      <c r="EK27" s="25" t="str">
        <f>IF(AND(EA27="Bearish",EA26="Bearish",EA25="Bearish",EA24="Bearish"),"YES","-----")</f>
        <v>-----</v>
      </c>
      <c r="EL27" s="25" t="str">
        <f>IF(OR(EC27="TEMA crossover",EC26="TEMA crossover",EC25="TEMA crossover",EC24="TEMA crossover"),"YES","-----")</f>
        <v>-----</v>
      </c>
      <c r="EM27" s="24" t="str">
        <f>IF(AND(EE27="YES",EF27="YES",EG27="YES",EH27="YES"),"Open Sell / Close Buy","-----")</f>
        <v>-----</v>
      </c>
      <c r="EN27" s="25" t="str">
        <f t="shared" si="32"/>
        <v>-----</v>
      </c>
      <c r="EO27" s="23"/>
      <c r="EP27" s="9" t="str">
        <f>IF(AND(H27&gt;AV27,H27&gt;E27),"Bullish Trigger","-----")</f>
        <v>-----</v>
      </c>
      <c r="EQ27" s="9" t="str">
        <f>IF(AND(H27&lt;AW27,H27&lt;E27),"Bearish Trigger","-----")</f>
        <v>-----</v>
      </c>
      <c r="ER27" s="9"/>
      <c r="ES27" s="9" t="str">
        <f>IF(G27&gt;AV27,"Bullish Spike","-----")</f>
        <v>-----</v>
      </c>
      <c r="ET27" s="9" t="str">
        <f>IF(F27&lt;AW27,"Bearish Spike","-----")</f>
        <v>-----</v>
      </c>
      <c r="EU27" s="9"/>
      <c r="EV27" s="20">
        <f t="shared" si="5"/>
        <v>9.0000000000003411E-2</v>
      </c>
      <c r="EW27" s="9">
        <f t="shared" si="24"/>
        <v>0.32778125165269489</v>
      </c>
      <c r="EX27" s="21" t="str">
        <f t="shared" si="25"/>
        <v>-----</v>
      </c>
      <c r="EY27" s="9"/>
    </row>
    <row r="28" spans="1:155" x14ac:dyDescent="0.55000000000000004">
      <c r="A28">
        <v>24</v>
      </c>
      <c r="B28" t="s">
        <v>27</v>
      </c>
      <c r="C28" t="s">
        <v>4</v>
      </c>
      <c r="D28" t="s">
        <v>103</v>
      </c>
      <c r="E28">
        <v>153.07599999999999</v>
      </c>
      <c r="F28">
        <v>153.09700000000001</v>
      </c>
      <c r="G28">
        <v>153.06200000000001</v>
      </c>
      <c r="H28">
        <v>153.072</v>
      </c>
      <c r="I28">
        <v>152.983</v>
      </c>
      <c r="J28">
        <v>152.90299999999999</v>
      </c>
      <c r="K28">
        <v>153.233</v>
      </c>
      <c r="L28">
        <v>152.578</v>
      </c>
      <c r="M28">
        <v>152.59800000000001</v>
      </c>
      <c r="N28">
        <v>152.804</v>
      </c>
      <c r="O28" s="16">
        <f t="shared" si="0"/>
        <v>3.4999999999996589E-2</v>
      </c>
      <c r="P28" s="16">
        <f t="shared" si="6"/>
        <v>2.2000000000019782E-2</v>
      </c>
      <c r="Q28" s="16">
        <f t="shared" si="7"/>
        <v>1.2999999999976808E-2</v>
      </c>
      <c r="R28" s="16">
        <f t="shared" si="8"/>
        <v>3.4999999999996589E-2</v>
      </c>
      <c r="S28" s="16">
        <f t="shared" si="43"/>
        <v>0.11280908686021231</v>
      </c>
      <c r="T28">
        <v>0</v>
      </c>
      <c r="U28">
        <v>0</v>
      </c>
      <c r="V28">
        <v>0</v>
      </c>
      <c r="W28">
        <v>0</v>
      </c>
      <c r="Y28" s="9" t="str">
        <f t="shared" si="9"/>
        <v>------</v>
      </c>
      <c r="Z28" s="9" t="str">
        <f t="shared" si="10"/>
        <v>------</v>
      </c>
      <c r="AA28" s="9"/>
      <c r="AB28">
        <v>0</v>
      </c>
      <c r="AD28" t="str">
        <f t="shared" si="1"/>
        <v/>
      </c>
      <c r="AE28">
        <v>1.01817</v>
      </c>
      <c r="AF28">
        <v>3</v>
      </c>
      <c r="AG28">
        <v>153.37817999999999</v>
      </c>
      <c r="AH28">
        <v>153.29649000000001</v>
      </c>
      <c r="AI28">
        <v>153.21481</v>
      </c>
      <c r="AJ28">
        <v>153.13311999999999</v>
      </c>
      <c r="AK28">
        <v>153.05144000000001</v>
      </c>
      <c r="AL28">
        <v>152.93084999999999</v>
      </c>
      <c r="AM28">
        <v>152.84916000000001</v>
      </c>
      <c r="AN28">
        <v>152.76748000000001</v>
      </c>
      <c r="AO28">
        <v>152.68579</v>
      </c>
      <c r="AP28">
        <v>152.60410999999999</v>
      </c>
      <c r="AQ28">
        <v>153.08199999999999</v>
      </c>
      <c r="AR28">
        <v>153.024</v>
      </c>
      <c r="AS28">
        <f t="shared" si="26"/>
        <v>24</v>
      </c>
      <c r="AT28">
        <v>153.071</v>
      </c>
      <c r="AU28">
        <v>153.19200000000001</v>
      </c>
      <c r="AV28">
        <v>153.114</v>
      </c>
      <c r="AW28">
        <v>153.054</v>
      </c>
      <c r="AY28" s="4">
        <f>I28*(1+$AY$2)</f>
        <v>153.00594745000001</v>
      </c>
      <c r="AZ28" s="4">
        <f>I28*(1-$AY$2)</f>
        <v>152.96005255</v>
      </c>
      <c r="BA28" s="4">
        <f>J28*(1+$AY$2)</f>
        <v>152.92593545</v>
      </c>
      <c r="BB28" s="4">
        <f>J28*(1-$AY$2)</f>
        <v>152.88006454999999</v>
      </c>
      <c r="BC28" s="4">
        <f>K28*(1+$AY$2)</f>
        <v>153.25598495000003</v>
      </c>
      <c r="BD28" s="4">
        <f>K28*(1-$AY$2)</f>
        <v>153.21001505000001</v>
      </c>
      <c r="BE28" s="4">
        <f>L28*(1+$AY$2)</f>
        <v>152.60088670000002</v>
      </c>
      <c r="BF28" s="4">
        <f>L28*(1-$AY$2)</f>
        <v>152.55511330000002</v>
      </c>
      <c r="BG28" s="4">
        <f>M28*(1+$AY$2)</f>
        <v>152.62088970000002</v>
      </c>
      <c r="BH28" s="4">
        <f>M28*(1-$AY$2)</f>
        <v>152.57511030000001</v>
      </c>
      <c r="BI28" s="4">
        <f>N28*(1+$AY$2)</f>
        <v>152.82692060000002</v>
      </c>
      <c r="BJ28" s="4">
        <f>N28*(1-$AY$2)</f>
        <v>152.78107940000001</v>
      </c>
      <c r="BK28" s="30">
        <f t="shared" si="27"/>
        <v>24</v>
      </c>
      <c r="BL28" s="15" t="str">
        <f t="shared" si="11"/>
        <v>-----</v>
      </c>
      <c r="BM28" s="15" t="str">
        <f t="shared" si="12"/>
        <v>-----</v>
      </c>
      <c r="BN28" s="15" t="str">
        <f t="shared" si="13"/>
        <v>-----</v>
      </c>
      <c r="BO28" s="15" t="str">
        <f t="shared" si="14"/>
        <v>-----</v>
      </c>
      <c r="BP28" s="15" t="str">
        <f t="shared" si="15"/>
        <v>-----</v>
      </c>
      <c r="BQ28" s="15" t="str">
        <f t="shared" si="16"/>
        <v>-----</v>
      </c>
      <c r="BR28" s="22"/>
      <c r="BS28" s="9">
        <f t="shared" si="17"/>
        <v>-2.423265306122455E-3</v>
      </c>
      <c r="BT28" s="9">
        <f>SLOPE(J$5:J$103,$A$5:$A$103)</f>
        <v>-3.7194805194805478E-4</v>
      </c>
      <c r="BU28" s="9">
        <f>SLOPE(K$5:K$103,$A$5:$A$103)</f>
        <v>-1.6402721088435472E-3</v>
      </c>
      <c r="BV28" s="9">
        <f>SLOPE(L$5:L$103,$A$5:$A$103)</f>
        <v>7.6471243042669956E-4</v>
      </c>
      <c r="BW28" s="9">
        <f>SLOPE(M$5:M$103,$A$5:$A$103)</f>
        <v>-2.3081014223875058E-4</v>
      </c>
      <c r="BX28" s="9">
        <f>SLOPE(N$5:N$103,$A$5:$A$103)</f>
        <v>1.5802844774273381E-3</v>
      </c>
      <c r="BY28"/>
      <c r="BZ28" s="9">
        <f t="shared" si="37"/>
        <v>-1.9079214597220278</v>
      </c>
      <c r="CA28" s="9">
        <f t="shared" si="38"/>
        <v>-0.29295343676527091</v>
      </c>
      <c r="CB28" s="9">
        <f t="shared" si="39"/>
        <v>-1.2917022253843653</v>
      </c>
      <c r="CC28" s="9">
        <f t="shared" si="40"/>
        <v>0.60228527619529781</v>
      </c>
      <c r="CD28" s="9">
        <f t="shared" si="41"/>
        <v>-0.18179147971962978</v>
      </c>
      <c r="CE28" s="9">
        <f t="shared" si="42"/>
        <v>1.2444775446344229</v>
      </c>
      <c r="CF28"/>
      <c r="CG28" s="18" t="str" cm="1">
        <f t="array" ref="CG28">_xlfn.IFS(BZ28&gt;3,"Strong + Slope",BZ28&gt;1.5,"Moderate + Slope",BZ28&gt;0.5,"Sideway + Slope",BZ28&gt;=-0.5,"Sideway Flat",BZ28&gt;=-1.5,"Sideway - Slope",BZ28&gt;=-3,"Moderate - Slope",TRUE,"Strong - Slope")</f>
        <v>Moderate - Slope</v>
      </c>
      <c r="CH28" s="18" t="str" cm="1">
        <f t="array" ref="CH28">_xlfn.IFS(CA28&gt;3,"Strong + Slope",CA28&gt;1.5,"Moderate + Slope",CA28&gt;0.5,"Sideway + Slope",CA28&gt;=-0.5,"Sideway Flat",CA28&gt;=-1.5,"Sideway - Slope",CA28&gt;=-3,"Moderate - Slope",TRUE,"Strong - Slope")</f>
        <v>Sideway Flat</v>
      </c>
      <c r="CI28" s="18" t="str" cm="1">
        <f t="array" ref="CI28">_xlfn.IFS(CB28&gt;3,"Strong + Slope",CB28&gt;1.5,"Moderate + Slope",CB28&gt;0.5,"Sideway + Slope",CB28&gt;=-0.5,"Sideway Flat",CB28&gt;=-1.5,"Sideway - Slope",CB28&gt;=-3,"Moderate - Slope",TRUE,"Strong - Slope")</f>
        <v>Sideway - Slope</v>
      </c>
      <c r="CJ28" s="18" t="str" cm="1">
        <f t="array" ref="CJ28">_xlfn.IFS(CC28&gt;3,"Strong + Slope",CC28&gt;1.5,"Moderate + Slope",CC28&gt;0.5,"Sideway + Slope",CC28&gt;=-0.5,"Sideway Flat",CC28&gt;=-1.5,"Sideway - Slope",CC28&gt;=-3,"Moderate - Slope",TRUE,"Strong - Slope")</f>
        <v>Sideway + Slope</v>
      </c>
      <c r="CK28" s="18" t="str" cm="1">
        <f t="array" ref="CK28">_xlfn.IFS(CD28&gt;3,"Strong + Slope",CD28&gt;1.5,"Moderate + Slope",CD28&gt;0.5,"Sideway + Slope",CD28&gt;=-0.5,"Sideway Flat",CD28&gt;=-1.5,"Sideway - Slope",CD28&gt;=-3,"Moderate - Slope",TRUE,"Strong - Slope")</f>
        <v>Sideway Flat</v>
      </c>
      <c r="CL28" s="18" t="str" cm="1">
        <f t="array" ref="CL28">_xlfn.IFS(CE28&gt;3,"Strong + Slope",CE28&gt;1.5,"Moderate + Slope",CE28&gt;0.5,"Sideway + Slope",CE28&gt;=-0.5,"Sideway Flat",CE28&gt;=-1.5,"Sideway - Slope",CE28&gt;=-3,"Moderate - Slope",TRUE,"Strong - Slope")</f>
        <v>Sideway + Slope</v>
      </c>
      <c r="CM28" s="9"/>
      <c r="CN28" s="9">
        <f>RANK(I28,$I28:$N28,0)</f>
        <v>2</v>
      </c>
      <c r="CO28" s="9">
        <f>RANK(J28,$I28:$N28,0)</f>
        <v>3</v>
      </c>
      <c r="CP28" s="9">
        <f>RANK(K28,$I28:$N28,0)</f>
        <v>1</v>
      </c>
      <c r="CQ28" s="9">
        <f>RANK(L28,$I28:$N28,0)</f>
        <v>6</v>
      </c>
      <c r="CR28" s="9">
        <f>RANK(M28,$I28:$N28,0)</f>
        <v>5</v>
      </c>
      <c r="CS28" s="9">
        <f>RANK(N28,$I28:$N28,0)</f>
        <v>4</v>
      </c>
      <c r="CT28" s="9"/>
      <c r="CU28" s="9" t="str">
        <f>IF($H28&gt;I28,"SUP","RES")</f>
        <v>SUP</v>
      </c>
      <c r="CV28" s="9" t="str">
        <f>IF($H28&gt;J28,"SUP","RES")</f>
        <v>SUP</v>
      </c>
      <c r="CW28" s="9" t="str">
        <f>IF($H28&gt;K28,"SUP","RES")</f>
        <v>RES</v>
      </c>
      <c r="CX28" s="9" t="str">
        <f>IF($H28&gt;L28,"SUP","RES")</f>
        <v>SUP</v>
      </c>
      <c r="CY28" s="9" t="str">
        <f>IF($H28&gt;M28,"SUP","RES")</f>
        <v>SUP</v>
      </c>
      <c r="CZ28" s="9" t="str">
        <f>IF($H28&gt;N28,"SUP","RES")</f>
        <v>SUP</v>
      </c>
      <c r="DA28" s="9"/>
      <c r="DB28" s="12">
        <f>(I28-$H28)/$H28</f>
        <v>-5.8142573429496337E-4</v>
      </c>
      <c r="DC28" s="12">
        <f>(J28-$H28)/$H28</f>
        <v>-1.1040556078186156E-3</v>
      </c>
      <c r="DD28" s="12">
        <f>(K28-$H28)/$H28</f>
        <v>1.0517926204661947E-3</v>
      </c>
      <c r="DE28" s="12">
        <f>(L28-$H28)/$H28</f>
        <v>-3.227239469008047E-3</v>
      </c>
      <c r="DF28" s="12">
        <f>(M28-$H28)/$H28</f>
        <v>-3.0965820006270874E-3</v>
      </c>
      <c r="DG28" s="12">
        <f>(N28-$H28)/$H28</f>
        <v>-1.750810076303966E-3</v>
      </c>
      <c r="DH28" s="12"/>
      <c r="DI28" s="12">
        <f>((H28-MIN(I28:N28))/(MAX(I28:N28)-MIN(I28:N28)))</f>
        <v>0.75419847328244105</v>
      </c>
      <c r="DJ28" s="13">
        <f t="shared" si="2"/>
        <v>1</v>
      </c>
      <c r="DK28" s="14">
        <f t="shared" si="3"/>
        <v>5</v>
      </c>
      <c r="DL28" s="12">
        <f t="shared" si="18"/>
        <v>1.0517926204661947E-3</v>
      </c>
      <c r="DM28" s="12">
        <f t="shared" si="19"/>
        <v>-5.8142573429496337E-4</v>
      </c>
      <c r="DN28" s="12">
        <f t="shared" si="20"/>
        <v>-1.1040556078186156E-3</v>
      </c>
      <c r="DO28" s="12">
        <f t="shared" si="21"/>
        <v>-1.750810076303966E-3</v>
      </c>
      <c r="DP28" s="12">
        <f t="shared" si="22"/>
        <v>-3.0965820006270874E-3</v>
      </c>
      <c r="DQ28" s="12">
        <f t="shared" si="23"/>
        <v>-3.227239469008047E-3</v>
      </c>
      <c r="DR28" s="9"/>
      <c r="DS28" s="9" t="str">
        <f>IF(AQ28&gt;AG28,"Overbought",IF(AQ28&gt;AI28,"Bullish Momentum",IF(AQ28&gt;AK28,"Overprice Setting Up","-----")))</f>
        <v>Overprice Setting Up</v>
      </c>
      <c r="DT28" s="9" t="str">
        <f>IF(AQ28&lt;AP28,"Oversold",IF(AQ28&lt;AN28,"Bearish Momentum",IF(AQ28&lt;AL28,"Underprice Setting Up","-----")))</f>
        <v>-----</v>
      </c>
      <c r="DU28" s="9"/>
      <c r="DV28" s="12" t="str">
        <f>IF(AND(AT28&gt;AU28,AT27&gt;AU27,AT26&gt;AU26,AT25&gt;AU25,AT24&gt;AU24,AT23&gt;AU23,AT22&gt;AU22,AT21&gt;AU21,AT20&gt;AU20,AT19&gt;AU19,AT18&gt;AU18,AT17&gt;AU17),"Bullish",IF(AND(AT28&lt;AU28,AT27&lt;AU27,AT26&lt;AU26,AT25&lt;AU25,AT24&lt;AU24,AT23&lt;AU23,AT22&lt;AU22,AT21&lt;AU21,AT20&lt;AU20,AT19&lt;AU19,AT18&lt;AU18,AT17&lt;AU17),"Bearish","-----"))</f>
        <v>Bearish</v>
      </c>
      <c r="DW28" s="12"/>
      <c r="DX28" s="23">
        <f>(AR28-AT28)/AT28</f>
        <v>-3.0704705659463286E-4</v>
      </c>
      <c r="DY28" s="23">
        <f t="shared" si="4"/>
        <v>0.41314548966441245</v>
      </c>
      <c r="DZ28" s="23" t="str">
        <f>IF(DY28&gt;PERCENTILE($DY$5:$DY$103,90%),"Reverse to Bearish",IF(DY28&gt;=PERCENTILE($DY$5:$DY$103,70%),"-----",IF(DY28&gt;=PERCENTILE($DY$5:$DY$103,30%),"-----",IF(DY28&gt;=PERCENTILE($DY$5:$DY$103,10%),"-----","Reverse to Bullish"))))</f>
        <v>-----</v>
      </c>
      <c r="EA28" s="23" t="str">
        <f>IF(AQ28&gt;AR28,"Bullish","Bearish")</f>
        <v>Bullish</v>
      </c>
      <c r="EB28" s="22" t="str">
        <f>IF(AND(H28&gt;AQ28,H27&lt;AQ27),"TEMA crossover","-----")</f>
        <v>-----</v>
      </c>
      <c r="EC28" s="22" t="str">
        <f>IF(AND(H28&lt;AQ28,H27&gt;AQ27),"TEMA crossunder","-----")</f>
        <v>TEMA crossunder</v>
      </c>
      <c r="ED28" s="22"/>
      <c r="EE28" s="24" t="str">
        <f t="shared" si="33"/>
        <v>YES</v>
      </c>
      <c r="EF28" s="24" t="str">
        <f t="shared" si="34"/>
        <v>-----</v>
      </c>
      <c r="EG28" s="24" t="str">
        <f t="shared" si="35"/>
        <v>YES</v>
      </c>
      <c r="EH28" s="24" t="str">
        <f t="shared" si="36"/>
        <v>YES</v>
      </c>
      <c r="EI28" s="25" t="str">
        <f>IF(DV28="Bullish","YES","-----")</f>
        <v>-----</v>
      </c>
      <c r="EJ28" s="25" t="str">
        <f>IF(DZ28="Reverse to Bullish","YES","-----")</f>
        <v>-----</v>
      </c>
      <c r="EK28" s="25" t="str">
        <f>IF(AND(EA28="Bearish",EA27="Bearish",EA26="Bearish",EA25="Bearish"),"YES","-----")</f>
        <v>-----</v>
      </c>
      <c r="EL28" s="25" t="str">
        <f>IF(OR(EC28="TEMA crossover",EC27="TEMA crossover",EC26="TEMA crossover",EC25="TEMA crossover"),"YES","-----")</f>
        <v>-----</v>
      </c>
      <c r="EM28" s="24" t="str">
        <f>IF(AND(EE28="YES",EF28="YES",EG28="YES",EH28="YES"),"Open Sell / Close Buy","-----")</f>
        <v>-----</v>
      </c>
      <c r="EN28" s="25" t="str">
        <f t="shared" si="32"/>
        <v>-----</v>
      </c>
      <c r="EO28" s="23"/>
      <c r="EP28" s="9" t="str">
        <f>IF(AND(H28&gt;AV28,H28&gt;E28),"Bullish Trigger","-----")</f>
        <v>-----</v>
      </c>
      <c r="EQ28" s="9" t="str">
        <f>IF(AND(H28&lt;AW28,H28&lt;E28),"Bearish Trigger","-----")</f>
        <v>-----</v>
      </c>
      <c r="ER28" s="9"/>
      <c r="ES28" s="9" t="str">
        <f>IF(G28&gt;AV28,"Bullish Spike","-----")</f>
        <v>-----</v>
      </c>
      <c r="ET28" s="9" t="str">
        <f>IF(F28&lt;AW28,"Bearish Spike","-----")</f>
        <v>-----</v>
      </c>
      <c r="EU28" s="9"/>
      <c r="EV28" s="20">
        <f t="shared" si="5"/>
        <v>6.0000000000002274E-2</v>
      </c>
      <c r="EW28" s="9">
        <f t="shared" si="24"/>
        <v>-0.36363232605217127</v>
      </c>
      <c r="EX28" s="21" t="str">
        <f t="shared" si="25"/>
        <v>-----</v>
      </c>
      <c r="EY28" s="9"/>
    </row>
    <row r="29" spans="1:155" x14ac:dyDescent="0.55000000000000004">
      <c r="A29">
        <v>25</v>
      </c>
      <c r="B29" t="s">
        <v>28</v>
      </c>
      <c r="C29" t="s">
        <v>4</v>
      </c>
      <c r="D29" t="s">
        <v>103</v>
      </c>
      <c r="E29">
        <v>153.072</v>
      </c>
      <c r="F29">
        <v>153.07400000000001</v>
      </c>
      <c r="G29">
        <v>152.946</v>
      </c>
      <c r="H29">
        <v>152.95099999999999</v>
      </c>
      <c r="I29">
        <v>152.97999999999999</v>
      </c>
      <c r="J29">
        <v>152.90199999999999</v>
      </c>
      <c r="K29">
        <v>153.232</v>
      </c>
      <c r="L29">
        <v>152.578</v>
      </c>
      <c r="M29">
        <v>152.59700000000001</v>
      </c>
      <c r="N29">
        <v>152.80600000000001</v>
      </c>
      <c r="O29" s="16">
        <f t="shared" si="0"/>
        <v>0.12800000000001432</v>
      </c>
      <c r="P29" s="16">
        <f t="shared" si="6"/>
        <v>2.0000000000095497E-3</v>
      </c>
      <c r="Q29" s="16">
        <f t="shared" si="7"/>
        <v>0.12600000000000477</v>
      </c>
      <c r="R29" s="16">
        <f t="shared" si="8"/>
        <v>0.12800000000001432</v>
      </c>
      <c r="S29" s="16">
        <f t="shared" si="43"/>
        <v>0.11389415208448388</v>
      </c>
      <c r="T29">
        <v>0</v>
      </c>
      <c r="U29">
        <v>0</v>
      </c>
      <c r="V29">
        <v>0</v>
      </c>
      <c r="W29">
        <v>0</v>
      </c>
      <c r="Y29" s="9" t="str">
        <f t="shared" si="9"/>
        <v>------</v>
      </c>
      <c r="Z29" s="9" t="str">
        <f t="shared" si="10"/>
        <v>------</v>
      </c>
      <c r="AA29" s="9"/>
      <c r="AB29">
        <v>0</v>
      </c>
      <c r="AD29" t="str">
        <f t="shared" si="1"/>
        <v/>
      </c>
      <c r="AE29">
        <v>1.6609799999999999</v>
      </c>
      <c r="AF29">
        <v>4</v>
      </c>
      <c r="AG29">
        <v>153.37835000000001</v>
      </c>
      <c r="AH29">
        <v>153.29613000000001</v>
      </c>
      <c r="AI29">
        <v>153.21391</v>
      </c>
      <c r="AJ29">
        <v>153.1317</v>
      </c>
      <c r="AK29">
        <v>153.04947999999999</v>
      </c>
      <c r="AL29">
        <v>152.93064000000001</v>
      </c>
      <c r="AM29">
        <v>152.84842</v>
      </c>
      <c r="AN29">
        <v>152.76621</v>
      </c>
      <c r="AO29">
        <v>152.68398999999999</v>
      </c>
      <c r="AP29">
        <v>152.60177999999999</v>
      </c>
      <c r="AQ29">
        <v>153.04499999999999</v>
      </c>
      <c r="AR29">
        <v>153.02500000000001</v>
      </c>
      <c r="AS29">
        <f t="shared" si="26"/>
        <v>25</v>
      </c>
      <c r="AT29">
        <v>153.065</v>
      </c>
      <c r="AU29">
        <v>153.18799999999999</v>
      </c>
      <c r="AV29">
        <v>153.09899999999999</v>
      </c>
      <c r="AW29">
        <v>153.012</v>
      </c>
      <c r="AY29" s="4">
        <f>I29*(1+$AY$2)</f>
        <v>153.00294700000001</v>
      </c>
      <c r="AZ29" s="4">
        <f>I29*(1-$AY$2)</f>
        <v>152.957053</v>
      </c>
      <c r="BA29" s="4">
        <f>J29*(1+$AY$2)</f>
        <v>152.92493529999999</v>
      </c>
      <c r="BB29" s="4">
        <f>J29*(1-$AY$2)</f>
        <v>152.87906469999999</v>
      </c>
      <c r="BC29" s="4">
        <f>K29*(1+$AY$2)</f>
        <v>153.25498480000002</v>
      </c>
      <c r="BD29" s="4">
        <f>K29*(1-$AY$2)</f>
        <v>153.20901520000001</v>
      </c>
      <c r="BE29" s="4">
        <f>L29*(1+$AY$2)</f>
        <v>152.60088670000002</v>
      </c>
      <c r="BF29" s="4">
        <f>L29*(1-$AY$2)</f>
        <v>152.55511330000002</v>
      </c>
      <c r="BG29" s="4">
        <f>M29*(1+$AY$2)</f>
        <v>152.61988955000001</v>
      </c>
      <c r="BH29" s="4">
        <f>M29*(1-$AY$2)</f>
        <v>152.57411045000001</v>
      </c>
      <c r="BI29" s="4">
        <f>N29*(1+$AY$2)</f>
        <v>152.82892090000001</v>
      </c>
      <c r="BJ29" s="4">
        <f>N29*(1-$AY$2)</f>
        <v>152.78307910000001</v>
      </c>
      <c r="BK29" s="30">
        <f t="shared" si="27"/>
        <v>25</v>
      </c>
      <c r="BL29" s="15" t="str">
        <f t="shared" si="11"/>
        <v>TOUCH</v>
      </c>
      <c r="BM29" s="15" t="str">
        <f t="shared" si="12"/>
        <v>-----</v>
      </c>
      <c r="BN29" s="15" t="str">
        <f t="shared" si="13"/>
        <v>-----</v>
      </c>
      <c r="BO29" s="15" t="str">
        <f t="shared" si="14"/>
        <v>-----</v>
      </c>
      <c r="BP29" s="15" t="str">
        <f t="shared" si="15"/>
        <v>-----</v>
      </c>
      <c r="BQ29" s="15" t="str">
        <f t="shared" si="16"/>
        <v>-----</v>
      </c>
      <c r="BR29" s="22"/>
      <c r="BS29" s="9">
        <f t="shared" si="17"/>
        <v>-2.423265306122455E-3</v>
      </c>
      <c r="BT29" s="9">
        <f>SLOPE(J$5:J$103,$A$5:$A$103)</f>
        <v>-3.7194805194805478E-4</v>
      </c>
      <c r="BU29" s="9">
        <f>SLOPE(K$5:K$103,$A$5:$A$103)</f>
        <v>-1.6402721088435472E-3</v>
      </c>
      <c r="BV29" s="9">
        <f>SLOPE(L$5:L$103,$A$5:$A$103)</f>
        <v>7.6471243042669956E-4</v>
      </c>
      <c r="BW29" s="9">
        <f>SLOPE(M$5:M$103,$A$5:$A$103)</f>
        <v>-2.3081014223875058E-4</v>
      </c>
      <c r="BX29" s="9">
        <f>SLOPE(N$5:N$103,$A$5:$A$103)</f>
        <v>1.5802844774273381E-3</v>
      </c>
      <c r="BY29"/>
      <c r="BZ29" s="9">
        <f t="shared" si="37"/>
        <v>-1.9079214597220278</v>
      </c>
      <c r="CA29" s="9">
        <f t="shared" si="38"/>
        <v>-0.29295343676527091</v>
      </c>
      <c r="CB29" s="9">
        <f t="shared" si="39"/>
        <v>-1.2917022253843653</v>
      </c>
      <c r="CC29" s="9">
        <f t="shared" si="40"/>
        <v>0.60228527619529781</v>
      </c>
      <c r="CD29" s="9">
        <f t="shared" si="41"/>
        <v>-0.18179147971962978</v>
      </c>
      <c r="CE29" s="9">
        <f t="shared" si="42"/>
        <v>1.2444775446344229</v>
      </c>
      <c r="CF29"/>
      <c r="CG29" s="18" t="str" cm="1">
        <f t="array" ref="CG29">_xlfn.IFS(BZ29&gt;3,"Strong + Slope",BZ29&gt;1.5,"Moderate + Slope",BZ29&gt;0.5,"Sideway + Slope",BZ29&gt;=-0.5,"Sideway Flat",BZ29&gt;=-1.5,"Sideway - Slope",BZ29&gt;=-3,"Moderate - Slope",TRUE,"Strong - Slope")</f>
        <v>Moderate - Slope</v>
      </c>
      <c r="CH29" s="18" t="str" cm="1">
        <f t="array" ref="CH29">_xlfn.IFS(CA29&gt;3,"Strong + Slope",CA29&gt;1.5,"Moderate + Slope",CA29&gt;0.5,"Sideway + Slope",CA29&gt;=-0.5,"Sideway Flat",CA29&gt;=-1.5,"Sideway - Slope",CA29&gt;=-3,"Moderate - Slope",TRUE,"Strong - Slope")</f>
        <v>Sideway Flat</v>
      </c>
      <c r="CI29" s="18" t="str" cm="1">
        <f t="array" ref="CI29">_xlfn.IFS(CB29&gt;3,"Strong + Slope",CB29&gt;1.5,"Moderate + Slope",CB29&gt;0.5,"Sideway + Slope",CB29&gt;=-0.5,"Sideway Flat",CB29&gt;=-1.5,"Sideway - Slope",CB29&gt;=-3,"Moderate - Slope",TRUE,"Strong - Slope")</f>
        <v>Sideway - Slope</v>
      </c>
      <c r="CJ29" s="18" t="str" cm="1">
        <f t="array" ref="CJ29">_xlfn.IFS(CC29&gt;3,"Strong + Slope",CC29&gt;1.5,"Moderate + Slope",CC29&gt;0.5,"Sideway + Slope",CC29&gt;=-0.5,"Sideway Flat",CC29&gt;=-1.5,"Sideway - Slope",CC29&gt;=-3,"Moderate - Slope",TRUE,"Strong - Slope")</f>
        <v>Sideway + Slope</v>
      </c>
      <c r="CK29" s="18" t="str" cm="1">
        <f t="array" ref="CK29">_xlfn.IFS(CD29&gt;3,"Strong + Slope",CD29&gt;1.5,"Moderate + Slope",CD29&gt;0.5,"Sideway + Slope",CD29&gt;=-0.5,"Sideway Flat",CD29&gt;=-1.5,"Sideway - Slope",CD29&gt;=-3,"Moderate - Slope",TRUE,"Strong - Slope")</f>
        <v>Sideway Flat</v>
      </c>
      <c r="CL29" s="18" t="str" cm="1">
        <f t="array" ref="CL29">_xlfn.IFS(CE29&gt;3,"Strong + Slope",CE29&gt;1.5,"Moderate + Slope",CE29&gt;0.5,"Sideway + Slope",CE29&gt;=-0.5,"Sideway Flat",CE29&gt;=-1.5,"Sideway - Slope",CE29&gt;=-3,"Moderate - Slope",TRUE,"Strong - Slope")</f>
        <v>Sideway + Slope</v>
      </c>
      <c r="CM29" s="9"/>
      <c r="CN29" s="9">
        <f>RANK(I29,$I29:$N29,0)</f>
        <v>2</v>
      </c>
      <c r="CO29" s="9">
        <f>RANK(J29,$I29:$N29,0)</f>
        <v>3</v>
      </c>
      <c r="CP29" s="9">
        <f>RANK(K29,$I29:$N29,0)</f>
        <v>1</v>
      </c>
      <c r="CQ29" s="9">
        <f>RANK(L29,$I29:$N29,0)</f>
        <v>6</v>
      </c>
      <c r="CR29" s="9">
        <f>RANK(M29,$I29:$N29,0)</f>
        <v>5</v>
      </c>
      <c r="CS29" s="9">
        <f>RANK(N29,$I29:$N29,0)</f>
        <v>4</v>
      </c>
      <c r="CT29" s="9"/>
      <c r="CU29" s="9" t="str">
        <f>IF($H29&gt;I29,"SUP","RES")</f>
        <v>RES</v>
      </c>
      <c r="CV29" s="9" t="str">
        <f>IF($H29&gt;J29,"SUP","RES")</f>
        <v>SUP</v>
      </c>
      <c r="CW29" s="9" t="str">
        <f>IF($H29&gt;K29,"SUP","RES")</f>
        <v>RES</v>
      </c>
      <c r="CX29" s="9" t="str">
        <f>IF($H29&gt;L29,"SUP","RES")</f>
        <v>SUP</v>
      </c>
      <c r="CY29" s="9" t="str">
        <f>IF($H29&gt;M29,"SUP","RES")</f>
        <v>SUP</v>
      </c>
      <c r="CZ29" s="9" t="str">
        <f>IF($H29&gt;N29,"SUP","RES")</f>
        <v>SUP</v>
      </c>
      <c r="DA29" s="9"/>
      <c r="DB29" s="12">
        <f>(I29-$H29)/$H29</f>
        <v>1.8960320625557441E-4</v>
      </c>
      <c r="DC29" s="12">
        <f>(J29-$H29)/$H29</f>
        <v>-3.2036403815605385E-4</v>
      </c>
      <c r="DD29" s="12">
        <f>(K29-$H29)/$H29</f>
        <v>1.837189688200835E-3</v>
      </c>
      <c r="DE29" s="12">
        <f>(L29-$H29)/$H29</f>
        <v>-2.4386895149426319E-3</v>
      </c>
      <c r="DF29" s="12">
        <f>(M29-$H29)/$H29</f>
        <v>-2.3144667246372042E-3</v>
      </c>
      <c r="DG29" s="12">
        <f>(N29-$H29)/$H29</f>
        <v>-9.480160312778721E-4</v>
      </c>
      <c r="DH29" s="12"/>
      <c r="DI29" s="12">
        <f>((H29-MIN(I29:N29))/(MAX(I29:N29)-MIN(I29:N29)))</f>
        <v>0.57033639143729742</v>
      </c>
      <c r="DJ29" s="13">
        <f t="shared" si="2"/>
        <v>2</v>
      </c>
      <c r="DK29" s="14">
        <f t="shared" si="3"/>
        <v>4</v>
      </c>
      <c r="DL29" s="12">
        <f t="shared" si="18"/>
        <v>1.837189688200835E-3</v>
      </c>
      <c r="DM29" s="12">
        <f t="shared" si="19"/>
        <v>1.8960320625557441E-4</v>
      </c>
      <c r="DN29" s="12">
        <f t="shared" si="20"/>
        <v>-3.2036403815605385E-4</v>
      </c>
      <c r="DO29" s="12">
        <f t="shared" si="21"/>
        <v>-9.480160312778721E-4</v>
      </c>
      <c r="DP29" s="12">
        <f t="shared" si="22"/>
        <v>-2.3144667246372042E-3</v>
      </c>
      <c r="DQ29" s="12">
        <f t="shared" si="23"/>
        <v>-2.4386895149426319E-3</v>
      </c>
      <c r="DR29" s="9"/>
      <c r="DS29" s="9" t="str">
        <f>IF(AQ29&gt;AG29,"Overbought",IF(AQ29&gt;AI29,"Bullish Momentum",IF(AQ29&gt;AK29,"Overprice Setting Up","-----")))</f>
        <v>-----</v>
      </c>
      <c r="DT29" s="9" t="str">
        <f>IF(AQ29&lt;AP29,"Oversold",IF(AQ29&lt;AN29,"Bearish Momentum",IF(AQ29&lt;AL29,"Underprice Setting Up","-----")))</f>
        <v>-----</v>
      </c>
      <c r="DU29" s="9"/>
      <c r="DV29" s="12" t="str">
        <f>IF(AND(AT29&gt;AU29,AT28&gt;AU28,AT27&gt;AU27,AT26&gt;AU26,AT25&gt;AU25,AT24&gt;AU24,AT23&gt;AU23,AT22&gt;AU22,AT21&gt;AU21,AT20&gt;AU20,AT19&gt;AU19,AT18&gt;AU18),"Bullish",IF(AND(AT29&lt;AU29,AT28&lt;AU28,AT27&lt;AU27,AT26&lt;AU26,AT25&lt;AU25,AT24&lt;AU24,AT23&lt;AU23,AT22&lt;AU22,AT21&lt;AU21,AT20&lt;AU20,AT19&lt;AU19,AT18&lt;AU18),"Bearish","-----"))</f>
        <v>Bearish</v>
      </c>
      <c r="DW29" s="12"/>
      <c r="DX29" s="23">
        <f>(AR29-AT29)/AT29</f>
        <v>-2.6132688727006204E-4</v>
      </c>
      <c r="DY29" s="23">
        <f t="shared" si="4"/>
        <v>0.54500487097400729</v>
      </c>
      <c r="DZ29" s="23" t="str">
        <f>IF(DY29&gt;PERCENTILE($DY$5:$DY$103,90%),"Reverse to Bearish",IF(DY29&gt;=PERCENTILE($DY$5:$DY$103,70%),"-----",IF(DY29&gt;=PERCENTILE($DY$5:$DY$103,30%),"-----",IF(DY29&gt;=PERCENTILE($DY$5:$DY$103,10%),"-----","Reverse to Bullish"))))</f>
        <v>-----</v>
      </c>
      <c r="EA29" s="23" t="str">
        <f>IF(AQ29&gt;AR29,"Bullish","Bearish")</f>
        <v>Bullish</v>
      </c>
      <c r="EB29" s="22" t="str">
        <f>IF(AND(H29&gt;AQ29,H28&lt;AQ28),"TEMA crossover","-----")</f>
        <v>-----</v>
      </c>
      <c r="EC29" s="22" t="str">
        <f>IF(AND(H29&lt;AQ29,H28&gt;AQ28),"TEMA crossunder","-----")</f>
        <v>-----</v>
      </c>
      <c r="ED29" s="22"/>
      <c r="EE29" s="24" t="str">
        <f t="shared" si="33"/>
        <v>YES</v>
      </c>
      <c r="EF29" s="24" t="str">
        <f t="shared" si="34"/>
        <v>-----</v>
      </c>
      <c r="EG29" s="24" t="str">
        <f t="shared" si="35"/>
        <v>YES</v>
      </c>
      <c r="EH29" s="24" t="str">
        <f t="shared" si="36"/>
        <v>YES</v>
      </c>
      <c r="EI29" s="25" t="str">
        <f>IF(DV29="Bullish","YES","-----")</f>
        <v>-----</v>
      </c>
      <c r="EJ29" s="25" t="str">
        <f>IF(DZ29="Reverse to Bullish","YES","-----")</f>
        <v>-----</v>
      </c>
      <c r="EK29" s="25" t="str">
        <f>IF(AND(EA29="Bearish",EA28="Bearish",EA27="Bearish",EA26="Bearish"),"YES","-----")</f>
        <v>-----</v>
      </c>
      <c r="EL29" s="25" t="str">
        <f>IF(OR(EC29="TEMA crossover",EC28="TEMA crossover",EC27="TEMA crossover",EC26="TEMA crossover"),"YES","-----")</f>
        <v>-----</v>
      </c>
      <c r="EM29" s="24" t="str">
        <f>IF(AND(EE29="YES",EF29="YES",EG29="YES",EH29="YES"),"Open Sell / Close Buy","-----")</f>
        <v>-----</v>
      </c>
      <c r="EN29" s="25" t="str">
        <f t="shared" si="32"/>
        <v>-----</v>
      </c>
      <c r="EO29" s="23"/>
      <c r="EP29" s="9" t="str">
        <f>IF(AND(H29&gt;AV29,H29&gt;E29),"Bullish Trigger","-----")</f>
        <v>-----</v>
      </c>
      <c r="EQ29" s="9" t="str">
        <f>IF(AND(H29&lt;AW29,H29&lt;E29),"Bearish Trigger","-----")</f>
        <v>Bearish Trigger</v>
      </c>
      <c r="ER29" s="9"/>
      <c r="ES29" s="9" t="str">
        <f>IF(G29&gt;AV29,"Bullish Spike","-----")</f>
        <v>-----</v>
      </c>
      <c r="ET29" s="9" t="str">
        <f>IF(F29&lt;AW29,"Bearish Spike","-----")</f>
        <v>-----</v>
      </c>
      <c r="EU29" s="9"/>
      <c r="EV29" s="20">
        <f t="shared" si="5"/>
        <v>8.6999999999989086E-2</v>
      </c>
      <c r="EW29" s="9">
        <f t="shared" si="24"/>
        <v>0.25863989388188074</v>
      </c>
      <c r="EX29" s="21" t="str">
        <f t="shared" si="25"/>
        <v>-----</v>
      </c>
      <c r="EY29" s="9"/>
    </row>
    <row r="30" spans="1:155" x14ac:dyDescent="0.55000000000000004">
      <c r="A30">
        <v>26</v>
      </c>
      <c r="B30" t="s">
        <v>29</v>
      </c>
      <c r="C30" t="s">
        <v>4</v>
      </c>
      <c r="D30" t="s">
        <v>103</v>
      </c>
      <c r="E30">
        <v>152.952</v>
      </c>
      <c r="F30">
        <v>152.96899999999999</v>
      </c>
      <c r="G30">
        <v>152.916</v>
      </c>
      <c r="H30">
        <v>152.94800000000001</v>
      </c>
      <c r="I30">
        <v>152.97800000000001</v>
      </c>
      <c r="J30">
        <v>152.90199999999999</v>
      </c>
      <c r="K30">
        <v>153.22999999999999</v>
      </c>
      <c r="L30">
        <v>152.57900000000001</v>
      </c>
      <c r="M30">
        <v>152.59700000000001</v>
      </c>
      <c r="N30">
        <v>152.80799999999999</v>
      </c>
      <c r="O30" s="16">
        <f t="shared" si="0"/>
        <v>5.2999999999997272E-2</v>
      </c>
      <c r="P30" s="16">
        <f t="shared" si="6"/>
        <v>1.8000000000000682E-2</v>
      </c>
      <c r="Q30" s="16">
        <f t="shared" si="7"/>
        <v>3.4999999999996589E-2</v>
      </c>
      <c r="R30" s="16">
        <f t="shared" si="8"/>
        <v>5.2999999999997272E-2</v>
      </c>
      <c r="S30" s="16">
        <f t="shared" si="43"/>
        <v>0.10954456979273483</v>
      </c>
      <c r="T30">
        <v>0</v>
      </c>
      <c r="U30">
        <v>0</v>
      </c>
      <c r="V30">
        <v>0</v>
      </c>
      <c r="W30">
        <v>0</v>
      </c>
      <c r="Y30" s="9" t="str">
        <f t="shared" si="9"/>
        <v>------</v>
      </c>
      <c r="Z30" s="9" t="str">
        <f t="shared" si="10"/>
        <v>------</v>
      </c>
      <c r="AA30" s="9"/>
      <c r="AB30">
        <v>0</v>
      </c>
      <c r="AD30" t="str">
        <f t="shared" si="1"/>
        <v/>
      </c>
      <c r="AE30">
        <v>1.0133799999999999</v>
      </c>
      <c r="AF30">
        <v>3</v>
      </c>
      <c r="AG30">
        <v>153.37248</v>
      </c>
      <c r="AH30">
        <v>153.29055</v>
      </c>
      <c r="AI30">
        <v>153.20862</v>
      </c>
      <c r="AJ30">
        <v>153.12669</v>
      </c>
      <c r="AK30">
        <v>153.04476</v>
      </c>
      <c r="AL30">
        <v>152.92867000000001</v>
      </c>
      <c r="AM30">
        <v>152.84674000000001</v>
      </c>
      <c r="AN30">
        <v>152.76481000000001</v>
      </c>
      <c r="AO30">
        <v>152.68287000000001</v>
      </c>
      <c r="AP30">
        <v>152.60094000000001</v>
      </c>
      <c r="AQ30">
        <v>152.99799999999999</v>
      </c>
      <c r="AR30">
        <v>153.01599999999999</v>
      </c>
      <c r="AS30">
        <f t="shared" si="26"/>
        <v>26</v>
      </c>
      <c r="AT30">
        <v>153.05600000000001</v>
      </c>
      <c r="AU30">
        <v>153.18199999999999</v>
      </c>
      <c r="AV30">
        <v>153.03800000000001</v>
      </c>
      <c r="AW30">
        <v>152.97</v>
      </c>
      <c r="AY30" s="4">
        <f>I30*(1+$AY$2)</f>
        <v>153.00094670000001</v>
      </c>
      <c r="AZ30" s="4">
        <f>I30*(1-$AY$2)</f>
        <v>152.9550533</v>
      </c>
      <c r="BA30" s="4">
        <f>J30*(1+$AY$2)</f>
        <v>152.92493529999999</v>
      </c>
      <c r="BB30" s="4">
        <f>J30*(1-$AY$2)</f>
        <v>152.87906469999999</v>
      </c>
      <c r="BC30" s="4">
        <f>K30*(1+$AY$2)</f>
        <v>153.2529845</v>
      </c>
      <c r="BD30" s="4">
        <f>K30*(1-$AY$2)</f>
        <v>153.20701549999998</v>
      </c>
      <c r="BE30" s="4">
        <f>L30*(1+$AY$2)</f>
        <v>152.60188685000003</v>
      </c>
      <c r="BF30" s="4">
        <f>L30*(1-$AY$2)</f>
        <v>152.55611315000002</v>
      </c>
      <c r="BG30" s="4">
        <f>M30*(1+$AY$2)</f>
        <v>152.61988955000001</v>
      </c>
      <c r="BH30" s="4">
        <f>M30*(1-$AY$2)</f>
        <v>152.57411045000001</v>
      </c>
      <c r="BI30" s="4">
        <f>N30*(1+$AY$2)</f>
        <v>152.83092120000001</v>
      </c>
      <c r="BJ30" s="4">
        <f>N30*(1-$AY$2)</f>
        <v>152.78507880000001</v>
      </c>
      <c r="BK30" s="30">
        <f t="shared" si="27"/>
        <v>26</v>
      </c>
      <c r="BL30" s="15" t="str">
        <f t="shared" si="11"/>
        <v>-----</v>
      </c>
      <c r="BM30" s="15" t="str">
        <f t="shared" si="12"/>
        <v>-----</v>
      </c>
      <c r="BN30" s="15" t="str">
        <f t="shared" si="13"/>
        <v>-----</v>
      </c>
      <c r="BO30" s="15" t="str">
        <f t="shared" si="14"/>
        <v>-----</v>
      </c>
      <c r="BP30" s="15" t="str">
        <f t="shared" si="15"/>
        <v>-----</v>
      </c>
      <c r="BQ30" s="15" t="str">
        <f t="shared" si="16"/>
        <v>-----</v>
      </c>
      <c r="BR30" s="22"/>
      <c r="BS30" s="9">
        <f t="shared" si="17"/>
        <v>-2.423265306122455E-3</v>
      </c>
      <c r="BT30" s="9">
        <f>SLOPE(J$5:J$103,$A$5:$A$103)</f>
        <v>-3.7194805194805478E-4</v>
      </c>
      <c r="BU30" s="9">
        <f>SLOPE(K$5:K$103,$A$5:$A$103)</f>
        <v>-1.6402721088435472E-3</v>
      </c>
      <c r="BV30" s="9">
        <f>SLOPE(L$5:L$103,$A$5:$A$103)</f>
        <v>7.6471243042669956E-4</v>
      </c>
      <c r="BW30" s="9">
        <f>SLOPE(M$5:M$103,$A$5:$A$103)</f>
        <v>-2.3081014223875058E-4</v>
      </c>
      <c r="BX30" s="9">
        <f>SLOPE(N$5:N$103,$A$5:$A$103)</f>
        <v>1.5802844774273381E-3</v>
      </c>
      <c r="BY30"/>
      <c r="BZ30" s="9">
        <f t="shared" si="37"/>
        <v>-1.9079214597220278</v>
      </c>
      <c r="CA30" s="9">
        <f t="shared" si="38"/>
        <v>-0.29295343676527091</v>
      </c>
      <c r="CB30" s="9">
        <f t="shared" si="39"/>
        <v>-1.2917022253843653</v>
      </c>
      <c r="CC30" s="9">
        <f t="shared" si="40"/>
        <v>0.60228527619529781</v>
      </c>
      <c r="CD30" s="9">
        <f t="shared" si="41"/>
        <v>-0.18179147971962978</v>
      </c>
      <c r="CE30" s="9">
        <f t="shared" si="42"/>
        <v>1.2444775446344229</v>
      </c>
      <c r="CF30"/>
      <c r="CG30" s="18" t="str" cm="1">
        <f t="array" ref="CG30">_xlfn.IFS(BZ30&gt;3,"Strong + Slope",BZ30&gt;1.5,"Moderate + Slope",BZ30&gt;0.5,"Sideway + Slope",BZ30&gt;=-0.5,"Sideway Flat",BZ30&gt;=-1.5,"Sideway - Slope",BZ30&gt;=-3,"Moderate - Slope",TRUE,"Strong - Slope")</f>
        <v>Moderate - Slope</v>
      </c>
      <c r="CH30" s="18" t="str" cm="1">
        <f t="array" ref="CH30">_xlfn.IFS(CA30&gt;3,"Strong + Slope",CA30&gt;1.5,"Moderate + Slope",CA30&gt;0.5,"Sideway + Slope",CA30&gt;=-0.5,"Sideway Flat",CA30&gt;=-1.5,"Sideway - Slope",CA30&gt;=-3,"Moderate - Slope",TRUE,"Strong - Slope")</f>
        <v>Sideway Flat</v>
      </c>
      <c r="CI30" s="18" t="str" cm="1">
        <f t="array" ref="CI30">_xlfn.IFS(CB30&gt;3,"Strong + Slope",CB30&gt;1.5,"Moderate + Slope",CB30&gt;0.5,"Sideway + Slope",CB30&gt;=-0.5,"Sideway Flat",CB30&gt;=-1.5,"Sideway - Slope",CB30&gt;=-3,"Moderate - Slope",TRUE,"Strong - Slope")</f>
        <v>Sideway - Slope</v>
      </c>
      <c r="CJ30" s="18" t="str" cm="1">
        <f t="array" ref="CJ30">_xlfn.IFS(CC30&gt;3,"Strong + Slope",CC30&gt;1.5,"Moderate + Slope",CC30&gt;0.5,"Sideway + Slope",CC30&gt;=-0.5,"Sideway Flat",CC30&gt;=-1.5,"Sideway - Slope",CC30&gt;=-3,"Moderate - Slope",TRUE,"Strong - Slope")</f>
        <v>Sideway + Slope</v>
      </c>
      <c r="CK30" s="18" t="str" cm="1">
        <f t="array" ref="CK30">_xlfn.IFS(CD30&gt;3,"Strong + Slope",CD30&gt;1.5,"Moderate + Slope",CD30&gt;0.5,"Sideway + Slope",CD30&gt;=-0.5,"Sideway Flat",CD30&gt;=-1.5,"Sideway - Slope",CD30&gt;=-3,"Moderate - Slope",TRUE,"Strong - Slope")</f>
        <v>Sideway Flat</v>
      </c>
      <c r="CL30" s="18" t="str" cm="1">
        <f t="array" ref="CL30">_xlfn.IFS(CE30&gt;3,"Strong + Slope",CE30&gt;1.5,"Moderate + Slope",CE30&gt;0.5,"Sideway + Slope",CE30&gt;=-0.5,"Sideway Flat",CE30&gt;=-1.5,"Sideway - Slope",CE30&gt;=-3,"Moderate - Slope",TRUE,"Strong - Slope")</f>
        <v>Sideway + Slope</v>
      </c>
      <c r="CM30" s="9"/>
      <c r="CN30" s="9">
        <f>RANK(I30,$I30:$N30,0)</f>
        <v>2</v>
      </c>
      <c r="CO30" s="9">
        <f>RANK(J30,$I30:$N30,0)</f>
        <v>3</v>
      </c>
      <c r="CP30" s="9">
        <f>RANK(K30,$I30:$N30,0)</f>
        <v>1</v>
      </c>
      <c r="CQ30" s="9">
        <f>RANK(L30,$I30:$N30,0)</f>
        <v>6</v>
      </c>
      <c r="CR30" s="9">
        <f>RANK(M30,$I30:$N30,0)</f>
        <v>5</v>
      </c>
      <c r="CS30" s="9">
        <f>RANK(N30,$I30:$N30,0)</f>
        <v>4</v>
      </c>
      <c r="CT30" s="9"/>
      <c r="CU30" s="9" t="str">
        <f>IF($H30&gt;I30,"SUP","RES")</f>
        <v>RES</v>
      </c>
      <c r="CV30" s="9" t="str">
        <f>IF($H30&gt;J30,"SUP","RES")</f>
        <v>SUP</v>
      </c>
      <c r="CW30" s="9" t="str">
        <f>IF($H30&gt;K30,"SUP","RES")</f>
        <v>RES</v>
      </c>
      <c r="CX30" s="9" t="str">
        <f>IF($H30&gt;L30,"SUP","RES")</f>
        <v>SUP</v>
      </c>
      <c r="CY30" s="9" t="str">
        <f>IF($H30&gt;M30,"SUP","RES")</f>
        <v>SUP</v>
      </c>
      <c r="CZ30" s="9" t="str">
        <f>IF($H30&gt;N30,"SUP","RES")</f>
        <v>SUP</v>
      </c>
      <c r="DA30" s="9"/>
      <c r="DB30" s="12">
        <f>(I30-$H30)/$H30</f>
        <v>1.9614509506499684E-4</v>
      </c>
      <c r="DC30" s="12">
        <f>(J30-$H30)/$H30</f>
        <v>-3.0075581243311903E-4</v>
      </c>
      <c r="DD30" s="12">
        <f>(K30-$H30)/$H30</f>
        <v>1.8437638936107843E-3</v>
      </c>
      <c r="DE30" s="12">
        <f>(L30-$H30)/$H30</f>
        <v>-2.4125846692993683E-3</v>
      </c>
      <c r="DF30" s="12">
        <f>(M30-$H30)/$H30</f>
        <v>-2.2948976122603702E-3</v>
      </c>
      <c r="DG30" s="12">
        <f>(N30-$H30)/$H30</f>
        <v>-9.1534377697004711E-4</v>
      </c>
      <c r="DH30" s="12"/>
      <c r="DI30" s="12">
        <f>((H30-MIN(I30:N30))/(MAX(I30:N30)-MIN(I30:N30)))</f>
        <v>0.56682027649771116</v>
      </c>
      <c r="DJ30" s="13">
        <f t="shared" si="2"/>
        <v>2</v>
      </c>
      <c r="DK30" s="14">
        <f t="shared" si="3"/>
        <v>4</v>
      </c>
      <c r="DL30" s="12">
        <f t="shared" si="18"/>
        <v>1.8437638936107843E-3</v>
      </c>
      <c r="DM30" s="12">
        <f t="shared" si="19"/>
        <v>1.9614509506499684E-4</v>
      </c>
      <c r="DN30" s="12">
        <f t="shared" si="20"/>
        <v>-3.0075581243311903E-4</v>
      </c>
      <c r="DO30" s="12">
        <f t="shared" si="21"/>
        <v>-9.1534377697004711E-4</v>
      </c>
      <c r="DP30" s="12">
        <f t="shared" si="22"/>
        <v>-2.2948976122603702E-3</v>
      </c>
      <c r="DQ30" s="12">
        <f t="shared" si="23"/>
        <v>-2.4125846692993683E-3</v>
      </c>
      <c r="DR30" s="9"/>
      <c r="DS30" s="9" t="str">
        <f>IF(AQ30&gt;AG30,"Overbought",IF(AQ30&gt;AI30,"Bullish Momentum",IF(AQ30&gt;AK30,"Overprice Setting Up","-----")))</f>
        <v>-----</v>
      </c>
      <c r="DT30" s="9" t="str">
        <f>IF(AQ30&lt;AP30,"Oversold",IF(AQ30&lt;AN30,"Bearish Momentum",IF(AQ30&lt;AL30,"Underprice Setting Up","-----")))</f>
        <v>-----</v>
      </c>
      <c r="DU30" s="9"/>
      <c r="DV30" s="12" t="str">
        <f>IF(AND(AT30&gt;AU30,AT29&gt;AU29,AT28&gt;AU28,AT27&gt;AU27,AT26&gt;AU26,AT25&gt;AU25,AT24&gt;AU24,AT23&gt;AU23,AT22&gt;AU22,AT21&gt;AU21,AT20&gt;AU20,AT19&gt;AU19),"Bullish",IF(AND(AT30&lt;AU30,AT29&lt;AU29,AT28&lt;AU28,AT27&lt;AU27,AT26&lt;AU26,AT25&lt;AU25,AT24&lt;AU24,AT23&lt;AU23,AT22&lt;AU22,AT21&lt;AU21,AT20&lt;AU20,AT19&lt;AU19),"Bearish","-----"))</f>
        <v>Bearish</v>
      </c>
      <c r="DW30" s="12"/>
      <c r="DX30" s="23">
        <f>(AR30-AT30)/AT30</f>
        <v>-2.6134225381573061E-4</v>
      </c>
      <c r="DY30" s="23">
        <f t="shared" si="4"/>
        <v>0.54496055304529756</v>
      </c>
      <c r="DZ30" s="23" t="str">
        <f>IF(DY30&gt;PERCENTILE($DY$5:$DY$103,90%),"Reverse to Bearish",IF(DY30&gt;=PERCENTILE($DY$5:$DY$103,70%),"-----",IF(DY30&gt;=PERCENTILE($DY$5:$DY$103,30%),"-----",IF(DY30&gt;=PERCENTILE($DY$5:$DY$103,10%),"-----","Reverse to Bullish"))))</f>
        <v>-----</v>
      </c>
      <c r="EA30" s="23" t="str">
        <f>IF(AQ30&gt;AR30,"Bullish","Bearish")</f>
        <v>Bearish</v>
      </c>
      <c r="EB30" s="22" t="str">
        <f>IF(AND(H30&gt;AQ30,H29&lt;AQ29),"TEMA crossover","-----")</f>
        <v>-----</v>
      </c>
      <c r="EC30" s="22" t="str">
        <f>IF(AND(H30&lt;AQ30,H29&gt;AQ29),"TEMA crossunder","-----")</f>
        <v>-----</v>
      </c>
      <c r="ED30" s="22"/>
      <c r="EE30" s="24" t="str">
        <f t="shared" si="33"/>
        <v>YES</v>
      </c>
      <c r="EF30" s="24" t="str">
        <f t="shared" si="34"/>
        <v>-----</v>
      </c>
      <c r="EG30" s="24" t="str">
        <f t="shared" si="35"/>
        <v>-----</v>
      </c>
      <c r="EH30" s="24" t="str">
        <f t="shared" si="36"/>
        <v>YES</v>
      </c>
      <c r="EI30" s="25" t="str">
        <f>IF(DV30="Bullish","YES","-----")</f>
        <v>-----</v>
      </c>
      <c r="EJ30" s="25" t="str">
        <f>IF(DZ30="Reverse to Bullish","YES","-----")</f>
        <v>-----</v>
      </c>
      <c r="EK30" s="25" t="str">
        <f>IF(AND(EA30="Bearish",EA29="Bearish",EA28="Bearish",EA27="Bearish"),"YES","-----")</f>
        <v>-----</v>
      </c>
      <c r="EL30" s="25" t="str">
        <f>IF(OR(EC30="TEMA crossover",EC29="TEMA crossover",EC28="TEMA crossover",EC27="TEMA crossover"),"YES","-----")</f>
        <v>-----</v>
      </c>
      <c r="EM30" s="24" t="str">
        <f>IF(AND(EE30="YES",EF30="YES",EG30="YES",EH30="YES"),"Open Sell / Close Buy","-----")</f>
        <v>-----</v>
      </c>
      <c r="EN30" s="25" t="str">
        <f t="shared" si="32"/>
        <v>-----</v>
      </c>
      <c r="EO30" s="23"/>
      <c r="EP30" s="9" t="str">
        <f>IF(AND(H30&gt;AV30,H30&gt;E30),"Bullish Trigger","-----")</f>
        <v>-----</v>
      </c>
      <c r="EQ30" s="9" t="str">
        <f>IF(AND(H30&lt;AW30,H30&lt;E30),"Bearish Trigger","-----")</f>
        <v>Bearish Trigger</v>
      </c>
      <c r="ER30" s="9"/>
      <c r="ES30" s="9" t="str">
        <f>IF(G30&gt;AV30,"Bullish Spike","-----")</f>
        <v>-----</v>
      </c>
      <c r="ET30" s="9" t="str">
        <f>IF(F30&lt;AW30,"Bearish Spike","-----")</f>
        <v>Bearish Spike</v>
      </c>
      <c r="EU30" s="9"/>
      <c r="EV30" s="20">
        <f t="shared" si="5"/>
        <v>6.8000000000012051E-2</v>
      </c>
      <c r="EW30" s="9">
        <f t="shared" si="24"/>
        <v>-0.17925537199732197</v>
      </c>
      <c r="EX30" s="21" t="str">
        <f t="shared" si="25"/>
        <v>-----</v>
      </c>
      <c r="EY30" s="9"/>
    </row>
    <row r="31" spans="1:155" x14ac:dyDescent="0.55000000000000004">
      <c r="A31">
        <v>27</v>
      </c>
      <c r="B31" t="s">
        <v>30</v>
      </c>
      <c r="C31" t="s">
        <v>4</v>
      </c>
      <c r="D31" t="s">
        <v>103</v>
      </c>
      <c r="E31">
        <v>152.94499999999999</v>
      </c>
      <c r="F31">
        <v>153.13200000000001</v>
      </c>
      <c r="G31">
        <v>152.90700000000001</v>
      </c>
      <c r="H31">
        <v>153.006</v>
      </c>
      <c r="I31">
        <v>152.97499999999999</v>
      </c>
      <c r="J31">
        <v>152.90100000000001</v>
      </c>
      <c r="K31">
        <v>153.22800000000001</v>
      </c>
      <c r="L31">
        <v>152.58000000000001</v>
      </c>
      <c r="M31">
        <v>152.59700000000001</v>
      </c>
      <c r="N31">
        <v>152.809</v>
      </c>
      <c r="O31" s="16">
        <f t="shared" si="0"/>
        <v>0.22499999999999432</v>
      </c>
      <c r="P31" s="16">
        <f t="shared" si="6"/>
        <v>0.1839999999999975</v>
      </c>
      <c r="Q31" s="16">
        <f t="shared" si="7"/>
        <v>4.0999999999996817E-2</v>
      </c>
      <c r="R31" s="16">
        <f t="shared" si="8"/>
        <v>0.22499999999999432</v>
      </c>
      <c r="S31" s="16">
        <f t="shared" si="43"/>
        <v>0.1177913862361105</v>
      </c>
      <c r="T31">
        <v>0</v>
      </c>
      <c r="U31">
        <v>0</v>
      </c>
      <c r="V31">
        <v>0</v>
      </c>
      <c r="W31">
        <v>152.90700000000001</v>
      </c>
      <c r="Y31" s="9" t="str">
        <f t="shared" si="9"/>
        <v>------</v>
      </c>
      <c r="Z31" s="9" t="str">
        <f t="shared" si="10"/>
        <v>------</v>
      </c>
      <c r="AA31" s="9"/>
      <c r="AB31">
        <v>0</v>
      </c>
      <c r="AD31" t="str">
        <f t="shared" si="1"/>
        <v/>
      </c>
      <c r="AE31">
        <v>0.29479</v>
      </c>
      <c r="AF31">
        <v>0</v>
      </c>
      <c r="AG31">
        <v>153.37241</v>
      </c>
      <c r="AH31">
        <v>153.28989999999999</v>
      </c>
      <c r="AI31">
        <v>153.20740000000001</v>
      </c>
      <c r="AJ31">
        <v>153.12488999999999</v>
      </c>
      <c r="AK31">
        <v>153.04238000000001</v>
      </c>
      <c r="AL31">
        <v>152.92532</v>
      </c>
      <c r="AM31">
        <v>152.84280999999999</v>
      </c>
      <c r="AN31">
        <v>152.76031</v>
      </c>
      <c r="AO31">
        <v>152.67779999999999</v>
      </c>
      <c r="AP31">
        <v>152.59529000000001</v>
      </c>
      <c r="AQ31">
        <v>153.00299999999999</v>
      </c>
      <c r="AR31">
        <v>153.011</v>
      </c>
      <c r="AS31">
        <f t="shared" si="26"/>
        <v>27</v>
      </c>
      <c r="AT31">
        <v>153.053</v>
      </c>
      <c r="AU31">
        <v>153.17599999999999</v>
      </c>
      <c r="AV31">
        <v>153.07900000000001</v>
      </c>
      <c r="AW31">
        <v>152.93799999999999</v>
      </c>
      <c r="AY31" s="4">
        <f>I31*(1+$AY$2)</f>
        <v>152.99794625000001</v>
      </c>
      <c r="AZ31" s="4">
        <f>I31*(1-$AY$2)</f>
        <v>152.95205375</v>
      </c>
      <c r="BA31" s="4">
        <f>J31*(1+$AY$2)</f>
        <v>152.92393515000003</v>
      </c>
      <c r="BB31" s="4">
        <f>J31*(1-$AY$2)</f>
        <v>152.87806485000002</v>
      </c>
      <c r="BC31" s="4">
        <f>K31*(1+$AY$2)</f>
        <v>153.25098420000003</v>
      </c>
      <c r="BD31" s="4">
        <f>K31*(1-$AY$2)</f>
        <v>153.20501580000001</v>
      </c>
      <c r="BE31" s="4">
        <f>L31*(1+$AY$2)</f>
        <v>152.60288700000004</v>
      </c>
      <c r="BF31" s="4">
        <f>L31*(1-$AY$2)</f>
        <v>152.55711300000002</v>
      </c>
      <c r="BG31" s="4">
        <f>M31*(1+$AY$2)</f>
        <v>152.61988955000001</v>
      </c>
      <c r="BH31" s="4">
        <f>M31*(1-$AY$2)</f>
        <v>152.57411045000001</v>
      </c>
      <c r="BI31" s="4">
        <f>N31*(1+$AY$2)</f>
        <v>152.83192135000002</v>
      </c>
      <c r="BJ31" s="4">
        <f>N31*(1-$AY$2)</f>
        <v>152.78607865000001</v>
      </c>
      <c r="BK31" s="30">
        <f t="shared" si="27"/>
        <v>27</v>
      </c>
      <c r="BL31" s="15" t="str">
        <f t="shared" si="11"/>
        <v>TOUCH</v>
      </c>
      <c r="BM31" s="15" t="str">
        <f t="shared" si="12"/>
        <v>-----</v>
      </c>
      <c r="BN31" s="15" t="str">
        <f t="shared" si="13"/>
        <v>-----</v>
      </c>
      <c r="BO31" s="15" t="str">
        <f t="shared" si="14"/>
        <v>-----</v>
      </c>
      <c r="BP31" s="15" t="str">
        <f t="shared" si="15"/>
        <v>-----</v>
      </c>
      <c r="BQ31" s="15" t="str">
        <f t="shared" si="16"/>
        <v>-----</v>
      </c>
      <c r="BR31" s="22"/>
      <c r="BS31" s="9">
        <f t="shared" si="17"/>
        <v>-2.423265306122455E-3</v>
      </c>
      <c r="BT31" s="9">
        <f>SLOPE(J$5:J$103,$A$5:$A$103)</f>
        <v>-3.7194805194805478E-4</v>
      </c>
      <c r="BU31" s="9">
        <f>SLOPE(K$5:K$103,$A$5:$A$103)</f>
        <v>-1.6402721088435472E-3</v>
      </c>
      <c r="BV31" s="9">
        <f>SLOPE(L$5:L$103,$A$5:$A$103)</f>
        <v>7.6471243042669956E-4</v>
      </c>
      <c r="BW31" s="9">
        <f>SLOPE(M$5:M$103,$A$5:$A$103)</f>
        <v>-2.3081014223875058E-4</v>
      </c>
      <c r="BX31" s="9">
        <f>SLOPE(N$5:N$103,$A$5:$A$103)</f>
        <v>1.5802844774273381E-3</v>
      </c>
      <c r="BY31"/>
      <c r="BZ31" s="9">
        <f t="shared" si="37"/>
        <v>-1.9079214597220278</v>
      </c>
      <c r="CA31" s="9">
        <f t="shared" si="38"/>
        <v>-0.29295343676527091</v>
      </c>
      <c r="CB31" s="9">
        <f t="shared" si="39"/>
        <v>-1.2917022253843653</v>
      </c>
      <c r="CC31" s="9">
        <f t="shared" si="40"/>
        <v>0.60228527619529781</v>
      </c>
      <c r="CD31" s="9">
        <f t="shared" si="41"/>
        <v>-0.18179147971962978</v>
      </c>
      <c r="CE31" s="9">
        <f t="shared" si="42"/>
        <v>1.2444775446344229</v>
      </c>
      <c r="CF31"/>
      <c r="CG31" s="18" t="str" cm="1">
        <f t="array" ref="CG31">_xlfn.IFS(BZ31&gt;3,"Strong + Slope",BZ31&gt;1.5,"Moderate + Slope",BZ31&gt;0.5,"Sideway + Slope",BZ31&gt;=-0.5,"Sideway Flat",BZ31&gt;=-1.5,"Sideway - Slope",BZ31&gt;=-3,"Moderate - Slope",TRUE,"Strong - Slope")</f>
        <v>Moderate - Slope</v>
      </c>
      <c r="CH31" s="18" t="str" cm="1">
        <f t="array" ref="CH31">_xlfn.IFS(CA31&gt;3,"Strong + Slope",CA31&gt;1.5,"Moderate + Slope",CA31&gt;0.5,"Sideway + Slope",CA31&gt;=-0.5,"Sideway Flat",CA31&gt;=-1.5,"Sideway - Slope",CA31&gt;=-3,"Moderate - Slope",TRUE,"Strong - Slope")</f>
        <v>Sideway Flat</v>
      </c>
      <c r="CI31" s="18" t="str" cm="1">
        <f t="array" ref="CI31">_xlfn.IFS(CB31&gt;3,"Strong + Slope",CB31&gt;1.5,"Moderate + Slope",CB31&gt;0.5,"Sideway + Slope",CB31&gt;=-0.5,"Sideway Flat",CB31&gt;=-1.5,"Sideway - Slope",CB31&gt;=-3,"Moderate - Slope",TRUE,"Strong - Slope")</f>
        <v>Sideway - Slope</v>
      </c>
      <c r="CJ31" s="18" t="str" cm="1">
        <f t="array" ref="CJ31">_xlfn.IFS(CC31&gt;3,"Strong + Slope",CC31&gt;1.5,"Moderate + Slope",CC31&gt;0.5,"Sideway + Slope",CC31&gt;=-0.5,"Sideway Flat",CC31&gt;=-1.5,"Sideway - Slope",CC31&gt;=-3,"Moderate - Slope",TRUE,"Strong - Slope")</f>
        <v>Sideway + Slope</v>
      </c>
      <c r="CK31" s="18" t="str" cm="1">
        <f t="array" ref="CK31">_xlfn.IFS(CD31&gt;3,"Strong + Slope",CD31&gt;1.5,"Moderate + Slope",CD31&gt;0.5,"Sideway + Slope",CD31&gt;=-0.5,"Sideway Flat",CD31&gt;=-1.5,"Sideway - Slope",CD31&gt;=-3,"Moderate - Slope",TRUE,"Strong - Slope")</f>
        <v>Sideway Flat</v>
      </c>
      <c r="CL31" s="18" t="str" cm="1">
        <f t="array" ref="CL31">_xlfn.IFS(CE31&gt;3,"Strong + Slope",CE31&gt;1.5,"Moderate + Slope",CE31&gt;0.5,"Sideway + Slope",CE31&gt;=-0.5,"Sideway Flat",CE31&gt;=-1.5,"Sideway - Slope",CE31&gt;=-3,"Moderate - Slope",TRUE,"Strong - Slope")</f>
        <v>Sideway + Slope</v>
      </c>
      <c r="CM31" s="9"/>
      <c r="CN31" s="9">
        <f>RANK(I31,$I31:$N31,0)</f>
        <v>2</v>
      </c>
      <c r="CO31" s="9">
        <f>RANK(J31,$I31:$N31,0)</f>
        <v>3</v>
      </c>
      <c r="CP31" s="9">
        <f>RANK(K31,$I31:$N31,0)</f>
        <v>1</v>
      </c>
      <c r="CQ31" s="9">
        <f>RANK(L31,$I31:$N31,0)</f>
        <v>6</v>
      </c>
      <c r="CR31" s="9">
        <f>RANK(M31,$I31:$N31,0)</f>
        <v>5</v>
      </c>
      <c r="CS31" s="9">
        <f>RANK(N31,$I31:$N31,0)</f>
        <v>4</v>
      </c>
      <c r="CT31" s="9"/>
      <c r="CU31" s="9" t="str">
        <f>IF($H31&gt;I31,"SUP","RES")</f>
        <v>SUP</v>
      </c>
      <c r="CV31" s="9" t="str">
        <f>IF($H31&gt;J31,"SUP","RES")</f>
        <v>SUP</v>
      </c>
      <c r="CW31" s="9" t="str">
        <f>IF($H31&gt;K31,"SUP","RES")</f>
        <v>RES</v>
      </c>
      <c r="CX31" s="9" t="str">
        <f>IF($H31&gt;L31,"SUP","RES")</f>
        <v>SUP</v>
      </c>
      <c r="CY31" s="9" t="str">
        <f>IF($H31&gt;M31,"SUP","RES")</f>
        <v>SUP</v>
      </c>
      <c r="CZ31" s="9" t="str">
        <f>IF($H31&gt;N31,"SUP","RES")</f>
        <v>SUP</v>
      </c>
      <c r="DA31" s="9"/>
      <c r="DB31" s="12">
        <f>(I31-$H31)/$H31</f>
        <v>-2.0260643373466342E-4</v>
      </c>
      <c r="DC31" s="12">
        <f>(J31-$H31)/$H31</f>
        <v>-6.862475981333397E-4</v>
      </c>
      <c r="DD31" s="12">
        <f>(K31-$H31)/$H31</f>
        <v>1.4509234931964002E-3</v>
      </c>
      <c r="DE31" s="12">
        <f>(L31-$H31)/$H31</f>
        <v>-2.7842045409983119E-3</v>
      </c>
      <c r="DF31" s="12">
        <f>(M31-$H31)/$H31</f>
        <v>-2.673097787014835E-3</v>
      </c>
      <c r="DG31" s="12">
        <f>(N31-$H31)/$H31</f>
        <v>-1.2875312079265043E-3</v>
      </c>
      <c r="DH31" s="12"/>
      <c r="DI31" s="12">
        <f>((H31-MIN(I31:N31))/(MAX(I31:N31)-MIN(I31:N31)))</f>
        <v>0.65740740740739234</v>
      </c>
      <c r="DJ31" s="13">
        <f t="shared" si="2"/>
        <v>1</v>
      </c>
      <c r="DK31" s="14">
        <f t="shared" si="3"/>
        <v>5</v>
      </c>
      <c r="DL31" s="12">
        <f t="shared" si="18"/>
        <v>1.4509234931964002E-3</v>
      </c>
      <c r="DM31" s="12">
        <f t="shared" si="19"/>
        <v>-2.0260643373466342E-4</v>
      </c>
      <c r="DN31" s="12">
        <f t="shared" si="20"/>
        <v>-6.862475981333397E-4</v>
      </c>
      <c r="DO31" s="12">
        <f t="shared" si="21"/>
        <v>-1.2875312079265043E-3</v>
      </c>
      <c r="DP31" s="12">
        <f t="shared" si="22"/>
        <v>-2.673097787014835E-3</v>
      </c>
      <c r="DQ31" s="12">
        <f t="shared" si="23"/>
        <v>-2.7842045409983119E-3</v>
      </c>
      <c r="DR31" s="9"/>
      <c r="DS31" s="9" t="str">
        <f>IF(AQ31&gt;AG31,"Overbought",IF(AQ31&gt;AI31,"Bullish Momentum",IF(AQ31&gt;AK31,"Overprice Setting Up","-----")))</f>
        <v>-----</v>
      </c>
      <c r="DT31" s="9" t="str">
        <f>IF(AQ31&lt;AP31,"Oversold",IF(AQ31&lt;AN31,"Bearish Momentum",IF(AQ31&lt;AL31,"Underprice Setting Up","-----")))</f>
        <v>-----</v>
      </c>
      <c r="DU31" s="9"/>
      <c r="DV31" s="12" t="str">
        <f>IF(AND(AT31&gt;AU31,AT30&gt;AU30,AT29&gt;AU29,AT28&gt;AU28,AT27&gt;AU27,AT26&gt;AU26,AT25&gt;AU25,AT24&gt;AU24,AT23&gt;AU23,AT22&gt;AU22,AT21&gt;AU21,AT20&gt;AU20),"Bullish",IF(AND(AT31&lt;AU31,AT30&lt;AU30,AT29&lt;AU29,AT28&lt;AU28,AT27&lt;AU27,AT26&lt;AU26,AT25&lt;AU25,AT24&lt;AU24,AT23&lt;AU23,AT22&lt;AU22,AT21&lt;AU21,AT20&lt;AU20),"Bearish","-----"))</f>
        <v>Bearish</v>
      </c>
      <c r="DW31" s="12"/>
      <c r="DX31" s="23">
        <f>(AR31-AT31)/AT31</f>
        <v>-2.7441474521898684E-4</v>
      </c>
      <c r="DY31" s="23">
        <f t="shared" si="4"/>
        <v>0.50725879791023942</v>
      </c>
      <c r="DZ31" s="23" t="str">
        <f>IF(DY31&gt;PERCENTILE($DY$5:$DY$103,90%),"Reverse to Bearish",IF(DY31&gt;=PERCENTILE($DY$5:$DY$103,70%),"-----",IF(DY31&gt;=PERCENTILE($DY$5:$DY$103,30%),"-----",IF(DY31&gt;=PERCENTILE($DY$5:$DY$103,10%),"-----","Reverse to Bullish"))))</f>
        <v>-----</v>
      </c>
      <c r="EA31" s="23" t="str">
        <f>IF(AQ31&gt;AR31,"Bullish","Bearish")</f>
        <v>Bearish</v>
      </c>
      <c r="EB31" s="22" t="str">
        <f>IF(AND(H31&gt;AQ31,H30&lt;AQ30),"TEMA crossover","-----")</f>
        <v>TEMA crossover</v>
      </c>
      <c r="EC31" s="22" t="str">
        <f>IF(AND(H31&lt;AQ31,H30&gt;AQ30),"TEMA crossunder","-----")</f>
        <v>-----</v>
      </c>
      <c r="ED31" s="22"/>
      <c r="EE31" s="24" t="str">
        <f t="shared" si="33"/>
        <v>YES</v>
      </c>
      <c r="EF31" s="24" t="str">
        <f t="shared" si="34"/>
        <v>-----</v>
      </c>
      <c r="EG31" s="24" t="str">
        <f t="shared" si="35"/>
        <v>-----</v>
      </c>
      <c r="EH31" s="24" t="str">
        <f t="shared" si="36"/>
        <v>YES</v>
      </c>
      <c r="EI31" s="25" t="str">
        <f>IF(DV31="Bullish","YES","-----")</f>
        <v>-----</v>
      </c>
      <c r="EJ31" s="25" t="str">
        <f>IF(DZ31="Reverse to Bullish","YES","-----")</f>
        <v>-----</v>
      </c>
      <c r="EK31" s="25" t="str">
        <f>IF(AND(EA31="Bearish",EA30="Bearish",EA29="Bearish",EA28="Bearish"),"YES","-----")</f>
        <v>-----</v>
      </c>
      <c r="EL31" s="25" t="str">
        <f>IF(OR(EC31="TEMA crossover",EC30="TEMA crossover",EC29="TEMA crossover",EC28="TEMA crossover"),"YES","-----")</f>
        <v>-----</v>
      </c>
      <c r="EM31" s="24" t="str">
        <f>IF(AND(EE31="YES",EF31="YES",EG31="YES",EH31="YES"),"Open Sell / Close Buy","-----")</f>
        <v>-----</v>
      </c>
      <c r="EN31" s="25" t="str">
        <f t="shared" si="32"/>
        <v>-----</v>
      </c>
      <c r="EO31" s="23"/>
      <c r="EP31" s="9" t="str">
        <f>IF(AND(H31&gt;AV31,H31&gt;E31),"Bullish Trigger","-----")</f>
        <v>-----</v>
      </c>
      <c r="EQ31" s="9" t="str">
        <f>IF(AND(H31&lt;AW31,H31&lt;E31),"Bearish Trigger","-----")</f>
        <v>-----</v>
      </c>
      <c r="ER31" s="9"/>
      <c r="ES31" s="9" t="str">
        <f>IF(G31&gt;AV31,"Bullish Spike","-----")</f>
        <v>-----</v>
      </c>
      <c r="ET31" s="9" t="str">
        <f>IF(F31&lt;AW31,"Bearish Spike","-----")</f>
        <v>-----</v>
      </c>
      <c r="EU31" s="9"/>
      <c r="EV31" s="20">
        <f t="shared" si="5"/>
        <v>0.14100000000001955</v>
      </c>
      <c r="EW31" s="9">
        <f t="shared" si="24"/>
        <v>1.5031843337512949</v>
      </c>
      <c r="EX31" s="21" t="str">
        <f t="shared" si="25"/>
        <v>Consolidation</v>
      </c>
      <c r="EY31" s="9"/>
    </row>
    <row r="32" spans="1:155" x14ac:dyDescent="0.55000000000000004">
      <c r="A32">
        <v>28</v>
      </c>
      <c r="B32" t="s">
        <v>31</v>
      </c>
      <c r="C32" t="s">
        <v>4</v>
      </c>
      <c r="D32" t="s">
        <v>103</v>
      </c>
      <c r="E32">
        <v>153.00700000000001</v>
      </c>
      <c r="F32">
        <v>153.13499999999999</v>
      </c>
      <c r="G32">
        <v>152.99700000000001</v>
      </c>
      <c r="H32">
        <v>153.13200000000001</v>
      </c>
      <c r="I32">
        <v>152.97300000000001</v>
      </c>
      <c r="J32">
        <v>152.90100000000001</v>
      </c>
      <c r="K32">
        <v>153.227</v>
      </c>
      <c r="L32">
        <v>152.58099999999999</v>
      </c>
      <c r="M32">
        <v>152.59700000000001</v>
      </c>
      <c r="N32">
        <v>152.81100000000001</v>
      </c>
      <c r="O32" s="16">
        <f t="shared" si="0"/>
        <v>0.13799999999997681</v>
      </c>
      <c r="P32" s="16">
        <f t="shared" si="6"/>
        <v>0.12899999999999068</v>
      </c>
      <c r="Q32" s="16">
        <f t="shared" si="7"/>
        <v>8.9999999999861302E-3</v>
      </c>
      <c r="R32" s="16">
        <f t="shared" si="8"/>
        <v>0.13799999999997681</v>
      </c>
      <c r="S32" s="16">
        <f t="shared" si="43"/>
        <v>0.11923485864781525</v>
      </c>
      <c r="T32">
        <v>0</v>
      </c>
      <c r="U32">
        <v>0</v>
      </c>
      <c r="V32">
        <v>0</v>
      </c>
      <c r="W32">
        <v>0</v>
      </c>
      <c r="Y32" s="9" t="str">
        <f t="shared" si="9"/>
        <v>------</v>
      </c>
      <c r="Z32" s="9" t="str">
        <f t="shared" si="10"/>
        <v>------</v>
      </c>
      <c r="AA32" s="9"/>
      <c r="AB32">
        <v>0</v>
      </c>
      <c r="AD32" t="str">
        <f t="shared" si="1"/>
        <v/>
      </c>
      <c r="AE32">
        <v>1.75468</v>
      </c>
      <c r="AF32">
        <v>1</v>
      </c>
      <c r="AG32">
        <v>153.37305000000001</v>
      </c>
      <c r="AH32">
        <v>153.29024000000001</v>
      </c>
      <c r="AI32">
        <v>153.20742999999999</v>
      </c>
      <c r="AJ32">
        <v>153.12461999999999</v>
      </c>
      <c r="AK32">
        <v>153.04181</v>
      </c>
      <c r="AL32">
        <v>152.92339999999999</v>
      </c>
      <c r="AM32">
        <v>152.84058999999999</v>
      </c>
      <c r="AN32">
        <v>152.75778</v>
      </c>
      <c r="AO32">
        <v>152.67497</v>
      </c>
      <c r="AP32">
        <v>152.59216000000001</v>
      </c>
      <c r="AQ32">
        <v>153.042</v>
      </c>
      <c r="AR32">
        <v>153.01599999999999</v>
      </c>
      <c r="AS32">
        <f t="shared" si="26"/>
        <v>28</v>
      </c>
      <c r="AT32">
        <v>153.05600000000001</v>
      </c>
      <c r="AU32">
        <v>153.173</v>
      </c>
      <c r="AV32">
        <v>153.107</v>
      </c>
      <c r="AW32">
        <v>152.96199999999999</v>
      </c>
      <c r="AY32" s="4">
        <f>I32*(1+$AY$2)</f>
        <v>152.99594595000002</v>
      </c>
      <c r="AZ32" s="4">
        <f>I32*(1-$AY$2)</f>
        <v>152.95005405000001</v>
      </c>
      <c r="BA32" s="4">
        <f>J32*(1+$AY$2)</f>
        <v>152.92393515000003</v>
      </c>
      <c r="BB32" s="4">
        <f>J32*(1-$AY$2)</f>
        <v>152.87806485000002</v>
      </c>
      <c r="BC32" s="4">
        <f>K32*(1+$AY$2)</f>
        <v>153.24998405000002</v>
      </c>
      <c r="BD32" s="4">
        <f>K32*(1-$AY$2)</f>
        <v>153.20401595000001</v>
      </c>
      <c r="BE32" s="4">
        <f>L32*(1+$AY$2)</f>
        <v>152.60388714999999</v>
      </c>
      <c r="BF32" s="4">
        <f>L32*(1-$AY$2)</f>
        <v>152.55811284999999</v>
      </c>
      <c r="BG32" s="4">
        <f>M32*(1+$AY$2)</f>
        <v>152.61988955000001</v>
      </c>
      <c r="BH32" s="4">
        <f>M32*(1-$AY$2)</f>
        <v>152.57411045000001</v>
      </c>
      <c r="BI32" s="4">
        <f>N32*(1+$AY$2)</f>
        <v>152.83392165000001</v>
      </c>
      <c r="BJ32" s="4">
        <f>N32*(1-$AY$2)</f>
        <v>152.78807835000001</v>
      </c>
      <c r="BK32" s="30">
        <f t="shared" si="27"/>
        <v>28</v>
      </c>
      <c r="BL32" s="15" t="str">
        <f t="shared" si="11"/>
        <v>-----</v>
      </c>
      <c r="BM32" s="15" t="str">
        <f t="shared" si="12"/>
        <v>-----</v>
      </c>
      <c r="BN32" s="15" t="str">
        <f t="shared" si="13"/>
        <v>-----</v>
      </c>
      <c r="BO32" s="15" t="str">
        <f t="shared" si="14"/>
        <v>-----</v>
      </c>
      <c r="BP32" s="15" t="str">
        <f t="shared" si="15"/>
        <v>-----</v>
      </c>
      <c r="BQ32" s="15" t="str">
        <f t="shared" si="16"/>
        <v>-----</v>
      </c>
      <c r="BR32" s="22"/>
      <c r="BS32" s="9">
        <f t="shared" si="17"/>
        <v>-2.423265306122455E-3</v>
      </c>
      <c r="BT32" s="9">
        <f>SLOPE(J$5:J$103,$A$5:$A$103)</f>
        <v>-3.7194805194805478E-4</v>
      </c>
      <c r="BU32" s="9">
        <f>SLOPE(K$5:K$103,$A$5:$A$103)</f>
        <v>-1.6402721088435472E-3</v>
      </c>
      <c r="BV32" s="9">
        <f>SLOPE(L$5:L$103,$A$5:$A$103)</f>
        <v>7.6471243042669956E-4</v>
      </c>
      <c r="BW32" s="9">
        <f>SLOPE(M$5:M$103,$A$5:$A$103)</f>
        <v>-2.3081014223875058E-4</v>
      </c>
      <c r="BX32" s="9">
        <f>SLOPE(N$5:N$103,$A$5:$A$103)</f>
        <v>1.5802844774273381E-3</v>
      </c>
      <c r="BY32"/>
      <c r="BZ32" s="9">
        <f t="shared" si="37"/>
        <v>-1.9079214597220278</v>
      </c>
      <c r="CA32" s="9">
        <f t="shared" si="38"/>
        <v>-0.29295343676527091</v>
      </c>
      <c r="CB32" s="9">
        <f t="shared" si="39"/>
        <v>-1.2917022253843653</v>
      </c>
      <c r="CC32" s="9">
        <f t="shared" si="40"/>
        <v>0.60228527619529781</v>
      </c>
      <c r="CD32" s="9">
        <f t="shared" si="41"/>
        <v>-0.18179147971962978</v>
      </c>
      <c r="CE32" s="9">
        <f t="shared" si="42"/>
        <v>1.2444775446344229</v>
      </c>
      <c r="CF32"/>
      <c r="CG32" s="18" t="str" cm="1">
        <f t="array" ref="CG32">_xlfn.IFS(BZ32&gt;3,"Strong + Slope",BZ32&gt;1.5,"Moderate + Slope",BZ32&gt;0.5,"Sideway + Slope",BZ32&gt;=-0.5,"Sideway Flat",BZ32&gt;=-1.5,"Sideway - Slope",BZ32&gt;=-3,"Moderate - Slope",TRUE,"Strong - Slope")</f>
        <v>Moderate - Slope</v>
      </c>
      <c r="CH32" s="18" t="str" cm="1">
        <f t="array" ref="CH32">_xlfn.IFS(CA32&gt;3,"Strong + Slope",CA32&gt;1.5,"Moderate + Slope",CA32&gt;0.5,"Sideway + Slope",CA32&gt;=-0.5,"Sideway Flat",CA32&gt;=-1.5,"Sideway - Slope",CA32&gt;=-3,"Moderate - Slope",TRUE,"Strong - Slope")</f>
        <v>Sideway Flat</v>
      </c>
      <c r="CI32" s="18" t="str" cm="1">
        <f t="array" ref="CI32">_xlfn.IFS(CB32&gt;3,"Strong + Slope",CB32&gt;1.5,"Moderate + Slope",CB32&gt;0.5,"Sideway + Slope",CB32&gt;=-0.5,"Sideway Flat",CB32&gt;=-1.5,"Sideway - Slope",CB32&gt;=-3,"Moderate - Slope",TRUE,"Strong - Slope")</f>
        <v>Sideway - Slope</v>
      </c>
      <c r="CJ32" s="18" t="str" cm="1">
        <f t="array" ref="CJ32">_xlfn.IFS(CC32&gt;3,"Strong + Slope",CC32&gt;1.5,"Moderate + Slope",CC32&gt;0.5,"Sideway + Slope",CC32&gt;=-0.5,"Sideway Flat",CC32&gt;=-1.5,"Sideway - Slope",CC32&gt;=-3,"Moderate - Slope",TRUE,"Strong - Slope")</f>
        <v>Sideway + Slope</v>
      </c>
      <c r="CK32" s="18" t="str" cm="1">
        <f t="array" ref="CK32">_xlfn.IFS(CD32&gt;3,"Strong + Slope",CD32&gt;1.5,"Moderate + Slope",CD32&gt;0.5,"Sideway + Slope",CD32&gt;=-0.5,"Sideway Flat",CD32&gt;=-1.5,"Sideway - Slope",CD32&gt;=-3,"Moderate - Slope",TRUE,"Strong - Slope")</f>
        <v>Sideway Flat</v>
      </c>
      <c r="CL32" s="18" t="str" cm="1">
        <f t="array" ref="CL32">_xlfn.IFS(CE32&gt;3,"Strong + Slope",CE32&gt;1.5,"Moderate + Slope",CE32&gt;0.5,"Sideway + Slope",CE32&gt;=-0.5,"Sideway Flat",CE32&gt;=-1.5,"Sideway - Slope",CE32&gt;=-3,"Moderate - Slope",TRUE,"Strong - Slope")</f>
        <v>Sideway + Slope</v>
      </c>
      <c r="CM32" s="9"/>
      <c r="CN32" s="9">
        <f>RANK(I32,$I32:$N32,0)</f>
        <v>2</v>
      </c>
      <c r="CO32" s="9">
        <f>RANK(J32,$I32:$N32,0)</f>
        <v>3</v>
      </c>
      <c r="CP32" s="9">
        <f>RANK(K32,$I32:$N32,0)</f>
        <v>1</v>
      </c>
      <c r="CQ32" s="9">
        <f>RANK(L32,$I32:$N32,0)</f>
        <v>6</v>
      </c>
      <c r="CR32" s="9">
        <f>RANK(M32,$I32:$N32,0)</f>
        <v>5</v>
      </c>
      <c r="CS32" s="9">
        <f>RANK(N32,$I32:$N32,0)</f>
        <v>4</v>
      </c>
      <c r="CT32" s="9"/>
      <c r="CU32" s="9" t="str">
        <f>IF($H32&gt;I32,"SUP","RES")</f>
        <v>SUP</v>
      </c>
      <c r="CV32" s="9" t="str">
        <f>IF($H32&gt;J32,"SUP","RES")</f>
        <v>SUP</v>
      </c>
      <c r="CW32" s="9" t="str">
        <f>IF($H32&gt;K32,"SUP","RES")</f>
        <v>RES</v>
      </c>
      <c r="CX32" s="9" t="str">
        <f>IF($H32&gt;L32,"SUP","RES")</f>
        <v>SUP</v>
      </c>
      <c r="CY32" s="9" t="str">
        <f>IF($H32&gt;M32,"SUP","RES")</f>
        <v>SUP</v>
      </c>
      <c r="CZ32" s="9" t="str">
        <f>IF($H32&gt;N32,"SUP","RES")</f>
        <v>SUP</v>
      </c>
      <c r="DA32" s="9"/>
      <c r="DB32" s="12">
        <f>(I32-$H32)/$H32</f>
        <v>-1.0383198808870244E-3</v>
      </c>
      <c r="DC32" s="12">
        <f>(J32-$H32)/$H32</f>
        <v>-1.508502468458549E-3</v>
      </c>
      <c r="DD32" s="12">
        <f>(K32-$H32)/$H32</f>
        <v>6.2037980304573083E-4</v>
      </c>
      <c r="DE32" s="12">
        <f>(L32-$H32)/$H32</f>
        <v>-3.5982028576653875E-3</v>
      </c>
      <c r="DF32" s="12">
        <f>(M32-$H32)/$H32</f>
        <v>-3.4937178382049251E-3</v>
      </c>
      <c r="DG32" s="12">
        <f>(N32-$H32)/$H32</f>
        <v>-2.0962307029229548E-3</v>
      </c>
      <c r="DH32" s="12"/>
      <c r="DI32" s="12">
        <f>((H32-MIN(I32:N32))/(MAX(I32:N32)-MIN(I32:N32)))</f>
        <v>0.85294117647059342</v>
      </c>
      <c r="DJ32" s="13">
        <f t="shared" si="2"/>
        <v>1</v>
      </c>
      <c r="DK32" s="14">
        <f t="shared" si="3"/>
        <v>5</v>
      </c>
      <c r="DL32" s="12">
        <f t="shared" si="18"/>
        <v>6.2037980304573083E-4</v>
      </c>
      <c r="DM32" s="12">
        <f t="shared" si="19"/>
        <v>-1.0383198808870244E-3</v>
      </c>
      <c r="DN32" s="12">
        <f t="shared" si="20"/>
        <v>-1.508502468458549E-3</v>
      </c>
      <c r="DO32" s="12">
        <f t="shared" si="21"/>
        <v>-2.0962307029229548E-3</v>
      </c>
      <c r="DP32" s="12">
        <f t="shared" si="22"/>
        <v>-3.4937178382049251E-3</v>
      </c>
      <c r="DQ32" s="12">
        <f t="shared" si="23"/>
        <v>-3.5982028576653875E-3</v>
      </c>
      <c r="DR32" s="9"/>
      <c r="DS32" s="9" t="str">
        <f>IF(AQ32&gt;AG32,"Overbought",IF(AQ32&gt;AI32,"Bullish Momentum",IF(AQ32&gt;AK32,"Overprice Setting Up","-----")))</f>
        <v>Overprice Setting Up</v>
      </c>
      <c r="DT32" s="9" t="str">
        <f>IF(AQ32&lt;AP32,"Oversold",IF(AQ32&lt;AN32,"Bearish Momentum",IF(AQ32&lt;AL32,"Underprice Setting Up","-----")))</f>
        <v>-----</v>
      </c>
      <c r="DU32" s="9"/>
      <c r="DV32" s="12" t="str">
        <f>IF(AND(AT32&gt;AU32,AT31&gt;AU31,AT30&gt;AU30,AT29&gt;AU29,AT28&gt;AU28,AT27&gt;AU27,AT26&gt;AU26,AT25&gt;AU25,AT24&gt;AU24,AT23&gt;AU23,AT22&gt;AU22,AT21&gt;AU21),"Bullish",IF(AND(AT32&lt;AU32,AT31&lt;AU31,AT30&lt;AU30,AT29&lt;AU29,AT28&lt;AU28,AT27&lt;AU27,AT26&lt;AU26,AT25&lt;AU25,AT24&lt;AU24,AT23&lt;AU23,AT22&lt;AU22,AT21&lt;AU21),"Bearish","-----"))</f>
        <v>Bearish</v>
      </c>
      <c r="DW32" s="12"/>
      <c r="DX32" s="23">
        <f>(AR32-AT32)/AT32</f>
        <v>-2.6134225381573061E-4</v>
      </c>
      <c r="DY32" s="23">
        <f t="shared" si="4"/>
        <v>0.54496055304529756</v>
      </c>
      <c r="DZ32" s="23" t="str">
        <f>IF(DY32&gt;PERCENTILE($DY$5:$DY$103,90%),"Reverse to Bearish",IF(DY32&gt;=PERCENTILE($DY$5:$DY$103,70%),"-----",IF(DY32&gt;=PERCENTILE($DY$5:$DY$103,30%),"-----",IF(DY32&gt;=PERCENTILE($DY$5:$DY$103,10%),"-----","Reverse to Bullish"))))</f>
        <v>-----</v>
      </c>
      <c r="EA32" s="23" t="str">
        <f>IF(AQ32&gt;AR32,"Bullish","Bearish")</f>
        <v>Bullish</v>
      </c>
      <c r="EB32" s="22" t="str">
        <f>IF(AND(H32&gt;AQ32,H31&lt;AQ31),"TEMA crossover","-----")</f>
        <v>-----</v>
      </c>
      <c r="EC32" s="22" t="str">
        <f>IF(AND(H32&lt;AQ32,H31&gt;AQ31),"TEMA crossunder","-----")</f>
        <v>-----</v>
      </c>
      <c r="ED32" s="22"/>
      <c r="EE32" s="24" t="str">
        <f t="shared" si="33"/>
        <v>YES</v>
      </c>
      <c r="EF32" s="24" t="str">
        <f t="shared" si="34"/>
        <v>-----</v>
      </c>
      <c r="EG32" s="24" t="str">
        <f t="shared" si="35"/>
        <v>-----</v>
      </c>
      <c r="EH32" s="24" t="str">
        <f t="shared" si="36"/>
        <v>-----</v>
      </c>
      <c r="EI32" s="25" t="str">
        <f>IF(DV32="Bullish","YES","-----")</f>
        <v>-----</v>
      </c>
      <c r="EJ32" s="25" t="str">
        <f>IF(DZ32="Reverse to Bullish","YES","-----")</f>
        <v>-----</v>
      </c>
      <c r="EK32" s="25" t="str">
        <f>IF(AND(EA32="Bearish",EA31="Bearish",EA30="Bearish",EA29="Bearish"),"YES","-----")</f>
        <v>-----</v>
      </c>
      <c r="EL32" s="25" t="str">
        <f>IF(OR(EC32="TEMA crossover",EC31="TEMA crossover",EC30="TEMA crossover",EC29="TEMA crossover"),"YES","-----")</f>
        <v>-----</v>
      </c>
      <c r="EM32" s="24" t="str">
        <f>IF(AND(EE32="YES",EF32="YES",EG32="YES",EH32="YES"),"Open Sell / Close Buy","-----")</f>
        <v>-----</v>
      </c>
      <c r="EN32" s="25" t="str">
        <f t="shared" si="32"/>
        <v>-----</v>
      </c>
      <c r="EO32" s="23"/>
      <c r="EP32" s="9" t="str">
        <f>IF(AND(H32&gt;AV32,H32&gt;E32),"Bullish Trigger","-----")</f>
        <v>Bullish Trigger</v>
      </c>
      <c r="EQ32" s="9" t="str">
        <f>IF(AND(H32&lt;AW32,H32&lt;E32),"Bearish Trigger","-----")</f>
        <v>-----</v>
      </c>
      <c r="ER32" s="9"/>
      <c r="ES32" s="9" t="str">
        <f>IF(G32&gt;AV32,"Bullish Spike","-----")</f>
        <v>-----</v>
      </c>
      <c r="ET32" s="9" t="str">
        <f>IF(F32&lt;AW32,"Bearish Spike","-----")</f>
        <v>-----</v>
      </c>
      <c r="EU32" s="9"/>
      <c r="EV32" s="20">
        <f t="shared" si="5"/>
        <v>0.14500000000001023</v>
      </c>
      <c r="EW32" s="9">
        <f t="shared" si="24"/>
        <v>1.595372810778392</v>
      </c>
      <c r="EX32" s="21" t="str">
        <f t="shared" si="25"/>
        <v>Consolidation</v>
      </c>
      <c r="EY32" s="9"/>
    </row>
    <row r="33" spans="1:155" x14ac:dyDescent="0.55000000000000004">
      <c r="A33">
        <v>29</v>
      </c>
      <c r="B33" t="s">
        <v>32</v>
      </c>
      <c r="C33" t="s">
        <v>4</v>
      </c>
      <c r="D33" t="s">
        <v>103</v>
      </c>
      <c r="E33">
        <v>153.12799999999999</v>
      </c>
      <c r="F33">
        <v>153.22499999999999</v>
      </c>
      <c r="G33">
        <v>153.12799999999999</v>
      </c>
      <c r="H33">
        <v>153.16499999999999</v>
      </c>
      <c r="I33">
        <v>152.97</v>
      </c>
      <c r="J33">
        <v>152.90100000000001</v>
      </c>
      <c r="K33">
        <v>153.22499999999999</v>
      </c>
      <c r="L33">
        <v>152.58199999999999</v>
      </c>
      <c r="M33">
        <v>152.596</v>
      </c>
      <c r="N33">
        <v>152.81200000000001</v>
      </c>
      <c r="O33" s="16">
        <f t="shared" si="0"/>
        <v>9.7000000000008413E-2</v>
      </c>
      <c r="P33" s="16">
        <f t="shared" si="6"/>
        <v>9.2999999999989313E-2</v>
      </c>
      <c r="Q33" s="16">
        <f t="shared" si="7"/>
        <v>4.0000000000190994E-3</v>
      </c>
      <c r="R33" s="16">
        <f t="shared" si="8"/>
        <v>9.7000000000008413E-2</v>
      </c>
      <c r="S33" s="16">
        <f t="shared" si="43"/>
        <v>0.11764665445868618</v>
      </c>
      <c r="T33">
        <v>153.22499999999999</v>
      </c>
      <c r="U33">
        <v>153.22499999999999</v>
      </c>
      <c r="V33">
        <v>0</v>
      </c>
      <c r="W33">
        <v>0</v>
      </c>
      <c r="Y33" s="9" t="str">
        <f t="shared" si="9"/>
        <v>Important High</v>
      </c>
      <c r="Z33" s="9" t="str">
        <f t="shared" si="10"/>
        <v>------</v>
      </c>
      <c r="AA33" s="9"/>
      <c r="AB33">
        <v>0</v>
      </c>
      <c r="AD33" t="str">
        <f t="shared" si="1"/>
        <v/>
      </c>
      <c r="AE33">
        <v>0.25623000000000001</v>
      </c>
      <c r="AF33">
        <v>0</v>
      </c>
      <c r="AG33">
        <v>153.37671</v>
      </c>
      <c r="AH33">
        <v>153.29374000000001</v>
      </c>
      <c r="AI33">
        <v>153.21077</v>
      </c>
      <c r="AJ33">
        <v>153.12780000000001</v>
      </c>
      <c r="AK33">
        <v>153.04482999999999</v>
      </c>
      <c r="AL33">
        <v>152.92589000000001</v>
      </c>
      <c r="AM33">
        <v>152.84291999999999</v>
      </c>
      <c r="AN33">
        <v>152.75996000000001</v>
      </c>
      <c r="AO33">
        <v>152.67698999999999</v>
      </c>
      <c r="AP33">
        <v>152.59402</v>
      </c>
      <c r="AQ33">
        <v>153.108</v>
      </c>
      <c r="AR33">
        <v>153.036</v>
      </c>
      <c r="AS33">
        <f t="shared" si="26"/>
        <v>29</v>
      </c>
      <c r="AT33">
        <v>153.06399999999999</v>
      </c>
      <c r="AU33">
        <v>153.172</v>
      </c>
      <c r="AV33">
        <v>153.16800000000001</v>
      </c>
      <c r="AW33">
        <v>153.042</v>
      </c>
      <c r="AY33" s="4">
        <f>I33*(1+$AY$2)</f>
        <v>152.99294550000002</v>
      </c>
      <c r="AZ33" s="4">
        <f>I33*(1-$AY$2)</f>
        <v>152.94705450000001</v>
      </c>
      <c r="BA33" s="4">
        <f>J33*(1+$AY$2)</f>
        <v>152.92393515000003</v>
      </c>
      <c r="BB33" s="4">
        <f>J33*(1-$AY$2)</f>
        <v>152.87806485000002</v>
      </c>
      <c r="BC33" s="4">
        <f>K33*(1+$AY$2)</f>
        <v>153.24798375</v>
      </c>
      <c r="BD33" s="4">
        <f>K33*(1-$AY$2)</f>
        <v>153.20201624999999</v>
      </c>
      <c r="BE33" s="4">
        <f>L33*(1+$AY$2)</f>
        <v>152.6048873</v>
      </c>
      <c r="BF33" s="4">
        <f>L33*(1-$AY$2)</f>
        <v>152.55911269999999</v>
      </c>
      <c r="BG33" s="4">
        <f>M33*(1+$AY$2)</f>
        <v>152.61888940000003</v>
      </c>
      <c r="BH33" s="4">
        <f>M33*(1-$AY$2)</f>
        <v>152.57311060000001</v>
      </c>
      <c r="BI33" s="4">
        <f>N33*(1+$AY$2)</f>
        <v>152.83492180000002</v>
      </c>
      <c r="BJ33" s="4">
        <f>N33*(1-$AY$2)</f>
        <v>152.78907820000001</v>
      </c>
      <c r="BK33" s="30">
        <f t="shared" si="27"/>
        <v>29</v>
      </c>
      <c r="BL33" s="15" t="str">
        <f t="shared" si="11"/>
        <v>-----</v>
      </c>
      <c r="BM33" s="15" t="str">
        <f t="shared" si="12"/>
        <v>-----</v>
      </c>
      <c r="BN33" s="15" t="str">
        <f t="shared" si="13"/>
        <v>-----</v>
      </c>
      <c r="BO33" s="15" t="str">
        <f t="shared" si="14"/>
        <v>-----</v>
      </c>
      <c r="BP33" s="15" t="str">
        <f t="shared" si="15"/>
        <v>-----</v>
      </c>
      <c r="BQ33" s="15" t="str">
        <f t="shared" si="16"/>
        <v>-----</v>
      </c>
      <c r="BR33" s="22"/>
      <c r="BS33" s="9">
        <f t="shared" si="17"/>
        <v>-2.423265306122455E-3</v>
      </c>
      <c r="BT33" s="9">
        <f>SLOPE(J$5:J$103,$A$5:$A$103)</f>
        <v>-3.7194805194805478E-4</v>
      </c>
      <c r="BU33" s="9">
        <f>SLOPE(K$5:K$103,$A$5:$A$103)</f>
        <v>-1.6402721088435472E-3</v>
      </c>
      <c r="BV33" s="9">
        <f>SLOPE(L$5:L$103,$A$5:$A$103)</f>
        <v>7.6471243042669956E-4</v>
      </c>
      <c r="BW33" s="9">
        <f>SLOPE(M$5:M$103,$A$5:$A$103)</f>
        <v>-2.3081014223875058E-4</v>
      </c>
      <c r="BX33" s="9">
        <f>SLOPE(N$5:N$103,$A$5:$A$103)</f>
        <v>1.5802844774273381E-3</v>
      </c>
      <c r="BY33"/>
      <c r="BZ33" s="9">
        <f t="shared" si="37"/>
        <v>-1.9079214597220278</v>
      </c>
      <c r="CA33" s="9">
        <f t="shared" si="38"/>
        <v>-0.29295343676527091</v>
      </c>
      <c r="CB33" s="9">
        <f t="shared" si="39"/>
        <v>-1.2917022253843653</v>
      </c>
      <c r="CC33" s="9">
        <f t="shared" si="40"/>
        <v>0.60228527619529781</v>
      </c>
      <c r="CD33" s="9">
        <f t="shared" si="41"/>
        <v>-0.18179147971962978</v>
      </c>
      <c r="CE33" s="9">
        <f t="shared" si="42"/>
        <v>1.2444775446344229</v>
      </c>
      <c r="CF33"/>
      <c r="CG33" s="18" t="str" cm="1">
        <f t="array" ref="CG33">_xlfn.IFS(BZ33&gt;3,"Strong + Slope",BZ33&gt;1.5,"Moderate + Slope",BZ33&gt;0.5,"Sideway + Slope",BZ33&gt;=-0.5,"Sideway Flat",BZ33&gt;=-1.5,"Sideway - Slope",BZ33&gt;=-3,"Moderate - Slope",TRUE,"Strong - Slope")</f>
        <v>Moderate - Slope</v>
      </c>
      <c r="CH33" s="18" t="str" cm="1">
        <f t="array" ref="CH33">_xlfn.IFS(CA33&gt;3,"Strong + Slope",CA33&gt;1.5,"Moderate + Slope",CA33&gt;0.5,"Sideway + Slope",CA33&gt;=-0.5,"Sideway Flat",CA33&gt;=-1.5,"Sideway - Slope",CA33&gt;=-3,"Moderate - Slope",TRUE,"Strong - Slope")</f>
        <v>Sideway Flat</v>
      </c>
      <c r="CI33" s="18" t="str" cm="1">
        <f t="array" ref="CI33">_xlfn.IFS(CB33&gt;3,"Strong + Slope",CB33&gt;1.5,"Moderate + Slope",CB33&gt;0.5,"Sideway + Slope",CB33&gt;=-0.5,"Sideway Flat",CB33&gt;=-1.5,"Sideway - Slope",CB33&gt;=-3,"Moderate - Slope",TRUE,"Strong - Slope")</f>
        <v>Sideway - Slope</v>
      </c>
      <c r="CJ33" s="18" t="str" cm="1">
        <f t="array" ref="CJ33">_xlfn.IFS(CC33&gt;3,"Strong + Slope",CC33&gt;1.5,"Moderate + Slope",CC33&gt;0.5,"Sideway + Slope",CC33&gt;=-0.5,"Sideway Flat",CC33&gt;=-1.5,"Sideway - Slope",CC33&gt;=-3,"Moderate - Slope",TRUE,"Strong - Slope")</f>
        <v>Sideway + Slope</v>
      </c>
      <c r="CK33" s="18" t="str" cm="1">
        <f t="array" ref="CK33">_xlfn.IFS(CD33&gt;3,"Strong + Slope",CD33&gt;1.5,"Moderate + Slope",CD33&gt;0.5,"Sideway + Slope",CD33&gt;=-0.5,"Sideway Flat",CD33&gt;=-1.5,"Sideway - Slope",CD33&gt;=-3,"Moderate - Slope",TRUE,"Strong - Slope")</f>
        <v>Sideway Flat</v>
      </c>
      <c r="CL33" s="18" t="str" cm="1">
        <f t="array" ref="CL33">_xlfn.IFS(CE33&gt;3,"Strong + Slope",CE33&gt;1.5,"Moderate + Slope",CE33&gt;0.5,"Sideway + Slope",CE33&gt;=-0.5,"Sideway Flat",CE33&gt;=-1.5,"Sideway - Slope",CE33&gt;=-3,"Moderate - Slope",TRUE,"Strong - Slope")</f>
        <v>Sideway + Slope</v>
      </c>
      <c r="CM33" s="9"/>
      <c r="CN33" s="9">
        <f>RANK(I33,$I33:$N33,0)</f>
        <v>2</v>
      </c>
      <c r="CO33" s="9">
        <f>RANK(J33,$I33:$N33,0)</f>
        <v>3</v>
      </c>
      <c r="CP33" s="9">
        <f>RANK(K33,$I33:$N33,0)</f>
        <v>1</v>
      </c>
      <c r="CQ33" s="9">
        <f>RANK(L33,$I33:$N33,0)</f>
        <v>6</v>
      </c>
      <c r="CR33" s="9">
        <f>RANK(M33,$I33:$N33,0)</f>
        <v>5</v>
      </c>
      <c r="CS33" s="9">
        <f>RANK(N33,$I33:$N33,0)</f>
        <v>4</v>
      </c>
      <c r="CT33" s="9"/>
      <c r="CU33" s="9" t="str">
        <f>IF($H33&gt;I33,"SUP","RES")</f>
        <v>SUP</v>
      </c>
      <c r="CV33" s="9" t="str">
        <f>IF($H33&gt;J33,"SUP","RES")</f>
        <v>SUP</v>
      </c>
      <c r="CW33" s="9" t="str">
        <f>IF($H33&gt;K33,"SUP","RES")</f>
        <v>RES</v>
      </c>
      <c r="CX33" s="9" t="str">
        <f>IF($H33&gt;L33,"SUP","RES")</f>
        <v>SUP</v>
      </c>
      <c r="CY33" s="9" t="str">
        <f>IF($H33&gt;M33,"SUP","RES")</f>
        <v>SUP</v>
      </c>
      <c r="CZ33" s="9" t="str">
        <f>IF($H33&gt;N33,"SUP","RES")</f>
        <v>SUP</v>
      </c>
      <c r="DA33" s="9"/>
      <c r="DB33" s="12">
        <f>(I33-$H33)/$H33</f>
        <v>-1.2731368132405784E-3</v>
      </c>
      <c r="DC33" s="12">
        <f>(J33-$H33)/$H33</f>
        <v>-1.7236313779256463E-3</v>
      </c>
      <c r="DD33" s="12">
        <f>(K33-$H33)/$H33</f>
        <v>3.9173440407405267E-4</v>
      </c>
      <c r="DE33" s="12">
        <f>(L33-$H33)/$H33</f>
        <v>-3.806352626252724E-3</v>
      </c>
      <c r="DF33" s="12">
        <f>(M33-$H33)/$H33</f>
        <v>-3.7149479319687163E-3</v>
      </c>
      <c r="DG33" s="12">
        <f>(N33-$H33)/$H33</f>
        <v>-2.3047040773021268E-3</v>
      </c>
      <c r="DH33" s="12"/>
      <c r="DI33" s="12">
        <f>((H33-MIN(I33:N33))/(MAX(I33:N33)-MIN(I33:N33)))</f>
        <v>0.90668740279937443</v>
      </c>
      <c r="DJ33" s="13">
        <f t="shared" si="2"/>
        <v>1</v>
      </c>
      <c r="DK33" s="14">
        <f t="shared" si="3"/>
        <v>5</v>
      </c>
      <c r="DL33" s="12">
        <f t="shared" si="18"/>
        <v>3.9173440407405267E-4</v>
      </c>
      <c r="DM33" s="12">
        <f t="shared" si="19"/>
        <v>-1.2731368132405784E-3</v>
      </c>
      <c r="DN33" s="12">
        <f t="shared" si="20"/>
        <v>-1.7236313779256463E-3</v>
      </c>
      <c r="DO33" s="12">
        <f t="shared" si="21"/>
        <v>-2.3047040773021268E-3</v>
      </c>
      <c r="DP33" s="12">
        <f t="shared" si="22"/>
        <v>-3.7149479319687163E-3</v>
      </c>
      <c r="DQ33" s="12">
        <f t="shared" si="23"/>
        <v>-3.806352626252724E-3</v>
      </c>
      <c r="DR33" s="9"/>
      <c r="DS33" s="9" t="str">
        <f>IF(AQ33&gt;AG33,"Overbought",IF(AQ33&gt;AI33,"Bullish Momentum",IF(AQ33&gt;AK33,"Overprice Setting Up","-----")))</f>
        <v>Overprice Setting Up</v>
      </c>
      <c r="DT33" s="9" t="str">
        <f>IF(AQ33&lt;AP33,"Oversold",IF(AQ33&lt;AN33,"Bearish Momentum",IF(AQ33&lt;AL33,"Underprice Setting Up","-----")))</f>
        <v>-----</v>
      </c>
      <c r="DU33" s="9"/>
      <c r="DV33" s="12" t="str">
        <f>IF(AND(AT33&gt;AU33,AT32&gt;AU32,AT31&gt;AU31,AT30&gt;AU30,AT29&gt;AU29,AT28&gt;AU28,AT27&gt;AU27,AT26&gt;AU26,AT25&gt;AU25,AT24&gt;AU24,AT23&gt;AU23,AT22&gt;AU22),"Bullish",IF(AND(AT33&lt;AU33,AT32&lt;AU32,AT31&lt;AU31,AT30&lt;AU30,AT29&lt;AU29,AT28&lt;AU28,AT27&lt;AU27,AT26&lt;AU26,AT25&lt;AU25,AT24&lt;AU24,AT23&lt;AU23,AT22&lt;AU22),"Bearish","-----"))</f>
        <v>Bearish</v>
      </c>
      <c r="DW33" s="12"/>
      <c r="DX33" s="23">
        <f>(AR33-AT33)/AT33</f>
        <v>-1.829300162023179E-4</v>
      </c>
      <c r="DY33" s="23">
        <f t="shared" si="4"/>
        <v>0.77110558469217227</v>
      </c>
      <c r="DZ33" s="23" t="str">
        <f>IF(DY33&gt;PERCENTILE($DY$5:$DY$103,90%),"Reverse to Bearish",IF(DY33&gt;=PERCENTILE($DY$5:$DY$103,70%),"-----",IF(DY33&gt;=PERCENTILE($DY$5:$DY$103,30%),"-----",IF(DY33&gt;=PERCENTILE($DY$5:$DY$103,10%),"-----","Reverse to Bullish"))))</f>
        <v>-----</v>
      </c>
      <c r="EA33" s="23" t="str">
        <f>IF(AQ33&gt;AR33,"Bullish","Bearish")</f>
        <v>Bullish</v>
      </c>
      <c r="EB33" s="22" t="str">
        <f>IF(AND(H33&gt;AQ33,H32&lt;AQ32),"TEMA crossover","-----")</f>
        <v>-----</v>
      </c>
      <c r="EC33" s="22" t="str">
        <f>IF(AND(H33&lt;AQ33,H32&gt;AQ32),"TEMA crossunder","-----")</f>
        <v>-----</v>
      </c>
      <c r="ED33" s="22"/>
      <c r="EE33" s="24" t="str">
        <f t="shared" si="33"/>
        <v>YES</v>
      </c>
      <c r="EF33" s="24" t="str">
        <f t="shared" si="34"/>
        <v>-----</v>
      </c>
      <c r="EG33" s="24" t="str">
        <f t="shared" si="35"/>
        <v>-----</v>
      </c>
      <c r="EH33" s="24" t="str">
        <f t="shared" si="36"/>
        <v>-----</v>
      </c>
      <c r="EI33" s="25" t="str">
        <f>IF(DV33="Bullish","YES","-----")</f>
        <v>-----</v>
      </c>
      <c r="EJ33" s="25" t="str">
        <f>IF(DZ33="Reverse to Bullish","YES","-----")</f>
        <v>-----</v>
      </c>
      <c r="EK33" s="25" t="str">
        <f>IF(AND(EA33="Bearish",EA32="Bearish",EA31="Bearish",EA30="Bearish"),"YES","-----")</f>
        <v>-----</v>
      </c>
      <c r="EL33" s="25" t="str">
        <f>IF(OR(EC33="TEMA crossover",EC32="TEMA crossover",EC31="TEMA crossover",EC30="TEMA crossover"),"YES","-----")</f>
        <v>-----</v>
      </c>
      <c r="EM33" s="24" t="str">
        <f>IF(AND(EE33="YES",EF33="YES",EG33="YES",EH33="YES"),"Open Sell / Close Buy","-----")</f>
        <v>-----</v>
      </c>
      <c r="EN33" s="25" t="str">
        <f t="shared" si="32"/>
        <v>-----</v>
      </c>
      <c r="EO33" s="23"/>
      <c r="EP33" s="9" t="str">
        <f>IF(AND(H33&gt;AV33,H33&gt;E33),"Bullish Trigger","-----")</f>
        <v>-----</v>
      </c>
      <c r="EQ33" s="9" t="str">
        <f>IF(AND(H33&lt;AW33,H33&lt;E33),"Bearish Trigger","-----")</f>
        <v>-----</v>
      </c>
      <c r="ER33" s="9"/>
      <c r="ES33" s="9" t="str">
        <f>IF(G33&gt;AV33,"Bullish Spike","-----")</f>
        <v>-----</v>
      </c>
      <c r="ET33" s="9" t="str">
        <f>IF(F33&lt;AW33,"Bearish Spike","-----")</f>
        <v>-----</v>
      </c>
      <c r="EU33" s="9"/>
      <c r="EV33" s="20">
        <f t="shared" si="5"/>
        <v>0.12600000000000477</v>
      </c>
      <c r="EW33" s="9">
        <f t="shared" si="24"/>
        <v>1.1574775448985342</v>
      </c>
      <c r="EX33" s="21" t="str">
        <f t="shared" si="25"/>
        <v>-----</v>
      </c>
      <c r="EY33" s="9"/>
    </row>
    <row r="34" spans="1:155" x14ac:dyDescent="0.55000000000000004">
      <c r="A34">
        <v>30</v>
      </c>
      <c r="B34" t="s">
        <v>33</v>
      </c>
      <c r="C34" t="s">
        <v>4</v>
      </c>
      <c r="D34" t="s">
        <v>103</v>
      </c>
      <c r="E34">
        <v>153.16399999999999</v>
      </c>
      <c r="F34">
        <v>153.166</v>
      </c>
      <c r="G34">
        <v>153.07499999999999</v>
      </c>
      <c r="H34">
        <v>153.161</v>
      </c>
      <c r="I34">
        <v>152.96799999999999</v>
      </c>
      <c r="J34">
        <v>152.9</v>
      </c>
      <c r="K34">
        <v>153.22300000000001</v>
      </c>
      <c r="L34">
        <v>152.58199999999999</v>
      </c>
      <c r="M34">
        <v>152.596</v>
      </c>
      <c r="N34">
        <v>152.81399999999999</v>
      </c>
      <c r="O34" s="16">
        <f t="shared" si="0"/>
        <v>9.1000000000008185E-2</v>
      </c>
      <c r="P34" s="16">
        <f t="shared" si="6"/>
        <v>1.0000000000047748E-3</v>
      </c>
      <c r="Q34" s="16">
        <f t="shared" si="7"/>
        <v>9.0000000000003411E-2</v>
      </c>
      <c r="R34" s="16">
        <f t="shared" si="8"/>
        <v>9.1000000000008185E-2</v>
      </c>
      <c r="S34" s="16">
        <f t="shared" si="43"/>
        <v>0.11574332199735203</v>
      </c>
      <c r="T34">
        <v>0</v>
      </c>
      <c r="U34">
        <v>0</v>
      </c>
      <c r="V34">
        <v>0</v>
      </c>
      <c r="W34">
        <v>0</v>
      </c>
      <c r="Y34" s="9" t="str">
        <f t="shared" si="9"/>
        <v>------</v>
      </c>
      <c r="Z34" s="9" t="str">
        <f t="shared" si="10"/>
        <v>------</v>
      </c>
      <c r="AA34" s="9"/>
      <c r="AB34">
        <v>1</v>
      </c>
      <c r="AD34" t="str">
        <f t="shared" si="1"/>
        <v/>
      </c>
      <c r="AE34">
        <v>1.0335300000000001</v>
      </c>
      <c r="AF34">
        <v>3</v>
      </c>
      <c r="AG34">
        <v>153.38193999999999</v>
      </c>
      <c r="AH34">
        <v>153.29866000000001</v>
      </c>
      <c r="AI34">
        <v>153.21538000000001</v>
      </c>
      <c r="AJ34">
        <v>153.13210000000001</v>
      </c>
      <c r="AK34">
        <v>153.04883000000001</v>
      </c>
      <c r="AL34">
        <v>152.93010000000001</v>
      </c>
      <c r="AM34">
        <v>152.84682000000001</v>
      </c>
      <c r="AN34">
        <v>152.76354000000001</v>
      </c>
      <c r="AO34">
        <v>152.68027000000001</v>
      </c>
      <c r="AP34">
        <v>152.59699000000001</v>
      </c>
      <c r="AQ34">
        <v>153.131</v>
      </c>
      <c r="AR34">
        <v>153.05600000000001</v>
      </c>
      <c r="AS34">
        <f t="shared" si="26"/>
        <v>30</v>
      </c>
      <c r="AT34">
        <v>153.06899999999999</v>
      </c>
      <c r="AU34">
        <v>153.17099999999999</v>
      </c>
      <c r="AV34">
        <v>153.178</v>
      </c>
      <c r="AW34">
        <v>153.066</v>
      </c>
      <c r="AY34" s="4">
        <f>I34*(1+$AY$2)</f>
        <v>152.9909452</v>
      </c>
      <c r="AZ34" s="4">
        <f>I34*(1-$AY$2)</f>
        <v>152.94505479999998</v>
      </c>
      <c r="BA34" s="4">
        <f>J34*(1+$AY$2)</f>
        <v>152.92293500000002</v>
      </c>
      <c r="BB34" s="4">
        <f>J34*(1-$AY$2)</f>
        <v>152.87706500000002</v>
      </c>
      <c r="BC34" s="4">
        <f>K34*(1+$AY$2)</f>
        <v>153.24598345000004</v>
      </c>
      <c r="BD34" s="4">
        <f>K34*(1-$AY$2)</f>
        <v>153.20001655000002</v>
      </c>
      <c r="BE34" s="4">
        <f>L34*(1+$AY$2)</f>
        <v>152.6048873</v>
      </c>
      <c r="BF34" s="4">
        <f>L34*(1-$AY$2)</f>
        <v>152.55911269999999</v>
      </c>
      <c r="BG34" s="4">
        <f>M34*(1+$AY$2)</f>
        <v>152.61888940000003</v>
      </c>
      <c r="BH34" s="4">
        <f>M34*(1-$AY$2)</f>
        <v>152.57311060000001</v>
      </c>
      <c r="BI34" s="4">
        <f>N34*(1+$AY$2)</f>
        <v>152.83692210000001</v>
      </c>
      <c r="BJ34" s="4">
        <f>N34*(1-$AY$2)</f>
        <v>152.7910779</v>
      </c>
      <c r="BK34" s="30">
        <f t="shared" si="27"/>
        <v>30</v>
      </c>
      <c r="BL34" s="15" t="str">
        <f t="shared" si="11"/>
        <v>-----</v>
      </c>
      <c r="BM34" s="15" t="str">
        <f t="shared" si="12"/>
        <v>-----</v>
      </c>
      <c r="BN34" s="15" t="str">
        <f t="shared" si="13"/>
        <v>-----</v>
      </c>
      <c r="BO34" s="15" t="str">
        <f t="shared" si="14"/>
        <v>-----</v>
      </c>
      <c r="BP34" s="15" t="str">
        <f t="shared" si="15"/>
        <v>-----</v>
      </c>
      <c r="BQ34" s="15" t="str">
        <f t="shared" si="16"/>
        <v>-----</v>
      </c>
      <c r="BR34" s="22"/>
      <c r="BS34" s="9">
        <f t="shared" si="17"/>
        <v>-2.423265306122455E-3</v>
      </c>
      <c r="BT34" s="9">
        <f>SLOPE(J$5:J$103,$A$5:$A$103)</f>
        <v>-3.7194805194805478E-4</v>
      </c>
      <c r="BU34" s="9">
        <f>SLOPE(K$5:K$103,$A$5:$A$103)</f>
        <v>-1.6402721088435472E-3</v>
      </c>
      <c r="BV34" s="9">
        <f>SLOPE(L$5:L$103,$A$5:$A$103)</f>
        <v>7.6471243042669956E-4</v>
      </c>
      <c r="BW34" s="9">
        <f>SLOPE(M$5:M$103,$A$5:$A$103)</f>
        <v>-2.3081014223875058E-4</v>
      </c>
      <c r="BX34" s="9">
        <f>SLOPE(N$5:N$103,$A$5:$A$103)</f>
        <v>1.5802844774273381E-3</v>
      </c>
      <c r="BY34"/>
      <c r="BZ34" s="9">
        <f t="shared" si="37"/>
        <v>-1.9079214597220278</v>
      </c>
      <c r="CA34" s="9">
        <f t="shared" si="38"/>
        <v>-0.29295343676527091</v>
      </c>
      <c r="CB34" s="9">
        <f t="shared" si="39"/>
        <v>-1.2917022253843653</v>
      </c>
      <c r="CC34" s="9">
        <f t="shared" si="40"/>
        <v>0.60228527619529781</v>
      </c>
      <c r="CD34" s="9">
        <f t="shared" si="41"/>
        <v>-0.18179147971962978</v>
      </c>
      <c r="CE34" s="9">
        <f t="shared" si="42"/>
        <v>1.2444775446344229</v>
      </c>
      <c r="CF34"/>
      <c r="CG34" s="18" t="str" cm="1">
        <f t="array" ref="CG34">_xlfn.IFS(BZ34&gt;3,"Strong + Slope",BZ34&gt;1.5,"Moderate + Slope",BZ34&gt;0.5,"Sideway + Slope",BZ34&gt;=-0.5,"Sideway Flat",BZ34&gt;=-1.5,"Sideway - Slope",BZ34&gt;=-3,"Moderate - Slope",TRUE,"Strong - Slope")</f>
        <v>Moderate - Slope</v>
      </c>
      <c r="CH34" s="18" t="str" cm="1">
        <f t="array" ref="CH34">_xlfn.IFS(CA34&gt;3,"Strong + Slope",CA34&gt;1.5,"Moderate + Slope",CA34&gt;0.5,"Sideway + Slope",CA34&gt;=-0.5,"Sideway Flat",CA34&gt;=-1.5,"Sideway - Slope",CA34&gt;=-3,"Moderate - Slope",TRUE,"Strong - Slope")</f>
        <v>Sideway Flat</v>
      </c>
      <c r="CI34" s="18" t="str" cm="1">
        <f t="array" ref="CI34">_xlfn.IFS(CB34&gt;3,"Strong + Slope",CB34&gt;1.5,"Moderate + Slope",CB34&gt;0.5,"Sideway + Slope",CB34&gt;=-0.5,"Sideway Flat",CB34&gt;=-1.5,"Sideway - Slope",CB34&gt;=-3,"Moderate - Slope",TRUE,"Strong - Slope")</f>
        <v>Sideway - Slope</v>
      </c>
      <c r="CJ34" s="18" t="str" cm="1">
        <f t="array" ref="CJ34">_xlfn.IFS(CC34&gt;3,"Strong + Slope",CC34&gt;1.5,"Moderate + Slope",CC34&gt;0.5,"Sideway + Slope",CC34&gt;=-0.5,"Sideway Flat",CC34&gt;=-1.5,"Sideway - Slope",CC34&gt;=-3,"Moderate - Slope",TRUE,"Strong - Slope")</f>
        <v>Sideway + Slope</v>
      </c>
      <c r="CK34" s="18" t="str" cm="1">
        <f t="array" ref="CK34">_xlfn.IFS(CD34&gt;3,"Strong + Slope",CD34&gt;1.5,"Moderate + Slope",CD34&gt;0.5,"Sideway + Slope",CD34&gt;=-0.5,"Sideway Flat",CD34&gt;=-1.5,"Sideway - Slope",CD34&gt;=-3,"Moderate - Slope",TRUE,"Strong - Slope")</f>
        <v>Sideway Flat</v>
      </c>
      <c r="CL34" s="18" t="str" cm="1">
        <f t="array" ref="CL34">_xlfn.IFS(CE34&gt;3,"Strong + Slope",CE34&gt;1.5,"Moderate + Slope",CE34&gt;0.5,"Sideway + Slope",CE34&gt;=-0.5,"Sideway Flat",CE34&gt;=-1.5,"Sideway - Slope",CE34&gt;=-3,"Moderate - Slope",TRUE,"Strong - Slope")</f>
        <v>Sideway + Slope</v>
      </c>
      <c r="CM34" s="9"/>
      <c r="CN34" s="9">
        <f>RANK(I34,$I34:$N34,0)</f>
        <v>2</v>
      </c>
      <c r="CO34" s="9">
        <f>RANK(J34,$I34:$N34,0)</f>
        <v>3</v>
      </c>
      <c r="CP34" s="9">
        <f>RANK(K34,$I34:$N34,0)</f>
        <v>1</v>
      </c>
      <c r="CQ34" s="9">
        <f>RANK(L34,$I34:$N34,0)</f>
        <v>6</v>
      </c>
      <c r="CR34" s="9">
        <f>RANK(M34,$I34:$N34,0)</f>
        <v>5</v>
      </c>
      <c r="CS34" s="9">
        <f>RANK(N34,$I34:$N34,0)</f>
        <v>4</v>
      </c>
      <c r="CT34" s="9"/>
      <c r="CU34" s="9" t="str">
        <f>IF($H34&gt;I34,"SUP","RES")</f>
        <v>SUP</v>
      </c>
      <c r="CV34" s="9" t="str">
        <f>IF($H34&gt;J34,"SUP","RES")</f>
        <v>SUP</v>
      </c>
      <c r="CW34" s="9" t="str">
        <f>IF($H34&gt;K34,"SUP","RES")</f>
        <v>RES</v>
      </c>
      <c r="CX34" s="9" t="str">
        <f>IF($H34&gt;L34,"SUP","RES")</f>
        <v>SUP</v>
      </c>
      <c r="CY34" s="9" t="str">
        <f>IF($H34&gt;M34,"SUP","RES")</f>
        <v>SUP</v>
      </c>
      <c r="CZ34" s="9" t="str">
        <f>IF($H34&gt;N34,"SUP","RES")</f>
        <v>SUP</v>
      </c>
      <c r="DA34" s="9"/>
      <c r="DB34" s="12">
        <f>(I34-$H34)/$H34</f>
        <v>-1.2601119083840667E-3</v>
      </c>
      <c r="DC34" s="12">
        <f>(J34-$H34)/$H34</f>
        <v>-1.7040891610788365E-3</v>
      </c>
      <c r="DD34" s="12">
        <f>(K34-$H34)/$H34</f>
        <v>4.048027892218765E-4</v>
      </c>
      <c r="DE34" s="12">
        <f>(L34-$H34)/$H34</f>
        <v>-3.7803357251520145E-3</v>
      </c>
      <c r="DF34" s="12">
        <f>(M34-$H34)/$H34</f>
        <v>-3.6889286437147687E-3</v>
      </c>
      <c r="DG34" s="12">
        <f>(N34-$H34)/$H34</f>
        <v>-2.2655898041930283E-3</v>
      </c>
      <c r="DH34" s="12"/>
      <c r="DI34" s="12">
        <f>((H34-MIN(I34:N34))/(MAX(I34:N34)-MIN(I34:N34)))</f>
        <v>0.9032761310452263</v>
      </c>
      <c r="DJ34" s="13">
        <f t="shared" si="2"/>
        <v>1</v>
      </c>
      <c r="DK34" s="14">
        <f t="shared" si="3"/>
        <v>5</v>
      </c>
      <c r="DL34" s="12">
        <f t="shared" si="18"/>
        <v>4.048027892218765E-4</v>
      </c>
      <c r="DM34" s="12">
        <f t="shared" si="19"/>
        <v>-1.2601119083840667E-3</v>
      </c>
      <c r="DN34" s="12">
        <f t="shared" si="20"/>
        <v>-1.7040891610788365E-3</v>
      </c>
      <c r="DO34" s="12">
        <f t="shared" si="21"/>
        <v>-2.2655898041930283E-3</v>
      </c>
      <c r="DP34" s="12">
        <f t="shared" si="22"/>
        <v>-3.6889286437147687E-3</v>
      </c>
      <c r="DQ34" s="12">
        <f t="shared" si="23"/>
        <v>-3.7803357251520145E-3</v>
      </c>
      <c r="DR34" s="9"/>
      <c r="DS34" s="9" t="str">
        <f>IF(AQ34&gt;AG34,"Overbought",IF(AQ34&gt;AI34,"Bullish Momentum",IF(AQ34&gt;AK34,"Overprice Setting Up","-----")))</f>
        <v>Overprice Setting Up</v>
      </c>
      <c r="DT34" s="9" t="str">
        <f>IF(AQ34&lt;AP34,"Oversold",IF(AQ34&lt;AN34,"Bearish Momentum",IF(AQ34&lt;AL34,"Underprice Setting Up","-----")))</f>
        <v>-----</v>
      </c>
      <c r="DU34" s="9"/>
      <c r="DV34" s="12" t="str">
        <f>IF(AND(AT34&gt;AU34,AT33&gt;AU33,AT32&gt;AU32,AT31&gt;AU31,AT30&gt;AU30,AT29&gt;AU29,AT28&gt;AU28,AT27&gt;AU27,AT26&gt;AU26,AT25&gt;AU25,AT24&gt;AU24,AT23&gt;AU23),"Bullish",IF(AND(AT34&lt;AU34,AT33&lt;AU33,AT32&lt;AU32,AT31&lt;AU31,AT30&lt;AU30,AT29&lt;AU29,AT28&lt;AU28,AT27&lt;AU27,AT26&lt;AU26,AT25&lt;AU25,AT24&lt;AU24,AT23&lt;AU23),"Bearish","-----"))</f>
        <v>Bearish</v>
      </c>
      <c r="DW34" s="12"/>
      <c r="DX34" s="23">
        <f>(AR34-AT34)/AT34</f>
        <v>-8.4929018939019718E-5</v>
      </c>
      <c r="DY34" s="23">
        <f t="shared" si="4"/>
        <v>1.0537456330070656</v>
      </c>
      <c r="DZ34" s="23" t="str">
        <f>IF(DY34&gt;PERCENTILE($DY$5:$DY$103,90%),"Reverse to Bearish",IF(DY34&gt;=PERCENTILE($DY$5:$DY$103,70%),"-----",IF(DY34&gt;=PERCENTILE($DY$5:$DY$103,30%),"-----",IF(DY34&gt;=PERCENTILE($DY$5:$DY$103,10%),"-----","Reverse to Bullish"))))</f>
        <v>-----</v>
      </c>
      <c r="EA34" s="23" t="str">
        <f>IF(AQ34&gt;AR34,"Bullish","Bearish")</f>
        <v>Bullish</v>
      </c>
      <c r="EB34" s="22" t="str">
        <f>IF(AND(H34&gt;AQ34,H33&lt;AQ33),"TEMA crossover","-----")</f>
        <v>-----</v>
      </c>
      <c r="EC34" s="22" t="str">
        <f>IF(AND(H34&lt;AQ34,H33&gt;AQ33),"TEMA crossunder","-----")</f>
        <v>-----</v>
      </c>
      <c r="ED34" s="22"/>
      <c r="EE34" s="24" t="str">
        <f t="shared" si="33"/>
        <v>YES</v>
      </c>
      <c r="EF34" s="24" t="str">
        <f t="shared" si="34"/>
        <v>-----</v>
      </c>
      <c r="EG34" s="24" t="str">
        <f t="shared" si="35"/>
        <v>-----</v>
      </c>
      <c r="EH34" s="24" t="str">
        <f t="shared" si="36"/>
        <v>-----</v>
      </c>
      <c r="EI34" s="25" t="str">
        <f>IF(DV34="Bullish","YES","-----")</f>
        <v>-----</v>
      </c>
      <c r="EJ34" s="25" t="str">
        <f>IF(DZ34="Reverse to Bullish","YES","-----")</f>
        <v>-----</v>
      </c>
      <c r="EK34" s="25" t="str">
        <f>IF(AND(EA34="Bearish",EA33="Bearish",EA32="Bearish",EA31="Bearish"),"YES","-----")</f>
        <v>-----</v>
      </c>
      <c r="EL34" s="25" t="str">
        <f>IF(OR(EC34="TEMA crossover",EC33="TEMA crossover",EC32="TEMA crossover",EC31="TEMA crossover"),"YES","-----")</f>
        <v>-----</v>
      </c>
      <c r="EM34" s="24" t="str">
        <f>IF(AND(EE34="YES",EF34="YES",EG34="YES",EH34="YES"),"Open Sell / Close Buy","-----")</f>
        <v>-----</v>
      </c>
      <c r="EN34" s="25" t="str">
        <f t="shared" si="32"/>
        <v>-----</v>
      </c>
      <c r="EO34" s="23"/>
      <c r="EP34" s="9" t="str">
        <f>IF(AND(H34&gt;AV34,H34&gt;E34),"Bullish Trigger","-----")</f>
        <v>-----</v>
      </c>
      <c r="EQ34" s="9" t="str">
        <f>IF(AND(H34&lt;AW34,H34&lt;E34),"Bearish Trigger","-----")</f>
        <v>-----</v>
      </c>
      <c r="ER34" s="9"/>
      <c r="ES34" s="9" t="str">
        <f>IF(G34&gt;AV34,"Bullish Spike","-----")</f>
        <v>-----</v>
      </c>
      <c r="ET34" s="9" t="str">
        <f>IF(F34&lt;AW34,"Bearish Spike","-----")</f>
        <v>-----</v>
      </c>
      <c r="EU34" s="9"/>
      <c r="EV34" s="20">
        <f t="shared" si="5"/>
        <v>0.11199999999999477</v>
      </c>
      <c r="EW34" s="9">
        <f t="shared" si="24"/>
        <v>0.83481787530271168</v>
      </c>
      <c r="EX34" s="21" t="str">
        <f t="shared" si="25"/>
        <v>-----</v>
      </c>
      <c r="EY34" s="9"/>
    </row>
    <row r="35" spans="1:155" x14ac:dyDescent="0.55000000000000004">
      <c r="A35">
        <v>31</v>
      </c>
      <c r="B35" t="s">
        <v>34</v>
      </c>
      <c r="C35" t="s">
        <v>4</v>
      </c>
      <c r="D35" t="s">
        <v>103</v>
      </c>
      <c r="E35">
        <v>153.161</v>
      </c>
      <c r="F35">
        <v>153.17400000000001</v>
      </c>
      <c r="G35">
        <v>153.053</v>
      </c>
      <c r="H35">
        <v>153.053</v>
      </c>
      <c r="I35">
        <v>152.96600000000001</v>
      </c>
      <c r="J35">
        <v>152.9</v>
      </c>
      <c r="K35">
        <v>153.22200000000001</v>
      </c>
      <c r="L35">
        <v>152.583</v>
      </c>
      <c r="M35">
        <v>152.596</v>
      </c>
      <c r="N35">
        <v>152.815</v>
      </c>
      <c r="O35" s="16">
        <f t="shared" si="0"/>
        <v>0.12100000000000932</v>
      </c>
      <c r="P35" s="16">
        <f t="shared" si="6"/>
        <v>1.300000000000523E-2</v>
      </c>
      <c r="Q35" s="16">
        <f t="shared" si="7"/>
        <v>0.10800000000000409</v>
      </c>
      <c r="R35" s="16">
        <f t="shared" si="8"/>
        <v>0.12100000000000932</v>
      </c>
      <c r="S35" s="16">
        <f t="shared" si="43"/>
        <v>0.11611879899754184</v>
      </c>
      <c r="T35">
        <v>0</v>
      </c>
      <c r="U35">
        <v>0</v>
      </c>
      <c r="V35">
        <v>0</v>
      </c>
      <c r="W35">
        <v>0</v>
      </c>
      <c r="Y35" s="9" t="str">
        <f t="shared" si="9"/>
        <v>------</v>
      </c>
      <c r="Z35" s="9" t="str">
        <f t="shared" si="10"/>
        <v>------</v>
      </c>
      <c r="AA35" s="9"/>
      <c r="AB35">
        <v>0</v>
      </c>
      <c r="AD35" t="str">
        <f t="shared" si="1"/>
        <v/>
      </c>
      <c r="AE35">
        <v>1.3623099999999999</v>
      </c>
      <c r="AF35">
        <v>3</v>
      </c>
      <c r="AG35">
        <v>153.38824</v>
      </c>
      <c r="AH35">
        <v>153.30458999999999</v>
      </c>
      <c r="AI35">
        <v>153.22094000000001</v>
      </c>
      <c r="AJ35">
        <v>153.13730000000001</v>
      </c>
      <c r="AK35">
        <v>153.05365</v>
      </c>
      <c r="AL35">
        <v>152.93489</v>
      </c>
      <c r="AM35">
        <v>152.85123999999999</v>
      </c>
      <c r="AN35">
        <v>152.76759000000001</v>
      </c>
      <c r="AO35">
        <v>152.68394000000001</v>
      </c>
      <c r="AP35">
        <v>152.60029</v>
      </c>
      <c r="AQ35">
        <v>153.124</v>
      </c>
      <c r="AR35">
        <v>153.07</v>
      </c>
      <c r="AS35">
        <f t="shared" si="26"/>
        <v>31</v>
      </c>
      <c r="AT35">
        <v>153.071</v>
      </c>
      <c r="AU35">
        <v>153.16999999999999</v>
      </c>
      <c r="AV35">
        <v>153.18600000000001</v>
      </c>
      <c r="AW35">
        <v>153.07</v>
      </c>
      <c r="AY35" s="4">
        <f>I35*(1+$AY$2)</f>
        <v>152.98894490000004</v>
      </c>
      <c r="AZ35" s="4">
        <f>I35*(1-$AY$2)</f>
        <v>152.94305510000001</v>
      </c>
      <c r="BA35" s="4">
        <f>J35*(1+$AY$2)</f>
        <v>152.92293500000002</v>
      </c>
      <c r="BB35" s="4">
        <f>J35*(1-$AY$2)</f>
        <v>152.87706500000002</v>
      </c>
      <c r="BC35" s="4">
        <f>K35*(1+$AY$2)</f>
        <v>153.24498330000003</v>
      </c>
      <c r="BD35" s="4">
        <f>K35*(1-$AY$2)</f>
        <v>153.19901670000002</v>
      </c>
      <c r="BE35" s="4">
        <f>L35*(1+$AY$2)</f>
        <v>152.60588745000001</v>
      </c>
      <c r="BF35" s="4">
        <f>L35*(1-$AY$2)</f>
        <v>152.56011255000001</v>
      </c>
      <c r="BG35" s="4">
        <f>M35*(1+$AY$2)</f>
        <v>152.61888940000003</v>
      </c>
      <c r="BH35" s="4">
        <f>M35*(1-$AY$2)</f>
        <v>152.57311060000001</v>
      </c>
      <c r="BI35" s="4">
        <f>N35*(1+$AY$2)</f>
        <v>152.83792225000002</v>
      </c>
      <c r="BJ35" s="4">
        <f>N35*(1-$AY$2)</f>
        <v>152.79207775</v>
      </c>
      <c r="BK35" s="30">
        <f t="shared" si="27"/>
        <v>31</v>
      </c>
      <c r="BL35" s="15" t="str">
        <f t="shared" si="11"/>
        <v>-----</v>
      </c>
      <c r="BM35" s="15" t="str">
        <f t="shared" si="12"/>
        <v>-----</v>
      </c>
      <c r="BN35" s="15" t="str">
        <f t="shared" si="13"/>
        <v>-----</v>
      </c>
      <c r="BO35" s="15" t="str">
        <f t="shared" si="14"/>
        <v>-----</v>
      </c>
      <c r="BP35" s="15" t="str">
        <f t="shared" si="15"/>
        <v>-----</v>
      </c>
      <c r="BQ35" s="15" t="str">
        <f t="shared" si="16"/>
        <v>-----</v>
      </c>
      <c r="BR35" s="22"/>
      <c r="BS35" s="9">
        <f t="shared" si="17"/>
        <v>-2.423265306122455E-3</v>
      </c>
      <c r="BT35" s="9">
        <f>SLOPE(J$5:J$103,$A$5:$A$103)</f>
        <v>-3.7194805194805478E-4</v>
      </c>
      <c r="BU35" s="9">
        <f>SLOPE(K$5:K$103,$A$5:$A$103)</f>
        <v>-1.6402721088435472E-3</v>
      </c>
      <c r="BV35" s="9">
        <f>SLOPE(L$5:L$103,$A$5:$A$103)</f>
        <v>7.6471243042669956E-4</v>
      </c>
      <c r="BW35" s="9">
        <f>SLOPE(M$5:M$103,$A$5:$A$103)</f>
        <v>-2.3081014223875058E-4</v>
      </c>
      <c r="BX35" s="9">
        <f>SLOPE(N$5:N$103,$A$5:$A$103)</f>
        <v>1.5802844774273381E-3</v>
      </c>
      <c r="BY35"/>
      <c r="BZ35" s="9">
        <f t="shared" si="37"/>
        <v>-1.9079214597220278</v>
      </c>
      <c r="CA35" s="9">
        <f t="shared" si="38"/>
        <v>-0.29295343676527091</v>
      </c>
      <c r="CB35" s="9">
        <f t="shared" si="39"/>
        <v>-1.2917022253843653</v>
      </c>
      <c r="CC35" s="9">
        <f t="shared" si="40"/>
        <v>0.60228527619529781</v>
      </c>
      <c r="CD35" s="9">
        <f t="shared" si="41"/>
        <v>-0.18179147971962978</v>
      </c>
      <c r="CE35" s="9">
        <f t="shared" si="42"/>
        <v>1.2444775446344229</v>
      </c>
      <c r="CF35"/>
      <c r="CG35" s="18" t="str" cm="1">
        <f t="array" ref="CG35">_xlfn.IFS(BZ35&gt;3,"Strong + Slope",BZ35&gt;1.5,"Moderate + Slope",BZ35&gt;0.5,"Sideway + Slope",BZ35&gt;=-0.5,"Sideway Flat",BZ35&gt;=-1.5,"Sideway - Slope",BZ35&gt;=-3,"Moderate - Slope",TRUE,"Strong - Slope")</f>
        <v>Moderate - Slope</v>
      </c>
      <c r="CH35" s="18" t="str" cm="1">
        <f t="array" ref="CH35">_xlfn.IFS(CA35&gt;3,"Strong + Slope",CA35&gt;1.5,"Moderate + Slope",CA35&gt;0.5,"Sideway + Slope",CA35&gt;=-0.5,"Sideway Flat",CA35&gt;=-1.5,"Sideway - Slope",CA35&gt;=-3,"Moderate - Slope",TRUE,"Strong - Slope")</f>
        <v>Sideway Flat</v>
      </c>
      <c r="CI35" s="18" t="str" cm="1">
        <f t="array" ref="CI35">_xlfn.IFS(CB35&gt;3,"Strong + Slope",CB35&gt;1.5,"Moderate + Slope",CB35&gt;0.5,"Sideway + Slope",CB35&gt;=-0.5,"Sideway Flat",CB35&gt;=-1.5,"Sideway - Slope",CB35&gt;=-3,"Moderate - Slope",TRUE,"Strong - Slope")</f>
        <v>Sideway - Slope</v>
      </c>
      <c r="CJ35" s="18" t="str" cm="1">
        <f t="array" ref="CJ35">_xlfn.IFS(CC35&gt;3,"Strong + Slope",CC35&gt;1.5,"Moderate + Slope",CC35&gt;0.5,"Sideway + Slope",CC35&gt;=-0.5,"Sideway Flat",CC35&gt;=-1.5,"Sideway - Slope",CC35&gt;=-3,"Moderate - Slope",TRUE,"Strong - Slope")</f>
        <v>Sideway + Slope</v>
      </c>
      <c r="CK35" s="18" t="str" cm="1">
        <f t="array" ref="CK35">_xlfn.IFS(CD35&gt;3,"Strong + Slope",CD35&gt;1.5,"Moderate + Slope",CD35&gt;0.5,"Sideway + Slope",CD35&gt;=-0.5,"Sideway Flat",CD35&gt;=-1.5,"Sideway - Slope",CD35&gt;=-3,"Moderate - Slope",TRUE,"Strong - Slope")</f>
        <v>Sideway Flat</v>
      </c>
      <c r="CL35" s="18" t="str" cm="1">
        <f t="array" ref="CL35">_xlfn.IFS(CE35&gt;3,"Strong + Slope",CE35&gt;1.5,"Moderate + Slope",CE35&gt;0.5,"Sideway + Slope",CE35&gt;=-0.5,"Sideway Flat",CE35&gt;=-1.5,"Sideway - Slope",CE35&gt;=-3,"Moderate - Slope",TRUE,"Strong - Slope")</f>
        <v>Sideway + Slope</v>
      </c>
      <c r="CM35" s="9"/>
      <c r="CN35" s="9">
        <f>RANK(I35,$I35:$N35,0)</f>
        <v>2</v>
      </c>
      <c r="CO35" s="9">
        <f>RANK(J35,$I35:$N35,0)</f>
        <v>3</v>
      </c>
      <c r="CP35" s="9">
        <f>RANK(K35,$I35:$N35,0)</f>
        <v>1</v>
      </c>
      <c r="CQ35" s="9">
        <f>RANK(L35,$I35:$N35,0)</f>
        <v>6</v>
      </c>
      <c r="CR35" s="9">
        <f>RANK(M35,$I35:$N35,0)</f>
        <v>5</v>
      </c>
      <c r="CS35" s="9">
        <f>RANK(N35,$I35:$N35,0)</f>
        <v>4</v>
      </c>
      <c r="CT35" s="9"/>
      <c r="CU35" s="9" t="str">
        <f>IF($H35&gt;I35,"SUP","RES")</f>
        <v>SUP</v>
      </c>
      <c r="CV35" s="9" t="str">
        <f>IF($H35&gt;J35,"SUP","RES")</f>
        <v>SUP</v>
      </c>
      <c r="CW35" s="9" t="str">
        <f>IF($H35&gt;K35,"SUP","RES")</f>
        <v>RES</v>
      </c>
      <c r="CX35" s="9" t="str">
        <f>IF($H35&gt;L35,"SUP","RES")</f>
        <v>SUP</v>
      </c>
      <c r="CY35" s="9" t="str">
        <f>IF($H35&gt;M35,"SUP","RES")</f>
        <v>SUP</v>
      </c>
      <c r="CZ35" s="9" t="str">
        <f>IF($H35&gt;N35,"SUP","RES")</f>
        <v>SUP</v>
      </c>
      <c r="DA35" s="9"/>
      <c r="DB35" s="12">
        <f>(I35-$H35)/$H35</f>
        <v>-5.6843054366780845E-4</v>
      </c>
      <c r="DC35" s="12">
        <f>(J35-$H35)/$H35</f>
        <v>-9.9965371472621645E-4</v>
      </c>
      <c r="DD35" s="12">
        <f>(K35-$H35)/$H35</f>
        <v>1.1041926652859541E-3</v>
      </c>
      <c r="DE35" s="12">
        <f>(L35-$H35)/$H35</f>
        <v>-3.0708316726885385E-3</v>
      </c>
      <c r="DF35" s="12">
        <f>(M35-$H35)/$H35</f>
        <v>-2.9858937753588209E-3</v>
      </c>
      <c r="DG35" s="12">
        <f>(N35-$H35)/$H35</f>
        <v>-1.5550168895741969E-3</v>
      </c>
      <c r="DH35" s="12"/>
      <c r="DI35" s="12">
        <f>((H35-MIN(I35:N35))/(MAX(I35:N35)-MIN(I35:N35)))</f>
        <v>0.73552425665100396</v>
      </c>
      <c r="DJ35" s="13">
        <f t="shared" si="2"/>
        <v>1</v>
      </c>
      <c r="DK35" s="14">
        <f t="shared" si="3"/>
        <v>5</v>
      </c>
      <c r="DL35" s="12">
        <f t="shared" si="18"/>
        <v>1.1041926652859541E-3</v>
      </c>
      <c r="DM35" s="12">
        <f t="shared" si="19"/>
        <v>-5.6843054366780845E-4</v>
      </c>
      <c r="DN35" s="12">
        <f t="shared" si="20"/>
        <v>-9.9965371472621645E-4</v>
      </c>
      <c r="DO35" s="12">
        <f t="shared" si="21"/>
        <v>-1.5550168895741969E-3</v>
      </c>
      <c r="DP35" s="12">
        <f t="shared" si="22"/>
        <v>-2.9858937753588209E-3</v>
      </c>
      <c r="DQ35" s="12">
        <f t="shared" si="23"/>
        <v>-3.0708316726885385E-3</v>
      </c>
      <c r="DR35" s="9"/>
      <c r="DS35" s="9" t="str">
        <f>IF(AQ35&gt;AG35,"Overbought",IF(AQ35&gt;AI35,"Bullish Momentum",IF(AQ35&gt;AK35,"Overprice Setting Up","-----")))</f>
        <v>Overprice Setting Up</v>
      </c>
      <c r="DT35" s="9" t="str">
        <f>IF(AQ35&lt;AP35,"Oversold",IF(AQ35&lt;AN35,"Bearish Momentum",IF(AQ35&lt;AL35,"Underprice Setting Up","-----")))</f>
        <v>-----</v>
      </c>
      <c r="DU35" s="9"/>
      <c r="DV35" s="12" t="str">
        <f>IF(AND(AT35&gt;AU35,AT34&gt;AU34,AT33&gt;AU33,AT32&gt;AU32,AT31&gt;AU31,AT30&gt;AU30,AT29&gt;AU29,AT28&gt;AU28,AT27&gt;AU27,AT26&gt;AU26,AT25&gt;AU25,AT24&gt;AU24),"Bullish",IF(AND(AT35&lt;AU35,AT34&lt;AU34,AT33&lt;AU33,AT32&lt;AU32,AT31&lt;AU31,AT30&lt;AU30,AT29&lt;AU29,AT28&lt;AU28,AT27&lt;AU27,AT26&lt;AU26,AT25&lt;AU25,AT24&lt;AU24),"Bearish","-----"))</f>
        <v>Bearish</v>
      </c>
      <c r="DW35" s="12"/>
      <c r="DX35" s="23">
        <f>(AR35-AT35)/AT35</f>
        <v>-6.5329160977897507E-6</v>
      </c>
      <c r="DY35" s="23">
        <f t="shared" si="4"/>
        <v>1.2798441311194189</v>
      </c>
      <c r="DZ35" s="23" t="str">
        <f>IF(DY35&gt;PERCENTILE($DY$5:$DY$103,90%),"Reverse to Bearish",IF(DY35&gt;=PERCENTILE($DY$5:$DY$103,70%),"-----",IF(DY35&gt;=PERCENTILE($DY$5:$DY$103,30%),"-----",IF(DY35&gt;=PERCENTILE($DY$5:$DY$103,10%),"-----","Reverse to Bullish"))))</f>
        <v>Reverse to Bearish</v>
      </c>
      <c r="EA35" s="23" t="str">
        <f>IF(AQ35&gt;AR35,"Bullish","Bearish")</f>
        <v>Bullish</v>
      </c>
      <c r="EB35" s="22" t="str">
        <f>IF(AND(H35&gt;AQ35,H34&lt;AQ34),"TEMA crossover","-----")</f>
        <v>-----</v>
      </c>
      <c r="EC35" s="22" t="str">
        <f>IF(AND(H35&lt;AQ35,H34&gt;AQ34),"TEMA crossunder","-----")</f>
        <v>TEMA crossunder</v>
      </c>
      <c r="ED35" s="22"/>
      <c r="EE35" s="24" t="str">
        <f>IF(DV35="Bearish","YES","-----")</f>
        <v>YES</v>
      </c>
      <c r="EF35" s="24" t="str">
        <f>IF(DZ35="Reverse to Bearish","YES","-----")</f>
        <v>YES</v>
      </c>
      <c r="EG35" s="24" t="str">
        <f>IF(AND(EA35="Bullish",EA34="Bullish",EA33="Bullish",EA32="Bullish"),"YES","-----")</f>
        <v>YES</v>
      </c>
      <c r="EH35" s="24" t="str">
        <f>IF(OR(EC35="TEMA crossunder",EC34="TEMA crossunder",EC33="TEMA crossunder",EC32="TEMA crossunder"),"YES","-----")</f>
        <v>YES</v>
      </c>
      <c r="EI35" s="25" t="str">
        <f>IF(DV35="Bullish","YES","-----")</f>
        <v>-----</v>
      </c>
      <c r="EJ35" s="25" t="str">
        <f>IF(DZ35="Reverse to Bullish","YES","-----")</f>
        <v>-----</v>
      </c>
      <c r="EK35" s="25" t="str">
        <f>IF(AND(EA35="Bearish",EA34="Bearish",EA33="Bearish",EA32="Bearish"),"YES","-----")</f>
        <v>-----</v>
      </c>
      <c r="EL35" s="25" t="str">
        <f>IF(OR(EC35="TEMA crossover",EC34="TEMA crossover",EC33="TEMA crossover",EC32="TEMA crossover"),"YES","-----")</f>
        <v>-----</v>
      </c>
      <c r="EM35" s="24" t="str">
        <f>IF(AND(EE35="YES",EF35="YES",EG35="YES",EH35="YES"),"Open Sell / Close Buy","-----")</f>
        <v>Open Sell / Close Buy</v>
      </c>
      <c r="EN35" s="25" t="str">
        <f>IF(AND(EI35="YES",EJ35="YES",EK35="YES",EL35="YES"),"Open Buy / Close Sell","-----")</f>
        <v>-----</v>
      </c>
      <c r="EO35" s="23"/>
      <c r="EP35" s="9" t="str">
        <f>IF(AND(H35&gt;AV35,H35&gt;E35),"Bullish Trigger","-----")</f>
        <v>-----</v>
      </c>
      <c r="EQ35" s="9" t="str">
        <f>IF(AND(H35&lt;AW35,H35&lt;E35),"Bearish Trigger","-----")</f>
        <v>Bearish Trigger</v>
      </c>
      <c r="ER35" s="9"/>
      <c r="ES35" s="9" t="str">
        <f>IF(G35&gt;AV35,"Bullish Spike","-----")</f>
        <v>-----</v>
      </c>
      <c r="ET35" s="9" t="str">
        <f>IF(F35&lt;AW35,"Bearish Spike","-----")</f>
        <v>-----</v>
      </c>
      <c r="EU35" s="9"/>
      <c r="EV35" s="20">
        <f t="shared" si="5"/>
        <v>0.11600000000001387</v>
      </c>
      <c r="EW35" s="9">
        <f t="shared" si="24"/>
        <v>0.92700635233046391</v>
      </c>
      <c r="EX35" s="21" t="str">
        <f t="shared" si="25"/>
        <v>-----</v>
      </c>
      <c r="EY35" s="9"/>
    </row>
    <row r="36" spans="1:155" x14ac:dyDescent="0.55000000000000004">
      <c r="A36">
        <v>32</v>
      </c>
      <c r="B36" t="s">
        <v>35</v>
      </c>
      <c r="C36" t="s">
        <v>4</v>
      </c>
      <c r="D36" t="s">
        <v>103</v>
      </c>
      <c r="E36">
        <v>153.053</v>
      </c>
      <c r="F36">
        <v>153.09399999999999</v>
      </c>
      <c r="G36">
        <v>153.05199999999999</v>
      </c>
      <c r="H36">
        <v>153.05699999999999</v>
      </c>
      <c r="I36">
        <v>152.96299999999999</v>
      </c>
      <c r="J36">
        <v>152.9</v>
      </c>
      <c r="K36">
        <v>153.22</v>
      </c>
      <c r="L36">
        <v>152.584</v>
      </c>
      <c r="M36">
        <v>152.596</v>
      </c>
      <c r="N36">
        <v>152.81700000000001</v>
      </c>
      <c r="O36" s="16">
        <f t="shared" si="0"/>
        <v>4.2000000000001592E-2</v>
      </c>
      <c r="P36" s="16">
        <f t="shared" si="6"/>
        <v>4.0999999999996817E-2</v>
      </c>
      <c r="Q36" s="16">
        <f t="shared" si="7"/>
        <v>1.0000000000047748E-3</v>
      </c>
      <c r="R36" s="16">
        <f t="shared" si="8"/>
        <v>4.2000000000001592E-2</v>
      </c>
      <c r="S36" s="16">
        <f t="shared" si="43"/>
        <v>0.1108245990691461</v>
      </c>
      <c r="T36">
        <v>0</v>
      </c>
      <c r="U36">
        <v>0</v>
      </c>
      <c r="V36">
        <v>0</v>
      </c>
      <c r="W36">
        <v>0</v>
      </c>
      <c r="Y36" s="9" t="str">
        <f t="shared" si="9"/>
        <v>------</v>
      </c>
      <c r="Z36" s="9" t="str">
        <f t="shared" si="10"/>
        <v>------</v>
      </c>
      <c r="AA36" s="9"/>
      <c r="AB36">
        <v>1</v>
      </c>
      <c r="AD36" t="str">
        <f t="shared" ref="AD36:AD48" si="44">IF(OR(Y36="Important High",Z36="Important High"),IF(AB36=1,"Important High with Rejection",""),IF(OR(Y36="Important Low",Z36="Important Low"),IF(AB36=1,"Important Low with Rejection",""),""))</f>
        <v/>
      </c>
      <c r="AE36">
        <v>1.0097499999999999</v>
      </c>
      <c r="AF36">
        <v>0</v>
      </c>
      <c r="AG36">
        <v>153.39069000000001</v>
      </c>
      <c r="AH36">
        <v>153.30725000000001</v>
      </c>
      <c r="AI36">
        <v>153.22380999999999</v>
      </c>
      <c r="AJ36">
        <v>153.14036999999999</v>
      </c>
      <c r="AK36">
        <v>153.05692999999999</v>
      </c>
      <c r="AL36">
        <v>152.93997999999999</v>
      </c>
      <c r="AM36">
        <v>152.85654</v>
      </c>
      <c r="AN36">
        <v>152.77311</v>
      </c>
      <c r="AO36">
        <v>152.68967000000001</v>
      </c>
      <c r="AP36">
        <v>152.60623000000001</v>
      </c>
      <c r="AQ36">
        <v>153.10499999999999</v>
      </c>
      <c r="AR36">
        <v>153.077</v>
      </c>
      <c r="AS36">
        <f t="shared" si="26"/>
        <v>32</v>
      </c>
      <c r="AT36">
        <v>153.071</v>
      </c>
      <c r="AU36">
        <v>153.167</v>
      </c>
      <c r="AV36">
        <v>153.15</v>
      </c>
      <c r="AW36">
        <v>153.07</v>
      </c>
      <c r="AY36" s="4">
        <f>I36*(1+$AY$2)</f>
        <v>152.98594445000001</v>
      </c>
      <c r="AZ36" s="4">
        <f>I36*(1-$AY$2)</f>
        <v>152.94005554999998</v>
      </c>
      <c r="BA36" s="4">
        <f>J36*(1+$AY$2)</f>
        <v>152.92293500000002</v>
      </c>
      <c r="BB36" s="4">
        <f>J36*(1-$AY$2)</f>
        <v>152.87706500000002</v>
      </c>
      <c r="BC36" s="4">
        <f>K36*(1+$AY$2)</f>
        <v>153.24298300000001</v>
      </c>
      <c r="BD36" s="4">
        <f>K36*(1-$AY$2)</f>
        <v>153.19701699999999</v>
      </c>
      <c r="BE36" s="4">
        <f>L36*(1+$AY$2)</f>
        <v>152.60688760000002</v>
      </c>
      <c r="BF36" s="4">
        <f>L36*(1-$AY$2)</f>
        <v>152.56111240000001</v>
      </c>
      <c r="BG36" s="4">
        <f>M36*(1+$AY$2)</f>
        <v>152.61888940000003</v>
      </c>
      <c r="BH36" s="4">
        <f>M36*(1-$AY$2)</f>
        <v>152.57311060000001</v>
      </c>
      <c r="BI36" s="4">
        <f>N36*(1+$AY$2)</f>
        <v>152.83992255000001</v>
      </c>
      <c r="BJ36" s="4">
        <f>N36*(1-$AY$2)</f>
        <v>152.79407745</v>
      </c>
      <c r="BK36" s="30">
        <f t="shared" si="27"/>
        <v>32</v>
      </c>
      <c r="BL36" s="15" t="str">
        <f t="shared" si="11"/>
        <v>-----</v>
      </c>
      <c r="BM36" s="15" t="str">
        <f t="shared" si="12"/>
        <v>-----</v>
      </c>
      <c r="BN36" s="15" t="str">
        <f t="shared" si="13"/>
        <v>-----</v>
      </c>
      <c r="BO36" s="15" t="str">
        <f t="shared" si="14"/>
        <v>-----</v>
      </c>
      <c r="BP36" s="15" t="str">
        <f t="shared" si="15"/>
        <v>-----</v>
      </c>
      <c r="BQ36" s="15" t="str">
        <f t="shared" si="16"/>
        <v>-----</v>
      </c>
      <c r="BR36" s="22"/>
      <c r="BS36" s="9">
        <f t="shared" si="17"/>
        <v>-2.423265306122455E-3</v>
      </c>
      <c r="BT36" s="9">
        <f>SLOPE(J$5:J$103,$A$5:$A$103)</f>
        <v>-3.7194805194805478E-4</v>
      </c>
      <c r="BU36" s="9">
        <f>SLOPE(K$5:K$103,$A$5:$A$103)</f>
        <v>-1.6402721088435472E-3</v>
      </c>
      <c r="BV36" s="9">
        <f>SLOPE(L$5:L$103,$A$5:$A$103)</f>
        <v>7.6471243042669956E-4</v>
      </c>
      <c r="BW36" s="9">
        <f>SLOPE(M$5:M$103,$A$5:$A$103)</f>
        <v>-2.3081014223875058E-4</v>
      </c>
      <c r="BX36" s="9">
        <f>SLOPE(N$5:N$103,$A$5:$A$103)</f>
        <v>1.5802844774273381E-3</v>
      </c>
      <c r="BY36"/>
      <c r="BZ36" s="9">
        <f t="shared" si="37"/>
        <v>-1.9079214597220278</v>
      </c>
      <c r="CA36" s="9">
        <f t="shared" si="38"/>
        <v>-0.29295343676527091</v>
      </c>
      <c r="CB36" s="9">
        <f t="shared" si="39"/>
        <v>-1.2917022253843653</v>
      </c>
      <c r="CC36" s="9">
        <f t="shared" si="40"/>
        <v>0.60228527619529781</v>
      </c>
      <c r="CD36" s="9">
        <f t="shared" si="41"/>
        <v>-0.18179147971962978</v>
      </c>
      <c r="CE36" s="9">
        <f t="shared" si="42"/>
        <v>1.2444775446344229</v>
      </c>
      <c r="CF36"/>
      <c r="CG36" s="18" t="str" cm="1">
        <f t="array" ref="CG36">_xlfn.IFS(BZ36&gt;3,"Strong + Slope",BZ36&gt;1.5,"Moderate + Slope",BZ36&gt;0.5,"Sideway + Slope",BZ36&gt;=-0.5,"Sideway Flat",BZ36&gt;=-1.5,"Sideway - Slope",BZ36&gt;=-3,"Moderate - Slope",TRUE,"Strong - Slope")</f>
        <v>Moderate - Slope</v>
      </c>
      <c r="CH36" s="18" t="str" cm="1">
        <f t="array" ref="CH36">_xlfn.IFS(CA36&gt;3,"Strong + Slope",CA36&gt;1.5,"Moderate + Slope",CA36&gt;0.5,"Sideway + Slope",CA36&gt;=-0.5,"Sideway Flat",CA36&gt;=-1.5,"Sideway - Slope",CA36&gt;=-3,"Moderate - Slope",TRUE,"Strong - Slope")</f>
        <v>Sideway Flat</v>
      </c>
      <c r="CI36" s="18" t="str" cm="1">
        <f t="array" ref="CI36">_xlfn.IFS(CB36&gt;3,"Strong + Slope",CB36&gt;1.5,"Moderate + Slope",CB36&gt;0.5,"Sideway + Slope",CB36&gt;=-0.5,"Sideway Flat",CB36&gt;=-1.5,"Sideway - Slope",CB36&gt;=-3,"Moderate - Slope",TRUE,"Strong - Slope")</f>
        <v>Sideway - Slope</v>
      </c>
      <c r="CJ36" s="18" t="str" cm="1">
        <f t="array" ref="CJ36">_xlfn.IFS(CC36&gt;3,"Strong + Slope",CC36&gt;1.5,"Moderate + Slope",CC36&gt;0.5,"Sideway + Slope",CC36&gt;=-0.5,"Sideway Flat",CC36&gt;=-1.5,"Sideway - Slope",CC36&gt;=-3,"Moderate - Slope",TRUE,"Strong - Slope")</f>
        <v>Sideway + Slope</v>
      </c>
      <c r="CK36" s="18" t="str" cm="1">
        <f t="array" ref="CK36">_xlfn.IFS(CD36&gt;3,"Strong + Slope",CD36&gt;1.5,"Moderate + Slope",CD36&gt;0.5,"Sideway + Slope",CD36&gt;=-0.5,"Sideway Flat",CD36&gt;=-1.5,"Sideway - Slope",CD36&gt;=-3,"Moderate - Slope",TRUE,"Strong - Slope")</f>
        <v>Sideway Flat</v>
      </c>
      <c r="CL36" s="18" t="str" cm="1">
        <f t="array" ref="CL36">_xlfn.IFS(CE36&gt;3,"Strong + Slope",CE36&gt;1.5,"Moderate + Slope",CE36&gt;0.5,"Sideway + Slope",CE36&gt;=-0.5,"Sideway Flat",CE36&gt;=-1.5,"Sideway - Slope",CE36&gt;=-3,"Moderate - Slope",TRUE,"Strong - Slope")</f>
        <v>Sideway + Slope</v>
      </c>
      <c r="CM36" s="9"/>
      <c r="CN36" s="9">
        <f>RANK(I36,$I36:$N36,0)</f>
        <v>2</v>
      </c>
      <c r="CO36" s="9">
        <f>RANK(J36,$I36:$N36,0)</f>
        <v>3</v>
      </c>
      <c r="CP36" s="9">
        <f>RANK(K36,$I36:$N36,0)</f>
        <v>1</v>
      </c>
      <c r="CQ36" s="9">
        <f>RANK(L36,$I36:$N36,0)</f>
        <v>6</v>
      </c>
      <c r="CR36" s="9">
        <f>RANK(M36,$I36:$N36,0)</f>
        <v>5</v>
      </c>
      <c r="CS36" s="9">
        <f>RANK(N36,$I36:$N36,0)</f>
        <v>4</v>
      </c>
      <c r="CT36" s="9"/>
      <c r="CU36" s="9" t="str">
        <f>IF($H36&gt;I36,"SUP","RES")</f>
        <v>SUP</v>
      </c>
      <c r="CV36" s="9" t="str">
        <f>IF($H36&gt;J36,"SUP","RES")</f>
        <v>SUP</v>
      </c>
      <c r="CW36" s="9" t="str">
        <f>IF($H36&gt;K36,"SUP","RES")</f>
        <v>RES</v>
      </c>
      <c r="CX36" s="9" t="str">
        <f>IF($H36&gt;L36,"SUP","RES")</f>
        <v>SUP</v>
      </c>
      <c r="CY36" s="9" t="str">
        <f>IF($H36&gt;M36,"SUP","RES")</f>
        <v>SUP</v>
      </c>
      <c r="CZ36" s="9" t="str">
        <f>IF($H36&gt;N36,"SUP","RES")</f>
        <v>SUP</v>
      </c>
      <c r="DA36" s="9"/>
      <c r="DB36" s="12">
        <f>(I36-$H36)/$H36</f>
        <v>-6.1415028388112991E-4</v>
      </c>
      <c r="DC36" s="12">
        <f>(J36-$H36)/$H36</f>
        <v>-1.0257616443546018E-3</v>
      </c>
      <c r="DD36" s="12">
        <f>(K36-$H36)/$H36</f>
        <v>1.0649627263046508E-3</v>
      </c>
      <c r="DE36" s="12">
        <f>(L36-$H36)/$H36</f>
        <v>-3.0903519603806737E-3</v>
      </c>
      <c r="DF36" s="12">
        <f>(M36-$H36)/$H36</f>
        <v>-3.0119497964809475E-3</v>
      </c>
      <c r="DG36" s="12">
        <f>(N36-$H36)/$H36</f>
        <v>-1.5680432779943466E-3</v>
      </c>
      <c r="DH36" s="12"/>
      <c r="DI36" s="12">
        <f>((H36-MIN(I36:N36))/(MAX(I36:N36)-MIN(I36:N36)))</f>
        <v>0.7437106918238805</v>
      </c>
      <c r="DJ36" s="13">
        <f t="shared" si="2"/>
        <v>1</v>
      </c>
      <c r="DK36" s="14">
        <f t="shared" si="3"/>
        <v>5</v>
      </c>
      <c r="DL36" s="12">
        <f t="shared" si="18"/>
        <v>1.0649627263046508E-3</v>
      </c>
      <c r="DM36" s="12">
        <f t="shared" si="19"/>
        <v>-6.1415028388112991E-4</v>
      </c>
      <c r="DN36" s="12">
        <f t="shared" si="20"/>
        <v>-1.0257616443546018E-3</v>
      </c>
      <c r="DO36" s="12">
        <f t="shared" si="21"/>
        <v>-1.5680432779943466E-3</v>
      </c>
      <c r="DP36" s="12">
        <f t="shared" si="22"/>
        <v>-3.0119497964809475E-3</v>
      </c>
      <c r="DQ36" s="12">
        <f t="shared" si="23"/>
        <v>-3.0903519603806737E-3</v>
      </c>
      <c r="DR36" s="9"/>
      <c r="DS36" s="9" t="str">
        <f>IF(AQ36&gt;AG36,"Overbought",IF(AQ36&gt;AI36,"Bullish Momentum",IF(AQ36&gt;AK36,"Overprice Setting Up","-----")))</f>
        <v>Overprice Setting Up</v>
      </c>
      <c r="DT36" s="9" t="str">
        <f>IF(AQ36&lt;AP36,"Oversold",IF(AQ36&lt;AN36,"Bearish Momentum",IF(AQ36&lt;AL36,"Underprice Setting Up","-----")))</f>
        <v>-----</v>
      </c>
      <c r="DU36" s="9"/>
      <c r="DV36" s="12" t="str">
        <f>IF(AND(AT36&gt;AU36,AT35&gt;AU35,AT34&gt;AU34,AT33&gt;AU33,AT32&gt;AU32,AT31&gt;AU31,AT30&gt;AU30,AT29&gt;AU29,AT28&gt;AU28,AT27&gt;AU27,AT26&gt;AU26,AT25&gt;AU25),"Bullish",IF(AND(AT36&lt;AU36,AT35&lt;AU35,AT34&lt;AU34,AT33&lt;AU33,AT32&lt;AU32,AT31&lt;AU31,AT30&lt;AU30,AT29&lt;AU29,AT28&lt;AU28,AT27&lt;AU27,AT26&lt;AU26,AT25&lt;AU25),"Bearish","-----"))</f>
        <v>Bearish</v>
      </c>
      <c r="DW36" s="12"/>
      <c r="DX36" s="23">
        <f>(AR36-AT36)/AT36</f>
        <v>3.9197496586552828E-5</v>
      </c>
      <c r="DY36" s="23">
        <f t="shared" si="4"/>
        <v>1.4117330548192102</v>
      </c>
      <c r="DZ36" s="23" t="str">
        <f>IF(DY36&gt;PERCENTILE($DY$5:$DY$103,90%),"Reverse to Bearish",IF(DY36&gt;=PERCENTILE($DY$5:$DY$103,70%),"-----",IF(DY36&gt;=PERCENTILE($DY$5:$DY$103,30%),"-----",IF(DY36&gt;=PERCENTILE($DY$5:$DY$103,10%),"-----","Reverse to Bullish"))))</f>
        <v>Reverse to Bearish</v>
      </c>
      <c r="EA36" s="23" t="str">
        <f>IF(AQ36&gt;AR36,"Bullish","Bearish")</f>
        <v>Bullish</v>
      </c>
      <c r="EB36" s="22" t="str">
        <f>IF(AND(H36&gt;AQ36,H35&lt;AQ35),"TEMA crossover","-----")</f>
        <v>-----</v>
      </c>
      <c r="EC36" s="22" t="str">
        <f>IF(AND(H36&lt;AQ36,H35&gt;AQ35),"TEMA crossunder","-----")</f>
        <v>-----</v>
      </c>
      <c r="ED36" s="22"/>
      <c r="EE36" s="24" t="str">
        <f t="shared" ref="EE36:EE99" si="45">IF(DV36="Bearish","YES","-----")</f>
        <v>YES</v>
      </c>
      <c r="EF36" s="24" t="str">
        <f t="shared" ref="EF36:EF99" si="46">IF(DZ36="Reverse to Bearish","YES","-----")</f>
        <v>YES</v>
      </c>
      <c r="EG36" s="24" t="str">
        <f t="shared" ref="EG36:EG99" si="47">IF(AND(EA36="Bullish",EA35="Bullish",EA34="Bullish",EA33="Bullish"),"YES","-----")</f>
        <v>YES</v>
      </c>
      <c r="EH36" s="24" t="str">
        <f t="shared" ref="EH36:EH99" si="48">IF(OR(EC36="TEMA crossunder",EC35="TEMA crossunder",EC34="TEMA crossunder",EC33="TEMA crossunder"),"YES","-----")</f>
        <v>YES</v>
      </c>
      <c r="EI36" s="25" t="str">
        <f>IF(DV36="Bullish","YES","-----")</f>
        <v>-----</v>
      </c>
      <c r="EJ36" s="25" t="str">
        <f>IF(DZ36="Reverse to Bullish","YES","-----")</f>
        <v>-----</v>
      </c>
      <c r="EK36" s="25" t="str">
        <f>IF(AND(EA36="Bearish",EA35="Bearish",EA34="Bearish",EA33="Bearish"),"YES","-----")</f>
        <v>-----</v>
      </c>
      <c r="EL36" s="25" t="str">
        <f>IF(OR(EC36="TEMA crossover",EC35="TEMA crossover",EC34="TEMA crossover",EC33="TEMA crossover"),"YES","-----")</f>
        <v>-----</v>
      </c>
      <c r="EM36" s="24" t="str">
        <f>IF(AND(EE36="YES",EF36="YES",EG36="YES",EH36="YES"),"Open Sell / Close Buy","-----")</f>
        <v>Open Sell / Close Buy</v>
      </c>
      <c r="EN36" s="25" t="str">
        <f t="shared" si="32"/>
        <v>-----</v>
      </c>
      <c r="EO36" s="23"/>
      <c r="EP36" s="9" t="str">
        <f>IF(AND(H36&gt;AV36,H36&gt;E36),"Bullish Trigger","-----")</f>
        <v>-----</v>
      </c>
      <c r="EQ36" s="9" t="str">
        <f>IF(AND(H36&lt;AW36,H36&lt;E36),"Bearish Trigger","-----")</f>
        <v>-----</v>
      </c>
      <c r="ER36" s="9"/>
      <c r="ES36" s="9" t="str">
        <f>IF(G36&gt;AV36,"Bullish Spike","-----")</f>
        <v>-----</v>
      </c>
      <c r="ET36" s="9" t="str">
        <f>IF(F36&lt;AW36,"Bearish Spike","-----")</f>
        <v>-----</v>
      </c>
      <c r="EU36" s="9"/>
      <c r="EV36" s="20">
        <f t="shared" si="5"/>
        <v>8.0000000000012506E-2</v>
      </c>
      <c r="EW36" s="9">
        <f t="shared" si="24"/>
        <v>9.7310059084624492E-2</v>
      </c>
      <c r="EX36" s="21" t="str">
        <f t="shared" si="25"/>
        <v>-----</v>
      </c>
      <c r="EY36" s="9"/>
    </row>
    <row r="37" spans="1:155" x14ac:dyDescent="0.55000000000000004">
      <c r="A37">
        <v>33</v>
      </c>
      <c r="B37" t="s">
        <v>36</v>
      </c>
      <c r="C37" t="s">
        <v>4</v>
      </c>
      <c r="D37" t="s">
        <v>103</v>
      </c>
      <c r="E37">
        <v>153.05699999999999</v>
      </c>
      <c r="F37">
        <v>153.05799999999999</v>
      </c>
      <c r="G37">
        <v>152.87200000000001</v>
      </c>
      <c r="H37">
        <v>152.89500000000001</v>
      </c>
      <c r="I37">
        <v>152.96100000000001</v>
      </c>
      <c r="J37">
        <v>152.899</v>
      </c>
      <c r="K37">
        <v>153.21799999999999</v>
      </c>
      <c r="L37">
        <v>152.58500000000001</v>
      </c>
      <c r="M37">
        <v>152.596</v>
      </c>
      <c r="N37">
        <v>152.81899999999999</v>
      </c>
      <c r="O37" s="16">
        <f t="shared" ref="O37:O68" si="49">F37-G37</f>
        <v>0.18599999999997863</v>
      </c>
      <c r="P37" s="16">
        <f t="shared" si="6"/>
        <v>1.0000000000047748E-3</v>
      </c>
      <c r="Q37" s="16">
        <f t="shared" si="7"/>
        <v>0.18499999999997385</v>
      </c>
      <c r="R37" s="16">
        <f t="shared" si="8"/>
        <v>0.18599999999997863</v>
      </c>
      <c r="S37" s="16">
        <f t="shared" si="43"/>
        <v>0.11619427056420557</v>
      </c>
      <c r="T37">
        <v>0</v>
      </c>
      <c r="U37">
        <v>0</v>
      </c>
      <c r="V37">
        <v>0</v>
      </c>
      <c r="W37">
        <v>0</v>
      </c>
      <c r="Y37" s="9" t="str">
        <f t="shared" si="9"/>
        <v>------</v>
      </c>
      <c r="Z37" s="9" t="str">
        <f t="shared" si="10"/>
        <v>------</v>
      </c>
      <c r="AA37" s="9"/>
      <c r="AB37">
        <v>0</v>
      </c>
      <c r="AD37" t="str">
        <f t="shared" si="44"/>
        <v/>
      </c>
      <c r="AE37">
        <v>2.5676100000000002</v>
      </c>
      <c r="AF37">
        <v>5</v>
      </c>
      <c r="AG37">
        <v>153.39471</v>
      </c>
      <c r="AH37">
        <v>153.31057999999999</v>
      </c>
      <c r="AI37">
        <v>153.22645</v>
      </c>
      <c r="AJ37">
        <v>153.14232000000001</v>
      </c>
      <c r="AK37">
        <v>153.05819</v>
      </c>
      <c r="AL37">
        <v>152.94063</v>
      </c>
      <c r="AM37">
        <v>152.85650000000001</v>
      </c>
      <c r="AN37">
        <v>152.77237</v>
      </c>
      <c r="AO37">
        <v>152.68824000000001</v>
      </c>
      <c r="AP37">
        <v>152.60410999999999</v>
      </c>
      <c r="AQ37">
        <v>153.03</v>
      </c>
      <c r="AR37">
        <v>153.066</v>
      </c>
      <c r="AS37">
        <f t="shared" si="26"/>
        <v>33</v>
      </c>
      <c r="AT37">
        <v>153.06100000000001</v>
      </c>
      <c r="AU37">
        <v>153.16300000000001</v>
      </c>
      <c r="AV37">
        <v>153.10900000000001</v>
      </c>
      <c r="AW37">
        <v>152.98099999999999</v>
      </c>
      <c r="AY37" s="4">
        <f>I37*(1+$AY$2)</f>
        <v>152.98394415000001</v>
      </c>
      <c r="AZ37" s="4">
        <f>I37*(1-$AY$2)</f>
        <v>152.93805585000001</v>
      </c>
      <c r="BA37" s="4">
        <f>J37*(1+$AY$2)</f>
        <v>152.92193485000001</v>
      </c>
      <c r="BB37" s="4">
        <f>J37*(1-$AY$2)</f>
        <v>152.87606515000002</v>
      </c>
      <c r="BC37" s="4">
        <f>K37*(1+$AY$2)</f>
        <v>153.24098270000002</v>
      </c>
      <c r="BD37" s="4">
        <f>K37*(1-$AY$2)</f>
        <v>153.19501729999999</v>
      </c>
      <c r="BE37" s="4">
        <f>L37*(1+$AY$2)</f>
        <v>152.60788775000003</v>
      </c>
      <c r="BF37" s="4">
        <f>L37*(1-$AY$2)</f>
        <v>152.56211225000001</v>
      </c>
      <c r="BG37" s="4">
        <f>M37*(1+$AY$2)</f>
        <v>152.61888940000003</v>
      </c>
      <c r="BH37" s="4">
        <f>M37*(1-$AY$2)</f>
        <v>152.57311060000001</v>
      </c>
      <c r="BI37" s="4">
        <f>N37*(1+$AY$2)</f>
        <v>152.84192285</v>
      </c>
      <c r="BJ37" s="4">
        <f>N37*(1-$AY$2)</f>
        <v>152.79607715</v>
      </c>
      <c r="BK37" s="30">
        <f t="shared" si="27"/>
        <v>33</v>
      </c>
      <c r="BL37" s="15" t="str">
        <f t="shared" si="11"/>
        <v>TOUCH</v>
      </c>
      <c r="BM37" s="15" t="str">
        <f t="shared" si="12"/>
        <v>TOUCH</v>
      </c>
      <c r="BN37" s="15" t="str">
        <f t="shared" si="13"/>
        <v>-----</v>
      </c>
      <c r="BO37" s="15" t="str">
        <f t="shared" si="14"/>
        <v>-----</v>
      </c>
      <c r="BP37" s="15" t="str">
        <f t="shared" si="15"/>
        <v>-----</v>
      </c>
      <c r="BQ37" s="15" t="str">
        <f t="shared" si="16"/>
        <v>-----</v>
      </c>
      <c r="BR37" s="22"/>
      <c r="BS37" s="9">
        <f t="shared" si="17"/>
        <v>-2.423265306122455E-3</v>
      </c>
      <c r="BT37" s="9">
        <f>SLOPE(J$5:J$103,$A$5:$A$103)</f>
        <v>-3.7194805194805478E-4</v>
      </c>
      <c r="BU37" s="9">
        <f>SLOPE(K$5:K$103,$A$5:$A$103)</f>
        <v>-1.6402721088435472E-3</v>
      </c>
      <c r="BV37" s="9">
        <f>SLOPE(L$5:L$103,$A$5:$A$103)</f>
        <v>7.6471243042669956E-4</v>
      </c>
      <c r="BW37" s="9">
        <f>SLOPE(M$5:M$103,$A$5:$A$103)</f>
        <v>-2.3081014223875058E-4</v>
      </c>
      <c r="BX37" s="9">
        <f>SLOPE(N$5:N$103,$A$5:$A$103)</f>
        <v>1.5802844774273381E-3</v>
      </c>
      <c r="BY37"/>
      <c r="BZ37" s="9">
        <f t="shared" si="37"/>
        <v>-1.9079214597220278</v>
      </c>
      <c r="CA37" s="9">
        <f t="shared" si="38"/>
        <v>-0.29295343676527091</v>
      </c>
      <c r="CB37" s="9">
        <f t="shared" si="39"/>
        <v>-1.2917022253843653</v>
      </c>
      <c r="CC37" s="9">
        <f t="shared" si="40"/>
        <v>0.60228527619529781</v>
      </c>
      <c r="CD37" s="9">
        <f t="shared" si="41"/>
        <v>-0.18179147971962978</v>
      </c>
      <c r="CE37" s="9">
        <f t="shared" si="42"/>
        <v>1.2444775446344229</v>
      </c>
      <c r="CF37"/>
      <c r="CG37" s="18" t="str" cm="1">
        <f t="array" ref="CG37">_xlfn.IFS(BZ37&gt;3,"Strong + Slope",BZ37&gt;1.5,"Moderate + Slope",BZ37&gt;0.5,"Sideway + Slope",BZ37&gt;=-0.5,"Sideway Flat",BZ37&gt;=-1.5,"Sideway - Slope",BZ37&gt;=-3,"Moderate - Slope",TRUE,"Strong - Slope")</f>
        <v>Moderate - Slope</v>
      </c>
      <c r="CH37" s="18" t="str" cm="1">
        <f t="array" ref="CH37">_xlfn.IFS(CA37&gt;3,"Strong + Slope",CA37&gt;1.5,"Moderate + Slope",CA37&gt;0.5,"Sideway + Slope",CA37&gt;=-0.5,"Sideway Flat",CA37&gt;=-1.5,"Sideway - Slope",CA37&gt;=-3,"Moderate - Slope",TRUE,"Strong - Slope")</f>
        <v>Sideway Flat</v>
      </c>
      <c r="CI37" s="18" t="str" cm="1">
        <f t="array" ref="CI37">_xlfn.IFS(CB37&gt;3,"Strong + Slope",CB37&gt;1.5,"Moderate + Slope",CB37&gt;0.5,"Sideway + Slope",CB37&gt;=-0.5,"Sideway Flat",CB37&gt;=-1.5,"Sideway - Slope",CB37&gt;=-3,"Moderate - Slope",TRUE,"Strong - Slope")</f>
        <v>Sideway - Slope</v>
      </c>
      <c r="CJ37" s="18" t="str" cm="1">
        <f t="array" ref="CJ37">_xlfn.IFS(CC37&gt;3,"Strong + Slope",CC37&gt;1.5,"Moderate + Slope",CC37&gt;0.5,"Sideway + Slope",CC37&gt;=-0.5,"Sideway Flat",CC37&gt;=-1.5,"Sideway - Slope",CC37&gt;=-3,"Moderate - Slope",TRUE,"Strong - Slope")</f>
        <v>Sideway + Slope</v>
      </c>
      <c r="CK37" s="18" t="str" cm="1">
        <f t="array" ref="CK37">_xlfn.IFS(CD37&gt;3,"Strong + Slope",CD37&gt;1.5,"Moderate + Slope",CD37&gt;0.5,"Sideway + Slope",CD37&gt;=-0.5,"Sideway Flat",CD37&gt;=-1.5,"Sideway - Slope",CD37&gt;=-3,"Moderate - Slope",TRUE,"Strong - Slope")</f>
        <v>Sideway Flat</v>
      </c>
      <c r="CL37" s="18" t="str" cm="1">
        <f t="array" ref="CL37">_xlfn.IFS(CE37&gt;3,"Strong + Slope",CE37&gt;1.5,"Moderate + Slope",CE37&gt;0.5,"Sideway + Slope",CE37&gt;=-0.5,"Sideway Flat",CE37&gt;=-1.5,"Sideway - Slope",CE37&gt;=-3,"Moderate - Slope",TRUE,"Strong - Slope")</f>
        <v>Sideway + Slope</v>
      </c>
      <c r="CM37" s="9"/>
      <c r="CN37" s="9">
        <f>RANK(I37,$I37:$N37,0)</f>
        <v>2</v>
      </c>
      <c r="CO37" s="9">
        <f>RANK(J37,$I37:$N37,0)</f>
        <v>3</v>
      </c>
      <c r="CP37" s="9">
        <f>RANK(K37,$I37:$N37,0)</f>
        <v>1</v>
      </c>
      <c r="CQ37" s="9">
        <f>RANK(L37,$I37:$N37,0)</f>
        <v>6</v>
      </c>
      <c r="CR37" s="9">
        <f>RANK(M37,$I37:$N37,0)</f>
        <v>5</v>
      </c>
      <c r="CS37" s="9">
        <f>RANK(N37,$I37:$N37,0)</f>
        <v>4</v>
      </c>
      <c r="CT37" s="9"/>
      <c r="CU37" s="9" t="str">
        <f>IF($H37&gt;I37,"SUP","RES")</f>
        <v>RES</v>
      </c>
      <c r="CV37" s="9" t="str">
        <f>IF($H37&gt;J37,"SUP","RES")</f>
        <v>RES</v>
      </c>
      <c r="CW37" s="9" t="str">
        <f>IF($H37&gt;K37,"SUP","RES")</f>
        <v>RES</v>
      </c>
      <c r="CX37" s="9" t="str">
        <f>IF($H37&gt;L37,"SUP","RES")</f>
        <v>SUP</v>
      </c>
      <c r="CY37" s="9" t="str">
        <f>IF($H37&gt;M37,"SUP","RES")</f>
        <v>SUP</v>
      </c>
      <c r="CZ37" s="9" t="str">
        <f>IF($H37&gt;N37,"SUP","RES")</f>
        <v>SUP</v>
      </c>
      <c r="DA37" s="9"/>
      <c r="DB37" s="12">
        <f>(I37-$H37)/$H37</f>
        <v>4.3166879230846332E-4</v>
      </c>
      <c r="DC37" s="12">
        <f>(J37-$H37)/$H37</f>
        <v>2.6161744988329753E-5</v>
      </c>
      <c r="DD37" s="12">
        <f>(K37-$H37)/$H37</f>
        <v>2.1125609078124141E-3</v>
      </c>
      <c r="DE37" s="12">
        <f>(L37-$H37)/$H37</f>
        <v>-2.0275352366002958E-3</v>
      </c>
      <c r="DF37" s="12">
        <f>(M37-$H37)/$H37</f>
        <v>-1.9555904378822497E-3</v>
      </c>
      <c r="DG37" s="12">
        <f>(N37-$H37)/$H37</f>
        <v>-4.9707315477956655E-4</v>
      </c>
      <c r="DH37" s="12"/>
      <c r="DI37" s="12">
        <f>((H37-MIN(I37:N37))/(MAX(I37:N37)-MIN(I37:N37)))</f>
        <v>0.4897314375987542</v>
      </c>
      <c r="DJ37" s="13">
        <f t="shared" ref="DJ37:DJ68" si="50">COUNTIF(CU37:CZ37,"RES")</f>
        <v>3</v>
      </c>
      <c r="DK37" s="14">
        <f t="shared" ref="DK37:DK68" si="51">COUNTIF(CU37:CZ37,"SUP")</f>
        <v>3</v>
      </c>
      <c r="DL37" s="12">
        <f t="shared" si="18"/>
        <v>2.1125609078124141E-3</v>
      </c>
      <c r="DM37" s="12">
        <f t="shared" si="19"/>
        <v>4.3166879230846332E-4</v>
      </c>
      <c r="DN37" s="12">
        <f t="shared" si="20"/>
        <v>2.6161744988329753E-5</v>
      </c>
      <c r="DO37" s="12">
        <f t="shared" si="21"/>
        <v>-4.9707315477956655E-4</v>
      </c>
      <c r="DP37" s="12">
        <f t="shared" si="22"/>
        <v>-1.9555904378822497E-3</v>
      </c>
      <c r="DQ37" s="12">
        <f t="shared" si="23"/>
        <v>-2.0275352366002958E-3</v>
      </c>
      <c r="DR37" s="9"/>
      <c r="DS37" s="9" t="str">
        <f>IF(AQ37&gt;AG37,"Overbought",IF(AQ37&gt;AI37,"Bullish Momentum",IF(AQ37&gt;AK37,"Overprice Setting Up","-----")))</f>
        <v>-----</v>
      </c>
      <c r="DT37" s="9" t="str">
        <f>IF(AQ37&lt;AP37,"Oversold",IF(AQ37&lt;AN37,"Bearish Momentum",IF(AQ37&lt;AL37,"Underprice Setting Up","-----")))</f>
        <v>-----</v>
      </c>
      <c r="DU37" s="9"/>
      <c r="DV37" s="12" t="str">
        <f>IF(AND(AT37&gt;AU37,AT36&gt;AU36,AT35&gt;AU35,AT34&gt;AU34,AT33&gt;AU33,AT32&gt;AU32,AT31&gt;AU31,AT30&gt;AU30,AT29&gt;AU29,AT28&gt;AU28,AT27&gt;AU27,AT26&gt;AU26),"Bullish",IF(AND(AT37&lt;AU37,AT36&lt;AU36,AT35&lt;AU35,AT34&lt;AU34,AT33&lt;AU33,AT32&lt;AU32,AT31&lt;AU31,AT30&lt;AU30,AT29&lt;AU29,AT28&lt;AU28,AT27&lt;AU27,AT26&lt;AU26),"Bearish","-----"))</f>
        <v>Bearish</v>
      </c>
      <c r="DW37" s="12"/>
      <c r="DX37" s="23">
        <f>(AR37-AT37)/AT37</f>
        <v>3.2666714577818333E-5</v>
      </c>
      <c r="DY37" s="23">
        <f t="shared" ref="DY37:DY68" si="52">STANDARDIZE(DX37,AVERAGE($DX$5:$DX$103),_xlfn.STDEV.P($DX$5:$DX$103))</f>
        <v>1.3928979348303443</v>
      </c>
      <c r="DZ37" s="23" t="str">
        <f>IF(DY37&gt;PERCENTILE($DY$5:$DY$103,90%),"Reverse to Bearish",IF(DY37&gt;=PERCENTILE($DY$5:$DY$103,70%),"-----",IF(DY37&gt;=PERCENTILE($DY$5:$DY$103,30%),"-----",IF(DY37&gt;=PERCENTILE($DY$5:$DY$103,10%),"-----","Reverse to Bullish"))))</f>
        <v>Reverse to Bearish</v>
      </c>
      <c r="EA37" s="23" t="str">
        <f>IF(AQ37&gt;AR37,"Bullish","Bearish")</f>
        <v>Bearish</v>
      </c>
      <c r="EB37" s="22" t="str">
        <f>IF(AND(H37&gt;AQ37,H36&lt;AQ36),"TEMA crossover","-----")</f>
        <v>-----</v>
      </c>
      <c r="EC37" s="22" t="str">
        <f>IF(AND(H37&lt;AQ37,H36&gt;AQ36),"TEMA crossunder","-----")</f>
        <v>-----</v>
      </c>
      <c r="ED37" s="22"/>
      <c r="EE37" s="24" t="str">
        <f t="shared" si="45"/>
        <v>YES</v>
      </c>
      <c r="EF37" s="24" t="str">
        <f t="shared" si="46"/>
        <v>YES</v>
      </c>
      <c r="EG37" s="24" t="str">
        <f t="shared" si="47"/>
        <v>-----</v>
      </c>
      <c r="EH37" s="24" t="str">
        <f t="shared" si="48"/>
        <v>YES</v>
      </c>
      <c r="EI37" s="25" t="str">
        <f>IF(DV37="Bullish","YES","-----")</f>
        <v>-----</v>
      </c>
      <c r="EJ37" s="25" t="str">
        <f>IF(DZ37="Reverse to Bullish","YES","-----")</f>
        <v>-----</v>
      </c>
      <c r="EK37" s="25" t="str">
        <f>IF(AND(EA37="Bearish",EA36="Bearish",EA35="Bearish",EA34="Bearish"),"YES","-----")</f>
        <v>-----</v>
      </c>
      <c r="EL37" s="25" t="str">
        <f>IF(OR(EC37="TEMA crossover",EC36="TEMA crossover",EC35="TEMA crossover",EC34="TEMA crossover"),"YES","-----")</f>
        <v>-----</v>
      </c>
      <c r="EM37" s="24" t="str">
        <f>IF(AND(EE37="YES",EF37="YES",EG37="YES",EH37="YES"),"Open Sell / Close Buy","-----")</f>
        <v>-----</v>
      </c>
      <c r="EN37" s="25" t="str">
        <f t="shared" si="32"/>
        <v>-----</v>
      </c>
      <c r="EO37" s="23"/>
      <c r="EP37" s="9" t="str">
        <f>IF(AND(H37&gt;AV37,H37&gt;E37),"Bullish Trigger","-----")</f>
        <v>-----</v>
      </c>
      <c r="EQ37" s="9" t="str">
        <f>IF(AND(H37&lt;AW37,H37&lt;E37),"Bearish Trigger","-----")</f>
        <v>Bearish Trigger</v>
      </c>
      <c r="ER37" s="9"/>
      <c r="ES37" s="9" t="str">
        <f>IF(G37&gt;AV37,"Bullish Spike","-----")</f>
        <v>-----</v>
      </c>
      <c r="ET37" s="9" t="str">
        <f>IF(F37&lt;AW37,"Bearish Spike","-----")</f>
        <v>-----</v>
      </c>
      <c r="EU37" s="9"/>
      <c r="EV37" s="20">
        <f t="shared" ref="EV37:EV68" si="53">AV37-AW37</f>
        <v>0.12800000000001432</v>
      </c>
      <c r="EW37" s="9">
        <f t="shared" si="24"/>
        <v>1.2035717834124104</v>
      </c>
      <c r="EX37" s="21" t="str">
        <f t="shared" si="25"/>
        <v>-----</v>
      </c>
      <c r="EY37" s="9"/>
    </row>
    <row r="38" spans="1:155" x14ac:dyDescent="0.55000000000000004">
      <c r="A38">
        <v>34</v>
      </c>
      <c r="B38" t="s">
        <v>37</v>
      </c>
      <c r="C38" t="s">
        <v>4</v>
      </c>
      <c r="D38" t="s">
        <v>103</v>
      </c>
      <c r="E38">
        <v>152.89599999999999</v>
      </c>
      <c r="F38">
        <v>152.90299999999999</v>
      </c>
      <c r="G38">
        <v>152.815</v>
      </c>
      <c r="H38">
        <v>152.87</v>
      </c>
      <c r="I38">
        <v>152.958</v>
      </c>
      <c r="J38">
        <v>152.899</v>
      </c>
      <c r="K38">
        <v>153.21700000000001</v>
      </c>
      <c r="L38">
        <v>152.58500000000001</v>
      </c>
      <c r="M38">
        <v>152.595</v>
      </c>
      <c r="N38">
        <v>152.82</v>
      </c>
      <c r="O38" s="16">
        <f t="shared" si="49"/>
        <v>8.7999999999993861E-2</v>
      </c>
      <c r="P38" s="16">
        <f t="shared" ref="P38:P69" si="54">ABS(F38-H37)</f>
        <v>7.9999999999813554E-3</v>
      </c>
      <c r="Q38" s="16">
        <f t="shared" ref="Q38:Q69" si="55">ABS(G38-H37)</f>
        <v>8.0000000000012506E-2</v>
      </c>
      <c r="R38" s="16">
        <f t="shared" ref="R38:R69" si="56">MAX(O38:Q38)</f>
        <v>8.7999999999993861E-2</v>
      </c>
      <c r="S38" s="16">
        <f t="shared" si="43"/>
        <v>0.11418039409533332</v>
      </c>
      <c r="T38">
        <v>0</v>
      </c>
      <c r="U38">
        <v>0</v>
      </c>
      <c r="V38">
        <v>0</v>
      </c>
      <c r="W38">
        <v>0</v>
      </c>
      <c r="Y38" s="9" t="str">
        <f t="shared" si="9"/>
        <v>------</v>
      </c>
      <c r="Z38" s="9" t="str">
        <f t="shared" si="10"/>
        <v>------</v>
      </c>
      <c r="AA38" s="9"/>
      <c r="AB38">
        <v>0</v>
      </c>
      <c r="AD38" t="str">
        <f t="shared" si="44"/>
        <v/>
      </c>
      <c r="AE38">
        <v>0.50751999999999997</v>
      </c>
      <c r="AF38">
        <v>3</v>
      </c>
      <c r="AG38">
        <v>153.39196000000001</v>
      </c>
      <c r="AH38">
        <v>153.30749</v>
      </c>
      <c r="AI38">
        <v>153.22301999999999</v>
      </c>
      <c r="AJ38">
        <v>153.13855000000001</v>
      </c>
      <c r="AK38">
        <v>153.05409</v>
      </c>
      <c r="AL38">
        <v>152.93673000000001</v>
      </c>
      <c r="AM38">
        <v>152.85227</v>
      </c>
      <c r="AN38">
        <v>152.76779999999999</v>
      </c>
      <c r="AO38">
        <v>152.68333000000001</v>
      </c>
      <c r="AP38">
        <v>152.59886</v>
      </c>
      <c r="AQ38">
        <v>152.94399999999999</v>
      </c>
      <c r="AR38">
        <v>153.03800000000001</v>
      </c>
      <c r="AS38">
        <f t="shared" si="26"/>
        <v>34</v>
      </c>
      <c r="AT38">
        <v>153.047</v>
      </c>
      <c r="AU38">
        <v>153.155</v>
      </c>
      <c r="AV38">
        <v>153.006</v>
      </c>
      <c r="AW38">
        <v>152.89500000000001</v>
      </c>
      <c r="AY38" s="4">
        <f>I38*(1+$AY$2)</f>
        <v>152.98094370000001</v>
      </c>
      <c r="AZ38" s="4">
        <f>I38*(1-$AY$2)</f>
        <v>152.93505630000001</v>
      </c>
      <c r="BA38" s="4">
        <f>J38*(1+$AY$2)</f>
        <v>152.92193485000001</v>
      </c>
      <c r="BB38" s="4">
        <f>J38*(1-$AY$2)</f>
        <v>152.87606515000002</v>
      </c>
      <c r="BC38" s="4">
        <f>K38*(1+$AY$2)</f>
        <v>153.23998255000004</v>
      </c>
      <c r="BD38" s="4">
        <f>K38*(1-$AY$2)</f>
        <v>153.19401745000002</v>
      </c>
      <c r="BE38" s="4">
        <f>L38*(1+$AY$2)</f>
        <v>152.60788775000003</v>
      </c>
      <c r="BF38" s="4">
        <f>L38*(1-$AY$2)</f>
        <v>152.56211225000001</v>
      </c>
      <c r="BG38" s="4">
        <f>M38*(1+$AY$2)</f>
        <v>152.61788925000002</v>
      </c>
      <c r="BH38" s="4">
        <f>M38*(1-$AY$2)</f>
        <v>152.57211075000001</v>
      </c>
      <c r="BI38" s="4">
        <f>N38*(1+$AY$2)</f>
        <v>152.84292300000001</v>
      </c>
      <c r="BJ38" s="4">
        <f>N38*(1-$AY$2)</f>
        <v>152.797077</v>
      </c>
      <c r="BK38" s="30">
        <f t="shared" si="27"/>
        <v>34</v>
      </c>
      <c r="BL38" s="15" t="str">
        <f t="shared" si="11"/>
        <v>-----</v>
      </c>
      <c r="BM38" s="15" t="str">
        <f t="shared" si="12"/>
        <v>TOUCH</v>
      </c>
      <c r="BN38" s="15" t="str">
        <f t="shared" si="13"/>
        <v>-----</v>
      </c>
      <c r="BO38" s="15" t="str">
        <f t="shared" si="14"/>
        <v>-----</v>
      </c>
      <c r="BP38" s="15" t="str">
        <f t="shared" si="15"/>
        <v>-----</v>
      </c>
      <c r="BQ38" s="15" t="str">
        <f t="shared" si="16"/>
        <v>-----</v>
      </c>
      <c r="BR38" s="22"/>
      <c r="BS38" s="9">
        <f t="shared" ref="BS38:BS69" si="57">SLOPE($I$5:$I$103,$A$5:$A$103)</f>
        <v>-2.423265306122455E-3</v>
      </c>
      <c r="BT38" s="9">
        <f>SLOPE(J$5:J$103,$A$5:$A$103)</f>
        <v>-3.7194805194805478E-4</v>
      </c>
      <c r="BU38" s="9">
        <f>SLOPE(K$5:K$103,$A$5:$A$103)</f>
        <v>-1.6402721088435472E-3</v>
      </c>
      <c r="BV38" s="9">
        <f>SLOPE(L$5:L$103,$A$5:$A$103)</f>
        <v>7.6471243042669956E-4</v>
      </c>
      <c r="BW38" s="9">
        <f>SLOPE(M$5:M$103,$A$5:$A$103)</f>
        <v>-2.3081014223875058E-4</v>
      </c>
      <c r="BX38" s="9">
        <f>SLOPE(N$5:N$103,$A$5:$A$103)</f>
        <v>1.5802844774273381E-3</v>
      </c>
      <c r="BY38"/>
      <c r="BZ38" s="9">
        <f t="shared" si="37"/>
        <v>-1.9079214597220278</v>
      </c>
      <c r="CA38" s="9">
        <f t="shared" si="38"/>
        <v>-0.29295343676527091</v>
      </c>
      <c r="CB38" s="9">
        <f t="shared" si="39"/>
        <v>-1.2917022253843653</v>
      </c>
      <c r="CC38" s="9">
        <f t="shared" si="40"/>
        <v>0.60228527619529781</v>
      </c>
      <c r="CD38" s="9">
        <f t="shared" si="41"/>
        <v>-0.18179147971962978</v>
      </c>
      <c r="CE38" s="9">
        <f t="shared" si="42"/>
        <v>1.2444775446344229</v>
      </c>
      <c r="CF38"/>
      <c r="CG38" s="18" t="str" cm="1">
        <f t="array" ref="CG38">_xlfn.IFS(BZ38&gt;3,"Strong + Slope",BZ38&gt;1.5,"Moderate + Slope",BZ38&gt;0.5,"Sideway + Slope",BZ38&gt;=-0.5,"Sideway Flat",BZ38&gt;=-1.5,"Sideway - Slope",BZ38&gt;=-3,"Moderate - Slope",TRUE,"Strong - Slope")</f>
        <v>Moderate - Slope</v>
      </c>
      <c r="CH38" s="18" t="str" cm="1">
        <f t="array" ref="CH38">_xlfn.IFS(CA38&gt;3,"Strong + Slope",CA38&gt;1.5,"Moderate + Slope",CA38&gt;0.5,"Sideway + Slope",CA38&gt;=-0.5,"Sideway Flat",CA38&gt;=-1.5,"Sideway - Slope",CA38&gt;=-3,"Moderate - Slope",TRUE,"Strong - Slope")</f>
        <v>Sideway Flat</v>
      </c>
      <c r="CI38" s="18" t="str" cm="1">
        <f t="array" ref="CI38">_xlfn.IFS(CB38&gt;3,"Strong + Slope",CB38&gt;1.5,"Moderate + Slope",CB38&gt;0.5,"Sideway + Slope",CB38&gt;=-0.5,"Sideway Flat",CB38&gt;=-1.5,"Sideway - Slope",CB38&gt;=-3,"Moderate - Slope",TRUE,"Strong - Slope")</f>
        <v>Sideway - Slope</v>
      </c>
      <c r="CJ38" s="18" t="str" cm="1">
        <f t="array" ref="CJ38">_xlfn.IFS(CC38&gt;3,"Strong + Slope",CC38&gt;1.5,"Moderate + Slope",CC38&gt;0.5,"Sideway + Slope",CC38&gt;=-0.5,"Sideway Flat",CC38&gt;=-1.5,"Sideway - Slope",CC38&gt;=-3,"Moderate - Slope",TRUE,"Strong - Slope")</f>
        <v>Sideway + Slope</v>
      </c>
      <c r="CK38" s="18" t="str" cm="1">
        <f t="array" ref="CK38">_xlfn.IFS(CD38&gt;3,"Strong + Slope",CD38&gt;1.5,"Moderate + Slope",CD38&gt;0.5,"Sideway + Slope",CD38&gt;=-0.5,"Sideway Flat",CD38&gt;=-1.5,"Sideway - Slope",CD38&gt;=-3,"Moderate - Slope",TRUE,"Strong - Slope")</f>
        <v>Sideway Flat</v>
      </c>
      <c r="CL38" s="18" t="str" cm="1">
        <f t="array" ref="CL38">_xlfn.IFS(CE38&gt;3,"Strong + Slope",CE38&gt;1.5,"Moderate + Slope",CE38&gt;0.5,"Sideway + Slope",CE38&gt;=-0.5,"Sideway Flat",CE38&gt;=-1.5,"Sideway - Slope",CE38&gt;=-3,"Moderate - Slope",TRUE,"Strong - Slope")</f>
        <v>Sideway + Slope</v>
      </c>
      <c r="CM38" s="9"/>
      <c r="CN38" s="9">
        <f>RANK(I38,$I38:$N38,0)</f>
        <v>2</v>
      </c>
      <c r="CO38" s="9">
        <f>RANK(J38,$I38:$N38,0)</f>
        <v>3</v>
      </c>
      <c r="CP38" s="9">
        <f>RANK(K38,$I38:$N38,0)</f>
        <v>1</v>
      </c>
      <c r="CQ38" s="9">
        <f>RANK(L38,$I38:$N38,0)</f>
        <v>6</v>
      </c>
      <c r="CR38" s="9">
        <f>RANK(M38,$I38:$N38,0)</f>
        <v>5</v>
      </c>
      <c r="CS38" s="9">
        <f>RANK(N38,$I38:$N38,0)</f>
        <v>4</v>
      </c>
      <c r="CT38" s="9"/>
      <c r="CU38" s="9" t="str">
        <f>IF($H38&gt;I38,"SUP","RES")</f>
        <v>RES</v>
      </c>
      <c r="CV38" s="9" t="str">
        <f>IF($H38&gt;J38,"SUP","RES")</f>
        <v>RES</v>
      </c>
      <c r="CW38" s="9" t="str">
        <f>IF($H38&gt;K38,"SUP","RES")</f>
        <v>RES</v>
      </c>
      <c r="CX38" s="9" t="str">
        <f>IF($H38&gt;L38,"SUP","RES")</f>
        <v>SUP</v>
      </c>
      <c r="CY38" s="9" t="str">
        <f>IF($H38&gt;M38,"SUP","RES")</f>
        <v>SUP</v>
      </c>
      <c r="CZ38" s="9" t="str">
        <f>IF($H38&gt;N38,"SUP","RES")</f>
        <v>SUP</v>
      </c>
      <c r="DA38" s="9"/>
      <c r="DB38" s="12">
        <f>(I38-$H38)/$H38</f>
        <v>5.7565251520896095E-4</v>
      </c>
      <c r="DC38" s="12">
        <f>(J38-$H38)/$H38</f>
        <v>1.8970366978476066E-4</v>
      </c>
      <c r="DD38" s="12">
        <f>(K38-$H38)/$H38</f>
        <v>2.2699025315628205E-3</v>
      </c>
      <c r="DE38" s="12">
        <f>(L38-$H38)/$H38</f>
        <v>-1.8643291685745834E-3</v>
      </c>
      <c r="DF38" s="12">
        <f>(M38-$H38)/$H38</f>
        <v>-1.7989141100281656E-3</v>
      </c>
      <c r="DG38" s="12">
        <f>(N38-$H38)/$H38</f>
        <v>-3.2707529273246134E-4</v>
      </c>
      <c r="DH38" s="12"/>
      <c r="DI38" s="12">
        <f>((H38-MIN(I38:N38))/(MAX(I38:N38)-MIN(I38:N38)))</f>
        <v>0.45094936708859862</v>
      </c>
      <c r="DJ38" s="13">
        <f t="shared" si="50"/>
        <v>3</v>
      </c>
      <c r="DK38" s="14">
        <f t="shared" si="51"/>
        <v>3</v>
      </c>
      <c r="DL38" s="12">
        <f t="shared" si="18"/>
        <v>2.2699025315628205E-3</v>
      </c>
      <c r="DM38" s="12">
        <f t="shared" si="19"/>
        <v>5.7565251520896095E-4</v>
      </c>
      <c r="DN38" s="12">
        <f t="shared" si="20"/>
        <v>1.8970366978476066E-4</v>
      </c>
      <c r="DO38" s="12">
        <f t="shared" si="21"/>
        <v>-3.2707529273246134E-4</v>
      </c>
      <c r="DP38" s="12">
        <f t="shared" si="22"/>
        <v>-1.7989141100281656E-3</v>
      </c>
      <c r="DQ38" s="12">
        <f t="shared" si="23"/>
        <v>-1.8643291685745834E-3</v>
      </c>
      <c r="DR38" s="9"/>
      <c r="DS38" s="9" t="str">
        <f>IF(AQ38&gt;AG38,"Overbought",IF(AQ38&gt;AI38,"Bullish Momentum",IF(AQ38&gt;AK38,"Overprice Setting Up","-----")))</f>
        <v>-----</v>
      </c>
      <c r="DT38" s="9" t="str">
        <f>IF(AQ38&lt;AP38,"Oversold",IF(AQ38&lt;AN38,"Bearish Momentum",IF(AQ38&lt;AL38,"Underprice Setting Up","-----")))</f>
        <v>-----</v>
      </c>
      <c r="DU38" s="9"/>
      <c r="DV38" s="12" t="str">
        <f>IF(AND(AT38&gt;AU38,AT37&gt;AU37,AT36&gt;AU36,AT35&gt;AU35,AT34&gt;AU34,AT33&gt;AU33,AT32&gt;AU32,AT31&gt;AU31,AT30&gt;AU30,AT29&gt;AU29,AT28&gt;AU28,AT27&gt;AU27),"Bullish",IF(AND(AT38&lt;AU38,AT37&lt;AU37,AT36&lt;AU36,AT35&lt;AU35,AT34&lt;AU34,AT33&lt;AU33,AT32&lt;AU32,AT31&lt;AU31,AT30&lt;AU30,AT29&lt;AU29,AT28&lt;AU28,AT27&lt;AU27),"Bearish","-----"))</f>
        <v>Bearish</v>
      </c>
      <c r="DW38" s="12"/>
      <c r="DX38" s="23">
        <f>(AR38-AT38)/AT38</f>
        <v>-5.8805464987788918E-5</v>
      </c>
      <c r="DY38" s="23">
        <f t="shared" si="52"/>
        <v>1.1290873413275968</v>
      </c>
      <c r="DZ38" s="23" t="str">
        <f>IF(DY38&gt;PERCENTILE($DY$5:$DY$103,90%),"Reverse to Bearish",IF(DY38&gt;=PERCENTILE($DY$5:$DY$103,70%),"-----",IF(DY38&gt;=PERCENTILE($DY$5:$DY$103,30%),"-----",IF(DY38&gt;=PERCENTILE($DY$5:$DY$103,10%),"-----","Reverse to Bullish"))))</f>
        <v>Reverse to Bearish</v>
      </c>
      <c r="EA38" s="23" t="str">
        <f>IF(AQ38&gt;AR38,"Bullish","Bearish")</f>
        <v>Bearish</v>
      </c>
      <c r="EB38" s="22" t="str">
        <f>IF(AND(H38&gt;AQ38,H37&lt;AQ37),"TEMA crossover","-----")</f>
        <v>-----</v>
      </c>
      <c r="EC38" s="22" t="str">
        <f>IF(AND(H38&lt;AQ38,H37&gt;AQ37),"TEMA crossunder","-----")</f>
        <v>-----</v>
      </c>
      <c r="ED38" s="22"/>
      <c r="EE38" s="24" t="str">
        <f t="shared" si="45"/>
        <v>YES</v>
      </c>
      <c r="EF38" s="24" t="str">
        <f t="shared" si="46"/>
        <v>YES</v>
      </c>
      <c r="EG38" s="24" t="str">
        <f t="shared" si="47"/>
        <v>-----</v>
      </c>
      <c r="EH38" s="24" t="str">
        <f t="shared" si="48"/>
        <v>YES</v>
      </c>
      <c r="EI38" s="25" t="str">
        <f>IF(DV38="Bullish","YES","-----")</f>
        <v>-----</v>
      </c>
      <c r="EJ38" s="25" t="str">
        <f>IF(DZ38="Reverse to Bullish","YES","-----")</f>
        <v>-----</v>
      </c>
      <c r="EK38" s="25" t="str">
        <f>IF(AND(EA38="Bearish",EA37="Bearish",EA36="Bearish",EA35="Bearish"),"YES","-----")</f>
        <v>-----</v>
      </c>
      <c r="EL38" s="25" t="str">
        <f>IF(OR(EC38="TEMA crossover",EC37="TEMA crossover",EC36="TEMA crossover",EC35="TEMA crossover"),"YES","-----")</f>
        <v>-----</v>
      </c>
      <c r="EM38" s="24" t="str">
        <f>IF(AND(EE38="YES",EF38="YES",EG38="YES",EH38="YES"),"Open Sell / Close Buy","-----")</f>
        <v>-----</v>
      </c>
      <c r="EN38" s="25" t="str">
        <f t="shared" si="32"/>
        <v>-----</v>
      </c>
      <c r="EO38" s="23"/>
      <c r="EP38" s="9" t="str">
        <f>IF(AND(H38&gt;AV38,H38&gt;E38),"Bullish Trigger","-----")</f>
        <v>-----</v>
      </c>
      <c r="EQ38" s="9" t="str">
        <f>IF(AND(H38&lt;AW38,H38&lt;E38),"Bearish Trigger","-----")</f>
        <v>Bearish Trigger</v>
      </c>
      <c r="ER38" s="9"/>
      <c r="ES38" s="9" t="str">
        <f>IF(G38&gt;AV38,"Bullish Spike","-----")</f>
        <v>-----</v>
      </c>
      <c r="ET38" s="9" t="str">
        <f>IF(F38&lt;AW38,"Bearish Spike","-----")</f>
        <v>-----</v>
      </c>
      <c r="EU38" s="9"/>
      <c r="EV38" s="20">
        <f t="shared" si="53"/>
        <v>0.11099999999999</v>
      </c>
      <c r="EW38" s="9">
        <f t="shared" si="24"/>
        <v>0.81177075604577364</v>
      </c>
      <c r="EX38" s="21" t="str">
        <f t="shared" si="25"/>
        <v>-----</v>
      </c>
      <c r="EY38" s="9"/>
    </row>
    <row r="39" spans="1:155" x14ac:dyDescent="0.55000000000000004">
      <c r="A39">
        <v>35</v>
      </c>
      <c r="B39" t="s">
        <v>38</v>
      </c>
      <c r="C39" t="s">
        <v>4</v>
      </c>
      <c r="D39" t="s">
        <v>103</v>
      </c>
      <c r="E39">
        <v>152.87</v>
      </c>
      <c r="F39">
        <v>152.881</v>
      </c>
      <c r="G39">
        <v>152.80099999999999</v>
      </c>
      <c r="H39">
        <v>152.86199999999999</v>
      </c>
      <c r="I39">
        <v>152.95599999999999</v>
      </c>
      <c r="J39">
        <v>152.898</v>
      </c>
      <c r="K39">
        <v>153.215</v>
      </c>
      <c r="L39">
        <v>152.58600000000001</v>
      </c>
      <c r="M39">
        <v>152.595</v>
      </c>
      <c r="N39">
        <v>152.822</v>
      </c>
      <c r="O39" s="16">
        <f t="shared" si="49"/>
        <v>8.0000000000012506E-2</v>
      </c>
      <c r="P39" s="16">
        <f t="shared" si="54"/>
        <v>1.099999999999568E-2</v>
      </c>
      <c r="Q39" s="16">
        <f t="shared" si="55"/>
        <v>6.9000000000016826E-2</v>
      </c>
      <c r="R39" s="16">
        <f t="shared" si="56"/>
        <v>8.0000000000012506E-2</v>
      </c>
      <c r="S39" s="16">
        <f t="shared" si="43"/>
        <v>0.11173893737423898</v>
      </c>
      <c r="T39">
        <v>0</v>
      </c>
      <c r="U39">
        <v>0</v>
      </c>
      <c r="V39">
        <v>0</v>
      </c>
      <c r="W39">
        <v>0</v>
      </c>
      <c r="Y39" s="9" t="str">
        <f t="shared" si="9"/>
        <v>------</v>
      </c>
      <c r="Z39" s="9" t="str">
        <f t="shared" si="10"/>
        <v>------</v>
      </c>
      <c r="AA39" s="9"/>
      <c r="AB39">
        <v>1</v>
      </c>
      <c r="AD39" t="str">
        <f t="shared" si="44"/>
        <v/>
      </c>
      <c r="AE39">
        <v>0.91356000000000004</v>
      </c>
      <c r="AF39">
        <v>3</v>
      </c>
      <c r="AG39">
        <v>153.38446999999999</v>
      </c>
      <c r="AH39">
        <v>153.2998</v>
      </c>
      <c r="AI39">
        <v>153.21512999999999</v>
      </c>
      <c r="AJ39">
        <v>153.13045</v>
      </c>
      <c r="AK39">
        <v>153.04578000000001</v>
      </c>
      <c r="AL39">
        <v>152.92941999999999</v>
      </c>
      <c r="AM39">
        <v>152.84475</v>
      </c>
      <c r="AN39">
        <v>152.76007999999999</v>
      </c>
      <c r="AO39">
        <v>152.6754</v>
      </c>
      <c r="AP39">
        <v>152.59073000000001</v>
      </c>
      <c r="AQ39">
        <v>152.88300000000001</v>
      </c>
      <c r="AR39">
        <v>153.00299999999999</v>
      </c>
      <c r="AS39">
        <f t="shared" si="26"/>
        <v>35</v>
      </c>
      <c r="AT39">
        <v>153.03200000000001</v>
      </c>
      <c r="AU39">
        <v>153.14699999999999</v>
      </c>
      <c r="AV39">
        <v>152.93100000000001</v>
      </c>
      <c r="AW39">
        <v>152.83500000000001</v>
      </c>
      <c r="AY39" s="4">
        <f>I39*(1+$AY$2)</f>
        <v>152.97894339999999</v>
      </c>
      <c r="AZ39" s="4">
        <f>I39*(1-$AY$2)</f>
        <v>152.93305659999999</v>
      </c>
      <c r="BA39" s="4">
        <f>J39*(1+$AY$2)</f>
        <v>152.9209347</v>
      </c>
      <c r="BB39" s="4">
        <f>J39*(1-$AY$2)</f>
        <v>152.87506529999999</v>
      </c>
      <c r="BC39" s="4">
        <f>K39*(1+$AY$2)</f>
        <v>153.23798225000002</v>
      </c>
      <c r="BD39" s="4">
        <f>K39*(1-$AY$2)</f>
        <v>153.19201775000002</v>
      </c>
      <c r="BE39" s="4">
        <f>L39*(1+$AY$2)</f>
        <v>152.60888790000001</v>
      </c>
      <c r="BF39" s="4">
        <f>L39*(1-$AY$2)</f>
        <v>152.56311210000001</v>
      </c>
      <c r="BG39" s="4">
        <f>M39*(1+$AY$2)</f>
        <v>152.61788925000002</v>
      </c>
      <c r="BH39" s="4">
        <f>M39*(1-$AY$2)</f>
        <v>152.57211075000001</v>
      </c>
      <c r="BI39" s="4">
        <f>N39*(1+$AY$2)</f>
        <v>152.8449233</v>
      </c>
      <c r="BJ39" s="4">
        <f>N39*(1-$AY$2)</f>
        <v>152.7990767</v>
      </c>
      <c r="BK39" s="30">
        <f t="shared" si="27"/>
        <v>35</v>
      </c>
      <c r="BL39" s="15" t="str">
        <f t="shared" si="11"/>
        <v>-----</v>
      </c>
      <c r="BM39" s="15" t="str">
        <f t="shared" si="12"/>
        <v>-----</v>
      </c>
      <c r="BN39" s="15" t="str">
        <f t="shared" si="13"/>
        <v>-----</v>
      </c>
      <c r="BO39" s="15" t="str">
        <f t="shared" si="14"/>
        <v>-----</v>
      </c>
      <c r="BP39" s="15" t="str">
        <f t="shared" si="15"/>
        <v>-----</v>
      </c>
      <c r="BQ39" s="15" t="str">
        <f t="shared" si="16"/>
        <v>-----</v>
      </c>
      <c r="BR39" s="22"/>
      <c r="BS39" s="9">
        <f t="shared" si="57"/>
        <v>-2.423265306122455E-3</v>
      </c>
      <c r="BT39" s="9">
        <f>SLOPE(J$5:J$103,$A$5:$A$103)</f>
        <v>-3.7194805194805478E-4</v>
      </c>
      <c r="BU39" s="9">
        <f>SLOPE(K$5:K$103,$A$5:$A$103)</f>
        <v>-1.6402721088435472E-3</v>
      </c>
      <c r="BV39" s="9">
        <f>SLOPE(L$5:L$103,$A$5:$A$103)</f>
        <v>7.6471243042669956E-4</v>
      </c>
      <c r="BW39" s="9">
        <f>SLOPE(M$5:M$103,$A$5:$A$103)</f>
        <v>-2.3081014223875058E-4</v>
      </c>
      <c r="BX39" s="9">
        <f>SLOPE(N$5:N$103,$A$5:$A$103)</f>
        <v>1.5802844774273381E-3</v>
      </c>
      <c r="BY39"/>
      <c r="BZ39" s="9">
        <f t="shared" si="37"/>
        <v>-1.9079214597220278</v>
      </c>
      <c r="CA39" s="9">
        <f t="shared" si="38"/>
        <v>-0.29295343676527091</v>
      </c>
      <c r="CB39" s="9">
        <f t="shared" si="39"/>
        <v>-1.2917022253843653</v>
      </c>
      <c r="CC39" s="9">
        <f t="shared" si="40"/>
        <v>0.60228527619529781</v>
      </c>
      <c r="CD39" s="9">
        <f t="shared" si="41"/>
        <v>-0.18179147971962978</v>
      </c>
      <c r="CE39" s="9">
        <f t="shared" si="42"/>
        <v>1.2444775446344229</v>
      </c>
      <c r="CF39"/>
      <c r="CG39" s="18" t="str" cm="1">
        <f t="array" ref="CG39">_xlfn.IFS(BZ39&gt;3,"Strong + Slope",BZ39&gt;1.5,"Moderate + Slope",BZ39&gt;0.5,"Sideway + Slope",BZ39&gt;=-0.5,"Sideway Flat",BZ39&gt;=-1.5,"Sideway - Slope",BZ39&gt;=-3,"Moderate - Slope",TRUE,"Strong - Slope")</f>
        <v>Moderate - Slope</v>
      </c>
      <c r="CH39" s="18" t="str" cm="1">
        <f t="array" ref="CH39">_xlfn.IFS(CA39&gt;3,"Strong + Slope",CA39&gt;1.5,"Moderate + Slope",CA39&gt;0.5,"Sideway + Slope",CA39&gt;=-0.5,"Sideway Flat",CA39&gt;=-1.5,"Sideway - Slope",CA39&gt;=-3,"Moderate - Slope",TRUE,"Strong - Slope")</f>
        <v>Sideway Flat</v>
      </c>
      <c r="CI39" s="18" t="str" cm="1">
        <f t="array" ref="CI39">_xlfn.IFS(CB39&gt;3,"Strong + Slope",CB39&gt;1.5,"Moderate + Slope",CB39&gt;0.5,"Sideway + Slope",CB39&gt;=-0.5,"Sideway Flat",CB39&gt;=-1.5,"Sideway - Slope",CB39&gt;=-3,"Moderate - Slope",TRUE,"Strong - Slope")</f>
        <v>Sideway - Slope</v>
      </c>
      <c r="CJ39" s="18" t="str" cm="1">
        <f t="array" ref="CJ39">_xlfn.IFS(CC39&gt;3,"Strong + Slope",CC39&gt;1.5,"Moderate + Slope",CC39&gt;0.5,"Sideway + Slope",CC39&gt;=-0.5,"Sideway Flat",CC39&gt;=-1.5,"Sideway - Slope",CC39&gt;=-3,"Moderate - Slope",TRUE,"Strong - Slope")</f>
        <v>Sideway + Slope</v>
      </c>
      <c r="CK39" s="18" t="str" cm="1">
        <f t="array" ref="CK39">_xlfn.IFS(CD39&gt;3,"Strong + Slope",CD39&gt;1.5,"Moderate + Slope",CD39&gt;0.5,"Sideway + Slope",CD39&gt;=-0.5,"Sideway Flat",CD39&gt;=-1.5,"Sideway - Slope",CD39&gt;=-3,"Moderate - Slope",TRUE,"Strong - Slope")</f>
        <v>Sideway Flat</v>
      </c>
      <c r="CL39" s="18" t="str" cm="1">
        <f t="array" ref="CL39">_xlfn.IFS(CE39&gt;3,"Strong + Slope",CE39&gt;1.5,"Moderate + Slope",CE39&gt;0.5,"Sideway + Slope",CE39&gt;=-0.5,"Sideway Flat",CE39&gt;=-1.5,"Sideway - Slope",CE39&gt;=-3,"Moderate - Slope",TRUE,"Strong - Slope")</f>
        <v>Sideway + Slope</v>
      </c>
      <c r="CM39" s="9"/>
      <c r="CN39" s="9">
        <f>RANK(I39,$I39:$N39,0)</f>
        <v>2</v>
      </c>
      <c r="CO39" s="9">
        <f>RANK(J39,$I39:$N39,0)</f>
        <v>3</v>
      </c>
      <c r="CP39" s="9">
        <f>RANK(K39,$I39:$N39,0)</f>
        <v>1</v>
      </c>
      <c r="CQ39" s="9">
        <f>RANK(L39,$I39:$N39,0)</f>
        <v>6</v>
      </c>
      <c r="CR39" s="9">
        <f>RANK(M39,$I39:$N39,0)</f>
        <v>5</v>
      </c>
      <c r="CS39" s="9">
        <f>RANK(N39,$I39:$N39,0)</f>
        <v>4</v>
      </c>
      <c r="CT39" s="9"/>
      <c r="CU39" s="9" t="str">
        <f>IF($H39&gt;I39,"SUP","RES")</f>
        <v>RES</v>
      </c>
      <c r="CV39" s="9" t="str">
        <f>IF($H39&gt;J39,"SUP","RES")</f>
        <v>RES</v>
      </c>
      <c r="CW39" s="9" t="str">
        <f>IF($H39&gt;K39,"SUP","RES")</f>
        <v>RES</v>
      </c>
      <c r="CX39" s="9" t="str">
        <f>IF($H39&gt;L39,"SUP","RES")</f>
        <v>SUP</v>
      </c>
      <c r="CY39" s="9" t="str">
        <f>IF($H39&gt;M39,"SUP","RES")</f>
        <v>SUP</v>
      </c>
      <c r="CZ39" s="9" t="str">
        <f>IF($H39&gt;N39,"SUP","RES")</f>
        <v>SUP</v>
      </c>
      <c r="DA39" s="9"/>
      <c r="DB39" s="12">
        <f>(I39-$H39)/$H39</f>
        <v>6.1493373107766544E-4</v>
      </c>
      <c r="DC39" s="12">
        <f>(J39-$H39)/$H39</f>
        <v>2.3550653530636368E-4</v>
      </c>
      <c r="DD39" s="12">
        <f>(K39-$H39)/$H39</f>
        <v>2.309272415642924E-3</v>
      </c>
      <c r="DE39" s="12">
        <f>(L39-$H39)/$H39</f>
        <v>-1.805550104015269E-3</v>
      </c>
      <c r="DF39" s="12">
        <f>(M39-$H39)/$H39</f>
        <v>-1.746673470188771E-3</v>
      </c>
      <c r="DG39" s="12">
        <f>(N39-$H39)/$H39</f>
        <v>-2.6167392811811987E-4</v>
      </c>
      <c r="DH39" s="12"/>
      <c r="DI39" s="12">
        <f>((H39-MIN(I39:N39))/(MAX(I39:N39)-MIN(I39:N39)))</f>
        <v>0.43879173290935791</v>
      </c>
      <c r="DJ39" s="13">
        <f t="shared" si="50"/>
        <v>3</v>
      </c>
      <c r="DK39" s="14">
        <f t="shared" si="51"/>
        <v>3</v>
      </c>
      <c r="DL39" s="12">
        <f t="shared" si="18"/>
        <v>2.309272415642924E-3</v>
      </c>
      <c r="DM39" s="12">
        <f t="shared" si="19"/>
        <v>6.1493373107766544E-4</v>
      </c>
      <c r="DN39" s="12">
        <f t="shared" si="20"/>
        <v>2.3550653530636368E-4</v>
      </c>
      <c r="DO39" s="12">
        <f t="shared" si="21"/>
        <v>-2.6167392811811987E-4</v>
      </c>
      <c r="DP39" s="12">
        <f t="shared" si="22"/>
        <v>-1.746673470188771E-3</v>
      </c>
      <c r="DQ39" s="12">
        <f t="shared" si="23"/>
        <v>-1.805550104015269E-3</v>
      </c>
      <c r="DR39" s="9"/>
      <c r="DS39" s="9" t="str">
        <f>IF(AQ39&gt;AG39,"Overbought",IF(AQ39&gt;AI39,"Bullish Momentum",IF(AQ39&gt;AK39,"Overprice Setting Up","-----")))</f>
        <v>-----</v>
      </c>
      <c r="DT39" s="9" t="str">
        <f>IF(AQ39&lt;AP39,"Oversold",IF(AQ39&lt;AN39,"Bearish Momentum",IF(AQ39&lt;AL39,"Underprice Setting Up","-----")))</f>
        <v>Underprice Setting Up</v>
      </c>
      <c r="DU39" s="9"/>
      <c r="DV39" s="12" t="str">
        <f>IF(AND(AT39&gt;AU39,AT38&gt;AU38,AT37&gt;AU37,AT36&gt;AU36,AT35&gt;AU35,AT34&gt;AU34,AT33&gt;AU33,AT32&gt;AU32,AT31&gt;AU31,AT30&gt;AU30,AT29&gt;AU29,AT28&gt;AU28),"Bullish",IF(AND(AT39&lt;AU39,AT38&lt;AU38,AT37&lt;AU37,AT36&lt;AU36,AT35&lt;AU35,AT34&lt;AU34,AT33&lt;AU33,AT32&lt;AU32,AT31&lt;AU31,AT30&lt;AU30,AT29&lt;AU29,AT28&lt;AU28),"Bearish","-----"))</f>
        <v>Bearish</v>
      </c>
      <c r="DW39" s="12"/>
      <c r="DX39" s="23">
        <f>(AR39-AT39)/AT39</f>
        <v>-1.8950284907747909E-4</v>
      </c>
      <c r="DY39" s="23">
        <f t="shared" si="52"/>
        <v>0.75214918778520923</v>
      </c>
      <c r="DZ39" s="23" t="str">
        <f>IF(DY39&gt;PERCENTILE($DY$5:$DY$103,90%),"Reverse to Bearish",IF(DY39&gt;=PERCENTILE($DY$5:$DY$103,70%),"-----",IF(DY39&gt;=PERCENTILE($DY$5:$DY$103,30%),"-----",IF(DY39&gt;=PERCENTILE($DY$5:$DY$103,10%),"-----","Reverse to Bullish"))))</f>
        <v>-----</v>
      </c>
      <c r="EA39" s="23" t="str">
        <f>IF(AQ39&gt;AR39,"Bullish","Bearish")</f>
        <v>Bearish</v>
      </c>
      <c r="EB39" s="22" t="str">
        <f>IF(AND(H39&gt;AQ39,H38&lt;AQ38),"TEMA crossover","-----")</f>
        <v>-----</v>
      </c>
      <c r="EC39" s="22" t="str">
        <f>IF(AND(H39&lt;AQ39,H38&gt;AQ38),"TEMA crossunder","-----")</f>
        <v>-----</v>
      </c>
      <c r="ED39" s="22"/>
      <c r="EE39" s="24" t="str">
        <f t="shared" si="45"/>
        <v>YES</v>
      </c>
      <c r="EF39" s="24" t="str">
        <f t="shared" si="46"/>
        <v>-----</v>
      </c>
      <c r="EG39" s="24" t="str">
        <f t="shared" si="47"/>
        <v>-----</v>
      </c>
      <c r="EH39" s="24" t="str">
        <f t="shared" si="48"/>
        <v>-----</v>
      </c>
      <c r="EI39" s="25" t="str">
        <f>IF(DV39="Bullish","YES","-----")</f>
        <v>-----</v>
      </c>
      <c r="EJ39" s="25" t="str">
        <f>IF(DZ39="Reverse to Bullish","YES","-----")</f>
        <v>-----</v>
      </c>
      <c r="EK39" s="25" t="str">
        <f>IF(AND(EA39="Bearish",EA38="Bearish",EA37="Bearish",EA36="Bearish"),"YES","-----")</f>
        <v>-----</v>
      </c>
      <c r="EL39" s="25" t="str">
        <f>IF(OR(EC39="TEMA crossover",EC38="TEMA crossover",EC37="TEMA crossover",EC36="TEMA crossover"),"YES","-----")</f>
        <v>-----</v>
      </c>
      <c r="EM39" s="24" t="str">
        <f>IF(AND(EE39="YES",EF39="YES",EG39="YES",EH39="YES"),"Open Sell / Close Buy","-----")</f>
        <v>-----</v>
      </c>
      <c r="EN39" s="25" t="str">
        <f t="shared" si="32"/>
        <v>-----</v>
      </c>
      <c r="EO39" s="23"/>
      <c r="EP39" s="9" t="str">
        <f>IF(AND(H39&gt;AV39,H39&gt;E39),"Bullish Trigger","-----")</f>
        <v>-----</v>
      </c>
      <c r="EQ39" s="9" t="str">
        <f>IF(AND(H39&lt;AW39,H39&lt;E39),"Bearish Trigger","-----")</f>
        <v>-----</v>
      </c>
      <c r="ER39" s="9"/>
      <c r="ES39" s="9" t="str">
        <f>IF(G39&gt;AV39,"Bullish Spike","-----")</f>
        <v>-----</v>
      </c>
      <c r="ET39" s="9" t="str">
        <f>IF(F39&lt;AW39,"Bearish Spike","-----")</f>
        <v>-----</v>
      </c>
      <c r="EU39" s="9"/>
      <c r="EV39" s="20">
        <f t="shared" si="53"/>
        <v>9.6000000000003638E-2</v>
      </c>
      <c r="EW39" s="9">
        <f t="shared" si="24"/>
        <v>0.4660639671936681</v>
      </c>
      <c r="EX39" s="21" t="str">
        <f t="shared" si="25"/>
        <v>-----</v>
      </c>
      <c r="EY39" s="9"/>
    </row>
    <row r="40" spans="1:155" x14ac:dyDescent="0.55000000000000004">
      <c r="A40">
        <v>36</v>
      </c>
      <c r="B40" t="s">
        <v>39</v>
      </c>
      <c r="C40" t="s">
        <v>4</v>
      </c>
      <c r="D40" t="s">
        <v>103</v>
      </c>
      <c r="E40">
        <v>152.86099999999999</v>
      </c>
      <c r="F40">
        <v>152.90799999999999</v>
      </c>
      <c r="G40">
        <v>152.83500000000001</v>
      </c>
      <c r="H40">
        <v>152.89400000000001</v>
      </c>
      <c r="I40">
        <v>152.953</v>
      </c>
      <c r="J40">
        <v>152.898</v>
      </c>
      <c r="K40">
        <v>153.214</v>
      </c>
      <c r="L40">
        <v>152.58699999999999</v>
      </c>
      <c r="M40">
        <v>152.595</v>
      </c>
      <c r="N40">
        <v>152.82300000000001</v>
      </c>
      <c r="O40" s="16">
        <f t="shared" si="49"/>
        <v>7.2999999999979082E-2</v>
      </c>
      <c r="P40" s="16">
        <f t="shared" si="54"/>
        <v>4.5999999999992269E-2</v>
      </c>
      <c r="Q40" s="16">
        <f t="shared" si="55"/>
        <v>2.6999999999986812E-2</v>
      </c>
      <c r="R40" s="16">
        <f t="shared" si="56"/>
        <v>7.2999999999979082E-2</v>
      </c>
      <c r="S40" s="16">
        <f t="shared" si="43"/>
        <v>0.1089718704189347</v>
      </c>
      <c r="T40">
        <v>0</v>
      </c>
      <c r="U40">
        <v>0</v>
      </c>
      <c r="V40">
        <v>0</v>
      </c>
      <c r="W40">
        <v>0</v>
      </c>
      <c r="Y40" s="9" t="str">
        <f t="shared" si="9"/>
        <v>------</v>
      </c>
      <c r="Z40" s="9" t="str">
        <f t="shared" si="10"/>
        <v>------</v>
      </c>
      <c r="AA40" s="9"/>
      <c r="AB40">
        <v>0</v>
      </c>
      <c r="AD40" t="str">
        <f t="shared" si="44"/>
        <v/>
      </c>
      <c r="AE40">
        <v>0.34733000000000003</v>
      </c>
      <c r="AF40">
        <v>0</v>
      </c>
      <c r="AG40">
        <v>153.37501</v>
      </c>
      <c r="AH40">
        <v>153.29012</v>
      </c>
      <c r="AI40">
        <v>153.20522</v>
      </c>
      <c r="AJ40">
        <v>153.12033</v>
      </c>
      <c r="AK40">
        <v>153.03542999999999</v>
      </c>
      <c r="AL40">
        <v>152.92077</v>
      </c>
      <c r="AM40">
        <v>152.83588</v>
      </c>
      <c r="AN40">
        <v>152.75098</v>
      </c>
      <c r="AO40">
        <v>152.66609</v>
      </c>
      <c r="AP40">
        <v>152.58118999999999</v>
      </c>
      <c r="AQ40">
        <v>152.86099999999999</v>
      </c>
      <c r="AR40">
        <v>152.971</v>
      </c>
      <c r="AS40">
        <f t="shared" si="26"/>
        <v>36</v>
      </c>
      <c r="AT40">
        <v>153.02099999999999</v>
      </c>
      <c r="AU40">
        <v>153.13900000000001</v>
      </c>
      <c r="AV40">
        <v>152.899</v>
      </c>
      <c r="AW40">
        <v>152.816</v>
      </c>
      <c r="AY40" s="4">
        <f>I40*(1+$AY$2)</f>
        <v>152.97594295000002</v>
      </c>
      <c r="AZ40" s="4">
        <f>I40*(1-$AY$2)</f>
        <v>152.93005705000002</v>
      </c>
      <c r="BA40" s="4">
        <f>J40*(1+$AY$2)</f>
        <v>152.9209347</v>
      </c>
      <c r="BB40" s="4">
        <f>J40*(1-$AY$2)</f>
        <v>152.87506529999999</v>
      </c>
      <c r="BC40" s="4">
        <f>K40*(1+$AY$2)</f>
        <v>153.23698210000001</v>
      </c>
      <c r="BD40" s="4">
        <f>K40*(1-$AY$2)</f>
        <v>153.19101789999999</v>
      </c>
      <c r="BE40" s="4">
        <f>L40*(1+$AY$2)</f>
        <v>152.60988805</v>
      </c>
      <c r="BF40" s="4">
        <f>L40*(1-$AY$2)</f>
        <v>152.56411194999998</v>
      </c>
      <c r="BG40" s="4">
        <f>M40*(1+$AY$2)</f>
        <v>152.61788925000002</v>
      </c>
      <c r="BH40" s="4">
        <f>M40*(1-$AY$2)</f>
        <v>152.57211075000001</v>
      </c>
      <c r="BI40" s="4">
        <f>N40*(1+$AY$2)</f>
        <v>152.84592345000002</v>
      </c>
      <c r="BJ40" s="4">
        <f>N40*(1-$AY$2)</f>
        <v>152.80007655</v>
      </c>
      <c r="BK40" s="30">
        <f t="shared" si="27"/>
        <v>36</v>
      </c>
      <c r="BL40" s="15" t="str">
        <f t="shared" si="11"/>
        <v>-----</v>
      </c>
      <c r="BM40" s="15" t="str">
        <f t="shared" si="12"/>
        <v>TOUCH</v>
      </c>
      <c r="BN40" s="15" t="str">
        <f t="shared" si="13"/>
        <v>-----</v>
      </c>
      <c r="BO40" s="15" t="str">
        <f t="shared" si="14"/>
        <v>-----</v>
      </c>
      <c r="BP40" s="15" t="str">
        <f t="shared" si="15"/>
        <v>-----</v>
      </c>
      <c r="BQ40" s="15" t="str">
        <f t="shared" si="16"/>
        <v>-----</v>
      </c>
      <c r="BR40" s="22"/>
      <c r="BS40" s="9">
        <f t="shared" si="57"/>
        <v>-2.423265306122455E-3</v>
      </c>
      <c r="BT40" s="9">
        <f>SLOPE(J$5:J$103,$A$5:$A$103)</f>
        <v>-3.7194805194805478E-4</v>
      </c>
      <c r="BU40" s="9">
        <f>SLOPE(K$5:K$103,$A$5:$A$103)</f>
        <v>-1.6402721088435472E-3</v>
      </c>
      <c r="BV40" s="9">
        <f>SLOPE(L$5:L$103,$A$5:$A$103)</f>
        <v>7.6471243042669956E-4</v>
      </c>
      <c r="BW40" s="9">
        <f>SLOPE(M$5:M$103,$A$5:$A$103)</f>
        <v>-2.3081014223875058E-4</v>
      </c>
      <c r="BX40" s="9">
        <f>SLOPE(N$5:N$103,$A$5:$A$103)</f>
        <v>1.5802844774273381E-3</v>
      </c>
      <c r="BY40"/>
      <c r="BZ40" s="9">
        <f t="shared" si="37"/>
        <v>-1.9079214597220278</v>
      </c>
      <c r="CA40" s="9">
        <f t="shared" si="38"/>
        <v>-0.29295343676527091</v>
      </c>
      <c r="CB40" s="9">
        <f t="shared" si="39"/>
        <v>-1.2917022253843653</v>
      </c>
      <c r="CC40" s="9">
        <f t="shared" si="40"/>
        <v>0.60228527619529781</v>
      </c>
      <c r="CD40" s="9">
        <f t="shared" si="41"/>
        <v>-0.18179147971962978</v>
      </c>
      <c r="CE40" s="9">
        <f t="shared" si="42"/>
        <v>1.2444775446344229</v>
      </c>
      <c r="CF40"/>
      <c r="CG40" s="18" t="str" cm="1">
        <f t="array" ref="CG40">_xlfn.IFS(BZ40&gt;3,"Strong + Slope",BZ40&gt;1.5,"Moderate + Slope",BZ40&gt;0.5,"Sideway + Slope",BZ40&gt;=-0.5,"Sideway Flat",BZ40&gt;=-1.5,"Sideway - Slope",BZ40&gt;=-3,"Moderate - Slope",TRUE,"Strong - Slope")</f>
        <v>Moderate - Slope</v>
      </c>
      <c r="CH40" s="18" t="str" cm="1">
        <f t="array" ref="CH40">_xlfn.IFS(CA40&gt;3,"Strong + Slope",CA40&gt;1.5,"Moderate + Slope",CA40&gt;0.5,"Sideway + Slope",CA40&gt;=-0.5,"Sideway Flat",CA40&gt;=-1.5,"Sideway - Slope",CA40&gt;=-3,"Moderate - Slope",TRUE,"Strong - Slope")</f>
        <v>Sideway Flat</v>
      </c>
      <c r="CI40" s="18" t="str" cm="1">
        <f t="array" ref="CI40">_xlfn.IFS(CB40&gt;3,"Strong + Slope",CB40&gt;1.5,"Moderate + Slope",CB40&gt;0.5,"Sideway + Slope",CB40&gt;=-0.5,"Sideway Flat",CB40&gt;=-1.5,"Sideway - Slope",CB40&gt;=-3,"Moderate - Slope",TRUE,"Strong - Slope")</f>
        <v>Sideway - Slope</v>
      </c>
      <c r="CJ40" s="18" t="str" cm="1">
        <f t="array" ref="CJ40">_xlfn.IFS(CC40&gt;3,"Strong + Slope",CC40&gt;1.5,"Moderate + Slope",CC40&gt;0.5,"Sideway + Slope",CC40&gt;=-0.5,"Sideway Flat",CC40&gt;=-1.5,"Sideway - Slope",CC40&gt;=-3,"Moderate - Slope",TRUE,"Strong - Slope")</f>
        <v>Sideway + Slope</v>
      </c>
      <c r="CK40" s="18" t="str" cm="1">
        <f t="array" ref="CK40">_xlfn.IFS(CD40&gt;3,"Strong + Slope",CD40&gt;1.5,"Moderate + Slope",CD40&gt;0.5,"Sideway + Slope",CD40&gt;=-0.5,"Sideway Flat",CD40&gt;=-1.5,"Sideway - Slope",CD40&gt;=-3,"Moderate - Slope",TRUE,"Strong - Slope")</f>
        <v>Sideway Flat</v>
      </c>
      <c r="CL40" s="18" t="str" cm="1">
        <f t="array" ref="CL40">_xlfn.IFS(CE40&gt;3,"Strong + Slope",CE40&gt;1.5,"Moderate + Slope",CE40&gt;0.5,"Sideway + Slope",CE40&gt;=-0.5,"Sideway Flat",CE40&gt;=-1.5,"Sideway - Slope",CE40&gt;=-3,"Moderate - Slope",TRUE,"Strong - Slope")</f>
        <v>Sideway + Slope</v>
      </c>
      <c r="CM40" s="9"/>
      <c r="CN40" s="9">
        <f>RANK(I40,$I40:$N40,0)</f>
        <v>2</v>
      </c>
      <c r="CO40" s="9">
        <f>RANK(J40,$I40:$N40,0)</f>
        <v>3</v>
      </c>
      <c r="CP40" s="9">
        <f>RANK(K40,$I40:$N40,0)</f>
        <v>1</v>
      </c>
      <c r="CQ40" s="9">
        <f>RANK(L40,$I40:$N40,0)</f>
        <v>6</v>
      </c>
      <c r="CR40" s="9">
        <f>RANK(M40,$I40:$N40,0)</f>
        <v>5</v>
      </c>
      <c r="CS40" s="9">
        <f>RANK(N40,$I40:$N40,0)</f>
        <v>4</v>
      </c>
      <c r="CT40" s="9"/>
      <c r="CU40" s="9" t="str">
        <f>IF($H40&gt;I40,"SUP","RES")</f>
        <v>RES</v>
      </c>
      <c r="CV40" s="9" t="str">
        <f>IF($H40&gt;J40,"SUP","RES")</f>
        <v>RES</v>
      </c>
      <c r="CW40" s="9" t="str">
        <f>IF($H40&gt;K40,"SUP","RES")</f>
        <v>RES</v>
      </c>
      <c r="CX40" s="9" t="str">
        <f>IF($H40&gt;L40,"SUP","RES")</f>
        <v>SUP</v>
      </c>
      <c r="CY40" s="9" t="str">
        <f>IF($H40&gt;M40,"SUP","RES")</f>
        <v>SUP</v>
      </c>
      <c r="CZ40" s="9" t="str">
        <f>IF($H40&gt;N40,"SUP","RES")</f>
        <v>SUP</v>
      </c>
      <c r="DA40" s="9"/>
      <c r="DB40" s="12">
        <f>(I40-$H40)/$H40</f>
        <v>3.8588826245632591E-4</v>
      </c>
      <c r="DC40" s="12">
        <f>(J40-$H40)/$H40</f>
        <v>2.6161916098674098E-5</v>
      </c>
      <c r="DD40" s="12">
        <f>(K40-$H40)/$H40</f>
        <v>2.0929532878987611E-3</v>
      </c>
      <c r="DE40" s="12">
        <f>(L40-$H40)/$H40</f>
        <v>-2.0079270605780236E-3</v>
      </c>
      <c r="DF40" s="12">
        <f>(M40-$H40)/$H40</f>
        <v>-1.9556032283804896E-3</v>
      </c>
      <c r="DG40" s="12">
        <f>(N40-$H40)/$H40</f>
        <v>-4.643740107525341E-4</v>
      </c>
      <c r="DH40" s="12"/>
      <c r="DI40" s="12">
        <f>((H40-MIN(I40:N40))/(MAX(I40:N40)-MIN(I40:N40)))</f>
        <v>0.48963317384371879</v>
      </c>
      <c r="DJ40" s="13">
        <f t="shared" si="50"/>
        <v>3</v>
      </c>
      <c r="DK40" s="14">
        <f t="shared" si="51"/>
        <v>3</v>
      </c>
      <c r="DL40" s="12">
        <f t="shared" si="18"/>
        <v>2.0929532878987611E-3</v>
      </c>
      <c r="DM40" s="12">
        <f t="shared" si="19"/>
        <v>3.8588826245632591E-4</v>
      </c>
      <c r="DN40" s="12">
        <f t="shared" si="20"/>
        <v>2.6161916098674098E-5</v>
      </c>
      <c r="DO40" s="12">
        <f t="shared" si="21"/>
        <v>-4.643740107525341E-4</v>
      </c>
      <c r="DP40" s="12">
        <f t="shared" si="22"/>
        <v>-1.9556032283804896E-3</v>
      </c>
      <c r="DQ40" s="12">
        <f t="shared" si="23"/>
        <v>-2.0079270605780236E-3</v>
      </c>
      <c r="DR40" s="9"/>
      <c r="DS40" s="9" t="str">
        <f>IF(AQ40&gt;AG40,"Overbought",IF(AQ40&gt;AI40,"Bullish Momentum",IF(AQ40&gt;AK40,"Overprice Setting Up","-----")))</f>
        <v>-----</v>
      </c>
      <c r="DT40" s="9" t="str">
        <f>IF(AQ40&lt;AP40,"Oversold",IF(AQ40&lt;AN40,"Bearish Momentum",IF(AQ40&lt;AL40,"Underprice Setting Up","-----")))</f>
        <v>Underprice Setting Up</v>
      </c>
      <c r="DU40" s="9"/>
      <c r="DV40" s="12" t="str">
        <f>IF(AND(AT40&gt;AU40,AT39&gt;AU39,AT38&gt;AU38,AT37&gt;AU37,AT36&gt;AU36,AT35&gt;AU35,AT34&gt;AU34,AT33&gt;AU33,AT32&gt;AU32,AT31&gt;AU31,AT30&gt;AU30,AT29&gt;AU29),"Bullish",IF(AND(AT40&lt;AU40,AT39&lt;AU39,AT38&lt;AU38,AT37&lt;AU37,AT36&lt;AU36,AT35&lt;AU35,AT34&lt;AU34,AT33&lt;AU33,AT32&lt;AU32,AT31&lt;AU31,AT30&lt;AU30,AT29&lt;AU29),"Bearish","-----"))</f>
        <v>Bearish</v>
      </c>
      <c r="DW40" s="12"/>
      <c r="DX40" s="23">
        <f>(AR40-AT40)/AT40</f>
        <v>-3.267525372333402E-4</v>
      </c>
      <c r="DY40" s="23">
        <f t="shared" si="52"/>
        <v>0.35631384350443751</v>
      </c>
      <c r="DZ40" s="23" t="str">
        <f>IF(DY40&gt;PERCENTILE($DY$5:$DY$103,90%),"Reverse to Bearish",IF(DY40&gt;=PERCENTILE($DY$5:$DY$103,70%),"-----",IF(DY40&gt;=PERCENTILE($DY$5:$DY$103,30%),"-----",IF(DY40&gt;=PERCENTILE($DY$5:$DY$103,10%),"-----","Reverse to Bullish"))))</f>
        <v>-----</v>
      </c>
      <c r="EA40" s="23" t="str">
        <f>IF(AQ40&gt;AR40,"Bullish","Bearish")</f>
        <v>Bearish</v>
      </c>
      <c r="EB40" s="22" t="str">
        <f>IF(AND(H40&gt;AQ40,H39&lt;AQ39),"TEMA crossover","-----")</f>
        <v>TEMA crossover</v>
      </c>
      <c r="EC40" s="22" t="str">
        <f>IF(AND(H40&lt;AQ40,H39&gt;AQ39),"TEMA crossunder","-----")</f>
        <v>-----</v>
      </c>
      <c r="ED40" s="22"/>
      <c r="EE40" s="24" t="str">
        <f t="shared" si="45"/>
        <v>YES</v>
      </c>
      <c r="EF40" s="24" t="str">
        <f t="shared" si="46"/>
        <v>-----</v>
      </c>
      <c r="EG40" s="24" t="str">
        <f t="shared" si="47"/>
        <v>-----</v>
      </c>
      <c r="EH40" s="24" t="str">
        <f t="shared" si="48"/>
        <v>-----</v>
      </c>
      <c r="EI40" s="25" t="str">
        <f>IF(DV40="Bullish","YES","-----")</f>
        <v>-----</v>
      </c>
      <c r="EJ40" s="25" t="str">
        <f>IF(DZ40="Reverse to Bullish","YES","-----")</f>
        <v>-----</v>
      </c>
      <c r="EK40" s="25" t="str">
        <f>IF(AND(EA40="Bearish",EA39="Bearish",EA38="Bearish",EA37="Bearish"),"YES","-----")</f>
        <v>YES</v>
      </c>
      <c r="EL40" s="25" t="str">
        <f>IF(OR(EC40="TEMA crossover",EC39="TEMA crossover",EC38="TEMA crossover",EC37="TEMA crossover"),"YES","-----")</f>
        <v>-----</v>
      </c>
      <c r="EM40" s="24" t="str">
        <f>IF(AND(EE40="YES",EF40="YES",EG40="YES",EH40="YES"),"Open Sell / Close Buy","-----")</f>
        <v>-----</v>
      </c>
      <c r="EN40" s="25" t="str">
        <f t="shared" si="32"/>
        <v>-----</v>
      </c>
      <c r="EO40" s="23"/>
      <c r="EP40" s="9" t="str">
        <f>IF(AND(H40&gt;AV40,H40&gt;E40),"Bullish Trigger","-----")</f>
        <v>-----</v>
      </c>
      <c r="EQ40" s="9" t="str">
        <f>IF(AND(H40&lt;AW40,H40&lt;E40),"Bearish Trigger","-----")</f>
        <v>-----</v>
      </c>
      <c r="ER40" s="9"/>
      <c r="ES40" s="9" t="str">
        <f>IF(G40&gt;AV40,"Bullish Spike","-----")</f>
        <v>-----</v>
      </c>
      <c r="ET40" s="9" t="str">
        <f>IF(F40&lt;AW40,"Bearish Spike","-----")</f>
        <v>-----</v>
      </c>
      <c r="EU40" s="9"/>
      <c r="EV40" s="20">
        <f t="shared" si="53"/>
        <v>8.2999999999998408E-2</v>
      </c>
      <c r="EW40" s="9">
        <f t="shared" si="24"/>
        <v>0.1664514168547836</v>
      </c>
      <c r="EX40" s="21" t="str">
        <f t="shared" si="25"/>
        <v>-----</v>
      </c>
      <c r="EY40" s="9"/>
    </row>
    <row r="41" spans="1:155" x14ac:dyDescent="0.55000000000000004">
      <c r="A41">
        <v>37</v>
      </c>
      <c r="B41" t="s">
        <v>40</v>
      </c>
      <c r="C41" t="s">
        <v>4</v>
      </c>
      <c r="D41" t="s">
        <v>103</v>
      </c>
      <c r="E41">
        <v>152.89400000000001</v>
      </c>
      <c r="F41">
        <v>152.90600000000001</v>
      </c>
      <c r="G41">
        <v>152.804</v>
      </c>
      <c r="H41">
        <v>152.80699999999999</v>
      </c>
      <c r="I41">
        <v>152.95099999999999</v>
      </c>
      <c r="J41">
        <v>152.898</v>
      </c>
      <c r="K41">
        <v>153.21199999999999</v>
      </c>
      <c r="L41">
        <v>152.58799999999999</v>
      </c>
      <c r="M41">
        <v>152.595</v>
      </c>
      <c r="N41">
        <v>152.82499999999999</v>
      </c>
      <c r="O41" s="16">
        <f t="shared" si="49"/>
        <v>0.10200000000000387</v>
      </c>
      <c r="P41" s="16">
        <f t="shared" si="54"/>
        <v>1.2000000000000455E-2</v>
      </c>
      <c r="Q41" s="16">
        <f t="shared" si="55"/>
        <v>9.0000000000003411E-2</v>
      </c>
      <c r="R41" s="16">
        <f t="shared" si="56"/>
        <v>0.10200000000000387</v>
      </c>
      <c r="S41" s="16">
        <f t="shared" si="43"/>
        <v>0.10847387967472535</v>
      </c>
      <c r="T41">
        <v>0</v>
      </c>
      <c r="U41">
        <v>0</v>
      </c>
      <c r="V41">
        <v>0</v>
      </c>
      <c r="W41">
        <v>0</v>
      </c>
      <c r="Y41" s="9" t="str">
        <f t="shared" si="9"/>
        <v>------</v>
      </c>
      <c r="Z41" s="9" t="str">
        <f t="shared" si="10"/>
        <v>------</v>
      </c>
      <c r="AA41" s="9"/>
      <c r="AB41">
        <v>0</v>
      </c>
      <c r="AD41" t="str">
        <f t="shared" si="44"/>
        <v/>
      </c>
      <c r="AE41">
        <v>0.88121000000000005</v>
      </c>
      <c r="AF41">
        <v>3</v>
      </c>
      <c r="AG41">
        <v>153.36492999999999</v>
      </c>
      <c r="AH41">
        <v>153.27966000000001</v>
      </c>
      <c r="AI41">
        <v>153.19438</v>
      </c>
      <c r="AJ41">
        <v>153.10910999999999</v>
      </c>
      <c r="AK41">
        <v>153.02384000000001</v>
      </c>
      <c r="AL41">
        <v>152.91059999999999</v>
      </c>
      <c r="AM41">
        <v>152.82533000000001</v>
      </c>
      <c r="AN41">
        <v>152.74006</v>
      </c>
      <c r="AO41">
        <v>152.65478999999999</v>
      </c>
      <c r="AP41">
        <v>152.56951000000001</v>
      </c>
      <c r="AQ41">
        <v>152.83199999999999</v>
      </c>
      <c r="AR41">
        <v>152.94</v>
      </c>
      <c r="AS41">
        <f t="shared" si="26"/>
        <v>37</v>
      </c>
      <c r="AT41">
        <v>153.00700000000001</v>
      </c>
      <c r="AU41">
        <v>153.131</v>
      </c>
      <c r="AV41">
        <v>152.88200000000001</v>
      </c>
      <c r="AW41">
        <v>152.792</v>
      </c>
      <c r="AY41" s="4">
        <f>I41*(1+$AY$2)</f>
        <v>152.97394265</v>
      </c>
      <c r="AZ41" s="4">
        <f>I41*(1-$AY$2)</f>
        <v>152.92805734999999</v>
      </c>
      <c r="BA41" s="4">
        <f>J41*(1+$AY$2)</f>
        <v>152.9209347</v>
      </c>
      <c r="BB41" s="4">
        <f>J41*(1-$AY$2)</f>
        <v>152.87506529999999</v>
      </c>
      <c r="BC41" s="4">
        <f>K41*(1+$AY$2)</f>
        <v>153.23498180000001</v>
      </c>
      <c r="BD41" s="4">
        <f>K41*(1-$AY$2)</f>
        <v>153.18901819999999</v>
      </c>
      <c r="BE41" s="4">
        <f>L41*(1+$AY$2)</f>
        <v>152.61088820000001</v>
      </c>
      <c r="BF41" s="4">
        <f>L41*(1-$AY$2)</f>
        <v>152.56511179999998</v>
      </c>
      <c r="BG41" s="4">
        <f>M41*(1+$AY$2)</f>
        <v>152.61788925000002</v>
      </c>
      <c r="BH41" s="4">
        <f>M41*(1-$AY$2)</f>
        <v>152.57211075000001</v>
      </c>
      <c r="BI41" s="4">
        <f>N41*(1+$AY$2)</f>
        <v>152.84792375000001</v>
      </c>
      <c r="BJ41" s="4">
        <f>N41*(1-$AY$2)</f>
        <v>152.80207625</v>
      </c>
      <c r="BK41" s="30">
        <f t="shared" si="27"/>
        <v>37</v>
      </c>
      <c r="BL41" s="15" t="str">
        <f t="shared" si="11"/>
        <v>-----</v>
      </c>
      <c r="BM41" s="15" t="str">
        <f t="shared" si="12"/>
        <v>TOUCH</v>
      </c>
      <c r="BN41" s="15" t="str">
        <f t="shared" si="13"/>
        <v>-----</v>
      </c>
      <c r="BO41" s="15" t="str">
        <f t="shared" si="14"/>
        <v>-----</v>
      </c>
      <c r="BP41" s="15" t="str">
        <f t="shared" si="15"/>
        <v>-----</v>
      </c>
      <c r="BQ41" s="15" t="str">
        <f t="shared" si="16"/>
        <v>TOUCH</v>
      </c>
      <c r="BR41" s="22"/>
      <c r="BS41" s="9">
        <f t="shared" si="57"/>
        <v>-2.423265306122455E-3</v>
      </c>
      <c r="BT41" s="9">
        <f>SLOPE(J$5:J$103,$A$5:$A$103)</f>
        <v>-3.7194805194805478E-4</v>
      </c>
      <c r="BU41" s="9">
        <f>SLOPE(K$5:K$103,$A$5:$A$103)</f>
        <v>-1.6402721088435472E-3</v>
      </c>
      <c r="BV41" s="9">
        <f>SLOPE(L$5:L$103,$A$5:$A$103)</f>
        <v>7.6471243042669956E-4</v>
      </c>
      <c r="BW41" s="9">
        <f>SLOPE(M$5:M$103,$A$5:$A$103)</f>
        <v>-2.3081014223875058E-4</v>
      </c>
      <c r="BX41" s="9">
        <f>SLOPE(N$5:N$103,$A$5:$A$103)</f>
        <v>1.5802844774273381E-3</v>
      </c>
      <c r="BY41"/>
      <c r="BZ41" s="9">
        <f t="shared" si="37"/>
        <v>-1.9079214597220278</v>
      </c>
      <c r="CA41" s="9">
        <f t="shared" si="38"/>
        <v>-0.29295343676527091</v>
      </c>
      <c r="CB41" s="9">
        <f t="shared" si="39"/>
        <v>-1.2917022253843653</v>
      </c>
      <c r="CC41" s="9">
        <f t="shared" si="40"/>
        <v>0.60228527619529781</v>
      </c>
      <c r="CD41" s="9">
        <f t="shared" si="41"/>
        <v>-0.18179147971962978</v>
      </c>
      <c r="CE41" s="9">
        <f t="shared" si="42"/>
        <v>1.2444775446344229</v>
      </c>
      <c r="CF41"/>
      <c r="CG41" s="18" t="str" cm="1">
        <f t="array" ref="CG41">_xlfn.IFS(BZ41&gt;3,"Strong + Slope",BZ41&gt;1.5,"Moderate + Slope",BZ41&gt;0.5,"Sideway + Slope",BZ41&gt;=-0.5,"Sideway Flat",BZ41&gt;=-1.5,"Sideway - Slope",BZ41&gt;=-3,"Moderate - Slope",TRUE,"Strong - Slope")</f>
        <v>Moderate - Slope</v>
      </c>
      <c r="CH41" s="18" t="str" cm="1">
        <f t="array" ref="CH41">_xlfn.IFS(CA41&gt;3,"Strong + Slope",CA41&gt;1.5,"Moderate + Slope",CA41&gt;0.5,"Sideway + Slope",CA41&gt;=-0.5,"Sideway Flat",CA41&gt;=-1.5,"Sideway - Slope",CA41&gt;=-3,"Moderate - Slope",TRUE,"Strong - Slope")</f>
        <v>Sideway Flat</v>
      </c>
      <c r="CI41" s="18" t="str" cm="1">
        <f t="array" ref="CI41">_xlfn.IFS(CB41&gt;3,"Strong + Slope",CB41&gt;1.5,"Moderate + Slope",CB41&gt;0.5,"Sideway + Slope",CB41&gt;=-0.5,"Sideway Flat",CB41&gt;=-1.5,"Sideway - Slope",CB41&gt;=-3,"Moderate - Slope",TRUE,"Strong - Slope")</f>
        <v>Sideway - Slope</v>
      </c>
      <c r="CJ41" s="18" t="str" cm="1">
        <f t="array" ref="CJ41">_xlfn.IFS(CC41&gt;3,"Strong + Slope",CC41&gt;1.5,"Moderate + Slope",CC41&gt;0.5,"Sideway + Slope",CC41&gt;=-0.5,"Sideway Flat",CC41&gt;=-1.5,"Sideway - Slope",CC41&gt;=-3,"Moderate - Slope",TRUE,"Strong - Slope")</f>
        <v>Sideway + Slope</v>
      </c>
      <c r="CK41" s="18" t="str" cm="1">
        <f t="array" ref="CK41">_xlfn.IFS(CD41&gt;3,"Strong + Slope",CD41&gt;1.5,"Moderate + Slope",CD41&gt;0.5,"Sideway + Slope",CD41&gt;=-0.5,"Sideway Flat",CD41&gt;=-1.5,"Sideway - Slope",CD41&gt;=-3,"Moderate - Slope",TRUE,"Strong - Slope")</f>
        <v>Sideway Flat</v>
      </c>
      <c r="CL41" s="18" t="str" cm="1">
        <f t="array" ref="CL41">_xlfn.IFS(CE41&gt;3,"Strong + Slope",CE41&gt;1.5,"Moderate + Slope",CE41&gt;0.5,"Sideway + Slope",CE41&gt;=-0.5,"Sideway Flat",CE41&gt;=-1.5,"Sideway - Slope",CE41&gt;=-3,"Moderate - Slope",TRUE,"Strong - Slope")</f>
        <v>Sideway + Slope</v>
      </c>
      <c r="CM41" s="9"/>
      <c r="CN41" s="9">
        <f>RANK(I41,$I41:$N41,0)</f>
        <v>2</v>
      </c>
      <c r="CO41" s="9">
        <f>RANK(J41,$I41:$N41,0)</f>
        <v>3</v>
      </c>
      <c r="CP41" s="9">
        <f>RANK(K41,$I41:$N41,0)</f>
        <v>1</v>
      </c>
      <c r="CQ41" s="9">
        <f>RANK(L41,$I41:$N41,0)</f>
        <v>6</v>
      </c>
      <c r="CR41" s="9">
        <f>RANK(M41,$I41:$N41,0)</f>
        <v>5</v>
      </c>
      <c r="CS41" s="9">
        <f>RANK(N41,$I41:$N41,0)</f>
        <v>4</v>
      </c>
      <c r="CT41" s="9"/>
      <c r="CU41" s="9" t="str">
        <f>IF($H41&gt;I41,"SUP","RES")</f>
        <v>RES</v>
      </c>
      <c r="CV41" s="9" t="str">
        <f>IF($H41&gt;J41,"SUP","RES")</f>
        <v>RES</v>
      </c>
      <c r="CW41" s="9" t="str">
        <f>IF($H41&gt;K41,"SUP","RES")</f>
        <v>RES</v>
      </c>
      <c r="CX41" s="9" t="str">
        <f>IF($H41&gt;L41,"SUP","RES")</f>
        <v>SUP</v>
      </c>
      <c r="CY41" s="9" t="str">
        <f>IF($H41&gt;M41,"SUP","RES")</f>
        <v>SUP</v>
      </c>
      <c r="CZ41" s="9" t="str">
        <f>IF($H41&gt;N41,"SUP","RES")</f>
        <v>RES</v>
      </c>
      <c r="DA41" s="9"/>
      <c r="DB41" s="12">
        <f>(I41-$H41)/$H41</f>
        <v>9.4236520578249339E-4</v>
      </c>
      <c r="DC41" s="12">
        <f>(J41-$H41)/$H41</f>
        <v>5.9552245643202338E-4</v>
      </c>
      <c r="DD41" s="12">
        <f>(K41-$H41)/$H41</f>
        <v>2.6504021412631696E-3</v>
      </c>
      <c r="DE41" s="12">
        <f>(L41-$H41)/$H41</f>
        <v>-1.4331804171274489E-3</v>
      </c>
      <c r="DF41" s="12">
        <f>(M41-$H41)/$H41</f>
        <v>-1.3873709974018802E-3</v>
      </c>
      <c r="DG41" s="12">
        <f>(N41-$H41)/$H41</f>
        <v>1.1779565072281167E-4</v>
      </c>
      <c r="DH41" s="12"/>
      <c r="DI41" s="12">
        <f>((H41-MIN(I41:N41))/(MAX(I41:N41)-MIN(I41:N41)))</f>
        <v>0.35096153846153166</v>
      </c>
      <c r="DJ41" s="13">
        <f t="shared" si="50"/>
        <v>4</v>
      </c>
      <c r="DK41" s="14">
        <f t="shared" si="51"/>
        <v>2</v>
      </c>
      <c r="DL41" s="12">
        <f t="shared" si="18"/>
        <v>2.6504021412631696E-3</v>
      </c>
      <c r="DM41" s="12">
        <f t="shared" si="19"/>
        <v>9.4236520578249339E-4</v>
      </c>
      <c r="DN41" s="12">
        <f t="shared" si="20"/>
        <v>5.9552245643202338E-4</v>
      </c>
      <c r="DO41" s="12">
        <f t="shared" si="21"/>
        <v>1.1779565072281167E-4</v>
      </c>
      <c r="DP41" s="12">
        <f t="shared" si="22"/>
        <v>-1.3873709974018802E-3</v>
      </c>
      <c r="DQ41" s="12">
        <f t="shared" si="23"/>
        <v>-1.4331804171274489E-3</v>
      </c>
      <c r="DR41" s="9"/>
      <c r="DS41" s="9" t="str">
        <f>IF(AQ41&gt;AG41,"Overbought",IF(AQ41&gt;AI41,"Bullish Momentum",IF(AQ41&gt;AK41,"Overprice Setting Up","-----")))</f>
        <v>-----</v>
      </c>
      <c r="DT41" s="9" t="str">
        <f>IF(AQ41&lt;AP41,"Oversold",IF(AQ41&lt;AN41,"Bearish Momentum",IF(AQ41&lt;AL41,"Underprice Setting Up","-----")))</f>
        <v>Underprice Setting Up</v>
      </c>
      <c r="DU41" s="9"/>
      <c r="DV41" s="12" t="str">
        <f>IF(AND(AT41&gt;AU41,AT40&gt;AU40,AT39&gt;AU39,AT38&gt;AU38,AT37&gt;AU37,AT36&gt;AU36,AT35&gt;AU35,AT34&gt;AU34,AT33&gt;AU33,AT32&gt;AU32,AT31&gt;AU31,AT30&gt;AU30),"Bullish",IF(AND(AT41&lt;AU41,AT40&lt;AU40,AT39&lt;AU39,AT38&lt;AU38,AT37&lt;AU37,AT36&lt;AU36,AT35&lt;AU35,AT34&lt;AU34,AT33&lt;AU33,AT32&lt;AU32,AT31&lt;AU31,AT30&lt;AU30),"Bearish","-----"))</f>
        <v>Bearish</v>
      </c>
      <c r="DW41" s="12"/>
      <c r="DX41" s="23">
        <f>(AR41-AT41)/AT41</f>
        <v>-4.378884626194048E-4</v>
      </c>
      <c r="DY41" s="23">
        <f t="shared" si="52"/>
        <v>3.5791969260190397E-2</v>
      </c>
      <c r="DZ41" s="23" t="str">
        <f>IF(DY41&gt;PERCENTILE($DY$5:$DY$103,90%),"Reverse to Bearish",IF(DY41&gt;=PERCENTILE($DY$5:$DY$103,70%),"-----",IF(DY41&gt;=PERCENTILE($DY$5:$DY$103,30%),"-----",IF(DY41&gt;=PERCENTILE($DY$5:$DY$103,10%),"-----","Reverse to Bullish"))))</f>
        <v>-----</v>
      </c>
      <c r="EA41" s="23" t="str">
        <f>IF(AQ41&gt;AR41,"Bullish","Bearish")</f>
        <v>Bearish</v>
      </c>
      <c r="EB41" s="22" t="str">
        <f>IF(AND(H41&gt;AQ41,H40&lt;AQ40),"TEMA crossover","-----")</f>
        <v>-----</v>
      </c>
      <c r="EC41" s="22" t="str">
        <f>IF(AND(H41&lt;AQ41,H40&gt;AQ40),"TEMA crossunder","-----")</f>
        <v>TEMA crossunder</v>
      </c>
      <c r="ED41" s="22"/>
      <c r="EE41" s="24" t="str">
        <f t="shared" si="45"/>
        <v>YES</v>
      </c>
      <c r="EF41" s="24" t="str">
        <f t="shared" si="46"/>
        <v>-----</v>
      </c>
      <c r="EG41" s="24" t="str">
        <f t="shared" si="47"/>
        <v>-----</v>
      </c>
      <c r="EH41" s="24" t="str">
        <f t="shared" si="48"/>
        <v>YES</v>
      </c>
      <c r="EI41" s="25" t="str">
        <f>IF(DV41="Bullish","YES","-----")</f>
        <v>-----</v>
      </c>
      <c r="EJ41" s="25" t="str">
        <f>IF(DZ41="Reverse to Bullish","YES","-----")</f>
        <v>-----</v>
      </c>
      <c r="EK41" s="25" t="str">
        <f>IF(AND(EA41="Bearish",EA40="Bearish",EA39="Bearish",EA38="Bearish"),"YES","-----")</f>
        <v>YES</v>
      </c>
      <c r="EL41" s="25" t="str">
        <f>IF(OR(EC41="TEMA crossover",EC40="TEMA crossover",EC39="TEMA crossover",EC38="TEMA crossover"),"YES","-----")</f>
        <v>-----</v>
      </c>
      <c r="EM41" s="24" t="str">
        <f>IF(AND(EE41="YES",EF41="YES",EG41="YES",EH41="YES"),"Open Sell / Close Buy","-----")</f>
        <v>-----</v>
      </c>
      <c r="EN41" s="25" t="str">
        <f t="shared" si="32"/>
        <v>-----</v>
      </c>
      <c r="EO41" s="23"/>
      <c r="EP41" s="9" t="str">
        <f>IF(AND(H41&gt;AV41,H41&gt;E41),"Bullish Trigger","-----")</f>
        <v>-----</v>
      </c>
      <c r="EQ41" s="9" t="str">
        <f>IF(AND(H41&lt;AW41,H41&lt;E41),"Bearish Trigger","-----")</f>
        <v>-----</v>
      </c>
      <c r="ER41" s="9"/>
      <c r="ES41" s="9" t="str">
        <f>IF(G41&gt;AV41,"Bullish Spike","-----")</f>
        <v>-----</v>
      </c>
      <c r="ET41" s="9" t="str">
        <f>IF(F41&lt;AW41,"Bearish Spike","-----")</f>
        <v>-----</v>
      </c>
      <c r="EU41" s="9"/>
      <c r="EV41" s="20">
        <f t="shared" si="53"/>
        <v>9.0000000000003411E-2</v>
      </c>
      <c r="EW41" s="9">
        <f t="shared" si="24"/>
        <v>0.32778125165269489</v>
      </c>
      <c r="EX41" s="21" t="str">
        <f t="shared" si="25"/>
        <v>-----</v>
      </c>
      <c r="EY41" s="9"/>
    </row>
    <row r="42" spans="1:155" x14ac:dyDescent="0.55000000000000004">
      <c r="A42">
        <v>38</v>
      </c>
      <c r="B42" t="s">
        <v>41</v>
      </c>
      <c r="C42" t="s">
        <v>4</v>
      </c>
      <c r="D42" t="s">
        <v>103</v>
      </c>
      <c r="E42">
        <v>152.804</v>
      </c>
      <c r="F42">
        <v>152.87299999999999</v>
      </c>
      <c r="G42">
        <v>152.79</v>
      </c>
      <c r="H42">
        <v>152.81700000000001</v>
      </c>
      <c r="I42">
        <v>152.94900000000001</v>
      </c>
      <c r="J42">
        <v>152.89699999999999</v>
      </c>
      <c r="K42">
        <v>153.21</v>
      </c>
      <c r="L42">
        <v>152.58799999999999</v>
      </c>
      <c r="M42">
        <v>152.59399999999999</v>
      </c>
      <c r="N42">
        <v>152.827</v>
      </c>
      <c r="O42" s="16">
        <f t="shared" si="49"/>
        <v>8.2999999999998408E-2</v>
      </c>
      <c r="P42" s="16">
        <f t="shared" si="54"/>
        <v>6.6000000000002501E-2</v>
      </c>
      <c r="Q42" s="16">
        <f t="shared" si="55"/>
        <v>1.6999999999995907E-2</v>
      </c>
      <c r="R42" s="16">
        <f t="shared" si="56"/>
        <v>8.2999999999998408E-2</v>
      </c>
      <c r="S42" s="16">
        <f t="shared" si="43"/>
        <v>0.10665431684081629</v>
      </c>
      <c r="T42">
        <v>0</v>
      </c>
      <c r="U42">
        <v>0</v>
      </c>
      <c r="V42">
        <v>0</v>
      </c>
      <c r="W42">
        <v>0</v>
      </c>
      <c r="Y42" s="9" t="str">
        <f t="shared" si="9"/>
        <v>------</v>
      </c>
      <c r="Z42" s="9" t="str">
        <f t="shared" si="10"/>
        <v>------</v>
      </c>
      <c r="AA42" s="9"/>
      <c r="AB42">
        <v>0</v>
      </c>
      <c r="AD42" t="str">
        <f t="shared" si="44"/>
        <v/>
      </c>
      <c r="AE42">
        <v>0.79886999999999997</v>
      </c>
      <c r="AF42">
        <v>0</v>
      </c>
      <c r="AG42">
        <v>153.35269</v>
      </c>
      <c r="AH42">
        <v>153.26722000000001</v>
      </c>
      <c r="AI42">
        <v>153.18174999999999</v>
      </c>
      <c r="AJ42">
        <v>153.09628000000001</v>
      </c>
      <c r="AK42">
        <v>153.01080999999999</v>
      </c>
      <c r="AL42">
        <v>152.89924999999999</v>
      </c>
      <c r="AM42">
        <v>152.81378000000001</v>
      </c>
      <c r="AN42">
        <v>152.72830999999999</v>
      </c>
      <c r="AO42">
        <v>152.64284000000001</v>
      </c>
      <c r="AP42">
        <v>152.55736999999999</v>
      </c>
      <c r="AQ42">
        <v>152.81</v>
      </c>
      <c r="AR42">
        <v>152.91</v>
      </c>
      <c r="AS42">
        <f t="shared" si="26"/>
        <v>38</v>
      </c>
      <c r="AT42">
        <v>152.994</v>
      </c>
      <c r="AU42">
        <v>153.12299999999999</v>
      </c>
      <c r="AV42">
        <v>152.858</v>
      </c>
      <c r="AW42">
        <v>152.773</v>
      </c>
      <c r="AY42" s="4">
        <f>I42*(1+$AY$2)</f>
        <v>152.97194235000003</v>
      </c>
      <c r="AZ42" s="4">
        <f>I42*(1-$AY$2)</f>
        <v>152.92605765000002</v>
      </c>
      <c r="BA42" s="4">
        <f>J42*(1+$AY$2)</f>
        <v>152.91993454999999</v>
      </c>
      <c r="BB42" s="4">
        <f>J42*(1-$AY$2)</f>
        <v>152.87406544999999</v>
      </c>
      <c r="BC42" s="4">
        <f>K42*(1+$AY$2)</f>
        <v>153.23298150000002</v>
      </c>
      <c r="BD42" s="4">
        <f>K42*(1-$AY$2)</f>
        <v>153.18701850000002</v>
      </c>
      <c r="BE42" s="4">
        <f>L42*(1+$AY$2)</f>
        <v>152.61088820000001</v>
      </c>
      <c r="BF42" s="4">
        <f>L42*(1-$AY$2)</f>
        <v>152.56511179999998</v>
      </c>
      <c r="BG42" s="4">
        <f>M42*(1+$AY$2)</f>
        <v>152.61688910000001</v>
      </c>
      <c r="BH42" s="4">
        <f>M42*(1-$AY$2)</f>
        <v>152.57111090000001</v>
      </c>
      <c r="BI42" s="4">
        <f>N42*(1+$AY$2)</f>
        <v>152.84992405</v>
      </c>
      <c r="BJ42" s="4">
        <f>N42*(1-$AY$2)</f>
        <v>152.80407595</v>
      </c>
      <c r="BK42" s="30">
        <f t="shared" si="27"/>
        <v>38</v>
      </c>
      <c r="BL42" s="15" t="str">
        <f t="shared" si="11"/>
        <v>-----</v>
      </c>
      <c r="BM42" s="15" t="str">
        <f t="shared" si="12"/>
        <v>-----</v>
      </c>
      <c r="BN42" s="15" t="str">
        <f t="shared" si="13"/>
        <v>-----</v>
      </c>
      <c r="BO42" s="15" t="str">
        <f t="shared" si="14"/>
        <v>-----</v>
      </c>
      <c r="BP42" s="15" t="str">
        <f t="shared" si="15"/>
        <v>-----</v>
      </c>
      <c r="BQ42" s="15" t="str">
        <f t="shared" si="16"/>
        <v>TOUCH</v>
      </c>
      <c r="BR42" s="22"/>
      <c r="BS42" s="9">
        <f t="shared" si="57"/>
        <v>-2.423265306122455E-3</v>
      </c>
      <c r="BT42" s="9">
        <f>SLOPE(J$5:J$103,$A$5:$A$103)</f>
        <v>-3.7194805194805478E-4</v>
      </c>
      <c r="BU42" s="9">
        <f>SLOPE(K$5:K$103,$A$5:$A$103)</f>
        <v>-1.6402721088435472E-3</v>
      </c>
      <c r="BV42" s="9">
        <f>SLOPE(L$5:L$103,$A$5:$A$103)</f>
        <v>7.6471243042669956E-4</v>
      </c>
      <c r="BW42" s="9">
        <f>SLOPE(M$5:M$103,$A$5:$A$103)</f>
        <v>-2.3081014223875058E-4</v>
      </c>
      <c r="BX42" s="9">
        <f>SLOPE(N$5:N$103,$A$5:$A$103)</f>
        <v>1.5802844774273381E-3</v>
      </c>
      <c r="BY42"/>
      <c r="BZ42" s="9">
        <f t="shared" si="37"/>
        <v>-1.9079214597220278</v>
      </c>
      <c r="CA42" s="9">
        <f t="shared" si="38"/>
        <v>-0.29295343676527091</v>
      </c>
      <c r="CB42" s="9">
        <f t="shared" si="39"/>
        <v>-1.2917022253843653</v>
      </c>
      <c r="CC42" s="9">
        <f t="shared" si="40"/>
        <v>0.60228527619529781</v>
      </c>
      <c r="CD42" s="9">
        <f t="shared" si="41"/>
        <v>-0.18179147971962978</v>
      </c>
      <c r="CE42" s="9">
        <f t="shared" si="42"/>
        <v>1.2444775446344229</v>
      </c>
      <c r="CF42"/>
      <c r="CG42" s="18" t="str" cm="1">
        <f t="array" ref="CG42">_xlfn.IFS(BZ42&gt;3,"Strong + Slope",BZ42&gt;1.5,"Moderate + Slope",BZ42&gt;0.5,"Sideway + Slope",BZ42&gt;=-0.5,"Sideway Flat",BZ42&gt;=-1.5,"Sideway - Slope",BZ42&gt;=-3,"Moderate - Slope",TRUE,"Strong - Slope")</f>
        <v>Moderate - Slope</v>
      </c>
      <c r="CH42" s="18" t="str" cm="1">
        <f t="array" ref="CH42">_xlfn.IFS(CA42&gt;3,"Strong + Slope",CA42&gt;1.5,"Moderate + Slope",CA42&gt;0.5,"Sideway + Slope",CA42&gt;=-0.5,"Sideway Flat",CA42&gt;=-1.5,"Sideway - Slope",CA42&gt;=-3,"Moderate - Slope",TRUE,"Strong - Slope")</f>
        <v>Sideway Flat</v>
      </c>
      <c r="CI42" s="18" t="str" cm="1">
        <f t="array" ref="CI42">_xlfn.IFS(CB42&gt;3,"Strong + Slope",CB42&gt;1.5,"Moderate + Slope",CB42&gt;0.5,"Sideway + Slope",CB42&gt;=-0.5,"Sideway Flat",CB42&gt;=-1.5,"Sideway - Slope",CB42&gt;=-3,"Moderate - Slope",TRUE,"Strong - Slope")</f>
        <v>Sideway - Slope</v>
      </c>
      <c r="CJ42" s="18" t="str" cm="1">
        <f t="array" ref="CJ42">_xlfn.IFS(CC42&gt;3,"Strong + Slope",CC42&gt;1.5,"Moderate + Slope",CC42&gt;0.5,"Sideway + Slope",CC42&gt;=-0.5,"Sideway Flat",CC42&gt;=-1.5,"Sideway - Slope",CC42&gt;=-3,"Moderate - Slope",TRUE,"Strong - Slope")</f>
        <v>Sideway + Slope</v>
      </c>
      <c r="CK42" s="18" t="str" cm="1">
        <f t="array" ref="CK42">_xlfn.IFS(CD42&gt;3,"Strong + Slope",CD42&gt;1.5,"Moderate + Slope",CD42&gt;0.5,"Sideway + Slope",CD42&gt;=-0.5,"Sideway Flat",CD42&gt;=-1.5,"Sideway - Slope",CD42&gt;=-3,"Moderate - Slope",TRUE,"Strong - Slope")</f>
        <v>Sideway Flat</v>
      </c>
      <c r="CL42" s="18" t="str" cm="1">
        <f t="array" ref="CL42">_xlfn.IFS(CE42&gt;3,"Strong + Slope",CE42&gt;1.5,"Moderate + Slope",CE42&gt;0.5,"Sideway + Slope",CE42&gt;=-0.5,"Sideway Flat",CE42&gt;=-1.5,"Sideway - Slope",CE42&gt;=-3,"Moderate - Slope",TRUE,"Strong - Slope")</f>
        <v>Sideway + Slope</v>
      </c>
      <c r="CM42" s="9"/>
      <c r="CN42" s="9">
        <f>RANK(I42,$I42:$N42,0)</f>
        <v>2</v>
      </c>
      <c r="CO42" s="9">
        <f>RANK(J42,$I42:$N42,0)</f>
        <v>3</v>
      </c>
      <c r="CP42" s="9">
        <f>RANK(K42,$I42:$N42,0)</f>
        <v>1</v>
      </c>
      <c r="CQ42" s="9">
        <f>RANK(L42,$I42:$N42,0)</f>
        <v>6</v>
      </c>
      <c r="CR42" s="9">
        <f>RANK(M42,$I42:$N42,0)</f>
        <v>5</v>
      </c>
      <c r="CS42" s="9">
        <f>RANK(N42,$I42:$N42,0)</f>
        <v>4</v>
      </c>
      <c r="CT42" s="9"/>
      <c r="CU42" s="9" t="str">
        <f>IF($H42&gt;I42,"SUP","RES")</f>
        <v>RES</v>
      </c>
      <c r="CV42" s="9" t="str">
        <f>IF($H42&gt;J42,"SUP","RES")</f>
        <v>RES</v>
      </c>
      <c r="CW42" s="9" t="str">
        <f>IF($H42&gt;K42,"SUP","RES")</f>
        <v>RES</v>
      </c>
      <c r="CX42" s="9" t="str">
        <f>IF($H42&gt;L42,"SUP","RES")</f>
        <v>SUP</v>
      </c>
      <c r="CY42" s="9" t="str">
        <f>IF($H42&gt;M42,"SUP","RES")</f>
        <v>SUP</v>
      </c>
      <c r="CZ42" s="9" t="str">
        <f>IF($H42&gt;N42,"SUP","RES")</f>
        <v>RES</v>
      </c>
      <c r="DA42" s="9"/>
      <c r="DB42" s="12">
        <f>(I42-$H42)/$H42</f>
        <v>8.6377824456706381E-4</v>
      </c>
      <c r="DC42" s="12">
        <f>(J42-$H42)/$H42</f>
        <v>5.2350196640415711E-4</v>
      </c>
      <c r="DD42" s="12">
        <f>(K42-$H42)/$H42</f>
        <v>2.5717034099609379E-3</v>
      </c>
      <c r="DE42" s="12">
        <f>(L42-$H42)/$H42</f>
        <v>-1.4985243788322856E-3</v>
      </c>
      <c r="DF42" s="12">
        <f>(M42-$H42)/$H42</f>
        <v>-1.4592617313519646E-3</v>
      </c>
      <c r="DG42" s="12">
        <f>(N42-$H42)/$H42</f>
        <v>6.543774580047314E-5</v>
      </c>
      <c r="DH42" s="12"/>
      <c r="DI42" s="12">
        <f>((H42-MIN(I42:N42))/(MAX(I42:N42)-MIN(I42:N42)))</f>
        <v>0.36816720257236046</v>
      </c>
      <c r="DJ42" s="13">
        <f t="shared" si="50"/>
        <v>4</v>
      </c>
      <c r="DK42" s="14">
        <f t="shared" si="51"/>
        <v>2</v>
      </c>
      <c r="DL42" s="12">
        <f t="shared" si="18"/>
        <v>2.5717034099609379E-3</v>
      </c>
      <c r="DM42" s="12">
        <f t="shared" si="19"/>
        <v>8.6377824456706381E-4</v>
      </c>
      <c r="DN42" s="12">
        <f t="shared" si="20"/>
        <v>5.2350196640415711E-4</v>
      </c>
      <c r="DO42" s="12">
        <f t="shared" si="21"/>
        <v>6.543774580047314E-5</v>
      </c>
      <c r="DP42" s="12">
        <f t="shared" si="22"/>
        <v>-1.4592617313519646E-3</v>
      </c>
      <c r="DQ42" s="12">
        <f t="shared" si="23"/>
        <v>-1.4985243788322856E-3</v>
      </c>
      <c r="DR42" s="9"/>
      <c r="DS42" s="9" t="str">
        <f>IF(AQ42&gt;AG42,"Overbought",IF(AQ42&gt;AI42,"Bullish Momentum",IF(AQ42&gt;AK42,"Overprice Setting Up","-----")))</f>
        <v>-----</v>
      </c>
      <c r="DT42" s="9" t="str">
        <f>IF(AQ42&lt;AP42,"Oversold",IF(AQ42&lt;AN42,"Bearish Momentum",IF(AQ42&lt;AL42,"Underprice Setting Up","-----")))</f>
        <v>Underprice Setting Up</v>
      </c>
      <c r="DU42" s="9"/>
      <c r="DV42" s="12" t="str">
        <f>IF(AND(AT42&gt;AU42,AT41&gt;AU41,AT40&gt;AU40,AT39&gt;AU39,AT38&gt;AU38,AT37&gt;AU37,AT36&gt;AU36,AT35&gt;AU35,AT34&gt;AU34,AT33&gt;AU33,AT32&gt;AU32,AT31&gt;AU31),"Bullish",IF(AND(AT42&lt;AU42,AT41&lt;AU41,AT40&lt;AU40,AT39&lt;AU39,AT38&lt;AU38,AT37&lt;AU37,AT36&lt;AU36,AT35&lt;AU35,AT34&lt;AU34,AT33&lt;AU33,AT32&lt;AU32,AT31&lt;AU31),"Bearish","-----"))</f>
        <v>Bearish</v>
      </c>
      <c r="DW42" s="12"/>
      <c r="DX42" s="23">
        <f>(AR42-AT42)/AT42</f>
        <v>-5.4904113886821175E-4</v>
      </c>
      <c r="DY42" s="23">
        <f t="shared" si="52"/>
        <v>-0.28477821535626746</v>
      </c>
      <c r="DZ42" s="23" t="str">
        <f>IF(DY42&gt;PERCENTILE($DY$5:$DY$103,90%),"Reverse to Bearish",IF(DY42&gt;=PERCENTILE($DY$5:$DY$103,70%),"-----",IF(DY42&gt;=PERCENTILE($DY$5:$DY$103,30%),"-----",IF(DY42&gt;=PERCENTILE($DY$5:$DY$103,10%),"-----","Reverse to Bullish"))))</f>
        <v>-----</v>
      </c>
      <c r="EA42" s="23" t="str">
        <f>IF(AQ42&gt;AR42,"Bullish","Bearish")</f>
        <v>Bearish</v>
      </c>
      <c r="EB42" s="22" t="str">
        <f>IF(AND(H42&gt;AQ42,H41&lt;AQ41),"TEMA crossover","-----")</f>
        <v>TEMA crossover</v>
      </c>
      <c r="EC42" s="22" t="str">
        <f>IF(AND(H42&lt;AQ42,H41&gt;AQ41),"TEMA crossunder","-----")</f>
        <v>-----</v>
      </c>
      <c r="ED42" s="22"/>
      <c r="EE42" s="24" t="str">
        <f t="shared" si="45"/>
        <v>YES</v>
      </c>
      <c r="EF42" s="24" t="str">
        <f t="shared" si="46"/>
        <v>-----</v>
      </c>
      <c r="EG42" s="24" t="str">
        <f t="shared" si="47"/>
        <v>-----</v>
      </c>
      <c r="EH42" s="24" t="str">
        <f t="shared" si="48"/>
        <v>YES</v>
      </c>
      <c r="EI42" s="25" t="str">
        <f>IF(DV42="Bullish","YES","-----")</f>
        <v>-----</v>
      </c>
      <c r="EJ42" s="25" t="str">
        <f>IF(DZ42="Reverse to Bullish","YES","-----")</f>
        <v>-----</v>
      </c>
      <c r="EK42" s="25" t="str">
        <f>IF(AND(EA42="Bearish",EA41="Bearish",EA40="Bearish",EA39="Bearish"),"YES","-----")</f>
        <v>YES</v>
      </c>
      <c r="EL42" s="25" t="str">
        <f>IF(OR(EC42="TEMA crossover",EC41="TEMA crossover",EC40="TEMA crossover",EC39="TEMA crossover"),"YES","-----")</f>
        <v>-----</v>
      </c>
      <c r="EM42" s="24" t="str">
        <f>IF(AND(EE42="YES",EF42="YES",EG42="YES",EH42="YES"),"Open Sell / Close Buy","-----")</f>
        <v>-----</v>
      </c>
      <c r="EN42" s="25" t="str">
        <f t="shared" si="32"/>
        <v>-----</v>
      </c>
      <c r="EO42" s="23"/>
      <c r="EP42" s="9" t="str">
        <f>IF(AND(H42&gt;AV42,H42&gt;E42),"Bullish Trigger","-----")</f>
        <v>-----</v>
      </c>
      <c r="EQ42" s="9" t="str">
        <f>IF(AND(H42&lt;AW42,H42&lt;E42),"Bearish Trigger","-----")</f>
        <v>-----</v>
      </c>
      <c r="ER42" s="9"/>
      <c r="ES42" s="9" t="str">
        <f>IF(G42&gt;AV42,"Bullish Spike","-----")</f>
        <v>-----</v>
      </c>
      <c r="ET42" s="9" t="str">
        <f>IF(F42&lt;AW42,"Bearish Spike","-----")</f>
        <v>-----</v>
      </c>
      <c r="EU42" s="9"/>
      <c r="EV42" s="20">
        <f t="shared" si="53"/>
        <v>8.5000000000007958E-2</v>
      </c>
      <c r="EW42" s="9">
        <f t="shared" si="24"/>
        <v>0.21254565536865969</v>
      </c>
      <c r="EX42" s="21" t="str">
        <f t="shared" si="25"/>
        <v>-----</v>
      </c>
      <c r="EY42" s="9"/>
    </row>
    <row r="43" spans="1:155" x14ac:dyDescent="0.55000000000000004">
      <c r="A43">
        <v>39</v>
      </c>
      <c r="B43" t="s">
        <v>42</v>
      </c>
      <c r="C43" t="s">
        <v>4</v>
      </c>
      <c r="D43" t="s">
        <v>103</v>
      </c>
      <c r="E43">
        <v>152.822</v>
      </c>
      <c r="F43">
        <v>152.83699999999999</v>
      </c>
      <c r="G43">
        <v>152.74700000000001</v>
      </c>
      <c r="H43">
        <v>152.77000000000001</v>
      </c>
      <c r="I43">
        <v>152.946</v>
      </c>
      <c r="J43">
        <v>152.89699999999999</v>
      </c>
      <c r="K43">
        <v>153.209</v>
      </c>
      <c r="L43">
        <v>152.589</v>
      </c>
      <c r="M43">
        <v>152.59399999999999</v>
      </c>
      <c r="N43">
        <v>152.828</v>
      </c>
      <c r="O43" s="16">
        <f t="shared" si="49"/>
        <v>8.9999999999974989E-2</v>
      </c>
      <c r="P43" s="16">
        <f t="shared" si="54"/>
        <v>1.999999999998181E-2</v>
      </c>
      <c r="Q43" s="16">
        <f t="shared" si="55"/>
        <v>6.9999999999993179E-2</v>
      </c>
      <c r="R43" s="16">
        <f t="shared" si="56"/>
        <v>8.9999999999974989E-2</v>
      </c>
      <c r="S43" s="16">
        <f t="shared" si="43"/>
        <v>0.10546472278075621</v>
      </c>
      <c r="T43">
        <v>0</v>
      </c>
      <c r="U43">
        <v>0</v>
      </c>
      <c r="V43">
        <v>0</v>
      </c>
      <c r="W43">
        <v>0</v>
      </c>
      <c r="Y43" s="9" t="str">
        <f t="shared" si="9"/>
        <v>------</v>
      </c>
      <c r="Z43" s="9" t="str">
        <f t="shared" si="10"/>
        <v>------</v>
      </c>
      <c r="AA43" s="9"/>
      <c r="AB43">
        <v>0</v>
      </c>
      <c r="AD43" t="str">
        <f t="shared" si="44"/>
        <v/>
      </c>
      <c r="AE43">
        <v>8.6919999999999997E-2</v>
      </c>
      <c r="AF43">
        <v>3</v>
      </c>
      <c r="AG43">
        <v>153.33703</v>
      </c>
      <c r="AH43">
        <v>153.25181000000001</v>
      </c>
      <c r="AI43">
        <v>153.16659000000001</v>
      </c>
      <c r="AJ43">
        <v>153.08136999999999</v>
      </c>
      <c r="AK43">
        <v>152.99614</v>
      </c>
      <c r="AL43">
        <v>152.88623000000001</v>
      </c>
      <c r="AM43">
        <v>152.80100999999999</v>
      </c>
      <c r="AN43">
        <v>152.71579</v>
      </c>
      <c r="AO43">
        <v>152.63057000000001</v>
      </c>
      <c r="AP43">
        <v>152.54535000000001</v>
      </c>
      <c r="AQ43">
        <v>152.779</v>
      </c>
      <c r="AR43">
        <v>152.87899999999999</v>
      </c>
      <c r="AS43">
        <f t="shared" si="26"/>
        <v>39</v>
      </c>
      <c r="AT43">
        <v>152.97800000000001</v>
      </c>
      <c r="AU43">
        <v>153.114</v>
      </c>
      <c r="AV43">
        <v>152.828</v>
      </c>
      <c r="AW43">
        <v>152.74299999999999</v>
      </c>
      <c r="AY43" s="4">
        <f>I43*(1+$AY$2)</f>
        <v>152.9689419</v>
      </c>
      <c r="AZ43" s="4">
        <f>I43*(1-$AY$2)</f>
        <v>152.92305809999999</v>
      </c>
      <c r="BA43" s="4">
        <f>J43*(1+$AY$2)</f>
        <v>152.91993454999999</v>
      </c>
      <c r="BB43" s="4">
        <f>J43*(1-$AY$2)</f>
        <v>152.87406544999999</v>
      </c>
      <c r="BC43" s="4">
        <f>K43*(1+$AY$2)</f>
        <v>153.23198135000001</v>
      </c>
      <c r="BD43" s="4">
        <f>K43*(1-$AY$2)</f>
        <v>153.18601864999999</v>
      </c>
      <c r="BE43" s="4">
        <f>L43*(1+$AY$2)</f>
        <v>152.61188835000002</v>
      </c>
      <c r="BF43" s="4">
        <f>L43*(1-$AY$2)</f>
        <v>152.56611165000001</v>
      </c>
      <c r="BG43" s="4">
        <f>M43*(1+$AY$2)</f>
        <v>152.61688910000001</v>
      </c>
      <c r="BH43" s="4">
        <f>M43*(1-$AY$2)</f>
        <v>152.57111090000001</v>
      </c>
      <c r="BI43" s="4">
        <f>N43*(1+$AY$2)</f>
        <v>152.85092420000001</v>
      </c>
      <c r="BJ43" s="4">
        <f>N43*(1-$AY$2)</f>
        <v>152.8050758</v>
      </c>
      <c r="BK43" s="30">
        <f t="shared" si="27"/>
        <v>39</v>
      </c>
      <c r="BL43" s="15" t="str">
        <f t="shared" si="11"/>
        <v>-----</v>
      </c>
      <c r="BM43" s="15" t="str">
        <f t="shared" si="12"/>
        <v>-----</v>
      </c>
      <c r="BN43" s="15" t="str">
        <f t="shared" si="13"/>
        <v>-----</v>
      </c>
      <c r="BO43" s="15" t="str">
        <f t="shared" si="14"/>
        <v>-----</v>
      </c>
      <c r="BP43" s="15" t="str">
        <f t="shared" si="15"/>
        <v>-----</v>
      </c>
      <c r="BQ43" s="15" t="str">
        <f t="shared" si="16"/>
        <v>TOUCH</v>
      </c>
      <c r="BR43" s="22"/>
      <c r="BS43" s="9">
        <f t="shared" si="57"/>
        <v>-2.423265306122455E-3</v>
      </c>
      <c r="BT43" s="9">
        <f>SLOPE(J$5:J$103,$A$5:$A$103)</f>
        <v>-3.7194805194805478E-4</v>
      </c>
      <c r="BU43" s="9">
        <f>SLOPE(K$5:K$103,$A$5:$A$103)</f>
        <v>-1.6402721088435472E-3</v>
      </c>
      <c r="BV43" s="9">
        <f>SLOPE(L$5:L$103,$A$5:$A$103)</f>
        <v>7.6471243042669956E-4</v>
      </c>
      <c r="BW43" s="9">
        <f>SLOPE(M$5:M$103,$A$5:$A$103)</f>
        <v>-2.3081014223875058E-4</v>
      </c>
      <c r="BX43" s="9">
        <f>SLOPE(N$5:N$103,$A$5:$A$103)</f>
        <v>1.5802844774273381E-3</v>
      </c>
      <c r="BY43"/>
      <c r="BZ43" s="9">
        <f t="shared" si="37"/>
        <v>-1.9079214597220278</v>
      </c>
      <c r="CA43" s="9">
        <f t="shared" si="38"/>
        <v>-0.29295343676527091</v>
      </c>
      <c r="CB43" s="9">
        <f t="shared" si="39"/>
        <v>-1.2917022253843653</v>
      </c>
      <c r="CC43" s="9">
        <f t="shared" si="40"/>
        <v>0.60228527619529781</v>
      </c>
      <c r="CD43" s="9">
        <f t="shared" si="41"/>
        <v>-0.18179147971962978</v>
      </c>
      <c r="CE43" s="9">
        <f t="shared" si="42"/>
        <v>1.2444775446344229</v>
      </c>
      <c r="CF43"/>
      <c r="CG43" s="18" t="str" cm="1">
        <f t="array" ref="CG43">_xlfn.IFS(BZ43&gt;3,"Strong + Slope",BZ43&gt;1.5,"Moderate + Slope",BZ43&gt;0.5,"Sideway + Slope",BZ43&gt;=-0.5,"Sideway Flat",BZ43&gt;=-1.5,"Sideway - Slope",BZ43&gt;=-3,"Moderate - Slope",TRUE,"Strong - Slope")</f>
        <v>Moderate - Slope</v>
      </c>
      <c r="CH43" s="18" t="str" cm="1">
        <f t="array" ref="CH43">_xlfn.IFS(CA43&gt;3,"Strong + Slope",CA43&gt;1.5,"Moderate + Slope",CA43&gt;0.5,"Sideway + Slope",CA43&gt;=-0.5,"Sideway Flat",CA43&gt;=-1.5,"Sideway - Slope",CA43&gt;=-3,"Moderate - Slope",TRUE,"Strong - Slope")</f>
        <v>Sideway Flat</v>
      </c>
      <c r="CI43" s="18" t="str" cm="1">
        <f t="array" ref="CI43">_xlfn.IFS(CB43&gt;3,"Strong + Slope",CB43&gt;1.5,"Moderate + Slope",CB43&gt;0.5,"Sideway + Slope",CB43&gt;=-0.5,"Sideway Flat",CB43&gt;=-1.5,"Sideway - Slope",CB43&gt;=-3,"Moderate - Slope",TRUE,"Strong - Slope")</f>
        <v>Sideway - Slope</v>
      </c>
      <c r="CJ43" s="18" t="str" cm="1">
        <f t="array" ref="CJ43">_xlfn.IFS(CC43&gt;3,"Strong + Slope",CC43&gt;1.5,"Moderate + Slope",CC43&gt;0.5,"Sideway + Slope",CC43&gt;=-0.5,"Sideway Flat",CC43&gt;=-1.5,"Sideway - Slope",CC43&gt;=-3,"Moderate - Slope",TRUE,"Strong - Slope")</f>
        <v>Sideway + Slope</v>
      </c>
      <c r="CK43" s="18" t="str" cm="1">
        <f t="array" ref="CK43">_xlfn.IFS(CD43&gt;3,"Strong + Slope",CD43&gt;1.5,"Moderate + Slope",CD43&gt;0.5,"Sideway + Slope",CD43&gt;=-0.5,"Sideway Flat",CD43&gt;=-1.5,"Sideway - Slope",CD43&gt;=-3,"Moderate - Slope",TRUE,"Strong - Slope")</f>
        <v>Sideway Flat</v>
      </c>
      <c r="CL43" s="18" t="str" cm="1">
        <f t="array" ref="CL43">_xlfn.IFS(CE43&gt;3,"Strong + Slope",CE43&gt;1.5,"Moderate + Slope",CE43&gt;0.5,"Sideway + Slope",CE43&gt;=-0.5,"Sideway Flat",CE43&gt;=-1.5,"Sideway - Slope",CE43&gt;=-3,"Moderate - Slope",TRUE,"Strong - Slope")</f>
        <v>Sideway + Slope</v>
      </c>
      <c r="CM43" s="9"/>
      <c r="CN43" s="9">
        <f>RANK(I43,$I43:$N43,0)</f>
        <v>2</v>
      </c>
      <c r="CO43" s="9">
        <f>RANK(J43,$I43:$N43,0)</f>
        <v>3</v>
      </c>
      <c r="CP43" s="9">
        <f>RANK(K43,$I43:$N43,0)</f>
        <v>1</v>
      </c>
      <c r="CQ43" s="9">
        <f>RANK(L43,$I43:$N43,0)</f>
        <v>6</v>
      </c>
      <c r="CR43" s="9">
        <f>RANK(M43,$I43:$N43,0)</f>
        <v>5</v>
      </c>
      <c r="CS43" s="9">
        <f>RANK(N43,$I43:$N43,0)</f>
        <v>4</v>
      </c>
      <c r="CT43" s="9"/>
      <c r="CU43" s="9" t="str">
        <f>IF($H43&gt;I43,"SUP","RES")</f>
        <v>RES</v>
      </c>
      <c r="CV43" s="9" t="str">
        <f>IF($H43&gt;J43,"SUP","RES")</f>
        <v>RES</v>
      </c>
      <c r="CW43" s="9" t="str">
        <f>IF($H43&gt;K43,"SUP","RES")</f>
        <v>RES</v>
      </c>
      <c r="CX43" s="9" t="str">
        <f>IF($H43&gt;L43,"SUP","RES")</f>
        <v>SUP</v>
      </c>
      <c r="CY43" s="9" t="str">
        <f>IF($H43&gt;M43,"SUP","RES")</f>
        <v>SUP</v>
      </c>
      <c r="CZ43" s="9" t="str">
        <f>IF($H43&gt;N43,"SUP","RES")</f>
        <v>RES</v>
      </c>
      <c r="DA43" s="9"/>
      <c r="DB43" s="12">
        <f>(I43-$H43)/$H43</f>
        <v>1.1520586502584782E-3</v>
      </c>
      <c r="DC43" s="12">
        <f>(J43-$H43)/$H43</f>
        <v>8.3131504876599537E-4</v>
      </c>
      <c r="DD43" s="12">
        <f>(K43-$H43)/$H43</f>
        <v>2.8736008378607903E-3</v>
      </c>
      <c r="DE43" s="12">
        <f>(L43-$H43)/$H43</f>
        <v>-1.1847875891864343E-3</v>
      </c>
      <c r="DF43" s="12">
        <f>(M43-$H43)/$H43</f>
        <v>-1.1520586502586643E-3</v>
      </c>
      <c r="DG43" s="12">
        <f>(N43-$H43)/$H43</f>
        <v>3.796556915624319E-4</v>
      </c>
      <c r="DH43" s="12"/>
      <c r="DI43" s="12">
        <f>((H43-MIN(I43:N43))/(MAX(I43:N43)-MIN(I43:N43)))</f>
        <v>0.29193548387098428</v>
      </c>
      <c r="DJ43" s="13">
        <f t="shared" si="50"/>
        <v>4</v>
      </c>
      <c r="DK43" s="14">
        <f t="shared" si="51"/>
        <v>2</v>
      </c>
      <c r="DL43" s="12">
        <f t="shared" si="18"/>
        <v>2.8736008378607903E-3</v>
      </c>
      <c r="DM43" s="12">
        <f t="shared" si="19"/>
        <v>1.1520586502584782E-3</v>
      </c>
      <c r="DN43" s="12">
        <f t="shared" si="20"/>
        <v>8.3131504876599537E-4</v>
      </c>
      <c r="DO43" s="12">
        <f t="shared" si="21"/>
        <v>3.796556915624319E-4</v>
      </c>
      <c r="DP43" s="12">
        <f t="shared" si="22"/>
        <v>-1.1520586502586643E-3</v>
      </c>
      <c r="DQ43" s="12">
        <f t="shared" si="23"/>
        <v>-1.1847875891864343E-3</v>
      </c>
      <c r="DR43" s="9"/>
      <c r="DS43" s="9" t="str">
        <f>IF(AQ43&gt;AG43,"Overbought",IF(AQ43&gt;AI43,"Bullish Momentum",IF(AQ43&gt;AK43,"Overprice Setting Up","-----")))</f>
        <v>-----</v>
      </c>
      <c r="DT43" s="9" t="str">
        <f>IF(AQ43&lt;AP43,"Oversold",IF(AQ43&lt;AN43,"Bearish Momentum",IF(AQ43&lt;AL43,"Underprice Setting Up","-----")))</f>
        <v>Underprice Setting Up</v>
      </c>
      <c r="DU43" s="9"/>
      <c r="DV43" s="12" t="str">
        <f>IF(AND(AT43&gt;AU43,AT42&gt;AU42,AT41&gt;AU41,AT40&gt;AU40,AT39&gt;AU39,AT38&gt;AU38,AT37&gt;AU37,AT36&gt;AU36,AT35&gt;AU35,AT34&gt;AU34,AT33&gt;AU33,AT32&gt;AU32),"Bullish",IF(AND(AT43&lt;AU43,AT42&lt;AU42,AT41&lt;AU41,AT40&lt;AU40,AT39&lt;AU39,AT38&lt;AU38,AT37&lt;AU37,AT36&lt;AU36,AT35&lt;AU35,AT34&lt;AU34,AT33&lt;AU33,AT32&lt;AU32),"Bearish","-----"))</f>
        <v>Bearish</v>
      </c>
      <c r="DW43" s="12"/>
      <c r="DX43" s="23">
        <f>(AR43-AT43)/AT43</f>
        <v>-6.4715187804794121E-4</v>
      </c>
      <c r="DY43" s="23">
        <f t="shared" si="52"/>
        <v>-0.56773476515000754</v>
      </c>
      <c r="DZ43" s="23" t="str">
        <f>IF(DY43&gt;PERCENTILE($DY$5:$DY$103,90%),"Reverse to Bearish",IF(DY43&gt;=PERCENTILE($DY$5:$DY$103,70%),"-----",IF(DY43&gt;=PERCENTILE($DY$5:$DY$103,30%),"-----",IF(DY43&gt;=PERCENTILE($DY$5:$DY$103,10%),"-----","Reverse to Bullish"))))</f>
        <v>-----</v>
      </c>
      <c r="EA43" s="23" t="str">
        <f>IF(AQ43&gt;AR43,"Bullish","Bearish")</f>
        <v>Bearish</v>
      </c>
      <c r="EB43" s="22" t="str">
        <f>IF(AND(H43&gt;AQ43,H42&lt;AQ42),"TEMA crossover","-----")</f>
        <v>-----</v>
      </c>
      <c r="EC43" s="22" t="str">
        <f>IF(AND(H43&lt;AQ43,H42&gt;AQ42),"TEMA crossunder","-----")</f>
        <v>TEMA crossunder</v>
      </c>
      <c r="ED43" s="22"/>
      <c r="EE43" s="24" t="str">
        <f t="shared" si="45"/>
        <v>YES</v>
      </c>
      <c r="EF43" s="24" t="str">
        <f t="shared" si="46"/>
        <v>-----</v>
      </c>
      <c r="EG43" s="24" t="str">
        <f t="shared" si="47"/>
        <v>-----</v>
      </c>
      <c r="EH43" s="24" t="str">
        <f t="shared" si="48"/>
        <v>YES</v>
      </c>
      <c r="EI43" s="25" t="str">
        <f>IF(DV43="Bullish","YES","-----")</f>
        <v>-----</v>
      </c>
      <c r="EJ43" s="25" t="str">
        <f>IF(DZ43="Reverse to Bullish","YES","-----")</f>
        <v>-----</v>
      </c>
      <c r="EK43" s="25" t="str">
        <f>IF(AND(EA43="Bearish",EA42="Bearish",EA41="Bearish",EA40="Bearish"),"YES","-----")</f>
        <v>YES</v>
      </c>
      <c r="EL43" s="25" t="str">
        <f>IF(OR(EC43="TEMA crossover",EC42="TEMA crossover",EC41="TEMA crossover",EC40="TEMA crossover"),"YES","-----")</f>
        <v>-----</v>
      </c>
      <c r="EM43" s="24" t="str">
        <f>IF(AND(EE43="YES",EF43="YES",EG43="YES",EH43="YES"),"Open Sell / Close Buy","-----")</f>
        <v>-----</v>
      </c>
      <c r="EN43" s="25" t="str">
        <f t="shared" si="32"/>
        <v>-----</v>
      </c>
      <c r="EO43" s="23"/>
      <c r="EP43" s="9" t="str">
        <f>IF(AND(H43&gt;AV43,H43&gt;E43),"Bullish Trigger","-----")</f>
        <v>-----</v>
      </c>
      <c r="EQ43" s="9" t="str">
        <f>IF(AND(H43&lt;AW43,H43&lt;E43),"Bearish Trigger","-----")</f>
        <v>-----</v>
      </c>
      <c r="ER43" s="9"/>
      <c r="ES43" s="9" t="str">
        <f>IF(G43&gt;AV43,"Bullish Spike","-----")</f>
        <v>-----</v>
      </c>
      <c r="ET43" s="9" t="str">
        <f>IF(F43&lt;AW43,"Bearish Spike","-----")</f>
        <v>-----</v>
      </c>
      <c r="EU43" s="9"/>
      <c r="EV43" s="20">
        <f t="shared" si="53"/>
        <v>8.5000000000007958E-2</v>
      </c>
      <c r="EW43" s="9">
        <f t="shared" si="24"/>
        <v>0.21254565536865969</v>
      </c>
      <c r="EX43" s="21" t="str">
        <f t="shared" si="25"/>
        <v>-----</v>
      </c>
      <c r="EY43" s="9"/>
    </row>
    <row r="44" spans="1:155" x14ac:dyDescent="0.55000000000000004">
      <c r="A44">
        <v>40</v>
      </c>
      <c r="B44" t="s">
        <v>43</v>
      </c>
      <c r="C44" t="s">
        <v>4</v>
      </c>
      <c r="D44" t="s">
        <v>103</v>
      </c>
      <c r="E44">
        <v>152.77000000000001</v>
      </c>
      <c r="F44">
        <v>152.791</v>
      </c>
      <c r="G44">
        <v>152.74199999999999</v>
      </c>
      <c r="H44">
        <v>152.79</v>
      </c>
      <c r="I44">
        <v>152.94399999999999</v>
      </c>
      <c r="J44">
        <v>152.89699999999999</v>
      </c>
      <c r="K44">
        <v>153.20699999999999</v>
      </c>
      <c r="L44">
        <v>152.59</v>
      </c>
      <c r="M44">
        <v>152.59399999999999</v>
      </c>
      <c r="N44">
        <v>152.83000000000001</v>
      </c>
      <c r="O44" s="16">
        <f t="shared" si="49"/>
        <v>4.9000000000006594E-2</v>
      </c>
      <c r="P44" s="16">
        <f t="shared" si="54"/>
        <v>2.0999999999986585E-2</v>
      </c>
      <c r="Q44" s="16">
        <f t="shared" si="55"/>
        <v>2.8000000000020009E-2</v>
      </c>
      <c r="R44" s="16">
        <f t="shared" si="56"/>
        <v>4.9000000000006594E-2</v>
      </c>
      <c r="S44" s="16">
        <f t="shared" si="43"/>
        <v>0.10143152829641695</v>
      </c>
      <c r="T44">
        <v>0</v>
      </c>
      <c r="U44">
        <v>0</v>
      </c>
      <c r="V44">
        <v>0</v>
      </c>
      <c r="W44">
        <v>0</v>
      </c>
      <c r="Y44" s="9" t="str">
        <f t="shared" si="9"/>
        <v>------</v>
      </c>
      <c r="Z44" s="9" t="str">
        <f t="shared" si="10"/>
        <v>------</v>
      </c>
      <c r="AA44" s="9"/>
      <c r="AB44">
        <v>0</v>
      </c>
      <c r="AD44" t="str">
        <f t="shared" si="44"/>
        <v/>
      </c>
      <c r="AE44">
        <v>0.63841000000000003</v>
      </c>
      <c r="AF44">
        <v>0</v>
      </c>
      <c r="AG44">
        <v>153.32065</v>
      </c>
      <c r="AH44">
        <v>153.23535999999999</v>
      </c>
      <c r="AI44">
        <v>153.15007</v>
      </c>
      <c r="AJ44">
        <v>153.06478000000001</v>
      </c>
      <c r="AK44">
        <v>152.97949</v>
      </c>
      <c r="AL44">
        <v>152.87223</v>
      </c>
      <c r="AM44">
        <v>152.78693999999999</v>
      </c>
      <c r="AN44">
        <v>152.70165</v>
      </c>
      <c r="AO44">
        <v>152.61635999999999</v>
      </c>
      <c r="AP44">
        <v>152.53107</v>
      </c>
      <c r="AQ44">
        <v>152.75800000000001</v>
      </c>
      <c r="AR44">
        <v>152.85</v>
      </c>
      <c r="AS44">
        <f t="shared" si="26"/>
        <v>40</v>
      </c>
      <c r="AT44">
        <v>152.96299999999999</v>
      </c>
      <c r="AU44">
        <v>153.10499999999999</v>
      </c>
      <c r="AV44">
        <v>152.791</v>
      </c>
      <c r="AW44">
        <v>152.72499999999999</v>
      </c>
      <c r="AY44" s="4">
        <f>I44*(1+$AY$2)</f>
        <v>152.96694160000001</v>
      </c>
      <c r="AZ44" s="4">
        <f>I44*(1-$AY$2)</f>
        <v>152.92105839999999</v>
      </c>
      <c r="BA44" s="4">
        <f>J44*(1+$AY$2)</f>
        <v>152.91993454999999</v>
      </c>
      <c r="BB44" s="4">
        <f>J44*(1-$AY$2)</f>
        <v>152.87406544999999</v>
      </c>
      <c r="BC44" s="4">
        <f>K44*(1+$AY$2)</f>
        <v>153.22998105000002</v>
      </c>
      <c r="BD44" s="4">
        <f>K44*(1-$AY$2)</f>
        <v>153.18401895</v>
      </c>
      <c r="BE44" s="4">
        <f>L44*(1+$AY$2)</f>
        <v>152.61288850000003</v>
      </c>
      <c r="BF44" s="4">
        <f>L44*(1-$AY$2)</f>
        <v>152.56711150000001</v>
      </c>
      <c r="BG44" s="4">
        <f>M44*(1+$AY$2)</f>
        <v>152.61688910000001</v>
      </c>
      <c r="BH44" s="4">
        <f>M44*(1-$AY$2)</f>
        <v>152.57111090000001</v>
      </c>
      <c r="BI44" s="4">
        <f>N44*(1+$AY$2)</f>
        <v>152.85292450000003</v>
      </c>
      <c r="BJ44" s="4">
        <f>N44*(1-$AY$2)</f>
        <v>152.80707550000002</v>
      </c>
      <c r="BK44" s="30">
        <f t="shared" si="27"/>
        <v>40</v>
      </c>
      <c r="BL44" s="15" t="str">
        <f t="shared" si="11"/>
        <v>-----</v>
      </c>
      <c r="BM44" s="15" t="str">
        <f t="shared" si="12"/>
        <v>-----</v>
      </c>
      <c r="BN44" s="15" t="str">
        <f t="shared" si="13"/>
        <v>-----</v>
      </c>
      <c r="BO44" s="15" t="str">
        <f t="shared" si="14"/>
        <v>-----</v>
      </c>
      <c r="BP44" s="15" t="str">
        <f t="shared" si="15"/>
        <v>-----</v>
      </c>
      <c r="BQ44" s="15" t="str">
        <f t="shared" si="16"/>
        <v>-----</v>
      </c>
      <c r="BR44" s="22"/>
      <c r="BS44" s="9">
        <f t="shared" si="57"/>
        <v>-2.423265306122455E-3</v>
      </c>
      <c r="BT44" s="9">
        <f>SLOPE(J$5:J$103,$A$5:$A$103)</f>
        <v>-3.7194805194805478E-4</v>
      </c>
      <c r="BU44" s="9">
        <f>SLOPE(K$5:K$103,$A$5:$A$103)</f>
        <v>-1.6402721088435472E-3</v>
      </c>
      <c r="BV44" s="9">
        <f>SLOPE(L$5:L$103,$A$5:$A$103)</f>
        <v>7.6471243042669956E-4</v>
      </c>
      <c r="BW44" s="9">
        <f>SLOPE(M$5:M$103,$A$5:$A$103)</f>
        <v>-2.3081014223875058E-4</v>
      </c>
      <c r="BX44" s="9">
        <f>SLOPE(N$5:N$103,$A$5:$A$103)</f>
        <v>1.5802844774273381E-3</v>
      </c>
      <c r="BY44"/>
      <c r="BZ44" s="9">
        <f t="shared" si="37"/>
        <v>-1.9079214597220278</v>
      </c>
      <c r="CA44" s="9">
        <f t="shared" si="38"/>
        <v>-0.29295343676527091</v>
      </c>
      <c r="CB44" s="9">
        <f t="shared" si="39"/>
        <v>-1.2917022253843653</v>
      </c>
      <c r="CC44" s="9">
        <f t="shared" si="40"/>
        <v>0.60228527619529781</v>
      </c>
      <c r="CD44" s="9">
        <f t="shared" si="41"/>
        <v>-0.18179147971962978</v>
      </c>
      <c r="CE44" s="9">
        <f t="shared" si="42"/>
        <v>1.2444775446344229</v>
      </c>
      <c r="CF44"/>
      <c r="CG44" s="18" t="str" cm="1">
        <f t="array" ref="CG44">_xlfn.IFS(BZ44&gt;3,"Strong + Slope",BZ44&gt;1.5,"Moderate + Slope",BZ44&gt;0.5,"Sideway + Slope",BZ44&gt;=-0.5,"Sideway Flat",BZ44&gt;=-1.5,"Sideway - Slope",BZ44&gt;=-3,"Moderate - Slope",TRUE,"Strong - Slope")</f>
        <v>Moderate - Slope</v>
      </c>
      <c r="CH44" s="18" t="str" cm="1">
        <f t="array" ref="CH44">_xlfn.IFS(CA44&gt;3,"Strong + Slope",CA44&gt;1.5,"Moderate + Slope",CA44&gt;0.5,"Sideway + Slope",CA44&gt;=-0.5,"Sideway Flat",CA44&gt;=-1.5,"Sideway - Slope",CA44&gt;=-3,"Moderate - Slope",TRUE,"Strong - Slope")</f>
        <v>Sideway Flat</v>
      </c>
      <c r="CI44" s="18" t="str" cm="1">
        <f t="array" ref="CI44">_xlfn.IFS(CB44&gt;3,"Strong + Slope",CB44&gt;1.5,"Moderate + Slope",CB44&gt;0.5,"Sideway + Slope",CB44&gt;=-0.5,"Sideway Flat",CB44&gt;=-1.5,"Sideway - Slope",CB44&gt;=-3,"Moderate - Slope",TRUE,"Strong - Slope")</f>
        <v>Sideway - Slope</v>
      </c>
      <c r="CJ44" s="18" t="str" cm="1">
        <f t="array" ref="CJ44">_xlfn.IFS(CC44&gt;3,"Strong + Slope",CC44&gt;1.5,"Moderate + Slope",CC44&gt;0.5,"Sideway + Slope",CC44&gt;=-0.5,"Sideway Flat",CC44&gt;=-1.5,"Sideway - Slope",CC44&gt;=-3,"Moderate - Slope",TRUE,"Strong - Slope")</f>
        <v>Sideway + Slope</v>
      </c>
      <c r="CK44" s="18" t="str" cm="1">
        <f t="array" ref="CK44">_xlfn.IFS(CD44&gt;3,"Strong + Slope",CD44&gt;1.5,"Moderate + Slope",CD44&gt;0.5,"Sideway + Slope",CD44&gt;=-0.5,"Sideway Flat",CD44&gt;=-1.5,"Sideway - Slope",CD44&gt;=-3,"Moderate - Slope",TRUE,"Strong - Slope")</f>
        <v>Sideway Flat</v>
      </c>
      <c r="CL44" s="18" t="str" cm="1">
        <f t="array" ref="CL44">_xlfn.IFS(CE44&gt;3,"Strong + Slope",CE44&gt;1.5,"Moderate + Slope",CE44&gt;0.5,"Sideway + Slope",CE44&gt;=-0.5,"Sideway Flat",CE44&gt;=-1.5,"Sideway - Slope",CE44&gt;=-3,"Moderate - Slope",TRUE,"Strong - Slope")</f>
        <v>Sideway + Slope</v>
      </c>
      <c r="CM44" s="9"/>
      <c r="CN44" s="9">
        <f>RANK(I44,$I44:$N44,0)</f>
        <v>2</v>
      </c>
      <c r="CO44" s="9">
        <f>RANK(J44,$I44:$N44,0)</f>
        <v>3</v>
      </c>
      <c r="CP44" s="9">
        <f>RANK(K44,$I44:$N44,0)</f>
        <v>1</v>
      </c>
      <c r="CQ44" s="9">
        <f>RANK(L44,$I44:$N44,0)</f>
        <v>6</v>
      </c>
      <c r="CR44" s="9">
        <f>RANK(M44,$I44:$N44,0)</f>
        <v>5</v>
      </c>
      <c r="CS44" s="9">
        <f>RANK(N44,$I44:$N44,0)</f>
        <v>4</v>
      </c>
      <c r="CT44" s="9"/>
      <c r="CU44" s="9" t="str">
        <f>IF($H44&gt;I44,"SUP","RES")</f>
        <v>RES</v>
      </c>
      <c r="CV44" s="9" t="str">
        <f>IF($H44&gt;J44,"SUP","RES")</f>
        <v>RES</v>
      </c>
      <c r="CW44" s="9" t="str">
        <f>IF($H44&gt;K44,"SUP","RES")</f>
        <v>RES</v>
      </c>
      <c r="CX44" s="9" t="str">
        <f>IF($H44&gt;L44,"SUP","RES")</f>
        <v>SUP</v>
      </c>
      <c r="CY44" s="9" t="str">
        <f>IF($H44&gt;M44,"SUP","RES")</f>
        <v>SUP</v>
      </c>
      <c r="CZ44" s="9" t="str">
        <f>IF($H44&gt;N44,"SUP","RES")</f>
        <v>RES</v>
      </c>
      <c r="DA44" s="9"/>
      <c r="DB44" s="12">
        <f>(I44-$H44)/$H44</f>
        <v>1.0079193664506601E-3</v>
      </c>
      <c r="DC44" s="12">
        <f>(J44-$H44)/$H44</f>
        <v>7.0030761175469156E-4</v>
      </c>
      <c r="DD44" s="12">
        <f>(K44-$H44)/$H44</f>
        <v>2.7292362065580314E-3</v>
      </c>
      <c r="DE44" s="12">
        <f>(L44-$H44)/$H44</f>
        <v>-1.3089861901956191E-3</v>
      </c>
      <c r="DF44" s="12">
        <f>(M44-$H44)/$H44</f>
        <v>-1.2828064663917662E-3</v>
      </c>
      <c r="DG44" s="12">
        <f>(N44-$H44)/$H44</f>
        <v>2.6179723803927262E-4</v>
      </c>
      <c r="DH44" s="12"/>
      <c r="DI44" s="12">
        <f>((H44-MIN(I44:N44))/(MAX(I44:N44)-MIN(I44:N44)))</f>
        <v>0.32414910858993806</v>
      </c>
      <c r="DJ44" s="13">
        <f t="shared" si="50"/>
        <v>4</v>
      </c>
      <c r="DK44" s="14">
        <f t="shared" si="51"/>
        <v>2</v>
      </c>
      <c r="DL44" s="12">
        <f t="shared" si="18"/>
        <v>2.7292362065580314E-3</v>
      </c>
      <c r="DM44" s="12">
        <f t="shared" si="19"/>
        <v>1.0079193664506601E-3</v>
      </c>
      <c r="DN44" s="12">
        <f t="shared" si="20"/>
        <v>7.0030761175469156E-4</v>
      </c>
      <c r="DO44" s="12">
        <f t="shared" si="21"/>
        <v>2.6179723803927262E-4</v>
      </c>
      <c r="DP44" s="12">
        <f t="shared" si="22"/>
        <v>-1.2828064663917662E-3</v>
      </c>
      <c r="DQ44" s="12">
        <f t="shared" si="23"/>
        <v>-1.3089861901956191E-3</v>
      </c>
      <c r="DR44" s="9"/>
      <c r="DS44" s="9" t="str">
        <f>IF(AQ44&gt;AG44,"Overbought",IF(AQ44&gt;AI44,"Bullish Momentum",IF(AQ44&gt;AK44,"Overprice Setting Up","-----")))</f>
        <v>-----</v>
      </c>
      <c r="DT44" s="9" t="str">
        <f>IF(AQ44&lt;AP44,"Oversold",IF(AQ44&lt;AN44,"Bearish Momentum",IF(AQ44&lt;AL44,"Underprice Setting Up","-----")))</f>
        <v>Underprice Setting Up</v>
      </c>
      <c r="DU44" s="9"/>
      <c r="DV44" s="12" t="str">
        <f>IF(AND(AT44&gt;AU44,AT43&gt;AU43,AT42&gt;AU42,AT41&gt;AU41,AT40&gt;AU40,AT39&gt;AU39,AT38&gt;AU38,AT37&gt;AU37,AT36&gt;AU36,AT35&gt;AU35,AT34&gt;AU34,AT33&gt;AU33),"Bullish",IF(AND(AT44&lt;AU44,AT43&lt;AU43,AT42&lt;AU42,AT41&lt;AU41,AT40&lt;AU40,AT39&lt;AU39,AT38&lt;AU38,AT37&lt;AU37,AT36&lt;AU36,AT35&lt;AU35,AT34&lt;AU34,AT33&lt;AU33),"Bearish","-----"))</f>
        <v>Bearish</v>
      </c>
      <c r="DW44" s="12"/>
      <c r="DX44" s="23">
        <f>(AR44-AT44)/AT44</f>
        <v>-7.3874074122499923E-4</v>
      </c>
      <c r="DY44" s="23">
        <f t="shared" si="52"/>
        <v>-0.83188188034640054</v>
      </c>
      <c r="DZ44" s="23" t="str">
        <f>IF(DY44&gt;PERCENTILE($DY$5:$DY$103,90%),"Reverse to Bearish",IF(DY44&gt;=PERCENTILE($DY$5:$DY$103,70%),"-----",IF(DY44&gt;=PERCENTILE($DY$5:$DY$103,30%),"-----",IF(DY44&gt;=PERCENTILE($DY$5:$DY$103,10%),"-----","Reverse to Bullish"))))</f>
        <v>-----</v>
      </c>
      <c r="EA44" s="23" t="str">
        <f>IF(AQ44&gt;AR44,"Bullish","Bearish")</f>
        <v>Bearish</v>
      </c>
      <c r="EB44" s="22" t="str">
        <f>IF(AND(H44&gt;AQ44,H43&lt;AQ43),"TEMA crossover","-----")</f>
        <v>TEMA crossover</v>
      </c>
      <c r="EC44" s="22" t="str">
        <f>IF(AND(H44&lt;AQ44,H43&gt;AQ43),"TEMA crossunder","-----")</f>
        <v>-----</v>
      </c>
      <c r="ED44" s="22"/>
      <c r="EE44" s="24" t="str">
        <f t="shared" si="45"/>
        <v>YES</v>
      </c>
      <c r="EF44" s="24" t="str">
        <f t="shared" si="46"/>
        <v>-----</v>
      </c>
      <c r="EG44" s="24" t="str">
        <f t="shared" si="47"/>
        <v>-----</v>
      </c>
      <c r="EH44" s="24" t="str">
        <f t="shared" si="48"/>
        <v>YES</v>
      </c>
      <c r="EI44" s="25" t="str">
        <f>IF(DV44="Bullish","YES","-----")</f>
        <v>-----</v>
      </c>
      <c r="EJ44" s="25" t="str">
        <f>IF(DZ44="Reverse to Bullish","YES","-----")</f>
        <v>-----</v>
      </c>
      <c r="EK44" s="25" t="str">
        <f>IF(AND(EA44="Bearish",EA43="Bearish",EA42="Bearish",EA41="Bearish"),"YES","-----")</f>
        <v>YES</v>
      </c>
      <c r="EL44" s="25" t="str">
        <f>IF(OR(EC44="TEMA crossover",EC43="TEMA crossover",EC42="TEMA crossover",EC41="TEMA crossover"),"YES","-----")</f>
        <v>-----</v>
      </c>
      <c r="EM44" s="24" t="str">
        <f>IF(AND(EE44="YES",EF44="YES",EG44="YES",EH44="YES"),"Open Sell / Close Buy","-----")</f>
        <v>-----</v>
      </c>
      <c r="EN44" s="25" t="str">
        <f t="shared" si="32"/>
        <v>-----</v>
      </c>
      <c r="EO44" s="23"/>
      <c r="EP44" s="9" t="str">
        <f>IF(AND(H44&gt;AV44,H44&gt;E44),"Bullish Trigger","-----")</f>
        <v>-----</v>
      </c>
      <c r="EQ44" s="9" t="str">
        <f>IF(AND(H44&lt;AW44,H44&lt;E44),"Bearish Trigger","-----")</f>
        <v>-----</v>
      </c>
      <c r="ER44" s="9"/>
      <c r="ES44" s="9" t="str">
        <f>IF(G44&gt;AV44,"Bullish Spike","-----")</f>
        <v>-----</v>
      </c>
      <c r="ET44" s="9" t="str">
        <f>IF(F44&lt;AW44,"Bearish Spike","-----")</f>
        <v>-----</v>
      </c>
      <c r="EU44" s="9"/>
      <c r="EV44" s="20">
        <f t="shared" si="53"/>
        <v>6.6000000000002501E-2</v>
      </c>
      <c r="EW44" s="9">
        <f t="shared" si="24"/>
        <v>-0.22534961051119806</v>
      </c>
      <c r="EX44" s="21" t="str">
        <f t="shared" si="25"/>
        <v>-----</v>
      </c>
      <c r="EY44" s="9"/>
    </row>
    <row r="45" spans="1:155" x14ac:dyDescent="0.55000000000000004">
      <c r="A45">
        <v>41</v>
      </c>
      <c r="B45" t="s">
        <v>44</v>
      </c>
      <c r="C45" t="s">
        <v>4</v>
      </c>
      <c r="D45" t="s">
        <v>103</v>
      </c>
      <c r="E45">
        <v>152.78899999999999</v>
      </c>
      <c r="F45">
        <v>152.79900000000001</v>
      </c>
      <c r="G45">
        <v>152.76599999999999</v>
      </c>
      <c r="H45">
        <v>152.78899999999999</v>
      </c>
      <c r="I45">
        <v>152.941</v>
      </c>
      <c r="J45">
        <v>152.89599999999999</v>
      </c>
      <c r="K45">
        <v>153.20500000000001</v>
      </c>
      <c r="L45">
        <v>152.59100000000001</v>
      </c>
      <c r="M45">
        <v>152.59399999999999</v>
      </c>
      <c r="N45">
        <v>152.83099999999999</v>
      </c>
      <c r="O45" s="16">
        <f t="shared" si="49"/>
        <v>3.3000000000015461E-2</v>
      </c>
      <c r="P45" s="16">
        <f t="shared" si="54"/>
        <v>9.0000000000145519E-3</v>
      </c>
      <c r="Q45" s="16">
        <f t="shared" si="55"/>
        <v>2.4000000000000909E-2</v>
      </c>
      <c r="R45" s="16">
        <f t="shared" si="56"/>
        <v>3.3000000000015461E-2</v>
      </c>
      <c r="S45" s="16">
        <f t="shared" si="43"/>
        <v>9.6543561989531138E-2</v>
      </c>
      <c r="T45">
        <v>0</v>
      </c>
      <c r="U45">
        <v>0</v>
      </c>
      <c r="V45">
        <v>0</v>
      </c>
      <c r="W45">
        <v>0</v>
      </c>
      <c r="Y45" s="9" t="str">
        <f t="shared" si="9"/>
        <v>------</v>
      </c>
      <c r="Z45" s="9" t="str">
        <f t="shared" si="10"/>
        <v>------</v>
      </c>
      <c r="AA45" s="9"/>
      <c r="AB45">
        <v>0</v>
      </c>
      <c r="AD45" t="str">
        <f t="shared" si="44"/>
        <v/>
      </c>
      <c r="AE45">
        <v>1.0903700000000001</v>
      </c>
      <c r="AF45">
        <v>0</v>
      </c>
      <c r="AG45">
        <v>153.30107000000001</v>
      </c>
      <c r="AH45">
        <v>153.21630999999999</v>
      </c>
      <c r="AI45">
        <v>153.13155</v>
      </c>
      <c r="AJ45">
        <v>153.04678999999999</v>
      </c>
      <c r="AK45">
        <v>152.96203</v>
      </c>
      <c r="AL45">
        <v>152.85846000000001</v>
      </c>
      <c r="AM45">
        <v>152.77370999999999</v>
      </c>
      <c r="AN45">
        <v>152.68895000000001</v>
      </c>
      <c r="AO45">
        <v>152.60418999999999</v>
      </c>
      <c r="AP45">
        <v>152.51943</v>
      </c>
      <c r="AQ45">
        <v>152.75299999999999</v>
      </c>
      <c r="AR45">
        <v>152.82499999999999</v>
      </c>
      <c r="AS45">
        <f t="shared" si="26"/>
        <v>41</v>
      </c>
      <c r="AT45">
        <v>152.94999999999999</v>
      </c>
      <c r="AU45">
        <v>153.096</v>
      </c>
      <c r="AV45">
        <v>152.774</v>
      </c>
      <c r="AW45">
        <v>152.72800000000001</v>
      </c>
      <c r="AY45" s="4">
        <f>I45*(1+$AY$2)</f>
        <v>152.96394115000001</v>
      </c>
      <c r="AZ45" s="4">
        <f>I45*(1-$AY$2)</f>
        <v>152.91805884999999</v>
      </c>
      <c r="BA45" s="4">
        <f>J45*(1+$AY$2)</f>
        <v>152.91893440000001</v>
      </c>
      <c r="BB45" s="4">
        <f>J45*(1-$AY$2)</f>
        <v>152.87306559999999</v>
      </c>
      <c r="BC45" s="4">
        <f>K45*(1+$AY$2)</f>
        <v>153.22798075000003</v>
      </c>
      <c r="BD45" s="4">
        <f>K45*(1-$AY$2)</f>
        <v>153.18201925000002</v>
      </c>
      <c r="BE45" s="4">
        <f>L45*(1+$AY$2)</f>
        <v>152.61388865000004</v>
      </c>
      <c r="BF45" s="4">
        <f>L45*(1-$AY$2)</f>
        <v>152.56811135000001</v>
      </c>
      <c r="BG45" s="4">
        <f>M45*(1+$AY$2)</f>
        <v>152.61688910000001</v>
      </c>
      <c r="BH45" s="4">
        <f>M45*(1-$AY$2)</f>
        <v>152.57111090000001</v>
      </c>
      <c r="BI45" s="4">
        <f>N45*(1+$AY$2)</f>
        <v>152.85392465000001</v>
      </c>
      <c r="BJ45" s="4">
        <f>N45*(1-$AY$2)</f>
        <v>152.80807535</v>
      </c>
      <c r="BK45" s="30">
        <f t="shared" si="27"/>
        <v>41</v>
      </c>
      <c r="BL45" s="15" t="str">
        <f t="shared" si="11"/>
        <v>-----</v>
      </c>
      <c r="BM45" s="15" t="str">
        <f t="shared" si="12"/>
        <v>-----</v>
      </c>
      <c r="BN45" s="15" t="str">
        <f t="shared" si="13"/>
        <v>-----</v>
      </c>
      <c r="BO45" s="15" t="str">
        <f t="shared" si="14"/>
        <v>-----</v>
      </c>
      <c r="BP45" s="15" t="str">
        <f t="shared" si="15"/>
        <v>-----</v>
      </c>
      <c r="BQ45" s="15" t="str">
        <f t="shared" si="16"/>
        <v>-----</v>
      </c>
      <c r="BR45" s="22"/>
      <c r="BS45" s="9">
        <f t="shared" si="57"/>
        <v>-2.423265306122455E-3</v>
      </c>
      <c r="BT45" s="9">
        <f>SLOPE(J$5:J$103,$A$5:$A$103)</f>
        <v>-3.7194805194805478E-4</v>
      </c>
      <c r="BU45" s="9">
        <f>SLOPE(K$5:K$103,$A$5:$A$103)</f>
        <v>-1.6402721088435472E-3</v>
      </c>
      <c r="BV45" s="9">
        <f>SLOPE(L$5:L$103,$A$5:$A$103)</f>
        <v>7.6471243042669956E-4</v>
      </c>
      <c r="BW45" s="9">
        <f>SLOPE(M$5:M$103,$A$5:$A$103)</f>
        <v>-2.3081014223875058E-4</v>
      </c>
      <c r="BX45" s="9">
        <f>SLOPE(N$5:N$103,$A$5:$A$103)</f>
        <v>1.5802844774273381E-3</v>
      </c>
      <c r="BY45"/>
      <c r="BZ45" s="9">
        <f t="shared" si="37"/>
        <v>-1.9079214597220278</v>
      </c>
      <c r="CA45" s="9">
        <f t="shared" si="38"/>
        <v>-0.29295343676527091</v>
      </c>
      <c r="CB45" s="9">
        <f t="shared" si="39"/>
        <v>-1.2917022253843653</v>
      </c>
      <c r="CC45" s="9">
        <f t="shared" si="40"/>
        <v>0.60228527619529781</v>
      </c>
      <c r="CD45" s="9">
        <f t="shared" si="41"/>
        <v>-0.18179147971962978</v>
      </c>
      <c r="CE45" s="9">
        <f t="shared" si="42"/>
        <v>1.2444775446344229</v>
      </c>
      <c r="CF45"/>
      <c r="CG45" s="18" t="str" cm="1">
        <f t="array" ref="CG45">_xlfn.IFS(BZ45&gt;3,"Strong + Slope",BZ45&gt;1.5,"Moderate + Slope",BZ45&gt;0.5,"Sideway + Slope",BZ45&gt;=-0.5,"Sideway Flat",BZ45&gt;=-1.5,"Sideway - Slope",BZ45&gt;=-3,"Moderate - Slope",TRUE,"Strong - Slope")</f>
        <v>Moderate - Slope</v>
      </c>
      <c r="CH45" s="18" t="str" cm="1">
        <f t="array" ref="CH45">_xlfn.IFS(CA45&gt;3,"Strong + Slope",CA45&gt;1.5,"Moderate + Slope",CA45&gt;0.5,"Sideway + Slope",CA45&gt;=-0.5,"Sideway Flat",CA45&gt;=-1.5,"Sideway - Slope",CA45&gt;=-3,"Moderate - Slope",TRUE,"Strong - Slope")</f>
        <v>Sideway Flat</v>
      </c>
      <c r="CI45" s="18" t="str" cm="1">
        <f t="array" ref="CI45">_xlfn.IFS(CB45&gt;3,"Strong + Slope",CB45&gt;1.5,"Moderate + Slope",CB45&gt;0.5,"Sideway + Slope",CB45&gt;=-0.5,"Sideway Flat",CB45&gt;=-1.5,"Sideway - Slope",CB45&gt;=-3,"Moderate - Slope",TRUE,"Strong - Slope")</f>
        <v>Sideway - Slope</v>
      </c>
      <c r="CJ45" s="18" t="str" cm="1">
        <f t="array" ref="CJ45">_xlfn.IFS(CC45&gt;3,"Strong + Slope",CC45&gt;1.5,"Moderate + Slope",CC45&gt;0.5,"Sideway + Slope",CC45&gt;=-0.5,"Sideway Flat",CC45&gt;=-1.5,"Sideway - Slope",CC45&gt;=-3,"Moderate - Slope",TRUE,"Strong - Slope")</f>
        <v>Sideway + Slope</v>
      </c>
      <c r="CK45" s="18" t="str" cm="1">
        <f t="array" ref="CK45">_xlfn.IFS(CD45&gt;3,"Strong + Slope",CD45&gt;1.5,"Moderate + Slope",CD45&gt;0.5,"Sideway + Slope",CD45&gt;=-0.5,"Sideway Flat",CD45&gt;=-1.5,"Sideway - Slope",CD45&gt;=-3,"Moderate - Slope",TRUE,"Strong - Slope")</f>
        <v>Sideway Flat</v>
      </c>
      <c r="CL45" s="18" t="str" cm="1">
        <f t="array" ref="CL45">_xlfn.IFS(CE45&gt;3,"Strong + Slope",CE45&gt;1.5,"Moderate + Slope",CE45&gt;0.5,"Sideway + Slope",CE45&gt;=-0.5,"Sideway Flat",CE45&gt;=-1.5,"Sideway - Slope",CE45&gt;=-3,"Moderate - Slope",TRUE,"Strong - Slope")</f>
        <v>Sideway + Slope</v>
      </c>
      <c r="CM45" s="9"/>
      <c r="CN45" s="9">
        <f>RANK(I45,$I45:$N45,0)</f>
        <v>2</v>
      </c>
      <c r="CO45" s="9">
        <f>RANK(J45,$I45:$N45,0)</f>
        <v>3</v>
      </c>
      <c r="CP45" s="9">
        <f>RANK(K45,$I45:$N45,0)</f>
        <v>1</v>
      </c>
      <c r="CQ45" s="9">
        <f>RANK(L45,$I45:$N45,0)</f>
        <v>6</v>
      </c>
      <c r="CR45" s="9">
        <f>RANK(M45,$I45:$N45,0)</f>
        <v>5</v>
      </c>
      <c r="CS45" s="9">
        <f>RANK(N45,$I45:$N45,0)</f>
        <v>4</v>
      </c>
      <c r="CT45" s="9"/>
      <c r="CU45" s="9" t="str">
        <f>IF($H45&gt;I45,"SUP","RES")</f>
        <v>RES</v>
      </c>
      <c r="CV45" s="9" t="str">
        <f>IF($H45&gt;J45,"SUP","RES")</f>
        <v>RES</v>
      </c>
      <c r="CW45" s="9" t="str">
        <f>IF($H45&gt;K45,"SUP","RES")</f>
        <v>RES</v>
      </c>
      <c r="CX45" s="9" t="str">
        <f>IF($H45&gt;L45,"SUP","RES")</f>
        <v>SUP</v>
      </c>
      <c r="CY45" s="9" t="str">
        <f>IF($H45&gt;M45,"SUP","RES")</f>
        <v>SUP</v>
      </c>
      <c r="CZ45" s="9" t="str">
        <f>IF($H45&gt;N45,"SUP","RES")</f>
        <v>RES</v>
      </c>
      <c r="DA45" s="9"/>
      <c r="DB45" s="12">
        <f>(I45-$H45)/$H45</f>
        <v>9.9483601568185688E-4</v>
      </c>
      <c r="DC45" s="12">
        <f>(J45-$H45)/$H45</f>
        <v>7.003121952496536E-4</v>
      </c>
      <c r="DD45" s="12">
        <f>(K45-$H45)/$H45</f>
        <v>2.7227090955502377E-3</v>
      </c>
      <c r="DE45" s="12">
        <f>(L45-$H45)/$H45</f>
        <v>-1.2959048099010996E-3</v>
      </c>
      <c r="DF45" s="12">
        <f>(M45-$H45)/$H45</f>
        <v>-1.2762698885390518E-3</v>
      </c>
      <c r="DG45" s="12">
        <f>(N45-$H45)/$H45</f>
        <v>2.7488889906996967E-4</v>
      </c>
      <c r="DH45" s="12"/>
      <c r="DI45" s="12">
        <f>((H45-MIN(I45:N45))/(MAX(I45:N45)-MIN(I45:N45)))</f>
        <v>0.32247557003253696</v>
      </c>
      <c r="DJ45" s="13">
        <f t="shared" si="50"/>
        <v>4</v>
      </c>
      <c r="DK45" s="14">
        <f t="shared" si="51"/>
        <v>2</v>
      </c>
      <c r="DL45" s="12">
        <f t="shared" si="18"/>
        <v>2.7227090955502377E-3</v>
      </c>
      <c r="DM45" s="12">
        <f t="shared" si="19"/>
        <v>9.9483601568185688E-4</v>
      </c>
      <c r="DN45" s="12">
        <f t="shared" si="20"/>
        <v>7.003121952496536E-4</v>
      </c>
      <c r="DO45" s="12">
        <f t="shared" si="21"/>
        <v>2.7488889906996967E-4</v>
      </c>
      <c r="DP45" s="12">
        <f t="shared" si="22"/>
        <v>-1.2762698885390518E-3</v>
      </c>
      <c r="DQ45" s="12">
        <f t="shared" si="23"/>
        <v>-1.2959048099010996E-3</v>
      </c>
      <c r="DR45" s="9"/>
      <c r="DS45" s="9" t="str">
        <f>IF(AQ45&gt;AG45,"Overbought",IF(AQ45&gt;AI45,"Bullish Momentum",IF(AQ45&gt;AK45,"Overprice Setting Up","-----")))</f>
        <v>-----</v>
      </c>
      <c r="DT45" s="9" t="str">
        <f>IF(AQ45&lt;AP45,"Oversold",IF(AQ45&lt;AN45,"Bearish Momentum",IF(AQ45&lt;AL45,"Underprice Setting Up","-----")))</f>
        <v>Underprice Setting Up</v>
      </c>
      <c r="DU45" s="9"/>
      <c r="DV45" s="12" t="str">
        <f>IF(AND(AT45&gt;AU45,AT44&gt;AU44,AT43&gt;AU43,AT42&gt;AU42,AT41&gt;AU41,AT40&gt;AU40,AT39&gt;AU39,AT38&gt;AU38,AT37&gt;AU37,AT36&gt;AU36,AT35&gt;AU35,AT34&gt;AU34),"Bullish",IF(AND(AT45&lt;AU45,AT44&lt;AU44,AT43&lt;AU43,AT42&lt;AU42,AT41&lt;AU41,AT40&lt;AU40,AT39&lt;AU39,AT38&lt;AU38,AT37&lt;AU37,AT36&lt;AU36,AT35&lt;AU35,AT34&lt;AU34),"Bearish","-----"))</f>
        <v>Bearish</v>
      </c>
      <c r="DW45" s="12"/>
      <c r="DX45" s="23">
        <f>(AR45-AT45)/AT45</f>
        <v>-8.1726054266100044E-4</v>
      </c>
      <c r="DY45" s="23">
        <f t="shared" si="52"/>
        <v>-1.0583371317345263</v>
      </c>
      <c r="DZ45" s="23" t="str">
        <f>IF(DY45&gt;PERCENTILE($DY$5:$DY$103,90%),"Reverse to Bearish",IF(DY45&gt;=PERCENTILE($DY$5:$DY$103,70%),"-----",IF(DY45&gt;=PERCENTILE($DY$5:$DY$103,30%),"-----",IF(DY45&gt;=PERCENTILE($DY$5:$DY$103,10%),"-----","Reverse to Bullish"))))</f>
        <v>-----</v>
      </c>
      <c r="EA45" s="23" t="str">
        <f>IF(AQ45&gt;AR45,"Bullish","Bearish")</f>
        <v>Bearish</v>
      </c>
      <c r="EB45" s="22" t="str">
        <f>IF(AND(H45&gt;AQ45,H44&lt;AQ44),"TEMA crossover","-----")</f>
        <v>-----</v>
      </c>
      <c r="EC45" s="22" t="str">
        <f>IF(AND(H45&lt;AQ45,H44&gt;AQ44),"TEMA crossunder","-----")</f>
        <v>-----</v>
      </c>
      <c r="ED45" s="22"/>
      <c r="EE45" s="24" t="str">
        <f t="shared" si="45"/>
        <v>YES</v>
      </c>
      <c r="EF45" s="24" t="str">
        <f t="shared" si="46"/>
        <v>-----</v>
      </c>
      <c r="EG45" s="24" t="str">
        <f t="shared" si="47"/>
        <v>-----</v>
      </c>
      <c r="EH45" s="24" t="str">
        <f t="shared" si="48"/>
        <v>YES</v>
      </c>
      <c r="EI45" s="25" t="str">
        <f>IF(DV45="Bullish","YES","-----")</f>
        <v>-----</v>
      </c>
      <c r="EJ45" s="25" t="str">
        <f>IF(DZ45="Reverse to Bullish","YES","-----")</f>
        <v>-----</v>
      </c>
      <c r="EK45" s="25" t="str">
        <f>IF(AND(EA45="Bearish",EA44="Bearish",EA43="Bearish",EA42="Bearish"),"YES","-----")</f>
        <v>YES</v>
      </c>
      <c r="EL45" s="25" t="str">
        <f>IF(OR(EC45="TEMA crossover",EC44="TEMA crossover",EC43="TEMA crossover",EC42="TEMA crossover"),"YES","-----")</f>
        <v>-----</v>
      </c>
      <c r="EM45" s="24" t="str">
        <f>IF(AND(EE45="YES",EF45="YES",EG45="YES",EH45="YES"),"Open Sell / Close Buy","-----")</f>
        <v>-----</v>
      </c>
      <c r="EN45" s="25" t="str">
        <f t="shared" si="32"/>
        <v>-----</v>
      </c>
      <c r="EO45" s="23"/>
      <c r="EP45" s="9" t="str">
        <f>IF(AND(H45&gt;AV45,H45&gt;E45),"Bullish Trigger","-----")</f>
        <v>-----</v>
      </c>
      <c r="EQ45" s="9" t="str">
        <f>IF(AND(H45&lt;AW45,H45&lt;E45),"Bearish Trigger","-----")</f>
        <v>-----</v>
      </c>
      <c r="ER45" s="9"/>
      <c r="ES45" s="9" t="str">
        <f>IF(G45&gt;AV45,"Bullish Spike","-----")</f>
        <v>-----</v>
      </c>
      <c r="ET45" s="9" t="str">
        <f>IF(F45&lt;AW45,"Bearish Spike","-----")</f>
        <v>-----</v>
      </c>
      <c r="EU45" s="9"/>
      <c r="EV45" s="20">
        <f t="shared" si="53"/>
        <v>4.5999999999992269E-2</v>
      </c>
      <c r="EW45" s="9">
        <f t="shared" si="24"/>
        <v>-0.68629199564799381</v>
      </c>
      <c r="EX45" s="21" t="str">
        <f t="shared" si="25"/>
        <v>-----</v>
      </c>
      <c r="EY45" s="9"/>
    </row>
    <row r="46" spans="1:155" x14ac:dyDescent="0.55000000000000004">
      <c r="A46">
        <v>42</v>
      </c>
      <c r="B46" t="s">
        <v>45</v>
      </c>
      <c r="C46" t="s">
        <v>4</v>
      </c>
      <c r="D46" t="s">
        <v>103</v>
      </c>
      <c r="E46">
        <v>152.78899999999999</v>
      </c>
      <c r="F46">
        <v>152.79599999999999</v>
      </c>
      <c r="G46">
        <v>152.72999999999999</v>
      </c>
      <c r="H46">
        <v>152.75</v>
      </c>
      <c r="I46">
        <v>152.93899999999999</v>
      </c>
      <c r="J46">
        <v>152.89599999999999</v>
      </c>
      <c r="K46">
        <v>153.20400000000001</v>
      </c>
      <c r="L46">
        <v>152.59100000000001</v>
      </c>
      <c r="M46">
        <v>152.59299999999999</v>
      </c>
      <c r="N46">
        <v>152.833</v>
      </c>
      <c r="O46" s="16">
        <f t="shared" si="49"/>
        <v>6.6000000000002501E-2</v>
      </c>
      <c r="P46" s="16">
        <f t="shared" si="54"/>
        <v>7.0000000000050022E-3</v>
      </c>
      <c r="Q46" s="16">
        <f t="shared" si="55"/>
        <v>5.8999999999997499E-2</v>
      </c>
      <c r="R46" s="16">
        <f t="shared" si="56"/>
        <v>6.6000000000002501E-2</v>
      </c>
      <c r="S46" s="16">
        <f t="shared" si="43"/>
        <v>9.4361878990279105E-2</v>
      </c>
      <c r="T46">
        <v>0</v>
      </c>
      <c r="U46">
        <v>0</v>
      </c>
      <c r="V46">
        <v>0</v>
      </c>
      <c r="W46">
        <v>0</v>
      </c>
      <c r="Y46" s="9" t="str">
        <f t="shared" si="9"/>
        <v>------</v>
      </c>
      <c r="Z46" s="9" t="str">
        <f t="shared" si="10"/>
        <v>------</v>
      </c>
      <c r="AA46" s="9"/>
      <c r="AB46">
        <v>0</v>
      </c>
      <c r="AD46" t="str">
        <f t="shared" si="44"/>
        <v/>
      </c>
      <c r="AE46">
        <v>0.20588999999999999</v>
      </c>
      <c r="AF46">
        <v>3</v>
      </c>
      <c r="AG46">
        <v>153.28298000000001</v>
      </c>
      <c r="AH46">
        <v>153.19832</v>
      </c>
      <c r="AI46">
        <v>153.11365000000001</v>
      </c>
      <c r="AJ46">
        <v>153.02897999999999</v>
      </c>
      <c r="AK46">
        <v>152.94432</v>
      </c>
      <c r="AL46">
        <v>152.84425999999999</v>
      </c>
      <c r="AM46">
        <v>152.75959</v>
      </c>
      <c r="AN46">
        <v>152.67492999999999</v>
      </c>
      <c r="AO46">
        <v>152.59026</v>
      </c>
      <c r="AP46">
        <v>152.50559000000001</v>
      </c>
      <c r="AQ46">
        <v>152.74</v>
      </c>
      <c r="AR46">
        <v>152.80199999999999</v>
      </c>
      <c r="AS46">
        <f t="shared" si="26"/>
        <v>42</v>
      </c>
      <c r="AT46">
        <v>152.93600000000001</v>
      </c>
      <c r="AU46">
        <v>153.08699999999999</v>
      </c>
      <c r="AV46">
        <v>152.76599999999999</v>
      </c>
      <c r="AW46">
        <v>152.715</v>
      </c>
      <c r="AY46" s="4">
        <f>I46*(1+$AY$2)</f>
        <v>152.96194085000002</v>
      </c>
      <c r="AZ46" s="4">
        <f>I46*(1-$AY$2)</f>
        <v>152.91605915</v>
      </c>
      <c r="BA46" s="4">
        <f>J46*(1+$AY$2)</f>
        <v>152.91893440000001</v>
      </c>
      <c r="BB46" s="4">
        <f>J46*(1-$AY$2)</f>
        <v>152.87306559999999</v>
      </c>
      <c r="BC46" s="4">
        <f>K46*(1+$AY$2)</f>
        <v>153.22698060000002</v>
      </c>
      <c r="BD46" s="4">
        <f>K46*(1-$AY$2)</f>
        <v>153.1810194</v>
      </c>
      <c r="BE46" s="4">
        <f>L46*(1+$AY$2)</f>
        <v>152.61388865000004</v>
      </c>
      <c r="BF46" s="4">
        <f>L46*(1-$AY$2)</f>
        <v>152.56811135000001</v>
      </c>
      <c r="BG46" s="4">
        <f>M46*(1+$AY$2)</f>
        <v>152.61588895</v>
      </c>
      <c r="BH46" s="4">
        <f>M46*(1-$AY$2)</f>
        <v>152.57011104999998</v>
      </c>
      <c r="BI46" s="4">
        <f>N46*(1+$AY$2)</f>
        <v>152.85592495</v>
      </c>
      <c r="BJ46" s="4">
        <f>N46*(1-$AY$2)</f>
        <v>152.81007504999999</v>
      </c>
      <c r="BK46" s="30">
        <f t="shared" si="27"/>
        <v>42</v>
      </c>
      <c r="BL46" s="15" t="str">
        <f t="shared" si="11"/>
        <v>-----</v>
      </c>
      <c r="BM46" s="15" t="str">
        <f t="shared" si="12"/>
        <v>-----</v>
      </c>
      <c r="BN46" s="15" t="str">
        <f t="shared" si="13"/>
        <v>-----</v>
      </c>
      <c r="BO46" s="15" t="str">
        <f t="shared" si="14"/>
        <v>-----</v>
      </c>
      <c r="BP46" s="15" t="str">
        <f t="shared" si="15"/>
        <v>-----</v>
      </c>
      <c r="BQ46" s="15" t="str">
        <f t="shared" si="16"/>
        <v>-----</v>
      </c>
      <c r="BR46" s="22"/>
      <c r="BS46" s="9">
        <f t="shared" si="57"/>
        <v>-2.423265306122455E-3</v>
      </c>
      <c r="BT46" s="9">
        <f>SLOPE(J$5:J$103,$A$5:$A$103)</f>
        <v>-3.7194805194805478E-4</v>
      </c>
      <c r="BU46" s="9">
        <f>SLOPE(K$5:K$103,$A$5:$A$103)</f>
        <v>-1.6402721088435472E-3</v>
      </c>
      <c r="BV46" s="9">
        <f>SLOPE(L$5:L$103,$A$5:$A$103)</f>
        <v>7.6471243042669956E-4</v>
      </c>
      <c r="BW46" s="9">
        <f>SLOPE(M$5:M$103,$A$5:$A$103)</f>
        <v>-2.3081014223875058E-4</v>
      </c>
      <c r="BX46" s="9">
        <f>SLOPE(N$5:N$103,$A$5:$A$103)</f>
        <v>1.5802844774273381E-3</v>
      </c>
      <c r="BY46"/>
      <c r="BZ46" s="9">
        <f t="shared" si="37"/>
        <v>-1.9079214597220278</v>
      </c>
      <c r="CA46" s="9">
        <f t="shared" si="38"/>
        <v>-0.29295343676527091</v>
      </c>
      <c r="CB46" s="9">
        <f t="shared" si="39"/>
        <v>-1.2917022253843653</v>
      </c>
      <c r="CC46" s="9">
        <f t="shared" si="40"/>
        <v>0.60228527619529781</v>
      </c>
      <c r="CD46" s="9">
        <f t="shared" si="41"/>
        <v>-0.18179147971962978</v>
      </c>
      <c r="CE46" s="9">
        <f t="shared" si="42"/>
        <v>1.2444775446344229</v>
      </c>
      <c r="CF46"/>
      <c r="CG46" s="18" t="str" cm="1">
        <f t="array" ref="CG46">_xlfn.IFS(BZ46&gt;3,"Strong + Slope",BZ46&gt;1.5,"Moderate + Slope",BZ46&gt;0.5,"Sideway + Slope",BZ46&gt;=-0.5,"Sideway Flat",BZ46&gt;=-1.5,"Sideway - Slope",BZ46&gt;=-3,"Moderate - Slope",TRUE,"Strong - Slope")</f>
        <v>Moderate - Slope</v>
      </c>
      <c r="CH46" s="18" t="str" cm="1">
        <f t="array" ref="CH46">_xlfn.IFS(CA46&gt;3,"Strong + Slope",CA46&gt;1.5,"Moderate + Slope",CA46&gt;0.5,"Sideway + Slope",CA46&gt;=-0.5,"Sideway Flat",CA46&gt;=-1.5,"Sideway - Slope",CA46&gt;=-3,"Moderate - Slope",TRUE,"Strong - Slope")</f>
        <v>Sideway Flat</v>
      </c>
      <c r="CI46" s="18" t="str" cm="1">
        <f t="array" ref="CI46">_xlfn.IFS(CB46&gt;3,"Strong + Slope",CB46&gt;1.5,"Moderate + Slope",CB46&gt;0.5,"Sideway + Slope",CB46&gt;=-0.5,"Sideway Flat",CB46&gt;=-1.5,"Sideway - Slope",CB46&gt;=-3,"Moderate - Slope",TRUE,"Strong - Slope")</f>
        <v>Sideway - Slope</v>
      </c>
      <c r="CJ46" s="18" t="str" cm="1">
        <f t="array" ref="CJ46">_xlfn.IFS(CC46&gt;3,"Strong + Slope",CC46&gt;1.5,"Moderate + Slope",CC46&gt;0.5,"Sideway + Slope",CC46&gt;=-0.5,"Sideway Flat",CC46&gt;=-1.5,"Sideway - Slope",CC46&gt;=-3,"Moderate - Slope",TRUE,"Strong - Slope")</f>
        <v>Sideway + Slope</v>
      </c>
      <c r="CK46" s="18" t="str" cm="1">
        <f t="array" ref="CK46">_xlfn.IFS(CD46&gt;3,"Strong + Slope",CD46&gt;1.5,"Moderate + Slope",CD46&gt;0.5,"Sideway + Slope",CD46&gt;=-0.5,"Sideway Flat",CD46&gt;=-1.5,"Sideway - Slope",CD46&gt;=-3,"Moderate - Slope",TRUE,"Strong - Slope")</f>
        <v>Sideway Flat</v>
      </c>
      <c r="CL46" s="18" t="str" cm="1">
        <f t="array" ref="CL46">_xlfn.IFS(CE46&gt;3,"Strong + Slope",CE46&gt;1.5,"Moderate + Slope",CE46&gt;0.5,"Sideway + Slope",CE46&gt;=-0.5,"Sideway Flat",CE46&gt;=-1.5,"Sideway - Slope",CE46&gt;=-3,"Moderate - Slope",TRUE,"Strong - Slope")</f>
        <v>Sideway + Slope</v>
      </c>
      <c r="CM46" s="9"/>
      <c r="CN46" s="9">
        <f>RANK(I46,$I46:$N46,0)</f>
        <v>2</v>
      </c>
      <c r="CO46" s="9">
        <f>RANK(J46,$I46:$N46,0)</f>
        <v>3</v>
      </c>
      <c r="CP46" s="9">
        <f>RANK(K46,$I46:$N46,0)</f>
        <v>1</v>
      </c>
      <c r="CQ46" s="9">
        <f>RANK(L46,$I46:$N46,0)</f>
        <v>6</v>
      </c>
      <c r="CR46" s="9">
        <f>RANK(M46,$I46:$N46,0)</f>
        <v>5</v>
      </c>
      <c r="CS46" s="9">
        <f>RANK(N46,$I46:$N46,0)</f>
        <v>4</v>
      </c>
      <c r="CT46" s="9"/>
      <c r="CU46" s="9" t="str">
        <f>IF($H46&gt;I46,"SUP","RES")</f>
        <v>RES</v>
      </c>
      <c r="CV46" s="9" t="str">
        <f>IF($H46&gt;J46,"SUP","RES")</f>
        <v>RES</v>
      </c>
      <c r="CW46" s="9" t="str">
        <f>IF($H46&gt;K46,"SUP","RES")</f>
        <v>RES</v>
      </c>
      <c r="CX46" s="9" t="str">
        <f>IF($H46&gt;L46,"SUP","RES")</f>
        <v>SUP</v>
      </c>
      <c r="CY46" s="9" t="str">
        <f>IF($H46&gt;M46,"SUP","RES")</f>
        <v>SUP</v>
      </c>
      <c r="CZ46" s="9" t="str">
        <f>IF($H46&gt;N46,"SUP","RES")</f>
        <v>RES</v>
      </c>
      <c r="DA46" s="9"/>
      <c r="DB46" s="12">
        <f>(I46-$H46)/$H46</f>
        <v>1.2373158756137019E-3</v>
      </c>
      <c r="DC46" s="12">
        <f>(J46-$H46)/$H46</f>
        <v>9.5581014729942122E-4</v>
      </c>
      <c r="DD46" s="12">
        <f>(K46-$H46)/$H46</f>
        <v>2.9721767594108528E-3</v>
      </c>
      <c r="DE46" s="12">
        <f>(L46-$H46)/$H46</f>
        <v>-1.0409165302781788E-3</v>
      </c>
      <c r="DF46" s="12">
        <f>(M46-$H46)/$H46</f>
        <v>-1.0278232405892681E-3</v>
      </c>
      <c r="DG46" s="12">
        <f>(N46-$H46)/$H46</f>
        <v>5.4337152209491598E-4</v>
      </c>
      <c r="DH46" s="12"/>
      <c r="DI46" s="12">
        <f>((H46-MIN(I46:N46))/(MAX(I46:N46)-MIN(I46:N46)))</f>
        <v>0.25938009787926908</v>
      </c>
      <c r="DJ46" s="13">
        <f t="shared" si="50"/>
        <v>4</v>
      </c>
      <c r="DK46" s="14">
        <f t="shared" si="51"/>
        <v>2</v>
      </c>
      <c r="DL46" s="12">
        <f t="shared" si="18"/>
        <v>2.9721767594108528E-3</v>
      </c>
      <c r="DM46" s="12">
        <f t="shared" si="19"/>
        <v>1.2373158756137019E-3</v>
      </c>
      <c r="DN46" s="12">
        <f t="shared" si="20"/>
        <v>9.5581014729942122E-4</v>
      </c>
      <c r="DO46" s="12">
        <f t="shared" si="21"/>
        <v>5.4337152209491598E-4</v>
      </c>
      <c r="DP46" s="12">
        <f t="shared" si="22"/>
        <v>-1.0278232405892681E-3</v>
      </c>
      <c r="DQ46" s="12">
        <f t="shared" si="23"/>
        <v>-1.0409165302781788E-3</v>
      </c>
      <c r="DR46" s="9"/>
      <c r="DS46" s="9" t="str">
        <f>IF(AQ46&gt;AG46,"Overbought",IF(AQ46&gt;AI46,"Bullish Momentum",IF(AQ46&gt;AK46,"Overprice Setting Up","-----")))</f>
        <v>-----</v>
      </c>
      <c r="DT46" s="9" t="str">
        <f>IF(AQ46&lt;AP46,"Oversold",IF(AQ46&lt;AN46,"Bearish Momentum",IF(AQ46&lt;AL46,"Underprice Setting Up","-----")))</f>
        <v>Underprice Setting Up</v>
      </c>
      <c r="DU46" s="9"/>
      <c r="DV46" s="12" t="str">
        <f>IF(AND(AT46&gt;AU46,AT45&gt;AU45,AT44&gt;AU44,AT43&gt;AU43,AT42&gt;AU42,AT41&gt;AU41,AT40&gt;AU40,AT39&gt;AU39,AT38&gt;AU38,AT37&gt;AU37,AT36&gt;AU36,AT35&gt;AU35),"Bullish",IF(AND(AT46&lt;AU46,AT45&lt;AU45,AT44&lt;AU44,AT43&lt;AU43,AT42&lt;AU42,AT41&lt;AU41,AT40&lt;AU40,AT39&lt;AU39,AT38&lt;AU38,AT37&lt;AU37,AT36&lt;AU36,AT35&lt;AU35),"Bearish","-----"))</f>
        <v>Bearish</v>
      </c>
      <c r="DW46" s="12"/>
      <c r="DX46" s="23">
        <f>(AR46-AT46)/AT46</f>
        <v>-8.7618350159553377E-4</v>
      </c>
      <c r="DY46" s="23">
        <f t="shared" si="52"/>
        <v>-1.2282740550840803</v>
      </c>
      <c r="DZ46" s="23" t="str">
        <f>IF(DY46&gt;PERCENTILE($DY$5:$DY$103,90%),"Reverse to Bearish",IF(DY46&gt;=PERCENTILE($DY$5:$DY$103,70%),"-----",IF(DY46&gt;=PERCENTILE($DY$5:$DY$103,30%),"-----",IF(DY46&gt;=PERCENTILE($DY$5:$DY$103,10%),"-----","Reverse to Bullish"))))</f>
        <v>-----</v>
      </c>
      <c r="EA46" s="23" t="str">
        <f>IF(AQ46&gt;AR46,"Bullish","Bearish")</f>
        <v>Bearish</v>
      </c>
      <c r="EB46" s="22" t="str">
        <f>IF(AND(H46&gt;AQ46,H45&lt;AQ45),"TEMA crossover","-----")</f>
        <v>-----</v>
      </c>
      <c r="EC46" s="22" t="str">
        <f>IF(AND(H46&lt;AQ46,H45&gt;AQ45),"TEMA crossunder","-----")</f>
        <v>-----</v>
      </c>
      <c r="ED46" s="22"/>
      <c r="EE46" s="24" t="str">
        <f t="shared" si="45"/>
        <v>YES</v>
      </c>
      <c r="EF46" s="24" t="str">
        <f t="shared" si="46"/>
        <v>-----</v>
      </c>
      <c r="EG46" s="24" t="str">
        <f t="shared" si="47"/>
        <v>-----</v>
      </c>
      <c r="EH46" s="24" t="str">
        <f t="shared" si="48"/>
        <v>YES</v>
      </c>
      <c r="EI46" s="25" t="str">
        <f>IF(DV46="Bullish","YES","-----")</f>
        <v>-----</v>
      </c>
      <c r="EJ46" s="25" t="str">
        <f>IF(DZ46="Reverse to Bullish","YES","-----")</f>
        <v>-----</v>
      </c>
      <c r="EK46" s="25" t="str">
        <f>IF(AND(EA46="Bearish",EA45="Bearish",EA44="Bearish",EA43="Bearish"),"YES","-----")</f>
        <v>YES</v>
      </c>
      <c r="EL46" s="25" t="str">
        <f>IF(OR(EC46="TEMA crossover",EC45="TEMA crossover",EC44="TEMA crossover",EC43="TEMA crossover"),"YES","-----")</f>
        <v>-----</v>
      </c>
      <c r="EM46" s="24" t="str">
        <f>IF(AND(EE46="YES",EF46="YES",EG46="YES",EH46="YES"),"Open Sell / Close Buy","-----")</f>
        <v>-----</v>
      </c>
      <c r="EN46" s="25" t="str">
        <f t="shared" si="32"/>
        <v>-----</v>
      </c>
      <c r="EO46" s="23"/>
      <c r="EP46" s="9" t="str">
        <f>IF(AND(H46&gt;AV46,H46&gt;E46),"Bullish Trigger","-----")</f>
        <v>-----</v>
      </c>
      <c r="EQ46" s="9" t="str">
        <f>IF(AND(H46&lt;AW46,H46&lt;E46),"Bearish Trigger","-----")</f>
        <v>-----</v>
      </c>
      <c r="ER46" s="9"/>
      <c r="ES46" s="9" t="str">
        <f>IF(G46&gt;AV46,"Bullish Spike","-----")</f>
        <v>-----</v>
      </c>
      <c r="ET46" s="9" t="str">
        <f>IF(F46&lt;AW46,"Bearish Spike","-----")</f>
        <v>-----</v>
      </c>
      <c r="EU46" s="9"/>
      <c r="EV46" s="20">
        <f t="shared" si="53"/>
        <v>5.0999999999987722E-2</v>
      </c>
      <c r="EW46" s="9">
        <f t="shared" si="24"/>
        <v>-0.57105639936395869</v>
      </c>
      <c r="EX46" s="21" t="str">
        <f t="shared" si="25"/>
        <v>-----</v>
      </c>
      <c r="EY46" s="9"/>
    </row>
    <row r="47" spans="1:155" x14ac:dyDescent="0.55000000000000004">
      <c r="A47">
        <v>43</v>
      </c>
      <c r="B47" t="s">
        <v>46</v>
      </c>
      <c r="C47" t="s">
        <v>4</v>
      </c>
      <c r="D47" t="s">
        <v>103</v>
      </c>
      <c r="E47">
        <v>152.744</v>
      </c>
      <c r="F47">
        <v>152.745</v>
      </c>
      <c r="G47">
        <v>152.6</v>
      </c>
      <c r="H47">
        <v>152.661</v>
      </c>
      <c r="I47">
        <v>152.93600000000001</v>
      </c>
      <c r="J47">
        <v>152.89500000000001</v>
      </c>
      <c r="K47">
        <v>153.202</v>
      </c>
      <c r="L47">
        <v>152.59200000000001</v>
      </c>
      <c r="M47">
        <v>152.59299999999999</v>
      </c>
      <c r="N47">
        <v>152.834</v>
      </c>
      <c r="O47" s="16">
        <f t="shared" si="49"/>
        <v>0.14500000000001023</v>
      </c>
      <c r="P47" s="16">
        <f t="shared" si="54"/>
        <v>4.9999999999954525E-3</v>
      </c>
      <c r="Q47" s="16">
        <f t="shared" si="55"/>
        <v>0.15000000000000568</v>
      </c>
      <c r="R47" s="16">
        <f t="shared" si="56"/>
        <v>0.15000000000000568</v>
      </c>
      <c r="S47" s="16">
        <f t="shared" si="43"/>
        <v>9.8336030490973864E-2</v>
      </c>
      <c r="T47">
        <v>0</v>
      </c>
      <c r="U47">
        <v>0</v>
      </c>
      <c r="V47">
        <v>0</v>
      </c>
      <c r="W47">
        <v>0</v>
      </c>
      <c r="Y47" s="9" t="str">
        <f t="shared" si="9"/>
        <v>------</v>
      </c>
      <c r="Z47" s="9" t="str">
        <f t="shared" si="10"/>
        <v>------</v>
      </c>
      <c r="AA47" s="9"/>
      <c r="AB47">
        <v>0</v>
      </c>
      <c r="AD47" t="str">
        <f t="shared" si="44"/>
        <v/>
      </c>
      <c r="AE47">
        <v>0.78842000000000001</v>
      </c>
      <c r="AF47">
        <v>3</v>
      </c>
      <c r="AG47">
        <v>153.26665</v>
      </c>
      <c r="AH47">
        <v>153.18136999999999</v>
      </c>
      <c r="AI47">
        <v>153.09608</v>
      </c>
      <c r="AJ47">
        <v>153.01079999999999</v>
      </c>
      <c r="AK47">
        <v>152.92551</v>
      </c>
      <c r="AL47">
        <v>152.82675</v>
      </c>
      <c r="AM47">
        <v>152.74146999999999</v>
      </c>
      <c r="AN47">
        <v>152.65618000000001</v>
      </c>
      <c r="AO47">
        <v>152.57089999999999</v>
      </c>
      <c r="AP47">
        <v>152.48562000000001</v>
      </c>
      <c r="AQ47">
        <v>152.691</v>
      </c>
      <c r="AR47">
        <v>152.773</v>
      </c>
      <c r="AS47">
        <f t="shared" si="26"/>
        <v>43</v>
      </c>
      <c r="AT47">
        <v>152.916</v>
      </c>
      <c r="AU47">
        <v>153.077</v>
      </c>
      <c r="AV47">
        <v>152.74</v>
      </c>
      <c r="AW47">
        <v>152.64699999999999</v>
      </c>
      <c r="AY47" s="4">
        <f>I47*(1+$AY$2)</f>
        <v>152.95894040000002</v>
      </c>
      <c r="AZ47" s="4">
        <f>I47*(1-$AY$2)</f>
        <v>152.9130596</v>
      </c>
      <c r="BA47" s="4">
        <f>J47*(1+$AY$2)</f>
        <v>152.91793425000003</v>
      </c>
      <c r="BB47" s="4">
        <f>J47*(1-$AY$2)</f>
        <v>152.87206575000002</v>
      </c>
      <c r="BC47" s="4">
        <f>K47*(1+$AY$2)</f>
        <v>153.2249803</v>
      </c>
      <c r="BD47" s="4">
        <f>K47*(1-$AY$2)</f>
        <v>153.1790197</v>
      </c>
      <c r="BE47" s="4">
        <f>L47*(1+$AY$2)</f>
        <v>152.61488880000002</v>
      </c>
      <c r="BF47" s="4">
        <f>L47*(1-$AY$2)</f>
        <v>152.56911120000001</v>
      </c>
      <c r="BG47" s="4">
        <f>M47*(1+$AY$2)</f>
        <v>152.61588895</v>
      </c>
      <c r="BH47" s="4">
        <f>M47*(1-$AY$2)</f>
        <v>152.57011104999998</v>
      </c>
      <c r="BI47" s="4">
        <f>N47*(1+$AY$2)</f>
        <v>152.85692510000001</v>
      </c>
      <c r="BJ47" s="4">
        <f>N47*(1-$AY$2)</f>
        <v>152.81107489999999</v>
      </c>
      <c r="BK47" s="30">
        <f t="shared" si="27"/>
        <v>43</v>
      </c>
      <c r="BL47" s="15" t="str">
        <f t="shared" si="11"/>
        <v>-----</v>
      </c>
      <c r="BM47" s="15" t="str">
        <f t="shared" si="12"/>
        <v>-----</v>
      </c>
      <c r="BN47" s="15" t="str">
        <f t="shared" si="13"/>
        <v>-----</v>
      </c>
      <c r="BO47" s="15" t="str">
        <f t="shared" si="14"/>
        <v>-----</v>
      </c>
      <c r="BP47" s="15" t="str">
        <f t="shared" si="15"/>
        <v>-----</v>
      </c>
      <c r="BQ47" s="15" t="str">
        <f t="shared" si="16"/>
        <v>-----</v>
      </c>
      <c r="BR47" s="22"/>
      <c r="BS47" s="9">
        <f t="shared" si="57"/>
        <v>-2.423265306122455E-3</v>
      </c>
      <c r="BT47" s="9">
        <f>SLOPE(J$5:J$103,$A$5:$A$103)</f>
        <v>-3.7194805194805478E-4</v>
      </c>
      <c r="BU47" s="9">
        <f>SLOPE(K$5:K$103,$A$5:$A$103)</f>
        <v>-1.6402721088435472E-3</v>
      </c>
      <c r="BV47" s="9">
        <f>SLOPE(L$5:L$103,$A$5:$A$103)</f>
        <v>7.6471243042669956E-4</v>
      </c>
      <c r="BW47" s="9">
        <f>SLOPE(M$5:M$103,$A$5:$A$103)</f>
        <v>-2.3081014223875058E-4</v>
      </c>
      <c r="BX47" s="9">
        <f>SLOPE(N$5:N$103,$A$5:$A$103)</f>
        <v>1.5802844774273381E-3</v>
      </c>
      <c r="BY47"/>
      <c r="BZ47" s="9">
        <f t="shared" si="37"/>
        <v>-1.9079214597220278</v>
      </c>
      <c r="CA47" s="9">
        <f t="shared" si="38"/>
        <v>-0.29295343676527091</v>
      </c>
      <c r="CB47" s="9">
        <f t="shared" si="39"/>
        <v>-1.2917022253843653</v>
      </c>
      <c r="CC47" s="9">
        <f t="shared" si="40"/>
        <v>0.60228527619529781</v>
      </c>
      <c r="CD47" s="9">
        <f t="shared" si="41"/>
        <v>-0.18179147971962978</v>
      </c>
      <c r="CE47" s="9">
        <f t="shared" si="42"/>
        <v>1.2444775446344229</v>
      </c>
      <c r="CF47"/>
      <c r="CG47" s="18" t="str" cm="1">
        <f t="array" ref="CG47">_xlfn.IFS(BZ47&gt;3,"Strong + Slope",BZ47&gt;1.5,"Moderate + Slope",BZ47&gt;0.5,"Sideway + Slope",BZ47&gt;=-0.5,"Sideway Flat",BZ47&gt;=-1.5,"Sideway - Slope",BZ47&gt;=-3,"Moderate - Slope",TRUE,"Strong - Slope")</f>
        <v>Moderate - Slope</v>
      </c>
      <c r="CH47" s="18" t="str" cm="1">
        <f t="array" ref="CH47">_xlfn.IFS(CA47&gt;3,"Strong + Slope",CA47&gt;1.5,"Moderate + Slope",CA47&gt;0.5,"Sideway + Slope",CA47&gt;=-0.5,"Sideway Flat",CA47&gt;=-1.5,"Sideway - Slope",CA47&gt;=-3,"Moderate - Slope",TRUE,"Strong - Slope")</f>
        <v>Sideway Flat</v>
      </c>
      <c r="CI47" s="18" t="str" cm="1">
        <f t="array" ref="CI47">_xlfn.IFS(CB47&gt;3,"Strong + Slope",CB47&gt;1.5,"Moderate + Slope",CB47&gt;0.5,"Sideway + Slope",CB47&gt;=-0.5,"Sideway Flat",CB47&gt;=-1.5,"Sideway - Slope",CB47&gt;=-3,"Moderate - Slope",TRUE,"Strong - Slope")</f>
        <v>Sideway - Slope</v>
      </c>
      <c r="CJ47" s="18" t="str" cm="1">
        <f t="array" ref="CJ47">_xlfn.IFS(CC47&gt;3,"Strong + Slope",CC47&gt;1.5,"Moderate + Slope",CC47&gt;0.5,"Sideway + Slope",CC47&gt;=-0.5,"Sideway Flat",CC47&gt;=-1.5,"Sideway - Slope",CC47&gt;=-3,"Moderate - Slope",TRUE,"Strong - Slope")</f>
        <v>Sideway + Slope</v>
      </c>
      <c r="CK47" s="18" t="str" cm="1">
        <f t="array" ref="CK47">_xlfn.IFS(CD47&gt;3,"Strong + Slope",CD47&gt;1.5,"Moderate + Slope",CD47&gt;0.5,"Sideway + Slope",CD47&gt;=-0.5,"Sideway Flat",CD47&gt;=-1.5,"Sideway - Slope",CD47&gt;=-3,"Moderate - Slope",TRUE,"Strong - Slope")</f>
        <v>Sideway Flat</v>
      </c>
      <c r="CL47" s="18" t="str" cm="1">
        <f t="array" ref="CL47">_xlfn.IFS(CE47&gt;3,"Strong + Slope",CE47&gt;1.5,"Moderate + Slope",CE47&gt;0.5,"Sideway + Slope",CE47&gt;=-0.5,"Sideway Flat",CE47&gt;=-1.5,"Sideway - Slope",CE47&gt;=-3,"Moderate - Slope",TRUE,"Strong - Slope")</f>
        <v>Sideway + Slope</v>
      </c>
      <c r="CM47" s="9"/>
      <c r="CN47" s="9">
        <f>RANK(I47,$I47:$N47,0)</f>
        <v>2</v>
      </c>
      <c r="CO47" s="9">
        <f>RANK(J47,$I47:$N47,0)</f>
        <v>3</v>
      </c>
      <c r="CP47" s="9">
        <f>RANK(K47,$I47:$N47,0)</f>
        <v>1</v>
      </c>
      <c r="CQ47" s="9">
        <f>RANK(L47,$I47:$N47,0)</f>
        <v>6</v>
      </c>
      <c r="CR47" s="9">
        <f>RANK(M47,$I47:$N47,0)</f>
        <v>5</v>
      </c>
      <c r="CS47" s="9">
        <f>RANK(N47,$I47:$N47,0)</f>
        <v>4</v>
      </c>
      <c r="CT47" s="9"/>
      <c r="CU47" s="9" t="str">
        <f>IF($H47&gt;I47,"SUP","RES")</f>
        <v>RES</v>
      </c>
      <c r="CV47" s="9" t="str">
        <f>IF($H47&gt;J47,"SUP","RES")</f>
        <v>RES</v>
      </c>
      <c r="CW47" s="9" t="str">
        <f>IF($H47&gt;K47,"SUP","RES")</f>
        <v>RES</v>
      </c>
      <c r="CX47" s="9" t="str">
        <f>IF($H47&gt;L47,"SUP","RES")</f>
        <v>SUP</v>
      </c>
      <c r="CY47" s="9" t="str">
        <f>IF($H47&gt;M47,"SUP","RES")</f>
        <v>SUP</v>
      </c>
      <c r="CZ47" s="9" t="str">
        <f>IF($H47&gt;N47,"SUP","RES")</f>
        <v>RES</v>
      </c>
      <c r="DA47" s="9"/>
      <c r="DB47" s="12">
        <f>(I47-$H47)/$H47</f>
        <v>1.8013769070031355E-3</v>
      </c>
      <c r="DC47" s="12">
        <f>(J47-$H47)/$H47</f>
        <v>1.5328079863226945E-3</v>
      </c>
      <c r="DD47" s="12">
        <f>(K47-$H47)/$H47</f>
        <v>3.5437996606860742E-3</v>
      </c>
      <c r="DE47" s="12">
        <f>(L47-$H47)/$H47</f>
        <v>-4.5198184212070147E-4</v>
      </c>
      <c r="DF47" s="12">
        <f>(M47-$H47)/$H47</f>
        <v>-4.4543138064084505E-4</v>
      </c>
      <c r="DG47" s="12">
        <f>(N47-$H47)/$H47</f>
        <v>1.1332298360419611E-3</v>
      </c>
      <c r="DH47" s="12"/>
      <c r="DI47" s="12">
        <f>((H47-MIN(I47:N47))/(MAX(I47:N47)-MIN(I47:N47)))</f>
        <v>0.11311475409834439</v>
      </c>
      <c r="DJ47" s="13">
        <f t="shared" si="50"/>
        <v>4</v>
      </c>
      <c r="DK47" s="14">
        <f t="shared" si="51"/>
        <v>2</v>
      </c>
      <c r="DL47" s="12">
        <f t="shared" si="18"/>
        <v>3.5437996606860742E-3</v>
      </c>
      <c r="DM47" s="12">
        <f t="shared" si="19"/>
        <v>1.8013769070031355E-3</v>
      </c>
      <c r="DN47" s="12">
        <f t="shared" si="20"/>
        <v>1.5328079863226945E-3</v>
      </c>
      <c r="DO47" s="12">
        <f t="shared" si="21"/>
        <v>1.1332298360419611E-3</v>
      </c>
      <c r="DP47" s="12">
        <f t="shared" si="22"/>
        <v>-4.4543138064084505E-4</v>
      </c>
      <c r="DQ47" s="12">
        <f t="shared" si="23"/>
        <v>-4.5198184212070147E-4</v>
      </c>
      <c r="DR47" s="9"/>
      <c r="DS47" s="9" t="str">
        <f>IF(AQ47&gt;AG47,"Overbought",IF(AQ47&gt;AI47,"Bullish Momentum",IF(AQ47&gt;AK47,"Overprice Setting Up","-----")))</f>
        <v>-----</v>
      </c>
      <c r="DT47" s="9" t="str">
        <f>IF(AQ47&lt;AP47,"Oversold",IF(AQ47&lt;AN47,"Bearish Momentum",IF(AQ47&lt;AL47,"Underprice Setting Up","-----")))</f>
        <v>Underprice Setting Up</v>
      </c>
      <c r="DU47" s="9"/>
      <c r="DV47" s="12" t="str">
        <f>IF(AND(AT47&gt;AU47,AT46&gt;AU46,AT45&gt;AU45,AT44&gt;AU44,AT43&gt;AU43,AT42&gt;AU42,AT41&gt;AU41,AT40&gt;AU40,AT39&gt;AU39,AT38&gt;AU38,AT37&gt;AU37,AT36&gt;AU36),"Bullish",IF(AND(AT47&lt;AU47,AT46&lt;AU46,AT45&lt;AU45,AT44&lt;AU44,AT43&lt;AU43,AT42&lt;AU42,AT41&lt;AU41,AT40&lt;AU40,AT39&lt;AU39,AT38&lt;AU38,AT37&lt;AU37,AT36&lt;AU36),"Bearish","-----"))</f>
        <v>Bearish</v>
      </c>
      <c r="DW47" s="12"/>
      <c r="DX47" s="23">
        <f>(AR47-AT47)/AT47</f>
        <v>-9.351539407256316E-4</v>
      </c>
      <c r="DY47" s="23">
        <f t="shared" si="52"/>
        <v>-1.3983479138235091</v>
      </c>
      <c r="DZ47" s="23" t="str">
        <f>IF(DY47&gt;PERCENTILE($DY$5:$DY$103,90%),"Reverse to Bearish",IF(DY47&gt;=PERCENTILE($DY$5:$DY$103,70%),"-----",IF(DY47&gt;=PERCENTILE($DY$5:$DY$103,30%),"-----",IF(DY47&gt;=PERCENTILE($DY$5:$DY$103,10%),"-----","Reverse to Bullish"))))</f>
        <v>-----</v>
      </c>
      <c r="EA47" s="23" t="str">
        <f>IF(AQ47&gt;AR47,"Bullish","Bearish")</f>
        <v>Bearish</v>
      </c>
      <c r="EB47" s="22" t="str">
        <f>IF(AND(H47&gt;AQ47,H46&lt;AQ46),"TEMA crossover","-----")</f>
        <v>-----</v>
      </c>
      <c r="EC47" s="22" t="str">
        <f>IF(AND(H47&lt;AQ47,H46&gt;AQ46),"TEMA crossunder","-----")</f>
        <v>TEMA crossunder</v>
      </c>
      <c r="ED47" s="22"/>
      <c r="EE47" s="24" t="str">
        <f t="shared" si="45"/>
        <v>YES</v>
      </c>
      <c r="EF47" s="24" t="str">
        <f t="shared" si="46"/>
        <v>-----</v>
      </c>
      <c r="EG47" s="24" t="str">
        <f t="shared" si="47"/>
        <v>-----</v>
      </c>
      <c r="EH47" s="24" t="str">
        <f t="shared" si="48"/>
        <v>YES</v>
      </c>
      <c r="EI47" s="25" t="str">
        <f>IF(DV47="Bullish","YES","-----")</f>
        <v>-----</v>
      </c>
      <c r="EJ47" s="25" t="str">
        <f>IF(DZ47="Reverse to Bullish","YES","-----")</f>
        <v>-----</v>
      </c>
      <c r="EK47" s="25" t="str">
        <f>IF(AND(EA47="Bearish",EA46="Bearish",EA45="Bearish",EA44="Bearish"),"YES","-----")</f>
        <v>YES</v>
      </c>
      <c r="EL47" s="25" t="str">
        <f>IF(OR(EC47="TEMA crossover",EC46="TEMA crossover",EC45="TEMA crossover",EC44="TEMA crossover"),"YES","-----")</f>
        <v>-----</v>
      </c>
      <c r="EM47" s="24" t="str">
        <f>IF(AND(EE47="YES",EF47="YES",EG47="YES",EH47="YES"),"Open Sell / Close Buy","-----")</f>
        <v>-----</v>
      </c>
      <c r="EN47" s="25" t="str">
        <f t="shared" si="32"/>
        <v>-----</v>
      </c>
      <c r="EO47" s="23"/>
      <c r="EP47" s="9" t="str">
        <f>IF(AND(H47&gt;AV47,H47&gt;E47),"Bullish Trigger","-----")</f>
        <v>-----</v>
      </c>
      <c r="EQ47" s="9" t="str">
        <f>IF(AND(H47&lt;AW47,H47&lt;E47),"Bearish Trigger","-----")</f>
        <v>-----</v>
      </c>
      <c r="ER47" s="9"/>
      <c r="ES47" s="9" t="str">
        <f>IF(G47&gt;AV47,"Bullish Spike","-----")</f>
        <v>-----</v>
      </c>
      <c r="ET47" s="9" t="str">
        <f>IF(F47&lt;AW47,"Bearish Spike","-----")</f>
        <v>-----</v>
      </c>
      <c r="EU47" s="9"/>
      <c r="EV47" s="20">
        <f t="shared" si="53"/>
        <v>9.3000000000017735E-2</v>
      </c>
      <c r="EW47" s="9">
        <f t="shared" si="24"/>
        <v>0.39692260942350899</v>
      </c>
      <c r="EX47" s="21" t="str">
        <f t="shared" si="25"/>
        <v>-----</v>
      </c>
      <c r="EY47" s="9"/>
    </row>
    <row r="48" spans="1:155" x14ac:dyDescent="0.55000000000000004">
      <c r="A48">
        <v>44</v>
      </c>
      <c r="B48" t="s">
        <v>47</v>
      </c>
      <c r="C48" t="s">
        <v>4</v>
      </c>
      <c r="D48" t="s">
        <v>103</v>
      </c>
      <c r="E48">
        <v>152.66</v>
      </c>
      <c r="F48">
        <v>152.68100000000001</v>
      </c>
      <c r="G48">
        <v>152.59299999999999</v>
      </c>
      <c r="H48">
        <v>152.672</v>
      </c>
      <c r="I48">
        <v>152.934</v>
      </c>
      <c r="J48">
        <v>152.89500000000001</v>
      </c>
      <c r="K48">
        <v>153.19999999999999</v>
      </c>
      <c r="L48">
        <v>152.59299999999999</v>
      </c>
      <c r="M48">
        <v>152.59299999999999</v>
      </c>
      <c r="N48">
        <v>152.83600000000001</v>
      </c>
      <c r="O48" s="16">
        <f t="shared" si="49"/>
        <v>8.8000000000022283E-2</v>
      </c>
      <c r="P48" s="16">
        <f t="shared" si="54"/>
        <v>2.0000000000010232E-2</v>
      </c>
      <c r="Q48" s="16">
        <f t="shared" si="55"/>
        <v>6.8000000000012051E-2</v>
      </c>
      <c r="R48" s="16">
        <f t="shared" si="56"/>
        <v>8.8000000000022283E-2</v>
      </c>
      <c r="S48" s="16">
        <f t="shared" si="43"/>
        <v>9.759774259876304E-2</v>
      </c>
      <c r="T48">
        <v>0</v>
      </c>
      <c r="U48">
        <v>0</v>
      </c>
      <c r="V48">
        <v>152.59299999999999</v>
      </c>
      <c r="W48">
        <v>152.59299999999999</v>
      </c>
      <c r="Y48" s="9" t="str">
        <f t="shared" si="9"/>
        <v>------</v>
      </c>
      <c r="Z48" s="9" t="str">
        <f t="shared" si="10"/>
        <v>Important Low</v>
      </c>
      <c r="AA48" s="9"/>
      <c r="AB48">
        <v>1</v>
      </c>
      <c r="AD48" t="str">
        <f t="shared" si="44"/>
        <v>Important Low with Rejection</v>
      </c>
      <c r="AE48">
        <v>0.82179000000000002</v>
      </c>
      <c r="AF48">
        <v>0</v>
      </c>
      <c r="AG48">
        <v>153.24721</v>
      </c>
      <c r="AH48">
        <v>153.16158999999999</v>
      </c>
      <c r="AI48">
        <v>153.07597000000001</v>
      </c>
      <c r="AJ48">
        <v>152.99036000000001</v>
      </c>
      <c r="AK48">
        <v>152.90474</v>
      </c>
      <c r="AL48">
        <v>152.80715000000001</v>
      </c>
      <c r="AM48">
        <v>152.72154</v>
      </c>
      <c r="AN48">
        <v>152.63592</v>
      </c>
      <c r="AO48">
        <v>152.55029999999999</v>
      </c>
      <c r="AP48">
        <v>152.46468999999999</v>
      </c>
      <c r="AQ48">
        <v>152.65299999999999</v>
      </c>
      <c r="AR48">
        <v>152.74</v>
      </c>
      <c r="AS48">
        <f t="shared" si="26"/>
        <v>44</v>
      </c>
      <c r="AT48">
        <v>152.89599999999999</v>
      </c>
      <c r="AU48">
        <v>153.065</v>
      </c>
      <c r="AV48">
        <v>152.69499999999999</v>
      </c>
      <c r="AW48">
        <v>152.602</v>
      </c>
      <c r="AY48" s="4">
        <f>I48*(1+$AY$2)</f>
        <v>152.95694010000003</v>
      </c>
      <c r="AZ48" s="4">
        <f>I48*(1-$AY$2)</f>
        <v>152.9110599</v>
      </c>
      <c r="BA48" s="4">
        <f>J48*(1+$AY$2)</f>
        <v>152.91793425000003</v>
      </c>
      <c r="BB48" s="4">
        <f>J48*(1-$AY$2)</f>
        <v>152.87206575000002</v>
      </c>
      <c r="BC48" s="4">
        <f>K48*(1+$AY$2)</f>
        <v>153.22298000000001</v>
      </c>
      <c r="BD48" s="4">
        <f>K48*(1-$AY$2)</f>
        <v>153.17702</v>
      </c>
      <c r="BE48" s="4">
        <f>L48*(1+$AY$2)</f>
        <v>152.61588895</v>
      </c>
      <c r="BF48" s="4">
        <f>L48*(1-$AY$2)</f>
        <v>152.57011104999998</v>
      </c>
      <c r="BG48" s="4">
        <f>M48*(1+$AY$2)</f>
        <v>152.61588895</v>
      </c>
      <c r="BH48" s="4">
        <f>M48*(1-$AY$2)</f>
        <v>152.57011104999998</v>
      </c>
      <c r="BI48" s="4">
        <f>N48*(1+$AY$2)</f>
        <v>152.85892540000003</v>
      </c>
      <c r="BJ48" s="4">
        <f>N48*(1-$AY$2)</f>
        <v>152.81307460000002</v>
      </c>
      <c r="BK48" s="30">
        <f t="shared" si="27"/>
        <v>44</v>
      </c>
      <c r="BL48" s="15" t="str">
        <f t="shared" si="11"/>
        <v>-----</v>
      </c>
      <c r="BM48" s="15" t="str">
        <f t="shared" si="12"/>
        <v>-----</v>
      </c>
      <c r="BN48" s="15" t="str">
        <f t="shared" si="13"/>
        <v>-----</v>
      </c>
      <c r="BO48" s="15" t="str">
        <f t="shared" si="14"/>
        <v>-----</v>
      </c>
      <c r="BP48" s="15" t="str">
        <f t="shared" si="15"/>
        <v>-----</v>
      </c>
      <c r="BQ48" s="15" t="str">
        <f t="shared" si="16"/>
        <v>-----</v>
      </c>
      <c r="BR48" s="22"/>
      <c r="BS48" s="9">
        <f t="shared" si="57"/>
        <v>-2.423265306122455E-3</v>
      </c>
      <c r="BT48" s="9">
        <f>SLOPE(J$5:J$103,$A$5:$A$103)</f>
        <v>-3.7194805194805478E-4</v>
      </c>
      <c r="BU48" s="9">
        <f>SLOPE(K$5:K$103,$A$5:$A$103)</f>
        <v>-1.6402721088435472E-3</v>
      </c>
      <c r="BV48" s="9">
        <f>SLOPE(L$5:L$103,$A$5:$A$103)</f>
        <v>7.6471243042669956E-4</v>
      </c>
      <c r="BW48" s="9">
        <f>SLOPE(M$5:M$103,$A$5:$A$103)</f>
        <v>-2.3081014223875058E-4</v>
      </c>
      <c r="BX48" s="9">
        <f>SLOPE(N$5:N$103,$A$5:$A$103)</f>
        <v>1.5802844774273381E-3</v>
      </c>
      <c r="BY48"/>
      <c r="BZ48" s="9">
        <f t="shared" si="37"/>
        <v>-1.9079214597220278</v>
      </c>
      <c r="CA48" s="9">
        <f t="shared" si="38"/>
        <v>-0.29295343676527091</v>
      </c>
      <c r="CB48" s="9">
        <f t="shared" si="39"/>
        <v>-1.2917022253843653</v>
      </c>
      <c r="CC48" s="9">
        <f t="shared" si="40"/>
        <v>0.60228527619529781</v>
      </c>
      <c r="CD48" s="9">
        <f t="shared" si="41"/>
        <v>-0.18179147971962978</v>
      </c>
      <c r="CE48" s="9">
        <f t="shared" si="42"/>
        <v>1.2444775446344229</v>
      </c>
      <c r="CF48"/>
      <c r="CG48" s="18" t="str" cm="1">
        <f t="array" ref="CG48">_xlfn.IFS(BZ48&gt;3,"Strong + Slope",BZ48&gt;1.5,"Moderate + Slope",BZ48&gt;0.5,"Sideway + Slope",BZ48&gt;=-0.5,"Sideway Flat",BZ48&gt;=-1.5,"Sideway - Slope",BZ48&gt;=-3,"Moderate - Slope",TRUE,"Strong - Slope")</f>
        <v>Moderate - Slope</v>
      </c>
      <c r="CH48" s="18" t="str" cm="1">
        <f t="array" ref="CH48">_xlfn.IFS(CA48&gt;3,"Strong + Slope",CA48&gt;1.5,"Moderate + Slope",CA48&gt;0.5,"Sideway + Slope",CA48&gt;=-0.5,"Sideway Flat",CA48&gt;=-1.5,"Sideway - Slope",CA48&gt;=-3,"Moderate - Slope",TRUE,"Strong - Slope")</f>
        <v>Sideway Flat</v>
      </c>
      <c r="CI48" s="18" t="str" cm="1">
        <f t="array" ref="CI48">_xlfn.IFS(CB48&gt;3,"Strong + Slope",CB48&gt;1.5,"Moderate + Slope",CB48&gt;0.5,"Sideway + Slope",CB48&gt;=-0.5,"Sideway Flat",CB48&gt;=-1.5,"Sideway - Slope",CB48&gt;=-3,"Moderate - Slope",TRUE,"Strong - Slope")</f>
        <v>Sideway - Slope</v>
      </c>
      <c r="CJ48" s="18" t="str" cm="1">
        <f t="array" ref="CJ48">_xlfn.IFS(CC48&gt;3,"Strong + Slope",CC48&gt;1.5,"Moderate + Slope",CC48&gt;0.5,"Sideway + Slope",CC48&gt;=-0.5,"Sideway Flat",CC48&gt;=-1.5,"Sideway - Slope",CC48&gt;=-3,"Moderate - Slope",TRUE,"Strong - Slope")</f>
        <v>Sideway + Slope</v>
      </c>
      <c r="CK48" s="18" t="str" cm="1">
        <f t="array" ref="CK48">_xlfn.IFS(CD48&gt;3,"Strong + Slope",CD48&gt;1.5,"Moderate + Slope",CD48&gt;0.5,"Sideway + Slope",CD48&gt;=-0.5,"Sideway Flat",CD48&gt;=-1.5,"Sideway - Slope",CD48&gt;=-3,"Moderate - Slope",TRUE,"Strong - Slope")</f>
        <v>Sideway Flat</v>
      </c>
      <c r="CL48" s="18" t="str" cm="1">
        <f t="array" ref="CL48">_xlfn.IFS(CE48&gt;3,"Strong + Slope",CE48&gt;1.5,"Moderate + Slope",CE48&gt;0.5,"Sideway + Slope",CE48&gt;=-0.5,"Sideway Flat",CE48&gt;=-1.5,"Sideway - Slope",CE48&gt;=-3,"Moderate - Slope",TRUE,"Strong - Slope")</f>
        <v>Sideway + Slope</v>
      </c>
      <c r="CM48" s="9"/>
      <c r="CN48" s="9">
        <f>RANK(I48,$I48:$N48,0)</f>
        <v>2</v>
      </c>
      <c r="CO48" s="9">
        <f>RANK(J48,$I48:$N48,0)</f>
        <v>3</v>
      </c>
      <c r="CP48" s="9">
        <f>RANK(K48,$I48:$N48,0)</f>
        <v>1</v>
      </c>
      <c r="CQ48" s="9">
        <f>RANK(L48,$I48:$N48,0)</f>
        <v>5</v>
      </c>
      <c r="CR48" s="9">
        <f>RANK(M48,$I48:$N48,0)</f>
        <v>5</v>
      </c>
      <c r="CS48" s="9">
        <f>RANK(N48,$I48:$N48,0)</f>
        <v>4</v>
      </c>
      <c r="CT48" s="9"/>
      <c r="CU48" s="9" t="str">
        <f>IF($H48&gt;I48,"SUP","RES")</f>
        <v>RES</v>
      </c>
      <c r="CV48" s="9" t="str">
        <f>IF($H48&gt;J48,"SUP","RES")</f>
        <v>RES</v>
      </c>
      <c r="CW48" s="9" t="str">
        <f>IF($H48&gt;K48,"SUP","RES")</f>
        <v>RES</v>
      </c>
      <c r="CX48" s="9" t="str">
        <f>IF($H48&gt;L48,"SUP","RES")</f>
        <v>SUP</v>
      </c>
      <c r="CY48" s="9" t="str">
        <f>IF($H48&gt;M48,"SUP","RES")</f>
        <v>SUP</v>
      </c>
      <c r="CZ48" s="9" t="str">
        <f>IF($H48&gt;N48,"SUP","RES")</f>
        <v>RES</v>
      </c>
      <c r="DA48" s="9"/>
      <c r="DB48" s="12">
        <f>(I48-$H48)/$H48</f>
        <v>1.7160972542443961E-3</v>
      </c>
      <c r="DC48" s="12">
        <f>(J48-$H48)/$H48</f>
        <v>1.4606476629638256E-3</v>
      </c>
      <c r="DD48" s="12">
        <f>(K48-$H48)/$H48</f>
        <v>3.4583944665687984E-3</v>
      </c>
      <c r="DE48" s="12">
        <f>(L48-$H48)/$H48</f>
        <v>-5.1744917208137531E-4</v>
      </c>
      <c r="DF48" s="12">
        <f>(M48-$H48)/$H48</f>
        <v>-5.1744917208137531E-4</v>
      </c>
      <c r="DG48" s="12">
        <f>(N48-$H48)/$H48</f>
        <v>1.0741982812828526E-3</v>
      </c>
      <c r="DH48" s="12"/>
      <c r="DI48" s="12">
        <f>((H48-MIN(I48:N48))/(MAX(I48:N48)-MIN(I48:N48)))</f>
        <v>0.13014827018123198</v>
      </c>
      <c r="DJ48" s="13">
        <f t="shared" si="50"/>
        <v>4</v>
      </c>
      <c r="DK48" s="14">
        <f t="shared" si="51"/>
        <v>2</v>
      </c>
      <c r="DL48" s="12">
        <f t="shared" si="18"/>
        <v>3.4583944665687984E-3</v>
      </c>
      <c r="DM48" s="12">
        <f t="shared" si="19"/>
        <v>1.7160972542443961E-3</v>
      </c>
      <c r="DN48" s="12">
        <f t="shared" si="20"/>
        <v>1.4606476629638256E-3</v>
      </c>
      <c r="DO48" s="12">
        <f t="shared" si="21"/>
        <v>1.0741982812828526E-3</v>
      </c>
      <c r="DP48" s="12">
        <f t="shared" si="22"/>
        <v>-5.1744917208137531E-4</v>
      </c>
      <c r="DQ48" s="12">
        <f t="shared" si="23"/>
        <v>-5.1744917208137531E-4</v>
      </c>
      <c r="DR48" s="9"/>
      <c r="DS48" s="9" t="str">
        <f>IF(AQ48&gt;AG48,"Overbought",IF(AQ48&gt;AI48,"Bullish Momentum",IF(AQ48&gt;AK48,"Overprice Setting Up","-----")))</f>
        <v>-----</v>
      </c>
      <c r="DT48" s="9" t="str">
        <f>IF(AQ48&lt;AP48,"Oversold",IF(AQ48&lt;AN48,"Bearish Momentum",IF(AQ48&lt;AL48,"Underprice Setting Up","-----")))</f>
        <v>Underprice Setting Up</v>
      </c>
      <c r="DU48" s="9"/>
      <c r="DV48" s="12" t="str">
        <f>IF(AND(AT48&gt;AU48,AT47&gt;AU47,AT46&gt;AU46,AT45&gt;AU45,AT44&gt;AU44,AT43&gt;AU43,AT42&gt;AU42,AT41&gt;AU41,AT40&gt;AU40,AT39&gt;AU39,AT38&gt;AU38,AT37&gt;AU37),"Bullish",IF(AND(AT48&lt;AU48,AT47&lt;AU47,AT46&lt;AU46,AT45&lt;AU45,AT44&lt;AU44,AT43&lt;AU43,AT42&lt;AU42,AT41&lt;AU41,AT40&lt;AU40,AT39&lt;AU39,AT38&lt;AU38,AT37&lt;AU37),"Bearish","-----"))</f>
        <v>Bearish</v>
      </c>
      <c r="DW48" s="12"/>
      <c r="DX48" s="23">
        <f>(AR48-AT48)/AT48</f>
        <v>-1.0203013813309537E-3</v>
      </c>
      <c r="DY48" s="23">
        <f t="shared" si="52"/>
        <v>-1.6439176263634712</v>
      </c>
      <c r="DZ48" s="23" t="str">
        <f>IF(DY48&gt;PERCENTILE($DY$5:$DY$103,90%),"Reverse to Bearish",IF(DY48&gt;=PERCENTILE($DY$5:$DY$103,70%),"-----",IF(DY48&gt;=PERCENTILE($DY$5:$DY$103,30%),"-----",IF(DY48&gt;=PERCENTILE($DY$5:$DY$103,10%),"-----","Reverse to Bullish"))))</f>
        <v>Reverse to Bullish</v>
      </c>
      <c r="EA48" s="23" t="str">
        <f>IF(AQ48&gt;AR48,"Bullish","Bearish")</f>
        <v>Bearish</v>
      </c>
      <c r="EB48" s="22" t="str">
        <f>IF(AND(H48&gt;AQ48,H47&lt;AQ47),"TEMA crossover","-----")</f>
        <v>TEMA crossover</v>
      </c>
      <c r="EC48" s="22" t="str">
        <f>IF(AND(H48&lt;AQ48,H47&gt;AQ47),"TEMA crossunder","-----")</f>
        <v>-----</v>
      </c>
      <c r="ED48" s="22"/>
      <c r="EE48" s="24" t="str">
        <f t="shared" si="45"/>
        <v>YES</v>
      </c>
      <c r="EF48" s="24" t="str">
        <f t="shared" si="46"/>
        <v>-----</v>
      </c>
      <c r="EG48" s="24" t="str">
        <f t="shared" si="47"/>
        <v>-----</v>
      </c>
      <c r="EH48" s="24" t="str">
        <f t="shared" si="48"/>
        <v>YES</v>
      </c>
      <c r="EI48" s="25" t="str">
        <f>IF(DV48="Bullish","YES","-----")</f>
        <v>-----</v>
      </c>
      <c r="EJ48" s="25" t="str">
        <f>IF(DZ48="Reverse to Bullish","YES","-----")</f>
        <v>YES</v>
      </c>
      <c r="EK48" s="25" t="str">
        <f>IF(AND(EA48="Bearish",EA47="Bearish",EA46="Bearish",EA45="Bearish"),"YES","-----")</f>
        <v>YES</v>
      </c>
      <c r="EL48" s="25" t="str">
        <f>IF(OR(EC48="TEMA crossover",EC47="TEMA crossover",EC46="TEMA crossover",EC45="TEMA crossover"),"YES","-----")</f>
        <v>-----</v>
      </c>
      <c r="EM48" s="24" t="str">
        <f>IF(AND(EE48="YES",EF48="YES",EG48="YES",EH48="YES"),"Open Sell / Close Buy","-----")</f>
        <v>-----</v>
      </c>
      <c r="EN48" s="25" t="str">
        <f t="shared" si="32"/>
        <v>-----</v>
      </c>
      <c r="EO48" s="23"/>
      <c r="EP48" s="9" t="str">
        <f>IF(AND(H48&gt;AV48,H48&gt;E48),"Bullish Trigger","-----")</f>
        <v>-----</v>
      </c>
      <c r="EQ48" s="9" t="str">
        <f>IF(AND(H48&lt;AW48,H48&lt;E48),"Bearish Trigger","-----")</f>
        <v>-----</v>
      </c>
      <c r="ER48" s="9"/>
      <c r="ES48" s="9" t="str">
        <f>IF(G48&gt;AV48,"Bullish Spike","-----")</f>
        <v>-----</v>
      </c>
      <c r="ET48" s="9" t="str">
        <f>IF(F48&lt;AW48,"Bearish Spike","-----")</f>
        <v>-----</v>
      </c>
      <c r="EU48" s="9"/>
      <c r="EV48" s="20">
        <f t="shared" si="53"/>
        <v>9.2999999999989313E-2</v>
      </c>
      <c r="EW48" s="9">
        <f t="shared" si="24"/>
        <v>0.39692260942285396</v>
      </c>
      <c r="EX48" s="21" t="str">
        <f t="shared" si="25"/>
        <v>-----</v>
      </c>
      <c r="EY48" s="9"/>
    </row>
    <row r="49" spans="1:155" x14ac:dyDescent="0.55000000000000004">
      <c r="A49">
        <v>45</v>
      </c>
      <c r="B49" t="s">
        <v>48</v>
      </c>
      <c r="C49" t="s">
        <v>4</v>
      </c>
      <c r="D49" t="s">
        <v>103</v>
      </c>
      <c r="E49">
        <v>152.66999999999999</v>
      </c>
      <c r="F49">
        <v>152.74299999999999</v>
      </c>
      <c r="G49">
        <v>152.66499999999999</v>
      </c>
      <c r="H49">
        <v>152.738</v>
      </c>
      <c r="I49">
        <v>152.93199999999999</v>
      </c>
      <c r="J49">
        <v>152.89500000000001</v>
      </c>
      <c r="K49">
        <v>153.19900000000001</v>
      </c>
      <c r="L49">
        <v>152.59399999999999</v>
      </c>
      <c r="M49">
        <v>152.59299999999999</v>
      </c>
      <c r="N49">
        <v>152.83799999999999</v>
      </c>
      <c r="O49" s="16">
        <f t="shared" si="49"/>
        <v>7.8000000000002956E-2</v>
      </c>
      <c r="P49" s="16">
        <f t="shared" si="54"/>
        <v>7.0999999999997954E-2</v>
      </c>
      <c r="Q49" s="16">
        <f t="shared" si="55"/>
        <v>7.0000000000050022E-3</v>
      </c>
      <c r="R49" s="16">
        <f t="shared" si="56"/>
        <v>7.8000000000002956E-2</v>
      </c>
      <c r="S49" s="16">
        <f t="shared" si="43"/>
        <v>9.619790384170876E-2</v>
      </c>
      <c r="T49">
        <v>0</v>
      </c>
      <c r="U49">
        <v>0</v>
      </c>
      <c r="V49">
        <v>0</v>
      </c>
      <c r="W49">
        <v>0</v>
      </c>
      <c r="Y49" s="9" t="str">
        <f t="shared" si="9"/>
        <v>------</v>
      </c>
      <c r="Z49" s="9" t="str">
        <f t="shared" si="10"/>
        <v>------</v>
      </c>
      <c r="AA49" s="9"/>
      <c r="AB49">
        <v>0</v>
      </c>
      <c r="AD49" t="str">
        <f t="shared" ref="AD49:AD103" si="58">IF(OR(Y49="Important High",Z49="Important High"),IF(AB49=1,"Important High with Rejection",""),IF(OR(Y49="Important Low",Z49="Important Low"),IF(AB49=1,"Important Low with Rejection",""),""))</f>
        <v/>
      </c>
      <c r="AE49">
        <v>0.45168000000000003</v>
      </c>
      <c r="AF49">
        <v>0</v>
      </c>
      <c r="AG49">
        <v>153.22748999999999</v>
      </c>
      <c r="AH49">
        <v>153.14178000000001</v>
      </c>
      <c r="AI49">
        <v>153.05606</v>
      </c>
      <c r="AJ49">
        <v>152.97033999999999</v>
      </c>
      <c r="AK49">
        <v>152.88462999999999</v>
      </c>
      <c r="AL49">
        <v>152.78836999999999</v>
      </c>
      <c r="AM49">
        <v>152.70266000000001</v>
      </c>
      <c r="AN49">
        <v>152.61694</v>
      </c>
      <c r="AO49">
        <v>152.53121999999999</v>
      </c>
      <c r="AP49">
        <v>152.44551000000001</v>
      </c>
      <c r="AQ49">
        <v>152.66499999999999</v>
      </c>
      <c r="AR49">
        <v>152.71799999999999</v>
      </c>
      <c r="AS49">
        <f t="shared" si="26"/>
        <v>45</v>
      </c>
      <c r="AT49">
        <v>152.88300000000001</v>
      </c>
      <c r="AU49">
        <v>153.054</v>
      </c>
      <c r="AV49">
        <v>152.69999999999999</v>
      </c>
      <c r="AW49">
        <v>152.613</v>
      </c>
      <c r="AY49" s="4">
        <f>I49*(1+$AY$2)</f>
        <v>152.95493980000001</v>
      </c>
      <c r="AZ49" s="4">
        <f>I49*(1-$AY$2)</f>
        <v>152.9090602</v>
      </c>
      <c r="BA49" s="4">
        <f>J49*(1+$AY$2)</f>
        <v>152.91793425000003</v>
      </c>
      <c r="BB49" s="4">
        <f>J49*(1-$AY$2)</f>
        <v>152.87206575000002</v>
      </c>
      <c r="BC49" s="4">
        <f>K49*(1+$AY$2)</f>
        <v>153.22197985000003</v>
      </c>
      <c r="BD49" s="4">
        <f>K49*(1-$AY$2)</f>
        <v>153.17602015000003</v>
      </c>
      <c r="BE49" s="4">
        <f>L49*(1+$AY$2)</f>
        <v>152.61688910000001</v>
      </c>
      <c r="BF49" s="4">
        <f>L49*(1-$AY$2)</f>
        <v>152.57111090000001</v>
      </c>
      <c r="BG49" s="4">
        <f>M49*(1+$AY$2)</f>
        <v>152.61588895</v>
      </c>
      <c r="BH49" s="4">
        <f>M49*(1-$AY$2)</f>
        <v>152.57011104999998</v>
      </c>
      <c r="BI49" s="4">
        <f>N49*(1+$AY$2)</f>
        <v>152.8609257</v>
      </c>
      <c r="BJ49" s="4">
        <f>N49*(1-$AY$2)</f>
        <v>152.81507429999999</v>
      </c>
      <c r="BK49" s="30">
        <f t="shared" si="27"/>
        <v>45</v>
      </c>
      <c r="BL49" s="15" t="str">
        <f t="shared" si="11"/>
        <v>-----</v>
      </c>
      <c r="BM49" s="15" t="str">
        <f t="shared" si="12"/>
        <v>-----</v>
      </c>
      <c r="BN49" s="15" t="str">
        <f t="shared" si="13"/>
        <v>-----</v>
      </c>
      <c r="BO49" s="15" t="str">
        <f t="shared" si="14"/>
        <v>-----</v>
      </c>
      <c r="BP49" s="15" t="str">
        <f t="shared" si="15"/>
        <v>-----</v>
      </c>
      <c r="BQ49" s="15" t="str">
        <f t="shared" si="16"/>
        <v>-----</v>
      </c>
      <c r="BR49" s="22"/>
      <c r="BS49" s="9">
        <f t="shared" si="57"/>
        <v>-2.423265306122455E-3</v>
      </c>
      <c r="BT49" s="9">
        <f>SLOPE(J$5:J$103,$A$5:$A$103)</f>
        <v>-3.7194805194805478E-4</v>
      </c>
      <c r="BU49" s="9">
        <f>SLOPE(K$5:K$103,$A$5:$A$103)</f>
        <v>-1.6402721088435472E-3</v>
      </c>
      <c r="BV49" s="9">
        <f>SLOPE(L$5:L$103,$A$5:$A$103)</f>
        <v>7.6471243042669956E-4</v>
      </c>
      <c r="BW49" s="9">
        <f>SLOPE(M$5:M$103,$A$5:$A$103)</f>
        <v>-2.3081014223875058E-4</v>
      </c>
      <c r="BX49" s="9">
        <f>SLOPE(N$5:N$103,$A$5:$A$103)</f>
        <v>1.5802844774273381E-3</v>
      </c>
      <c r="BY49"/>
      <c r="BZ49" s="9">
        <f t="shared" si="37"/>
        <v>-1.9079214597220278</v>
      </c>
      <c r="CA49" s="9">
        <f t="shared" si="38"/>
        <v>-0.29295343676527091</v>
      </c>
      <c r="CB49" s="9">
        <f t="shared" si="39"/>
        <v>-1.2917022253843653</v>
      </c>
      <c r="CC49" s="9">
        <f t="shared" si="40"/>
        <v>0.60228527619529781</v>
      </c>
      <c r="CD49" s="9">
        <f t="shared" si="41"/>
        <v>-0.18179147971962978</v>
      </c>
      <c r="CE49" s="9">
        <f t="shared" si="42"/>
        <v>1.2444775446344229</v>
      </c>
      <c r="CF49"/>
      <c r="CG49" s="18" t="str" cm="1">
        <f t="array" ref="CG49">_xlfn.IFS(BZ49&gt;3,"Strong + Slope",BZ49&gt;1.5,"Moderate + Slope",BZ49&gt;0.5,"Sideway + Slope",BZ49&gt;=-0.5,"Sideway Flat",BZ49&gt;=-1.5,"Sideway - Slope",BZ49&gt;=-3,"Moderate - Slope",TRUE,"Strong - Slope")</f>
        <v>Moderate - Slope</v>
      </c>
      <c r="CH49" s="18" t="str" cm="1">
        <f t="array" ref="CH49">_xlfn.IFS(CA49&gt;3,"Strong + Slope",CA49&gt;1.5,"Moderate + Slope",CA49&gt;0.5,"Sideway + Slope",CA49&gt;=-0.5,"Sideway Flat",CA49&gt;=-1.5,"Sideway - Slope",CA49&gt;=-3,"Moderate - Slope",TRUE,"Strong - Slope")</f>
        <v>Sideway Flat</v>
      </c>
      <c r="CI49" s="18" t="str" cm="1">
        <f t="array" ref="CI49">_xlfn.IFS(CB49&gt;3,"Strong + Slope",CB49&gt;1.5,"Moderate + Slope",CB49&gt;0.5,"Sideway + Slope",CB49&gt;=-0.5,"Sideway Flat",CB49&gt;=-1.5,"Sideway - Slope",CB49&gt;=-3,"Moderate - Slope",TRUE,"Strong - Slope")</f>
        <v>Sideway - Slope</v>
      </c>
      <c r="CJ49" s="18" t="str" cm="1">
        <f t="array" ref="CJ49">_xlfn.IFS(CC49&gt;3,"Strong + Slope",CC49&gt;1.5,"Moderate + Slope",CC49&gt;0.5,"Sideway + Slope",CC49&gt;=-0.5,"Sideway Flat",CC49&gt;=-1.5,"Sideway - Slope",CC49&gt;=-3,"Moderate - Slope",TRUE,"Strong - Slope")</f>
        <v>Sideway + Slope</v>
      </c>
      <c r="CK49" s="18" t="str" cm="1">
        <f t="array" ref="CK49">_xlfn.IFS(CD49&gt;3,"Strong + Slope",CD49&gt;1.5,"Moderate + Slope",CD49&gt;0.5,"Sideway + Slope",CD49&gt;=-0.5,"Sideway Flat",CD49&gt;=-1.5,"Sideway - Slope",CD49&gt;=-3,"Moderate - Slope",TRUE,"Strong - Slope")</f>
        <v>Sideway Flat</v>
      </c>
      <c r="CL49" s="18" t="str" cm="1">
        <f t="array" ref="CL49">_xlfn.IFS(CE49&gt;3,"Strong + Slope",CE49&gt;1.5,"Moderate + Slope",CE49&gt;0.5,"Sideway + Slope",CE49&gt;=-0.5,"Sideway Flat",CE49&gt;=-1.5,"Sideway - Slope",CE49&gt;=-3,"Moderate - Slope",TRUE,"Strong - Slope")</f>
        <v>Sideway + Slope</v>
      </c>
      <c r="CM49" s="9"/>
      <c r="CN49" s="9">
        <f>RANK(I49,$I49:$N49,0)</f>
        <v>2</v>
      </c>
      <c r="CO49" s="9">
        <f>RANK(J49,$I49:$N49,0)</f>
        <v>3</v>
      </c>
      <c r="CP49" s="9">
        <f>RANK(K49,$I49:$N49,0)</f>
        <v>1</v>
      </c>
      <c r="CQ49" s="9">
        <f>RANK(L49,$I49:$N49,0)</f>
        <v>5</v>
      </c>
      <c r="CR49" s="9">
        <f>RANK(M49,$I49:$N49,0)</f>
        <v>6</v>
      </c>
      <c r="CS49" s="9">
        <f>RANK(N49,$I49:$N49,0)</f>
        <v>4</v>
      </c>
      <c r="CT49" s="9"/>
      <c r="CU49" s="9" t="str">
        <f>IF($H49&gt;I49,"SUP","RES")</f>
        <v>RES</v>
      </c>
      <c r="CV49" s="9" t="str">
        <f>IF($H49&gt;J49,"SUP","RES")</f>
        <v>RES</v>
      </c>
      <c r="CW49" s="9" t="str">
        <f>IF($H49&gt;K49,"SUP","RES")</f>
        <v>RES</v>
      </c>
      <c r="CX49" s="9" t="str">
        <f>IF($H49&gt;L49,"SUP","RES")</f>
        <v>SUP</v>
      </c>
      <c r="CY49" s="9" t="str">
        <f>IF($H49&gt;M49,"SUP","RES")</f>
        <v>SUP</v>
      </c>
      <c r="CZ49" s="9" t="str">
        <f>IF($H49&gt;N49,"SUP","RES")</f>
        <v>RES</v>
      </c>
      <c r="DA49" s="9"/>
      <c r="DB49" s="12">
        <f>(I49-$H49)/$H49</f>
        <v>1.2701488823998507E-3</v>
      </c>
      <c r="DC49" s="12">
        <f>(J49-$H49)/$H49</f>
        <v>1.0279039924577427E-3</v>
      </c>
      <c r="DD49" s="12">
        <f>(K49-$H49)/$H49</f>
        <v>3.0182403854968165E-3</v>
      </c>
      <c r="DE49" s="12">
        <f>(L49-$H49)/$H49</f>
        <v>-9.42790923018538E-4</v>
      </c>
      <c r="DF49" s="12">
        <f>(M49-$H49)/$H49</f>
        <v>-9.4933808220619778E-4</v>
      </c>
      <c r="DG49" s="12">
        <f>(N49-$H49)/$H49</f>
        <v>6.5471591876281154E-4</v>
      </c>
      <c r="DH49" s="12"/>
      <c r="DI49" s="12">
        <f>((H49-MIN(I49:N49))/(MAX(I49:N49)-MIN(I49:N49)))</f>
        <v>0.23927392739274708</v>
      </c>
      <c r="DJ49" s="13">
        <f t="shared" si="50"/>
        <v>4</v>
      </c>
      <c r="DK49" s="14">
        <f t="shared" si="51"/>
        <v>2</v>
      </c>
      <c r="DL49" s="12">
        <f t="shared" si="18"/>
        <v>3.0182403854968165E-3</v>
      </c>
      <c r="DM49" s="12">
        <f t="shared" si="19"/>
        <v>1.2701488823998507E-3</v>
      </c>
      <c r="DN49" s="12">
        <f t="shared" si="20"/>
        <v>1.0279039924577427E-3</v>
      </c>
      <c r="DO49" s="12">
        <f t="shared" si="21"/>
        <v>6.5471591876281154E-4</v>
      </c>
      <c r="DP49" s="12">
        <f t="shared" si="22"/>
        <v>-9.42790923018538E-4</v>
      </c>
      <c r="DQ49" s="12">
        <f t="shared" si="23"/>
        <v>-9.4933808220619778E-4</v>
      </c>
      <c r="DR49" s="9"/>
      <c r="DS49" s="9" t="str">
        <f>IF(AQ49&gt;AG49,"Overbought",IF(AQ49&gt;AI49,"Bullish Momentum",IF(AQ49&gt;AK49,"Overprice Setting Up","-----")))</f>
        <v>-----</v>
      </c>
      <c r="DT49" s="9" t="str">
        <f>IF(AQ49&lt;AP49,"Oversold",IF(AQ49&lt;AN49,"Bearish Momentum",IF(AQ49&lt;AL49,"Underprice Setting Up","-----")))</f>
        <v>Underprice Setting Up</v>
      </c>
      <c r="DU49" s="9"/>
      <c r="DV49" s="12" t="str">
        <f>IF(AND(AT49&gt;AU49,AT48&gt;AU48,AT47&gt;AU47,AT46&gt;AU46,AT45&gt;AU45,AT44&gt;AU44,AT43&gt;AU43,AT42&gt;AU42,AT41&gt;AU41,AT40&gt;AU40,AT39&gt;AU39,AT38&gt;AU38),"Bullish",IF(AND(AT49&lt;AU49,AT48&lt;AU48,AT47&lt;AU47,AT46&lt;AU46,AT45&lt;AU45,AT44&lt;AU44,AT43&lt;AU43,AT42&lt;AU42,AT41&lt;AU41,AT40&lt;AU40,AT39&lt;AU39,AT38&lt;AU38),"Bearish","-----"))</f>
        <v>Bearish</v>
      </c>
      <c r="DW49" s="12"/>
      <c r="DX49" s="23">
        <f>(AR49-AT49)/AT49</f>
        <v>-1.0792566864858777E-3</v>
      </c>
      <c r="DY49" s="23">
        <f t="shared" si="52"/>
        <v>-1.8139478379197713</v>
      </c>
      <c r="DZ49" s="23" t="str">
        <f>IF(DY49&gt;PERCENTILE($DY$5:$DY$103,90%),"Reverse to Bearish",IF(DY49&gt;=PERCENTILE($DY$5:$DY$103,70%),"-----",IF(DY49&gt;=PERCENTILE($DY$5:$DY$103,30%),"-----",IF(DY49&gt;=PERCENTILE($DY$5:$DY$103,10%),"-----","Reverse to Bullish"))))</f>
        <v>Reverse to Bullish</v>
      </c>
      <c r="EA49" s="23" t="str">
        <f>IF(AQ49&gt;AR49,"Bullish","Bearish")</f>
        <v>Bearish</v>
      </c>
      <c r="EB49" s="22" t="str">
        <f>IF(AND(H49&gt;AQ49,H48&lt;AQ48),"TEMA crossover","-----")</f>
        <v>-----</v>
      </c>
      <c r="EC49" s="22" t="str">
        <f>IF(AND(H49&lt;AQ49,H48&gt;AQ48),"TEMA crossunder","-----")</f>
        <v>-----</v>
      </c>
      <c r="ED49" s="22"/>
      <c r="EE49" s="24" t="str">
        <f t="shared" si="45"/>
        <v>YES</v>
      </c>
      <c r="EF49" s="24" t="str">
        <f t="shared" si="46"/>
        <v>-----</v>
      </c>
      <c r="EG49" s="24" t="str">
        <f t="shared" si="47"/>
        <v>-----</v>
      </c>
      <c r="EH49" s="24" t="str">
        <f t="shared" si="48"/>
        <v>YES</v>
      </c>
      <c r="EI49" s="25" t="str">
        <f>IF(DV49="Bullish","YES","-----")</f>
        <v>-----</v>
      </c>
      <c r="EJ49" s="25" t="str">
        <f>IF(DZ49="Reverse to Bullish","YES","-----")</f>
        <v>YES</v>
      </c>
      <c r="EK49" s="25" t="str">
        <f>IF(AND(EA49="Bearish",EA48="Bearish",EA47="Bearish",EA46="Bearish"),"YES","-----")</f>
        <v>YES</v>
      </c>
      <c r="EL49" s="25" t="str">
        <f>IF(OR(EC49="TEMA crossover",EC48="TEMA crossover",EC47="TEMA crossover",EC46="TEMA crossover"),"YES","-----")</f>
        <v>-----</v>
      </c>
      <c r="EM49" s="24" t="str">
        <f>IF(AND(EE49="YES",EF49="YES",EG49="YES",EH49="YES"),"Open Sell / Close Buy","-----")</f>
        <v>-----</v>
      </c>
      <c r="EN49" s="25" t="str">
        <f t="shared" si="32"/>
        <v>-----</v>
      </c>
      <c r="EO49" s="23"/>
      <c r="EP49" s="9" t="str">
        <f>IF(AND(H49&gt;AV49,H49&gt;E49),"Bullish Trigger","-----")</f>
        <v>Bullish Trigger</v>
      </c>
      <c r="EQ49" s="9" t="str">
        <f>IF(AND(H49&lt;AW49,H49&lt;E49),"Bearish Trigger","-----")</f>
        <v>-----</v>
      </c>
      <c r="ER49" s="9"/>
      <c r="ES49" s="9" t="str">
        <f>IF(G49&gt;AV49,"Bullish Spike","-----")</f>
        <v>-----</v>
      </c>
      <c r="ET49" s="9" t="str">
        <f>IF(F49&lt;AW49,"Bearish Spike","-----")</f>
        <v>-----</v>
      </c>
      <c r="EU49" s="9"/>
      <c r="EV49" s="20">
        <f t="shared" si="53"/>
        <v>8.6999999999989086E-2</v>
      </c>
      <c r="EW49" s="9">
        <f t="shared" si="24"/>
        <v>0.25863989388188074</v>
      </c>
      <c r="EX49" s="21" t="str">
        <f t="shared" si="25"/>
        <v>-----</v>
      </c>
      <c r="EY49" s="9"/>
    </row>
    <row r="50" spans="1:155" x14ac:dyDescent="0.55000000000000004">
      <c r="A50">
        <v>46</v>
      </c>
      <c r="B50" t="s">
        <v>49</v>
      </c>
      <c r="C50" t="s">
        <v>4</v>
      </c>
      <c r="D50" t="s">
        <v>103</v>
      </c>
      <c r="E50">
        <v>152.738</v>
      </c>
      <c r="F50">
        <v>152.74299999999999</v>
      </c>
      <c r="G50">
        <v>152.69800000000001</v>
      </c>
      <c r="H50">
        <v>152.69800000000001</v>
      </c>
      <c r="I50">
        <v>152.929</v>
      </c>
      <c r="J50">
        <v>152.89400000000001</v>
      </c>
      <c r="K50">
        <v>153.197</v>
      </c>
      <c r="L50">
        <v>152.595</v>
      </c>
      <c r="M50">
        <v>152.59299999999999</v>
      </c>
      <c r="N50">
        <v>152.839</v>
      </c>
      <c r="O50" s="16">
        <f t="shared" si="49"/>
        <v>4.4999999999987494E-2</v>
      </c>
      <c r="P50" s="16">
        <f t="shared" si="54"/>
        <v>4.9999999999954525E-3</v>
      </c>
      <c r="Q50" s="16">
        <f t="shared" si="55"/>
        <v>3.9999999999992042E-2</v>
      </c>
      <c r="R50" s="16">
        <f t="shared" si="56"/>
        <v>4.4999999999987494E-2</v>
      </c>
      <c r="S50" s="16">
        <f t="shared" si="43"/>
        <v>9.2540910710157243E-2</v>
      </c>
      <c r="T50">
        <v>0</v>
      </c>
      <c r="U50">
        <v>0</v>
      </c>
      <c r="V50">
        <v>0</v>
      </c>
      <c r="W50">
        <v>0</v>
      </c>
      <c r="Y50" s="9" t="str">
        <f t="shared" si="9"/>
        <v>------</v>
      </c>
      <c r="Z50" s="9" t="str">
        <f t="shared" si="10"/>
        <v>------</v>
      </c>
      <c r="AA50" s="9"/>
      <c r="AB50">
        <v>0</v>
      </c>
      <c r="AD50" t="str">
        <f t="shared" si="58"/>
        <v/>
      </c>
      <c r="AE50">
        <v>0.18303</v>
      </c>
      <c r="AF50">
        <v>3</v>
      </c>
      <c r="AG50">
        <v>153.20768000000001</v>
      </c>
      <c r="AH50">
        <v>153.12210999999999</v>
      </c>
      <c r="AI50">
        <v>153.03655000000001</v>
      </c>
      <c r="AJ50">
        <v>152.95098999999999</v>
      </c>
      <c r="AK50">
        <v>152.86543</v>
      </c>
      <c r="AL50">
        <v>152.77142000000001</v>
      </c>
      <c r="AM50">
        <v>152.68585999999999</v>
      </c>
      <c r="AN50">
        <v>152.60029</v>
      </c>
      <c r="AO50">
        <v>152.51472999999999</v>
      </c>
      <c r="AP50">
        <v>152.42917</v>
      </c>
      <c r="AQ50">
        <v>152.67500000000001</v>
      </c>
      <c r="AR50">
        <v>152.702</v>
      </c>
      <c r="AS50">
        <f t="shared" si="26"/>
        <v>46</v>
      </c>
      <c r="AT50">
        <v>152.87</v>
      </c>
      <c r="AU50">
        <v>153.04499999999999</v>
      </c>
      <c r="AV50">
        <v>152.70699999999999</v>
      </c>
      <c r="AW50">
        <v>152.63999999999999</v>
      </c>
      <c r="AY50" s="4">
        <f>I50*(1+$AY$2)</f>
        <v>152.95193935</v>
      </c>
      <c r="AZ50" s="4">
        <f>I50*(1-$AY$2)</f>
        <v>152.90606065</v>
      </c>
      <c r="BA50" s="4">
        <f>J50*(1+$AY$2)</f>
        <v>152.91693410000002</v>
      </c>
      <c r="BB50" s="4">
        <f>J50*(1-$AY$2)</f>
        <v>152.87106590000002</v>
      </c>
      <c r="BC50" s="4">
        <f>K50*(1+$AY$2)</f>
        <v>153.21997955000001</v>
      </c>
      <c r="BD50" s="4">
        <f>K50*(1-$AY$2)</f>
        <v>153.17402045</v>
      </c>
      <c r="BE50" s="4">
        <f>L50*(1+$AY$2)</f>
        <v>152.61788925000002</v>
      </c>
      <c r="BF50" s="4">
        <f>L50*(1-$AY$2)</f>
        <v>152.57211075000001</v>
      </c>
      <c r="BG50" s="4">
        <f>M50*(1+$AY$2)</f>
        <v>152.61588895</v>
      </c>
      <c r="BH50" s="4">
        <f>M50*(1-$AY$2)</f>
        <v>152.57011104999998</v>
      </c>
      <c r="BI50" s="4">
        <f>N50*(1+$AY$2)</f>
        <v>152.86192585000001</v>
      </c>
      <c r="BJ50" s="4">
        <f>N50*(1-$AY$2)</f>
        <v>152.81607414999999</v>
      </c>
      <c r="BK50" s="30">
        <f t="shared" si="27"/>
        <v>46</v>
      </c>
      <c r="BL50" s="15" t="str">
        <f t="shared" si="11"/>
        <v>-----</v>
      </c>
      <c r="BM50" s="15" t="str">
        <f t="shared" si="12"/>
        <v>-----</v>
      </c>
      <c r="BN50" s="15" t="str">
        <f t="shared" si="13"/>
        <v>-----</v>
      </c>
      <c r="BO50" s="15" t="str">
        <f t="shared" si="14"/>
        <v>-----</v>
      </c>
      <c r="BP50" s="15" t="str">
        <f t="shared" si="15"/>
        <v>-----</v>
      </c>
      <c r="BQ50" s="15" t="str">
        <f t="shared" si="16"/>
        <v>-----</v>
      </c>
      <c r="BR50" s="22"/>
      <c r="BS50" s="9">
        <f t="shared" si="57"/>
        <v>-2.423265306122455E-3</v>
      </c>
      <c r="BT50" s="9">
        <f>SLOPE(J$5:J$103,$A$5:$A$103)</f>
        <v>-3.7194805194805478E-4</v>
      </c>
      <c r="BU50" s="9">
        <f>SLOPE(K$5:K$103,$A$5:$A$103)</f>
        <v>-1.6402721088435472E-3</v>
      </c>
      <c r="BV50" s="9">
        <f>SLOPE(L$5:L$103,$A$5:$A$103)</f>
        <v>7.6471243042669956E-4</v>
      </c>
      <c r="BW50" s="9">
        <f>SLOPE(M$5:M$103,$A$5:$A$103)</f>
        <v>-2.3081014223875058E-4</v>
      </c>
      <c r="BX50" s="9">
        <f>SLOPE(N$5:N$103,$A$5:$A$103)</f>
        <v>1.5802844774273381E-3</v>
      </c>
      <c r="BY50"/>
      <c r="BZ50" s="9">
        <f t="shared" ref="BZ50:BZ81" si="59">DEGREES(ATAN(BS50/$S$3))</f>
        <v>-1.9079214597220278</v>
      </c>
      <c r="CA50" s="9">
        <f t="shared" ref="CA50:CA81" si="60">DEGREES(ATAN(BT50/$S$3))</f>
        <v>-0.29295343676527091</v>
      </c>
      <c r="CB50" s="9">
        <f t="shared" ref="CB50:CB81" si="61">DEGREES(ATAN(BU50/$S$3))</f>
        <v>-1.2917022253843653</v>
      </c>
      <c r="CC50" s="9">
        <f t="shared" ref="CC50:CC81" si="62">DEGREES(ATAN(BV50/$S$3))</f>
        <v>0.60228527619529781</v>
      </c>
      <c r="CD50" s="9">
        <f t="shared" ref="CD50:CD81" si="63">DEGREES(ATAN(BW50/$S$3))</f>
        <v>-0.18179147971962978</v>
      </c>
      <c r="CE50" s="9">
        <f t="shared" ref="CE50:CE81" si="64">DEGREES(ATAN(BX50/$S$3))</f>
        <v>1.2444775446344229</v>
      </c>
      <c r="CF50"/>
      <c r="CG50" s="18" t="str" cm="1">
        <f t="array" ref="CG50">_xlfn.IFS(BZ50&gt;3,"Strong + Slope",BZ50&gt;1.5,"Moderate + Slope",BZ50&gt;0.5,"Sideway + Slope",BZ50&gt;=-0.5,"Sideway Flat",BZ50&gt;=-1.5,"Sideway - Slope",BZ50&gt;=-3,"Moderate - Slope",TRUE,"Strong - Slope")</f>
        <v>Moderate - Slope</v>
      </c>
      <c r="CH50" s="18" t="str" cm="1">
        <f t="array" ref="CH50">_xlfn.IFS(CA50&gt;3,"Strong + Slope",CA50&gt;1.5,"Moderate + Slope",CA50&gt;0.5,"Sideway + Slope",CA50&gt;=-0.5,"Sideway Flat",CA50&gt;=-1.5,"Sideway - Slope",CA50&gt;=-3,"Moderate - Slope",TRUE,"Strong - Slope")</f>
        <v>Sideway Flat</v>
      </c>
      <c r="CI50" s="18" t="str" cm="1">
        <f t="array" ref="CI50">_xlfn.IFS(CB50&gt;3,"Strong + Slope",CB50&gt;1.5,"Moderate + Slope",CB50&gt;0.5,"Sideway + Slope",CB50&gt;=-0.5,"Sideway Flat",CB50&gt;=-1.5,"Sideway - Slope",CB50&gt;=-3,"Moderate - Slope",TRUE,"Strong - Slope")</f>
        <v>Sideway - Slope</v>
      </c>
      <c r="CJ50" s="18" t="str" cm="1">
        <f t="array" ref="CJ50">_xlfn.IFS(CC50&gt;3,"Strong + Slope",CC50&gt;1.5,"Moderate + Slope",CC50&gt;0.5,"Sideway + Slope",CC50&gt;=-0.5,"Sideway Flat",CC50&gt;=-1.5,"Sideway - Slope",CC50&gt;=-3,"Moderate - Slope",TRUE,"Strong - Slope")</f>
        <v>Sideway + Slope</v>
      </c>
      <c r="CK50" s="18" t="str" cm="1">
        <f t="array" ref="CK50">_xlfn.IFS(CD50&gt;3,"Strong + Slope",CD50&gt;1.5,"Moderate + Slope",CD50&gt;0.5,"Sideway + Slope",CD50&gt;=-0.5,"Sideway Flat",CD50&gt;=-1.5,"Sideway - Slope",CD50&gt;=-3,"Moderate - Slope",TRUE,"Strong - Slope")</f>
        <v>Sideway Flat</v>
      </c>
      <c r="CL50" s="18" t="str" cm="1">
        <f t="array" ref="CL50">_xlfn.IFS(CE50&gt;3,"Strong + Slope",CE50&gt;1.5,"Moderate + Slope",CE50&gt;0.5,"Sideway + Slope",CE50&gt;=-0.5,"Sideway Flat",CE50&gt;=-1.5,"Sideway - Slope",CE50&gt;=-3,"Moderate - Slope",TRUE,"Strong - Slope")</f>
        <v>Sideway + Slope</v>
      </c>
      <c r="CM50" s="9"/>
      <c r="CN50" s="9">
        <f>RANK(I50,$I50:$N50,0)</f>
        <v>2</v>
      </c>
      <c r="CO50" s="9">
        <f>RANK(J50,$I50:$N50,0)</f>
        <v>3</v>
      </c>
      <c r="CP50" s="9">
        <f>RANK(K50,$I50:$N50,0)</f>
        <v>1</v>
      </c>
      <c r="CQ50" s="9">
        <f>RANK(L50,$I50:$N50,0)</f>
        <v>5</v>
      </c>
      <c r="CR50" s="9">
        <f>RANK(M50,$I50:$N50,0)</f>
        <v>6</v>
      </c>
      <c r="CS50" s="9">
        <f>RANK(N50,$I50:$N50,0)</f>
        <v>4</v>
      </c>
      <c r="CT50" s="9"/>
      <c r="CU50" s="9" t="str">
        <f>IF($H50&gt;I50,"SUP","RES")</f>
        <v>RES</v>
      </c>
      <c r="CV50" s="9" t="str">
        <f>IF($H50&gt;J50,"SUP","RES")</f>
        <v>RES</v>
      </c>
      <c r="CW50" s="9" t="str">
        <f>IF($H50&gt;K50,"SUP","RES")</f>
        <v>RES</v>
      </c>
      <c r="CX50" s="9" t="str">
        <f>IF($H50&gt;L50,"SUP","RES")</f>
        <v>SUP</v>
      </c>
      <c r="CY50" s="9" t="str">
        <f>IF($H50&gt;M50,"SUP","RES")</f>
        <v>SUP</v>
      </c>
      <c r="CZ50" s="9" t="str">
        <f>IF($H50&gt;N50,"SUP","RES")</f>
        <v>RES</v>
      </c>
      <c r="DA50" s="9"/>
      <c r="DB50" s="12">
        <f>(I50-$H50)/$H50</f>
        <v>1.5127899514073174E-3</v>
      </c>
      <c r="DC50" s="12">
        <f>(J50-$H50)/$H50</f>
        <v>1.2835793527092559E-3</v>
      </c>
      <c r="DD50" s="12">
        <f>(K50-$H50)/$H50</f>
        <v>3.267888250009792E-3</v>
      </c>
      <c r="DE50" s="12">
        <f>(L50-$H50)/$H50</f>
        <v>-6.7453404759727461E-4</v>
      </c>
      <c r="DF50" s="12">
        <f>(M50-$H50)/$H50</f>
        <v>-6.8763179609437051E-4</v>
      </c>
      <c r="DG50" s="12">
        <f>(N50-$H50)/$H50</f>
        <v>9.2339126904079374E-4</v>
      </c>
      <c r="DH50" s="12"/>
      <c r="DI50" s="12">
        <f>((H50-MIN(I50:N50))/(MAX(I50:N50)-MIN(I50:N50)))</f>
        <v>0.17384105960267526</v>
      </c>
      <c r="DJ50" s="13">
        <f t="shared" si="50"/>
        <v>4</v>
      </c>
      <c r="DK50" s="14">
        <f t="shared" si="51"/>
        <v>2</v>
      </c>
      <c r="DL50" s="12">
        <f t="shared" si="18"/>
        <v>3.267888250009792E-3</v>
      </c>
      <c r="DM50" s="12">
        <f t="shared" si="19"/>
        <v>1.5127899514073174E-3</v>
      </c>
      <c r="DN50" s="12">
        <f t="shared" si="20"/>
        <v>1.2835793527092559E-3</v>
      </c>
      <c r="DO50" s="12">
        <f t="shared" si="21"/>
        <v>9.2339126904079374E-4</v>
      </c>
      <c r="DP50" s="12">
        <f t="shared" si="22"/>
        <v>-6.7453404759727461E-4</v>
      </c>
      <c r="DQ50" s="12">
        <f t="shared" si="23"/>
        <v>-6.8763179609437051E-4</v>
      </c>
      <c r="DR50" s="9"/>
      <c r="DS50" s="9" t="str">
        <f>IF(AQ50&gt;AG50,"Overbought",IF(AQ50&gt;AI50,"Bullish Momentum",IF(AQ50&gt;AK50,"Overprice Setting Up","-----")))</f>
        <v>-----</v>
      </c>
      <c r="DT50" s="9" t="str">
        <f>IF(AQ50&lt;AP50,"Oversold",IF(AQ50&lt;AN50,"Bearish Momentum",IF(AQ50&lt;AL50,"Underprice Setting Up","-----")))</f>
        <v>Underprice Setting Up</v>
      </c>
      <c r="DU50" s="9"/>
      <c r="DV50" s="12" t="str">
        <f>IF(AND(AT50&gt;AU50,AT49&gt;AU49,AT48&gt;AU48,AT47&gt;AU47,AT46&gt;AU46,AT45&gt;AU45,AT44&gt;AU44,AT43&gt;AU43,AT42&gt;AU42,AT41&gt;AU41,AT40&gt;AU40,AT39&gt;AU39),"Bullish",IF(AND(AT50&lt;AU50,AT49&lt;AU49,AT48&lt;AU48,AT47&lt;AU47,AT46&lt;AU46,AT45&lt;AU45,AT44&lt;AU44,AT43&lt;AU43,AT42&lt;AU42,AT41&lt;AU41,AT40&lt;AU40,AT39&lt;AU39),"Bearish","-----"))</f>
        <v>Bearish</v>
      </c>
      <c r="DW50" s="12"/>
      <c r="DX50" s="23">
        <f>(AR50-AT50)/AT50</f>
        <v>-1.0989729835808619E-3</v>
      </c>
      <c r="DY50" s="23">
        <f t="shared" si="52"/>
        <v>-1.8708106793105097</v>
      </c>
      <c r="DZ50" s="23" t="str">
        <f>IF(DY50&gt;PERCENTILE($DY$5:$DY$103,90%),"Reverse to Bearish",IF(DY50&gt;=PERCENTILE($DY$5:$DY$103,70%),"-----",IF(DY50&gt;=PERCENTILE($DY$5:$DY$103,30%),"-----",IF(DY50&gt;=PERCENTILE($DY$5:$DY$103,10%),"-----","Reverse to Bullish"))))</f>
        <v>Reverse to Bullish</v>
      </c>
      <c r="EA50" s="23" t="str">
        <f>IF(AQ50&gt;AR50,"Bullish","Bearish")</f>
        <v>Bearish</v>
      </c>
      <c r="EB50" s="22" t="str">
        <f>IF(AND(H50&gt;AQ50,H49&lt;AQ49),"TEMA crossover","-----")</f>
        <v>-----</v>
      </c>
      <c r="EC50" s="22" t="str">
        <f>IF(AND(H50&lt;AQ50,H49&gt;AQ49),"TEMA crossunder","-----")</f>
        <v>-----</v>
      </c>
      <c r="ED50" s="22"/>
      <c r="EE50" s="24" t="str">
        <f t="shared" si="45"/>
        <v>YES</v>
      </c>
      <c r="EF50" s="24" t="str">
        <f t="shared" si="46"/>
        <v>-----</v>
      </c>
      <c r="EG50" s="24" t="str">
        <f t="shared" si="47"/>
        <v>-----</v>
      </c>
      <c r="EH50" s="24" t="str">
        <f t="shared" si="48"/>
        <v>YES</v>
      </c>
      <c r="EI50" s="25" t="str">
        <f>IF(DV50="Bullish","YES","-----")</f>
        <v>-----</v>
      </c>
      <c r="EJ50" s="25" t="str">
        <f>IF(DZ50="Reverse to Bullish","YES","-----")</f>
        <v>YES</v>
      </c>
      <c r="EK50" s="25" t="str">
        <f>IF(AND(EA50="Bearish",EA49="Bearish",EA48="Bearish",EA47="Bearish"),"YES","-----")</f>
        <v>YES</v>
      </c>
      <c r="EL50" s="25" t="str">
        <f>IF(OR(EC50="TEMA crossover",EC49="TEMA crossover",EC48="TEMA crossover",EC47="TEMA crossover"),"YES","-----")</f>
        <v>-----</v>
      </c>
      <c r="EM50" s="24" t="str">
        <f>IF(AND(EE50="YES",EF50="YES",EG50="YES",EH50="YES"),"Open Sell / Close Buy","-----")</f>
        <v>-----</v>
      </c>
      <c r="EN50" s="25" t="str">
        <f t="shared" si="32"/>
        <v>-----</v>
      </c>
      <c r="EO50" s="23"/>
      <c r="EP50" s="9" t="str">
        <f>IF(AND(H50&gt;AV50,H50&gt;E50),"Bullish Trigger","-----")</f>
        <v>-----</v>
      </c>
      <c r="EQ50" s="9" t="str">
        <f>IF(AND(H50&lt;AW50,H50&lt;E50),"Bearish Trigger","-----")</f>
        <v>-----</v>
      </c>
      <c r="ER50" s="9"/>
      <c r="ES50" s="9" t="str">
        <f>IF(G50&gt;AV50,"Bullish Spike","-----")</f>
        <v>-----</v>
      </c>
      <c r="ET50" s="9" t="str">
        <f>IF(F50&lt;AW50,"Bearish Spike","-----")</f>
        <v>-----</v>
      </c>
      <c r="EU50" s="9"/>
      <c r="EV50" s="20">
        <f t="shared" si="53"/>
        <v>6.7000000000007276E-2</v>
      </c>
      <c r="EW50" s="9">
        <f t="shared" si="24"/>
        <v>-0.20230249125426</v>
      </c>
      <c r="EX50" s="21" t="str">
        <f t="shared" si="25"/>
        <v>-----</v>
      </c>
      <c r="EY50" s="9"/>
    </row>
    <row r="51" spans="1:155" x14ac:dyDescent="0.55000000000000004">
      <c r="A51">
        <v>47</v>
      </c>
      <c r="B51" t="s">
        <v>50</v>
      </c>
      <c r="C51" t="s">
        <v>4</v>
      </c>
      <c r="D51" t="s">
        <v>103</v>
      </c>
      <c r="E51">
        <v>152.69800000000001</v>
      </c>
      <c r="F51">
        <v>152.81899999999999</v>
      </c>
      <c r="G51">
        <v>152.69800000000001</v>
      </c>
      <c r="H51">
        <v>152.81299999999999</v>
      </c>
      <c r="I51">
        <v>152.92699999999999</v>
      </c>
      <c r="J51">
        <v>152.89400000000001</v>
      </c>
      <c r="K51">
        <v>153.19499999999999</v>
      </c>
      <c r="L51">
        <v>152.595</v>
      </c>
      <c r="M51">
        <v>152.59200000000001</v>
      </c>
      <c r="N51">
        <v>152.84100000000001</v>
      </c>
      <c r="O51" s="16">
        <f t="shared" si="49"/>
        <v>0.1209999999999809</v>
      </c>
      <c r="P51" s="16">
        <f t="shared" si="54"/>
        <v>0.1209999999999809</v>
      </c>
      <c r="Q51" s="16">
        <f t="shared" si="55"/>
        <v>0</v>
      </c>
      <c r="R51" s="16">
        <f t="shared" si="56"/>
        <v>0.1209999999999809</v>
      </c>
      <c r="S51" s="16">
        <f t="shared" ref="S51:S82" si="65">(S50*13+R51)/14</f>
        <v>9.4573702802287496E-2</v>
      </c>
      <c r="T51">
        <v>0</v>
      </c>
      <c r="U51">
        <v>0</v>
      </c>
      <c r="V51">
        <v>0</v>
      </c>
      <c r="W51">
        <v>0</v>
      </c>
      <c r="Y51" s="9" t="str">
        <f t="shared" si="9"/>
        <v>------</v>
      </c>
      <c r="Z51" s="9" t="str">
        <f t="shared" si="10"/>
        <v>------</v>
      </c>
      <c r="AA51" s="9"/>
      <c r="AB51">
        <v>0</v>
      </c>
      <c r="AD51" t="str">
        <f t="shared" si="58"/>
        <v/>
      </c>
      <c r="AE51">
        <v>1.5141899999999999</v>
      </c>
      <c r="AF51">
        <v>1</v>
      </c>
      <c r="AG51">
        <v>153.19289000000001</v>
      </c>
      <c r="AH51">
        <v>153.10696999999999</v>
      </c>
      <c r="AI51">
        <v>153.02106000000001</v>
      </c>
      <c r="AJ51">
        <v>152.93514999999999</v>
      </c>
      <c r="AK51">
        <v>152.84923000000001</v>
      </c>
      <c r="AL51">
        <v>152.75612000000001</v>
      </c>
      <c r="AM51">
        <v>152.67021</v>
      </c>
      <c r="AN51">
        <v>152.58430000000001</v>
      </c>
      <c r="AO51">
        <v>152.49838</v>
      </c>
      <c r="AP51">
        <v>152.41247000000001</v>
      </c>
      <c r="AQ51">
        <v>152.715</v>
      </c>
      <c r="AR51">
        <v>152.69800000000001</v>
      </c>
      <c r="AS51">
        <f t="shared" si="26"/>
        <v>47</v>
      </c>
      <c r="AT51">
        <v>152.863</v>
      </c>
      <c r="AU51">
        <v>153.036</v>
      </c>
      <c r="AV51">
        <v>152.751</v>
      </c>
      <c r="AW51">
        <v>152.65899999999999</v>
      </c>
      <c r="AY51" s="4">
        <f>I51*(1+$AY$2)</f>
        <v>152.94993905000001</v>
      </c>
      <c r="AZ51" s="4">
        <f>I51*(1-$AY$2)</f>
        <v>152.90406095</v>
      </c>
      <c r="BA51" s="4">
        <f>J51*(1+$AY$2)</f>
        <v>152.91693410000002</v>
      </c>
      <c r="BB51" s="4">
        <f>J51*(1-$AY$2)</f>
        <v>152.87106590000002</v>
      </c>
      <c r="BC51" s="4">
        <f>K51*(1+$AY$2)</f>
        <v>153.21797925000001</v>
      </c>
      <c r="BD51" s="4">
        <f>K51*(1-$AY$2)</f>
        <v>153.17202075</v>
      </c>
      <c r="BE51" s="4">
        <f>L51*(1+$AY$2)</f>
        <v>152.61788925000002</v>
      </c>
      <c r="BF51" s="4">
        <f>L51*(1-$AY$2)</f>
        <v>152.57211075000001</v>
      </c>
      <c r="BG51" s="4">
        <f>M51*(1+$AY$2)</f>
        <v>152.61488880000002</v>
      </c>
      <c r="BH51" s="4">
        <f>M51*(1-$AY$2)</f>
        <v>152.56911120000001</v>
      </c>
      <c r="BI51" s="4">
        <f>N51*(1+$AY$2)</f>
        <v>152.86392615000003</v>
      </c>
      <c r="BJ51" s="4">
        <f>N51*(1-$AY$2)</f>
        <v>152.81807385000002</v>
      </c>
      <c r="BK51" s="30">
        <f t="shared" si="27"/>
        <v>47</v>
      </c>
      <c r="BL51" s="15" t="str">
        <f t="shared" si="11"/>
        <v>-----</v>
      </c>
      <c r="BM51" s="15" t="str">
        <f t="shared" si="12"/>
        <v>-----</v>
      </c>
      <c r="BN51" s="15" t="str">
        <f t="shared" si="13"/>
        <v>-----</v>
      </c>
      <c r="BO51" s="15" t="str">
        <f t="shared" si="14"/>
        <v>-----</v>
      </c>
      <c r="BP51" s="15" t="str">
        <f t="shared" si="15"/>
        <v>-----</v>
      </c>
      <c r="BQ51" s="15" t="str">
        <f t="shared" si="16"/>
        <v>-----</v>
      </c>
      <c r="BR51" s="22"/>
      <c r="BS51" s="9">
        <f t="shared" si="57"/>
        <v>-2.423265306122455E-3</v>
      </c>
      <c r="BT51" s="9">
        <f>SLOPE(J$5:J$103,$A$5:$A$103)</f>
        <v>-3.7194805194805478E-4</v>
      </c>
      <c r="BU51" s="9">
        <f>SLOPE(K$5:K$103,$A$5:$A$103)</f>
        <v>-1.6402721088435472E-3</v>
      </c>
      <c r="BV51" s="9">
        <f>SLOPE(L$5:L$103,$A$5:$A$103)</f>
        <v>7.6471243042669956E-4</v>
      </c>
      <c r="BW51" s="9">
        <f>SLOPE(M$5:M$103,$A$5:$A$103)</f>
        <v>-2.3081014223875058E-4</v>
      </c>
      <c r="BX51" s="9">
        <f>SLOPE(N$5:N$103,$A$5:$A$103)</f>
        <v>1.5802844774273381E-3</v>
      </c>
      <c r="BY51"/>
      <c r="BZ51" s="9">
        <f t="shared" si="59"/>
        <v>-1.9079214597220278</v>
      </c>
      <c r="CA51" s="9">
        <f t="shared" si="60"/>
        <v>-0.29295343676527091</v>
      </c>
      <c r="CB51" s="9">
        <f t="shared" si="61"/>
        <v>-1.2917022253843653</v>
      </c>
      <c r="CC51" s="9">
        <f t="shared" si="62"/>
        <v>0.60228527619529781</v>
      </c>
      <c r="CD51" s="9">
        <f t="shared" si="63"/>
        <v>-0.18179147971962978</v>
      </c>
      <c r="CE51" s="9">
        <f t="shared" si="64"/>
        <v>1.2444775446344229</v>
      </c>
      <c r="CF51"/>
      <c r="CG51" s="18" t="str" cm="1">
        <f t="array" ref="CG51">_xlfn.IFS(BZ51&gt;3,"Strong + Slope",BZ51&gt;1.5,"Moderate + Slope",BZ51&gt;0.5,"Sideway + Slope",BZ51&gt;=-0.5,"Sideway Flat",BZ51&gt;=-1.5,"Sideway - Slope",BZ51&gt;=-3,"Moderate - Slope",TRUE,"Strong - Slope")</f>
        <v>Moderate - Slope</v>
      </c>
      <c r="CH51" s="18" t="str" cm="1">
        <f t="array" ref="CH51">_xlfn.IFS(CA51&gt;3,"Strong + Slope",CA51&gt;1.5,"Moderate + Slope",CA51&gt;0.5,"Sideway + Slope",CA51&gt;=-0.5,"Sideway Flat",CA51&gt;=-1.5,"Sideway - Slope",CA51&gt;=-3,"Moderate - Slope",TRUE,"Strong - Slope")</f>
        <v>Sideway Flat</v>
      </c>
      <c r="CI51" s="18" t="str" cm="1">
        <f t="array" ref="CI51">_xlfn.IFS(CB51&gt;3,"Strong + Slope",CB51&gt;1.5,"Moderate + Slope",CB51&gt;0.5,"Sideway + Slope",CB51&gt;=-0.5,"Sideway Flat",CB51&gt;=-1.5,"Sideway - Slope",CB51&gt;=-3,"Moderate - Slope",TRUE,"Strong - Slope")</f>
        <v>Sideway - Slope</v>
      </c>
      <c r="CJ51" s="18" t="str" cm="1">
        <f t="array" ref="CJ51">_xlfn.IFS(CC51&gt;3,"Strong + Slope",CC51&gt;1.5,"Moderate + Slope",CC51&gt;0.5,"Sideway + Slope",CC51&gt;=-0.5,"Sideway Flat",CC51&gt;=-1.5,"Sideway - Slope",CC51&gt;=-3,"Moderate - Slope",TRUE,"Strong - Slope")</f>
        <v>Sideway + Slope</v>
      </c>
      <c r="CK51" s="18" t="str" cm="1">
        <f t="array" ref="CK51">_xlfn.IFS(CD51&gt;3,"Strong + Slope",CD51&gt;1.5,"Moderate + Slope",CD51&gt;0.5,"Sideway + Slope",CD51&gt;=-0.5,"Sideway Flat",CD51&gt;=-1.5,"Sideway - Slope",CD51&gt;=-3,"Moderate - Slope",TRUE,"Strong - Slope")</f>
        <v>Sideway Flat</v>
      </c>
      <c r="CL51" s="18" t="str" cm="1">
        <f t="array" ref="CL51">_xlfn.IFS(CE51&gt;3,"Strong + Slope",CE51&gt;1.5,"Moderate + Slope",CE51&gt;0.5,"Sideway + Slope",CE51&gt;=-0.5,"Sideway Flat",CE51&gt;=-1.5,"Sideway - Slope",CE51&gt;=-3,"Moderate - Slope",TRUE,"Strong - Slope")</f>
        <v>Sideway + Slope</v>
      </c>
      <c r="CM51" s="9"/>
      <c r="CN51" s="9">
        <f>RANK(I51,$I51:$N51,0)</f>
        <v>2</v>
      </c>
      <c r="CO51" s="9">
        <f>RANK(J51,$I51:$N51,0)</f>
        <v>3</v>
      </c>
      <c r="CP51" s="9">
        <f>RANK(K51,$I51:$N51,0)</f>
        <v>1</v>
      </c>
      <c r="CQ51" s="9">
        <f>RANK(L51,$I51:$N51,0)</f>
        <v>5</v>
      </c>
      <c r="CR51" s="9">
        <f>RANK(M51,$I51:$N51,0)</f>
        <v>6</v>
      </c>
      <c r="CS51" s="9">
        <f>RANK(N51,$I51:$N51,0)</f>
        <v>4</v>
      </c>
      <c r="CT51" s="9"/>
      <c r="CU51" s="9" t="str">
        <f>IF($H51&gt;I51,"SUP","RES")</f>
        <v>RES</v>
      </c>
      <c r="CV51" s="9" t="str">
        <f>IF($H51&gt;J51,"SUP","RES")</f>
        <v>RES</v>
      </c>
      <c r="CW51" s="9" t="str">
        <f>IF($H51&gt;K51,"SUP","RES")</f>
        <v>RES</v>
      </c>
      <c r="CX51" s="9" t="str">
        <f>IF($H51&gt;L51,"SUP","RES")</f>
        <v>SUP</v>
      </c>
      <c r="CY51" s="9" t="str">
        <f>IF($H51&gt;M51,"SUP","RES")</f>
        <v>SUP</v>
      </c>
      <c r="CZ51" s="9" t="str">
        <f>IF($H51&gt;N51,"SUP","RES")</f>
        <v>RES</v>
      </c>
      <c r="DA51" s="9"/>
      <c r="DB51" s="12">
        <f>(I51-$H51)/$H51</f>
        <v>7.4600982900672281E-4</v>
      </c>
      <c r="DC51" s="12">
        <f>(J51-$H51)/$H51</f>
        <v>5.3005961534697502E-4</v>
      </c>
      <c r="DD51" s="12">
        <f>(K51-$H51)/$H51</f>
        <v>2.4997873217593074E-3</v>
      </c>
      <c r="DE51" s="12">
        <f>(L51-$H51)/$H51</f>
        <v>-1.4265801993285213E-3</v>
      </c>
      <c r="DF51" s="12">
        <f>(M51-$H51)/$H51</f>
        <v>-1.4462120369338684E-3</v>
      </c>
      <c r="DG51" s="12">
        <f>(N51-$H51)/$H51</f>
        <v>1.8323048431756467E-4</v>
      </c>
      <c r="DH51" s="12"/>
      <c r="DI51" s="12">
        <f>((H51-MIN(I51:N51))/(MAX(I51:N51)-MIN(I51:N51)))</f>
        <v>0.36650082918736726</v>
      </c>
      <c r="DJ51" s="13">
        <f t="shared" si="50"/>
        <v>4</v>
      </c>
      <c r="DK51" s="14">
        <f t="shared" si="51"/>
        <v>2</v>
      </c>
      <c r="DL51" s="12">
        <f t="shared" si="18"/>
        <v>2.4997873217593074E-3</v>
      </c>
      <c r="DM51" s="12">
        <f t="shared" si="19"/>
        <v>7.4600982900672281E-4</v>
      </c>
      <c r="DN51" s="12">
        <f t="shared" si="20"/>
        <v>5.3005961534697502E-4</v>
      </c>
      <c r="DO51" s="12">
        <f t="shared" si="21"/>
        <v>1.8323048431756467E-4</v>
      </c>
      <c r="DP51" s="12">
        <f t="shared" si="22"/>
        <v>-1.4265801993285213E-3</v>
      </c>
      <c r="DQ51" s="12">
        <f t="shared" si="23"/>
        <v>-1.4462120369338684E-3</v>
      </c>
      <c r="DR51" s="9"/>
      <c r="DS51" s="9" t="str">
        <f>IF(AQ51&gt;AG51,"Overbought",IF(AQ51&gt;AI51,"Bullish Momentum",IF(AQ51&gt;AK51,"Overprice Setting Up","-----")))</f>
        <v>-----</v>
      </c>
      <c r="DT51" s="9" t="str">
        <f>IF(AQ51&lt;AP51,"Oversold",IF(AQ51&lt;AN51,"Bearish Momentum",IF(AQ51&lt;AL51,"Underprice Setting Up","-----")))</f>
        <v>Underprice Setting Up</v>
      </c>
      <c r="DU51" s="9"/>
      <c r="DV51" s="12" t="str">
        <f>IF(AND(AT51&gt;AU51,AT50&gt;AU50,AT49&gt;AU49,AT48&gt;AU48,AT47&gt;AU47,AT46&gt;AU46,AT45&gt;AU45,AT44&gt;AU44,AT43&gt;AU43,AT42&gt;AU42,AT41&gt;AU41,AT40&gt;AU40),"Bullish",IF(AND(AT51&lt;AU51,AT50&lt;AU50,AT49&lt;AU49,AT48&lt;AU48,AT47&lt;AU47,AT46&lt;AU46,AT45&lt;AU45,AT44&lt;AU44,AT43&lt;AU43,AT42&lt;AU42,AT41&lt;AU41,AT40&lt;AU40),"Bearish","-----"))</f>
        <v>Bearish</v>
      </c>
      <c r="DW51" s="12"/>
      <c r="DX51" s="23">
        <f>(AR51-AT51)/AT51</f>
        <v>-1.0793978922302456E-3</v>
      </c>
      <c r="DY51" s="23">
        <f t="shared" si="52"/>
        <v>-1.8143550827389567</v>
      </c>
      <c r="DZ51" s="23" t="str">
        <f>IF(DY51&gt;PERCENTILE($DY$5:$DY$103,90%),"Reverse to Bearish",IF(DY51&gt;=PERCENTILE($DY$5:$DY$103,70%),"-----",IF(DY51&gt;=PERCENTILE($DY$5:$DY$103,30%),"-----",IF(DY51&gt;=PERCENTILE($DY$5:$DY$103,10%),"-----","Reverse to Bullish"))))</f>
        <v>Reverse to Bullish</v>
      </c>
      <c r="EA51" s="23" t="str">
        <f>IF(AQ51&gt;AR51,"Bullish","Bearish")</f>
        <v>Bullish</v>
      </c>
      <c r="EB51" s="22" t="str">
        <f>IF(AND(H51&gt;AQ51,H50&lt;AQ50),"TEMA crossover","-----")</f>
        <v>-----</v>
      </c>
      <c r="EC51" s="22" t="str">
        <f>IF(AND(H51&lt;AQ51,H50&gt;AQ50),"TEMA crossunder","-----")</f>
        <v>-----</v>
      </c>
      <c r="ED51" s="22"/>
      <c r="EE51" s="24" t="str">
        <f t="shared" si="45"/>
        <v>YES</v>
      </c>
      <c r="EF51" s="24" t="str">
        <f t="shared" si="46"/>
        <v>-----</v>
      </c>
      <c r="EG51" s="24" t="str">
        <f t="shared" si="47"/>
        <v>-----</v>
      </c>
      <c r="EH51" s="24" t="str">
        <f t="shared" si="48"/>
        <v>-----</v>
      </c>
      <c r="EI51" s="25" t="str">
        <f>IF(DV51="Bullish","YES","-----")</f>
        <v>-----</v>
      </c>
      <c r="EJ51" s="25" t="str">
        <f>IF(DZ51="Reverse to Bullish","YES","-----")</f>
        <v>YES</v>
      </c>
      <c r="EK51" s="25" t="str">
        <f>IF(AND(EA51="Bearish",EA50="Bearish",EA49="Bearish",EA48="Bearish"),"YES","-----")</f>
        <v>-----</v>
      </c>
      <c r="EL51" s="25" t="str">
        <f>IF(OR(EC51="TEMA crossover",EC50="TEMA crossover",EC49="TEMA crossover",EC48="TEMA crossover"),"YES","-----")</f>
        <v>-----</v>
      </c>
      <c r="EM51" s="24" t="str">
        <f>IF(AND(EE51="YES",EF51="YES",EG51="YES",EH51="YES"),"Open Sell / Close Buy","-----")</f>
        <v>-----</v>
      </c>
      <c r="EN51" s="25" t="str">
        <f t="shared" si="32"/>
        <v>-----</v>
      </c>
      <c r="EO51" s="23"/>
      <c r="EP51" s="9" t="str">
        <f>IF(AND(H51&gt;AV51,H51&gt;E51),"Bullish Trigger","-----")</f>
        <v>Bullish Trigger</v>
      </c>
      <c r="EQ51" s="9" t="str">
        <f>IF(AND(H51&lt;AW51,H51&lt;E51),"Bearish Trigger","-----")</f>
        <v>-----</v>
      </c>
      <c r="ER51" s="9"/>
      <c r="ES51" s="9" t="str">
        <f>IF(G51&gt;AV51,"Bullish Spike","-----")</f>
        <v>-----</v>
      </c>
      <c r="ET51" s="9" t="str">
        <f>IF(F51&lt;AW51,"Bearish Spike","-----")</f>
        <v>-----</v>
      </c>
      <c r="EU51" s="9"/>
      <c r="EV51" s="20">
        <f t="shared" si="53"/>
        <v>9.200000000001296E-2</v>
      </c>
      <c r="EW51" s="9">
        <f t="shared" si="24"/>
        <v>0.37387549016657096</v>
      </c>
      <c r="EX51" s="21" t="str">
        <f t="shared" si="25"/>
        <v>-----</v>
      </c>
      <c r="EY51" s="9"/>
    </row>
    <row r="52" spans="1:155" x14ac:dyDescent="0.55000000000000004">
      <c r="A52">
        <v>48</v>
      </c>
      <c r="B52" t="s">
        <v>51</v>
      </c>
      <c r="C52" t="s">
        <v>4</v>
      </c>
      <c r="D52" t="s">
        <v>103</v>
      </c>
      <c r="E52">
        <v>152.81299999999999</v>
      </c>
      <c r="F52">
        <v>152.82300000000001</v>
      </c>
      <c r="G52">
        <v>152.78899999999999</v>
      </c>
      <c r="H52">
        <v>152.81899999999999</v>
      </c>
      <c r="I52">
        <v>152.92400000000001</v>
      </c>
      <c r="J52">
        <v>152.89400000000001</v>
      </c>
      <c r="K52">
        <v>153.19399999999999</v>
      </c>
      <c r="L52">
        <v>152.596</v>
      </c>
      <c r="M52">
        <v>152.59200000000001</v>
      </c>
      <c r="N52">
        <v>152.84200000000001</v>
      </c>
      <c r="O52" s="16">
        <f t="shared" si="49"/>
        <v>3.4000000000020236E-2</v>
      </c>
      <c r="P52" s="16">
        <f t="shared" si="54"/>
        <v>1.0000000000019327E-2</v>
      </c>
      <c r="Q52" s="16">
        <f t="shared" si="55"/>
        <v>2.4000000000000909E-2</v>
      </c>
      <c r="R52" s="16">
        <f t="shared" si="56"/>
        <v>3.4000000000020236E-2</v>
      </c>
      <c r="S52" s="16">
        <f t="shared" si="65"/>
        <v>9.024700974498269E-2</v>
      </c>
      <c r="T52">
        <v>0</v>
      </c>
      <c r="U52">
        <v>0</v>
      </c>
      <c r="V52">
        <v>0</v>
      </c>
      <c r="W52">
        <v>0</v>
      </c>
      <c r="Y52" s="9" t="str">
        <f t="shared" si="9"/>
        <v>------</v>
      </c>
      <c r="Z52" s="9" t="str">
        <f t="shared" si="10"/>
        <v>------</v>
      </c>
      <c r="AA52" s="9"/>
      <c r="AB52">
        <v>0</v>
      </c>
      <c r="AD52" t="str">
        <f t="shared" si="58"/>
        <v/>
      </c>
      <c r="AE52">
        <v>0.95526999999999995</v>
      </c>
      <c r="AF52">
        <v>0</v>
      </c>
      <c r="AG52">
        <v>153.17936</v>
      </c>
      <c r="AH52">
        <v>153.09342000000001</v>
      </c>
      <c r="AI52">
        <v>153.00747999999999</v>
      </c>
      <c r="AJ52">
        <v>152.92153999999999</v>
      </c>
      <c r="AK52">
        <v>152.8356</v>
      </c>
      <c r="AL52">
        <v>152.74466000000001</v>
      </c>
      <c r="AM52">
        <v>152.65871999999999</v>
      </c>
      <c r="AN52">
        <v>152.57279</v>
      </c>
      <c r="AO52">
        <v>152.48685</v>
      </c>
      <c r="AP52">
        <v>152.40091000000001</v>
      </c>
      <c r="AQ52">
        <v>152.75899999999999</v>
      </c>
      <c r="AR52">
        <v>152.70400000000001</v>
      </c>
      <c r="AS52">
        <f t="shared" si="26"/>
        <v>48</v>
      </c>
      <c r="AT52">
        <v>152.85900000000001</v>
      </c>
      <c r="AU52">
        <v>153.03</v>
      </c>
      <c r="AV52">
        <v>152.78299999999999</v>
      </c>
      <c r="AW52">
        <v>152.71799999999999</v>
      </c>
      <c r="AY52" s="4">
        <f>I52*(1+$AY$2)</f>
        <v>152.94693860000001</v>
      </c>
      <c r="AZ52" s="4">
        <f>I52*(1-$AY$2)</f>
        <v>152.9010614</v>
      </c>
      <c r="BA52" s="4">
        <f>J52*(1+$AY$2)</f>
        <v>152.91693410000002</v>
      </c>
      <c r="BB52" s="4">
        <f>J52*(1-$AY$2)</f>
        <v>152.87106590000002</v>
      </c>
      <c r="BC52" s="4">
        <f>K52*(1+$AY$2)</f>
        <v>153.2169791</v>
      </c>
      <c r="BD52" s="4">
        <f>K52*(1-$AY$2)</f>
        <v>153.1710209</v>
      </c>
      <c r="BE52" s="4">
        <f>L52*(1+$AY$2)</f>
        <v>152.61888940000003</v>
      </c>
      <c r="BF52" s="4">
        <f>L52*(1-$AY$2)</f>
        <v>152.57311060000001</v>
      </c>
      <c r="BG52" s="4">
        <f>M52*(1+$AY$2)</f>
        <v>152.61488880000002</v>
      </c>
      <c r="BH52" s="4">
        <f>M52*(1-$AY$2)</f>
        <v>152.56911120000001</v>
      </c>
      <c r="BI52" s="4">
        <f>N52*(1+$AY$2)</f>
        <v>152.86492630000004</v>
      </c>
      <c r="BJ52" s="4">
        <f>N52*(1-$AY$2)</f>
        <v>152.81907370000002</v>
      </c>
      <c r="BK52" s="30">
        <f t="shared" si="27"/>
        <v>48</v>
      </c>
      <c r="BL52" s="15" t="str">
        <f t="shared" si="11"/>
        <v>-----</v>
      </c>
      <c r="BM52" s="15" t="str">
        <f t="shared" si="12"/>
        <v>-----</v>
      </c>
      <c r="BN52" s="15" t="str">
        <f t="shared" si="13"/>
        <v>-----</v>
      </c>
      <c r="BO52" s="15" t="str">
        <f t="shared" si="14"/>
        <v>-----</v>
      </c>
      <c r="BP52" s="15" t="str">
        <f t="shared" si="15"/>
        <v>-----</v>
      </c>
      <c r="BQ52" s="15" t="str">
        <f t="shared" si="16"/>
        <v>-----</v>
      </c>
      <c r="BR52" s="22"/>
      <c r="BS52" s="9">
        <f t="shared" si="57"/>
        <v>-2.423265306122455E-3</v>
      </c>
      <c r="BT52" s="9">
        <f>SLOPE(J$5:J$103,$A$5:$A$103)</f>
        <v>-3.7194805194805478E-4</v>
      </c>
      <c r="BU52" s="9">
        <f>SLOPE(K$5:K$103,$A$5:$A$103)</f>
        <v>-1.6402721088435472E-3</v>
      </c>
      <c r="BV52" s="9">
        <f>SLOPE(L$5:L$103,$A$5:$A$103)</f>
        <v>7.6471243042669956E-4</v>
      </c>
      <c r="BW52" s="9">
        <f>SLOPE(M$5:M$103,$A$5:$A$103)</f>
        <v>-2.3081014223875058E-4</v>
      </c>
      <c r="BX52" s="9">
        <f>SLOPE(N$5:N$103,$A$5:$A$103)</f>
        <v>1.5802844774273381E-3</v>
      </c>
      <c r="BY52"/>
      <c r="BZ52" s="9">
        <f t="shared" si="59"/>
        <v>-1.9079214597220278</v>
      </c>
      <c r="CA52" s="9">
        <f t="shared" si="60"/>
        <v>-0.29295343676527091</v>
      </c>
      <c r="CB52" s="9">
        <f t="shared" si="61"/>
        <v>-1.2917022253843653</v>
      </c>
      <c r="CC52" s="9">
        <f t="shared" si="62"/>
        <v>0.60228527619529781</v>
      </c>
      <c r="CD52" s="9">
        <f t="shared" si="63"/>
        <v>-0.18179147971962978</v>
      </c>
      <c r="CE52" s="9">
        <f t="shared" si="64"/>
        <v>1.2444775446344229</v>
      </c>
      <c r="CF52"/>
      <c r="CG52" s="18" t="str" cm="1">
        <f t="array" ref="CG52">_xlfn.IFS(BZ52&gt;3,"Strong + Slope",BZ52&gt;1.5,"Moderate + Slope",BZ52&gt;0.5,"Sideway + Slope",BZ52&gt;=-0.5,"Sideway Flat",BZ52&gt;=-1.5,"Sideway - Slope",BZ52&gt;=-3,"Moderate - Slope",TRUE,"Strong - Slope")</f>
        <v>Moderate - Slope</v>
      </c>
      <c r="CH52" s="18" t="str" cm="1">
        <f t="array" ref="CH52">_xlfn.IFS(CA52&gt;3,"Strong + Slope",CA52&gt;1.5,"Moderate + Slope",CA52&gt;0.5,"Sideway + Slope",CA52&gt;=-0.5,"Sideway Flat",CA52&gt;=-1.5,"Sideway - Slope",CA52&gt;=-3,"Moderate - Slope",TRUE,"Strong - Slope")</f>
        <v>Sideway Flat</v>
      </c>
      <c r="CI52" s="18" t="str" cm="1">
        <f t="array" ref="CI52">_xlfn.IFS(CB52&gt;3,"Strong + Slope",CB52&gt;1.5,"Moderate + Slope",CB52&gt;0.5,"Sideway + Slope",CB52&gt;=-0.5,"Sideway Flat",CB52&gt;=-1.5,"Sideway - Slope",CB52&gt;=-3,"Moderate - Slope",TRUE,"Strong - Slope")</f>
        <v>Sideway - Slope</v>
      </c>
      <c r="CJ52" s="18" t="str" cm="1">
        <f t="array" ref="CJ52">_xlfn.IFS(CC52&gt;3,"Strong + Slope",CC52&gt;1.5,"Moderate + Slope",CC52&gt;0.5,"Sideway + Slope",CC52&gt;=-0.5,"Sideway Flat",CC52&gt;=-1.5,"Sideway - Slope",CC52&gt;=-3,"Moderate - Slope",TRUE,"Strong - Slope")</f>
        <v>Sideway + Slope</v>
      </c>
      <c r="CK52" s="18" t="str" cm="1">
        <f t="array" ref="CK52">_xlfn.IFS(CD52&gt;3,"Strong + Slope",CD52&gt;1.5,"Moderate + Slope",CD52&gt;0.5,"Sideway + Slope",CD52&gt;=-0.5,"Sideway Flat",CD52&gt;=-1.5,"Sideway - Slope",CD52&gt;=-3,"Moderate - Slope",TRUE,"Strong - Slope")</f>
        <v>Sideway Flat</v>
      </c>
      <c r="CL52" s="18" t="str" cm="1">
        <f t="array" ref="CL52">_xlfn.IFS(CE52&gt;3,"Strong + Slope",CE52&gt;1.5,"Moderate + Slope",CE52&gt;0.5,"Sideway + Slope",CE52&gt;=-0.5,"Sideway Flat",CE52&gt;=-1.5,"Sideway - Slope",CE52&gt;=-3,"Moderate - Slope",TRUE,"Strong - Slope")</f>
        <v>Sideway + Slope</v>
      </c>
      <c r="CM52" s="9"/>
      <c r="CN52" s="9">
        <f>RANK(I52,$I52:$N52,0)</f>
        <v>2</v>
      </c>
      <c r="CO52" s="9">
        <f>RANK(J52,$I52:$N52,0)</f>
        <v>3</v>
      </c>
      <c r="CP52" s="9">
        <f>RANK(K52,$I52:$N52,0)</f>
        <v>1</v>
      </c>
      <c r="CQ52" s="9">
        <f>RANK(L52,$I52:$N52,0)</f>
        <v>5</v>
      </c>
      <c r="CR52" s="9">
        <f>RANK(M52,$I52:$N52,0)</f>
        <v>6</v>
      </c>
      <c r="CS52" s="9">
        <f>RANK(N52,$I52:$N52,0)</f>
        <v>4</v>
      </c>
      <c r="CT52" s="9"/>
      <c r="CU52" s="9" t="str">
        <f>IF($H52&gt;I52,"SUP","RES")</f>
        <v>RES</v>
      </c>
      <c r="CV52" s="9" t="str">
        <f>IF($H52&gt;J52,"SUP","RES")</f>
        <v>RES</v>
      </c>
      <c r="CW52" s="9" t="str">
        <f>IF($H52&gt;K52,"SUP","RES")</f>
        <v>RES</v>
      </c>
      <c r="CX52" s="9" t="str">
        <f>IF($H52&gt;L52,"SUP","RES")</f>
        <v>SUP</v>
      </c>
      <c r="CY52" s="9" t="str">
        <f>IF($H52&gt;M52,"SUP","RES")</f>
        <v>SUP</v>
      </c>
      <c r="CZ52" s="9" t="str">
        <f>IF($H52&gt;N52,"SUP","RES")</f>
        <v>RES</v>
      </c>
      <c r="DA52" s="9"/>
      <c r="DB52" s="12">
        <f>(I52-$H52)/$H52</f>
        <v>6.8708733861639064E-4</v>
      </c>
      <c r="DC52" s="12">
        <f>(J52-$H52)/$H52</f>
        <v>4.9077667044030555E-4</v>
      </c>
      <c r="DD52" s="12">
        <f>(K52-$H52)/$H52</f>
        <v>2.4538833522009698E-3</v>
      </c>
      <c r="DE52" s="12">
        <f>(L52-$H52)/$H52</f>
        <v>-1.4592426334420771E-3</v>
      </c>
      <c r="DF52" s="12">
        <f>(M52-$H52)/$H52</f>
        <v>-1.4854173891988265E-3</v>
      </c>
      <c r="DG52" s="12">
        <f>(N52-$H52)/$H52</f>
        <v>1.5050484560182018E-4</v>
      </c>
      <c r="DH52" s="12"/>
      <c r="DI52" s="12">
        <f>((H52-MIN(I52:N52))/(MAX(I52:N52)-MIN(I52:N52)))</f>
        <v>0.37707641196010749</v>
      </c>
      <c r="DJ52" s="13">
        <f t="shared" si="50"/>
        <v>4</v>
      </c>
      <c r="DK52" s="14">
        <f t="shared" si="51"/>
        <v>2</v>
      </c>
      <c r="DL52" s="12">
        <f t="shared" si="18"/>
        <v>2.4538833522009698E-3</v>
      </c>
      <c r="DM52" s="12">
        <f t="shared" si="19"/>
        <v>6.8708733861639064E-4</v>
      </c>
      <c r="DN52" s="12">
        <f t="shared" si="20"/>
        <v>4.9077667044030555E-4</v>
      </c>
      <c r="DO52" s="12">
        <f t="shared" si="21"/>
        <v>1.5050484560182018E-4</v>
      </c>
      <c r="DP52" s="12">
        <f t="shared" si="22"/>
        <v>-1.4592426334420771E-3</v>
      </c>
      <c r="DQ52" s="12">
        <f t="shared" si="23"/>
        <v>-1.4854173891988265E-3</v>
      </c>
      <c r="DR52" s="9"/>
      <c r="DS52" s="9" t="str">
        <f>IF(AQ52&gt;AG52,"Overbought",IF(AQ52&gt;AI52,"Bullish Momentum",IF(AQ52&gt;AK52,"Overprice Setting Up","-----")))</f>
        <v>-----</v>
      </c>
      <c r="DT52" s="9" t="str">
        <f>IF(AQ52&lt;AP52,"Oversold",IF(AQ52&lt;AN52,"Bearish Momentum",IF(AQ52&lt;AL52,"Underprice Setting Up","-----")))</f>
        <v>-----</v>
      </c>
      <c r="DU52" s="9"/>
      <c r="DV52" s="12" t="str">
        <f>IF(AND(AT52&gt;AU52,AT51&gt;AU51,AT50&gt;AU50,AT49&gt;AU49,AT48&gt;AU48,AT47&gt;AU47,AT46&gt;AU46,AT45&gt;AU45,AT44&gt;AU44,AT43&gt;AU43,AT42&gt;AU42,AT41&gt;AU41),"Bullish",IF(AND(AT52&lt;AU52,AT51&lt;AU51,AT50&lt;AU50,AT49&lt;AU49,AT48&lt;AU48,AT47&lt;AU47,AT46&lt;AU46,AT45&lt;AU45,AT44&lt;AU44,AT43&lt;AU43,AT42&lt;AU42,AT41&lt;AU41),"Bearish","-----"))</f>
        <v>Bearish</v>
      </c>
      <c r="DW52" s="12"/>
      <c r="DX52" s="23">
        <f>(AR52-AT52)/AT52</f>
        <v>-1.0140063718852088E-3</v>
      </c>
      <c r="DY52" s="23">
        <f t="shared" si="52"/>
        <v>-1.6257624868896572</v>
      </c>
      <c r="DZ52" s="23" t="str">
        <f>IF(DY52&gt;PERCENTILE($DY$5:$DY$103,90%),"Reverse to Bearish",IF(DY52&gt;=PERCENTILE($DY$5:$DY$103,70%),"-----",IF(DY52&gt;=PERCENTILE($DY$5:$DY$103,30%),"-----",IF(DY52&gt;=PERCENTILE($DY$5:$DY$103,10%),"-----","Reverse to Bullish"))))</f>
        <v>Reverse to Bullish</v>
      </c>
      <c r="EA52" s="23" t="str">
        <f>IF(AQ52&gt;AR52,"Bullish","Bearish")</f>
        <v>Bullish</v>
      </c>
      <c r="EB52" s="22" t="str">
        <f>IF(AND(H52&gt;AQ52,H51&lt;AQ51),"TEMA crossover","-----")</f>
        <v>-----</v>
      </c>
      <c r="EC52" s="22" t="str">
        <f>IF(AND(H52&lt;AQ52,H51&gt;AQ51),"TEMA crossunder","-----")</f>
        <v>-----</v>
      </c>
      <c r="ED52" s="22"/>
      <c r="EE52" s="24" t="str">
        <f t="shared" si="45"/>
        <v>YES</v>
      </c>
      <c r="EF52" s="24" t="str">
        <f t="shared" si="46"/>
        <v>-----</v>
      </c>
      <c r="EG52" s="24" t="str">
        <f t="shared" si="47"/>
        <v>-----</v>
      </c>
      <c r="EH52" s="24" t="str">
        <f t="shared" si="48"/>
        <v>-----</v>
      </c>
      <c r="EI52" s="25" t="str">
        <f>IF(DV52="Bullish","YES","-----")</f>
        <v>-----</v>
      </c>
      <c r="EJ52" s="25" t="str">
        <f>IF(DZ52="Reverse to Bullish","YES","-----")</f>
        <v>YES</v>
      </c>
      <c r="EK52" s="25" t="str">
        <f>IF(AND(EA52="Bearish",EA51="Bearish",EA50="Bearish",EA49="Bearish"),"YES","-----")</f>
        <v>-----</v>
      </c>
      <c r="EL52" s="25" t="str">
        <f>IF(OR(EC52="TEMA crossover",EC51="TEMA crossover",EC50="TEMA crossover",EC49="TEMA crossover"),"YES","-----")</f>
        <v>-----</v>
      </c>
      <c r="EM52" s="24" t="str">
        <f>IF(AND(EE52="YES",EF52="YES",EG52="YES",EH52="YES"),"Open Sell / Close Buy","-----")</f>
        <v>-----</v>
      </c>
      <c r="EN52" s="25" t="str">
        <f t="shared" si="32"/>
        <v>-----</v>
      </c>
      <c r="EO52" s="23"/>
      <c r="EP52" s="9" t="str">
        <f>IF(AND(H52&gt;AV52,H52&gt;E52),"Bullish Trigger","-----")</f>
        <v>Bullish Trigger</v>
      </c>
      <c r="EQ52" s="9" t="str">
        <f>IF(AND(H52&lt;AW52,H52&lt;E52),"Bearish Trigger","-----")</f>
        <v>-----</v>
      </c>
      <c r="ER52" s="9"/>
      <c r="ES52" s="9" t="str">
        <f>IF(G52&gt;AV52,"Bullish Spike","-----")</f>
        <v>Bullish Spike</v>
      </c>
      <c r="ET52" s="9" t="str">
        <f>IF(F52&lt;AW52,"Bearish Spike","-----")</f>
        <v>-----</v>
      </c>
      <c r="EU52" s="9"/>
      <c r="EV52" s="20">
        <f t="shared" si="53"/>
        <v>6.4999999999997726E-2</v>
      </c>
      <c r="EW52" s="9">
        <f t="shared" si="24"/>
        <v>-0.24839672976813609</v>
      </c>
      <c r="EX52" s="21" t="str">
        <f t="shared" si="25"/>
        <v>-----</v>
      </c>
      <c r="EY52" s="9"/>
    </row>
    <row r="53" spans="1:155" x14ac:dyDescent="0.55000000000000004">
      <c r="A53">
        <v>49</v>
      </c>
      <c r="B53" t="s">
        <v>52</v>
      </c>
      <c r="C53" t="s">
        <v>4</v>
      </c>
      <c r="D53" t="s">
        <v>103</v>
      </c>
      <c r="E53">
        <v>152.81899999999999</v>
      </c>
      <c r="F53">
        <v>152.87100000000001</v>
      </c>
      <c r="G53">
        <v>152.798</v>
      </c>
      <c r="H53">
        <v>152.816</v>
      </c>
      <c r="I53">
        <v>152.922</v>
      </c>
      <c r="J53">
        <v>152.893</v>
      </c>
      <c r="K53">
        <v>153.19200000000001</v>
      </c>
      <c r="L53">
        <v>152.59700000000001</v>
      </c>
      <c r="M53">
        <v>152.59200000000001</v>
      </c>
      <c r="N53">
        <v>152.84399999999999</v>
      </c>
      <c r="O53" s="16">
        <f t="shared" si="49"/>
        <v>7.3000000000007503E-2</v>
      </c>
      <c r="P53" s="16">
        <f t="shared" si="54"/>
        <v>5.2000000000020918E-2</v>
      </c>
      <c r="Q53" s="16">
        <f t="shared" si="55"/>
        <v>2.0999999999986585E-2</v>
      </c>
      <c r="R53" s="16">
        <f t="shared" si="56"/>
        <v>7.3000000000007503E-2</v>
      </c>
      <c r="S53" s="16">
        <f t="shared" si="65"/>
        <v>8.9015080477484451E-2</v>
      </c>
      <c r="T53">
        <v>0</v>
      </c>
      <c r="U53">
        <v>0</v>
      </c>
      <c r="V53">
        <v>0</v>
      </c>
      <c r="W53">
        <v>0</v>
      </c>
      <c r="Y53" s="9" t="str">
        <f t="shared" si="9"/>
        <v>------</v>
      </c>
      <c r="Z53" s="9" t="str">
        <f t="shared" si="10"/>
        <v>------</v>
      </c>
      <c r="AA53" s="9"/>
      <c r="AB53">
        <v>0</v>
      </c>
      <c r="AD53" t="str">
        <f t="shared" si="58"/>
        <v/>
      </c>
      <c r="AE53">
        <v>1.0214700000000001</v>
      </c>
      <c r="AF53">
        <v>3</v>
      </c>
      <c r="AG53">
        <v>153.16906</v>
      </c>
      <c r="AH53">
        <v>153.08312000000001</v>
      </c>
      <c r="AI53">
        <v>152.99718999999999</v>
      </c>
      <c r="AJ53">
        <v>152.91125</v>
      </c>
      <c r="AK53">
        <v>152.82531</v>
      </c>
      <c r="AL53">
        <v>152.73636999999999</v>
      </c>
      <c r="AM53">
        <v>152.65044</v>
      </c>
      <c r="AN53">
        <v>152.56450000000001</v>
      </c>
      <c r="AO53">
        <v>152.47855999999999</v>
      </c>
      <c r="AP53">
        <v>152.39261999999999</v>
      </c>
      <c r="AQ53">
        <v>152.797</v>
      </c>
      <c r="AR53">
        <v>152.71700000000001</v>
      </c>
      <c r="AS53">
        <f t="shared" si="26"/>
        <v>49</v>
      </c>
      <c r="AT53">
        <v>152.857</v>
      </c>
      <c r="AU53">
        <v>153.024</v>
      </c>
      <c r="AV53">
        <v>152.828</v>
      </c>
      <c r="AW53">
        <v>152.761</v>
      </c>
      <c r="AY53" s="4">
        <f>I53*(1+$AY$2)</f>
        <v>152.94493830000002</v>
      </c>
      <c r="AZ53" s="4">
        <f>I53*(1-$AY$2)</f>
        <v>152.8990617</v>
      </c>
      <c r="BA53" s="4">
        <f>J53*(1+$AY$2)</f>
        <v>152.91593395000001</v>
      </c>
      <c r="BB53" s="4">
        <f>J53*(1-$AY$2)</f>
        <v>152.87006604999999</v>
      </c>
      <c r="BC53" s="4">
        <f>K53*(1+$AY$2)</f>
        <v>153.21497880000001</v>
      </c>
      <c r="BD53" s="4">
        <f>K53*(1-$AY$2)</f>
        <v>153.1690212</v>
      </c>
      <c r="BE53" s="4">
        <f>L53*(1+$AY$2)</f>
        <v>152.61988955000001</v>
      </c>
      <c r="BF53" s="4">
        <f>L53*(1-$AY$2)</f>
        <v>152.57411045000001</v>
      </c>
      <c r="BG53" s="4">
        <f>M53*(1+$AY$2)</f>
        <v>152.61488880000002</v>
      </c>
      <c r="BH53" s="4">
        <f>M53*(1-$AY$2)</f>
        <v>152.56911120000001</v>
      </c>
      <c r="BI53" s="4">
        <f>N53*(1+$AY$2)</f>
        <v>152.8669266</v>
      </c>
      <c r="BJ53" s="4">
        <f>N53*(1-$AY$2)</f>
        <v>152.82107339999999</v>
      </c>
      <c r="BK53" s="30">
        <f t="shared" si="27"/>
        <v>49</v>
      </c>
      <c r="BL53" s="15" t="str">
        <f t="shared" si="11"/>
        <v>-----</v>
      </c>
      <c r="BM53" s="15" t="str">
        <f t="shared" si="12"/>
        <v>-----</v>
      </c>
      <c r="BN53" s="15" t="str">
        <f t="shared" si="13"/>
        <v>-----</v>
      </c>
      <c r="BO53" s="15" t="str">
        <f t="shared" si="14"/>
        <v>-----</v>
      </c>
      <c r="BP53" s="15" t="str">
        <f t="shared" si="15"/>
        <v>-----</v>
      </c>
      <c r="BQ53" s="15" t="str">
        <f t="shared" si="16"/>
        <v>-----</v>
      </c>
      <c r="BR53" s="22"/>
      <c r="BS53" s="9">
        <f t="shared" si="57"/>
        <v>-2.423265306122455E-3</v>
      </c>
      <c r="BT53" s="9">
        <f>SLOPE(J$5:J$103,$A$5:$A$103)</f>
        <v>-3.7194805194805478E-4</v>
      </c>
      <c r="BU53" s="9">
        <f>SLOPE(K$5:K$103,$A$5:$A$103)</f>
        <v>-1.6402721088435472E-3</v>
      </c>
      <c r="BV53" s="9">
        <f>SLOPE(L$5:L$103,$A$5:$A$103)</f>
        <v>7.6471243042669956E-4</v>
      </c>
      <c r="BW53" s="9">
        <f>SLOPE(M$5:M$103,$A$5:$A$103)</f>
        <v>-2.3081014223875058E-4</v>
      </c>
      <c r="BX53" s="9">
        <f>SLOPE(N$5:N$103,$A$5:$A$103)</f>
        <v>1.5802844774273381E-3</v>
      </c>
      <c r="BY53"/>
      <c r="BZ53" s="9">
        <f t="shared" si="59"/>
        <v>-1.9079214597220278</v>
      </c>
      <c r="CA53" s="9">
        <f t="shared" si="60"/>
        <v>-0.29295343676527091</v>
      </c>
      <c r="CB53" s="9">
        <f t="shared" si="61"/>
        <v>-1.2917022253843653</v>
      </c>
      <c r="CC53" s="9">
        <f t="shared" si="62"/>
        <v>0.60228527619529781</v>
      </c>
      <c r="CD53" s="9">
        <f t="shared" si="63"/>
        <v>-0.18179147971962978</v>
      </c>
      <c r="CE53" s="9">
        <f t="shared" si="64"/>
        <v>1.2444775446344229</v>
      </c>
      <c r="CF53"/>
      <c r="CG53" s="18" t="str" cm="1">
        <f t="array" ref="CG53">_xlfn.IFS(BZ53&gt;3,"Strong + Slope",BZ53&gt;1.5,"Moderate + Slope",BZ53&gt;0.5,"Sideway + Slope",BZ53&gt;=-0.5,"Sideway Flat",BZ53&gt;=-1.5,"Sideway - Slope",BZ53&gt;=-3,"Moderate - Slope",TRUE,"Strong - Slope")</f>
        <v>Moderate - Slope</v>
      </c>
      <c r="CH53" s="18" t="str" cm="1">
        <f t="array" ref="CH53">_xlfn.IFS(CA53&gt;3,"Strong + Slope",CA53&gt;1.5,"Moderate + Slope",CA53&gt;0.5,"Sideway + Slope",CA53&gt;=-0.5,"Sideway Flat",CA53&gt;=-1.5,"Sideway - Slope",CA53&gt;=-3,"Moderate - Slope",TRUE,"Strong - Slope")</f>
        <v>Sideway Flat</v>
      </c>
      <c r="CI53" s="18" t="str" cm="1">
        <f t="array" ref="CI53">_xlfn.IFS(CB53&gt;3,"Strong + Slope",CB53&gt;1.5,"Moderate + Slope",CB53&gt;0.5,"Sideway + Slope",CB53&gt;=-0.5,"Sideway Flat",CB53&gt;=-1.5,"Sideway - Slope",CB53&gt;=-3,"Moderate - Slope",TRUE,"Strong - Slope")</f>
        <v>Sideway - Slope</v>
      </c>
      <c r="CJ53" s="18" t="str" cm="1">
        <f t="array" ref="CJ53">_xlfn.IFS(CC53&gt;3,"Strong + Slope",CC53&gt;1.5,"Moderate + Slope",CC53&gt;0.5,"Sideway + Slope",CC53&gt;=-0.5,"Sideway Flat",CC53&gt;=-1.5,"Sideway - Slope",CC53&gt;=-3,"Moderate - Slope",TRUE,"Strong - Slope")</f>
        <v>Sideway + Slope</v>
      </c>
      <c r="CK53" s="18" t="str" cm="1">
        <f t="array" ref="CK53">_xlfn.IFS(CD53&gt;3,"Strong + Slope",CD53&gt;1.5,"Moderate + Slope",CD53&gt;0.5,"Sideway + Slope",CD53&gt;=-0.5,"Sideway Flat",CD53&gt;=-1.5,"Sideway - Slope",CD53&gt;=-3,"Moderate - Slope",TRUE,"Strong - Slope")</f>
        <v>Sideway Flat</v>
      </c>
      <c r="CL53" s="18" t="str" cm="1">
        <f t="array" ref="CL53">_xlfn.IFS(CE53&gt;3,"Strong + Slope",CE53&gt;1.5,"Moderate + Slope",CE53&gt;0.5,"Sideway + Slope",CE53&gt;=-0.5,"Sideway Flat",CE53&gt;=-1.5,"Sideway - Slope",CE53&gt;=-3,"Moderate - Slope",TRUE,"Strong - Slope")</f>
        <v>Sideway + Slope</v>
      </c>
      <c r="CM53" s="9"/>
      <c r="CN53" s="9">
        <f>RANK(I53,$I53:$N53,0)</f>
        <v>2</v>
      </c>
      <c r="CO53" s="9">
        <f>RANK(J53,$I53:$N53,0)</f>
        <v>3</v>
      </c>
      <c r="CP53" s="9">
        <f>RANK(K53,$I53:$N53,0)</f>
        <v>1</v>
      </c>
      <c r="CQ53" s="9">
        <f>RANK(L53,$I53:$N53,0)</f>
        <v>5</v>
      </c>
      <c r="CR53" s="9">
        <f>RANK(M53,$I53:$N53,0)</f>
        <v>6</v>
      </c>
      <c r="CS53" s="9">
        <f>RANK(N53,$I53:$N53,0)</f>
        <v>4</v>
      </c>
      <c r="CT53" s="9"/>
      <c r="CU53" s="9" t="str">
        <f>IF($H53&gt;I53,"SUP","RES")</f>
        <v>RES</v>
      </c>
      <c r="CV53" s="9" t="str">
        <f>IF($H53&gt;J53,"SUP","RES")</f>
        <v>RES</v>
      </c>
      <c r="CW53" s="9" t="str">
        <f>IF($H53&gt;K53,"SUP","RES")</f>
        <v>RES</v>
      </c>
      <c r="CX53" s="9" t="str">
        <f>IF($H53&gt;L53,"SUP","RES")</f>
        <v>SUP</v>
      </c>
      <c r="CY53" s="9" t="str">
        <f>IF($H53&gt;M53,"SUP","RES")</f>
        <v>SUP</v>
      </c>
      <c r="CZ53" s="9" t="str">
        <f>IF($H53&gt;N53,"SUP","RES")</f>
        <v>RES</v>
      </c>
      <c r="DA53" s="9"/>
      <c r="DB53" s="12">
        <f>(I53-$H53)/$H53</f>
        <v>6.9364464453980303E-4</v>
      </c>
      <c r="DC53" s="12">
        <f>(J53-$H53)/$H53</f>
        <v>5.0387393990156907E-4</v>
      </c>
      <c r="DD53" s="12">
        <f>(K53-$H53)/$H53</f>
        <v>2.4604753428960628E-3</v>
      </c>
      <c r="DE53" s="12">
        <f>(L53-$H53)/$H53</f>
        <v>-1.4330960108888734E-3</v>
      </c>
      <c r="DF53" s="12">
        <f>(M53-$H53)/$H53</f>
        <v>-1.4658150978954399E-3</v>
      </c>
      <c r="DG53" s="12">
        <f>(N53-$H53)/$H53</f>
        <v>1.8322688723688347E-4</v>
      </c>
      <c r="DH53" s="12"/>
      <c r="DI53" s="12">
        <f>((H53-MIN(I53:N53))/(MAX(I53:N53)-MIN(I53:N53)))</f>
        <v>0.37333333333331942</v>
      </c>
      <c r="DJ53" s="13">
        <f t="shared" si="50"/>
        <v>4</v>
      </c>
      <c r="DK53" s="14">
        <f t="shared" si="51"/>
        <v>2</v>
      </c>
      <c r="DL53" s="12">
        <f t="shared" si="18"/>
        <v>2.4604753428960628E-3</v>
      </c>
      <c r="DM53" s="12">
        <f t="shared" si="19"/>
        <v>6.9364464453980303E-4</v>
      </c>
      <c r="DN53" s="12">
        <f t="shared" si="20"/>
        <v>5.0387393990156907E-4</v>
      </c>
      <c r="DO53" s="12">
        <f t="shared" si="21"/>
        <v>1.8322688723688347E-4</v>
      </c>
      <c r="DP53" s="12">
        <f t="shared" si="22"/>
        <v>-1.4330960108888734E-3</v>
      </c>
      <c r="DQ53" s="12">
        <f t="shared" si="23"/>
        <v>-1.4658150978954399E-3</v>
      </c>
      <c r="DR53" s="9"/>
      <c r="DS53" s="9" t="str">
        <f>IF(AQ53&gt;AG53,"Overbought",IF(AQ53&gt;AI53,"Bullish Momentum",IF(AQ53&gt;AK53,"Overprice Setting Up","-----")))</f>
        <v>-----</v>
      </c>
      <c r="DT53" s="9" t="str">
        <f>IF(AQ53&lt;AP53,"Oversold",IF(AQ53&lt;AN53,"Bearish Momentum",IF(AQ53&lt;AL53,"Underprice Setting Up","-----")))</f>
        <v>-----</v>
      </c>
      <c r="DU53" s="9"/>
      <c r="DV53" s="12" t="str">
        <f>IF(AND(AT53&gt;AU53,AT52&gt;AU52,AT51&gt;AU51,AT50&gt;AU50,AT49&gt;AU49,AT48&gt;AU48,AT47&gt;AU47,AT46&gt;AU46,AT45&gt;AU45,AT44&gt;AU44,AT43&gt;AU43,AT42&gt;AU42),"Bullish",IF(AND(AT53&lt;AU53,AT52&lt;AU52,AT51&lt;AU51,AT50&lt;AU50,AT49&lt;AU49,AT48&lt;AU48,AT47&lt;AU47,AT46&lt;AU46,AT45&lt;AU45,AT44&lt;AU44,AT43&lt;AU43,AT42&lt;AU42),"Bearish","-----"))</f>
        <v>Bearish</v>
      </c>
      <c r="DW53" s="12"/>
      <c r="DX53" s="23">
        <f>(AR53-AT53)/AT53</f>
        <v>-9.1588870643795415E-4</v>
      </c>
      <c r="DY53" s="23">
        <f t="shared" si="52"/>
        <v>-1.3427859613748261</v>
      </c>
      <c r="DZ53" s="23" t="str">
        <f>IF(DY53&gt;PERCENTILE($DY$5:$DY$103,90%),"Reverse to Bearish",IF(DY53&gt;=PERCENTILE($DY$5:$DY$103,70%),"-----",IF(DY53&gt;=PERCENTILE($DY$5:$DY$103,30%),"-----",IF(DY53&gt;=PERCENTILE($DY$5:$DY$103,10%),"-----","Reverse to Bullish"))))</f>
        <v>-----</v>
      </c>
      <c r="EA53" s="23" t="str">
        <f>IF(AQ53&gt;AR53,"Bullish","Bearish")</f>
        <v>Bullish</v>
      </c>
      <c r="EB53" s="22" t="str">
        <f>IF(AND(H53&gt;AQ53,H52&lt;AQ52),"TEMA crossover","-----")</f>
        <v>-----</v>
      </c>
      <c r="EC53" s="22" t="str">
        <f>IF(AND(H53&lt;AQ53,H52&gt;AQ52),"TEMA crossunder","-----")</f>
        <v>-----</v>
      </c>
      <c r="ED53" s="22"/>
      <c r="EE53" s="24" t="str">
        <f t="shared" si="45"/>
        <v>YES</v>
      </c>
      <c r="EF53" s="24" t="str">
        <f t="shared" si="46"/>
        <v>-----</v>
      </c>
      <c r="EG53" s="24" t="str">
        <f t="shared" si="47"/>
        <v>-----</v>
      </c>
      <c r="EH53" s="24" t="str">
        <f t="shared" si="48"/>
        <v>-----</v>
      </c>
      <c r="EI53" s="25" t="str">
        <f>IF(DV53="Bullish","YES","-----")</f>
        <v>-----</v>
      </c>
      <c r="EJ53" s="25" t="str">
        <f>IF(DZ53="Reverse to Bullish","YES","-----")</f>
        <v>-----</v>
      </c>
      <c r="EK53" s="25" t="str">
        <f>IF(AND(EA53="Bearish",EA52="Bearish",EA51="Bearish",EA50="Bearish"),"YES","-----")</f>
        <v>-----</v>
      </c>
      <c r="EL53" s="25" t="str">
        <f>IF(OR(EC53="TEMA crossover",EC52="TEMA crossover",EC51="TEMA crossover",EC50="TEMA crossover"),"YES","-----")</f>
        <v>-----</v>
      </c>
      <c r="EM53" s="24" t="str">
        <f>IF(AND(EE53="YES",EF53="YES",EG53="YES",EH53="YES"),"Open Sell / Close Buy","-----")</f>
        <v>-----</v>
      </c>
      <c r="EN53" s="25" t="str">
        <f t="shared" si="32"/>
        <v>-----</v>
      </c>
      <c r="EO53" s="23"/>
      <c r="EP53" s="9" t="str">
        <f>IF(AND(H53&gt;AV53,H53&gt;E53),"Bullish Trigger","-----")</f>
        <v>-----</v>
      </c>
      <c r="EQ53" s="9" t="str">
        <f>IF(AND(H53&lt;AW53,H53&lt;E53),"Bearish Trigger","-----")</f>
        <v>-----</v>
      </c>
      <c r="ER53" s="9"/>
      <c r="ES53" s="9" t="str">
        <f>IF(G53&gt;AV53,"Bullish Spike","-----")</f>
        <v>-----</v>
      </c>
      <c r="ET53" s="9" t="str">
        <f>IF(F53&lt;AW53,"Bearish Spike","-----")</f>
        <v>-----</v>
      </c>
      <c r="EU53" s="9"/>
      <c r="EV53" s="20">
        <f t="shared" si="53"/>
        <v>6.7000000000007276E-2</v>
      </c>
      <c r="EW53" s="9">
        <f t="shared" si="24"/>
        <v>-0.20230249125426</v>
      </c>
      <c r="EX53" s="21" t="str">
        <f t="shared" si="25"/>
        <v>-----</v>
      </c>
      <c r="EY53" s="9"/>
    </row>
    <row r="54" spans="1:155" x14ac:dyDescent="0.55000000000000004">
      <c r="A54">
        <v>50</v>
      </c>
      <c r="B54" t="s">
        <v>53</v>
      </c>
      <c r="C54" t="s">
        <v>4</v>
      </c>
      <c r="D54" t="s">
        <v>103</v>
      </c>
      <c r="E54">
        <v>152.816</v>
      </c>
      <c r="F54">
        <v>152.83199999999999</v>
      </c>
      <c r="G54">
        <v>152.773</v>
      </c>
      <c r="H54">
        <v>152.82499999999999</v>
      </c>
      <c r="I54">
        <v>152.91999999999999</v>
      </c>
      <c r="J54">
        <v>152.893</v>
      </c>
      <c r="K54">
        <v>153.191</v>
      </c>
      <c r="L54">
        <v>152.59800000000001</v>
      </c>
      <c r="M54">
        <v>152.59200000000001</v>
      </c>
      <c r="N54">
        <v>152.845</v>
      </c>
      <c r="O54" s="16">
        <f t="shared" si="49"/>
        <v>5.8999999999997499E-2</v>
      </c>
      <c r="P54" s="16">
        <f t="shared" si="54"/>
        <v>1.5999999999991132E-2</v>
      </c>
      <c r="Q54" s="16">
        <f t="shared" si="55"/>
        <v>4.3000000000006366E-2</v>
      </c>
      <c r="R54" s="16">
        <f t="shared" si="56"/>
        <v>5.8999999999997499E-2</v>
      </c>
      <c r="S54" s="16">
        <f t="shared" si="65"/>
        <v>8.6871146157663962E-2</v>
      </c>
      <c r="T54">
        <v>0</v>
      </c>
      <c r="U54">
        <v>0</v>
      </c>
      <c r="V54">
        <v>0</v>
      </c>
      <c r="W54">
        <v>0</v>
      </c>
      <c r="Y54" s="9" t="str">
        <f t="shared" si="9"/>
        <v>------</v>
      </c>
      <c r="Z54" s="9" t="str">
        <f t="shared" si="10"/>
        <v>------</v>
      </c>
      <c r="AA54" s="9"/>
      <c r="AB54">
        <v>0</v>
      </c>
      <c r="AD54" t="str">
        <f t="shared" si="58"/>
        <v/>
      </c>
      <c r="AE54">
        <v>0.88370000000000004</v>
      </c>
      <c r="AF54">
        <v>0</v>
      </c>
      <c r="AG54">
        <v>153.15973</v>
      </c>
      <c r="AH54">
        <v>153.07395</v>
      </c>
      <c r="AI54">
        <v>152.98817</v>
      </c>
      <c r="AJ54">
        <v>152.90237999999999</v>
      </c>
      <c r="AK54">
        <v>152.81659999999999</v>
      </c>
      <c r="AL54">
        <v>152.72987000000001</v>
      </c>
      <c r="AM54">
        <v>152.64409000000001</v>
      </c>
      <c r="AN54">
        <v>152.5583</v>
      </c>
      <c r="AO54">
        <v>152.47252</v>
      </c>
      <c r="AP54">
        <v>152.38674</v>
      </c>
      <c r="AQ54">
        <v>152.81100000000001</v>
      </c>
      <c r="AR54">
        <v>152.73099999999999</v>
      </c>
      <c r="AS54">
        <f t="shared" si="26"/>
        <v>50</v>
      </c>
      <c r="AT54">
        <v>152.85400000000001</v>
      </c>
      <c r="AU54">
        <v>153.018</v>
      </c>
      <c r="AV54">
        <v>152.83799999999999</v>
      </c>
      <c r="AW54">
        <v>152.77600000000001</v>
      </c>
      <c r="AY54" s="4">
        <f>I54*(1+$AY$2)</f>
        <v>152.942938</v>
      </c>
      <c r="AZ54" s="4">
        <f>I54*(1-$AY$2)</f>
        <v>152.89706199999998</v>
      </c>
      <c r="BA54" s="4">
        <f>J54*(1+$AY$2)</f>
        <v>152.91593395000001</v>
      </c>
      <c r="BB54" s="4">
        <f>J54*(1-$AY$2)</f>
        <v>152.87006604999999</v>
      </c>
      <c r="BC54" s="4">
        <f>K54*(1+$AY$2)</f>
        <v>153.21397865000003</v>
      </c>
      <c r="BD54" s="4">
        <f>K54*(1-$AY$2)</f>
        <v>153.16802135</v>
      </c>
      <c r="BE54" s="4">
        <f>L54*(1+$AY$2)</f>
        <v>152.62088970000002</v>
      </c>
      <c r="BF54" s="4">
        <f>L54*(1-$AY$2)</f>
        <v>152.57511030000001</v>
      </c>
      <c r="BG54" s="4">
        <f>M54*(1+$AY$2)</f>
        <v>152.61488880000002</v>
      </c>
      <c r="BH54" s="4">
        <f>M54*(1-$AY$2)</f>
        <v>152.56911120000001</v>
      </c>
      <c r="BI54" s="4">
        <f>N54*(1+$AY$2)</f>
        <v>152.86792675000001</v>
      </c>
      <c r="BJ54" s="4">
        <f>N54*(1-$AY$2)</f>
        <v>152.82207324999999</v>
      </c>
      <c r="BK54" s="30">
        <f t="shared" si="27"/>
        <v>50</v>
      </c>
      <c r="BL54" s="15" t="str">
        <f t="shared" si="11"/>
        <v>-----</v>
      </c>
      <c r="BM54" s="15" t="str">
        <f t="shared" si="12"/>
        <v>-----</v>
      </c>
      <c r="BN54" s="15" t="str">
        <f t="shared" si="13"/>
        <v>-----</v>
      </c>
      <c r="BO54" s="15" t="str">
        <f t="shared" si="14"/>
        <v>-----</v>
      </c>
      <c r="BP54" s="15" t="str">
        <f t="shared" si="15"/>
        <v>-----</v>
      </c>
      <c r="BQ54" s="15" t="str">
        <f t="shared" si="16"/>
        <v>TOUCH</v>
      </c>
      <c r="BR54" s="22"/>
      <c r="BS54" s="9">
        <f t="shared" si="57"/>
        <v>-2.423265306122455E-3</v>
      </c>
      <c r="BT54" s="9">
        <f>SLOPE(J$5:J$103,$A$5:$A$103)</f>
        <v>-3.7194805194805478E-4</v>
      </c>
      <c r="BU54" s="9">
        <f>SLOPE(K$5:K$103,$A$5:$A$103)</f>
        <v>-1.6402721088435472E-3</v>
      </c>
      <c r="BV54" s="9">
        <f>SLOPE(L$5:L$103,$A$5:$A$103)</f>
        <v>7.6471243042669956E-4</v>
      </c>
      <c r="BW54" s="9">
        <f>SLOPE(M$5:M$103,$A$5:$A$103)</f>
        <v>-2.3081014223875058E-4</v>
      </c>
      <c r="BX54" s="9">
        <f>SLOPE(N$5:N$103,$A$5:$A$103)</f>
        <v>1.5802844774273381E-3</v>
      </c>
      <c r="BY54"/>
      <c r="BZ54" s="9">
        <f t="shared" si="59"/>
        <v>-1.9079214597220278</v>
      </c>
      <c r="CA54" s="9">
        <f t="shared" si="60"/>
        <v>-0.29295343676527091</v>
      </c>
      <c r="CB54" s="9">
        <f t="shared" si="61"/>
        <v>-1.2917022253843653</v>
      </c>
      <c r="CC54" s="9">
        <f t="shared" si="62"/>
        <v>0.60228527619529781</v>
      </c>
      <c r="CD54" s="9">
        <f t="shared" si="63"/>
        <v>-0.18179147971962978</v>
      </c>
      <c r="CE54" s="9">
        <f t="shared" si="64"/>
        <v>1.2444775446344229</v>
      </c>
      <c r="CF54"/>
      <c r="CG54" s="18" t="str" cm="1">
        <f t="array" ref="CG54">_xlfn.IFS(BZ54&gt;3,"Strong + Slope",BZ54&gt;1.5,"Moderate + Slope",BZ54&gt;0.5,"Sideway + Slope",BZ54&gt;=-0.5,"Sideway Flat",BZ54&gt;=-1.5,"Sideway - Slope",BZ54&gt;=-3,"Moderate - Slope",TRUE,"Strong - Slope")</f>
        <v>Moderate - Slope</v>
      </c>
      <c r="CH54" s="18" t="str" cm="1">
        <f t="array" ref="CH54">_xlfn.IFS(CA54&gt;3,"Strong + Slope",CA54&gt;1.5,"Moderate + Slope",CA54&gt;0.5,"Sideway + Slope",CA54&gt;=-0.5,"Sideway Flat",CA54&gt;=-1.5,"Sideway - Slope",CA54&gt;=-3,"Moderate - Slope",TRUE,"Strong - Slope")</f>
        <v>Sideway Flat</v>
      </c>
      <c r="CI54" s="18" t="str" cm="1">
        <f t="array" ref="CI54">_xlfn.IFS(CB54&gt;3,"Strong + Slope",CB54&gt;1.5,"Moderate + Slope",CB54&gt;0.5,"Sideway + Slope",CB54&gt;=-0.5,"Sideway Flat",CB54&gt;=-1.5,"Sideway - Slope",CB54&gt;=-3,"Moderate - Slope",TRUE,"Strong - Slope")</f>
        <v>Sideway - Slope</v>
      </c>
      <c r="CJ54" s="18" t="str" cm="1">
        <f t="array" ref="CJ54">_xlfn.IFS(CC54&gt;3,"Strong + Slope",CC54&gt;1.5,"Moderate + Slope",CC54&gt;0.5,"Sideway + Slope",CC54&gt;=-0.5,"Sideway Flat",CC54&gt;=-1.5,"Sideway - Slope",CC54&gt;=-3,"Moderate - Slope",TRUE,"Strong - Slope")</f>
        <v>Sideway + Slope</v>
      </c>
      <c r="CK54" s="18" t="str" cm="1">
        <f t="array" ref="CK54">_xlfn.IFS(CD54&gt;3,"Strong + Slope",CD54&gt;1.5,"Moderate + Slope",CD54&gt;0.5,"Sideway + Slope",CD54&gt;=-0.5,"Sideway Flat",CD54&gt;=-1.5,"Sideway - Slope",CD54&gt;=-3,"Moderate - Slope",TRUE,"Strong - Slope")</f>
        <v>Sideway Flat</v>
      </c>
      <c r="CL54" s="18" t="str" cm="1">
        <f t="array" ref="CL54">_xlfn.IFS(CE54&gt;3,"Strong + Slope",CE54&gt;1.5,"Moderate + Slope",CE54&gt;0.5,"Sideway + Slope",CE54&gt;=-0.5,"Sideway Flat",CE54&gt;=-1.5,"Sideway - Slope",CE54&gt;=-3,"Moderate - Slope",TRUE,"Strong - Slope")</f>
        <v>Sideway + Slope</v>
      </c>
      <c r="CM54" s="9"/>
      <c r="CN54" s="9">
        <f>RANK(I54,$I54:$N54,0)</f>
        <v>2</v>
      </c>
      <c r="CO54" s="9">
        <f>RANK(J54,$I54:$N54,0)</f>
        <v>3</v>
      </c>
      <c r="CP54" s="9">
        <f>RANK(K54,$I54:$N54,0)</f>
        <v>1</v>
      </c>
      <c r="CQ54" s="9">
        <f>RANK(L54,$I54:$N54,0)</f>
        <v>5</v>
      </c>
      <c r="CR54" s="9">
        <f>RANK(M54,$I54:$N54,0)</f>
        <v>6</v>
      </c>
      <c r="CS54" s="9">
        <f>RANK(N54,$I54:$N54,0)</f>
        <v>4</v>
      </c>
      <c r="CT54" s="9"/>
      <c r="CU54" s="9" t="str">
        <f>IF($H54&gt;I54,"SUP","RES")</f>
        <v>RES</v>
      </c>
      <c r="CV54" s="9" t="str">
        <f>IF($H54&gt;J54,"SUP","RES")</f>
        <v>RES</v>
      </c>
      <c r="CW54" s="9" t="str">
        <f>IF($H54&gt;K54,"SUP","RES")</f>
        <v>RES</v>
      </c>
      <c r="CX54" s="9" t="str">
        <f>IF($H54&gt;L54,"SUP","RES")</f>
        <v>SUP</v>
      </c>
      <c r="CY54" s="9" t="str">
        <f>IF($H54&gt;M54,"SUP","RES")</f>
        <v>SUP</v>
      </c>
      <c r="CZ54" s="9" t="str">
        <f>IF($H54&gt;N54,"SUP","RES")</f>
        <v>RES</v>
      </c>
      <c r="DA54" s="9"/>
      <c r="DB54" s="12">
        <f>(I54-$H54)/$H54</f>
        <v>6.2162604285947239E-4</v>
      </c>
      <c r="DC54" s="12">
        <f>(J54-$H54)/$H54</f>
        <v>4.4495337804686442E-4</v>
      </c>
      <c r="DD54" s="12">
        <f>(K54-$H54)/$H54</f>
        <v>2.394896123016613E-3</v>
      </c>
      <c r="DE54" s="12">
        <f>(L54-$H54)/$H54</f>
        <v>-1.4853590708324912E-3</v>
      </c>
      <c r="DF54" s="12">
        <f>(M54-$H54)/$H54</f>
        <v>-1.5246196630130913E-3</v>
      </c>
      <c r="DG54" s="12">
        <f>(N54-$H54)/$H54</f>
        <v>1.3086864060206271E-4</v>
      </c>
      <c r="DH54" s="12"/>
      <c r="DI54" s="12">
        <f>((H54-MIN(I54:N54))/(MAX(I54:N54)-MIN(I54:N54)))</f>
        <v>0.38898163606006636</v>
      </c>
      <c r="DJ54" s="13">
        <f t="shared" si="50"/>
        <v>4</v>
      </c>
      <c r="DK54" s="14">
        <f t="shared" si="51"/>
        <v>2</v>
      </c>
      <c r="DL54" s="12">
        <f t="shared" si="18"/>
        <v>2.394896123016613E-3</v>
      </c>
      <c r="DM54" s="12">
        <f t="shared" si="19"/>
        <v>6.2162604285947239E-4</v>
      </c>
      <c r="DN54" s="12">
        <f t="shared" si="20"/>
        <v>4.4495337804686442E-4</v>
      </c>
      <c r="DO54" s="12">
        <f t="shared" si="21"/>
        <v>1.3086864060206271E-4</v>
      </c>
      <c r="DP54" s="12">
        <f t="shared" si="22"/>
        <v>-1.4853590708324912E-3</v>
      </c>
      <c r="DQ54" s="12">
        <f t="shared" si="23"/>
        <v>-1.5246196630130913E-3</v>
      </c>
      <c r="DR54" s="9"/>
      <c r="DS54" s="9" t="str">
        <f>IF(AQ54&gt;AG54,"Overbought",IF(AQ54&gt;AI54,"Bullish Momentum",IF(AQ54&gt;AK54,"Overprice Setting Up","-----")))</f>
        <v>-----</v>
      </c>
      <c r="DT54" s="9" t="str">
        <f>IF(AQ54&lt;AP54,"Oversold",IF(AQ54&lt;AN54,"Bearish Momentum",IF(AQ54&lt;AL54,"Underprice Setting Up","-----")))</f>
        <v>-----</v>
      </c>
      <c r="DU54" s="9"/>
      <c r="DV54" s="12" t="str">
        <f>IF(AND(AT54&gt;AU54,AT53&gt;AU53,AT52&gt;AU52,AT51&gt;AU51,AT50&gt;AU50,AT49&gt;AU49,AT48&gt;AU48,AT47&gt;AU47,AT46&gt;AU46,AT45&gt;AU45,AT44&gt;AU44,AT43&gt;AU43),"Bullish",IF(AND(AT54&lt;AU54,AT53&lt;AU53,AT52&lt;AU52,AT51&lt;AU51,AT50&lt;AU50,AT49&lt;AU49,AT48&lt;AU48,AT47&lt;AU47,AT46&lt;AU46,AT45&lt;AU45,AT44&lt;AU44,AT43&lt;AU43),"Bearish","-----"))</f>
        <v>Bearish</v>
      </c>
      <c r="DW54" s="12"/>
      <c r="DX54" s="23">
        <f>(AR54-AT54)/AT54</f>
        <v>-8.046894422129539E-4</v>
      </c>
      <c r="DY54" s="23">
        <f t="shared" si="52"/>
        <v>-1.0220814145762489</v>
      </c>
      <c r="DZ54" s="23" t="str">
        <f>IF(DY54&gt;PERCENTILE($DY$5:$DY$103,90%),"Reverse to Bearish",IF(DY54&gt;=PERCENTILE($DY$5:$DY$103,70%),"-----",IF(DY54&gt;=PERCENTILE($DY$5:$DY$103,30%),"-----",IF(DY54&gt;=PERCENTILE($DY$5:$DY$103,10%),"-----","Reverse to Bullish"))))</f>
        <v>-----</v>
      </c>
      <c r="EA54" s="23" t="str">
        <f>IF(AQ54&gt;AR54,"Bullish","Bearish")</f>
        <v>Bullish</v>
      </c>
      <c r="EB54" s="22" t="str">
        <f>IF(AND(H54&gt;AQ54,H53&lt;AQ53),"TEMA crossover","-----")</f>
        <v>-----</v>
      </c>
      <c r="EC54" s="22" t="str">
        <f>IF(AND(H54&lt;AQ54,H53&gt;AQ53),"TEMA crossunder","-----")</f>
        <v>-----</v>
      </c>
      <c r="ED54" s="22"/>
      <c r="EE54" s="24" t="str">
        <f t="shared" si="45"/>
        <v>YES</v>
      </c>
      <c r="EF54" s="24" t="str">
        <f t="shared" si="46"/>
        <v>-----</v>
      </c>
      <c r="EG54" s="24" t="str">
        <f t="shared" si="47"/>
        <v>YES</v>
      </c>
      <c r="EH54" s="24" t="str">
        <f t="shared" si="48"/>
        <v>-----</v>
      </c>
      <c r="EI54" s="25" t="str">
        <f>IF(DV54="Bullish","YES","-----")</f>
        <v>-----</v>
      </c>
      <c r="EJ54" s="25" t="str">
        <f>IF(DZ54="Reverse to Bullish","YES","-----")</f>
        <v>-----</v>
      </c>
      <c r="EK54" s="25" t="str">
        <f>IF(AND(EA54="Bearish",EA53="Bearish",EA52="Bearish",EA51="Bearish"),"YES","-----")</f>
        <v>-----</v>
      </c>
      <c r="EL54" s="25" t="str">
        <f>IF(OR(EC54="TEMA crossover",EC53="TEMA crossover",EC52="TEMA crossover",EC51="TEMA crossover"),"YES","-----")</f>
        <v>-----</v>
      </c>
      <c r="EM54" s="24" t="str">
        <f>IF(AND(EE54="YES",EF54="YES",EG54="YES",EH54="YES"),"Open Sell / Close Buy","-----")</f>
        <v>-----</v>
      </c>
      <c r="EN54" s="25" t="str">
        <f t="shared" si="32"/>
        <v>-----</v>
      </c>
      <c r="EO54" s="23"/>
      <c r="EP54" s="9" t="str">
        <f>IF(AND(H54&gt;AV54,H54&gt;E54),"Bullish Trigger","-----")</f>
        <v>-----</v>
      </c>
      <c r="EQ54" s="9" t="str">
        <f>IF(AND(H54&lt;AW54,H54&lt;E54),"Bearish Trigger","-----")</f>
        <v>-----</v>
      </c>
      <c r="ER54" s="9"/>
      <c r="ES54" s="9" t="str">
        <f>IF(G54&gt;AV54,"Bullish Spike","-----")</f>
        <v>-----</v>
      </c>
      <c r="ET54" s="9" t="str">
        <f>IF(F54&lt;AW54,"Bearish Spike","-----")</f>
        <v>-----</v>
      </c>
      <c r="EU54" s="9"/>
      <c r="EV54" s="20">
        <f t="shared" si="53"/>
        <v>6.1999999999983402E-2</v>
      </c>
      <c r="EW54" s="9">
        <f t="shared" si="24"/>
        <v>-0.31753808753895024</v>
      </c>
      <c r="EX54" s="21" t="str">
        <f t="shared" si="25"/>
        <v>-----</v>
      </c>
      <c r="EY54" s="9"/>
    </row>
    <row r="55" spans="1:155" x14ac:dyDescent="0.55000000000000004">
      <c r="A55">
        <v>51</v>
      </c>
      <c r="B55" t="s">
        <v>54</v>
      </c>
      <c r="C55" t="s">
        <v>4</v>
      </c>
      <c r="D55" t="s">
        <v>103</v>
      </c>
      <c r="E55">
        <v>152.82499999999999</v>
      </c>
      <c r="F55">
        <v>152.833</v>
      </c>
      <c r="G55">
        <v>152.71799999999999</v>
      </c>
      <c r="H55">
        <v>152.75299999999999</v>
      </c>
      <c r="I55">
        <v>152.917</v>
      </c>
      <c r="J55">
        <v>152.892</v>
      </c>
      <c r="K55">
        <v>153.18899999999999</v>
      </c>
      <c r="L55">
        <v>152.59800000000001</v>
      </c>
      <c r="M55">
        <v>152.59100000000001</v>
      </c>
      <c r="N55">
        <v>152.84700000000001</v>
      </c>
      <c r="O55" s="16">
        <f t="shared" si="49"/>
        <v>0.11500000000000909</v>
      </c>
      <c r="P55" s="16">
        <f t="shared" si="54"/>
        <v>8.0000000000097771E-3</v>
      </c>
      <c r="Q55" s="16">
        <f t="shared" si="55"/>
        <v>0.10699999999999932</v>
      </c>
      <c r="R55" s="16">
        <f t="shared" si="56"/>
        <v>0.11500000000000909</v>
      </c>
      <c r="S55" s="16">
        <f t="shared" si="65"/>
        <v>8.8880350003545758E-2</v>
      </c>
      <c r="T55">
        <v>0</v>
      </c>
      <c r="U55">
        <v>0</v>
      </c>
      <c r="V55">
        <v>0</v>
      </c>
      <c r="W55">
        <v>0</v>
      </c>
      <c r="Y55" s="9" t="str">
        <f t="shared" si="9"/>
        <v>------</v>
      </c>
      <c r="Z55" s="9" t="str">
        <f t="shared" si="10"/>
        <v>------</v>
      </c>
      <c r="AA55" s="9"/>
      <c r="AB55">
        <v>0</v>
      </c>
      <c r="AD55" t="str">
        <f t="shared" si="58"/>
        <v/>
      </c>
      <c r="AE55">
        <v>0.54400999999999999</v>
      </c>
      <c r="AF55">
        <v>3</v>
      </c>
      <c r="AG55">
        <v>153.15314000000001</v>
      </c>
      <c r="AH55">
        <v>153.06716</v>
      </c>
      <c r="AI55">
        <v>152.98117999999999</v>
      </c>
      <c r="AJ55">
        <v>152.89520999999999</v>
      </c>
      <c r="AK55">
        <v>152.80923000000001</v>
      </c>
      <c r="AL55">
        <v>152.72338999999999</v>
      </c>
      <c r="AM55">
        <v>152.63740999999999</v>
      </c>
      <c r="AN55">
        <v>152.55144000000001</v>
      </c>
      <c r="AO55">
        <v>152.46546000000001</v>
      </c>
      <c r="AP55">
        <v>152.37949</v>
      </c>
      <c r="AQ55">
        <v>152.79900000000001</v>
      </c>
      <c r="AR55">
        <v>152.738</v>
      </c>
      <c r="AS55">
        <f t="shared" si="26"/>
        <v>51</v>
      </c>
      <c r="AT55">
        <v>152.84700000000001</v>
      </c>
      <c r="AU55">
        <v>153.012</v>
      </c>
      <c r="AV55">
        <v>152.84399999999999</v>
      </c>
      <c r="AW55">
        <v>152.75700000000001</v>
      </c>
      <c r="AY55" s="4">
        <f>I55*(1+$AY$2)</f>
        <v>152.93993755000002</v>
      </c>
      <c r="AZ55" s="4">
        <f>I55*(1-$AY$2)</f>
        <v>152.89406245000001</v>
      </c>
      <c r="BA55" s="4">
        <f>J55*(1+$AY$2)</f>
        <v>152.9149338</v>
      </c>
      <c r="BB55" s="4">
        <f>J55*(1-$AY$2)</f>
        <v>152.86906619999999</v>
      </c>
      <c r="BC55" s="4">
        <f>K55*(1+$AY$2)</f>
        <v>153.21197835000001</v>
      </c>
      <c r="BD55" s="4">
        <f>K55*(1-$AY$2)</f>
        <v>153.16602165</v>
      </c>
      <c r="BE55" s="4">
        <f>L55*(1+$AY$2)</f>
        <v>152.62088970000002</v>
      </c>
      <c r="BF55" s="4">
        <f>L55*(1-$AY$2)</f>
        <v>152.57511030000001</v>
      </c>
      <c r="BG55" s="4">
        <f>M55*(1+$AY$2)</f>
        <v>152.61388865000004</v>
      </c>
      <c r="BH55" s="4">
        <f>M55*(1-$AY$2)</f>
        <v>152.56811135000001</v>
      </c>
      <c r="BI55" s="4">
        <f>N55*(1+$AY$2)</f>
        <v>152.86992705000003</v>
      </c>
      <c r="BJ55" s="4">
        <f>N55*(1-$AY$2)</f>
        <v>152.82407295000002</v>
      </c>
      <c r="BK55" s="30">
        <f t="shared" si="27"/>
        <v>51</v>
      </c>
      <c r="BL55" s="15" t="str">
        <f t="shared" si="11"/>
        <v>-----</v>
      </c>
      <c r="BM55" s="15" t="str">
        <f t="shared" si="12"/>
        <v>-----</v>
      </c>
      <c r="BN55" s="15" t="str">
        <f t="shared" si="13"/>
        <v>-----</v>
      </c>
      <c r="BO55" s="15" t="str">
        <f t="shared" si="14"/>
        <v>-----</v>
      </c>
      <c r="BP55" s="15" t="str">
        <f t="shared" si="15"/>
        <v>-----</v>
      </c>
      <c r="BQ55" s="15" t="str">
        <f t="shared" si="16"/>
        <v>TOUCH</v>
      </c>
      <c r="BR55" s="22"/>
      <c r="BS55" s="9">
        <f t="shared" si="57"/>
        <v>-2.423265306122455E-3</v>
      </c>
      <c r="BT55" s="9">
        <f>SLOPE(J$5:J$103,$A$5:$A$103)</f>
        <v>-3.7194805194805478E-4</v>
      </c>
      <c r="BU55" s="9">
        <f>SLOPE(K$5:K$103,$A$5:$A$103)</f>
        <v>-1.6402721088435472E-3</v>
      </c>
      <c r="BV55" s="9">
        <f>SLOPE(L$5:L$103,$A$5:$A$103)</f>
        <v>7.6471243042669956E-4</v>
      </c>
      <c r="BW55" s="9">
        <f>SLOPE(M$5:M$103,$A$5:$A$103)</f>
        <v>-2.3081014223875058E-4</v>
      </c>
      <c r="BX55" s="9">
        <f>SLOPE(N$5:N$103,$A$5:$A$103)</f>
        <v>1.5802844774273381E-3</v>
      </c>
      <c r="BY55"/>
      <c r="BZ55" s="9">
        <f t="shared" si="59"/>
        <v>-1.9079214597220278</v>
      </c>
      <c r="CA55" s="9">
        <f t="shared" si="60"/>
        <v>-0.29295343676527091</v>
      </c>
      <c r="CB55" s="9">
        <f t="shared" si="61"/>
        <v>-1.2917022253843653</v>
      </c>
      <c r="CC55" s="9">
        <f t="shared" si="62"/>
        <v>0.60228527619529781</v>
      </c>
      <c r="CD55" s="9">
        <f t="shared" si="63"/>
        <v>-0.18179147971962978</v>
      </c>
      <c r="CE55" s="9">
        <f t="shared" si="64"/>
        <v>1.2444775446344229</v>
      </c>
      <c r="CF55"/>
      <c r="CG55" s="18" t="str" cm="1">
        <f t="array" ref="CG55">_xlfn.IFS(BZ55&gt;3,"Strong + Slope",BZ55&gt;1.5,"Moderate + Slope",BZ55&gt;0.5,"Sideway + Slope",BZ55&gt;=-0.5,"Sideway Flat",BZ55&gt;=-1.5,"Sideway - Slope",BZ55&gt;=-3,"Moderate - Slope",TRUE,"Strong - Slope")</f>
        <v>Moderate - Slope</v>
      </c>
      <c r="CH55" s="18" t="str" cm="1">
        <f t="array" ref="CH55">_xlfn.IFS(CA55&gt;3,"Strong + Slope",CA55&gt;1.5,"Moderate + Slope",CA55&gt;0.5,"Sideway + Slope",CA55&gt;=-0.5,"Sideway Flat",CA55&gt;=-1.5,"Sideway - Slope",CA55&gt;=-3,"Moderate - Slope",TRUE,"Strong - Slope")</f>
        <v>Sideway Flat</v>
      </c>
      <c r="CI55" s="18" t="str" cm="1">
        <f t="array" ref="CI55">_xlfn.IFS(CB55&gt;3,"Strong + Slope",CB55&gt;1.5,"Moderate + Slope",CB55&gt;0.5,"Sideway + Slope",CB55&gt;=-0.5,"Sideway Flat",CB55&gt;=-1.5,"Sideway - Slope",CB55&gt;=-3,"Moderate - Slope",TRUE,"Strong - Slope")</f>
        <v>Sideway - Slope</v>
      </c>
      <c r="CJ55" s="18" t="str" cm="1">
        <f t="array" ref="CJ55">_xlfn.IFS(CC55&gt;3,"Strong + Slope",CC55&gt;1.5,"Moderate + Slope",CC55&gt;0.5,"Sideway + Slope",CC55&gt;=-0.5,"Sideway Flat",CC55&gt;=-1.5,"Sideway - Slope",CC55&gt;=-3,"Moderate - Slope",TRUE,"Strong - Slope")</f>
        <v>Sideway + Slope</v>
      </c>
      <c r="CK55" s="18" t="str" cm="1">
        <f t="array" ref="CK55">_xlfn.IFS(CD55&gt;3,"Strong + Slope",CD55&gt;1.5,"Moderate + Slope",CD55&gt;0.5,"Sideway + Slope",CD55&gt;=-0.5,"Sideway Flat",CD55&gt;=-1.5,"Sideway - Slope",CD55&gt;=-3,"Moderate - Slope",TRUE,"Strong - Slope")</f>
        <v>Sideway Flat</v>
      </c>
      <c r="CL55" s="18" t="str" cm="1">
        <f t="array" ref="CL55">_xlfn.IFS(CE55&gt;3,"Strong + Slope",CE55&gt;1.5,"Moderate + Slope",CE55&gt;0.5,"Sideway + Slope",CE55&gt;=-0.5,"Sideway Flat",CE55&gt;=-1.5,"Sideway - Slope",CE55&gt;=-3,"Moderate - Slope",TRUE,"Strong - Slope")</f>
        <v>Sideway + Slope</v>
      </c>
      <c r="CM55" s="9"/>
      <c r="CN55" s="9">
        <f>RANK(I55,$I55:$N55,0)</f>
        <v>2</v>
      </c>
      <c r="CO55" s="9">
        <f>RANK(J55,$I55:$N55,0)</f>
        <v>3</v>
      </c>
      <c r="CP55" s="9">
        <f>RANK(K55,$I55:$N55,0)</f>
        <v>1</v>
      </c>
      <c r="CQ55" s="9">
        <f>RANK(L55,$I55:$N55,0)</f>
        <v>5</v>
      </c>
      <c r="CR55" s="9">
        <f>RANK(M55,$I55:$N55,0)</f>
        <v>6</v>
      </c>
      <c r="CS55" s="9">
        <f>RANK(N55,$I55:$N55,0)</f>
        <v>4</v>
      </c>
      <c r="CT55" s="9"/>
      <c r="CU55" s="9" t="str">
        <f>IF($H55&gt;I55,"SUP","RES")</f>
        <v>RES</v>
      </c>
      <c r="CV55" s="9" t="str">
        <f>IF($H55&gt;J55,"SUP","RES")</f>
        <v>RES</v>
      </c>
      <c r="CW55" s="9" t="str">
        <f>IF($H55&gt;K55,"SUP","RES")</f>
        <v>RES</v>
      </c>
      <c r="CX55" s="9" t="str">
        <f>IF($H55&gt;L55,"SUP","RES")</f>
        <v>SUP</v>
      </c>
      <c r="CY55" s="9" t="str">
        <f>IF($H55&gt;M55,"SUP","RES")</f>
        <v>SUP</v>
      </c>
      <c r="CZ55" s="9" t="str">
        <f>IF($H55&gt;N55,"SUP","RES")</f>
        <v>RES</v>
      </c>
      <c r="DA55" s="9"/>
      <c r="DB55" s="12">
        <f>(I55-$H55)/$H55</f>
        <v>1.0736286685041584E-3</v>
      </c>
      <c r="DC55" s="12">
        <f>(J55-$H55)/$H55</f>
        <v>9.0996576171996628E-4</v>
      </c>
      <c r="DD55" s="12">
        <f>(K55-$H55)/$H55</f>
        <v>2.8542810943157065E-3</v>
      </c>
      <c r="DE55" s="12">
        <f>(L55-$H55)/$H55</f>
        <v>-1.0147100220615813E-3</v>
      </c>
      <c r="DF55" s="12">
        <f>(M55-$H55)/$H55</f>
        <v>-1.0605356359611774E-3</v>
      </c>
      <c r="DG55" s="12">
        <f>(N55-$H55)/$H55</f>
        <v>6.1537252950856947E-4</v>
      </c>
      <c r="DH55" s="12"/>
      <c r="DI55" s="12">
        <f>((H55-MIN(I55:N55))/(MAX(I55:N55)-MIN(I55:N55)))</f>
        <v>0.27090301003341444</v>
      </c>
      <c r="DJ55" s="13">
        <f t="shared" si="50"/>
        <v>4</v>
      </c>
      <c r="DK55" s="14">
        <f t="shared" si="51"/>
        <v>2</v>
      </c>
      <c r="DL55" s="12">
        <f t="shared" si="18"/>
        <v>2.8542810943157065E-3</v>
      </c>
      <c r="DM55" s="12">
        <f t="shared" si="19"/>
        <v>1.0736286685041584E-3</v>
      </c>
      <c r="DN55" s="12">
        <f t="shared" si="20"/>
        <v>9.0996576171996628E-4</v>
      </c>
      <c r="DO55" s="12">
        <f t="shared" si="21"/>
        <v>6.1537252950856947E-4</v>
      </c>
      <c r="DP55" s="12">
        <f t="shared" si="22"/>
        <v>-1.0147100220615813E-3</v>
      </c>
      <c r="DQ55" s="12">
        <f t="shared" si="23"/>
        <v>-1.0605356359611774E-3</v>
      </c>
      <c r="DR55" s="9"/>
      <c r="DS55" s="9" t="str">
        <f>IF(AQ55&gt;AG55,"Overbought",IF(AQ55&gt;AI55,"Bullish Momentum",IF(AQ55&gt;AK55,"Overprice Setting Up","-----")))</f>
        <v>-----</v>
      </c>
      <c r="DT55" s="9" t="str">
        <f>IF(AQ55&lt;AP55,"Oversold",IF(AQ55&lt;AN55,"Bearish Momentum",IF(AQ55&lt;AL55,"Underprice Setting Up","-----")))</f>
        <v>-----</v>
      </c>
      <c r="DU55" s="9"/>
      <c r="DV55" s="12" t="str">
        <f>IF(AND(AT55&gt;AU55,AT54&gt;AU54,AT53&gt;AU53,AT52&gt;AU52,AT51&gt;AU51,AT50&gt;AU50,AT49&gt;AU49,AT48&gt;AU48,AT47&gt;AU47,AT46&gt;AU46,AT45&gt;AU45,AT44&gt;AU44),"Bullish",IF(AND(AT55&lt;AU55,AT54&lt;AU54,AT53&lt;AU53,AT52&lt;AU52,AT51&lt;AU51,AT50&lt;AU50,AT49&lt;AU49,AT48&lt;AU48,AT47&lt;AU47,AT46&lt;AU46,AT45&lt;AU45,AT44&lt;AU44),"Bearish","-----"))</f>
        <v>Bearish</v>
      </c>
      <c r="DW55" s="12"/>
      <c r="DX55" s="23">
        <f>(AR55-AT55)/AT55</f>
        <v>-7.1313143208573838E-4</v>
      </c>
      <c r="DY55" s="23">
        <f t="shared" si="52"/>
        <v>-0.75802328120393581</v>
      </c>
      <c r="DZ55" s="23" t="str">
        <f>IF(DY55&gt;PERCENTILE($DY$5:$DY$103,90%),"Reverse to Bearish",IF(DY55&gt;=PERCENTILE($DY$5:$DY$103,70%),"-----",IF(DY55&gt;=PERCENTILE($DY$5:$DY$103,30%),"-----",IF(DY55&gt;=PERCENTILE($DY$5:$DY$103,10%),"-----","Reverse to Bullish"))))</f>
        <v>-----</v>
      </c>
      <c r="EA55" s="23" t="str">
        <f>IF(AQ55&gt;AR55,"Bullish","Bearish")</f>
        <v>Bullish</v>
      </c>
      <c r="EB55" s="22" t="str">
        <f>IF(AND(H55&gt;AQ55,H54&lt;AQ54),"TEMA crossover","-----")</f>
        <v>-----</v>
      </c>
      <c r="EC55" s="22" t="str">
        <f>IF(AND(H55&lt;AQ55,H54&gt;AQ54),"TEMA crossunder","-----")</f>
        <v>TEMA crossunder</v>
      </c>
      <c r="ED55" s="22"/>
      <c r="EE55" s="24" t="str">
        <f t="shared" si="45"/>
        <v>YES</v>
      </c>
      <c r="EF55" s="24" t="str">
        <f t="shared" si="46"/>
        <v>-----</v>
      </c>
      <c r="EG55" s="24" t="str">
        <f t="shared" si="47"/>
        <v>YES</v>
      </c>
      <c r="EH55" s="24" t="str">
        <f t="shared" si="48"/>
        <v>YES</v>
      </c>
      <c r="EI55" s="25" t="str">
        <f>IF(DV55="Bullish","YES","-----")</f>
        <v>-----</v>
      </c>
      <c r="EJ55" s="25" t="str">
        <f>IF(DZ55="Reverse to Bullish","YES","-----")</f>
        <v>-----</v>
      </c>
      <c r="EK55" s="25" t="str">
        <f>IF(AND(EA55="Bearish",EA54="Bearish",EA53="Bearish",EA52="Bearish"),"YES","-----")</f>
        <v>-----</v>
      </c>
      <c r="EL55" s="25" t="str">
        <f>IF(OR(EC55="TEMA crossover",EC54="TEMA crossover",EC53="TEMA crossover",EC52="TEMA crossover"),"YES","-----")</f>
        <v>-----</v>
      </c>
      <c r="EM55" s="24" t="str">
        <f>IF(AND(EE55="YES",EF55="YES",EG55="YES",EH55="YES"),"Open Sell / Close Buy","-----")</f>
        <v>-----</v>
      </c>
      <c r="EN55" s="25" t="str">
        <f t="shared" si="32"/>
        <v>-----</v>
      </c>
      <c r="EO55" s="23"/>
      <c r="EP55" s="9" t="str">
        <f>IF(AND(H55&gt;AV55,H55&gt;E55),"Bullish Trigger","-----")</f>
        <v>-----</v>
      </c>
      <c r="EQ55" s="9" t="str">
        <f>IF(AND(H55&lt;AW55,H55&lt;E55),"Bearish Trigger","-----")</f>
        <v>Bearish Trigger</v>
      </c>
      <c r="ER55" s="9"/>
      <c r="ES55" s="9" t="str">
        <f>IF(G55&gt;AV55,"Bullish Spike","-----")</f>
        <v>-----</v>
      </c>
      <c r="ET55" s="9" t="str">
        <f>IF(F55&lt;AW55,"Bearish Spike","-----")</f>
        <v>-----</v>
      </c>
      <c r="EU55" s="9"/>
      <c r="EV55" s="20">
        <f t="shared" si="53"/>
        <v>8.6999999999989086E-2</v>
      </c>
      <c r="EW55" s="9">
        <f t="shared" si="24"/>
        <v>0.25863989388188074</v>
      </c>
      <c r="EX55" s="21" t="str">
        <f t="shared" si="25"/>
        <v>-----</v>
      </c>
      <c r="EY55" s="9"/>
    </row>
    <row r="56" spans="1:155" x14ac:dyDescent="0.55000000000000004">
      <c r="A56">
        <v>52</v>
      </c>
      <c r="B56" t="s">
        <v>55</v>
      </c>
      <c r="C56" t="s">
        <v>4</v>
      </c>
      <c r="D56" t="s">
        <v>103</v>
      </c>
      <c r="E56">
        <v>152.75299999999999</v>
      </c>
      <c r="F56">
        <v>152.827</v>
      </c>
      <c r="G56">
        <v>152.74700000000001</v>
      </c>
      <c r="H56">
        <v>152.80600000000001</v>
      </c>
      <c r="I56">
        <v>152.91499999999999</v>
      </c>
      <c r="J56">
        <v>152.892</v>
      </c>
      <c r="K56">
        <v>153.18700000000001</v>
      </c>
      <c r="L56">
        <v>152.59899999999999</v>
      </c>
      <c r="M56">
        <v>152.59100000000001</v>
      </c>
      <c r="N56">
        <v>152.84899999999999</v>
      </c>
      <c r="O56" s="16">
        <f t="shared" si="49"/>
        <v>7.9999999999984084E-2</v>
      </c>
      <c r="P56" s="16">
        <f t="shared" si="54"/>
        <v>7.4000000000012278E-2</v>
      </c>
      <c r="Q56" s="16">
        <f t="shared" si="55"/>
        <v>5.9999999999718057E-3</v>
      </c>
      <c r="R56" s="16">
        <f t="shared" si="56"/>
        <v>7.9999999999984084E-2</v>
      </c>
      <c r="S56" s="16">
        <f t="shared" si="65"/>
        <v>8.8246039289005637E-2</v>
      </c>
      <c r="T56">
        <v>0</v>
      </c>
      <c r="U56">
        <v>0</v>
      </c>
      <c r="V56">
        <v>0</v>
      </c>
      <c r="W56">
        <v>0</v>
      </c>
      <c r="Y56" s="9" t="str">
        <f t="shared" si="9"/>
        <v>------</v>
      </c>
      <c r="Z56" s="9" t="str">
        <f t="shared" si="10"/>
        <v>------</v>
      </c>
      <c r="AA56" s="9"/>
      <c r="AB56">
        <v>0</v>
      </c>
      <c r="AD56" t="str">
        <f t="shared" si="58"/>
        <v/>
      </c>
      <c r="AE56">
        <v>0.11260000000000001</v>
      </c>
      <c r="AF56">
        <v>0</v>
      </c>
      <c r="AG56">
        <v>153.14786000000001</v>
      </c>
      <c r="AH56">
        <v>153.06161</v>
      </c>
      <c r="AI56">
        <v>152.97535999999999</v>
      </c>
      <c r="AJ56">
        <v>152.88910000000001</v>
      </c>
      <c r="AK56">
        <v>152.80285000000001</v>
      </c>
      <c r="AL56">
        <v>152.71781999999999</v>
      </c>
      <c r="AM56">
        <v>152.63157000000001</v>
      </c>
      <c r="AN56">
        <v>152.54532</v>
      </c>
      <c r="AO56">
        <v>152.45907</v>
      </c>
      <c r="AP56">
        <v>152.37280999999999</v>
      </c>
      <c r="AQ56">
        <v>152.803</v>
      </c>
      <c r="AR56">
        <v>152.74600000000001</v>
      </c>
      <c r="AS56">
        <f t="shared" si="26"/>
        <v>52</v>
      </c>
      <c r="AT56">
        <v>152.84299999999999</v>
      </c>
      <c r="AU56">
        <v>153.005</v>
      </c>
      <c r="AV56">
        <v>152.84399999999999</v>
      </c>
      <c r="AW56">
        <v>152.75899999999999</v>
      </c>
      <c r="AY56" s="4">
        <f>I56*(1+$AY$2)</f>
        <v>152.93793725</v>
      </c>
      <c r="AZ56" s="4">
        <f>I56*(1-$AY$2)</f>
        <v>152.89206275000001</v>
      </c>
      <c r="BA56" s="4">
        <f>J56*(1+$AY$2)</f>
        <v>152.9149338</v>
      </c>
      <c r="BB56" s="4">
        <f>J56*(1-$AY$2)</f>
        <v>152.86906619999999</v>
      </c>
      <c r="BC56" s="4">
        <f>K56*(1+$AY$2)</f>
        <v>153.20997805000002</v>
      </c>
      <c r="BD56" s="4">
        <f>K56*(1-$AY$2)</f>
        <v>153.16402195000001</v>
      </c>
      <c r="BE56" s="4">
        <f>L56*(1+$AY$2)</f>
        <v>152.62188985</v>
      </c>
      <c r="BF56" s="4">
        <f>L56*(1-$AY$2)</f>
        <v>152.57611015000001</v>
      </c>
      <c r="BG56" s="4">
        <f>M56*(1+$AY$2)</f>
        <v>152.61388865000004</v>
      </c>
      <c r="BH56" s="4">
        <f>M56*(1-$AY$2)</f>
        <v>152.56811135000001</v>
      </c>
      <c r="BI56" s="4">
        <f>N56*(1+$AY$2)</f>
        <v>152.87192734999999</v>
      </c>
      <c r="BJ56" s="4">
        <f>N56*(1-$AY$2)</f>
        <v>152.82607264999999</v>
      </c>
      <c r="BK56" s="30">
        <f t="shared" si="27"/>
        <v>52</v>
      </c>
      <c r="BL56" s="15" t="str">
        <f t="shared" si="11"/>
        <v>-----</v>
      </c>
      <c r="BM56" s="15" t="str">
        <f t="shared" si="12"/>
        <v>-----</v>
      </c>
      <c r="BN56" s="15" t="str">
        <f t="shared" si="13"/>
        <v>-----</v>
      </c>
      <c r="BO56" s="15" t="str">
        <f t="shared" si="14"/>
        <v>-----</v>
      </c>
      <c r="BP56" s="15" t="str">
        <f t="shared" si="15"/>
        <v>-----</v>
      </c>
      <c r="BQ56" s="15" t="str">
        <f t="shared" si="16"/>
        <v>-----</v>
      </c>
      <c r="BR56" s="22"/>
      <c r="BS56" s="9">
        <f t="shared" si="57"/>
        <v>-2.423265306122455E-3</v>
      </c>
      <c r="BT56" s="9">
        <f>SLOPE(J$5:J$103,$A$5:$A$103)</f>
        <v>-3.7194805194805478E-4</v>
      </c>
      <c r="BU56" s="9">
        <f>SLOPE(K$5:K$103,$A$5:$A$103)</f>
        <v>-1.6402721088435472E-3</v>
      </c>
      <c r="BV56" s="9">
        <f>SLOPE(L$5:L$103,$A$5:$A$103)</f>
        <v>7.6471243042669956E-4</v>
      </c>
      <c r="BW56" s="9">
        <f>SLOPE(M$5:M$103,$A$5:$A$103)</f>
        <v>-2.3081014223875058E-4</v>
      </c>
      <c r="BX56" s="9">
        <f>SLOPE(N$5:N$103,$A$5:$A$103)</f>
        <v>1.5802844774273381E-3</v>
      </c>
      <c r="BY56"/>
      <c r="BZ56" s="9">
        <f t="shared" si="59"/>
        <v>-1.9079214597220278</v>
      </c>
      <c r="CA56" s="9">
        <f t="shared" si="60"/>
        <v>-0.29295343676527091</v>
      </c>
      <c r="CB56" s="9">
        <f t="shared" si="61"/>
        <v>-1.2917022253843653</v>
      </c>
      <c r="CC56" s="9">
        <f t="shared" si="62"/>
        <v>0.60228527619529781</v>
      </c>
      <c r="CD56" s="9">
        <f t="shared" si="63"/>
        <v>-0.18179147971962978</v>
      </c>
      <c r="CE56" s="9">
        <f t="shared" si="64"/>
        <v>1.2444775446344229</v>
      </c>
      <c r="CF56"/>
      <c r="CG56" s="18" t="str" cm="1">
        <f t="array" ref="CG56">_xlfn.IFS(BZ56&gt;3,"Strong + Slope",BZ56&gt;1.5,"Moderate + Slope",BZ56&gt;0.5,"Sideway + Slope",BZ56&gt;=-0.5,"Sideway Flat",BZ56&gt;=-1.5,"Sideway - Slope",BZ56&gt;=-3,"Moderate - Slope",TRUE,"Strong - Slope")</f>
        <v>Moderate - Slope</v>
      </c>
      <c r="CH56" s="18" t="str" cm="1">
        <f t="array" ref="CH56">_xlfn.IFS(CA56&gt;3,"Strong + Slope",CA56&gt;1.5,"Moderate + Slope",CA56&gt;0.5,"Sideway + Slope",CA56&gt;=-0.5,"Sideway Flat",CA56&gt;=-1.5,"Sideway - Slope",CA56&gt;=-3,"Moderate - Slope",TRUE,"Strong - Slope")</f>
        <v>Sideway Flat</v>
      </c>
      <c r="CI56" s="18" t="str" cm="1">
        <f t="array" ref="CI56">_xlfn.IFS(CB56&gt;3,"Strong + Slope",CB56&gt;1.5,"Moderate + Slope",CB56&gt;0.5,"Sideway + Slope",CB56&gt;=-0.5,"Sideway Flat",CB56&gt;=-1.5,"Sideway - Slope",CB56&gt;=-3,"Moderate - Slope",TRUE,"Strong - Slope")</f>
        <v>Sideway - Slope</v>
      </c>
      <c r="CJ56" s="18" t="str" cm="1">
        <f t="array" ref="CJ56">_xlfn.IFS(CC56&gt;3,"Strong + Slope",CC56&gt;1.5,"Moderate + Slope",CC56&gt;0.5,"Sideway + Slope",CC56&gt;=-0.5,"Sideway Flat",CC56&gt;=-1.5,"Sideway - Slope",CC56&gt;=-3,"Moderate - Slope",TRUE,"Strong - Slope")</f>
        <v>Sideway + Slope</v>
      </c>
      <c r="CK56" s="18" t="str" cm="1">
        <f t="array" ref="CK56">_xlfn.IFS(CD56&gt;3,"Strong + Slope",CD56&gt;1.5,"Moderate + Slope",CD56&gt;0.5,"Sideway + Slope",CD56&gt;=-0.5,"Sideway Flat",CD56&gt;=-1.5,"Sideway - Slope",CD56&gt;=-3,"Moderate - Slope",TRUE,"Strong - Slope")</f>
        <v>Sideway Flat</v>
      </c>
      <c r="CL56" s="18" t="str" cm="1">
        <f t="array" ref="CL56">_xlfn.IFS(CE56&gt;3,"Strong + Slope",CE56&gt;1.5,"Moderate + Slope",CE56&gt;0.5,"Sideway + Slope",CE56&gt;=-0.5,"Sideway Flat",CE56&gt;=-1.5,"Sideway - Slope",CE56&gt;=-3,"Moderate - Slope",TRUE,"Strong - Slope")</f>
        <v>Sideway + Slope</v>
      </c>
      <c r="CM56" s="9"/>
      <c r="CN56" s="9">
        <f>RANK(I56,$I56:$N56,0)</f>
        <v>2</v>
      </c>
      <c r="CO56" s="9">
        <f>RANK(J56,$I56:$N56,0)</f>
        <v>3</v>
      </c>
      <c r="CP56" s="9">
        <f>RANK(K56,$I56:$N56,0)</f>
        <v>1</v>
      </c>
      <c r="CQ56" s="9">
        <f>RANK(L56,$I56:$N56,0)</f>
        <v>5</v>
      </c>
      <c r="CR56" s="9">
        <f>RANK(M56,$I56:$N56,0)</f>
        <v>6</v>
      </c>
      <c r="CS56" s="9">
        <f>RANK(N56,$I56:$N56,0)</f>
        <v>4</v>
      </c>
      <c r="CT56" s="9"/>
      <c r="CU56" s="9" t="str">
        <f>IF($H56&gt;I56,"SUP","RES")</f>
        <v>RES</v>
      </c>
      <c r="CV56" s="9" t="str">
        <f>IF($H56&gt;J56,"SUP","RES")</f>
        <v>RES</v>
      </c>
      <c r="CW56" s="9" t="str">
        <f>IF($H56&gt;K56,"SUP","RES")</f>
        <v>RES</v>
      </c>
      <c r="CX56" s="9" t="str">
        <f>IF($H56&gt;L56,"SUP","RES")</f>
        <v>SUP</v>
      </c>
      <c r="CY56" s="9" t="str">
        <f>IF($H56&gt;M56,"SUP","RES")</f>
        <v>SUP</v>
      </c>
      <c r="CZ56" s="9" t="str">
        <f>IF($H56&gt;N56,"SUP","RES")</f>
        <v>RES</v>
      </c>
      <c r="DA56" s="9"/>
      <c r="DB56" s="12">
        <f>(I56-$H56)/$H56</f>
        <v>7.1332277528356506E-4</v>
      </c>
      <c r="DC56" s="12">
        <f>(J56-$H56)/$H56</f>
        <v>5.6280512545308628E-4</v>
      </c>
      <c r="DD56" s="12">
        <f>(K56-$H56)/$H56</f>
        <v>2.4933575906705245E-3</v>
      </c>
      <c r="DE56" s="12">
        <f>(L56-$H56)/$H56</f>
        <v>-1.3546588484746806E-3</v>
      </c>
      <c r="DF56" s="12">
        <f>(M56-$H56)/$H56</f>
        <v>-1.4070128136329948E-3</v>
      </c>
      <c r="DG56" s="12">
        <f>(N56-$H56)/$H56</f>
        <v>2.8140256272645017E-4</v>
      </c>
      <c r="DH56" s="12"/>
      <c r="DI56" s="12">
        <f>((H56-MIN(I56:N56))/(MAX(I56:N56)-MIN(I56:N56)))</f>
        <v>0.36073825503356055</v>
      </c>
      <c r="DJ56" s="13">
        <f t="shared" si="50"/>
        <v>4</v>
      </c>
      <c r="DK56" s="14">
        <f t="shared" si="51"/>
        <v>2</v>
      </c>
      <c r="DL56" s="12">
        <f t="shared" si="18"/>
        <v>2.4933575906705245E-3</v>
      </c>
      <c r="DM56" s="12">
        <f t="shared" si="19"/>
        <v>7.1332277528356506E-4</v>
      </c>
      <c r="DN56" s="12">
        <f t="shared" si="20"/>
        <v>5.6280512545308628E-4</v>
      </c>
      <c r="DO56" s="12">
        <f t="shared" si="21"/>
        <v>2.8140256272645017E-4</v>
      </c>
      <c r="DP56" s="12">
        <f t="shared" si="22"/>
        <v>-1.3546588484746806E-3</v>
      </c>
      <c r="DQ56" s="12">
        <f t="shared" si="23"/>
        <v>-1.4070128136329948E-3</v>
      </c>
      <c r="DR56" s="9"/>
      <c r="DS56" s="9" t="str">
        <f>IF(AQ56&gt;AG56,"Overbought",IF(AQ56&gt;AI56,"Bullish Momentum",IF(AQ56&gt;AK56,"Overprice Setting Up","-----")))</f>
        <v>Overprice Setting Up</v>
      </c>
      <c r="DT56" s="9" t="str">
        <f>IF(AQ56&lt;AP56,"Oversold",IF(AQ56&lt;AN56,"Bearish Momentum",IF(AQ56&lt;AL56,"Underprice Setting Up","-----")))</f>
        <v>-----</v>
      </c>
      <c r="DU56" s="9"/>
      <c r="DV56" s="12" t="str">
        <f>IF(AND(AT56&gt;AU56,AT55&gt;AU55,AT54&gt;AU54,AT53&gt;AU53,AT52&gt;AU52,AT51&gt;AU51,AT50&gt;AU50,AT49&gt;AU49,AT48&gt;AU48,AT47&gt;AU47,AT46&gt;AU46,AT45&gt;AU45),"Bullish",IF(AND(AT56&lt;AU56,AT55&lt;AU55,AT54&lt;AU54,AT53&lt;AU53,AT52&lt;AU52,AT51&lt;AU51,AT50&lt;AU50,AT49&lt;AU49,AT48&lt;AU48,AT47&lt;AU47,AT46&lt;AU46,AT45&lt;AU45),"Bearish","-----"))</f>
        <v>Bearish</v>
      </c>
      <c r="DW56" s="12"/>
      <c r="DX56" s="23">
        <f>(AR56-AT56)/AT56</f>
        <v>-6.3463815810982512E-4</v>
      </c>
      <c r="DY56" s="23">
        <f t="shared" si="52"/>
        <v>-0.53164453641074605</v>
      </c>
      <c r="DZ56" s="23" t="str">
        <f>IF(DY56&gt;PERCENTILE($DY$5:$DY$103,90%),"Reverse to Bearish",IF(DY56&gt;=PERCENTILE($DY$5:$DY$103,70%),"-----",IF(DY56&gt;=PERCENTILE($DY$5:$DY$103,30%),"-----",IF(DY56&gt;=PERCENTILE($DY$5:$DY$103,10%),"-----","Reverse to Bullish"))))</f>
        <v>-----</v>
      </c>
      <c r="EA56" s="23" t="str">
        <f>IF(AQ56&gt;AR56,"Bullish","Bearish")</f>
        <v>Bullish</v>
      </c>
      <c r="EB56" s="22" t="str">
        <f>IF(AND(H56&gt;AQ56,H55&lt;AQ55),"TEMA crossover","-----")</f>
        <v>TEMA crossover</v>
      </c>
      <c r="EC56" s="22" t="str">
        <f>IF(AND(H56&lt;AQ56,H55&gt;AQ55),"TEMA crossunder","-----")</f>
        <v>-----</v>
      </c>
      <c r="ED56" s="22"/>
      <c r="EE56" s="24" t="str">
        <f t="shared" si="45"/>
        <v>YES</v>
      </c>
      <c r="EF56" s="24" t="str">
        <f t="shared" si="46"/>
        <v>-----</v>
      </c>
      <c r="EG56" s="24" t="str">
        <f t="shared" si="47"/>
        <v>YES</v>
      </c>
      <c r="EH56" s="24" t="str">
        <f t="shared" si="48"/>
        <v>YES</v>
      </c>
      <c r="EI56" s="25" t="str">
        <f>IF(DV56="Bullish","YES","-----")</f>
        <v>-----</v>
      </c>
      <c r="EJ56" s="25" t="str">
        <f>IF(DZ56="Reverse to Bullish","YES","-----")</f>
        <v>-----</v>
      </c>
      <c r="EK56" s="25" t="str">
        <f>IF(AND(EA56="Bearish",EA55="Bearish",EA54="Bearish",EA53="Bearish"),"YES","-----")</f>
        <v>-----</v>
      </c>
      <c r="EL56" s="25" t="str">
        <f>IF(OR(EC56="TEMA crossover",EC55="TEMA crossover",EC54="TEMA crossover",EC53="TEMA crossover"),"YES","-----")</f>
        <v>-----</v>
      </c>
      <c r="EM56" s="24" t="str">
        <f>IF(AND(EE56="YES",EF56="YES",EG56="YES",EH56="YES"),"Open Sell / Close Buy","-----")</f>
        <v>-----</v>
      </c>
      <c r="EN56" s="25" t="str">
        <f t="shared" si="32"/>
        <v>-----</v>
      </c>
      <c r="EO56" s="23"/>
      <c r="EP56" s="9" t="str">
        <f>IF(AND(H56&gt;AV56,H56&gt;E56),"Bullish Trigger","-----")</f>
        <v>-----</v>
      </c>
      <c r="EQ56" s="9" t="str">
        <f>IF(AND(H56&lt;AW56,H56&lt;E56),"Bearish Trigger","-----")</f>
        <v>-----</v>
      </c>
      <c r="ER56" s="9"/>
      <c r="ES56" s="9" t="str">
        <f>IF(G56&gt;AV56,"Bullish Spike","-----")</f>
        <v>-----</v>
      </c>
      <c r="ET56" s="9" t="str">
        <f>IF(F56&lt;AW56,"Bearish Spike","-----")</f>
        <v>-----</v>
      </c>
      <c r="EU56" s="9"/>
      <c r="EV56" s="20">
        <f t="shared" si="53"/>
        <v>8.5000000000007958E-2</v>
      </c>
      <c r="EW56" s="9">
        <f t="shared" si="24"/>
        <v>0.21254565536865969</v>
      </c>
      <c r="EX56" s="21" t="str">
        <f t="shared" si="25"/>
        <v>-----</v>
      </c>
      <c r="EY56" s="9"/>
    </row>
    <row r="57" spans="1:155" x14ac:dyDescent="0.55000000000000004">
      <c r="A57">
        <v>53</v>
      </c>
      <c r="B57" t="s">
        <v>56</v>
      </c>
      <c r="C57" t="s">
        <v>4</v>
      </c>
      <c r="D57" t="s">
        <v>103</v>
      </c>
      <c r="E57">
        <v>152.80500000000001</v>
      </c>
      <c r="F57">
        <v>152.82400000000001</v>
      </c>
      <c r="G57">
        <v>152.761</v>
      </c>
      <c r="H57">
        <v>152.78800000000001</v>
      </c>
      <c r="I57">
        <v>152.91200000000001</v>
      </c>
      <c r="J57">
        <v>152.892</v>
      </c>
      <c r="K57">
        <v>153.18600000000001</v>
      </c>
      <c r="L57">
        <v>152.6</v>
      </c>
      <c r="M57">
        <v>152.59100000000001</v>
      </c>
      <c r="N57">
        <v>152.85</v>
      </c>
      <c r="O57" s="16">
        <f t="shared" si="49"/>
        <v>6.3000000000016598E-2</v>
      </c>
      <c r="P57" s="16">
        <f t="shared" si="54"/>
        <v>1.8000000000000682E-2</v>
      </c>
      <c r="Q57" s="16">
        <f t="shared" si="55"/>
        <v>4.5000000000015916E-2</v>
      </c>
      <c r="R57" s="16">
        <f t="shared" si="56"/>
        <v>6.3000000000016598E-2</v>
      </c>
      <c r="S57" s="16">
        <f t="shared" si="65"/>
        <v>8.6442750768363566E-2</v>
      </c>
      <c r="T57">
        <v>0</v>
      </c>
      <c r="U57">
        <v>0</v>
      </c>
      <c r="V57">
        <v>0</v>
      </c>
      <c r="W57">
        <v>0</v>
      </c>
      <c r="Y57" s="9" t="str">
        <f t="shared" si="9"/>
        <v>------</v>
      </c>
      <c r="Z57" s="9" t="str">
        <f t="shared" si="10"/>
        <v>------</v>
      </c>
      <c r="AA57" s="9"/>
      <c r="AB57">
        <v>0</v>
      </c>
      <c r="AD57" t="str">
        <f t="shared" si="58"/>
        <v/>
      </c>
      <c r="AE57">
        <v>0.70204</v>
      </c>
      <c r="AF57">
        <v>3</v>
      </c>
      <c r="AG57">
        <v>153.14164</v>
      </c>
      <c r="AH57">
        <v>153.05554000000001</v>
      </c>
      <c r="AI57">
        <v>152.96943999999999</v>
      </c>
      <c r="AJ57">
        <v>152.88334</v>
      </c>
      <c r="AK57">
        <v>152.79723999999999</v>
      </c>
      <c r="AL57">
        <v>152.71342000000001</v>
      </c>
      <c r="AM57">
        <v>152.62732</v>
      </c>
      <c r="AN57">
        <v>152.54122000000001</v>
      </c>
      <c r="AO57">
        <v>152.45511999999999</v>
      </c>
      <c r="AP57">
        <v>152.36902000000001</v>
      </c>
      <c r="AQ57">
        <v>152.804</v>
      </c>
      <c r="AR57">
        <v>152.75200000000001</v>
      </c>
      <c r="AS57">
        <f t="shared" si="26"/>
        <v>53</v>
      </c>
      <c r="AT57">
        <v>152.839</v>
      </c>
      <c r="AU57">
        <v>152.999</v>
      </c>
      <c r="AV57">
        <v>152.84100000000001</v>
      </c>
      <c r="AW57">
        <v>152.76599999999999</v>
      </c>
      <c r="AY57" s="4">
        <f>I57*(1+$AY$2)</f>
        <v>152.93493680000003</v>
      </c>
      <c r="AZ57" s="4">
        <f>I57*(1-$AY$2)</f>
        <v>152.88906320000001</v>
      </c>
      <c r="BA57" s="4">
        <f>J57*(1+$AY$2)</f>
        <v>152.9149338</v>
      </c>
      <c r="BB57" s="4">
        <f>J57*(1-$AY$2)</f>
        <v>152.86906619999999</v>
      </c>
      <c r="BC57" s="4">
        <f>K57*(1+$AY$2)</f>
        <v>153.20897790000001</v>
      </c>
      <c r="BD57" s="4">
        <f>K57*(1-$AY$2)</f>
        <v>153.16302210000001</v>
      </c>
      <c r="BE57" s="4">
        <f>L57*(1+$AY$2)</f>
        <v>152.62289000000001</v>
      </c>
      <c r="BF57" s="4">
        <f>L57*(1-$AY$2)</f>
        <v>152.57711</v>
      </c>
      <c r="BG57" s="4">
        <f>M57*(1+$AY$2)</f>
        <v>152.61388865000004</v>
      </c>
      <c r="BH57" s="4">
        <f>M57*(1-$AY$2)</f>
        <v>152.56811135000001</v>
      </c>
      <c r="BI57" s="4">
        <f>N57*(1+$AY$2)</f>
        <v>152.8729275</v>
      </c>
      <c r="BJ57" s="4">
        <f>N57*(1-$AY$2)</f>
        <v>152.82707249999999</v>
      </c>
      <c r="BK57" s="30">
        <f t="shared" si="27"/>
        <v>53</v>
      </c>
      <c r="BL57" s="15" t="str">
        <f t="shared" si="11"/>
        <v>-----</v>
      </c>
      <c r="BM57" s="15" t="str">
        <f t="shared" si="12"/>
        <v>-----</v>
      </c>
      <c r="BN57" s="15" t="str">
        <f t="shared" si="13"/>
        <v>-----</v>
      </c>
      <c r="BO57" s="15" t="str">
        <f t="shared" si="14"/>
        <v>-----</v>
      </c>
      <c r="BP57" s="15" t="str">
        <f t="shared" si="15"/>
        <v>-----</v>
      </c>
      <c r="BQ57" s="15" t="str">
        <f t="shared" si="16"/>
        <v>-----</v>
      </c>
      <c r="BR57" s="22"/>
      <c r="BS57" s="9">
        <f t="shared" si="57"/>
        <v>-2.423265306122455E-3</v>
      </c>
      <c r="BT57" s="9">
        <f>SLOPE(J$5:J$103,$A$5:$A$103)</f>
        <v>-3.7194805194805478E-4</v>
      </c>
      <c r="BU57" s="9">
        <f>SLOPE(K$5:K$103,$A$5:$A$103)</f>
        <v>-1.6402721088435472E-3</v>
      </c>
      <c r="BV57" s="9">
        <f>SLOPE(L$5:L$103,$A$5:$A$103)</f>
        <v>7.6471243042669956E-4</v>
      </c>
      <c r="BW57" s="9">
        <f>SLOPE(M$5:M$103,$A$5:$A$103)</f>
        <v>-2.3081014223875058E-4</v>
      </c>
      <c r="BX57" s="9">
        <f>SLOPE(N$5:N$103,$A$5:$A$103)</f>
        <v>1.5802844774273381E-3</v>
      </c>
      <c r="BY57"/>
      <c r="BZ57" s="9">
        <f t="shared" si="59"/>
        <v>-1.9079214597220278</v>
      </c>
      <c r="CA57" s="9">
        <f t="shared" si="60"/>
        <v>-0.29295343676527091</v>
      </c>
      <c r="CB57" s="9">
        <f t="shared" si="61"/>
        <v>-1.2917022253843653</v>
      </c>
      <c r="CC57" s="9">
        <f t="shared" si="62"/>
        <v>0.60228527619529781</v>
      </c>
      <c r="CD57" s="9">
        <f t="shared" si="63"/>
        <v>-0.18179147971962978</v>
      </c>
      <c r="CE57" s="9">
        <f t="shared" si="64"/>
        <v>1.2444775446344229</v>
      </c>
      <c r="CF57"/>
      <c r="CG57" s="18" t="str" cm="1">
        <f t="array" ref="CG57">_xlfn.IFS(BZ57&gt;3,"Strong + Slope",BZ57&gt;1.5,"Moderate + Slope",BZ57&gt;0.5,"Sideway + Slope",BZ57&gt;=-0.5,"Sideway Flat",BZ57&gt;=-1.5,"Sideway - Slope",BZ57&gt;=-3,"Moderate - Slope",TRUE,"Strong - Slope")</f>
        <v>Moderate - Slope</v>
      </c>
      <c r="CH57" s="18" t="str" cm="1">
        <f t="array" ref="CH57">_xlfn.IFS(CA57&gt;3,"Strong + Slope",CA57&gt;1.5,"Moderate + Slope",CA57&gt;0.5,"Sideway + Slope",CA57&gt;=-0.5,"Sideway Flat",CA57&gt;=-1.5,"Sideway - Slope",CA57&gt;=-3,"Moderate - Slope",TRUE,"Strong - Slope")</f>
        <v>Sideway Flat</v>
      </c>
      <c r="CI57" s="18" t="str" cm="1">
        <f t="array" ref="CI57">_xlfn.IFS(CB57&gt;3,"Strong + Slope",CB57&gt;1.5,"Moderate + Slope",CB57&gt;0.5,"Sideway + Slope",CB57&gt;=-0.5,"Sideway Flat",CB57&gt;=-1.5,"Sideway - Slope",CB57&gt;=-3,"Moderate - Slope",TRUE,"Strong - Slope")</f>
        <v>Sideway - Slope</v>
      </c>
      <c r="CJ57" s="18" t="str" cm="1">
        <f t="array" ref="CJ57">_xlfn.IFS(CC57&gt;3,"Strong + Slope",CC57&gt;1.5,"Moderate + Slope",CC57&gt;0.5,"Sideway + Slope",CC57&gt;=-0.5,"Sideway Flat",CC57&gt;=-1.5,"Sideway - Slope",CC57&gt;=-3,"Moderate - Slope",TRUE,"Strong - Slope")</f>
        <v>Sideway + Slope</v>
      </c>
      <c r="CK57" s="18" t="str" cm="1">
        <f t="array" ref="CK57">_xlfn.IFS(CD57&gt;3,"Strong + Slope",CD57&gt;1.5,"Moderate + Slope",CD57&gt;0.5,"Sideway + Slope",CD57&gt;=-0.5,"Sideway Flat",CD57&gt;=-1.5,"Sideway - Slope",CD57&gt;=-3,"Moderate - Slope",TRUE,"Strong - Slope")</f>
        <v>Sideway Flat</v>
      </c>
      <c r="CL57" s="18" t="str" cm="1">
        <f t="array" ref="CL57">_xlfn.IFS(CE57&gt;3,"Strong + Slope",CE57&gt;1.5,"Moderate + Slope",CE57&gt;0.5,"Sideway + Slope",CE57&gt;=-0.5,"Sideway Flat",CE57&gt;=-1.5,"Sideway - Slope",CE57&gt;=-3,"Moderate - Slope",TRUE,"Strong - Slope")</f>
        <v>Sideway + Slope</v>
      </c>
      <c r="CM57" s="9"/>
      <c r="CN57" s="9">
        <f>RANK(I57,$I57:$N57,0)</f>
        <v>2</v>
      </c>
      <c r="CO57" s="9">
        <f>RANK(J57,$I57:$N57,0)</f>
        <v>3</v>
      </c>
      <c r="CP57" s="9">
        <f>RANK(K57,$I57:$N57,0)</f>
        <v>1</v>
      </c>
      <c r="CQ57" s="9">
        <f>RANK(L57,$I57:$N57,0)</f>
        <v>5</v>
      </c>
      <c r="CR57" s="9">
        <f>RANK(M57,$I57:$N57,0)</f>
        <v>6</v>
      </c>
      <c r="CS57" s="9">
        <f>RANK(N57,$I57:$N57,0)</f>
        <v>4</v>
      </c>
      <c r="CT57" s="9"/>
      <c r="CU57" s="9" t="str">
        <f>IF($H57&gt;I57,"SUP","RES")</f>
        <v>RES</v>
      </c>
      <c r="CV57" s="9" t="str">
        <f>IF($H57&gt;J57,"SUP","RES")</f>
        <v>RES</v>
      </c>
      <c r="CW57" s="9" t="str">
        <f>IF($H57&gt;K57,"SUP","RES")</f>
        <v>RES</v>
      </c>
      <c r="CX57" s="9" t="str">
        <f>IF($H57&gt;L57,"SUP","RES")</f>
        <v>SUP</v>
      </c>
      <c r="CY57" s="9" t="str">
        <f>IF($H57&gt;M57,"SUP","RES")</f>
        <v>SUP</v>
      </c>
      <c r="CZ57" s="9" t="str">
        <f>IF($H57&gt;N57,"SUP","RES")</f>
        <v>RES</v>
      </c>
      <c r="DA57" s="9"/>
      <c r="DB57" s="12">
        <f>(I57-$H57)/$H57</f>
        <v>8.1158206141840469E-4</v>
      </c>
      <c r="DC57" s="12">
        <f>(J57-$H57)/$H57</f>
        <v>6.8068172893149322E-4</v>
      </c>
      <c r="DD57" s="12">
        <f>(K57-$H57)/$H57</f>
        <v>2.6049166164881805E-3</v>
      </c>
      <c r="DE57" s="12">
        <f>(L57-$H57)/$H57</f>
        <v>-1.2304631253764471E-3</v>
      </c>
      <c r="DF57" s="12">
        <f>(M57-$H57)/$H57</f>
        <v>-1.2893682749954363E-3</v>
      </c>
      <c r="DG57" s="12">
        <f>(N57-$H57)/$H57</f>
        <v>4.0579103070910932E-4</v>
      </c>
      <c r="DH57" s="12"/>
      <c r="DI57" s="12">
        <f>((H57-MIN(I57:N57))/(MAX(I57:N57)-MIN(I57:N57)))</f>
        <v>0.33109243697479512</v>
      </c>
      <c r="DJ57" s="13">
        <f t="shared" si="50"/>
        <v>4</v>
      </c>
      <c r="DK57" s="14">
        <f t="shared" si="51"/>
        <v>2</v>
      </c>
      <c r="DL57" s="12">
        <f t="shared" si="18"/>
        <v>2.6049166164881805E-3</v>
      </c>
      <c r="DM57" s="12">
        <f t="shared" si="19"/>
        <v>8.1158206141840469E-4</v>
      </c>
      <c r="DN57" s="12">
        <f t="shared" si="20"/>
        <v>6.8068172893149322E-4</v>
      </c>
      <c r="DO57" s="12">
        <f t="shared" si="21"/>
        <v>4.0579103070910932E-4</v>
      </c>
      <c r="DP57" s="12">
        <f t="shared" si="22"/>
        <v>-1.2304631253764471E-3</v>
      </c>
      <c r="DQ57" s="12">
        <f t="shared" si="23"/>
        <v>-1.2893682749954363E-3</v>
      </c>
      <c r="DR57" s="9"/>
      <c r="DS57" s="9" t="str">
        <f>IF(AQ57&gt;AG57,"Overbought",IF(AQ57&gt;AI57,"Bullish Momentum",IF(AQ57&gt;AK57,"Overprice Setting Up","-----")))</f>
        <v>Overprice Setting Up</v>
      </c>
      <c r="DT57" s="9" t="str">
        <f>IF(AQ57&lt;AP57,"Oversold",IF(AQ57&lt;AN57,"Bearish Momentum",IF(AQ57&lt;AL57,"Underprice Setting Up","-----")))</f>
        <v>-----</v>
      </c>
      <c r="DU57" s="9"/>
      <c r="DV57" s="12" t="str">
        <f>IF(AND(AT57&gt;AU57,AT56&gt;AU56,AT55&gt;AU55,AT54&gt;AU54,AT53&gt;AU53,AT52&gt;AU52,AT51&gt;AU51,AT50&gt;AU50,AT49&gt;AU49,AT48&gt;AU48,AT47&gt;AU47,AT46&gt;AU46),"Bullish",IF(AND(AT57&lt;AU57,AT56&lt;AU56,AT55&lt;AU55,AT54&lt;AU54,AT53&lt;AU53,AT52&lt;AU52,AT51&lt;AU51,AT50&lt;AU50,AT49&lt;AU49,AT48&lt;AU48,AT47&lt;AU47,AT46&lt;AU46),"Bearish","-----"))</f>
        <v>Bearish</v>
      </c>
      <c r="DW57" s="12"/>
      <c r="DX57" s="23">
        <f>(AR57-AT57)/AT57</f>
        <v>-5.6922644089524982E-4</v>
      </c>
      <c r="DY57" s="23">
        <f t="shared" si="52"/>
        <v>-0.34299369172376526</v>
      </c>
      <c r="DZ57" s="23" t="str">
        <f>IF(DY57&gt;PERCENTILE($DY$5:$DY$103,90%),"Reverse to Bearish",IF(DY57&gt;=PERCENTILE($DY$5:$DY$103,70%),"-----",IF(DY57&gt;=PERCENTILE($DY$5:$DY$103,30%),"-----",IF(DY57&gt;=PERCENTILE($DY$5:$DY$103,10%),"-----","Reverse to Bullish"))))</f>
        <v>-----</v>
      </c>
      <c r="EA57" s="23" t="str">
        <f>IF(AQ57&gt;AR57,"Bullish","Bearish")</f>
        <v>Bullish</v>
      </c>
      <c r="EB57" s="22" t="str">
        <f>IF(AND(H57&gt;AQ57,H56&lt;AQ56),"TEMA crossover","-----")</f>
        <v>-----</v>
      </c>
      <c r="EC57" s="22" t="str">
        <f>IF(AND(H57&lt;AQ57,H56&gt;AQ56),"TEMA crossunder","-----")</f>
        <v>TEMA crossunder</v>
      </c>
      <c r="ED57" s="22"/>
      <c r="EE57" s="24" t="str">
        <f t="shared" si="45"/>
        <v>YES</v>
      </c>
      <c r="EF57" s="24" t="str">
        <f t="shared" si="46"/>
        <v>-----</v>
      </c>
      <c r="EG57" s="24" t="str">
        <f t="shared" si="47"/>
        <v>YES</v>
      </c>
      <c r="EH57" s="24" t="str">
        <f t="shared" si="48"/>
        <v>YES</v>
      </c>
      <c r="EI57" s="25" t="str">
        <f>IF(DV57="Bullish","YES","-----")</f>
        <v>-----</v>
      </c>
      <c r="EJ57" s="25" t="str">
        <f>IF(DZ57="Reverse to Bullish","YES","-----")</f>
        <v>-----</v>
      </c>
      <c r="EK57" s="25" t="str">
        <f>IF(AND(EA57="Bearish",EA56="Bearish",EA55="Bearish",EA54="Bearish"),"YES","-----")</f>
        <v>-----</v>
      </c>
      <c r="EL57" s="25" t="str">
        <f>IF(OR(EC57="TEMA crossover",EC56="TEMA crossover",EC55="TEMA crossover",EC54="TEMA crossover"),"YES","-----")</f>
        <v>-----</v>
      </c>
      <c r="EM57" s="24" t="str">
        <f>IF(AND(EE57="YES",EF57="YES",EG57="YES",EH57="YES"),"Open Sell / Close Buy","-----")</f>
        <v>-----</v>
      </c>
      <c r="EN57" s="25" t="str">
        <f t="shared" si="32"/>
        <v>-----</v>
      </c>
      <c r="EO57" s="23"/>
      <c r="EP57" s="9" t="str">
        <f>IF(AND(H57&gt;AV57,H57&gt;E57),"Bullish Trigger","-----")</f>
        <v>-----</v>
      </c>
      <c r="EQ57" s="9" t="str">
        <f>IF(AND(H57&lt;AW57,H57&lt;E57),"Bearish Trigger","-----")</f>
        <v>-----</v>
      </c>
      <c r="ER57" s="9"/>
      <c r="ES57" s="9" t="str">
        <f>IF(G57&gt;AV57,"Bullish Spike","-----")</f>
        <v>-----</v>
      </c>
      <c r="ET57" s="9" t="str">
        <f>IF(F57&lt;AW57,"Bearish Spike","-----")</f>
        <v>-----</v>
      </c>
      <c r="EU57" s="9"/>
      <c r="EV57" s="20">
        <f t="shared" si="53"/>
        <v>7.5000000000017053E-2</v>
      </c>
      <c r="EW57" s="9">
        <f t="shared" si="24"/>
        <v>-1.7925537199410691E-2</v>
      </c>
      <c r="EX57" s="21" t="str">
        <f t="shared" si="25"/>
        <v>-----</v>
      </c>
      <c r="EY57" s="9"/>
    </row>
    <row r="58" spans="1:155" x14ac:dyDescent="0.55000000000000004">
      <c r="A58">
        <v>54</v>
      </c>
      <c r="B58" t="s">
        <v>57</v>
      </c>
      <c r="C58" t="s">
        <v>4</v>
      </c>
      <c r="D58" t="s">
        <v>103</v>
      </c>
      <c r="E58">
        <v>152.78800000000001</v>
      </c>
      <c r="F58">
        <v>152.82599999999999</v>
      </c>
      <c r="G58">
        <v>152.768</v>
      </c>
      <c r="H58">
        <v>152.81399999999999</v>
      </c>
      <c r="I58">
        <v>152.91</v>
      </c>
      <c r="J58">
        <v>152.89099999999999</v>
      </c>
      <c r="K58">
        <v>153.184</v>
      </c>
      <c r="L58">
        <v>152.601</v>
      </c>
      <c r="M58">
        <v>152.59100000000001</v>
      </c>
      <c r="N58">
        <v>152.852</v>
      </c>
      <c r="O58" s="16">
        <f t="shared" si="49"/>
        <v>5.7999999999992724E-2</v>
      </c>
      <c r="P58" s="16">
        <f t="shared" si="54"/>
        <v>3.7999999999982492E-2</v>
      </c>
      <c r="Q58" s="16">
        <f t="shared" si="55"/>
        <v>2.0000000000010232E-2</v>
      </c>
      <c r="R58" s="16">
        <f t="shared" si="56"/>
        <v>5.7999999999992724E-2</v>
      </c>
      <c r="S58" s="16">
        <f t="shared" si="65"/>
        <v>8.4411125713479945E-2</v>
      </c>
      <c r="T58">
        <v>0</v>
      </c>
      <c r="U58">
        <v>0</v>
      </c>
      <c r="V58">
        <v>0</v>
      </c>
      <c r="W58">
        <v>0</v>
      </c>
      <c r="Y58" s="9" t="str">
        <f t="shared" si="9"/>
        <v>------</v>
      </c>
      <c r="Z58" s="9" t="str">
        <f t="shared" si="10"/>
        <v>------</v>
      </c>
      <c r="AA58" s="9"/>
      <c r="AB58">
        <v>0</v>
      </c>
      <c r="AD58" t="str">
        <f t="shared" si="58"/>
        <v/>
      </c>
      <c r="AE58">
        <v>0.49875999999999998</v>
      </c>
      <c r="AF58">
        <v>0</v>
      </c>
      <c r="AG58">
        <v>153.13606999999999</v>
      </c>
      <c r="AH58">
        <v>153.05015</v>
      </c>
      <c r="AI58">
        <v>152.96422999999999</v>
      </c>
      <c r="AJ58">
        <v>152.87831</v>
      </c>
      <c r="AK58">
        <v>152.79239000000001</v>
      </c>
      <c r="AL58">
        <v>152.71011999999999</v>
      </c>
      <c r="AM58">
        <v>152.6242</v>
      </c>
      <c r="AN58">
        <v>152.53827999999999</v>
      </c>
      <c r="AO58">
        <v>152.45236</v>
      </c>
      <c r="AP58">
        <v>152.36644000000001</v>
      </c>
      <c r="AQ58">
        <v>152.809</v>
      </c>
      <c r="AR58">
        <v>152.75899999999999</v>
      </c>
      <c r="AS58">
        <f t="shared" si="26"/>
        <v>54</v>
      </c>
      <c r="AT58">
        <v>152.83699999999999</v>
      </c>
      <c r="AU58">
        <v>152.994</v>
      </c>
      <c r="AV58">
        <v>152.84</v>
      </c>
      <c r="AW58">
        <v>152.773</v>
      </c>
      <c r="AY58" s="4">
        <f>I58*(1+$AY$2)</f>
        <v>152.93293650000001</v>
      </c>
      <c r="AZ58" s="4">
        <f>I58*(1-$AY$2)</f>
        <v>152.88706350000001</v>
      </c>
      <c r="BA58" s="4">
        <f>J58*(1+$AY$2)</f>
        <v>152.91393365000002</v>
      </c>
      <c r="BB58" s="4">
        <f>J58*(1-$AY$2)</f>
        <v>152.86806634999999</v>
      </c>
      <c r="BC58" s="4">
        <f>K58*(1+$AY$2)</f>
        <v>153.20697760000002</v>
      </c>
      <c r="BD58" s="4">
        <f>K58*(1-$AY$2)</f>
        <v>153.16102240000001</v>
      </c>
      <c r="BE58" s="4">
        <f>L58*(1+$AY$2)</f>
        <v>152.62389015000002</v>
      </c>
      <c r="BF58" s="4">
        <f>L58*(1-$AY$2)</f>
        <v>152.57810985</v>
      </c>
      <c r="BG58" s="4">
        <f>M58*(1+$AY$2)</f>
        <v>152.61388865000004</v>
      </c>
      <c r="BH58" s="4">
        <f>M58*(1-$AY$2)</f>
        <v>152.56811135000001</v>
      </c>
      <c r="BI58" s="4">
        <f>N58*(1+$AY$2)</f>
        <v>152.87492780000002</v>
      </c>
      <c r="BJ58" s="4">
        <f>N58*(1-$AY$2)</f>
        <v>152.82907220000001</v>
      </c>
      <c r="BK58" s="30">
        <f t="shared" si="27"/>
        <v>54</v>
      </c>
      <c r="BL58" s="15" t="str">
        <f t="shared" si="11"/>
        <v>-----</v>
      </c>
      <c r="BM58" s="15" t="str">
        <f t="shared" si="12"/>
        <v>-----</v>
      </c>
      <c r="BN58" s="15" t="str">
        <f t="shared" si="13"/>
        <v>-----</v>
      </c>
      <c r="BO58" s="15" t="str">
        <f t="shared" si="14"/>
        <v>-----</v>
      </c>
      <c r="BP58" s="15" t="str">
        <f t="shared" si="15"/>
        <v>-----</v>
      </c>
      <c r="BQ58" s="15" t="str">
        <f t="shared" si="16"/>
        <v>-----</v>
      </c>
      <c r="BR58" s="22"/>
      <c r="BS58" s="9">
        <f t="shared" si="57"/>
        <v>-2.423265306122455E-3</v>
      </c>
      <c r="BT58" s="9">
        <f>SLOPE(J$5:J$103,$A$5:$A$103)</f>
        <v>-3.7194805194805478E-4</v>
      </c>
      <c r="BU58" s="9">
        <f>SLOPE(K$5:K$103,$A$5:$A$103)</f>
        <v>-1.6402721088435472E-3</v>
      </c>
      <c r="BV58" s="9">
        <f>SLOPE(L$5:L$103,$A$5:$A$103)</f>
        <v>7.6471243042669956E-4</v>
      </c>
      <c r="BW58" s="9">
        <f>SLOPE(M$5:M$103,$A$5:$A$103)</f>
        <v>-2.3081014223875058E-4</v>
      </c>
      <c r="BX58" s="9">
        <f>SLOPE(N$5:N$103,$A$5:$A$103)</f>
        <v>1.5802844774273381E-3</v>
      </c>
      <c r="BY58"/>
      <c r="BZ58" s="9">
        <f t="shared" si="59"/>
        <v>-1.9079214597220278</v>
      </c>
      <c r="CA58" s="9">
        <f t="shared" si="60"/>
        <v>-0.29295343676527091</v>
      </c>
      <c r="CB58" s="9">
        <f t="shared" si="61"/>
        <v>-1.2917022253843653</v>
      </c>
      <c r="CC58" s="9">
        <f t="shared" si="62"/>
        <v>0.60228527619529781</v>
      </c>
      <c r="CD58" s="9">
        <f t="shared" si="63"/>
        <v>-0.18179147971962978</v>
      </c>
      <c r="CE58" s="9">
        <f t="shared" si="64"/>
        <v>1.2444775446344229</v>
      </c>
      <c r="CF58"/>
      <c r="CG58" s="18" t="str" cm="1">
        <f t="array" ref="CG58">_xlfn.IFS(BZ58&gt;3,"Strong + Slope",BZ58&gt;1.5,"Moderate + Slope",BZ58&gt;0.5,"Sideway + Slope",BZ58&gt;=-0.5,"Sideway Flat",BZ58&gt;=-1.5,"Sideway - Slope",BZ58&gt;=-3,"Moderate - Slope",TRUE,"Strong - Slope")</f>
        <v>Moderate - Slope</v>
      </c>
      <c r="CH58" s="18" t="str" cm="1">
        <f t="array" ref="CH58">_xlfn.IFS(CA58&gt;3,"Strong + Slope",CA58&gt;1.5,"Moderate + Slope",CA58&gt;0.5,"Sideway + Slope",CA58&gt;=-0.5,"Sideway Flat",CA58&gt;=-1.5,"Sideway - Slope",CA58&gt;=-3,"Moderate - Slope",TRUE,"Strong - Slope")</f>
        <v>Sideway Flat</v>
      </c>
      <c r="CI58" s="18" t="str" cm="1">
        <f t="array" ref="CI58">_xlfn.IFS(CB58&gt;3,"Strong + Slope",CB58&gt;1.5,"Moderate + Slope",CB58&gt;0.5,"Sideway + Slope",CB58&gt;=-0.5,"Sideway Flat",CB58&gt;=-1.5,"Sideway - Slope",CB58&gt;=-3,"Moderate - Slope",TRUE,"Strong - Slope")</f>
        <v>Sideway - Slope</v>
      </c>
      <c r="CJ58" s="18" t="str" cm="1">
        <f t="array" ref="CJ58">_xlfn.IFS(CC58&gt;3,"Strong + Slope",CC58&gt;1.5,"Moderate + Slope",CC58&gt;0.5,"Sideway + Slope",CC58&gt;=-0.5,"Sideway Flat",CC58&gt;=-1.5,"Sideway - Slope",CC58&gt;=-3,"Moderate - Slope",TRUE,"Strong - Slope")</f>
        <v>Sideway + Slope</v>
      </c>
      <c r="CK58" s="18" t="str" cm="1">
        <f t="array" ref="CK58">_xlfn.IFS(CD58&gt;3,"Strong + Slope",CD58&gt;1.5,"Moderate + Slope",CD58&gt;0.5,"Sideway + Slope",CD58&gt;=-0.5,"Sideway Flat",CD58&gt;=-1.5,"Sideway - Slope",CD58&gt;=-3,"Moderate - Slope",TRUE,"Strong - Slope")</f>
        <v>Sideway Flat</v>
      </c>
      <c r="CL58" s="18" t="str" cm="1">
        <f t="array" ref="CL58">_xlfn.IFS(CE58&gt;3,"Strong + Slope",CE58&gt;1.5,"Moderate + Slope",CE58&gt;0.5,"Sideway + Slope",CE58&gt;=-0.5,"Sideway Flat",CE58&gt;=-1.5,"Sideway - Slope",CE58&gt;=-3,"Moderate - Slope",TRUE,"Strong - Slope")</f>
        <v>Sideway + Slope</v>
      </c>
      <c r="CM58" s="9"/>
      <c r="CN58" s="9">
        <f>RANK(I58,$I58:$N58,0)</f>
        <v>2</v>
      </c>
      <c r="CO58" s="9">
        <f>RANK(J58,$I58:$N58,0)</f>
        <v>3</v>
      </c>
      <c r="CP58" s="9">
        <f>RANK(K58,$I58:$N58,0)</f>
        <v>1</v>
      </c>
      <c r="CQ58" s="9">
        <f>RANK(L58,$I58:$N58,0)</f>
        <v>5</v>
      </c>
      <c r="CR58" s="9">
        <f>RANK(M58,$I58:$N58,0)</f>
        <v>6</v>
      </c>
      <c r="CS58" s="9">
        <f>RANK(N58,$I58:$N58,0)</f>
        <v>4</v>
      </c>
      <c r="CT58" s="9"/>
      <c r="CU58" s="9" t="str">
        <f>IF($H58&gt;I58,"SUP","RES")</f>
        <v>RES</v>
      </c>
      <c r="CV58" s="9" t="str">
        <f>IF($H58&gt;J58,"SUP","RES")</f>
        <v>RES</v>
      </c>
      <c r="CW58" s="9" t="str">
        <f>IF($H58&gt;K58,"SUP","RES")</f>
        <v>RES</v>
      </c>
      <c r="CX58" s="9" t="str">
        <f>IF($H58&gt;L58,"SUP","RES")</f>
        <v>SUP</v>
      </c>
      <c r="CY58" s="9" t="str">
        <f>IF($H58&gt;M58,"SUP","RES")</f>
        <v>SUP</v>
      </c>
      <c r="CZ58" s="9" t="str">
        <f>IF($H58&gt;N58,"SUP","RES")</f>
        <v>RES</v>
      </c>
      <c r="DA58" s="9"/>
      <c r="DB58" s="12">
        <f>(I58-$H58)/$H58</f>
        <v>6.2821469237114163E-4</v>
      </c>
      <c r="DC58" s="12">
        <f>(J58-$H58)/$H58</f>
        <v>5.038805345059889E-4</v>
      </c>
      <c r="DD58" s="12">
        <f>(K58-$H58)/$H58</f>
        <v>2.4212441268470467E-3</v>
      </c>
      <c r="DE58" s="12">
        <f>(L58-$H58)/$H58</f>
        <v>-1.3938513486983777E-3</v>
      </c>
      <c r="DF58" s="12">
        <f>(M58-$H58)/$H58</f>
        <v>-1.4592903791536427E-3</v>
      </c>
      <c r="DG58" s="12">
        <f>(N58-$H58)/$H58</f>
        <v>2.4866831573030557E-4</v>
      </c>
      <c r="DH58" s="12"/>
      <c r="DI58" s="12">
        <f>((H58-MIN(I58:N58))/(MAX(I58:N58)-MIN(I58:N58)))</f>
        <v>0.37605396290048698</v>
      </c>
      <c r="DJ58" s="13">
        <f t="shared" si="50"/>
        <v>4</v>
      </c>
      <c r="DK58" s="14">
        <f t="shared" si="51"/>
        <v>2</v>
      </c>
      <c r="DL58" s="12">
        <f t="shared" si="18"/>
        <v>2.4212441268470467E-3</v>
      </c>
      <c r="DM58" s="12">
        <f t="shared" si="19"/>
        <v>6.2821469237114163E-4</v>
      </c>
      <c r="DN58" s="12">
        <f t="shared" si="20"/>
        <v>5.038805345059889E-4</v>
      </c>
      <c r="DO58" s="12">
        <f t="shared" si="21"/>
        <v>2.4866831573030557E-4</v>
      </c>
      <c r="DP58" s="12">
        <f t="shared" si="22"/>
        <v>-1.3938513486983777E-3</v>
      </c>
      <c r="DQ58" s="12">
        <f t="shared" si="23"/>
        <v>-1.4592903791536427E-3</v>
      </c>
      <c r="DR58" s="9"/>
      <c r="DS58" s="9" t="str">
        <f>IF(AQ58&gt;AG58,"Overbought",IF(AQ58&gt;AI58,"Bullish Momentum",IF(AQ58&gt;AK58,"Overprice Setting Up","-----")))</f>
        <v>Overprice Setting Up</v>
      </c>
      <c r="DT58" s="9" t="str">
        <f>IF(AQ58&lt;AP58,"Oversold",IF(AQ58&lt;AN58,"Bearish Momentum",IF(AQ58&lt;AL58,"Underprice Setting Up","-----")))</f>
        <v>-----</v>
      </c>
      <c r="DU58" s="9"/>
      <c r="DV58" s="12" t="str">
        <f>IF(AND(AT58&gt;AU58,AT57&gt;AU57,AT56&gt;AU56,AT55&gt;AU55,AT54&gt;AU54,AT53&gt;AU53,AT52&gt;AU52,AT51&gt;AU51,AT50&gt;AU50,AT49&gt;AU49,AT48&gt;AU48,AT47&gt;AU47),"Bullish",IF(AND(AT58&lt;AU58,AT57&lt;AU57,AT56&lt;AU56,AT55&lt;AU55,AT54&lt;AU54,AT53&lt;AU53,AT52&lt;AU52,AT51&lt;AU51,AT50&lt;AU50,AT49&lt;AU49,AT48&lt;AU48,AT47&lt;AU47),"Bearish","-----"))</f>
        <v>Bearish</v>
      </c>
      <c r="DW58" s="12"/>
      <c r="DX58" s="23">
        <f>(AR58-AT58)/AT58</f>
        <v>-5.1034762524783243E-4</v>
      </c>
      <c r="DY58" s="23">
        <f t="shared" si="52"/>
        <v>-0.17318407994400775</v>
      </c>
      <c r="DZ58" s="23" t="str">
        <f>IF(DY58&gt;PERCENTILE($DY$5:$DY$103,90%),"Reverse to Bearish",IF(DY58&gt;=PERCENTILE($DY$5:$DY$103,70%),"-----",IF(DY58&gt;=PERCENTILE($DY$5:$DY$103,30%),"-----",IF(DY58&gt;=PERCENTILE($DY$5:$DY$103,10%),"-----","Reverse to Bullish"))))</f>
        <v>-----</v>
      </c>
      <c r="EA58" s="23" t="str">
        <f>IF(AQ58&gt;AR58,"Bullish","Bearish")</f>
        <v>Bullish</v>
      </c>
      <c r="EB58" s="22" t="str">
        <f>IF(AND(H58&gt;AQ58,H57&lt;AQ57),"TEMA crossover","-----")</f>
        <v>TEMA crossover</v>
      </c>
      <c r="EC58" s="22" t="str">
        <f>IF(AND(H58&lt;AQ58,H57&gt;AQ57),"TEMA crossunder","-----")</f>
        <v>-----</v>
      </c>
      <c r="ED58" s="22"/>
      <c r="EE58" s="24" t="str">
        <f t="shared" si="45"/>
        <v>YES</v>
      </c>
      <c r="EF58" s="24" t="str">
        <f t="shared" si="46"/>
        <v>-----</v>
      </c>
      <c r="EG58" s="24" t="str">
        <f t="shared" si="47"/>
        <v>YES</v>
      </c>
      <c r="EH58" s="24" t="str">
        <f t="shared" si="48"/>
        <v>YES</v>
      </c>
      <c r="EI58" s="25" t="str">
        <f>IF(DV58="Bullish","YES","-----")</f>
        <v>-----</v>
      </c>
      <c r="EJ58" s="25" t="str">
        <f>IF(DZ58="Reverse to Bullish","YES","-----")</f>
        <v>-----</v>
      </c>
      <c r="EK58" s="25" t="str">
        <f>IF(AND(EA58="Bearish",EA57="Bearish",EA56="Bearish",EA55="Bearish"),"YES","-----")</f>
        <v>-----</v>
      </c>
      <c r="EL58" s="25" t="str">
        <f>IF(OR(EC58="TEMA crossover",EC57="TEMA crossover",EC56="TEMA crossover",EC55="TEMA crossover"),"YES","-----")</f>
        <v>-----</v>
      </c>
      <c r="EM58" s="24" t="str">
        <f>IF(AND(EE58="YES",EF58="YES",EG58="YES",EH58="YES"),"Open Sell / Close Buy","-----")</f>
        <v>-----</v>
      </c>
      <c r="EN58" s="25" t="str">
        <f t="shared" si="32"/>
        <v>-----</v>
      </c>
      <c r="EO58" s="23"/>
      <c r="EP58" s="9" t="str">
        <f>IF(AND(H58&gt;AV58,H58&gt;E58),"Bullish Trigger","-----")</f>
        <v>-----</v>
      </c>
      <c r="EQ58" s="9" t="str">
        <f>IF(AND(H58&lt;AW58,H58&lt;E58),"Bearish Trigger","-----")</f>
        <v>-----</v>
      </c>
      <c r="ER58" s="9"/>
      <c r="ES58" s="9" t="str">
        <f>IF(G58&gt;AV58,"Bullish Spike","-----")</f>
        <v>-----</v>
      </c>
      <c r="ET58" s="9" t="str">
        <f>IF(F58&lt;AW58,"Bearish Spike","-----")</f>
        <v>-----</v>
      </c>
      <c r="EU58" s="9"/>
      <c r="EV58" s="20">
        <f t="shared" si="53"/>
        <v>6.7000000000007276E-2</v>
      </c>
      <c r="EW58" s="9">
        <f t="shared" si="24"/>
        <v>-0.20230249125426</v>
      </c>
      <c r="EX58" s="21" t="str">
        <f t="shared" si="25"/>
        <v>-----</v>
      </c>
      <c r="EY58" s="9"/>
    </row>
    <row r="59" spans="1:155" x14ac:dyDescent="0.55000000000000004">
      <c r="A59">
        <v>55</v>
      </c>
      <c r="B59" t="s">
        <v>58</v>
      </c>
      <c r="C59" t="s">
        <v>4</v>
      </c>
      <c r="D59" t="s">
        <v>103</v>
      </c>
      <c r="E59">
        <v>152.81299999999999</v>
      </c>
      <c r="F59">
        <v>152.82400000000001</v>
      </c>
      <c r="G59">
        <v>152.797</v>
      </c>
      <c r="H59">
        <v>152.803</v>
      </c>
      <c r="I59">
        <v>152.90700000000001</v>
      </c>
      <c r="J59">
        <v>152.89099999999999</v>
      </c>
      <c r="K59">
        <v>153.18199999999999</v>
      </c>
      <c r="L59">
        <v>152.601</v>
      </c>
      <c r="M59">
        <v>152.59</v>
      </c>
      <c r="N59">
        <v>152.85300000000001</v>
      </c>
      <c r="O59" s="16">
        <f t="shared" si="49"/>
        <v>2.7000000000015234E-2</v>
      </c>
      <c r="P59" s="16">
        <f t="shared" si="54"/>
        <v>1.0000000000019327E-2</v>
      </c>
      <c r="Q59" s="16">
        <f t="shared" si="55"/>
        <v>1.6999999999995907E-2</v>
      </c>
      <c r="R59" s="16">
        <f t="shared" si="56"/>
        <v>2.7000000000015234E-2</v>
      </c>
      <c r="S59" s="16">
        <f t="shared" si="65"/>
        <v>8.0310331019661035E-2</v>
      </c>
      <c r="T59">
        <v>0</v>
      </c>
      <c r="U59">
        <v>0</v>
      </c>
      <c r="V59">
        <v>0</v>
      </c>
      <c r="W59">
        <v>0</v>
      </c>
      <c r="Y59" s="9" t="str">
        <f t="shared" si="9"/>
        <v>------</v>
      </c>
      <c r="Z59" s="9" t="str">
        <f t="shared" si="10"/>
        <v>------</v>
      </c>
      <c r="AA59" s="9"/>
      <c r="AB59">
        <v>0</v>
      </c>
      <c r="AD59" t="str">
        <f t="shared" si="58"/>
        <v/>
      </c>
      <c r="AE59">
        <v>0.86073</v>
      </c>
      <c r="AF59">
        <v>3</v>
      </c>
      <c r="AG59">
        <v>153.13059000000001</v>
      </c>
      <c r="AH59">
        <v>153.04498000000001</v>
      </c>
      <c r="AI59">
        <v>152.95936</v>
      </c>
      <c r="AJ59">
        <v>152.87375</v>
      </c>
      <c r="AK59">
        <v>152.78814</v>
      </c>
      <c r="AL59">
        <v>152.70845</v>
      </c>
      <c r="AM59">
        <v>152.62284</v>
      </c>
      <c r="AN59">
        <v>152.53722999999999</v>
      </c>
      <c r="AO59">
        <v>152.45161999999999</v>
      </c>
      <c r="AP59">
        <v>152.36600999999999</v>
      </c>
      <c r="AQ59">
        <v>152.815</v>
      </c>
      <c r="AR59">
        <v>152.76599999999999</v>
      </c>
      <c r="AS59">
        <f t="shared" si="26"/>
        <v>55</v>
      </c>
      <c r="AT59">
        <v>152.83500000000001</v>
      </c>
      <c r="AU59">
        <v>152.989</v>
      </c>
      <c r="AV59">
        <v>152.83799999999999</v>
      </c>
      <c r="AW59">
        <v>152.791</v>
      </c>
      <c r="AY59" s="4">
        <f>I59*(1+$AY$2)</f>
        <v>152.92993605000004</v>
      </c>
      <c r="AZ59" s="4">
        <f>I59*(1-$AY$2)</f>
        <v>152.88406395000001</v>
      </c>
      <c r="BA59" s="4">
        <f>J59*(1+$AY$2)</f>
        <v>152.91393365000002</v>
      </c>
      <c r="BB59" s="4">
        <f>J59*(1-$AY$2)</f>
        <v>152.86806634999999</v>
      </c>
      <c r="BC59" s="4">
        <f>K59*(1+$AY$2)</f>
        <v>153.2049773</v>
      </c>
      <c r="BD59" s="4">
        <f>K59*(1-$AY$2)</f>
        <v>153.15902269999998</v>
      </c>
      <c r="BE59" s="4">
        <f>L59*(1+$AY$2)</f>
        <v>152.62389015000002</v>
      </c>
      <c r="BF59" s="4">
        <f>L59*(1-$AY$2)</f>
        <v>152.57810985</v>
      </c>
      <c r="BG59" s="4">
        <f>M59*(1+$AY$2)</f>
        <v>152.61288850000003</v>
      </c>
      <c r="BH59" s="4">
        <f>M59*(1-$AY$2)</f>
        <v>152.56711150000001</v>
      </c>
      <c r="BI59" s="4">
        <f>N59*(1+$AY$2)</f>
        <v>152.87592795000003</v>
      </c>
      <c r="BJ59" s="4">
        <f>N59*(1-$AY$2)</f>
        <v>152.83007205000001</v>
      </c>
      <c r="BK59" s="30">
        <f t="shared" si="27"/>
        <v>55</v>
      </c>
      <c r="BL59" s="15" t="str">
        <f t="shared" si="11"/>
        <v>-----</v>
      </c>
      <c r="BM59" s="15" t="str">
        <f t="shared" si="12"/>
        <v>-----</v>
      </c>
      <c r="BN59" s="15" t="str">
        <f t="shared" si="13"/>
        <v>-----</v>
      </c>
      <c r="BO59" s="15" t="str">
        <f t="shared" si="14"/>
        <v>-----</v>
      </c>
      <c r="BP59" s="15" t="str">
        <f t="shared" si="15"/>
        <v>-----</v>
      </c>
      <c r="BQ59" s="15" t="str">
        <f t="shared" si="16"/>
        <v>-----</v>
      </c>
      <c r="BR59" s="22"/>
      <c r="BS59" s="9">
        <f t="shared" si="57"/>
        <v>-2.423265306122455E-3</v>
      </c>
      <c r="BT59" s="9">
        <f>SLOPE(J$5:J$103,$A$5:$A$103)</f>
        <v>-3.7194805194805478E-4</v>
      </c>
      <c r="BU59" s="9">
        <f>SLOPE(K$5:K$103,$A$5:$A$103)</f>
        <v>-1.6402721088435472E-3</v>
      </c>
      <c r="BV59" s="9">
        <f>SLOPE(L$5:L$103,$A$5:$A$103)</f>
        <v>7.6471243042669956E-4</v>
      </c>
      <c r="BW59" s="9">
        <f>SLOPE(M$5:M$103,$A$5:$A$103)</f>
        <v>-2.3081014223875058E-4</v>
      </c>
      <c r="BX59" s="9">
        <f>SLOPE(N$5:N$103,$A$5:$A$103)</f>
        <v>1.5802844774273381E-3</v>
      </c>
      <c r="BY59"/>
      <c r="BZ59" s="9">
        <f t="shared" si="59"/>
        <v>-1.9079214597220278</v>
      </c>
      <c r="CA59" s="9">
        <f t="shared" si="60"/>
        <v>-0.29295343676527091</v>
      </c>
      <c r="CB59" s="9">
        <f t="shared" si="61"/>
        <v>-1.2917022253843653</v>
      </c>
      <c r="CC59" s="9">
        <f t="shared" si="62"/>
        <v>0.60228527619529781</v>
      </c>
      <c r="CD59" s="9">
        <f t="shared" si="63"/>
        <v>-0.18179147971962978</v>
      </c>
      <c r="CE59" s="9">
        <f t="shared" si="64"/>
        <v>1.2444775446344229</v>
      </c>
      <c r="CF59"/>
      <c r="CG59" s="18" t="str" cm="1">
        <f t="array" ref="CG59">_xlfn.IFS(BZ59&gt;3,"Strong + Slope",BZ59&gt;1.5,"Moderate + Slope",BZ59&gt;0.5,"Sideway + Slope",BZ59&gt;=-0.5,"Sideway Flat",BZ59&gt;=-1.5,"Sideway - Slope",BZ59&gt;=-3,"Moderate - Slope",TRUE,"Strong - Slope")</f>
        <v>Moderate - Slope</v>
      </c>
      <c r="CH59" s="18" t="str" cm="1">
        <f t="array" ref="CH59">_xlfn.IFS(CA59&gt;3,"Strong + Slope",CA59&gt;1.5,"Moderate + Slope",CA59&gt;0.5,"Sideway + Slope",CA59&gt;=-0.5,"Sideway Flat",CA59&gt;=-1.5,"Sideway - Slope",CA59&gt;=-3,"Moderate - Slope",TRUE,"Strong - Slope")</f>
        <v>Sideway Flat</v>
      </c>
      <c r="CI59" s="18" t="str" cm="1">
        <f t="array" ref="CI59">_xlfn.IFS(CB59&gt;3,"Strong + Slope",CB59&gt;1.5,"Moderate + Slope",CB59&gt;0.5,"Sideway + Slope",CB59&gt;=-0.5,"Sideway Flat",CB59&gt;=-1.5,"Sideway - Slope",CB59&gt;=-3,"Moderate - Slope",TRUE,"Strong - Slope")</f>
        <v>Sideway - Slope</v>
      </c>
      <c r="CJ59" s="18" t="str" cm="1">
        <f t="array" ref="CJ59">_xlfn.IFS(CC59&gt;3,"Strong + Slope",CC59&gt;1.5,"Moderate + Slope",CC59&gt;0.5,"Sideway + Slope",CC59&gt;=-0.5,"Sideway Flat",CC59&gt;=-1.5,"Sideway - Slope",CC59&gt;=-3,"Moderate - Slope",TRUE,"Strong - Slope")</f>
        <v>Sideway + Slope</v>
      </c>
      <c r="CK59" s="18" t="str" cm="1">
        <f t="array" ref="CK59">_xlfn.IFS(CD59&gt;3,"Strong + Slope",CD59&gt;1.5,"Moderate + Slope",CD59&gt;0.5,"Sideway + Slope",CD59&gt;=-0.5,"Sideway Flat",CD59&gt;=-1.5,"Sideway - Slope",CD59&gt;=-3,"Moderate - Slope",TRUE,"Strong - Slope")</f>
        <v>Sideway Flat</v>
      </c>
      <c r="CL59" s="18" t="str" cm="1">
        <f t="array" ref="CL59">_xlfn.IFS(CE59&gt;3,"Strong + Slope",CE59&gt;1.5,"Moderate + Slope",CE59&gt;0.5,"Sideway + Slope",CE59&gt;=-0.5,"Sideway Flat",CE59&gt;=-1.5,"Sideway - Slope",CE59&gt;=-3,"Moderate - Slope",TRUE,"Strong - Slope")</f>
        <v>Sideway + Slope</v>
      </c>
      <c r="CM59" s="9"/>
      <c r="CN59" s="9">
        <f>RANK(I59,$I59:$N59,0)</f>
        <v>2</v>
      </c>
      <c r="CO59" s="9">
        <f>RANK(J59,$I59:$N59,0)</f>
        <v>3</v>
      </c>
      <c r="CP59" s="9">
        <f>RANK(K59,$I59:$N59,0)</f>
        <v>1</v>
      </c>
      <c r="CQ59" s="9">
        <f>RANK(L59,$I59:$N59,0)</f>
        <v>5</v>
      </c>
      <c r="CR59" s="9">
        <f>RANK(M59,$I59:$N59,0)</f>
        <v>6</v>
      </c>
      <c r="CS59" s="9">
        <f>RANK(N59,$I59:$N59,0)</f>
        <v>4</v>
      </c>
      <c r="CT59" s="9"/>
      <c r="CU59" s="9" t="str">
        <f>IF($H59&gt;I59,"SUP","RES")</f>
        <v>RES</v>
      </c>
      <c r="CV59" s="9" t="str">
        <f>IF($H59&gt;J59,"SUP","RES")</f>
        <v>RES</v>
      </c>
      <c r="CW59" s="9" t="str">
        <f>IF($H59&gt;K59,"SUP","RES")</f>
        <v>RES</v>
      </c>
      <c r="CX59" s="9" t="str">
        <f>IF($H59&gt;L59,"SUP","RES")</f>
        <v>SUP</v>
      </c>
      <c r="CY59" s="9" t="str">
        <f>IF($H59&gt;M59,"SUP","RES")</f>
        <v>SUP</v>
      </c>
      <c r="CZ59" s="9" t="str">
        <f>IF($H59&gt;N59,"SUP","RES")</f>
        <v>RES</v>
      </c>
      <c r="DA59" s="9"/>
      <c r="DB59" s="12">
        <f>(I59-$H59)/$H59</f>
        <v>6.80614909393228E-4</v>
      </c>
      <c r="DC59" s="12">
        <f>(J59-$H59)/$H59</f>
        <v>5.7590492333261687E-4</v>
      </c>
      <c r="DD59" s="12">
        <f>(K59-$H59)/$H59</f>
        <v>2.4803177948076326E-3</v>
      </c>
      <c r="DE59" s="12">
        <f>(L59-$H59)/$H59</f>
        <v>-1.3219635740135873E-3</v>
      </c>
      <c r="DF59" s="12">
        <f>(M59-$H59)/$H59</f>
        <v>-1.3939516894301413E-3</v>
      </c>
      <c r="DG59" s="12">
        <f>(N59-$H59)/$H59</f>
        <v>3.2721870643908409E-4</v>
      </c>
      <c r="DH59" s="12"/>
      <c r="DI59" s="12">
        <f>((H59-MIN(I59:N59))/(MAX(I59:N59)-MIN(I59:N59)))</f>
        <v>0.35979729729729631</v>
      </c>
      <c r="DJ59" s="13">
        <f t="shared" si="50"/>
        <v>4</v>
      </c>
      <c r="DK59" s="14">
        <f t="shared" si="51"/>
        <v>2</v>
      </c>
      <c r="DL59" s="12">
        <f t="shared" si="18"/>
        <v>2.4803177948076326E-3</v>
      </c>
      <c r="DM59" s="12">
        <f t="shared" si="19"/>
        <v>6.80614909393228E-4</v>
      </c>
      <c r="DN59" s="12">
        <f t="shared" si="20"/>
        <v>5.7590492333261687E-4</v>
      </c>
      <c r="DO59" s="12">
        <f t="shared" si="21"/>
        <v>3.2721870643908409E-4</v>
      </c>
      <c r="DP59" s="12">
        <f t="shared" si="22"/>
        <v>-1.3219635740135873E-3</v>
      </c>
      <c r="DQ59" s="12">
        <f t="shared" si="23"/>
        <v>-1.3939516894301413E-3</v>
      </c>
      <c r="DR59" s="9"/>
      <c r="DS59" s="9" t="str">
        <f>IF(AQ59&gt;AG59,"Overbought",IF(AQ59&gt;AI59,"Bullish Momentum",IF(AQ59&gt;AK59,"Overprice Setting Up","-----")))</f>
        <v>Overprice Setting Up</v>
      </c>
      <c r="DT59" s="9" t="str">
        <f>IF(AQ59&lt;AP59,"Oversold",IF(AQ59&lt;AN59,"Bearish Momentum",IF(AQ59&lt;AL59,"Underprice Setting Up","-----")))</f>
        <v>-----</v>
      </c>
      <c r="DU59" s="9"/>
      <c r="DV59" s="12" t="str">
        <f>IF(AND(AT59&gt;AU59,AT58&gt;AU58,AT57&gt;AU57,AT56&gt;AU56,AT55&gt;AU55,AT54&gt;AU54,AT53&gt;AU53,AT52&gt;AU52,AT51&gt;AU51,AT50&gt;AU50,AT49&gt;AU49,AT48&gt;AU48),"Bullish",IF(AND(AT59&lt;AU59,AT58&lt;AU58,AT57&lt;AU57,AT56&lt;AU56,AT55&lt;AU55,AT54&lt;AU54,AT53&lt;AU53,AT52&lt;AU52,AT51&lt;AU51,AT50&lt;AU50,AT49&lt;AU49,AT48&lt;AU48),"Bearish","-----"))</f>
        <v>Bearish</v>
      </c>
      <c r="DW59" s="12"/>
      <c r="DX59" s="23">
        <f>(AR59-AT59)/AT59</f>
        <v>-4.514672686231349E-4</v>
      </c>
      <c r="DY59" s="23">
        <f t="shared" si="52"/>
        <v>-3.3700239044460538E-3</v>
      </c>
      <c r="DZ59" s="23" t="str">
        <f>IF(DY59&gt;PERCENTILE($DY$5:$DY$103,90%),"Reverse to Bearish",IF(DY59&gt;=PERCENTILE($DY$5:$DY$103,70%),"-----",IF(DY59&gt;=PERCENTILE($DY$5:$DY$103,30%),"-----",IF(DY59&gt;=PERCENTILE($DY$5:$DY$103,10%),"-----","Reverse to Bullish"))))</f>
        <v>-----</v>
      </c>
      <c r="EA59" s="23" t="str">
        <f>IF(AQ59&gt;AR59,"Bullish","Bearish")</f>
        <v>Bullish</v>
      </c>
      <c r="EB59" s="22" t="str">
        <f>IF(AND(H59&gt;AQ59,H58&lt;AQ58),"TEMA crossover","-----")</f>
        <v>-----</v>
      </c>
      <c r="EC59" s="22" t="str">
        <f>IF(AND(H59&lt;AQ59,H58&gt;AQ58),"TEMA crossunder","-----")</f>
        <v>TEMA crossunder</v>
      </c>
      <c r="ED59" s="22"/>
      <c r="EE59" s="24" t="str">
        <f t="shared" si="45"/>
        <v>YES</v>
      </c>
      <c r="EF59" s="24" t="str">
        <f t="shared" si="46"/>
        <v>-----</v>
      </c>
      <c r="EG59" s="24" t="str">
        <f t="shared" si="47"/>
        <v>YES</v>
      </c>
      <c r="EH59" s="24" t="str">
        <f t="shared" si="48"/>
        <v>YES</v>
      </c>
      <c r="EI59" s="25" t="str">
        <f>IF(DV59="Bullish","YES","-----")</f>
        <v>-----</v>
      </c>
      <c r="EJ59" s="25" t="str">
        <f>IF(DZ59="Reverse to Bullish","YES","-----")</f>
        <v>-----</v>
      </c>
      <c r="EK59" s="25" t="str">
        <f>IF(AND(EA59="Bearish",EA58="Bearish",EA57="Bearish",EA56="Bearish"),"YES","-----")</f>
        <v>-----</v>
      </c>
      <c r="EL59" s="25" t="str">
        <f>IF(OR(EC59="TEMA crossover",EC58="TEMA crossover",EC57="TEMA crossover",EC56="TEMA crossover"),"YES","-----")</f>
        <v>-----</v>
      </c>
      <c r="EM59" s="24" t="str">
        <f>IF(AND(EE59="YES",EF59="YES",EG59="YES",EH59="YES"),"Open Sell / Close Buy","-----")</f>
        <v>-----</v>
      </c>
      <c r="EN59" s="25" t="str">
        <f t="shared" si="32"/>
        <v>-----</v>
      </c>
      <c r="EO59" s="23"/>
      <c r="EP59" s="9" t="str">
        <f>IF(AND(H59&gt;AV59,H59&gt;E59),"Bullish Trigger","-----")</f>
        <v>-----</v>
      </c>
      <c r="EQ59" s="9" t="str">
        <f>IF(AND(H59&lt;AW59,H59&lt;E59),"Bearish Trigger","-----")</f>
        <v>-----</v>
      </c>
      <c r="ER59" s="9"/>
      <c r="ES59" s="9" t="str">
        <f>IF(G59&gt;AV59,"Bullish Spike","-----")</f>
        <v>-----</v>
      </c>
      <c r="ET59" s="9" t="str">
        <f>IF(F59&lt;AW59,"Bearish Spike","-----")</f>
        <v>-----</v>
      </c>
      <c r="EU59" s="9"/>
      <c r="EV59" s="20">
        <f t="shared" si="53"/>
        <v>4.6999999999997044E-2</v>
      </c>
      <c r="EW59" s="9">
        <f t="shared" si="24"/>
        <v>-0.66324487639105578</v>
      </c>
      <c r="EX59" s="21" t="str">
        <f t="shared" si="25"/>
        <v>-----</v>
      </c>
      <c r="EY59" s="9"/>
    </row>
    <row r="60" spans="1:155" x14ac:dyDescent="0.55000000000000004">
      <c r="A60">
        <v>56</v>
      </c>
      <c r="B60" t="s">
        <v>59</v>
      </c>
      <c r="C60" t="s">
        <v>4</v>
      </c>
      <c r="D60" t="s">
        <v>103</v>
      </c>
      <c r="E60">
        <v>152.804</v>
      </c>
      <c r="F60">
        <v>152.84899999999999</v>
      </c>
      <c r="G60">
        <v>152.80099999999999</v>
      </c>
      <c r="H60">
        <v>152.83799999999999</v>
      </c>
      <c r="I60">
        <v>152.905</v>
      </c>
      <c r="J60">
        <v>152.89099999999999</v>
      </c>
      <c r="K60">
        <v>153.18100000000001</v>
      </c>
      <c r="L60">
        <v>152.602</v>
      </c>
      <c r="M60">
        <v>152.59</v>
      </c>
      <c r="N60">
        <v>152.85499999999999</v>
      </c>
      <c r="O60" s="16">
        <f t="shared" si="49"/>
        <v>4.8000000000001819E-2</v>
      </c>
      <c r="P60" s="16">
        <f t="shared" si="54"/>
        <v>4.5999999999992269E-2</v>
      </c>
      <c r="Q60" s="16">
        <f t="shared" si="55"/>
        <v>2.0000000000095497E-3</v>
      </c>
      <c r="R60" s="16">
        <f t="shared" si="56"/>
        <v>4.8000000000001819E-2</v>
      </c>
      <c r="S60" s="16">
        <f t="shared" si="65"/>
        <v>7.8002450232542514E-2</v>
      </c>
      <c r="T60">
        <v>0</v>
      </c>
      <c r="U60">
        <v>0</v>
      </c>
      <c r="V60">
        <v>0</v>
      </c>
      <c r="W60">
        <v>0</v>
      </c>
      <c r="Y60" s="9" t="str">
        <f t="shared" si="9"/>
        <v>------</v>
      </c>
      <c r="Z60" s="9" t="str">
        <f t="shared" si="10"/>
        <v>------</v>
      </c>
      <c r="AA60" s="9"/>
      <c r="AB60">
        <v>0</v>
      </c>
      <c r="AD60" t="str">
        <f t="shared" si="58"/>
        <v/>
      </c>
      <c r="AE60">
        <v>0.31561</v>
      </c>
      <c r="AF60">
        <v>0</v>
      </c>
      <c r="AG60">
        <v>153.12676999999999</v>
      </c>
      <c r="AH60">
        <v>153.04134999999999</v>
      </c>
      <c r="AI60">
        <v>152.95593</v>
      </c>
      <c r="AJ60">
        <v>152.87051</v>
      </c>
      <c r="AK60">
        <v>152.78509</v>
      </c>
      <c r="AL60">
        <v>152.70809</v>
      </c>
      <c r="AM60">
        <v>152.62267</v>
      </c>
      <c r="AN60">
        <v>152.53725</v>
      </c>
      <c r="AO60">
        <v>152.45183</v>
      </c>
      <c r="AP60">
        <v>152.36641</v>
      </c>
      <c r="AQ60">
        <v>152.828</v>
      </c>
      <c r="AR60">
        <v>152.77500000000001</v>
      </c>
      <c r="AS60">
        <f t="shared" si="26"/>
        <v>56</v>
      </c>
      <c r="AT60">
        <v>152.834</v>
      </c>
      <c r="AU60">
        <v>152.98400000000001</v>
      </c>
      <c r="AV60">
        <v>152.84800000000001</v>
      </c>
      <c r="AW60">
        <v>152.804</v>
      </c>
      <c r="AY60" s="4">
        <f>I60*(1+$AY$2)</f>
        <v>152.92793575000002</v>
      </c>
      <c r="AZ60" s="4">
        <f>I60*(1-$AY$2)</f>
        <v>152.88206425000001</v>
      </c>
      <c r="BA60" s="4">
        <f>J60*(1+$AY$2)</f>
        <v>152.91393365000002</v>
      </c>
      <c r="BB60" s="4">
        <f>J60*(1-$AY$2)</f>
        <v>152.86806634999999</v>
      </c>
      <c r="BC60" s="4">
        <f>K60*(1+$AY$2)</f>
        <v>153.20397715000001</v>
      </c>
      <c r="BD60" s="4">
        <f>K60*(1-$AY$2)</f>
        <v>153.15802285000001</v>
      </c>
      <c r="BE60" s="4">
        <f>L60*(1+$AY$2)</f>
        <v>152.6248903</v>
      </c>
      <c r="BF60" s="4">
        <f>L60*(1-$AY$2)</f>
        <v>152.5791097</v>
      </c>
      <c r="BG60" s="4">
        <f>M60*(1+$AY$2)</f>
        <v>152.61288850000003</v>
      </c>
      <c r="BH60" s="4">
        <f>M60*(1-$AY$2)</f>
        <v>152.56711150000001</v>
      </c>
      <c r="BI60" s="4">
        <f>N60*(1+$AY$2)</f>
        <v>152.87792825</v>
      </c>
      <c r="BJ60" s="4">
        <f>N60*(1-$AY$2)</f>
        <v>152.83207174999998</v>
      </c>
      <c r="BK60" s="30">
        <f t="shared" si="27"/>
        <v>56</v>
      </c>
      <c r="BL60" s="15" t="str">
        <f t="shared" si="11"/>
        <v>-----</v>
      </c>
      <c r="BM60" s="15" t="str">
        <f t="shared" si="12"/>
        <v>-----</v>
      </c>
      <c r="BN60" s="15" t="str">
        <f t="shared" si="13"/>
        <v>-----</v>
      </c>
      <c r="BO60" s="15" t="str">
        <f t="shared" si="14"/>
        <v>-----</v>
      </c>
      <c r="BP60" s="15" t="str">
        <f t="shared" si="15"/>
        <v>-----</v>
      </c>
      <c r="BQ60" s="15" t="str">
        <f t="shared" si="16"/>
        <v>TOUCH</v>
      </c>
      <c r="BR60" s="22"/>
      <c r="BS60" s="9">
        <f t="shared" si="57"/>
        <v>-2.423265306122455E-3</v>
      </c>
      <c r="BT60" s="9">
        <f>SLOPE(J$5:J$103,$A$5:$A$103)</f>
        <v>-3.7194805194805478E-4</v>
      </c>
      <c r="BU60" s="9">
        <f>SLOPE(K$5:K$103,$A$5:$A$103)</f>
        <v>-1.6402721088435472E-3</v>
      </c>
      <c r="BV60" s="9">
        <f>SLOPE(L$5:L$103,$A$5:$A$103)</f>
        <v>7.6471243042669956E-4</v>
      </c>
      <c r="BW60" s="9">
        <f>SLOPE(M$5:M$103,$A$5:$A$103)</f>
        <v>-2.3081014223875058E-4</v>
      </c>
      <c r="BX60" s="9">
        <f>SLOPE(N$5:N$103,$A$5:$A$103)</f>
        <v>1.5802844774273381E-3</v>
      </c>
      <c r="BY60"/>
      <c r="BZ60" s="9">
        <f t="shared" si="59"/>
        <v>-1.9079214597220278</v>
      </c>
      <c r="CA60" s="9">
        <f t="shared" si="60"/>
        <v>-0.29295343676527091</v>
      </c>
      <c r="CB60" s="9">
        <f t="shared" si="61"/>
        <v>-1.2917022253843653</v>
      </c>
      <c r="CC60" s="9">
        <f t="shared" si="62"/>
        <v>0.60228527619529781</v>
      </c>
      <c r="CD60" s="9">
        <f t="shared" si="63"/>
        <v>-0.18179147971962978</v>
      </c>
      <c r="CE60" s="9">
        <f t="shared" si="64"/>
        <v>1.2444775446344229</v>
      </c>
      <c r="CF60"/>
      <c r="CG60" s="18" t="str" cm="1">
        <f t="array" ref="CG60">_xlfn.IFS(BZ60&gt;3,"Strong + Slope",BZ60&gt;1.5,"Moderate + Slope",BZ60&gt;0.5,"Sideway + Slope",BZ60&gt;=-0.5,"Sideway Flat",BZ60&gt;=-1.5,"Sideway - Slope",BZ60&gt;=-3,"Moderate - Slope",TRUE,"Strong - Slope")</f>
        <v>Moderate - Slope</v>
      </c>
      <c r="CH60" s="18" t="str" cm="1">
        <f t="array" ref="CH60">_xlfn.IFS(CA60&gt;3,"Strong + Slope",CA60&gt;1.5,"Moderate + Slope",CA60&gt;0.5,"Sideway + Slope",CA60&gt;=-0.5,"Sideway Flat",CA60&gt;=-1.5,"Sideway - Slope",CA60&gt;=-3,"Moderate - Slope",TRUE,"Strong - Slope")</f>
        <v>Sideway Flat</v>
      </c>
      <c r="CI60" s="18" t="str" cm="1">
        <f t="array" ref="CI60">_xlfn.IFS(CB60&gt;3,"Strong + Slope",CB60&gt;1.5,"Moderate + Slope",CB60&gt;0.5,"Sideway + Slope",CB60&gt;=-0.5,"Sideway Flat",CB60&gt;=-1.5,"Sideway - Slope",CB60&gt;=-3,"Moderate - Slope",TRUE,"Strong - Slope")</f>
        <v>Sideway - Slope</v>
      </c>
      <c r="CJ60" s="18" t="str" cm="1">
        <f t="array" ref="CJ60">_xlfn.IFS(CC60&gt;3,"Strong + Slope",CC60&gt;1.5,"Moderate + Slope",CC60&gt;0.5,"Sideway + Slope",CC60&gt;=-0.5,"Sideway Flat",CC60&gt;=-1.5,"Sideway - Slope",CC60&gt;=-3,"Moderate - Slope",TRUE,"Strong - Slope")</f>
        <v>Sideway + Slope</v>
      </c>
      <c r="CK60" s="18" t="str" cm="1">
        <f t="array" ref="CK60">_xlfn.IFS(CD60&gt;3,"Strong + Slope",CD60&gt;1.5,"Moderate + Slope",CD60&gt;0.5,"Sideway + Slope",CD60&gt;=-0.5,"Sideway Flat",CD60&gt;=-1.5,"Sideway - Slope",CD60&gt;=-3,"Moderate - Slope",TRUE,"Strong - Slope")</f>
        <v>Sideway Flat</v>
      </c>
      <c r="CL60" s="18" t="str" cm="1">
        <f t="array" ref="CL60">_xlfn.IFS(CE60&gt;3,"Strong + Slope",CE60&gt;1.5,"Moderate + Slope",CE60&gt;0.5,"Sideway + Slope",CE60&gt;=-0.5,"Sideway Flat",CE60&gt;=-1.5,"Sideway - Slope",CE60&gt;=-3,"Moderate - Slope",TRUE,"Strong - Slope")</f>
        <v>Sideway + Slope</v>
      </c>
      <c r="CM60" s="9"/>
      <c r="CN60" s="9">
        <f>RANK(I60,$I60:$N60,0)</f>
        <v>2</v>
      </c>
      <c r="CO60" s="9">
        <f>RANK(J60,$I60:$N60,0)</f>
        <v>3</v>
      </c>
      <c r="CP60" s="9">
        <f>RANK(K60,$I60:$N60,0)</f>
        <v>1</v>
      </c>
      <c r="CQ60" s="9">
        <f>RANK(L60,$I60:$N60,0)</f>
        <v>5</v>
      </c>
      <c r="CR60" s="9">
        <f>RANK(M60,$I60:$N60,0)</f>
        <v>6</v>
      </c>
      <c r="CS60" s="9">
        <f>RANK(N60,$I60:$N60,0)</f>
        <v>4</v>
      </c>
      <c r="CT60" s="9"/>
      <c r="CU60" s="9" t="str">
        <f>IF($H60&gt;I60,"SUP","RES")</f>
        <v>RES</v>
      </c>
      <c r="CV60" s="9" t="str">
        <f>IF($H60&gt;J60,"SUP","RES")</f>
        <v>RES</v>
      </c>
      <c r="CW60" s="9" t="str">
        <f>IF($H60&gt;K60,"SUP","RES")</f>
        <v>RES</v>
      </c>
      <c r="CX60" s="9" t="str">
        <f>IF($H60&gt;L60,"SUP","RES")</f>
        <v>SUP</v>
      </c>
      <c r="CY60" s="9" t="str">
        <f>IF($H60&gt;M60,"SUP","RES")</f>
        <v>SUP</v>
      </c>
      <c r="CZ60" s="9" t="str">
        <f>IF($H60&gt;N60,"SUP","RES")</f>
        <v>RES</v>
      </c>
      <c r="DA60" s="9"/>
      <c r="DB60" s="12">
        <f>(I60-$H60)/$H60</f>
        <v>4.3837265601491304E-4</v>
      </c>
      <c r="DC60" s="12">
        <f>(J60-$H60)/$H60</f>
        <v>3.4677239953412943E-4</v>
      </c>
      <c r="DD60" s="12">
        <f>(K60-$H60)/$H60</f>
        <v>2.2442062837777109E-3</v>
      </c>
      <c r="DE60" s="12">
        <f>(L60-$H60)/$H60</f>
        <v>-1.5441186092463263E-3</v>
      </c>
      <c r="DF60" s="12">
        <f>(M60-$H60)/$H60</f>
        <v>-1.6226331148012304E-3</v>
      </c>
      <c r="DG60" s="12">
        <f>(N60-$H60)/$H60</f>
        <v>1.1122888286941669E-4</v>
      </c>
      <c r="DH60" s="12"/>
      <c r="DI60" s="12">
        <f>((H60-MIN(I60:N60))/(MAX(I60:N60)-MIN(I60:N60)))</f>
        <v>0.41962774957696619</v>
      </c>
      <c r="DJ60" s="13">
        <f t="shared" si="50"/>
        <v>4</v>
      </c>
      <c r="DK60" s="14">
        <f t="shared" si="51"/>
        <v>2</v>
      </c>
      <c r="DL60" s="12">
        <f t="shared" si="18"/>
        <v>2.2442062837777109E-3</v>
      </c>
      <c r="DM60" s="12">
        <f t="shared" si="19"/>
        <v>4.3837265601491304E-4</v>
      </c>
      <c r="DN60" s="12">
        <f t="shared" si="20"/>
        <v>3.4677239953412943E-4</v>
      </c>
      <c r="DO60" s="12">
        <f t="shared" si="21"/>
        <v>1.1122888286941669E-4</v>
      </c>
      <c r="DP60" s="12">
        <f t="shared" si="22"/>
        <v>-1.5441186092463263E-3</v>
      </c>
      <c r="DQ60" s="12">
        <f t="shared" si="23"/>
        <v>-1.6226331148012304E-3</v>
      </c>
      <c r="DR60" s="9"/>
      <c r="DS60" s="9" t="str">
        <f>IF(AQ60&gt;AG60,"Overbought",IF(AQ60&gt;AI60,"Bullish Momentum",IF(AQ60&gt;AK60,"Overprice Setting Up","-----")))</f>
        <v>Overprice Setting Up</v>
      </c>
      <c r="DT60" s="9" t="str">
        <f>IF(AQ60&lt;AP60,"Oversold",IF(AQ60&lt;AN60,"Bearish Momentum",IF(AQ60&lt;AL60,"Underprice Setting Up","-----")))</f>
        <v>-----</v>
      </c>
      <c r="DU60" s="9"/>
      <c r="DV60" s="12" t="str">
        <f>IF(AND(AT60&gt;AU60,AT59&gt;AU59,AT58&gt;AU58,AT57&gt;AU57,AT56&gt;AU56,AT55&gt;AU55,AT54&gt;AU54,AT53&gt;AU53,AT52&gt;AU52,AT51&gt;AU51,AT50&gt;AU50,AT49&gt;AU49),"Bullish",IF(AND(AT60&lt;AU60,AT59&lt;AU59,AT58&lt;AU58,AT57&lt;AU57,AT56&lt;AU56,AT55&lt;AU55,AT54&lt;AU54,AT53&lt;AU53,AT52&lt;AU52,AT51&lt;AU51,AT50&lt;AU50,AT49&lt;AU49),"Bearish","-----"))</f>
        <v>Bearish</v>
      </c>
      <c r="DW60" s="12"/>
      <c r="DX60" s="23">
        <f>(AR60-AT60)/AT60</f>
        <v>-3.8603975555175877E-4</v>
      </c>
      <c r="DY60" s="23">
        <f t="shared" si="52"/>
        <v>0.18532637686720771</v>
      </c>
      <c r="DZ60" s="23" t="str">
        <f>IF(DY60&gt;PERCENTILE($DY$5:$DY$103,90%),"Reverse to Bearish",IF(DY60&gt;=PERCENTILE($DY$5:$DY$103,70%),"-----",IF(DY60&gt;=PERCENTILE($DY$5:$DY$103,30%),"-----",IF(DY60&gt;=PERCENTILE($DY$5:$DY$103,10%),"-----","Reverse to Bullish"))))</f>
        <v>-----</v>
      </c>
      <c r="EA60" s="23" t="str">
        <f>IF(AQ60&gt;AR60,"Bullish","Bearish")</f>
        <v>Bullish</v>
      </c>
      <c r="EB60" s="22" t="str">
        <f>IF(AND(H60&gt;AQ60,H59&lt;AQ59),"TEMA crossover","-----")</f>
        <v>TEMA crossover</v>
      </c>
      <c r="EC60" s="22" t="str">
        <f>IF(AND(H60&lt;AQ60,H59&gt;AQ59),"TEMA crossunder","-----")</f>
        <v>-----</v>
      </c>
      <c r="ED60" s="22"/>
      <c r="EE60" s="24" t="str">
        <f t="shared" si="45"/>
        <v>YES</v>
      </c>
      <c r="EF60" s="24" t="str">
        <f t="shared" si="46"/>
        <v>-----</v>
      </c>
      <c r="EG60" s="24" t="str">
        <f t="shared" si="47"/>
        <v>YES</v>
      </c>
      <c r="EH60" s="24" t="str">
        <f t="shared" si="48"/>
        <v>YES</v>
      </c>
      <c r="EI60" s="25" t="str">
        <f>IF(DV60="Bullish","YES","-----")</f>
        <v>-----</v>
      </c>
      <c r="EJ60" s="25" t="str">
        <f>IF(DZ60="Reverse to Bullish","YES","-----")</f>
        <v>-----</v>
      </c>
      <c r="EK60" s="25" t="str">
        <f>IF(AND(EA60="Bearish",EA59="Bearish",EA58="Bearish",EA57="Bearish"),"YES","-----")</f>
        <v>-----</v>
      </c>
      <c r="EL60" s="25" t="str">
        <f>IF(OR(EC60="TEMA crossover",EC59="TEMA crossover",EC58="TEMA crossover",EC57="TEMA crossover"),"YES","-----")</f>
        <v>-----</v>
      </c>
      <c r="EM60" s="24" t="str">
        <f>IF(AND(EE60="YES",EF60="YES",EG60="YES",EH60="YES"),"Open Sell / Close Buy","-----")</f>
        <v>-----</v>
      </c>
      <c r="EN60" s="25" t="str">
        <f t="shared" si="32"/>
        <v>-----</v>
      </c>
      <c r="EO60" s="23"/>
      <c r="EP60" s="9" t="str">
        <f>IF(AND(H60&gt;AV60,H60&gt;E60),"Bullish Trigger","-----")</f>
        <v>-----</v>
      </c>
      <c r="EQ60" s="9" t="str">
        <f>IF(AND(H60&lt;AW60,H60&lt;E60),"Bearish Trigger","-----")</f>
        <v>-----</v>
      </c>
      <c r="ER60" s="9"/>
      <c r="ES60" s="9" t="str">
        <f>IF(G60&gt;AV60,"Bullish Spike","-----")</f>
        <v>-----</v>
      </c>
      <c r="ET60" s="9" t="str">
        <f>IF(F60&lt;AW60,"Bearish Spike","-----")</f>
        <v>-----</v>
      </c>
      <c r="EU60" s="9"/>
      <c r="EV60" s="20">
        <f t="shared" si="53"/>
        <v>4.4000000000011141E-2</v>
      </c>
      <c r="EW60" s="9">
        <f t="shared" si="24"/>
        <v>-0.73238623416121484</v>
      </c>
      <c r="EX60" s="21" t="str">
        <f t="shared" si="25"/>
        <v>-----</v>
      </c>
      <c r="EY60" s="9"/>
    </row>
    <row r="61" spans="1:155" x14ac:dyDescent="0.55000000000000004">
      <c r="A61">
        <v>57</v>
      </c>
      <c r="B61" t="s">
        <v>60</v>
      </c>
      <c r="C61" t="s">
        <v>4</v>
      </c>
      <c r="D61" t="s">
        <v>103</v>
      </c>
      <c r="E61">
        <v>152.83799999999999</v>
      </c>
      <c r="F61">
        <v>152.87299999999999</v>
      </c>
      <c r="G61">
        <v>152.83799999999999</v>
      </c>
      <c r="H61">
        <v>152.864</v>
      </c>
      <c r="I61">
        <v>152.90299999999999</v>
      </c>
      <c r="J61">
        <v>152.88999999999999</v>
      </c>
      <c r="K61">
        <v>153.179</v>
      </c>
      <c r="L61">
        <v>152.60300000000001</v>
      </c>
      <c r="M61">
        <v>152.59</v>
      </c>
      <c r="N61">
        <v>152.857</v>
      </c>
      <c r="O61" s="16">
        <f t="shared" si="49"/>
        <v>3.4999999999996589E-2</v>
      </c>
      <c r="P61" s="16">
        <f t="shared" si="54"/>
        <v>3.4999999999996589E-2</v>
      </c>
      <c r="Q61" s="16">
        <f t="shared" si="55"/>
        <v>0</v>
      </c>
      <c r="R61" s="16">
        <f t="shared" si="56"/>
        <v>3.4999999999996589E-2</v>
      </c>
      <c r="S61" s="16">
        <f t="shared" si="65"/>
        <v>7.4930846644503529E-2</v>
      </c>
      <c r="T61">
        <v>0</v>
      </c>
      <c r="U61">
        <v>0</v>
      </c>
      <c r="V61">
        <v>0</v>
      </c>
      <c r="W61">
        <v>0</v>
      </c>
      <c r="Y61" s="9" t="str">
        <f t="shared" si="9"/>
        <v>------</v>
      </c>
      <c r="Z61" s="9" t="str">
        <f t="shared" si="10"/>
        <v>------</v>
      </c>
      <c r="AA61" s="9"/>
      <c r="AB61">
        <v>0</v>
      </c>
      <c r="AD61" t="str">
        <f t="shared" si="58"/>
        <v/>
      </c>
      <c r="AE61">
        <v>0.50107999999999997</v>
      </c>
      <c r="AF61">
        <v>0</v>
      </c>
      <c r="AG61">
        <v>153.12521000000001</v>
      </c>
      <c r="AH61">
        <v>153.03980000000001</v>
      </c>
      <c r="AI61">
        <v>152.95439999999999</v>
      </c>
      <c r="AJ61">
        <v>152.86899</v>
      </c>
      <c r="AK61">
        <v>152.78358</v>
      </c>
      <c r="AL61">
        <v>152.70963</v>
      </c>
      <c r="AM61">
        <v>152.62422000000001</v>
      </c>
      <c r="AN61">
        <v>152.53881000000001</v>
      </c>
      <c r="AO61">
        <v>152.45340999999999</v>
      </c>
      <c r="AP61">
        <v>152.36799999999999</v>
      </c>
      <c r="AQ61">
        <v>152.84899999999999</v>
      </c>
      <c r="AR61">
        <v>152.78800000000001</v>
      </c>
      <c r="AS61">
        <f t="shared" si="26"/>
        <v>57</v>
      </c>
      <c r="AT61">
        <v>152.83600000000001</v>
      </c>
      <c r="AU61">
        <v>152.97999999999999</v>
      </c>
      <c r="AV61">
        <v>152.86500000000001</v>
      </c>
      <c r="AW61">
        <v>152.82900000000001</v>
      </c>
      <c r="AY61" s="4">
        <f>I61*(1+$AY$2)</f>
        <v>152.92593545</v>
      </c>
      <c r="AZ61" s="4">
        <f>I61*(1-$AY$2)</f>
        <v>152.88006454999999</v>
      </c>
      <c r="BA61" s="4">
        <f>J61*(1+$AY$2)</f>
        <v>152.91293350000001</v>
      </c>
      <c r="BB61" s="4">
        <f>J61*(1-$AY$2)</f>
        <v>152.86706649999999</v>
      </c>
      <c r="BC61" s="4">
        <f>K61*(1+$AY$2)</f>
        <v>153.20197685000002</v>
      </c>
      <c r="BD61" s="4">
        <f>K61*(1-$AY$2)</f>
        <v>153.15602315000001</v>
      </c>
      <c r="BE61" s="4">
        <f>L61*(1+$AY$2)</f>
        <v>152.62589045000001</v>
      </c>
      <c r="BF61" s="4">
        <f>L61*(1-$AY$2)</f>
        <v>152.58010955</v>
      </c>
      <c r="BG61" s="4">
        <f>M61*(1+$AY$2)</f>
        <v>152.61288850000003</v>
      </c>
      <c r="BH61" s="4">
        <f>M61*(1-$AY$2)</f>
        <v>152.56711150000001</v>
      </c>
      <c r="BI61" s="4">
        <f>N61*(1+$AY$2)</f>
        <v>152.87992855000002</v>
      </c>
      <c r="BJ61" s="4">
        <f>N61*(1-$AY$2)</f>
        <v>152.83407145000001</v>
      </c>
      <c r="BK61" s="30">
        <f t="shared" si="27"/>
        <v>57</v>
      </c>
      <c r="BL61" s="15" t="str">
        <f t="shared" si="11"/>
        <v>-----</v>
      </c>
      <c r="BM61" s="15" t="str">
        <f t="shared" si="12"/>
        <v>-----</v>
      </c>
      <c r="BN61" s="15" t="str">
        <f t="shared" si="13"/>
        <v>-----</v>
      </c>
      <c r="BO61" s="15" t="str">
        <f t="shared" si="14"/>
        <v>-----</v>
      </c>
      <c r="BP61" s="15" t="str">
        <f t="shared" si="15"/>
        <v>-----</v>
      </c>
      <c r="BQ61" s="15" t="str">
        <f t="shared" si="16"/>
        <v>TOUCH</v>
      </c>
      <c r="BR61" s="22"/>
      <c r="BS61" s="9">
        <f t="shared" si="57"/>
        <v>-2.423265306122455E-3</v>
      </c>
      <c r="BT61" s="9">
        <f>SLOPE(J$5:J$103,$A$5:$A$103)</f>
        <v>-3.7194805194805478E-4</v>
      </c>
      <c r="BU61" s="9">
        <f>SLOPE(K$5:K$103,$A$5:$A$103)</f>
        <v>-1.6402721088435472E-3</v>
      </c>
      <c r="BV61" s="9">
        <f>SLOPE(L$5:L$103,$A$5:$A$103)</f>
        <v>7.6471243042669956E-4</v>
      </c>
      <c r="BW61" s="9">
        <f>SLOPE(M$5:M$103,$A$5:$A$103)</f>
        <v>-2.3081014223875058E-4</v>
      </c>
      <c r="BX61" s="9">
        <f>SLOPE(N$5:N$103,$A$5:$A$103)</f>
        <v>1.5802844774273381E-3</v>
      </c>
      <c r="BY61"/>
      <c r="BZ61" s="9">
        <f t="shared" si="59"/>
        <v>-1.9079214597220278</v>
      </c>
      <c r="CA61" s="9">
        <f t="shared" si="60"/>
        <v>-0.29295343676527091</v>
      </c>
      <c r="CB61" s="9">
        <f t="shared" si="61"/>
        <v>-1.2917022253843653</v>
      </c>
      <c r="CC61" s="9">
        <f t="shared" si="62"/>
        <v>0.60228527619529781</v>
      </c>
      <c r="CD61" s="9">
        <f t="shared" si="63"/>
        <v>-0.18179147971962978</v>
      </c>
      <c r="CE61" s="9">
        <f t="shared" si="64"/>
        <v>1.2444775446344229</v>
      </c>
      <c r="CF61"/>
      <c r="CG61" s="18" t="str" cm="1">
        <f t="array" ref="CG61">_xlfn.IFS(BZ61&gt;3,"Strong + Slope",BZ61&gt;1.5,"Moderate + Slope",BZ61&gt;0.5,"Sideway + Slope",BZ61&gt;=-0.5,"Sideway Flat",BZ61&gt;=-1.5,"Sideway - Slope",BZ61&gt;=-3,"Moderate - Slope",TRUE,"Strong - Slope")</f>
        <v>Moderate - Slope</v>
      </c>
      <c r="CH61" s="18" t="str" cm="1">
        <f t="array" ref="CH61">_xlfn.IFS(CA61&gt;3,"Strong + Slope",CA61&gt;1.5,"Moderate + Slope",CA61&gt;0.5,"Sideway + Slope",CA61&gt;=-0.5,"Sideway Flat",CA61&gt;=-1.5,"Sideway - Slope",CA61&gt;=-3,"Moderate - Slope",TRUE,"Strong - Slope")</f>
        <v>Sideway Flat</v>
      </c>
      <c r="CI61" s="18" t="str" cm="1">
        <f t="array" ref="CI61">_xlfn.IFS(CB61&gt;3,"Strong + Slope",CB61&gt;1.5,"Moderate + Slope",CB61&gt;0.5,"Sideway + Slope",CB61&gt;=-0.5,"Sideway Flat",CB61&gt;=-1.5,"Sideway - Slope",CB61&gt;=-3,"Moderate - Slope",TRUE,"Strong - Slope")</f>
        <v>Sideway - Slope</v>
      </c>
      <c r="CJ61" s="18" t="str" cm="1">
        <f t="array" ref="CJ61">_xlfn.IFS(CC61&gt;3,"Strong + Slope",CC61&gt;1.5,"Moderate + Slope",CC61&gt;0.5,"Sideway + Slope",CC61&gt;=-0.5,"Sideway Flat",CC61&gt;=-1.5,"Sideway - Slope",CC61&gt;=-3,"Moderate - Slope",TRUE,"Strong - Slope")</f>
        <v>Sideway + Slope</v>
      </c>
      <c r="CK61" s="18" t="str" cm="1">
        <f t="array" ref="CK61">_xlfn.IFS(CD61&gt;3,"Strong + Slope",CD61&gt;1.5,"Moderate + Slope",CD61&gt;0.5,"Sideway + Slope",CD61&gt;=-0.5,"Sideway Flat",CD61&gt;=-1.5,"Sideway - Slope",CD61&gt;=-3,"Moderate - Slope",TRUE,"Strong - Slope")</f>
        <v>Sideway Flat</v>
      </c>
      <c r="CL61" s="18" t="str" cm="1">
        <f t="array" ref="CL61">_xlfn.IFS(CE61&gt;3,"Strong + Slope",CE61&gt;1.5,"Moderate + Slope",CE61&gt;0.5,"Sideway + Slope",CE61&gt;=-0.5,"Sideway Flat",CE61&gt;=-1.5,"Sideway - Slope",CE61&gt;=-3,"Moderate - Slope",TRUE,"Strong - Slope")</f>
        <v>Sideway + Slope</v>
      </c>
      <c r="CM61" s="9"/>
      <c r="CN61" s="9">
        <f>RANK(I61,$I61:$N61,0)</f>
        <v>2</v>
      </c>
      <c r="CO61" s="9">
        <f>RANK(J61,$I61:$N61,0)</f>
        <v>3</v>
      </c>
      <c r="CP61" s="9">
        <f>RANK(K61,$I61:$N61,0)</f>
        <v>1</v>
      </c>
      <c r="CQ61" s="9">
        <f>RANK(L61,$I61:$N61,0)</f>
        <v>5</v>
      </c>
      <c r="CR61" s="9">
        <f>RANK(M61,$I61:$N61,0)</f>
        <v>6</v>
      </c>
      <c r="CS61" s="9">
        <f>RANK(N61,$I61:$N61,0)</f>
        <v>4</v>
      </c>
      <c r="CT61" s="9"/>
      <c r="CU61" s="9" t="str">
        <f>IF($H61&gt;I61,"SUP","RES")</f>
        <v>RES</v>
      </c>
      <c r="CV61" s="9" t="str">
        <f>IF($H61&gt;J61,"SUP","RES")</f>
        <v>RES</v>
      </c>
      <c r="CW61" s="9" t="str">
        <f>IF($H61&gt;K61,"SUP","RES")</f>
        <v>RES</v>
      </c>
      <c r="CX61" s="9" t="str">
        <f>IF($H61&gt;L61,"SUP","RES")</f>
        <v>SUP</v>
      </c>
      <c r="CY61" s="9" t="str">
        <f>IF($H61&gt;M61,"SUP","RES")</f>
        <v>SUP</v>
      </c>
      <c r="CZ61" s="9" t="str">
        <f>IF($H61&gt;N61,"SUP","RES")</f>
        <v>SUP</v>
      </c>
      <c r="DA61" s="9"/>
      <c r="DB61" s="12">
        <f>(I61-$H61)/$H61</f>
        <v>2.5512874188813103E-4</v>
      </c>
      <c r="DC61" s="12">
        <f>(J61-$H61)/$H61</f>
        <v>1.7008582792535872E-4</v>
      </c>
      <c r="DD61" s="12">
        <f>(K61-$H61)/$H61</f>
        <v>2.0606552229432548E-3</v>
      </c>
      <c r="DE61" s="12">
        <f>(L61-$H61)/$H61</f>
        <v>-1.7074000418672525E-3</v>
      </c>
      <c r="DF61" s="12">
        <f>(M61-$H61)/$H61</f>
        <v>-1.7924429558300247E-3</v>
      </c>
      <c r="DG61" s="12">
        <f>(N61-$H61)/$H61</f>
        <v>-4.5792338287660943E-5</v>
      </c>
      <c r="DH61" s="12"/>
      <c r="DI61" s="12">
        <f>((H61-MIN(I61:N61))/(MAX(I61:N61)-MIN(I61:N61)))</f>
        <v>0.46519524617996866</v>
      </c>
      <c r="DJ61" s="13">
        <f t="shared" si="50"/>
        <v>3</v>
      </c>
      <c r="DK61" s="14">
        <f t="shared" si="51"/>
        <v>3</v>
      </c>
      <c r="DL61" s="12">
        <f t="shared" si="18"/>
        <v>2.0606552229432548E-3</v>
      </c>
      <c r="DM61" s="12">
        <f t="shared" si="19"/>
        <v>2.5512874188813103E-4</v>
      </c>
      <c r="DN61" s="12">
        <f t="shared" si="20"/>
        <v>1.7008582792535872E-4</v>
      </c>
      <c r="DO61" s="12">
        <f t="shared" si="21"/>
        <v>-4.5792338287660943E-5</v>
      </c>
      <c r="DP61" s="12">
        <f t="shared" si="22"/>
        <v>-1.7074000418672525E-3</v>
      </c>
      <c r="DQ61" s="12">
        <f t="shared" si="23"/>
        <v>-1.7924429558300247E-3</v>
      </c>
      <c r="DR61" s="9"/>
      <c r="DS61" s="9" t="str">
        <f>IF(AQ61&gt;AG61,"Overbought",IF(AQ61&gt;AI61,"Bullish Momentum",IF(AQ61&gt;AK61,"Overprice Setting Up","-----")))</f>
        <v>Overprice Setting Up</v>
      </c>
      <c r="DT61" s="9" t="str">
        <f>IF(AQ61&lt;AP61,"Oversold",IF(AQ61&lt;AN61,"Bearish Momentum",IF(AQ61&lt;AL61,"Underprice Setting Up","-----")))</f>
        <v>-----</v>
      </c>
      <c r="DU61" s="9"/>
      <c r="DV61" s="12" t="str">
        <f>IF(AND(AT61&gt;AU61,AT60&gt;AU60,AT59&gt;AU59,AT58&gt;AU58,AT57&gt;AU57,AT56&gt;AU56,AT55&gt;AU55,AT54&gt;AU54,AT53&gt;AU53,AT52&gt;AU52,AT51&gt;AU51,AT50&gt;AU50),"Bullish",IF(AND(AT61&lt;AU61,AT60&lt;AU60,AT59&lt;AU59,AT58&lt;AU58,AT57&lt;AU57,AT56&lt;AU56,AT55&lt;AU55,AT54&lt;AU54,AT53&lt;AU53,AT52&lt;AU52,AT51&lt;AU51,AT50&lt;AU50),"Bearish","-----"))</f>
        <v>Bearish</v>
      </c>
      <c r="DW61" s="12"/>
      <c r="DX61" s="23">
        <f>(AR61-AT61)/AT61</f>
        <v>-3.1406213195845099E-4</v>
      </c>
      <c r="DY61" s="23">
        <f t="shared" si="52"/>
        <v>0.39291364207989077</v>
      </c>
      <c r="DZ61" s="23" t="str">
        <f>IF(DY61&gt;PERCENTILE($DY$5:$DY$103,90%),"Reverse to Bearish",IF(DY61&gt;=PERCENTILE($DY$5:$DY$103,70%),"-----",IF(DY61&gt;=PERCENTILE($DY$5:$DY$103,30%),"-----",IF(DY61&gt;=PERCENTILE($DY$5:$DY$103,10%),"-----","Reverse to Bullish"))))</f>
        <v>-----</v>
      </c>
      <c r="EA61" s="23" t="str">
        <f>IF(AQ61&gt;AR61,"Bullish","Bearish")</f>
        <v>Bullish</v>
      </c>
      <c r="EB61" s="22" t="str">
        <f>IF(AND(H61&gt;AQ61,H60&lt;AQ60),"TEMA crossover","-----")</f>
        <v>-----</v>
      </c>
      <c r="EC61" s="22" t="str">
        <f>IF(AND(H61&lt;AQ61,H60&gt;AQ60),"TEMA crossunder","-----")</f>
        <v>-----</v>
      </c>
      <c r="ED61" s="22"/>
      <c r="EE61" s="24" t="str">
        <f t="shared" si="45"/>
        <v>YES</v>
      </c>
      <c r="EF61" s="24" t="str">
        <f t="shared" si="46"/>
        <v>-----</v>
      </c>
      <c r="EG61" s="24" t="str">
        <f t="shared" si="47"/>
        <v>YES</v>
      </c>
      <c r="EH61" s="24" t="str">
        <f t="shared" si="48"/>
        <v>YES</v>
      </c>
      <c r="EI61" s="25" t="str">
        <f>IF(DV61="Bullish","YES","-----")</f>
        <v>-----</v>
      </c>
      <c r="EJ61" s="25" t="str">
        <f>IF(DZ61="Reverse to Bullish","YES","-----")</f>
        <v>-----</v>
      </c>
      <c r="EK61" s="25" t="str">
        <f>IF(AND(EA61="Bearish",EA60="Bearish",EA59="Bearish",EA58="Bearish"),"YES","-----")</f>
        <v>-----</v>
      </c>
      <c r="EL61" s="25" t="str">
        <f>IF(OR(EC61="TEMA crossover",EC60="TEMA crossover",EC59="TEMA crossover",EC58="TEMA crossover"),"YES","-----")</f>
        <v>-----</v>
      </c>
      <c r="EM61" s="24" t="str">
        <f>IF(AND(EE61="YES",EF61="YES",EG61="YES",EH61="YES"),"Open Sell / Close Buy","-----")</f>
        <v>-----</v>
      </c>
      <c r="EN61" s="25" t="str">
        <f t="shared" si="32"/>
        <v>-----</v>
      </c>
      <c r="EO61" s="23"/>
      <c r="EP61" s="9" t="str">
        <f>IF(AND(H61&gt;AV61,H61&gt;E61),"Bullish Trigger","-----")</f>
        <v>-----</v>
      </c>
      <c r="EQ61" s="9" t="str">
        <f>IF(AND(H61&lt;AW61,H61&lt;E61),"Bearish Trigger","-----")</f>
        <v>-----</v>
      </c>
      <c r="ER61" s="9"/>
      <c r="ES61" s="9" t="str">
        <f>IF(G61&gt;AV61,"Bullish Spike","-----")</f>
        <v>-----</v>
      </c>
      <c r="ET61" s="9" t="str">
        <f>IF(F61&lt;AW61,"Bearish Spike","-----")</f>
        <v>-----</v>
      </c>
      <c r="EU61" s="9"/>
      <c r="EV61" s="20">
        <f t="shared" si="53"/>
        <v>3.6000000000001364E-2</v>
      </c>
      <c r="EW61" s="9">
        <f t="shared" si="24"/>
        <v>-0.91676318821606417</v>
      </c>
      <c r="EX61" s="21" t="str">
        <f t="shared" si="25"/>
        <v>-----</v>
      </c>
      <c r="EY61" s="9"/>
    </row>
    <row r="62" spans="1:155" x14ac:dyDescent="0.55000000000000004">
      <c r="A62">
        <v>58</v>
      </c>
      <c r="B62" t="s">
        <v>61</v>
      </c>
      <c r="C62" t="s">
        <v>4</v>
      </c>
      <c r="D62" t="s">
        <v>103</v>
      </c>
      <c r="E62">
        <v>152.86099999999999</v>
      </c>
      <c r="F62">
        <v>152.86500000000001</v>
      </c>
      <c r="G62">
        <v>152.81200000000001</v>
      </c>
      <c r="H62">
        <v>152.81299999999999</v>
      </c>
      <c r="I62">
        <v>152.9</v>
      </c>
      <c r="J62">
        <v>152.88999999999999</v>
      </c>
      <c r="K62">
        <v>153.17699999999999</v>
      </c>
      <c r="L62">
        <v>152.60400000000001</v>
      </c>
      <c r="M62">
        <v>152.59</v>
      </c>
      <c r="N62">
        <v>152.858</v>
      </c>
      <c r="O62" s="16">
        <f t="shared" si="49"/>
        <v>5.2999999999997272E-2</v>
      </c>
      <c r="P62" s="16">
        <f t="shared" si="54"/>
        <v>1.0000000000047748E-3</v>
      </c>
      <c r="Q62" s="16">
        <f t="shared" si="55"/>
        <v>5.1999999999992497E-2</v>
      </c>
      <c r="R62" s="16">
        <f t="shared" si="56"/>
        <v>5.2999999999997272E-2</v>
      </c>
      <c r="S62" s="16">
        <f t="shared" si="65"/>
        <v>7.3364357598467364E-2</v>
      </c>
      <c r="T62">
        <v>0</v>
      </c>
      <c r="U62">
        <v>0</v>
      </c>
      <c r="V62">
        <v>0</v>
      </c>
      <c r="W62">
        <v>0</v>
      </c>
      <c r="Y62" s="9" t="str">
        <f t="shared" si="9"/>
        <v>------</v>
      </c>
      <c r="Z62" s="9" t="str">
        <f t="shared" si="10"/>
        <v>------</v>
      </c>
      <c r="AA62" s="9"/>
      <c r="AB62">
        <v>0</v>
      </c>
      <c r="AD62" t="str">
        <f t="shared" si="58"/>
        <v/>
      </c>
      <c r="AE62">
        <v>2.572E-2</v>
      </c>
      <c r="AF62">
        <v>3</v>
      </c>
      <c r="AG62">
        <v>153.12472</v>
      </c>
      <c r="AH62">
        <v>153.0393</v>
      </c>
      <c r="AI62">
        <v>152.95386999999999</v>
      </c>
      <c r="AJ62">
        <v>152.86845</v>
      </c>
      <c r="AK62">
        <v>152.78301999999999</v>
      </c>
      <c r="AL62">
        <v>152.71182999999999</v>
      </c>
      <c r="AM62">
        <v>152.62640999999999</v>
      </c>
      <c r="AN62">
        <v>152.54097999999999</v>
      </c>
      <c r="AO62">
        <v>152.45555999999999</v>
      </c>
      <c r="AP62">
        <v>152.37012999999999</v>
      </c>
      <c r="AQ62">
        <v>152.84800000000001</v>
      </c>
      <c r="AR62">
        <v>152.798</v>
      </c>
      <c r="AS62">
        <f t="shared" si="26"/>
        <v>58</v>
      </c>
      <c r="AT62">
        <v>152.83600000000001</v>
      </c>
      <c r="AU62">
        <v>152.976</v>
      </c>
      <c r="AV62">
        <v>152.87200000000001</v>
      </c>
      <c r="AW62">
        <v>152.83000000000001</v>
      </c>
      <c r="AY62" s="4">
        <f>I62*(1+$AY$2)</f>
        <v>152.92293500000002</v>
      </c>
      <c r="AZ62" s="4">
        <f>I62*(1-$AY$2)</f>
        <v>152.87706500000002</v>
      </c>
      <c r="BA62" s="4">
        <f>J62*(1+$AY$2)</f>
        <v>152.91293350000001</v>
      </c>
      <c r="BB62" s="4">
        <f>J62*(1-$AY$2)</f>
        <v>152.86706649999999</v>
      </c>
      <c r="BC62" s="4">
        <f>K62*(1+$AY$2)</f>
        <v>153.19997655</v>
      </c>
      <c r="BD62" s="4">
        <f>K62*(1-$AY$2)</f>
        <v>153.15402344999998</v>
      </c>
      <c r="BE62" s="4">
        <f>L62*(1+$AY$2)</f>
        <v>152.62689060000002</v>
      </c>
      <c r="BF62" s="4">
        <f>L62*(1-$AY$2)</f>
        <v>152.5811094</v>
      </c>
      <c r="BG62" s="4">
        <f>M62*(1+$AY$2)</f>
        <v>152.61288850000003</v>
      </c>
      <c r="BH62" s="4">
        <f>M62*(1-$AY$2)</f>
        <v>152.56711150000001</v>
      </c>
      <c r="BI62" s="4">
        <f>N62*(1+$AY$2)</f>
        <v>152.88092870000003</v>
      </c>
      <c r="BJ62" s="4">
        <f>N62*(1-$AY$2)</f>
        <v>152.83507130000001</v>
      </c>
      <c r="BK62" s="30">
        <f t="shared" si="27"/>
        <v>58</v>
      </c>
      <c r="BL62" s="15" t="str">
        <f t="shared" si="11"/>
        <v>-----</v>
      </c>
      <c r="BM62" s="15" t="str">
        <f t="shared" si="12"/>
        <v>-----</v>
      </c>
      <c r="BN62" s="15" t="str">
        <f t="shared" si="13"/>
        <v>-----</v>
      </c>
      <c r="BO62" s="15" t="str">
        <f t="shared" si="14"/>
        <v>-----</v>
      </c>
      <c r="BP62" s="15" t="str">
        <f t="shared" si="15"/>
        <v>-----</v>
      </c>
      <c r="BQ62" s="15" t="str">
        <f t="shared" si="16"/>
        <v>TOUCH</v>
      </c>
      <c r="BR62" s="22"/>
      <c r="BS62" s="9">
        <f t="shared" si="57"/>
        <v>-2.423265306122455E-3</v>
      </c>
      <c r="BT62" s="9">
        <f>SLOPE(J$5:J$103,$A$5:$A$103)</f>
        <v>-3.7194805194805478E-4</v>
      </c>
      <c r="BU62" s="9">
        <f>SLOPE(K$5:K$103,$A$5:$A$103)</f>
        <v>-1.6402721088435472E-3</v>
      </c>
      <c r="BV62" s="9">
        <f>SLOPE(L$5:L$103,$A$5:$A$103)</f>
        <v>7.6471243042669956E-4</v>
      </c>
      <c r="BW62" s="9">
        <f>SLOPE(M$5:M$103,$A$5:$A$103)</f>
        <v>-2.3081014223875058E-4</v>
      </c>
      <c r="BX62" s="9">
        <f>SLOPE(N$5:N$103,$A$5:$A$103)</f>
        <v>1.5802844774273381E-3</v>
      </c>
      <c r="BY62"/>
      <c r="BZ62" s="9">
        <f t="shared" si="59"/>
        <v>-1.9079214597220278</v>
      </c>
      <c r="CA62" s="9">
        <f t="shared" si="60"/>
        <v>-0.29295343676527091</v>
      </c>
      <c r="CB62" s="9">
        <f t="shared" si="61"/>
        <v>-1.2917022253843653</v>
      </c>
      <c r="CC62" s="9">
        <f t="shared" si="62"/>
        <v>0.60228527619529781</v>
      </c>
      <c r="CD62" s="9">
        <f t="shared" si="63"/>
        <v>-0.18179147971962978</v>
      </c>
      <c r="CE62" s="9">
        <f t="shared" si="64"/>
        <v>1.2444775446344229</v>
      </c>
      <c r="CF62"/>
      <c r="CG62" s="18" t="str" cm="1">
        <f t="array" ref="CG62">_xlfn.IFS(BZ62&gt;3,"Strong + Slope",BZ62&gt;1.5,"Moderate + Slope",BZ62&gt;0.5,"Sideway + Slope",BZ62&gt;=-0.5,"Sideway Flat",BZ62&gt;=-1.5,"Sideway - Slope",BZ62&gt;=-3,"Moderate - Slope",TRUE,"Strong - Slope")</f>
        <v>Moderate - Slope</v>
      </c>
      <c r="CH62" s="18" t="str" cm="1">
        <f t="array" ref="CH62">_xlfn.IFS(CA62&gt;3,"Strong + Slope",CA62&gt;1.5,"Moderate + Slope",CA62&gt;0.5,"Sideway + Slope",CA62&gt;=-0.5,"Sideway Flat",CA62&gt;=-1.5,"Sideway - Slope",CA62&gt;=-3,"Moderate - Slope",TRUE,"Strong - Slope")</f>
        <v>Sideway Flat</v>
      </c>
      <c r="CI62" s="18" t="str" cm="1">
        <f t="array" ref="CI62">_xlfn.IFS(CB62&gt;3,"Strong + Slope",CB62&gt;1.5,"Moderate + Slope",CB62&gt;0.5,"Sideway + Slope",CB62&gt;=-0.5,"Sideway Flat",CB62&gt;=-1.5,"Sideway - Slope",CB62&gt;=-3,"Moderate - Slope",TRUE,"Strong - Slope")</f>
        <v>Sideway - Slope</v>
      </c>
      <c r="CJ62" s="18" t="str" cm="1">
        <f t="array" ref="CJ62">_xlfn.IFS(CC62&gt;3,"Strong + Slope",CC62&gt;1.5,"Moderate + Slope",CC62&gt;0.5,"Sideway + Slope",CC62&gt;=-0.5,"Sideway Flat",CC62&gt;=-1.5,"Sideway - Slope",CC62&gt;=-3,"Moderate - Slope",TRUE,"Strong - Slope")</f>
        <v>Sideway + Slope</v>
      </c>
      <c r="CK62" s="18" t="str" cm="1">
        <f t="array" ref="CK62">_xlfn.IFS(CD62&gt;3,"Strong + Slope",CD62&gt;1.5,"Moderate + Slope",CD62&gt;0.5,"Sideway + Slope",CD62&gt;=-0.5,"Sideway Flat",CD62&gt;=-1.5,"Sideway - Slope",CD62&gt;=-3,"Moderate - Slope",TRUE,"Strong - Slope")</f>
        <v>Sideway Flat</v>
      </c>
      <c r="CL62" s="18" t="str" cm="1">
        <f t="array" ref="CL62">_xlfn.IFS(CE62&gt;3,"Strong + Slope",CE62&gt;1.5,"Moderate + Slope",CE62&gt;0.5,"Sideway + Slope",CE62&gt;=-0.5,"Sideway Flat",CE62&gt;=-1.5,"Sideway - Slope",CE62&gt;=-3,"Moderate - Slope",TRUE,"Strong - Slope")</f>
        <v>Sideway + Slope</v>
      </c>
      <c r="CM62" s="9"/>
      <c r="CN62" s="9">
        <f>RANK(I62,$I62:$N62,0)</f>
        <v>2</v>
      </c>
      <c r="CO62" s="9">
        <f>RANK(J62,$I62:$N62,0)</f>
        <v>3</v>
      </c>
      <c r="CP62" s="9">
        <f>RANK(K62,$I62:$N62,0)</f>
        <v>1</v>
      </c>
      <c r="CQ62" s="9">
        <f>RANK(L62,$I62:$N62,0)</f>
        <v>5</v>
      </c>
      <c r="CR62" s="9">
        <f>RANK(M62,$I62:$N62,0)</f>
        <v>6</v>
      </c>
      <c r="CS62" s="9">
        <f>RANK(N62,$I62:$N62,0)</f>
        <v>4</v>
      </c>
      <c r="CT62" s="9"/>
      <c r="CU62" s="9" t="str">
        <f>IF($H62&gt;I62,"SUP","RES")</f>
        <v>RES</v>
      </c>
      <c r="CV62" s="9" t="str">
        <f>IF($H62&gt;J62,"SUP","RES")</f>
        <v>RES</v>
      </c>
      <c r="CW62" s="9" t="str">
        <f>IF($H62&gt;K62,"SUP","RES")</f>
        <v>RES</v>
      </c>
      <c r="CX62" s="9" t="str">
        <f>IF($H62&gt;L62,"SUP","RES")</f>
        <v>SUP</v>
      </c>
      <c r="CY62" s="9" t="str">
        <f>IF($H62&gt;M62,"SUP","RES")</f>
        <v>SUP</v>
      </c>
      <c r="CZ62" s="9" t="str">
        <f>IF($H62&gt;N62,"SUP","RES")</f>
        <v>RES</v>
      </c>
      <c r="DA62" s="9"/>
      <c r="DB62" s="12">
        <f>(I62-$H62)/$H62</f>
        <v>5.6932329055785517E-4</v>
      </c>
      <c r="DC62" s="12">
        <f>(J62-$H62)/$H62</f>
        <v>5.0388383187293089E-4</v>
      </c>
      <c r="DD62" s="12">
        <f>(K62-$H62)/$H62</f>
        <v>2.381996296126667E-3</v>
      </c>
      <c r="DE62" s="12">
        <f>(L62-$H62)/$H62</f>
        <v>-1.3676846865121081E-3</v>
      </c>
      <c r="DF62" s="12">
        <f>(M62-$H62)/$H62</f>
        <v>-1.4592999286708905E-3</v>
      </c>
      <c r="DG62" s="12">
        <f>(N62-$H62)/$H62</f>
        <v>2.9447756408169408E-4</v>
      </c>
      <c r="DH62" s="12"/>
      <c r="DI62" s="12">
        <f>((H62-MIN(I62:N62))/(MAX(I62:N62)-MIN(I62:N62)))</f>
        <v>0.37989778534921448</v>
      </c>
      <c r="DJ62" s="13">
        <f t="shared" si="50"/>
        <v>4</v>
      </c>
      <c r="DK62" s="14">
        <f t="shared" si="51"/>
        <v>2</v>
      </c>
      <c r="DL62" s="12">
        <f t="shared" si="18"/>
        <v>2.381996296126667E-3</v>
      </c>
      <c r="DM62" s="12">
        <f t="shared" si="19"/>
        <v>5.6932329055785517E-4</v>
      </c>
      <c r="DN62" s="12">
        <f t="shared" si="20"/>
        <v>5.0388383187293089E-4</v>
      </c>
      <c r="DO62" s="12">
        <f t="shared" si="21"/>
        <v>2.9447756408169408E-4</v>
      </c>
      <c r="DP62" s="12">
        <f t="shared" si="22"/>
        <v>-1.3676846865121081E-3</v>
      </c>
      <c r="DQ62" s="12">
        <f t="shared" si="23"/>
        <v>-1.4592999286708905E-3</v>
      </c>
      <c r="DR62" s="9"/>
      <c r="DS62" s="9" t="str">
        <f>IF(AQ62&gt;AG62,"Overbought",IF(AQ62&gt;AI62,"Bullish Momentum",IF(AQ62&gt;AK62,"Overprice Setting Up","-----")))</f>
        <v>Overprice Setting Up</v>
      </c>
      <c r="DT62" s="9" t="str">
        <f>IF(AQ62&lt;AP62,"Oversold",IF(AQ62&lt;AN62,"Bearish Momentum",IF(AQ62&lt;AL62,"Underprice Setting Up","-----")))</f>
        <v>-----</v>
      </c>
      <c r="DU62" s="9"/>
      <c r="DV62" s="12" t="str">
        <f>IF(AND(AT62&gt;AU62,AT61&gt;AU61,AT60&gt;AU60,AT59&gt;AU59,AT58&gt;AU58,AT57&gt;AU57,AT56&gt;AU56,AT55&gt;AU55,AT54&gt;AU54,AT53&gt;AU53,AT52&gt;AU52,AT51&gt;AU51),"Bullish",IF(AND(AT62&lt;AU62,AT61&lt;AU61,AT60&lt;AU60,AT59&lt;AU59,AT58&lt;AU58,AT57&lt;AU57,AT56&lt;AU56,AT55&lt;AU55,AT54&lt;AU54,AT53&lt;AU53,AT52&lt;AU52,AT51&lt;AU51),"Bearish","-----"))</f>
        <v>Bearish</v>
      </c>
      <c r="DW62" s="12"/>
      <c r="DX62" s="23">
        <f>(AR62-AT62)/AT62</f>
        <v>-2.4863252113383567E-4</v>
      </c>
      <c r="DY62" s="23">
        <f t="shared" si="52"/>
        <v>0.58161609288259963</v>
      </c>
      <c r="DZ62" s="23" t="str">
        <f>IF(DY62&gt;PERCENTILE($DY$5:$DY$103,90%),"Reverse to Bearish",IF(DY62&gt;=PERCENTILE($DY$5:$DY$103,70%),"-----",IF(DY62&gt;=PERCENTILE($DY$5:$DY$103,30%),"-----",IF(DY62&gt;=PERCENTILE($DY$5:$DY$103,10%),"-----","Reverse to Bullish"))))</f>
        <v>-----</v>
      </c>
      <c r="EA62" s="23" t="str">
        <f>IF(AQ62&gt;AR62,"Bullish","Bearish")</f>
        <v>Bullish</v>
      </c>
      <c r="EB62" s="22" t="str">
        <f>IF(AND(H62&gt;AQ62,H61&lt;AQ61),"TEMA crossover","-----")</f>
        <v>-----</v>
      </c>
      <c r="EC62" s="22" t="str">
        <f>IF(AND(H62&lt;AQ62,H61&gt;AQ61),"TEMA crossunder","-----")</f>
        <v>TEMA crossunder</v>
      </c>
      <c r="ED62" s="22"/>
      <c r="EE62" s="24" t="str">
        <f t="shared" si="45"/>
        <v>YES</v>
      </c>
      <c r="EF62" s="24" t="str">
        <f t="shared" si="46"/>
        <v>-----</v>
      </c>
      <c r="EG62" s="24" t="str">
        <f t="shared" si="47"/>
        <v>YES</v>
      </c>
      <c r="EH62" s="24" t="str">
        <f t="shared" si="48"/>
        <v>YES</v>
      </c>
      <c r="EI62" s="25" t="str">
        <f>IF(DV62="Bullish","YES","-----")</f>
        <v>-----</v>
      </c>
      <c r="EJ62" s="25" t="str">
        <f>IF(DZ62="Reverse to Bullish","YES","-----")</f>
        <v>-----</v>
      </c>
      <c r="EK62" s="25" t="str">
        <f>IF(AND(EA62="Bearish",EA61="Bearish",EA60="Bearish",EA59="Bearish"),"YES","-----")</f>
        <v>-----</v>
      </c>
      <c r="EL62" s="25" t="str">
        <f>IF(OR(EC62="TEMA crossover",EC61="TEMA crossover",EC60="TEMA crossover",EC59="TEMA crossover"),"YES","-----")</f>
        <v>-----</v>
      </c>
      <c r="EM62" s="24" t="str">
        <f>IF(AND(EE62="YES",EF62="YES",EG62="YES",EH62="YES"),"Open Sell / Close Buy","-----")</f>
        <v>-----</v>
      </c>
      <c r="EN62" s="25" t="str">
        <f t="shared" si="32"/>
        <v>-----</v>
      </c>
      <c r="EO62" s="23"/>
      <c r="EP62" s="9" t="str">
        <f>IF(AND(H62&gt;AV62,H62&gt;E62),"Bullish Trigger","-----")</f>
        <v>-----</v>
      </c>
      <c r="EQ62" s="9" t="str">
        <f>IF(AND(H62&lt;AW62,H62&lt;E62),"Bearish Trigger","-----")</f>
        <v>Bearish Trigger</v>
      </c>
      <c r="ER62" s="9"/>
      <c r="ES62" s="9" t="str">
        <f>IF(G62&gt;AV62,"Bullish Spike","-----")</f>
        <v>-----</v>
      </c>
      <c r="ET62" s="9" t="str">
        <f>IF(F62&lt;AW62,"Bearish Spike","-----")</f>
        <v>-----</v>
      </c>
      <c r="EU62" s="9"/>
      <c r="EV62" s="20">
        <f t="shared" si="53"/>
        <v>4.2000000000001592E-2</v>
      </c>
      <c r="EW62" s="9">
        <f t="shared" si="24"/>
        <v>-0.77848047267509102</v>
      </c>
      <c r="EX62" s="21" t="str">
        <f t="shared" si="25"/>
        <v>-----</v>
      </c>
      <c r="EY62" s="9"/>
    </row>
    <row r="63" spans="1:155" x14ac:dyDescent="0.55000000000000004">
      <c r="A63">
        <v>59</v>
      </c>
      <c r="B63" t="s">
        <v>62</v>
      </c>
      <c r="C63" t="s">
        <v>4</v>
      </c>
      <c r="D63" t="s">
        <v>103</v>
      </c>
      <c r="E63">
        <v>152.81399999999999</v>
      </c>
      <c r="F63">
        <v>152.82300000000001</v>
      </c>
      <c r="G63">
        <v>152.80500000000001</v>
      </c>
      <c r="H63">
        <v>152.81200000000001</v>
      </c>
      <c r="I63">
        <v>152.898</v>
      </c>
      <c r="J63">
        <v>152.88900000000001</v>
      </c>
      <c r="K63">
        <v>153.17599999999999</v>
      </c>
      <c r="L63">
        <v>152.60400000000001</v>
      </c>
      <c r="M63">
        <v>152.59</v>
      </c>
      <c r="N63">
        <v>152.86000000000001</v>
      </c>
      <c r="O63" s="16">
        <f t="shared" si="49"/>
        <v>1.8000000000000682E-2</v>
      </c>
      <c r="P63" s="16">
        <f t="shared" si="54"/>
        <v>1.0000000000019327E-2</v>
      </c>
      <c r="Q63" s="16">
        <f t="shared" si="55"/>
        <v>7.9999999999813554E-3</v>
      </c>
      <c r="R63" s="16">
        <f t="shared" si="56"/>
        <v>1.8000000000000682E-2</v>
      </c>
      <c r="S63" s="16">
        <f t="shared" si="65"/>
        <v>6.9409760627148306E-2</v>
      </c>
      <c r="T63">
        <v>0</v>
      </c>
      <c r="U63">
        <v>0</v>
      </c>
      <c r="V63">
        <v>0</v>
      </c>
      <c r="W63">
        <v>0</v>
      </c>
      <c r="Y63" s="9" t="str">
        <f t="shared" si="9"/>
        <v>------</v>
      </c>
      <c r="Z63" s="9" t="str">
        <f t="shared" si="10"/>
        <v>------</v>
      </c>
      <c r="AA63" s="9"/>
      <c r="AB63">
        <v>0</v>
      </c>
      <c r="AD63" t="str">
        <f t="shared" si="58"/>
        <v/>
      </c>
      <c r="AE63">
        <v>1.06657</v>
      </c>
      <c r="AF63">
        <v>3</v>
      </c>
      <c r="AG63">
        <v>153.12273999999999</v>
      </c>
      <c r="AH63">
        <v>153.03757999999999</v>
      </c>
      <c r="AI63">
        <v>152.95241999999999</v>
      </c>
      <c r="AJ63">
        <v>152.86725999999999</v>
      </c>
      <c r="AK63">
        <v>152.78209000000001</v>
      </c>
      <c r="AL63">
        <v>152.71431999999999</v>
      </c>
      <c r="AM63">
        <v>152.62916000000001</v>
      </c>
      <c r="AN63">
        <v>152.54400000000001</v>
      </c>
      <c r="AO63">
        <v>152.45884000000001</v>
      </c>
      <c r="AP63">
        <v>152.37368000000001</v>
      </c>
      <c r="AQ63">
        <v>152.83799999999999</v>
      </c>
      <c r="AR63">
        <v>152.804</v>
      </c>
      <c r="AS63">
        <f t="shared" si="26"/>
        <v>59</v>
      </c>
      <c r="AT63">
        <v>152.834</v>
      </c>
      <c r="AU63">
        <v>152.97200000000001</v>
      </c>
      <c r="AV63">
        <v>152.85400000000001</v>
      </c>
      <c r="AW63">
        <v>152.827</v>
      </c>
      <c r="AY63" s="4">
        <f>I63*(1+$AY$2)</f>
        <v>152.9209347</v>
      </c>
      <c r="AZ63" s="4">
        <f>I63*(1-$AY$2)</f>
        <v>152.87506529999999</v>
      </c>
      <c r="BA63" s="4">
        <f>J63*(1+$AY$2)</f>
        <v>152.91193335000003</v>
      </c>
      <c r="BB63" s="4">
        <f>J63*(1-$AY$2)</f>
        <v>152.86606665000002</v>
      </c>
      <c r="BC63" s="4">
        <f>K63*(1+$AY$2)</f>
        <v>153.19897639999999</v>
      </c>
      <c r="BD63" s="4">
        <f>K63*(1-$AY$2)</f>
        <v>153.15302359999998</v>
      </c>
      <c r="BE63" s="4">
        <f>L63*(1+$AY$2)</f>
        <v>152.62689060000002</v>
      </c>
      <c r="BF63" s="4">
        <f>L63*(1-$AY$2)</f>
        <v>152.5811094</v>
      </c>
      <c r="BG63" s="4">
        <f>M63*(1+$AY$2)</f>
        <v>152.61288850000003</v>
      </c>
      <c r="BH63" s="4">
        <f>M63*(1-$AY$2)</f>
        <v>152.56711150000001</v>
      </c>
      <c r="BI63" s="4">
        <f>N63*(1+$AY$2)</f>
        <v>152.88292900000002</v>
      </c>
      <c r="BJ63" s="4">
        <f>N63*(1-$AY$2)</f>
        <v>152.83707100000001</v>
      </c>
      <c r="BK63" s="30">
        <f t="shared" si="27"/>
        <v>59</v>
      </c>
      <c r="BL63" s="15" t="str">
        <f t="shared" si="11"/>
        <v>-----</v>
      </c>
      <c r="BM63" s="15" t="str">
        <f t="shared" si="12"/>
        <v>-----</v>
      </c>
      <c r="BN63" s="15" t="str">
        <f t="shared" si="13"/>
        <v>-----</v>
      </c>
      <c r="BO63" s="15" t="str">
        <f t="shared" si="14"/>
        <v>-----</v>
      </c>
      <c r="BP63" s="15" t="str">
        <f t="shared" si="15"/>
        <v>-----</v>
      </c>
      <c r="BQ63" s="15" t="str">
        <f t="shared" si="16"/>
        <v>-----</v>
      </c>
      <c r="BR63" s="22"/>
      <c r="BS63" s="9">
        <f t="shared" si="57"/>
        <v>-2.423265306122455E-3</v>
      </c>
      <c r="BT63" s="9">
        <f>SLOPE(J$5:J$103,$A$5:$A$103)</f>
        <v>-3.7194805194805478E-4</v>
      </c>
      <c r="BU63" s="9">
        <f>SLOPE(K$5:K$103,$A$5:$A$103)</f>
        <v>-1.6402721088435472E-3</v>
      </c>
      <c r="BV63" s="9">
        <f>SLOPE(L$5:L$103,$A$5:$A$103)</f>
        <v>7.6471243042669956E-4</v>
      </c>
      <c r="BW63" s="9">
        <f>SLOPE(M$5:M$103,$A$5:$A$103)</f>
        <v>-2.3081014223875058E-4</v>
      </c>
      <c r="BX63" s="9">
        <f>SLOPE(N$5:N$103,$A$5:$A$103)</f>
        <v>1.5802844774273381E-3</v>
      </c>
      <c r="BY63"/>
      <c r="BZ63" s="9">
        <f t="shared" si="59"/>
        <v>-1.9079214597220278</v>
      </c>
      <c r="CA63" s="9">
        <f t="shared" si="60"/>
        <v>-0.29295343676527091</v>
      </c>
      <c r="CB63" s="9">
        <f t="shared" si="61"/>
        <v>-1.2917022253843653</v>
      </c>
      <c r="CC63" s="9">
        <f t="shared" si="62"/>
        <v>0.60228527619529781</v>
      </c>
      <c r="CD63" s="9">
        <f t="shared" si="63"/>
        <v>-0.18179147971962978</v>
      </c>
      <c r="CE63" s="9">
        <f t="shared" si="64"/>
        <v>1.2444775446344229</v>
      </c>
      <c r="CF63"/>
      <c r="CG63" s="18" t="str" cm="1">
        <f t="array" ref="CG63">_xlfn.IFS(BZ63&gt;3,"Strong + Slope",BZ63&gt;1.5,"Moderate + Slope",BZ63&gt;0.5,"Sideway + Slope",BZ63&gt;=-0.5,"Sideway Flat",BZ63&gt;=-1.5,"Sideway - Slope",BZ63&gt;=-3,"Moderate - Slope",TRUE,"Strong - Slope")</f>
        <v>Moderate - Slope</v>
      </c>
      <c r="CH63" s="18" t="str" cm="1">
        <f t="array" ref="CH63">_xlfn.IFS(CA63&gt;3,"Strong + Slope",CA63&gt;1.5,"Moderate + Slope",CA63&gt;0.5,"Sideway + Slope",CA63&gt;=-0.5,"Sideway Flat",CA63&gt;=-1.5,"Sideway - Slope",CA63&gt;=-3,"Moderate - Slope",TRUE,"Strong - Slope")</f>
        <v>Sideway Flat</v>
      </c>
      <c r="CI63" s="18" t="str" cm="1">
        <f t="array" ref="CI63">_xlfn.IFS(CB63&gt;3,"Strong + Slope",CB63&gt;1.5,"Moderate + Slope",CB63&gt;0.5,"Sideway + Slope",CB63&gt;=-0.5,"Sideway Flat",CB63&gt;=-1.5,"Sideway - Slope",CB63&gt;=-3,"Moderate - Slope",TRUE,"Strong - Slope")</f>
        <v>Sideway - Slope</v>
      </c>
      <c r="CJ63" s="18" t="str" cm="1">
        <f t="array" ref="CJ63">_xlfn.IFS(CC63&gt;3,"Strong + Slope",CC63&gt;1.5,"Moderate + Slope",CC63&gt;0.5,"Sideway + Slope",CC63&gt;=-0.5,"Sideway Flat",CC63&gt;=-1.5,"Sideway - Slope",CC63&gt;=-3,"Moderate - Slope",TRUE,"Strong - Slope")</f>
        <v>Sideway + Slope</v>
      </c>
      <c r="CK63" s="18" t="str" cm="1">
        <f t="array" ref="CK63">_xlfn.IFS(CD63&gt;3,"Strong + Slope",CD63&gt;1.5,"Moderate + Slope",CD63&gt;0.5,"Sideway + Slope",CD63&gt;=-0.5,"Sideway Flat",CD63&gt;=-1.5,"Sideway - Slope",CD63&gt;=-3,"Moderate - Slope",TRUE,"Strong - Slope")</f>
        <v>Sideway Flat</v>
      </c>
      <c r="CL63" s="18" t="str" cm="1">
        <f t="array" ref="CL63">_xlfn.IFS(CE63&gt;3,"Strong + Slope",CE63&gt;1.5,"Moderate + Slope",CE63&gt;0.5,"Sideway + Slope",CE63&gt;=-0.5,"Sideway Flat",CE63&gt;=-1.5,"Sideway - Slope",CE63&gt;=-3,"Moderate - Slope",TRUE,"Strong - Slope")</f>
        <v>Sideway + Slope</v>
      </c>
      <c r="CM63" s="9"/>
      <c r="CN63" s="9">
        <f>RANK(I63,$I63:$N63,0)</f>
        <v>2</v>
      </c>
      <c r="CO63" s="9">
        <f>RANK(J63,$I63:$N63,0)</f>
        <v>3</v>
      </c>
      <c r="CP63" s="9">
        <f>RANK(K63,$I63:$N63,0)</f>
        <v>1</v>
      </c>
      <c r="CQ63" s="9">
        <f>RANK(L63,$I63:$N63,0)</f>
        <v>5</v>
      </c>
      <c r="CR63" s="9">
        <f>RANK(M63,$I63:$N63,0)</f>
        <v>6</v>
      </c>
      <c r="CS63" s="9">
        <f>RANK(N63,$I63:$N63,0)</f>
        <v>4</v>
      </c>
      <c r="CT63" s="9"/>
      <c r="CU63" s="9" t="str">
        <f>IF($H63&gt;I63,"SUP","RES")</f>
        <v>RES</v>
      </c>
      <c r="CV63" s="9" t="str">
        <f>IF($H63&gt;J63,"SUP","RES")</f>
        <v>RES</v>
      </c>
      <c r="CW63" s="9" t="str">
        <f>IF($H63&gt;K63,"SUP","RES")</f>
        <v>RES</v>
      </c>
      <c r="CX63" s="9" t="str">
        <f>IF($H63&gt;L63,"SUP","RES")</f>
        <v>SUP</v>
      </c>
      <c r="CY63" s="9" t="str">
        <f>IF($H63&gt;M63,"SUP","RES")</f>
        <v>SUP</v>
      </c>
      <c r="CZ63" s="9" t="str">
        <f>IF($H63&gt;N63,"SUP","RES")</f>
        <v>RES</v>
      </c>
      <c r="DA63" s="9"/>
      <c r="DB63" s="12">
        <f>(I63-$H63)/$H63</f>
        <v>5.6278302751082573E-4</v>
      </c>
      <c r="DC63" s="12">
        <f>(J63-$H63)/$H63</f>
        <v>5.0388712928302868E-4</v>
      </c>
      <c r="DD63" s="12">
        <f>(K63-$H63)/$H63</f>
        <v>2.3820118838833067E-3</v>
      </c>
      <c r="DE63" s="12">
        <f>(L63-$H63)/$H63</f>
        <v>-1.3611496479333978E-3</v>
      </c>
      <c r="DF63" s="12">
        <f>(M63-$H63)/$H63</f>
        <v>-1.4527654896212888E-3</v>
      </c>
      <c r="DG63" s="12">
        <f>(N63-$H63)/$H63</f>
        <v>3.1411145721541381E-4</v>
      </c>
      <c r="DH63" s="12"/>
      <c r="DI63" s="12">
        <f>((H63-MIN(I63:N63))/(MAX(I63:N63)-MIN(I63:N63)))</f>
        <v>0.37883959044371052</v>
      </c>
      <c r="DJ63" s="13">
        <f t="shared" si="50"/>
        <v>4</v>
      </c>
      <c r="DK63" s="14">
        <f t="shared" si="51"/>
        <v>2</v>
      </c>
      <c r="DL63" s="12">
        <f t="shared" si="18"/>
        <v>2.3820118838833067E-3</v>
      </c>
      <c r="DM63" s="12">
        <f t="shared" si="19"/>
        <v>5.6278302751082573E-4</v>
      </c>
      <c r="DN63" s="12">
        <f t="shared" si="20"/>
        <v>5.0388712928302868E-4</v>
      </c>
      <c r="DO63" s="12">
        <f t="shared" si="21"/>
        <v>3.1411145721541381E-4</v>
      </c>
      <c r="DP63" s="12">
        <f t="shared" si="22"/>
        <v>-1.3611496479333978E-3</v>
      </c>
      <c r="DQ63" s="12">
        <f t="shared" si="23"/>
        <v>-1.4527654896212888E-3</v>
      </c>
      <c r="DR63" s="9"/>
      <c r="DS63" s="9" t="str">
        <f>IF(AQ63&gt;AG63,"Overbought",IF(AQ63&gt;AI63,"Bullish Momentum",IF(AQ63&gt;AK63,"Overprice Setting Up","-----")))</f>
        <v>Overprice Setting Up</v>
      </c>
      <c r="DT63" s="9" t="str">
        <f>IF(AQ63&lt;AP63,"Oversold",IF(AQ63&lt;AN63,"Bearish Momentum",IF(AQ63&lt;AL63,"Underprice Setting Up","-----")))</f>
        <v>-----</v>
      </c>
      <c r="DU63" s="9"/>
      <c r="DV63" s="12" t="str">
        <f>IF(AND(AT63&gt;AU63,AT62&gt;AU62,AT61&gt;AU61,AT60&gt;AU60,AT59&gt;AU59,AT58&gt;AU58,AT57&gt;AU57,AT56&gt;AU56,AT55&gt;AU55,AT54&gt;AU54,AT53&gt;AU53,AT52&gt;AU52),"Bullish",IF(AND(AT63&lt;AU63,AT62&lt;AU62,AT61&lt;AU61,AT60&lt;AU60,AT59&lt;AU59,AT58&lt;AU58,AT57&lt;AU57,AT56&lt;AU56,AT55&lt;AU55,AT54&lt;AU54,AT53&lt;AU53,AT52&lt;AU52),"Bearish","-----"))</f>
        <v>Bearish</v>
      </c>
      <c r="DW63" s="12"/>
      <c r="DX63" s="23">
        <f>(AR63-AT63)/AT63</f>
        <v>-1.9629140112802868E-4</v>
      </c>
      <c r="DY63" s="23">
        <f t="shared" si="52"/>
        <v>0.73257064539139549</v>
      </c>
      <c r="DZ63" s="23" t="str">
        <f>IF(DY63&gt;PERCENTILE($DY$5:$DY$103,90%),"Reverse to Bearish",IF(DY63&gt;=PERCENTILE($DY$5:$DY$103,70%),"-----",IF(DY63&gt;=PERCENTILE($DY$5:$DY$103,30%),"-----",IF(DY63&gt;=PERCENTILE($DY$5:$DY$103,10%),"-----","Reverse to Bullish"))))</f>
        <v>-----</v>
      </c>
      <c r="EA63" s="23" t="str">
        <f>IF(AQ63&gt;AR63,"Bullish","Bearish")</f>
        <v>Bullish</v>
      </c>
      <c r="EB63" s="22" t="str">
        <f>IF(AND(H63&gt;AQ63,H62&lt;AQ62),"TEMA crossover","-----")</f>
        <v>-----</v>
      </c>
      <c r="EC63" s="22" t="str">
        <f>IF(AND(H63&lt;AQ63,H62&gt;AQ62),"TEMA crossunder","-----")</f>
        <v>-----</v>
      </c>
      <c r="ED63" s="22"/>
      <c r="EE63" s="24" t="str">
        <f t="shared" si="45"/>
        <v>YES</v>
      </c>
      <c r="EF63" s="24" t="str">
        <f t="shared" si="46"/>
        <v>-----</v>
      </c>
      <c r="EG63" s="24" t="str">
        <f t="shared" si="47"/>
        <v>YES</v>
      </c>
      <c r="EH63" s="24" t="str">
        <f t="shared" si="48"/>
        <v>YES</v>
      </c>
      <c r="EI63" s="25" t="str">
        <f>IF(DV63="Bullish","YES","-----")</f>
        <v>-----</v>
      </c>
      <c r="EJ63" s="25" t="str">
        <f>IF(DZ63="Reverse to Bullish","YES","-----")</f>
        <v>-----</v>
      </c>
      <c r="EK63" s="25" t="str">
        <f>IF(AND(EA63="Bearish",EA62="Bearish",EA61="Bearish",EA60="Bearish"),"YES","-----")</f>
        <v>-----</v>
      </c>
      <c r="EL63" s="25" t="str">
        <f>IF(OR(EC63="TEMA crossover",EC62="TEMA crossover",EC61="TEMA crossover",EC60="TEMA crossover"),"YES","-----")</f>
        <v>-----</v>
      </c>
      <c r="EM63" s="24" t="str">
        <f>IF(AND(EE63="YES",EF63="YES",EG63="YES",EH63="YES"),"Open Sell / Close Buy","-----")</f>
        <v>-----</v>
      </c>
      <c r="EN63" s="25" t="str">
        <f t="shared" si="32"/>
        <v>-----</v>
      </c>
      <c r="EO63" s="23"/>
      <c r="EP63" s="9" t="str">
        <f>IF(AND(H63&gt;AV63,H63&gt;E63),"Bullish Trigger","-----")</f>
        <v>-----</v>
      </c>
      <c r="EQ63" s="9" t="str">
        <f>IF(AND(H63&lt;AW63,H63&lt;E63),"Bearish Trigger","-----")</f>
        <v>Bearish Trigger</v>
      </c>
      <c r="ER63" s="9"/>
      <c r="ES63" s="9" t="str">
        <f>IF(G63&gt;AV63,"Bullish Spike","-----")</f>
        <v>-----</v>
      </c>
      <c r="ET63" s="9" t="str">
        <f>IF(F63&lt;AW63,"Bearish Spike","-----")</f>
        <v>Bearish Spike</v>
      </c>
      <c r="EU63" s="9"/>
      <c r="EV63" s="20">
        <f t="shared" si="53"/>
        <v>2.7000000000015234E-2</v>
      </c>
      <c r="EW63" s="9">
        <f t="shared" si="24"/>
        <v>-1.1241872615271966</v>
      </c>
      <c r="EX63" s="21" t="str">
        <f t="shared" si="25"/>
        <v>-----</v>
      </c>
      <c r="EY63" s="9"/>
    </row>
    <row r="64" spans="1:155" x14ac:dyDescent="0.55000000000000004">
      <c r="A64">
        <v>60</v>
      </c>
      <c r="B64" t="s">
        <v>63</v>
      </c>
      <c r="C64" t="s">
        <v>4</v>
      </c>
      <c r="D64" t="s">
        <v>103</v>
      </c>
      <c r="E64">
        <v>152.81200000000001</v>
      </c>
      <c r="F64">
        <v>152.85900000000001</v>
      </c>
      <c r="G64">
        <v>152.81100000000001</v>
      </c>
      <c r="H64">
        <v>152.84700000000001</v>
      </c>
      <c r="I64">
        <v>152.89500000000001</v>
      </c>
      <c r="J64">
        <v>152.88900000000001</v>
      </c>
      <c r="K64">
        <v>153.17400000000001</v>
      </c>
      <c r="L64">
        <v>152.60499999999999</v>
      </c>
      <c r="M64">
        <v>152.589</v>
      </c>
      <c r="N64">
        <v>152.86099999999999</v>
      </c>
      <c r="O64" s="16">
        <f t="shared" si="49"/>
        <v>4.8000000000001819E-2</v>
      </c>
      <c r="P64" s="16">
        <f t="shared" si="54"/>
        <v>4.6999999999997044E-2</v>
      </c>
      <c r="Q64" s="16">
        <f t="shared" si="55"/>
        <v>1.0000000000047748E-3</v>
      </c>
      <c r="R64" s="16">
        <f t="shared" si="56"/>
        <v>4.8000000000001819E-2</v>
      </c>
      <c r="S64" s="16">
        <f t="shared" si="65"/>
        <v>6.7880492010923554E-2</v>
      </c>
      <c r="T64">
        <v>0</v>
      </c>
      <c r="U64">
        <v>0</v>
      </c>
      <c r="V64">
        <v>0</v>
      </c>
      <c r="W64">
        <v>0</v>
      </c>
      <c r="Y64" s="9" t="str">
        <f t="shared" si="9"/>
        <v>------</v>
      </c>
      <c r="Z64" s="9" t="str">
        <f t="shared" si="10"/>
        <v>------</v>
      </c>
      <c r="AA64" s="9"/>
      <c r="AB64">
        <v>0</v>
      </c>
      <c r="AD64" t="str">
        <f t="shared" si="58"/>
        <v/>
      </c>
      <c r="AE64">
        <v>0.27628999999999998</v>
      </c>
      <c r="AF64">
        <v>0</v>
      </c>
      <c r="AG64">
        <v>153.12142</v>
      </c>
      <c r="AH64">
        <v>153.03654</v>
      </c>
      <c r="AI64">
        <v>152.95166</v>
      </c>
      <c r="AJ64">
        <v>152.86677</v>
      </c>
      <c r="AK64">
        <v>152.78189</v>
      </c>
      <c r="AL64">
        <v>152.71713</v>
      </c>
      <c r="AM64">
        <v>152.63225</v>
      </c>
      <c r="AN64">
        <v>152.54737</v>
      </c>
      <c r="AO64">
        <v>152.46249</v>
      </c>
      <c r="AP64">
        <v>152.3776</v>
      </c>
      <c r="AQ64">
        <v>152.84299999999999</v>
      </c>
      <c r="AR64">
        <v>152.81</v>
      </c>
      <c r="AS64">
        <f t="shared" si="26"/>
        <v>60</v>
      </c>
      <c r="AT64">
        <v>152.834</v>
      </c>
      <c r="AU64">
        <v>152.96799999999999</v>
      </c>
      <c r="AV64">
        <v>152.86000000000001</v>
      </c>
      <c r="AW64">
        <v>152.82599999999999</v>
      </c>
      <c r="AY64" s="4">
        <f>I64*(1+$AY$2)</f>
        <v>152.91793425000003</v>
      </c>
      <c r="AZ64" s="4">
        <f>I64*(1-$AY$2)</f>
        <v>152.87206575000002</v>
      </c>
      <c r="BA64" s="4">
        <f>J64*(1+$AY$2)</f>
        <v>152.91193335000003</v>
      </c>
      <c r="BB64" s="4">
        <f>J64*(1-$AY$2)</f>
        <v>152.86606665000002</v>
      </c>
      <c r="BC64" s="4">
        <f>K64*(1+$AY$2)</f>
        <v>153.19697610000003</v>
      </c>
      <c r="BD64" s="4">
        <f>K64*(1-$AY$2)</f>
        <v>153.15102390000001</v>
      </c>
      <c r="BE64" s="4">
        <f>L64*(1+$AY$2)</f>
        <v>152.62789075000001</v>
      </c>
      <c r="BF64" s="4">
        <f>L64*(1-$AY$2)</f>
        <v>152.58210925</v>
      </c>
      <c r="BG64" s="4">
        <f>M64*(1+$AY$2)</f>
        <v>152.61188835000002</v>
      </c>
      <c r="BH64" s="4">
        <f>M64*(1-$AY$2)</f>
        <v>152.56611165000001</v>
      </c>
      <c r="BI64" s="4">
        <f>N64*(1+$AY$2)</f>
        <v>152.88392915</v>
      </c>
      <c r="BJ64" s="4">
        <f>N64*(1-$AY$2)</f>
        <v>152.83807084999998</v>
      </c>
      <c r="BK64" s="30">
        <f t="shared" si="27"/>
        <v>60</v>
      </c>
      <c r="BL64" s="15" t="str">
        <f t="shared" si="11"/>
        <v>-----</v>
      </c>
      <c r="BM64" s="15" t="str">
        <f t="shared" si="12"/>
        <v>-----</v>
      </c>
      <c r="BN64" s="15" t="str">
        <f t="shared" si="13"/>
        <v>-----</v>
      </c>
      <c r="BO64" s="15" t="str">
        <f t="shared" si="14"/>
        <v>-----</v>
      </c>
      <c r="BP64" s="15" t="str">
        <f t="shared" si="15"/>
        <v>-----</v>
      </c>
      <c r="BQ64" s="15" t="str">
        <f t="shared" si="16"/>
        <v>TOUCH</v>
      </c>
      <c r="BR64" s="22"/>
      <c r="BS64" s="9">
        <f t="shared" si="57"/>
        <v>-2.423265306122455E-3</v>
      </c>
      <c r="BT64" s="9">
        <f>SLOPE(J$5:J$103,$A$5:$A$103)</f>
        <v>-3.7194805194805478E-4</v>
      </c>
      <c r="BU64" s="9">
        <f>SLOPE(K$5:K$103,$A$5:$A$103)</f>
        <v>-1.6402721088435472E-3</v>
      </c>
      <c r="BV64" s="9">
        <f>SLOPE(L$5:L$103,$A$5:$A$103)</f>
        <v>7.6471243042669956E-4</v>
      </c>
      <c r="BW64" s="9">
        <f>SLOPE(M$5:M$103,$A$5:$A$103)</f>
        <v>-2.3081014223875058E-4</v>
      </c>
      <c r="BX64" s="9">
        <f>SLOPE(N$5:N$103,$A$5:$A$103)</f>
        <v>1.5802844774273381E-3</v>
      </c>
      <c r="BY64"/>
      <c r="BZ64" s="9">
        <f t="shared" si="59"/>
        <v>-1.9079214597220278</v>
      </c>
      <c r="CA64" s="9">
        <f t="shared" si="60"/>
        <v>-0.29295343676527091</v>
      </c>
      <c r="CB64" s="9">
        <f t="shared" si="61"/>
        <v>-1.2917022253843653</v>
      </c>
      <c r="CC64" s="9">
        <f t="shared" si="62"/>
        <v>0.60228527619529781</v>
      </c>
      <c r="CD64" s="9">
        <f t="shared" si="63"/>
        <v>-0.18179147971962978</v>
      </c>
      <c r="CE64" s="9">
        <f t="shared" si="64"/>
        <v>1.2444775446344229</v>
      </c>
      <c r="CF64"/>
      <c r="CG64" s="18" t="str" cm="1">
        <f t="array" ref="CG64">_xlfn.IFS(BZ64&gt;3,"Strong + Slope",BZ64&gt;1.5,"Moderate + Slope",BZ64&gt;0.5,"Sideway + Slope",BZ64&gt;=-0.5,"Sideway Flat",BZ64&gt;=-1.5,"Sideway - Slope",BZ64&gt;=-3,"Moderate - Slope",TRUE,"Strong - Slope")</f>
        <v>Moderate - Slope</v>
      </c>
      <c r="CH64" s="18" t="str" cm="1">
        <f t="array" ref="CH64">_xlfn.IFS(CA64&gt;3,"Strong + Slope",CA64&gt;1.5,"Moderate + Slope",CA64&gt;0.5,"Sideway + Slope",CA64&gt;=-0.5,"Sideway Flat",CA64&gt;=-1.5,"Sideway - Slope",CA64&gt;=-3,"Moderate - Slope",TRUE,"Strong - Slope")</f>
        <v>Sideway Flat</v>
      </c>
      <c r="CI64" s="18" t="str" cm="1">
        <f t="array" ref="CI64">_xlfn.IFS(CB64&gt;3,"Strong + Slope",CB64&gt;1.5,"Moderate + Slope",CB64&gt;0.5,"Sideway + Slope",CB64&gt;=-0.5,"Sideway Flat",CB64&gt;=-1.5,"Sideway - Slope",CB64&gt;=-3,"Moderate - Slope",TRUE,"Strong - Slope")</f>
        <v>Sideway - Slope</v>
      </c>
      <c r="CJ64" s="18" t="str" cm="1">
        <f t="array" ref="CJ64">_xlfn.IFS(CC64&gt;3,"Strong + Slope",CC64&gt;1.5,"Moderate + Slope",CC64&gt;0.5,"Sideway + Slope",CC64&gt;=-0.5,"Sideway Flat",CC64&gt;=-1.5,"Sideway - Slope",CC64&gt;=-3,"Moderate - Slope",TRUE,"Strong - Slope")</f>
        <v>Sideway + Slope</v>
      </c>
      <c r="CK64" s="18" t="str" cm="1">
        <f t="array" ref="CK64">_xlfn.IFS(CD64&gt;3,"Strong + Slope",CD64&gt;1.5,"Moderate + Slope",CD64&gt;0.5,"Sideway + Slope",CD64&gt;=-0.5,"Sideway Flat",CD64&gt;=-1.5,"Sideway - Slope",CD64&gt;=-3,"Moderate - Slope",TRUE,"Strong - Slope")</f>
        <v>Sideway Flat</v>
      </c>
      <c r="CL64" s="18" t="str" cm="1">
        <f t="array" ref="CL64">_xlfn.IFS(CE64&gt;3,"Strong + Slope",CE64&gt;1.5,"Moderate + Slope",CE64&gt;0.5,"Sideway + Slope",CE64&gt;=-0.5,"Sideway Flat",CE64&gt;=-1.5,"Sideway - Slope",CE64&gt;=-3,"Moderate - Slope",TRUE,"Strong - Slope")</f>
        <v>Sideway + Slope</v>
      </c>
      <c r="CM64" s="9"/>
      <c r="CN64" s="9">
        <f>RANK(I64,$I64:$N64,0)</f>
        <v>2</v>
      </c>
      <c r="CO64" s="9">
        <f>RANK(J64,$I64:$N64,0)</f>
        <v>3</v>
      </c>
      <c r="CP64" s="9">
        <f>RANK(K64,$I64:$N64,0)</f>
        <v>1</v>
      </c>
      <c r="CQ64" s="9">
        <f>RANK(L64,$I64:$N64,0)</f>
        <v>5</v>
      </c>
      <c r="CR64" s="9">
        <f>RANK(M64,$I64:$N64,0)</f>
        <v>6</v>
      </c>
      <c r="CS64" s="9">
        <f>RANK(N64,$I64:$N64,0)</f>
        <v>4</v>
      </c>
      <c r="CT64" s="9"/>
      <c r="CU64" s="9" t="str">
        <f>IF($H64&gt;I64,"SUP","RES")</f>
        <v>RES</v>
      </c>
      <c r="CV64" s="9" t="str">
        <f>IF($H64&gt;J64,"SUP","RES")</f>
        <v>RES</v>
      </c>
      <c r="CW64" s="9" t="str">
        <f>IF($H64&gt;K64,"SUP","RES")</f>
        <v>RES</v>
      </c>
      <c r="CX64" s="9" t="str">
        <f>IF($H64&gt;L64,"SUP","RES")</f>
        <v>SUP</v>
      </c>
      <c r="CY64" s="9" t="str">
        <f>IF($H64&gt;M64,"SUP","RES")</f>
        <v>SUP</v>
      </c>
      <c r="CZ64" s="9" t="str">
        <f>IF($H64&gt;N64,"SUP","RES")</f>
        <v>RES</v>
      </c>
      <c r="DA64" s="9"/>
      <c r="DB64" s="12">
        <f>(I64-$H64)/$H64</f>
        <v>3.1403952972581612E-4</v>
      </c>
      <c r="DC64" s="12">
        <f>(J64-$H64)/$H64</f>
        <v>2.7478458851008911E-4</v>
      </c>
      <c r="DD64" s="12">
        <f>(K64-$H64)/$H64</f>
        <v>2.1393942962570295E-3</v>
      </c>
      <c r="DE64" s="12">
        <f>(L64-$H64)/$H64</f>
        <v>-1.583282629034385E-3</v>
      </c>
      <c r="DF64" s="12">
        <f>(M64-$H64)/$H64</f>
        <v>-1.6879624722762616E-3</v>
      </c>
      <c r="DG64" s="12">
        <f>(N64-$H64)/$H64</f>
        <v>9.1594862836572404E-5</v>
      </c>
      <c r="DH64" s="12"/>
      <c r="DI64" s="12">
        <f>((H64-MIN(I64:N64))/(MAX(I64:N64)-MIN(I64:N64)))</f>
        <v>0.44102564102565173</v>
      </c>
      <c r="DJ64" s="13">
        <f t="shared" si="50"/>
        <v>4</v>
      </c>
      <c r="DK64" s="14">
        <f t="shared" si="51"/>
        <v>2</v>
      </c>
      <c r="DL64" s="12">
        <f t="shared" si="18"/>
        <v>2.1393942962570295E-3</v>
      </c>
      <c r="DM64" s="12">
        <f t="shared" si="19"/>
        <v>3.1403952972581612E-4</v>
      </c>
      <c r="DN64" s="12">
        <f t="shared" si="20"/>
        <v>2.7478458851008911E-4</v>
      </c>
      <c r="DO64" s="12">
        <f t="shared" si="21"/>
        <v>9.1594862836572404E-5</v>
      </c>
      <c r="DP64" s="12">
        <f t="shared" si="22"/>
        <v>-1.583282629034385E-3</v>
      </c>
      <c r="DQ64" s="12">
        <f t="shared" si="23"/>
        <v>-1.6879624722762616E-3</v>
      </c>
      <c r="DR64" s="9"/>
      <c r="DS64" s="9" t="str">
        <f>IF(AQ64&gt;AG64,"Overbought",IF(AQ64&gt;AI64,"Bullish Momentum",IF(AQ64&gt;AK64,"Overprice Setting Up","-----")))</f>
        <v>Overprice Setting Up</v>
      </c>
      <c r="DT64" s="9" t="str">
        <f>IF(AQ64&lt;AP64,"Oversold",IF(AQ64&lt;AN64,"Bearish Momentum",IF(AQ64&lt;AL64,"Underprice Setting Up","-----")))</f>
        <v>-----</v>
      </c>
      <c r="DU64" s="9"/>
      <c r="DV64" s="12" t="str">
        <f>IF(AND(AT64&gt;AU64,AT63&gt;AU63,AT62&gt;AU62,AT61&gt;AU61,AT60&gt;AU60,AT59&gt;AU59,AT58&gt;AU58,AT57&gt;AU57,AT56&gt;AU56,AT55&gt;AU55,AT54&gt;AU54,AT53&gt;AU53),"Bullish",IF(AND(AT64&lt;AU64,AT63&lt;AU63,AT62&lt;AU62,AT61&lt;AU61,AT60&lt;AU60,AT59&lt;AU59,AT58&lt;AU58,AT57&lt;AU57,AT56&lt;AU56,AT55&lt;AU55,AT54&lt;AU54,AT53&lt;AU53),"Bearish","-----"))</f>
        <v>Bearish</v>
      </c>
      <c r="DW64" s="12"/>
      <c r="DX64" s="23">
        <f>(AR64-AT64)/AT64</f>
        <v>-1.5703312090242295E-4</v>
      </c>
      <c r="DY64" s="23">
        <f t="shared" si="52"/>
        <v>0.84579359749986671</v>
      </c>
      <c r="DZ64" s="23" t="str">
        <f>IF(DY64&gt;PERCENTILE($DY$5:$DY$103,90%),"Reverse to Bearish",IF(DY64&gt;=PERCENTILE($DY$5:$DY$103,70%),"-----",IF(DY64&gt;=PERCENTILE($DY$5:$DY$103,30%),"-----",IF(DY64&gt;=PERCENTILE($DY$5:$DY$103,10%),"-----","Reverse to Bullish"))))</f>
        <v>-----</v>
      </c>
      <c r="EA64" s="23" t="str">
        <f>IF(AQ64&gt;AR64,"Bullish","Bearish")</f>
        <v>Bullish</v>
      </c>
      <c r="EB64" s="22" t="str">
        <f>IF(AND(H64&gt;AQ64,H63&lt;AQ63),"TEMA crossover","-----")</f>
        <v>TEMA crossover</v>
      </c>
      <c r="EC64" s="22" t="str">
        <f>IF(AND(H64&lt;AQ64,H63&gt;AQ63),"TEMA crossunder","-----")</f>
        <v>-----</v>
      </c>
      <c r="ED64" s="22"/>
      <c r="EE64" s="24" t="str">
        <f t="shared" si="45"/>
        <v>YES</v>
      </c>
      <c r="EF64" s="24" t="str">
        <f t="shared" si="46"/>
        <v>-----</v>
      </c>
      <c r="EG64" s="24" t="str">
        <f t="shared" si="47"/>
        <v>YES</v>
      </c>
      <c r="EH64" s="24" t="str">
        <f t="shared" si="48"/>
        <v>YES</v>
      </c>
      <c r="EI64" s="25" t="str">
        <f>IF(DV64="Bullish","YES","-----")</f>
        <v>-----</v>
      </c>
      <c r="EJ64" s="25" t="str">
        <f>IF(DZ64="Reverse to Bullish","YES","-----")</f>
        <v>-----</v>
      </c>
      <c r="EK64" s="25" t="str">
        <f>IF(AND(EA64="Bearish",EA63="Bearish",EA62="Bearish",EA61="Bearish"),"YES","-----")</f>
        <v>-----</v>
      </c>
      <c r="EL64" s="25" t="str">
        <f>IF(OR(EC64="TEMA crossover",EC63="TEMA crossover",EC62="TEMA crossover",EC61="TEMA crossover"),"YES","-----")</f>
        <v>-----</v>
      </c>
      <c r="EM64" s="24" t="str">
        <f>IF(AND(EE64="YES",EF64="YES",EG64="YES",EH64="YES"),"Open Sell / Close Buy","-----")</f>
        <v>-----</v>
      </c>
      <c r="EN64" s="25" t="str">
        <f t="shared" si="32"/>
        <v>-----</v>
      </c>
      <c r="EO64" s="23"/>
      <c r="EP64" s="9" t="str">
        <f>IF(AND(H64&gt;AV64,H64&gt;E64),"Bullish Trigger","-----")</f>
        <v>-----</v>
      </c>
      <c r="EQ64" s="9" t="str">
        <f>IF(AND(H64&lt;AW64,H64&lt;E64),"Bearish Trigger","-----")</f>
        <v>-----</v>
      </c>
      <c r="ER64" s="9"/>
      <c r="ES64" s="9" t="str">
        <f>IF(G64&gt;AV64,"Bullish Spike","-----")</f>
        <v>-----</v>
      </c>
      <c r="ET64" s="9" t="str">
        <f>IF(F64&lt;AW64,"Bearish Spike","-----")</f>
        <v>-----</v>
      </c>
      <c r="EU64" s="9"/>
      <c r="EV64" s="20">
        <f t="shared" si="53"/>
        <v>3.4000000000020236E-2</v>
      </c>
      <c r="EW64" s="9">
        <f t="shared" si="24"/>
        <v>-0.96285742672928532</v>
      </c>
      <c r="EX64" s="21" t="str">
        <f t="shared" si="25"/>
        <v>-----</v>
      </c>
      <c r="EY64" s="9"/>
    </row>
    <row r="65" spans="1:155" x14ac:dyDescent="0.55000000000000004">
      <c r="A65">
        <v>61</v>
      </c>
      <c r="B65" t="s">
        <v>64</v>
      </c>
      <c r="C65" t="s">
        <v>4</v>
      </c>
      <c r="D65" t="s">
        <v>103</v>
      </c>
      <c r="E65">
        <v>152.84700000000001</v>
      </c>
      <c r="F65">
        <v>152.84899999999999</v>
      </c>
      <c r="G65">
        <v>152.803</v>
      </c>
      <c r="H65">
        <v>152.803</v>
      </c>
      <c r="I65">
        <v>152.893</v>
      </c>
      <c r="J65">
        <v>152.88900000000001</v>
      </c>
      <c r="K65">
        <v>153.173</v>
      </c>
      <c r="L65">
        <v>152.60599999999999</v>
      </c>
      <c r="M65">
        <v>152.589</v>
      </c>
      <c r="N65">
        <v>152.863</v>
      </c>
      <c r="O65" s="16">
        <f t="shared" si="49"/>
        <v>4.5999999999992269E-2</v>
      </c>
      <c r="P65" s="16">
        <f t="shared" si="54"/>
        <v>1.999999999981128E-3</v>
      </c>
      <c r="Q65" s="16">
        <f t="shared" si="55"/>
        <v>4.4000000000011141E-2</v>
      </c>
      <c r="R65" s="16">
        <f t="shared" si="56"/>
        <v>4.5999999999992269E-2</v>
      </c>
      <c r="S65" s="16">
        <f t="shared" si="65"/>
        <v>6.6317599724428453E-2</v>
      </c>
      <c r="T65">
        <v>0</v>
      </c>
      <c r="U65">
        <v>0</v>
      </c>
      <c r="V65">
        <v>0</v>
      </c>
      <c r="W65">
        <v>0</v>
      </c>
      <c r="Y65" s="9" t="str">
        <f t="shared" si="9"/>
        <v>------</v>
      </c>
      <c r="Z65" s="9" t="str">
        <f t="shared" si="10"/>
        <v>------</v>
      </c>
      <c r="AA65" s="9"/>
      <c r="AB65">
        <v>0</v>
      </c>
      <c r="AD65" t="str">
        <f t="shared" si="58"/>
        <v/>
      </c>
      <c r="AE65">
        <v>5.9130000000000002E-2</v>
      </c>
      <c r="AF65">
        <v>3</v>
      </c>
      <c r="AG65">
        <v>153.12124</v>
      </c>
      <c r="AH65">
        <v>153.03641999999999</v>
      </c>
      <c r="AI65">
        <v>152.95160999999999</v>
      </c>
      <c r="AJ65">
        <v>152.86679000000001</v>
      </c>
      <c r="AK65">
        <v>152.78198</v>
      </c>
      <c r="AL65">
        <v>152.71995000000001</v>
      </c>
      <c r="AM65">
        <v>152.63514000000001</v>
      </c>
      <c r="AN65">
        <v>152.55032</v>
      </c>
      <c r="AO65">
        <v>152.46550999999999</v>
      </c>
      <c r="AP65">
        <v>152.38068999999999</v>
      </c>
      <c r="AQ65">
        <v>152.83600000000001</v>
      </c>
      <c r="AR65">
        <v>152.81399999999999</v>
      </c>
      <c r="AS65">
        <f t="shared" si="26"/>
        <v>61</v>
      </c>
      <c r="AT65">
        <v>152.833</v>
      </c>
      <c r="AU65">
        <v>152.964</v>
      </c>
      <c r="AV65">
        <v>152.858</v>
      </c>
      <c r="AW65">
        <v>152.82</v>
      </c>
      <c r="AY65" s="4">
        <f>I65*(1+$AY$2)</f>
        <v>152.91593395000001</v>
      </c>
      <c r="AZ65" s="4">
        <f>I65*(1-$AY$2)</f>
        <v>152.87006604999999</v>
      </c>
      <c r="BA65" s="4">
        <f>J65*(1+$AY$2)</f>
        <v>152.91193335000003</v>
      </c>
      <c r="BB65" s="4">
        <f>J65*(1-$AY$2)</f>
        <v>152.86606665000002</v>
      </c>
      <c r="BC65" s="4">
        <f>K65*(1+$AY$2)</f>
        <v>153.19597595000002</v>
      </c>
      <c r="BD65" s="4">
        <f>K65*(1-$AY$2)</f>
        <v>153.15002405000001</v>
      </c>
      <c r="BE65" s="4">
        <f>L65*(1+$AY$2)</f>
        <v>152.62889090000002</v>
      </c>
      <c r="BF65" s="4">
        <f>L65*(1-$AY$2)</f>
        <v>152.5831091</v>
      </c>
      <c r="BG65" s="4">
        <f>M65*(1+$AY$2)</f>
        <v>152.61188835000002</v>
      </c>
      <c r="BH65" s="4">
        <f>M65*(1-$AY$2)</f>
        <v>152.56611165000001</v>
      </c>
      <c r="BI65" s="4">
        <f>N65*(1+$AY$2)</f>
        <v>152.88592945000002</v>
      </c>
      <c r="BJ65" s="4">
        <f>N65*(1-$AY$2)</f>
        <v>152.84007055000001</v>
      </c>
      <c r="BK65" s="30">
        <f t="shared" si="27"/>
        <v>61</v>
      </c>
      <c r="BL65" s="15" t="str">
        <f t="shared" si="11"/>
        <v>-----</v>
      </c>
      <c r="BM65" s="15" t="str">
        <f t="shared" si="12"/>
        <v>-----</v>
      </c>
      <c r="BN65" s="15" t="str">
        <f t="shared" si="13"/>
        <v>-----</v>
      </c>
      <c r="BO65" s="15" t="str">
        <f t="shared" si="14"/>
        <v>-----</v>
      </c>
      <c r="BP65" s="15" t="str">
        <f t="shared" si="15"/>
        <v>-----</v>
      </c>
      <c r="BQ65" s="15" t="str">
        <f t="shared" si="16"/>
        <v>TOUCH</v>
      </c>
      <c r="BR65" s="22"/>
      <c r="BS65" s="9">
        <f t="shared" si="57"/>
        <v>-2.423265306122455E-3</v>
      </c>
      <c r="BT65" s="9">
        <f>SLOPE(J$5:J$103,$A$5:$A$103)</f>
        <v>-3.7194805194805478E-4</v>
      </c>
      <c r="BU65" s="9">
        <f>SLOPE(K$5:K$103,$A$5:$A$103)</f>
        <v>-1.6402721088435472E-3</v>
      </c>
      <c r="BV65" s="9">
        <f>SLOPE(L$5:L$103,$A$5:$A$103)</f>
        <v>7.6471243042669956E-4</v>
      </c>
      <c r="BW65" s="9">
        <f>SLOPE(M$5:M$103,$A$5:$A$103)</f>
        <v>-2.3081014223875058E-4</v>
      </c>
      <c r="BX65" s="9">
        <f>SLOPE(N$5:N$103,$A$5:$A$103)</f>
        <v>1.5802844774273381E-3</v>
      </c>
      <c r="BY65"/>
      <c r="BZ65" s="9">
        <f t="shared" si="59"/>
        <v>-1.9079214597220278</v>
      </c>
      <c r="CA65" s="9">
        <f t="shared" si="60"/>
        <v>-0.29295343676527091</v>
      </c>
      <c r="CB65" s="9">
        <f t="shared" si="61"/>
        <v>-1.2917022253843653</v>
      </c>
      <c r="CC65" s="9">
        <f t="shared" si="62"/>
        <v>0.60228527619529781</v>
      </c>
      <c r="CD65" s="9">
        <f t="shared" si="63"/>
        <v>-0.18179147971962978</v>
      </c>
      <c r="CE65" s="9">
        <f t="shared" si="64"/>
        <v>1.2444775446344229</v>
      </c>
      <c r="CF65"/>
      <c r="CG65" s="18" t="str" cm="1">
        <f t="array" ref="CG65">_xlfn.IFS(BZ65&gt;3,"Strong + Slope",BZ65&gt;1.5,"Moderate + Slope",BZ65&gt;0.5,"Sideway + Slope",BZ65&gt;=-0.5,"Sideway Flat",BZ65&gt;=-1.5,"Sideway - Slope",BZ65&gt;=-3,"Moderate - Slope",TRUE,"Strong - Slope")</f>
        <v>Moderate - Slope</v>
      </c>
      <c r="CH65" s="18" t="str" cm="1">
        <f t="array" ref="CH65">_xlfn.IFS(CA65&gt;3,"Strong + Slope",CA65&gt;1.5,"Moderate + Slope",CA65&gt;0.5,"Sideway + Slope",CA65&gt;=-0.5,"Sideway Flat",CA65&gt;=-1.5,"Sideway - Slope",CA65&gt;=-3,"Moderate - Slope",TRUE,"Strong - Slope")</f>
        <v>Sideway Flat</v>
      </c>
      <c r="CI65" s="18" t="str" cm="1">
        <f t="array" ref="CI65">_xlfn.IFS(CB65&gt;3,"Strong + Slope",CB65&gt;1.5,"Moderate + Slope",CB65&gt;0.5,"Sideway + Slope",CB65&gt;=-0.5,"Sideway Flat",CB65&gt;=-1.5,"Sideway - Slope",CB65&gt;=-3,"Moderate - Slope",TRUE,"Strong - Slope")</f>
        <v>Sideway - Slope</v>
      </c>
      <c r="CJ65" s="18" t="str" cm="1">
        <f t="array" ref="CJ65">_xlfn.IFS(CC65&gt;3,"Strong + Slope",CC65&gt;1.5,"Moderate + Slope",CC65&gt;0.5,"Sideway + Slope",CC65&gt;=-0.5,"Sideway Flat",CC65&gt;=-1.5,"Sideway - Slope",CC65&gt;=-3,"Moderate - Slope",TRUE,"Strong - Slope")</f>
        <v>Sideway + Slope</v>
      </c>
      <c r="CK65" s="18" t="str" cm="1">
        <f t="array" ref="CK65">_xlfn.IFS(CD65&gt;3,"Strong + Slope",CD65&gt;1.5,"Moderate + Slope",CD65&gt;0.5,"Sideway + Slope",CD65&gt;=-0.5,"Sideway Flat",CD65&gt;=-1.5,"Sideway - Slope",CD65&gt;=-3,"Moderate - Slope",TRUE,"Strong - Slope")</f>
        <v>Sideway Flat</v>
      </c>
      <c r="CL65" s="18" t="str" cm="1">
        <f t="array" ref="CL65">_xlfn.IFS(CE65&gt;3,"Strong + Slope",CE65&gt;1.5,"Moderate + Slope",CE65&gt;0.5,"Sideway + Slope",CE65&gt;=-0.5,"Sideway Flat",CE65&gt;=-1.5,"Sideway - Slope",CE65&gt;=-3,"Moderate - Slope",TRUE,"Strong - Slope")</f>
        <v>Sideway + Slope</v>
      </c>
      <c r="CM65" s="9"/>
      <c r="CN65" s="9">
        <f>RANK(I65,$I65:$N65,0)</f>
        <v>2</v>
      </c>
      <c r="CO65" s="9">
        <f>RANK(J65,$I65:$N65,0)</f>
        <v>3</v>
      </c>
      <c r="CP65" s="9">
        <f>RANK(K65,$I65:$N65,0)</f>
        <v>1</v>
      </c>
      <c r="CQ65" s="9">
        <f>RANK(L65,$I65:$N65,0)</f>
        <v>5</v>
      </c>
      <c r="CR65" s="9">
        <f>RANK(M65,$I65:$N65,0)</f>
        <v>6</v>
      </c>
      <c r="CS65" s="9">
        <f>RANK(N65,$I65:$N65,0)</f>
        <v>4</v>
      </c>
      <c r="CT65" s="9"/>
      <c r="CU65" s="9" t="str">
        <f>IF($H65&gt;I65,"SUP","RES")</f>
        <v>RES</v>
      </c>
      <c r="CV65" s="9" t="str">
        <f>IF($H65&gt;J65,"SUP","RES")</f>
        <v>RES</v>
      </c>
      <c r="CW65" s="9" t="str">
        <f>IF($H65&gt;K65,"SUP","RES")</f>
        <v>RES</v>
      </c>
      <c r="CX65" s="9" t="str">
        <f>IF($H65&gt;L65,"SUP","RES")</f>
        <v>SUP</v>
      </c>
      <c r="CY65" s="9" t="str">
        <f>IF($H65&gt;M65,"SUP","RES")</f>
        <v>SUP</v>
      </c>
      <c r="CZ65" s="9" t="str">
        <f>IF($H65&gt;N65,"SUP","RES")</f>
        <v>RES</v>
      </c>
      <c r="DA65" s="9"/>
      <c r="DB65" s="12">
        <f>(I65-$H65)/$H65</f>
        <v>5.889936715902398E-4</v>
      </c>
      <c r="DC65" s="12">
        <f>(J65-$H65)/$H65</f>
        <v>5.6281617507517999E-4</v>
      </c>
      <c r="DD65" s="12">
        <f>(K65-$H65)/$H65</f>
        <v>2.4214184276487014E-3</v>
      </c>
      <c r="DE65" s="12">
        <f>(L65-$H65)/$H65</f>
        <v>-1.2892417033697162E-3</v>
      </c>
      <c r="DF65" s="12">
        <f>(M65-$H65)/$H65</f>
        <v>-1.4004960635589526E-3</v>
      </c>
      <c r="DG65" s="12">
        <f>(N65-$H65)/$H65</f>
        <v>3.9266244772682654E-4</v>
      </c>
      <c r="DH65" s="12"/>
      <c r="DI65" s="12">
        <f>((H65-MIN(I65:N65))/(MAX(I65:N65)-MIN(I65:N65)))</f>
        <v>0.36643835616437925</v>
      </c>
      <c r="DJ65" s="13">
        <f t="shared" si="50"/>
        <v>4</v>
      </c>
      <c r="DK65" s="14">
        <f t="shared" si="51"/>
        <v>2</v>
      </c>
      <c r="DL65" s="12">
        <f t="shared" si="18"/>
        <v>2.4214184276487014E-3</v>
      </c>
      <c r="DM65" s="12">
        <f t="shared" si="19"/>
        <v>5.889936715902398E-4</v>
      </c>
      <c r="DN65" s="12">
        <f t="shared" si="20"/>
        <v>5.6281617507517999E-4</v>
      </c>
      <c r="DO65" s="12">
        <f t="shared" si="21"/>
        <v>3.9266244772682654E-4</v>
      </c>
      <c r="DP65" s="12">
        <f t="shared" si="22"/>
        <v>-1.2892417033697162E-3</v>
      </c>
      <c r="DQ65" s="12">
        <f t="shared" si="23"/>
        <v>-1.4004960635589526E-3</v>
      </c>
      <c r="DR65" s="9"/>
      <c r="DS65" s="9" t="str">
        <f>IF(AQ65&gt;AG65,"Overbought",IF(AQ65&gt;AI65,"Bullish Momentum",IF(AQ65&gt;AK65,"Overprice Setting Up","-----")))</f>
        <v>Overprice Setting Up</v>
      </c>
      <c r="DT65" s="9" t="str">
        <f>IF(AQ65&lt;AP65,"Oversold",IF(AQ65&lt;AN65,"Bearish Momentum",IF(AQ65&lt;AL65,"Underprice Setting Up","-----")))</f>
        <v>-----</v>
      </c>
      <c r="DU65" s="9"/>
      <c r="DV65" s="12" t="str">
        <f>IF(AND(AT65&gt;AU65,AT64&gt;AU64,AT63&gt;AU63,AT62&gt;AU62,AT61&gt;AU61,AT60&gt;AU60,AT59&gt;AU59,AT58&gt;AU58,AT57&gt;AU57,AT56&gt;AU56,AT55&gt;AU55,AT54&gt;AU54),"Bullish",IF(AND(AT65&lt;AU65,AT64&lt;AU64,AT63&lt;AU63,AT62&lt;AU62,AT61&lt;AU61,AT60&lt;AU60,AT59&lt;AU59,AT58&lt;AU58,AT57&lt;AU57,AT56&lt;AU56,AT55&lt;AU55,AT54&lt;AU54),"Bearish","-----"))</f>
        <v>Bearish</v>
      </c>
      <c r="DW65" s="12"/>
      <c r="DX65" s="23">
        <f>(AR65-AT65)/AT65</f>
        <v>-1.2431870080418142E-4</v>
      </c>
      <c r="DY65" s="23">
        <f t="shared" si="52"/>
        <v>0.94014371163511878</v>
      </c>
      <c r="DZ65" s="23" t="str">
        <f>IF(DY65&gt;PERCENTILE($DY$5:$DY$103,90%),"Reverse to Bearish",IF(DY65&gt;=PERCENTILE($DY$5:$DY$103,70%),"-----",IF(DY65&gt;=PERCENTILE($DY$5:$DY$103,30%),"-----",IF(DY65&gt;=PERCENTILE($DY$5:$DY$103,10%),"-----","Reverse to Bullish"))))</f>
        <v>-----</v>
      </c>
      <c r="EA65" s="23" t="str">
        <f>IF(AQ65&gt;AR65,"Bullish","Bearish")</f>
        <v>Bullish</v>
      </c>
      <c r="EB65" s="22" t="str">
        <f>IF(AND(H65&gt;AQ65,H64&lt;AQ64),"TEMA crossover","-----")</f>
        <v>-----</v>
      </c>
      <c r="EC65" s="22" t="str">
        <f>IF(AND(H65&lt;AQ65,H64&gt;AQ64),"TEMA crossunder","-----")</f>
        <v>TEMA crossunder</v>
      </c>
      <c r="ED65" s="22"/>
      <c r="EE65" s="24" t="str">
        <f t="shared" si="45"/>
        <v>YES</v>
      </c>
      <c r="EF65" s="24" t="str">
        <f t="shared" si="46"/>
        <v>-----</v>
      </c>
      <c r="EG65" s="24" t="str">
        <f t="shared" si="47"/>
        <v>YES</v>
      </c>
      <c r="EH65" s="24" t="str">
        <f t="shared" si="48"/>
        <v>YES</v>
      </c>
      <c r="EI65" s="25" t="str">
        <f>IF(DV65="Bullish","YES","-----")</f>
        <v>-----</v>
      </c>
      <c r="EJ65" s="25" t="str">
        <f>IF(DZ65="Reverse to Bullish","YES","-----")</f>
        <v>-----</v>
      </c>
      <c r="EK65" s="25" t="str">
        <f>IF(AND(EA65="Bearish",EA64="Bearish",EA63="Bearish",EA62="Bearish"),"YES","-----")</f>
        <v>-----</v>
      </c>
      <c r="EL65" s="25" t="str">
        <f>IF(OR(EC65="TEMA crossover",EC64="TEMA crossover",EC63="TEMA crossover",EC62="TEMA crossover"),"YES","-----")</f>
        <v>-----</v>
      </c>
      <c r="EM65" s="24" t="str">
        <f>IF(AND(EE65="YES",EF65="YES",EG65="YES",EH65="YES"),"Open Sell / Close Buy","-----")</f>
        <v>-----</v>
      </c>
      <c r="EN65" s="25" t="str">
        <f t="shared" si="32"/>
        <v>-----</v>
      </c>
      <c r="EO65" s="23"/>
      <c r="EP65" s="9" t="str">
        <f>IF(AND(H65&gt;AV65,H65&gt;E65),"Bullish Trigger","-----")</f>
        <v>-----</v>
      </c>
      <c r="EQ65" s="9" t="str">
        <f>IF(AND(H65&lt;AW65,H65&lt;E65),"Bearish Trigger","-----")</f>
        <v>Bearish Trigger</v>
      </c>
      <c r="ER65" s="9"/>
      <c r="ES65" s="9" t="str">
        <f>IF(G65&gt;AV65,"Bullish Spike","-----")</f>
        <v>-----</v>
      </c>
      <c r="ET65" s="9" t="str">
        <f>IF(F65&lt;AW65,"Bearish Spike","-----")</f>
        <v>-----</v>
      </c>
      <c r="EU65" s="9"/>
      <c r="EV65" s="20">
        <f t="shared" si="53"/>
        <v>3.8000000000010914E-2</v>
      </c>
      <c r="EW65" s="9">
        <f t="shared" si="24"/>
        <v>-0.87066894970218811</v>
      </c>
      <c r="EX65" s="21" t="str">
        <f t="shared" si="25"/>
        <v>-----</v>
      </c>
      <c r="EY65" s="9"/>
    </row>
    <row r="66" spans="1:155" x14ac:dyDescent="0.55000000000000004">
      <c r="A66">
        <v>62</v>
      </c>
      <c r="B66" t="s">
        <v>65</v>
      </c>
      <c r="C66" t="s">
        <v>4</v>
      </c>
      <c r="D66" t="s">
        <v>103</v>
      </c>
      <c r="E66">
        <v>152.803</v>
      </c>
      <c r="F66">
        <v>152.84</v>
      </c>
      <c r="G66">
        <v>152.803</v>
      </c>
      <c r="H66">
        <v>152.84</v>
      </c>
      <c r="I66">
        <v>152.88999999999999</v>
      </c>
      <c r="J66">
        <v>152.88800000000001</v>
      </c>
      <c r="K66">
        <v>153.17099999999999</v>
      </c>
      <c r="L66">
        <v>152.607</v>
      </c>
      <c r="M66">
        <v>152.589</v>
      </c>
      <c r="N66">
        <v>152.864</v>
      </c>
      <c r="O66" s="16">
        <f t="shared" si="49"/>
        <v>3.7000000000006139E-2</v>
      </c>
      <c r="P66" s="16">
        <f t="shared" si="54"/>
        <v>3.7000000000006139E-2</v>
      </c>
      <c r="Q66" s="16">
        <f t="shared" si="55"/>
        <v>0</v>
      </c>
      <c r="R66" s="16">
        <f t="shared" si="56"/>
        <v>3.7000000000006139E-2</v>
      </c>
      <c r="S66" s="16">
        <f t="shared" si="65"/>
        <v>6.4223485458398288E-2</v>
      </c>
      <c r="T66">
        <v>0</v>
      </c>
      <c r="U66">
        <v>0</v>
      </c>
      <c r="V66">
        <v>0</v>
      </c>
      <c r="W66">
        <v>0</v>
      </c>
      <c r="Y66" s="9" t="str">
        <f t="shared" si="9"/>
        <v>------</v>
      </c>
      <c r="Z66" s="9" t="str">
        <f t="shared" si="10"/>
        <v>------</v>
      </c>
      <c r="AA66" s="9"/>
      <c r="AB66">
        <v>0</v>
      </c>
      <c r="AD66" t="str">
        <f t="shared" si="58"/>
        <v/>
      </c>
      <c r="AE66">
        <v>0.22405</v>
      </c>
      <c r="AF66">
        <v>0</v>
      </c>
      <c r="AG66">
        <v>153.12079</v>
      </c>
      <c r="AH66">
        <v>153.03611000000001</v>
      </c>
      <c r="AI66">
        <v>152.95142999999999</v>
      </c>
      <c r="AJ66">
        <v>152.86675</v>
      </c>
      <c r="AK66">
        <v>152.78207</v>
      </c>
      <c r="AL66">
        <v>152.72274999999999</v>
      </c>
      <c r="AM66">
        <v>152.63807</v>
      </c>
      <c r="AN66">
        <v>152.55339000000001</v>
      </c>
      <c r="AO66">
        <v>152.46870999999999</v>
      </c>
      <c r="AP66">
        <v>152.38403</v>
      </c>
      <c r="AQ66">
        <v>152.83500000000001</v>
      </c>
      <c r="AR66">
        <v>152.81700000000001</v>
      </c>
      <c r="AS66">
        <f t="shared" si="26"/>
        <v>62</v>
      </c>
      <c r="AT66">
        <v>152.833</v>
      </c>
      <c r="AU66">
        <v>152.96</v>
      </c>
      <c r="AV66">
        <v>152.852</v>
      </c>
      <c r="AW66">
        <v>152.816</v>
      </c>
      <c r="AY66" s="4">
        <f>I66*(1+$AY$2)</f>
        <v>152.91293350000001</v>
      </c>
      <c r="AZ66" s="4">
        <f>I66*(1-$AY$2)</f>
        <v>152.86706649999999</v>
      </c>
      <c r="BA66" s="4">
        <f>J66*(1+$AY$2)</f>
        <v>152.91093320000002</v>
      </c>
      <c r="BB66" s="4">
        <f>J66*(1-$AY$2)</f>
        <v>152.86506679999999</v>
      </c>
      <c r="BC66" s="4">
        <f>K66*(1+$AY$2)</f>
        <v>153.19397565</v>
      </c>
      <c r="BD66" s="4">
        <f>K66*(1-$AY$2)</f>
        <v>153.14802434999999</v>
      </c>
      <c r="BE66" s="4">
        <f>L66*(1+$AY$2)</f>
        <v>152.62989105000003</v>
      </c>
      <c r="BF66" s="4">
        <f>L66*(1-$AY$2)</f>
        <v>152.58410895</v>
      </c>
      <c r="BG66" s="4">
        <f>M66*(1+$AY$2)</f>
        <v>152.61188835000002</v>
      </c>
      <c r="BH66" s="4">
        <f>M66*(1-$AY$2)</f>
        <v>152.56611165000001</v>
      </c>
      <c r="BI66" s="4">
        <f>N66*(1+$AY$2)</f>
        <v>152.88692960000003</v>
      </c>
      <c r="BJ66" s="4">
        <f>N66*(1-$AY$2)</f>
        <v>152.84107040000001</v>
      </c>
      <c r="BK66" s="30">
        <f t="shared" si="27"/>
        <v>62</v>
      </c>
      <c r="BL66" s="15" t="str">
        <f t="shared" si="11"/>
        <v>-----</v>
      </c>
      <c r="BM66" s="15" t="str">
        <f t="shared" si="12"/>
        <v>-----</v>
      </c>
      <c r="BN66" s="15" t="str">
        <f t="shared" si="13"/>
        <v>-----</v>
      </c>
      <c r="BO66" s="15" t="str">
        <f t="shared" si="14"/>
        <v>-----</v>
      </c>
      <c r="BP66" s="15" t="str">
        <f t="shared" si="15"/>
        <v>-----</v>
      </c>
      <c r="BQ66" s="15" t="str">
        <f t="shared" si="16"/>
        <v>-----</v>
      </c>
      <c r="BR66" s="22"/>
      <c r="BS66" s="9">
        <f t="shared" si="57"/>
        <v>-2.423265306122455E-3</v>
      </c>
      <c r="BT66" s="9">
        <f>SLOPE(J$5:J$103,$A$5:$A$103)</f>
        <v>-3.7194805194805478E-4</v>
      </c>
      <c r="BU66" s="9">
        <f>SLOPE(K$5:K$103,$A$5:$A$103)</f>
        <v>-1.6402721088435472E-3</v>
      </c>
      <c r="BV66" s="9">
        <f>SLOPE(L$5:L$103,$A$5:$A$103)</f>
        <v>7.6471243042669956E-4</v>
      </c>
      <c r="BW66" s="9">
        <f>SLOPE(M$5:M$103,$A$5:$A$103)</f>
        <v>-2.3081014223875058E-4</v>
      </c>
      <c r="BX66" s="9">
        <f>SLOPE(N$5:N$103,$A$5:$A$103)</f>
        <v>1.5802844774273381E-3</v>
      </c>
      <c r="BY66"/>
      <c r="BZ66" s="9">
        <f t="shared" si="59"/>
        <v>-1.9079214597220278</v>
      </c>
      <c r="CA66" s="9">
        <f t="shared" si="60"/>
        <v>-0.29295343676527091</v>
      </c>
      <c r="CB66" s="9">
        <f t="shared" si="61"/>
        <v>-1.2917022253843653</v>
      </c>
      <c r="CC66" s="9">
        <f t="shared" si="62"/>
        <v>0.60228527619529781</v>
      </c>
      <c r="CD66" s="9">
        <f t="shared" si="63"/>
        <v>-0.18179147971962978</v>
      </c>
      <c r="CE66" s="9">
        <f t="shared" si="64"/>
        <v>1.2444775446344229</v>
      </c>
      <c r="CF66"/>
      <c r="CG66" s="18" t="str" cm="1">
        <f t="array" ref="CG66">_xlfn.IFS(BZ66&gt;3,"Strong + Slope",BZ66&gt;1.5,"Moderate + Slope",BZ66&gt;0.5,"Sideway + Slope",BZ66&gt;=-0.5,"Sideway Flat",BZ66&gt;=-1.5,"Sideway - Slope",BZ66&gt;=-3,"Moderate - Slope",TRUE,"Strong - Slope")</f>
        <v>Moderate - Slope</v>
      </c>
      <c r="CH66" s="18" t="str" cm="1">
        <f t="array" ref="CH66">_xlfn.IFS(CA66&gt;3,"Strong + Slope",CA66&gt;1.5,"Moderate + Slope",CA66&gt;0.5,"Sideway + Slope",CA66&gt;=-0.5,"Sideway Flat",CA66&gt;=-1.5,"Sideway - Slope",CA66&gt;=-3,"Moderate - Slope",TRUE,"Strong - Slope")</f>
        <v>Sideway Flat</v>
      </c>
      <c r="CI66" s="18" t="str" cm="1">
        <f t="array" ref="CI66">_xlfn.IFS(CB66&gt;3,"Strong + Slope",CB66&gt;1.5,"Moderate + Slope",CB66&gt;0.5,"Sideway + Slope",CB66&gt;=-0.5,"Sideway Flat",CB66&gt;=-1.5,"Sideway - Slope",CB66&gt;=-3,"Moderate - Slope",TRUE,"Strong - Slope")</f>
        <v>Sideway - Slope</v>
      </c>
      <c r="CJ66" s="18" t="str" cm="1">
        <f t="array" ref="CJ66">_xlfn.IFS(CC66&gt;3,"Strong + Slope",CC66&gt;1.5,"Moderate + Slope",CC66&gt;0.5,"Sideway + Slope",CC66&gt;=-0.5,"Sideway Flat",CC66&gt;=-1.5,"Sideway - Slope",CC66&gt;=-3,"Moderate - Slope",TRUE,"Strong - Slope")</f>
        <v>Sideway + Slope</v>
      </c>
      <c r="CK66" s="18" t="str" cm="1">
        <f t="array" ref="CK66">_xlfn.IFS(CD66&gt;3,"Strong + Slope",CD66&gt;1.5,"Moderate + Slope",CD66&gt;0.5,"Sideway + Slope",CD66&gt;=-0.5,"Sideway Flat",CD66&gt;=-1.5,"Sideway - Slope",CD66&gt;=-3,"Moderate - Slope",TRUE,"Strong - Slope")</f>
        <v>Sideway Flat</v>
      </c>
      <c r="CL66" s="18" t="str" cm="1">
        <f t="array" ref="CL66">_xlfn.IFS(CE66&gt;3,"Strong + Slope",CE66&gt;1.5,"Moderate + Slope",CE66&gt;0.5,"Sideway + Slope",CE66&gt;=-0.5,"Sideway Flat",CE66&gt;=-1.5,"Sideway - Slope",CE66&gt;=-3,"Moderate - Slope",TRUE,"Strong - Slope")</f>
        <v>Sideway + Slope</v>
      </c>
      <c r="CM66" s="9"/>
      <c r="CN66" s="9">
        <f>RANK(I66,$I66:$N66,0)</f>
        <v>2</v>
      </c>
      <c r="CO66" s="9">
        <f>RANK(J66,$I66:$N66,0)</f>
        <v>3</v>
      </c>
      <c r="CP66" s="9">
        <f>RANK(K66,$I66:$N66,0)</f>
        <v>1</v>
      </c>
      <c r="CQ66" s="9">
        <f>RANK(L66,$I66:$N66,0)</f>
        <v>5</v>
      </c>
      <c r="CR66" s="9">
        <f>RANK(M66,$I66:$N66,0)</f>
        <v>6</v>
      </c>
      <c r="CS66" s="9">
        <f>RANK(N66,$I66:$N66,0)</f>
        <v>4</v>
      </c>
      <c r="CT66" s="9"/>
      <c r="CU66" s="9" t="str">
        <f>IF($H66&gt;I66,"SUP","RES")</f>
        <v>RES</v>
      </c>
      <c r="CV66" s="9" t="str">
        <f>IF($H66&gt;J66,"SUP","RES")</f>
        <v>RES</v>
      </c>
      <c r="CW66" s="9" t="str">
        <f>IF($H66&gt;K66,"SUP","RES")</f>
        <v>RES</v>
      </c>
      <c r="CX66" s="9" t="str">
        <f>IF($H66&gt;L66,"SUP","RES")</f>
        <v>SUP</v>
      </c>
      <c r="CY66" s="9" t="str">
        <f>IF($H66&gt;M66,"SUP","RES")</f>
        <v>SUP</v>
      </c>
      <c r="CZ66" s="9" t="str">
        <f>IF($H66&gt;N66,"SUP","RES")</f>
        <v>RES</v>
      </c>
      <c r="DA66" s="9"/>
      <c r="DB66" s="12">
        <f>(I66-$H66)/$H66</f>
        <v>3.2713949227939639E-4</v>
      </c>
      <c r="DC66" s="12">
        <f>(J66-$H66)/$H66</f>
        <v>3.1405391258833954E-4</v>
      </c>
      <c r="DD66" s="12">
        <f>(K66-$H66)/$H66</f>
        <v>2.16566343889027E-3</v>
      </c>
      <c r="DE66" s="12">
        <f>(L66-$H66)/$H66</f>
        <v>-1.5244700340225339E-3</v>
      </c>
      <c r="DF66" s="12">
        <f>(M66-$H66)/$H66</f>
        <v>-1.6422402512431614E-3</v>
      </c>
      <c r="DG66" s="12">
        <f>(N66-$H66)/$H66</f>
        <v>1.5702695629416977E-4</v>
      </c>
      <c r="DH66" s="12"/>
      <c r="DI66" s="12">
        <f>((H66-MIN(I66:N66))/(MAX(I66:N66)-MIN(I66:N66)))</f>
        <v>0.43127147766324314</v>
      </c>
      <c r="DJ66" s="13">
        <f t="shared" si="50"/>
        <v>4</v>
      </c>
      <c r="DK66" s="14">
        <f t="shared" si="51"/>
        <v>2</v>
      </c>
      <c r="DL66" s="12">
        <f t="shared" si="18"/>
        <v>2.16566343889027E-3</v>
      </c>
      <c r="DM66" s="12">
        <f t="shared" si="19"/>
        <v>3.2713949227939639E-4</v>
      </c>
      <c r="DN66" s="12">
        <f t="shared" si="20"/>
        <v>3.1405391258833954E-4</v>
      </c>
      <c r="DO66" s="12">
        <f t="shared" si="21"/>
        <v>1.5702695629416977E-4</v>
      </c>
      <c r="DP66" s="12">
        <f t="shared" si="22"/>
        <v>-1.5244700340225339E-3</v>
      </c>
      <c r="DQ66" s="12">
        <f t="shared" si="23"/>
        <v>-1.6422402512431614E-3</v>
      </c>
      <c r="DR66" s="9"/>
      <c r="DS66" s="9" t="str">
        <f>IF(AQ66&gt;AG66,"Overbought",IF(AQ66&gt;AI66,"Bullish Momentum",IF(AQ66&gt;AK66,"Overprice Setting Up","-----")))</f>
        <v>Overprice Setting Up</v>
      </c>
      <c r="DT66" s="9" t="str">
        <f>IF(AQ66&lt;AP66,"Oversold",IF(AQ66&lt;AN66,"Bearish Momentum",IF(AQ66&lt;AL66,"Underprice Setting Up","-----")))</f>
        <v>-----</v>
      </c>
      <c r="DU66" s="9"/>
      <c r="DV66" s="12" t="str">
        <f>IF(AND(AT66&gt;AU66,AT65&gt;AU65,AT64&gt;AU64,AT63&gt;AU63,AT62&gt;AU62,AT61&gt;AU61,AT60&gt;AU60,AT59&gt;AU59,AT58&gt;AU58,AT57&gt;AU57,AT56&gt;AU56,AT55&gt;AU55),"Bullish",IF(AND(AT66&lt;AU66,AT65&lt;AU65,AT64&lt;AU64,AT63&lt;AU63,AT62&lt;AU62,AT61&lt;AU61,AT60&lt;AU60,AT59&lt;AU59,AT58&lt;AU58,AT57&lt;AU57,AT56&lt;AU56,AT55&lt;AU55),"Bearish","-----"))</f>
        <v>Bearish</v>
      </c>
      <c r="DW66" s="12"/>
      <c r="DX66" s="23">
        <f>(AR66-AT66)/AT66</f>
        <v>-1.0468943225606468E-4</v>
      </c>
      <c r="DY66" s="23">
        <f t="shared" si="52"/>
        <v>0.99675555810357785</v>
      </c>
      <c r="DZ66" s="23" t="str">
        <f>IF(DY66&gt;PERCENTILE($DY$5:$DY$103,90%),"Reverse to Bearish",IF(DY66&gt;=PERCENTILE($DY$5:$DY$103,70%),"-----",IF(DY66&gt;=PERCENTILE($DY$5:$DY$103,30%),"-----",IF(DY66&gt;=PERCENTILE($DY$5:$DY$103,10%),"-----","Reverse to Bullish"))))</f>
        <v>-----</v>
      </c>
      <c r="EA66" s="23" t="str">
        <f>IF(AQ66&gt;AR66,"Bullish","Bearish")</f>
        <v>Bullish</v>
      </c>
      <c r="EB66" s="22" t="str">
        <f>IF(AND(H66&gt;AQ66,H65&lt;AQ65),"TEMA crossover","-----")</f>
        <v>TEMA crossover</v>
      </c>
      <c r="EC66" s="22" t="str">
        <f>IF(AND(H66&lt;AQ66,H65&gt;AQ65),"TEMA crossunder","-----")</f>
        <v>-----</v>
      </c>
      <c r="ED66" s="22"/>
      <c r="EE66" s="24" t="str">
        <f t="shared" si="45"/>
        <v>YES</v>
      </c>
      <c r="EF66" s="24" t="str">
        <f t="shared" si="46"/>
        <v>-----</v>
      </c>
      <c r="EG66" s="24" t="str">
        <f t="shared" si="47"/>
        <v>YES</v>
      </c>
      <c r="EH66" s="24" t="str">
        <f t="shared" si="48"/>
        <v>YES</v>
      </c>
      <c r="EI66" s="25" t="str">
        <f>IF(DV66="Bullish","YES","-----")</f>
        <v>-----</v>
      </c>
      <c r="EJ66" s="25" t="str">
        <f>IF(DZ66="Reverse to Bullish","YES","-----")</f>
        <v>-----</v>
      </c>
      <c r="EK66" s="25" t="str">
        <f>IF(AND(EA66="Bearish",EA65="Bearish",EA64="Bearish",EA63="Bearish"),"YES","-----")</f>
        <v>-----</v>
      </c>
      <c r="EL66" s="25" t="str">
        <f>IF(OR(EC66="TEMA crossover",EC65="TEMA crossover",EC64="TEMA crossover",EC63="TEMA crossover"),"YES","-----")</f>
        <v>-----</v>
      </c>
      <c r="EM66" s="24" t="str">
        <f>IF(AND(EE66="YES",EF66="YES",EG66="YES",EH66="YES"),"Open Sell / Close Buy","-----")</f>
        <v>-----</v>
      </c>
      <c r="EN66" s="25" t="str">
        <f t="shared" si="32"/>
        <v>-----</v>
      </c>
      <c r="EO66" s="23"/>
      <c r="EP66" s="9" t="str">
        <f>IF(AND(H66&gt;AV66,H66&gt;E66),"Bullish Trigger","-----")</f>
        <v>-----</v>
      </c>
      <c r="EQ66" s="9" t="str">
        <f>IF(AND(H66&lt;AW66,H66&lt;E66),"Bearish Trigger","-----")</f>
        <v>-----</v>
      </c>
      <c r="ER66" s="9"/>
      <c r="ES66" s="9" t="str">
        <f>IF(G66&gt;AV66,"Bullish Spike","-----")</f>
        <v>-----</v>
      </c>
      <c r="ET66" s="9" t="str">
        <f>IF(F66&lt;AW66,"Bearish Spike","-----")</f>
        <v>-----</v>
      </c>
      <c r="EU66" s="9"/>
      <c r="EV66" s="20">
        <f t="shared" si="53"/>
        <v>3.6000000000001364E-2</v>
      </c>
      <c r="EW66" s="9">
        <f t="shared" si="24"/>
        <v>-0.91676318821606417</v>
      </c>
      <c r="EX66" s="21" t="str">
        <f t="shared" si="25"/>
        <v>-----</v>
      </c>
      <c r="EY66" s="9"/>
    </row>
    <row r="67" spans="1:155" x14ac:dyDescent="0.55000000000000004">
      <c r="A67">
        <v>63</v>
      </c>
      <c r="B67" t="s">
        <v>66</v>
      </c>
      <c r="C67" t="s">
        <v>4</v>
      </c>
      <c r="D67" t="s">
        <v>103</v>
      </c>
      <c r="E67">
        <v>152.84</v>
      </c>
      <c r="F67">
        <v>152.88800000000001</v>
      </c>
      <c r="G67">
        <v>152.83600000000001</v>
      </c>
      <c r="H67">
        <v>152.874</v>
      </c>
      <c r="I67">
        <v>152.88800000000001</v>
      </c>
      <c r="J67">
        <v>152.88800000000001</v>
      </c>
      <c r="K67">
        <v>153.16900000000001</v>
      </c>
      <c r="L67">
        <v>152.608</v>
      </c>
      <c r="M67">
        <v>152.589</v>
      </c>
      <c r="N67">
        <v>152.86600000000001</v>
      </c>
      <c r="O67" s="16">
        <f t="shared" si="49"/>
        <v>5.1999999999992497E-2</v>
      </c>
      <c r="P67" s="16">
        <f t="shared" si="54"/>
        <v>4.8000000000001819E-2</v>
      </c>
      <c r="Q67" s="16">
        <f t="shared" si="55"/>
        <v>3.9999999999906777E-3</v>
      </c>
      <c r="R67" s="16">
        <f t="shared" si="56"/>
        <v>5.1999999999992497E-2</v>
      </c>
      <c r="S67" s="16">
        <f t="shared" si="65"/>
        <v>6.3350379354226452E-2</v>
      </c>
      <c r="T67">
        <v>152.88800000000001</v>
      </c>
      <c r="U67">
        <v>152.88800000000001</v>
      </c>
      <c r="V67">
        <v>0</v>
      </c>
      <c r="W67">
        <v>0</v>
      </c>
      <c r="Y67" s="9" t="str">
        <f t="shared" si="9"/>
        <v>Important High</v>
      </c>
      <c r="Z67" s="9" t="str">
        <f t="shared" si="10"/>
        <v>------</v>
      </c>
      <c r="AA67" s="9"/>
      <c r="AB67">
        <v>0</v>
      </c>
      <c r="AD67" t="str">
        <f t="shared" si="58"/>
        <v/>
      </c>
      <c r="AE67">
        <v>0.29421999999999998</v>
      </c>
      <c r="AF67">
        <v>0</v>
      </c>
      <c r="AG67">
        <v>153.12276</v>
      </c>
      <c r="AH67">
        <v>153.03792999999999</v>
      </c>
      <c r="AI67">
        <v>152.95310000000001</v>
      </c>
      <c r="AJ67">
        <v>152.86825999999999</v>
      </c>
      <c r="AK67">
        <v>152.78343000000001</v>
      </c>
      <c r="AL67">
        <v>152.72635</v>
      </c>
      <c r="AM67">
        <v>152.64151000000001</v>
      </c>
      <c r="AN67">
        <v>152.55668</v>
      </c>
      <c r="AO67">
        <v>152.47184999999999</v>
      </c>
      <c r="AP67">
        <v>152.38701</v>
      </c>
      <c r="AQ67">
        <v>152.852</v>
      </c>
      <c r="AR67">
        <v>152.82400000000001</v>
      </c>
      <c r="AS67">
        <f t="shared" si="26"/>
        <v>63</v>
      </c>
      <c r="AT67">
        <v>152.83500000000001</v>
      </c>
      <c r="AU67">
        <v>152.95699999999999</v>
      </c>
      <c r="AV67">
        <v>152.87200000000001</v>
      </c>
      <c r="AW67">
        <v>152.82900000000001</v>
      </c>
      <c r="AY67" s="4">
        <f>I67*(1+$AY$2)</f>
        <v>152.91093320000002</v>
      </c>
      <c r="AZ67" s="4">
        <f>I67*(1-$AY$2)</f>
        <v>152.86506679999999</v>
      </c>
      <c r="BA67" s="4">
        <f>J67*(1+$AY$2)</f>
        <v>152.91093320000002</v>
      </c>
      <c r="BB67" s="4">
        <f>J67*(1-$AY$2)</f>
        <v>152.86506679999999</v>
      </c>
      <c r="BC67" s="4">
        <f>K67*(1+$AY$2)</f>
        <v>153.19197535000004</v>
      </c>
      <c r="BD67" s="4">
        <f>K67*(1-$AY$2)</f>
        <v>153.14602465000002</v>
      </c>
      <c r="BE67" s="4">
        <f>L67*(1+$AY$2)</f>
        <v>152.63089120000001</v>
      </c>
      <c r="BF67" s="4">
        <f>L67*(1-$AY$2)</f>
        <v>152.5851088</v>
      </c>
      <c r="BG67" s="4">
        <f>M67*(1+$AY$2)</f>
        <v>152.61188835000002</v>
      </c>
      <c r="BH67" s="4">
        <f>M67*(1-$AY$2)</f>
        <v>152.56611165000001</v>
      </c>
      <c r="BI67" s="4">
        <f>N67*(1+$AY$2)</f>
        <v>152.88892990000002</v>
      </c>
      <c r="BJ67" s="4">
        <f>N67*(1-$AY$2)</f>
        <v>152.84307010000001</v>
      </c>
      <c r="BK67" s="30">
        <f t="shared" si="27"/>
        <v>63</v>
      </c>
      <c r="BL67" s="15" t="str">
        <f t="shared" si="11"/>
        <v>TOUCH</v>
      </c>
      <c r="BM67" s="15" t="str">
        <f t="shared" si="12"/>
        <v>TOUCH</v>
      </c>
      <c r="BN67" s="15" t="str">
        <f t="shared" si="13"/>
        <v>-----</v>
      </c>
      <c r="BO67" s="15" t="str">
        <f t="shared" si="14"/>
        <v>-----</v>
      </c>
      <c r="BP67" s="15" t="str">
        <f t="shared" si="15"/>
        <v>-----</v>
      </c>
      <c r="BQ67" s="15" t="str">
        <f t="shared" si="16"/>
        <v>TOUCH</v>
      </c>
      <c r="BR67" s="22"/>
      <c r="BS67" s="9">
        <f t="shared" si="57"/>
        <v>-2.423265306122455E-3</v>
      </c>
      <c r="BT67" s="9">
        <f>SLOPE(J$5:J$103,$A$5:$A$103)</f>
        <v>-3.7194805194805478E-4</v>
      </c>
      <c r="BU67" s="9">
        <f>SLOPE(K$5:K$103,$A$5:$A$103)</f>
        <v>-1.6402721088435472E-3</v>
      </c>
      <c r="BV67" s="9">
        <f>SLOPE(L$5:L$103,$A$5:$A$103)</f>
        <v>7.6471243042669956E-4</v>
      </c>
      <c r="BW67" s="9">
        <f>SLOPE(M$5:M$103,$A$5:$A$103)</f>
        <v>-2.3081014223875058E-4</v>
      </c>
      <c r="BX67" s="9">
        <f>SLOPE(N$5:N$103,$A$5:$A$103)</f>
        <v>1.5802844774273381E-3</v>
      </c>
      <c r="BY67"/>
      <c r="BZ67" s="9">
        <f t="shared" si="59"/>
        <v>-1.9079214597220278</v>
      </c>
      <c r="CA67" s="9">
        <f t="shared" si="60"/>
        <v>-0.29295343676527091</v>
      </c>
      <c r="CB67" s="9">
        <f t="shared" si="61"/>
        <v>-1.2917022253843653</v>
      </c>
      <c r="CC67" s="9">
        <f t="shared" si="62"/>
        <v>0.60228527619529781</v>
      </c>
      <c r="CD67" s="9">
        <f t="shared" si="63"/>
        <v>-0.18179147971962978</v>
      </c>
      <c r="CE67" s="9">
        <f t="shared" si="64"/>
        <v>1.2444775446344229</v>
      </c>
      <c r="CF67"/>
      <c r="CG67" s="18" t="str" cm="1">
        <f t="array" ref="CG67">_xlfn.IFS(BZ67&gt;3,"Strong + Slope",BZ67&gt;1.5,"Moderate + Slope",BZ67&gt;0.5,"Sideway + Slope",BZ67&gt;=-0.5,"Sideway Flat",BZ67&gt;=-1.5,"Sideway - Slope",BZ67&gt;=-3,"Moderate - Slope",TRUE,"Strong - Slope")</f>
        <v>Moderate - Slope</v>
      </c>
      <c r="CH67" s="18" t="str" cm="1">
        <f t="array" ref="CH67">_xlfn.IFS(CA67&gt;3,"Strong + Slope",CA67&gt;1.5,"Moderate + Slope",CA67&gt;0.5,"Sideway + Slope",CA67&gt;=-0.5,"Sideway Flat",CA67&gt;=-1.5,"Sideway - Slope",CA67&gt;=-3,"Moderate - Slope",TRUE,"Strong - Slope")</f>
        <v>Sideway Flat</v>
      </c>
      <c r="CI67" s="18" t="str" cm="1">
        <f t="array" ref="CI67">_xlfn.IFS(CB67&gt;3,"Strong + Slope",CB67&gt;1.5,"Moderate + Slope",CB67&gt;0.5,"Sideway + Slope",CB67&gt;=-0.5,"Sideway Flat",CB67&gt;=-1.5,"Sideway - Slope",CB67&gt;=-3,"Moderate - Slope",TRUE,"Strong - Slope")</f>
        <v>Sideway - Slope</v>
      </c>
      <c r="CJ67" s="18" t="str" cm="1">
        <f t="array" ref="CJ67">_xlfn.IFS(CC67&gt;3,"Strong + Slope",CC67&gt;1.5,"Moderate + Slope",CC67&gt;0.5,"Sideway + Slope",CC67&gt;=-0.5,"Sideway Flat",CC67&gt;=-1.5,"Sideway - Slope",CC67&gt;=-3,"Moderate - Slope",TRUE,"Strong - Slope")</f>
        <v>Sideway + Slope</v>
      </c>
      <c r="CK67" s="18" t="str" cm="1">
        <f t="array" ref="CK67">_xlfn.IFS(CD67&gt;3,"Strong + Slope",CD67&gt;1.5,"Moderate + Slope",CD67&gt;0.5,"Sideway + Slope",CD67&gt;=-0.5,"Sideway Flat",CD67&gt;=-1.5,"Sideway - Slope",CD67&gt;=-3,"Moderate - Slope",TRUE,"Strong - Slope")</f>
        <v>Sideway Flat</v>
      </c>
      <c r="CL67" s="18" t="str" cm="1">
        <f t="array" ref="CL67">_xlfn.IFS(CE67&gt;3,"Strong + Slope",CE67&gt;1.5,"Moderate + Slope",CE67&gt;0.5,"Sideway + Slope",CE67&gt;=-0.5,"Sideway Flat",CE67&gt;=-1.5,"Sideway - Slope",CE67&gt;=-3,"Moderate - Slope",TRUE,"Strong - Slope")</f>
        <v>Sideway + Slope</v>
      </c>
      <c r="CM67" s="9"/>
      <c r="CN67" s="9">
        <f>RANK(I67,$I67:$N67,0)</f>
        <v>2</v>
      </c>
      <c r="CO67" s="9">
        <f>RANK(J67,$I67:$N67,0)</f>
        <v>2</v>
      </c>
      <c r="CP67" s="9">
        <f>RANK(K67,$I67:$N67,0)</f>
        <v>1</v>
      </c>
      <c r="CQ67" s="9">
        <f>RANK(L67,$I67:$N67,0)</f>
        <v>5</v>
      </c>
      <c r="CR67" s="9">
        <f>RANK(M67,$I67:$N67,0)</f>
        <v>6</v>
      </c>
      <c r="CS67" s="9">
        <f>RANK(N67,$I67:$N67,0)</f>
        <v>4</v>
      </c>
      <c r="CT67" s="9"/>
      <c r="CU67" s="9" t="str">
        <f>IF($H67&gt;I67,"SUP","RES")</f>
        <v>RES</v>
      </c>
      <c r="CV67" s="9" t="str">
        <f>IF($H67&gt;J67,"SUP","RES")</f>
        <v>RES</v>
      </c>
      <c r="CW67" s="9" t="str">
        <f>IF($H67&gt;K67,"SUP","RES")</f>
        <v>RES</v>
      </c>
      <c r="CX67" s="9" t="str">
        <f>IF($H67&gt;L67,"SUP","RES")</f>
        <v>SUP</v>
      </c>
      <c r="CY67" s="9" t="str">
        <f>IF($H67&gt;M67,"SUP","RES")</f>
        <v>SUP</v>
      </c>
      <c r="CZ67" s="9" t="str">
        <f>IF($H67&gt;N67,"SUP","RES")</f>
        <v>SUP</v>
      </c>
      <c r="DA67" s="9"/>
      <c r="DB67" s="12">
        <f>(I67-$H67)/$H67</f>
        <v>9.157868571509874E-5</v>
      </c>
      <c r="DC67" s="12">
        <f>(J67-$H67)/$H67</f>
        <v>9.157868571509874E-5</v>
      </c>
      <c r="DD67" s="12">
        <f>(K67-$H67)/$H67</f>
        <v>1.9296937347097344E-3</v>
      </c>
      <c r="DE67" s="12">
        <f>(L67-$H67)/$H67</f>
        <v>-1.7399950285855747E-3</v>
      </c>
      <c r="DF67" s="12">
        <f>(M67-$H67)/$H67</f>
        <v>-1.8642803877702984E-3</v>
      </c>
      <c r="DG67" s="12">
        <f>(N67-$H67)/$H67</f>
        <v>-5.2330677551325635E-5</v>
      </c>
      <c r="DH67" s="12"/>
      <c r="DI67" s="12">
        <f>((H67-MIN(I67:N67))/(MAX(I67:N67)-MIN(I67:N67)))</f>
        <v>0.49137931034481114</v>
      </c>
      <c r="DJ67" s="13">
        <f t="shared" si="50"/>
        <v>3</v>
      </c>
      <c r="DK67" s="14">
        <f t="shared" si="51"/>
        <v>3</v>
      </c>
      <c r="DL67" s="12">
        <f t="shared" si="18"/>
        <v>1.9296937347097344E-3</v>
      </c>
      <c r="DM67" s="12">
        <f t="shared" si="19"/>
        <v>9.157868571509874E-5</v>
      </c>
      <c r="DN67" s="12">
        <f t="shared" si="20"/>
        <v>9.157868571509874E-5</v>
      </c>
      <c r="DO67" s="12">
        <f t="shared" si="21"/>
        <v>-5.2330677551325635E-5</v>
      </c>
      <c r="DP67" s="12">
        <f t="shared" si="22"/>
        <v>-1.7399950285855747E-3</v>
      </c>
      <c r="DQ67" s="12">
        <f t="shared" si="23"/>
        <v>-1.8642803877702984E-3</v>
      </c>
      <c r="DR67" s="9"/>
      <c r="DS67" s="9" t="str">
        <f>IF(AQ67&gt;AG67,"Overbought",IF(AQ67&gt;AI67,"Bullish Momentum",IF(AQ67&gt;AK67,"Overprice Setting Up","-----")))</f>
        <v>Overprice Setting Up</v>
      </c>
      <c r="DT67" s="9" t="str">
        <f>IF(AQ67&lt;AP67,"Oversold",IF(AQ67&lt;AN67,"Bearish Momentum",IF(AQ67&lt;AL67,"Underprice Setting Up","-----")))</f>
        <v>-----</v>
      </c>
      <c r="DU67" s="9"/>
      <c r="DV67" s="12" t="str">
        <f>IF(AND(AT67&gt;AU67,AT66&gt;AU66,AT65&gt;AU65,AT64&gt;AU64,AT63&gt;AU63,AT62&gt;AU62,AT61&gt;AU61,AT60&gt;AU60,AT59&gt;AU59,AT58&gt;AU58,AT57&gt;AU57,AT56&gt;AU56),"Bullish",IF(AND(AT67&lt;AU67,AT66&lt;AU66,AT65&lt;AU65,AT64&lt;AU64,AT63&lt;AU63,AT62&lt;AU62,AT61&lt;AU61,AT60&lt;AU60,AT59&lt;AU59,AT58&lt;AU58,AT57&lt;AU57,AT56&lt;AU56),"Bearish","-----"))</f>
        <v>Bearish</v>
      </c>
      <c r="DW67" s="12"/>
      <c r="DX67" s="23">
        <f>(AR67-AT67)/AT67</f>
        <v>-7.1973042823932209E-5</v>
      </c>
      <c r="DY67" s="23">
        <f t="shared" si="52"/>
        <v>1.091111351901707</v>
      </c>
      <c r="DZ67" s="23" t="str">
        <f>IF(DY67&gt;PERCENTILE($DY$5:$DY$103,90%),"Reverse to Bearish",IF(DY67&gt;=PERCENTILE($DY$5:$DY$103,70%),"-----",IF(DY67&gt;=PERCENTILE($DY$5:$DY$103,30%),"-----",IF(DY67&gt;=PERCENTILE($DY$5:$DY$103,10%),"-----","Reverse to Bullish"))))</f>
        <v>-----</v>
      </c>
      <c r="EA67" s="23" t="str">
        <f>IF(AQ67&gt;AR67,"Bullish","Bearish")</f>
        <v>Bullish</v>
      </c>
      <c r="EB67" s="22" t="str">
        <f>IF(AND(H67&gt;AQ67,H66&lt;AQ66),"TEMA crossover","-----")</f>
        <v>-----</v>
      </c>
      <c r="EC67" s="22" t="str">
        <f>IF(AND(H67&lt;AQ67,H66&gt;AQ66),"TEMA crossunder","-----")</f>
        <v>-----</v>
      </c>
      <c r="ED67" s="22"/>
      <c r="EE67" s="24" t="str">
        <f t="shared" si="45"/>
        <v>YES</v>
      </c>
      <c r="EF67" s="24" t="str">
        <f t="shared" si="46"/>
        <v>-----</v>
      </c>
      <c r="EG67" s="24" t="str">
        <f t="shared" si="47"/>
        <v>YES</v>
      </c>
      <c r="EH67" s="24" t="str">
        <f t="shared" si="48"/>
        <v>YES</v>
      </c>
      <c r="EI67" s="25" t="str">
        <f>IF(DV67="Bullish","YES","-----")</f>
        <v>-----</v>
      </c>
      <c r="EJ67" s="25" t="str">
        <f>IF(DZ67="Reverse to Bullish","YES","-----")</f>
        <v>-----</v>
      </c>
      <c r="EK67" s="25" t="str">
        <f>IF(AND(EA67="Bearish",EA66="Bearish",EA65="Bearish",EA64="Bearish"),"YES","-----")</f>
        <v>-----</v>
      </c>
      <c r="EL67" s="25" t="str">
        <f>IF(OR(EC67="TEMA crossover",EC66="TEMA crossover",EC65="TEMA crossover",EC64="TEMA crossover"),"YES","-----")</f>
        <v>-----</v>
      </c>
      <c r="EM67" s="24" t="str">
        <f>IF(AND(EE67="YES",EF67="YES",EG67="YES",EH67="YES"),"Open Sell / Close Buy","-----")</f>
        <v>-----</v>
      </c>
      <c r="EN67" s="25" t="str">
        <f t="shared" si="32"/>
        <v>-----</v>
      </c>
      <c r="EO67" s="23"/>
      <c r="EP67" s="9" t="str">
        <f>IF(AND(H67&gt;AV67,H67&gt;E67),"Bullish Trigger","-----")</f>
        <v>Bullish Trigger</v>
      </c>
      <c r="EQ67" s="9" t="str">
        <f>IF(AND(H67&lt;AW67,H67&lt;E67),"Bearish Trigger","-----")</f>
        <v>-----</v>
      </c>
      <c r="ER67" s="9"/>
      <c r="ES67" s="9" t="str">
        <f>IF(G67&gt;AV67,"Bullish Spike","-----")</f>
        <v>-----</v>
      </c>
      <c r="ET67" s="9" t="str">
        <f>IF(F67&lt;AW67,"Bearish Spike","-----")</f>
        <v>-----</v>
      </c>
      <c r="EU67" s="9"/>
      <c r="EV67" s="20">
        <f t="shared" si="53"/>
        <v>4.3000000000006366E-2</v>
      </c>
      <c r="EW67" s="9">
        <f t="shared" si="24"/>
        <v>-0.75543335341815299</v>
      </c>
      <c r="EX67" s="21" t="str">
        <f t="shared" si="25"/>
        <v>-----</v>
      </c>
      <c r="EY67" s="9"/>
    </row>
    <row r="68" spans="1:155" x14ac:dyDescent="0.55000000000000004">
      <c r="A68">
        <v>64</v>
      </c>
      <c r="B68" t="s">
        <v>67</v>
      </c>
      <c r="C68" t="s">
        <v>4</v>
      </c>
      <c r="D68" t="s">
        <v>103</v>
      </c>
      <c r="E68">
        <v>152.875</v>
      </c>
      <c r="F68">
        <v>152.876</v>
      </c>
      <c r="G68">
        <v>152.81899999999999</v>
      </c>
      <c r="H68">
        <v>152.83099999999999</v>
      </c>
      <c r="I68">
        <v>152.886</v>
      </c>
      <c r="J68">
        <v>152.88800000000001</v>
      </c>
      <c r="K68">
        <v>153.16800000000001</v>
      </c>
      <c r="L68">
        <v>152.608</v>
      </c>
      <c r="M68">
        <v>152.58799999999999</v>
      </c>
      <c r="N68">
        <v>152.86799999999999</v>
      </c>
      <c r="O68" s="16">
        <f t="shared" si="49"/>
        <v>5.7000000000016371E-2</v>
      </c>
      <c r="P68" s="16">
        <f t="shared" si="54"/>
        <v>2.0000000000095497E-3</v>
      </c>
      <c r="Q68" s="16">
        <f t="shared" si="55"/>
        <v>5.5000000000006821E-2</v>
      </c>
      <c r="R68" s="16">
        <f t="shared" si="56"/>
        <v>5.7000000000016371E-2</v>
      </c>
      <c r="S68" s="16">
        <f t="shared" si="65"/>
        <v>6.2896780828925733E-2</v>
      </c>
      <c r="T68">
        <v>0</v>
      </c>
      <c r="U68">
        <v>0</v>
      </c>
      <c r="V68">
        <v>0</v>
      </c>
      <c r="W68">
        <v>0</v>
      </c>
      <c r="Y68" s="9" t="str">
        <f t="shared" si="9"/>
        <v>------</v>
      </c>
      <c r="Z68" s="9" t="str">
        <f t="shared" si="10"/>
        <v>------</v>
      </c>
      <c r="AA68" s="9"/>
      <c r="AB68">
        <v>0</v>
      </c>
      <c r="AD68" t="str">
        <f t="shared" si="58"/>
        <v/>
      </c>
      <c r="AE68">
        <v>5.5190000000000003E-2</v>
      </c>
      <c r="AF68">
        <v>3</v>
      </c>
      <c r="AG68">
        <v>153.12475000000001</v>
      </c>
      <c r="AH68">
        <v>153.03990999999999</v>
      </c>
      <c r="AI68">
        <v>152.95506</v>
      </c>
      <c r="AJ68">
        <v>152.87020999999999</v>
      </c>
      <c r="AK68">
        <v>152.78537</v>
      </c>
      <c r="AL68">
        <v>152.73003</v>
      </c>
      <c r="AM68">
        <v>152.64518000000001</v>
      </c>
      <c r="AN68">
        <v>152.56034</v>
      </c>
      <c r="AO68">
        <v>152.47549000000001</v>
      </c>
      <c r="AP68">
        <v>152.39063999999999</v>
      </c>
      <c r="AQ68">
        <v>152.851</v>
      </c>
      <c r="AR68">
        <v>152.83000000000001</v>
      </c>
      <c r="AS68">
        <f t="shared" si="26"/>
        <v>64</v>
      </c>
      <c r="AT68">
        <v>152.83600000000001</v>
      </c>
      <c r="AU68">
        <v>152.95400000000001</v>
      </c>
      <c r="AV68">
        <v>152.87700000000001</v>
      </c>
      <c r="AW68">
        <v>152.828</v>
      </c>
      <c r="AY68" s="4">
        <f>I68*(1+$AY$2)</f>
        <v>152.9089329</v>
      </c>
      <c r="AZ68" s="4">
        <f>I68*(1-$AY$2)</f>
        <v>152.86306709999999</v>
      </c>
      <c r="BA68" s="4">
        <f>J68*(1+$AY$2)</f>
        <v>152.91093320000002</v>
      </c>
      <c r="BB68" s="4">
        <f>J68*(1-$AY$2)</f>
        <v>152.86506679999999</v>
      </c>
      <c r="BC68" s="4">
        <f>K68*(1+$AY$2)</f>
        <v>153.19097520000003</v>
      </c>
      <c r="BD68" s="4">
        <f>K68*(1-$AY$2)</f>
        <v>153.14502480000002</v>
      </c>
      <c r="BE68" s="4">
        <f>L68*(1+$AY$2)</f>
        <v>152.63089120000001</v>
      </c>
      <c r="BF68" s="4">
        <f>L68*(1-$AY$2)</f>
        <v>152.5851088</v>
      </c>
      <c r="BG68" s="4">
        <f>M68*(1+$AY$2)</f>
        <v>152.61088820000001</v>
      </c>
      <c r="BH68" s="4">
        <f>M68*(1-$AY$2)</f>
        <v>152.56511179999998</v>
      </c>
      <c r="BI68" s="4">
        <f>N68*(1+$AY$2)</f>
        <v>152.89093020000001</v>
      </c>
      <c r="BJ68" s="4">
        <f>N68*(1-$AY$2)</f>
        <v>152.8450698</v>
      </c>
      <c r="BK68" s="30">
        <f t="shared" si="27"/>
        <v>64</v>
      </c>
      <c r="BL68" s="15" t="str">
        <f t="shared" si="11"/>
        <v>TOUCH</v>
      </c>
      <c r="BM68" s="15" t="str">
        <f t="shared" si="12"/>
        <v>TOUCH</v>
      </c>
      <c r="BN68" s="15" t="str">
        <f t="shared" si="13"/>
        <v>-----</v>
      </c>
      <c r="BO68" s="15" t="str">
        <f t="shared" si="14"/>
        <v>-----</v>
      </c>
      <c r="BP68" s="15" t="str">
        <f t="shared" si="15"/>
        <v>-----</v>
      </c>
      <c r="BQ68" s="15" t="str">
        <f t="shared" si="16"/>
        <v>TOUCH</v>
      </c>
      <c r="BR68" s="22"/>
      <c r="BS68" s="9">
        <f t="shared" si="57"/>
        <v>-2.423265306122455E-3</v>
      </c>
      <c r="BT68" s="9">
        <f>SLOPE(J$5:J$103,$A$5:$A$103)</f>
        <v>-3.7194805194805478E-4</v>
      </c>
      <c r="BU68" s="9">
        <f>SLOPE(K$5:K$103,$A$5:$A$103)</f>
        <v>-1.6402721088435472E-3</v>
      </c>
      <c r="BV68" s="9">
        <f>SLOPE(L$5:L$103,$A$5:$A$103)</f>
        <v>7.6471243042669956E-4</v>
      </c>
      <c r="BW68" s="9">
        <f>SLOPE(M$5:M$103,$A$5:$A$103)</f>
        <v>-2.3081014223875058E-4</v>
      </c>
      <c r="BX68" s="9">
        <f>SLOPE(N$5:N$103,$A$5:$A$103)</f>
        <v>1.5802844774273381E-3</v>
      </c>
      <c r="BY68"/>
      <c r="BZ68" s="9">
        <f t="shared" si="59"/>
        <v>-1.9079214597220278</v>
      </c>
      <c r="CA68" s="9">
        <f t="shared" si="60"/>
        <v>-0.29295343676527091</v>
      </c>
      <c r="CB68" s="9">
        <f t="shared" si="61"/>
        <v>-1.2917022253843653</v>
      </c>
      <c r="CC68" s="9">
        <f t="shared" si="62"/>
        <v>0.60228527619529781</v>
      </c>
      <c r="CD68" s="9">
        <f t="shared" si="63"/>
        <v>-0.18179147971962978</v>
      </c>
      <c r="CE68" s="9">
        <f t="shared" si="64"/>
        <v>1.2444775446344229</v>
      </c>
      <c r="CF68"/>
      <c r="CG68" s="18" t="str" cm="1">
        <f t="array" ref="CG68">_xlfn.IFS(BZ68&gt;3,"Strong + Slope",BZ68&gt;1.5,"Moderate + Slope",BZ68&gt;0.5,"Sideway + Slope",BZ68&gt;=-0.5,"Sideway Flat",BZ68&gt;=-1.5,"Sideway - Slope",BZ68&gt;=-3,"Moderate - Slope",TRUE,"Strong - Slope")</f>
        <v>Moderate - Slope</v>
      </c>
      <c r="CH68" s="18" t="str" cm="1">
        <f t="array" ref="CH68">_xlfn.IFS(CA68&gt;3,"Strong + Slope",CA68&gt;1.5,"Moderate + Slope",CA68&gt;0.5,"Sideway + Slope",CA68&gt;=-0.5,"Sideway Flat",CA68&gt;=-1.5,"Sideway - Slope",CA68&gt;=-3,"Moderate - Slope",TRUE,"Strong - Slope")</f>
        <v>Sideway Flat</v>
      </c>
      <c r="CI68" s="18" t="str" cm="1">
        <f t="array" ref="CI68">_xlfn.IFS(CB68&gt;3,"Strong + Slope",CB68&gt;1.5,"Moderate + Slope",CB68&gt;0.5,"Sideway + Slope",CB68&gt;=-0.5,"Sideway Flat",CB68&gt;=-1.5,"Sideway - Slope",CB68&gt;=-3,"Moderate - Slope",TRUE,"Strong - Slope")</f>
        <v>Sideway - Slope</v>
      </c>
      <c r="CJ68" s="18" t="str" cm="1">
        <f t="array" ref="CJ68">_xlfn.IFS(CC68&gt;3,"Strong + Slope",CC68&gt;1.5,"Moderate + Slope",CC68&gt;0.5,"Sideway + Slope",CC68&gt;=-0.5,"Sideway Flat",CC68&gt;=-1.5,"Sideway - Slope",CC68&gt;=-3,"Moderate - Slope",TRUE,"Strong - Slope")</f>
        <v>Sideway + Slope</v>
      </c>
      <c r="CK68" s="18" t="str" cm="1">
        <f t="array" ref="CK68">_xlfn.IFS(CD68&gt;3,"Strong + Slope",CD68&gt;1.5,"Moderate + Slope",CD68&gt;0.5,"Sideway + Slope",CD68&gt;=-0.5,"Sideway Flat",CD68&gt;=-1.5,"Sideway - Slope",CD68&gt;=-3,"Moderate - Slope",TRUE,"Strong - Slope")</f>
        <v>Sideway Flat</v>
      </c>
      <c r="CL68" s="18" t="str" cm="1">
        <f t="array" ref="CL68">_xlfn.IFS(CE68&gt;3,"Strong + Slope",CE68&gt;1.5,"Moderate + Slope",CE68&gt;0.5,"Sideway + Slope",CE68&gt;=-0.5,"Sideway Flat",CE68&gt;=-1.5,"Sideway - Slope",CE68&gt;=-3,"Moderate - Slope",TRUE,"Strong - Slope")</f>
        <v>Sideway + Slope</v>
      </c>
      <c r="CM68" s="9"/>
      <c r="CN68" s="9">
        <f>RANK(I68,$I68:$N68,0)</f>
        <v>3</v>
      </c>
      <c r="CO68" s="9">
        <f>RANK(J68,$I68:$N68,0)</f>
        <v>2</v>
      </c>
      <c r="CP68" s="9">
        <f>RANK(K68,$I68:$N68,0)</f>
        <v>1</v>
      </c>
      <c r="CQ68" s="9">
        <f>RANK(L68,$I68:$N68,0)</f>
        <v>5</v>
      </c>
      <c r="CR68" s="9">
        <f>RANK(M68,$I68:$N68,0)</f>
        <v>6</v>
      </c>
      <c r="CS68" s="9">
        <f>RANK(N68,$I68:$N68,0)</f>
        <v>4</v>
      </c>
      <c r="CT68" s="9"/>
      <c r="CU68" s="9" t="str">
        <f>IF($H68&gt;I68,"SUP","RES")</f>
        <v>RES</v>
      </c>
      <c r="CV68" s="9" t="str">
        <f>IF($H68&gt;J68,"SUP","RES")</f>
        <v>RES</v>
      </c>
      <c r="CW68" s="9" t="str">
        <f>IF($H68&gt;K68,"SUP","RES")</f>
        <v>RES</v>
      </c>
      <c r="CX68" s="9" t="str">
        <f>IF($H68&gt;L68,"SUP","RES")</f>
        <v>SUP</v>
      </c>
      <c r="CY68" s="9" t="str">
        <f>IF($H68&gt;M68,"SUP","RES")</f>
        <v>SUP</v>
      </c>
      <c r="CZ68" s="9" t="str">
        <f>IF($H68&gt;N68,"SUP","RES")</f>
        <v>RES</v>
      </c>
      <c r="DA68" s="9"/>
      <c r="DB68" s="12">
        <f>(I68-$H68)/$H68</f>
        <v>3.5987463276433988E-4</v>
      </c>
      <c r="DC68" s="12">
        <f>(J68-$H68)/$H68</f>
        <v>3.7296098304674034E-4</v>
      </c>
      <c r="DD68" s="12">
        <f>(K68-$H68)/$H68</f>
        <v>2.205050022574069E-3</v>
      </c>
      <c r="DE68" s="12">
        <f>(L68-$H68)/$H68</f>
        <v>-1.4591280564805883E-3</v>
      </c>
      <c r="DF68" s="12">
        <f>(M68-$H68)/$H68</f>
        <v>-1.5899915593040352E-3</v>
      </c>
      <c r="DG68" s="12">
        <f>(N68-$H68)/$H68</f>
        <v>2.4209748022329332E-4</v>
      </c>
      <c r="DH68" s="12"/>
      <c r="DI68" s="12">
        <f>((H68-MIN(I68:N68))/(MAX(I68:N68)-MIN(I68:N68)))</f>
        <v>0.41896551724136166</v>
      </c>
      <c r="DJ68" s="13">
        <f t="shared" si="50"/>
        <v>4</v>
      </c>
      <c r="DK68" s="14">
        <f t="shared" si="51"/>
        <v>2</v>
      </c>
      <c r="DL68" s="12">
        <f t="shared" si="18"/>
        <v>2.205050022574069E-3</v>
      </c>
      <c r="DM68" s="12">
        <f t="shared" si="19"/>
        <v>3.7296098304674034E-4</v>
      </c>
      <c r="DN68" s="12">
        <f t="shared" si="20"/>
        <v>3.5987463276433988E-4</v>
      </c>
      <c r="DO68" s="12">
        <f t="shared" si="21"/>
        <v>2.4209748022329332E-4</v>
      </c>
      <c r="DP68" s="12">
        <f t="shared" si="22"/>
        <v>-1.4591280564805883E-3</v>
      </c>
      <c r="DQ68" s="12">
        <f t="shared" si="23"/>
        <v>-1.5899915593040352E-3</v>
      </c>
      <c r="DR68" s="9"/>
      <c r="DS68" s="9" t="str">
        <f>IF(AQ68&gt;AG68,"Overbought",IF(AQ68&gt;AI68,"Bullish Momentum",IF(AQ68&gt;AK68,"Overprice Setting Up","-----")))</f>
        <v>Overprice Setting Up</v>
      </c>
      <c r="DT68" s="9" t="str">
        <f>IF(AQ68&lt;AP68,"Oversold",IF(AQ68&lt;AN68,"Bearish Momentum",IF(AQ68&lt;AL68,"Underprice Setting Up","-----")))</f>
        <v>-----</v>
      </c>
      <c r="DU68" s="9"/>
      <c r="DV68" s="12" t="str">
        <f>IF(AND(AT68&gt;AU68,AT67&gt;AU67,AT66&gt;AU66,AT65&gt;AU65,AT64&gt;AU64,AT63&gt;AU63,AT62&gt;AU62,AT61&gt;AU61,AT60&gt;AU60,AT59&gt;AU59,AT58&gt;AU58,AT57&gt;AU57),"Bullish",IF(AND(AT68&lt;AU68,AT67&lt;AU67,AT66&lt;AU66,AT65&lt;AU65,AT64&lt;AU64,AT63&lt;AU63,AT62&lt;AU62,AT61&lt;AU61,AT60&lt;AU60,AT59&lt;AU59,AT58&lt;AU58,AT57&lt;AU57),"Bearish","-----"))</f>
        <v>Bearish</v>
      </c>
      <c r="DW68" s="12"/>
      <c r="DX68" s="23">
        <f>(AR68-AT68)/AT68</f>
        <v>-3.9257766494806374E-5</v>
      </c>
      <c r="DY68" s="23">
        <f t="shared" si="52"/>
        <v>1.1854639354520187</v>
      </c>
      <c r="DZ68" s="23" t="str">
        <f>IF(DY68&gt;PERCENTILE($DY$5:$DY$103,90%),"Reverse to Bearish",IF(DY68&gt;=PERCENTILE($DY$5:$DY$103,70%),"-----",IF(DY68&gt;=PERCENTILE($DY$5:$DY$103,30%),"-----",IF(DY68&gt;=PERCENTILE($DY$5:$DY$103,10%),"-----","Reverse to Bullish"))))</f>
        <v>Reverse to Bearish</v>
      </c>
      <c r="EA68" s="23" t="str">
        <f>IF(AQ68&gt;AR68,"Bullish","Bearish")</f>
        <v>Bullish</v>
      </c>
      <c r="EB68" s="22" t="str">
        <f>IF(AND(H68&gt;AQ68,H67&lt;AQ67),"TEMA crossover","-----")</f>
        <v>-----</v>
      </c>
      <c r="EC68" s="22" t="str">
        <f>IF(AND(H68&lt;AQ68,H67&gt;AQ67),"TEMA crossunder","-----")</f>
        <v>TEMA crossunder</v>
      </c>
      <c r="ED68" s="22"/>
      <c r="EE68" s="24" t="str">
        <f t="shared" si="45"/>
        <v>YES</v>
      </c>
      <c r="EF68" s="24" t="str">
        <f t="shared" si="46"/>
        <v>YES</v>
      </c>
      <c r="EG68" s="24" t="str">
        <f t="shared" si="47"/>
        <v>YES</v>
      </c>
      <c r="EH68" s="24" t="str">
        <f t="shared" si="48"/>
        <v>YES</v>
      </c>
      <c r="EI68" s="25" t="str">
        <f>IF(DV68="Bullish","YES","-----")</f>
        <v>-----</v>
      </c>
      <c r="EJ68" s="25" t="str">
        <f>IF(DZ68="Reverse to Bullish","YES","-----")</f>
        <v>-----</v>
      </c>
      <c r="EK68" s="25" t="str">
        <f>IF(AND(EA68="Bearish",EA67="Bearish",EA66="Bearish",EA65="Bearish"),"YES","-----")</f>
        <v>-----</v>
      </c>
      <c r="EL68" s="25" t="str">
        <f>IF(OR(EC68="TEMA crossover",EC67="TEMA crossover",EC66="TEMA crossover",EC65="TEMA crossover"),"YES","-----")</f>
        <v>-----</v>
      </c>
      <c r="EM68" s="24" t="str">
        <f>IF(AND(EE68="YES",EF68="YES",EG68="YES",EH68="YES"),"Open Sell / Close Buy","-----")</f>
        <v>Open Sell / Close Buy</v>
      </c>
      <c r="EN68" s="25" t="str">
        <f t="shared" si="32"/>
        <v>-----</v>
      </c>
      <c r="EO68" s="23"/>
      <c r="EP68" s="9" t="str">
        <f>IF(AND(H68&gt;AV68,H68&gt;E68),"Bullish Trigger","-----")</f>
        <v>-----</v>
      </c>
      <c r="EQ68" s="9" t="str">
        <f>IF(AND(H68&lt;AW68,H68&lt;E68),"Bearish Trigger","-----")</f>
        <v>-----</v>
      </c>
      <c r="ER68" s="9"/>
      <c r="ES68" s="9" t="str">
        <f>IF(G68&gt;AV68,"Bullish Spike","-----")</f>
        <v>-----</v>
      </c>
      <c r="ET68" s="9" t="str">
        <f>IF(F68&lt;AW68,"Bearish Spike","-----")</f>
        <v>-----</v>
      </c>
      <c r="EU68" s="9"/>
      <c r="EV68" s="20">
        <f t="shared" si="53"/>
        <v>4.9000000000006594E-2</v>
      </c>
      <c r="EW68" s="9">
        <f t="shared" si="24"/>
        <v>-0.61715063787717972</v>
      </c>
      <c r="EX68" s="21" t="str">
        <f t="shared" si="25"/>
        <v>-----</v>
      </c>
      <c r="EY68" s="9"/>
    </row>
    <row r="69" spans="1:155" x14ac:dyDescent="0.55000000000000004">
      <c r="A69">
        <v>65</v>
      </c>
      <c r="B69" t="s">
        <v>68</v>
      </c>
      <c r="C69" t="s">
        <v>4</v>
      </c>
      <c r="D69" t="s">
        <v>103</v>
      </c>
      <c r="E69">
        <v>152.83199999999999</v>
      </c>
      <c r="F69">
        <v>152.85599999999999</v>
      </c>
      <c r="G69">
        <v>152.816</v>
      </c>
      <c r="H69">
        <v>152.84399999999999</v>
      </c>
      <c r="I69">
        <v>152.88300000000001</v>
      </c>
      <c r="J69">
        <v>152.887</v>
      </c>
      <c r="K69">
        <v>153.166</v>
      </c>
      <c r="L69">
        <v>152.60900000000001</v>
      </c>
      <c r="M69">
        <v>152.58799999999999</v>
      </c>
      <c r="N69">
        <v>152.869</v>
      </c>
      <c r="O69" s="16">
        <f t="shared" ref="O69:O103" si="66">F69-G69</f>
        <v>3.9999999999992042E-2</v>
      </c>
      <c r="P69" s="16">
        <f t="shared" si="54"/>
        <v>2.5000000000005684E-2</v>
      </c>
      <c r="Q69" s="16">
        <f t="shared" si="55"/>
        <v>1.4999999999986358E-2</v>
      </c>
      <c r="R69" s="16">
        <f t="shared" si="56"/>
        <v>3.9999999999992042E-2</v>
      </c>
      <c r="S69" s="16">
        <f t="shared" si="65"/>
        <v>6.1261296484001901E-2</v>
      </c>
      <c r="T69">
        <v>0</v>
      </c>
      <c r="U69">
        <v>0</v>
      </c>
      <c r="V69">
        <v>0</v>
      </c>
      <c r="W69">
        <v>0</v>
      </c>
      <c r="Y69" s="9" t="str">
        <f t="shared" si="9"/>
        <v>------</v>
      </c>
      <c r="Z69" s="9" t="str">
        <f t="shared" si="10"/>
        <v>------</v>
      </c>
      <c r="AA69" s="9"/>
      <c r="AB69">
        <v>0</v>
      </c>
      <c r="AD69" t="str">
        <f t="shared" si="58"/>
        <v/>
      </c>
      <c r="AE69">
        <v>0.82011000000000001</v>
      </c>
      <c r="AF69">
        <v>0</v>
      </c>
      <c r="AG69">
        <v>153.12463</v>
      </c>
      <c r="AH69">
        <v>153.04026999999999</v>
      </c>
      <c r="AI69">
        <v>152.95590999999999</v>
      </c>
      <c r="AJ69">
        <v>152.87155000000001</v>
      </c>
      <c r="AK69">
        <v>152.78720000000001</v>
      </c>
      <c r="AL69">
        <v>152.73364000000001</v>
      </c>
      <c r="AM69">
        <v>152.64928</v>
      </c>
      <c r="AN69">
        <v>152.56492</v>
      </c>
      <c r="AO69">
        <v>152.48057</v>
      </c>
      <c r="AP69">
        <v>152.39621</v>
      </c>
      <c r="AQ69">
        <v>152.84800000000001</v>
      </c>
      <c r="AR69">
        <v>152.834</v>
      </c>
      <c r="AS69">
        <f t="shared" si="26"/>
        <v>65</v>
      </c>
      <c r="AT69">
        <v>152.83600000000001</v>
      </c>
      <c r="AU69">
        <v>152.95099999999999</v>
      </c>
      <c r="AV69">
        <v>152.87100000000001</v>
      </c>
      <c r="AW69">
        <v>152.82499999999999</v>
      </c>
      <c r="AY69" s="4">
        <f>I69*(1+$AY$2)</f>
        <v>152.90593245000002</v>
      </c>
      <c r="AZ69" s="4">
        <f>I69*(1-$AY$2)</f>
        <v>152.86006755000002</v>
      </c>
      <c r="BA69" s="4">
        <f>J69*(1+$AY$2)</f>
        <v>152.90993305000001</v>
      </c>
      <c r="BB69" s="4">
        <f>J69*(1-$AY$2)</f>
        <v>152.86406694999999</v>
      </c>
      <c r="BC69" s="4">
        <f>K69*(1+$AY$2)</f>
        <v>153.18897490000001</v>
      </c>
      <c r="BD69" s="4">
        <f>K69*(1-$AY$2)</f>
        <v>153.14302509999999</v>
      </c>
      <c r="BE69" s="4">
        <f>L69*(1+$AY$2)</f>
        <v>152.63189135000002</v>
      </c>
      <c r="BF69" s="4">
        <f>L69*(1-$AY$2)</f>
        <v>152.58610865</v>
      </c>
      <c r="BG69" s="4">
        <f>M69*(1+$AY$2)</f>
        <v>152.61088820000001</v>
      </c>
      <c r="BH69" s="4">
        <f>M69*(1-$AY$2)</f>
        <v>152.56511179999998</v>
      </c>
      <c r="BI69" s="4">
        <f>N69*(1+$AY$2)</f>
        <v>152.89193035000002</v>
      </c>
      <c r="BJ69" s="4">
        <f>N69*(1-$AY$2)</f>
        <v>152.84606965</v>
      </c>
      <c r="BK69" s="30">
        <f t="shared" si="27"/>
        <v>65</v>
      </c>
      <c r="BL69" s="15" t="str">
        <f t="shared" si="11"/>
        <v>-----</v>
      </c>
      <c r="BM69" s="15" t="str">
        <f t="shared" si="12"/>
        <v>-----</v>
      </c>
      <c r="BN69" s="15" t="str">
        <f t="shared" si="13"/>
        <v>-----</v>
      </c>
      <c r="BO69" s="15" t="str">
        <f t="shared" si="14"/>
        <v>-----</v>
      </c>
      <c r="BP69" s="15" t="str">
        <f t="shared" si="15"/>
        <v>-----</v>
      </c>
      <c r="BQ69" s="15" t="str">
        <f t="shared" si="16"/>
        <v>-----</v>
      </c>
      <c r="BR69" s="22"/>
      <c r="BS69" s="9">
        <f t="shared" si="57"/>
        <v>-2.423265306122455E-3</v>
      </c>
      <c r="BT69" s="9">
        <f>SLOPE(J$5:J$103,$A$5:$A$103)</f>
        <v>-3.7194805194805478E-4</v>
      </c>
      <c r="BU69" s="9">
        <f>SLOPE(K$5:K$103,$A$5:$A$103)</f>
        <v>-1.6402721088435472E-3</v>
      </c>
      <c r="BV69" s="9">
        <f>SLOPE(L$5:L$103,$A$5:$A$103)</f>
        <v>7.6471243042669956E-4</v>
      </c>
      <c r="BW69" s="9">
        <f>SLOPE(M$5:M$103,$A$5:$A$103)</f>
        <v>-2.3081014223875058E-4</v>
      </c>
      <c r="BX69" s="9">
        <f>SLOPE(N$5:N$103,$A$5:$A$103)</f>
        <v>1.5802844774273381E-3</v>
      </c>
      <c r="BY69"/>
      <c r="BZ69" s="9">
        <f t="shared" si="59"/>
        <v>-1.9079214597220278</v>
      </c>
      <c r="CA69" s="9">
        <f t="shared" si="60"/>
        <v>-0.29295343676527091</v>
      </c>
      <c r="CB69" s="9">
        <f t="shared" si="61"/>
        <v>-1.2917022253843653</v>
      </c>
      <c r="CC69" s="9">
        <f t="shared" si="62"/>
        <v>0.60228527619529781</v>
      </c>
      <c r="CD69" s="9">
        <f t="shared" si="63"/>
        <v>-0.18179147971962978</v>
      </c>
      <c r="CE69" s="9">
        <f t="shared" si="64"/>
        <v>1.2444775446344229</v>
      </c>
      <c r="CF69"/>
      <c r="CG69" s="18" t="str" cm="1">
        <f t="array" ref="CG69">_xlfn.IFS(BZ69&gt;3,"Strong + Slope",BZ69&gt;1.5,"Moderate + Slope",BZ69&gt;0.5,"Sideway + Slope",BZ69&gt;=-0.5,"Sideway Flat",BZ69&gt;=-1.5,"Sideway - Slope",BZ69&gt;=-3,"Moderate - Slope",TRUE,"Strong - Slope")</f>
        <v>Moderate - Slope</v>
      </c>
      <c r="CH69" s="18" t="str" cm="1">
        <f t="array" ref="CH69">_xlfn.IFS(CA69&gt;3,"Strong + Slope",CA69&gt;1.5,"Moderate + Slope",CA69&gt;0.5,"Sideway + Slope",CA69&gt;=-0.5,"Sideway Flat",CA69&gt;=-1.5,"Sideway - Slope",CA69&gt;=-3,"Moderate - Slope",TRUE,"Strong - Slope")</f>
        <v>Sideway Flat</v>
      </c>
      <c r="CI69" s="18" t="str" cm="1">
        <f t="array" ref="CI69">_xlfn.IFS(CB69&gt;3,"Strong + Slope",CB69&gt;1.5,"Moderate + Slope",CB69&gt;0.5,"Sideway + Slope",CB69&gt;=-0.5,"Sideway Flat",CB69&gt;=-1.5,"Sideway - Slope",CB69&gt;=-3,"Moderate - Slope",TRUE,"Strong - Slope")</f>
        <v>Sideway - Slope</v>
      </c>
      <c r="CJ69" s="18" t="str" cm="1">
        <f t="array" ref="CJ69">_xlfn.IFS(CC69&gt;3,"Strong + Slope",CC69&gt;1.5,"Moderate + Slope",CC69&gt;0.5,"Sideway + Slope",CC69&gt;=-0.5,"Sideway Flat",CC69&gt;=-1.5,"Sideway - Slope",CC69&gt;=-3,"Moderate - Slope",TRUE,"Strong - Slope")</f>
        <v>Sideway + Slope</v>
      </c>
      <c r="CK69" s="18" t="str" cm="1">
        <f t="array" ref="CK69">_xlfn.IFS(CD69&gt;3,"Strong + Slope",CD69&gt;1.5,"Moderate + Slope",CD69&gt;0.5,"Sideway + Slope",CD69&gt;=-0.5,"Sideway Flat",CD69&gt;=-1.5,"Sideway - Slope",CD69&gt;=-3,"Moderate - Slope",TRUE,"Strong - Slope")</f>
        <v>Sideway Flat</v>
      </c>
      <c r="CL69" s="18" t="str" cm="1">
        <f t="array" ref="CL69">_xlfn.IFS(CE69&gt;3,"Strong + Slope",CE69&gt;1.5,"Moderate + Slope",CE69&gt;0.5,"Sideway + Slope",CE69&gt;=-0.5,"Sideway Flat",CE69&gt;=-1.5,"Sideway - Slope",CE69&gt;=-3,"Moderate - Slope",TRUE,"Strong - Slope")</f>
        <v>Sideway + Slope</v>
      </c>
      <c r="CM69" s="9"/>
      <c r="CN69" s="9">
        <f>RANK(I69,$I69:$N69,0)</f>
        <v>3</v>
      </c>
      <c r="CO69" s="9">
        <f>RANK(J69,$I69:$N69,0)</f>
        <v>2</v>
      </c>
      <c r="CP69" s="9">
        <f>RANK(K69,$I69:$N69,0)</f>
        <v>1</v>
      </c>
      <c r="CQ69" s="9">
        <f>RANK(L69,$I69:$N69,0)</f>
        <v>5</v>
      </c>
      <c r="CR69" s="9">
        <f>RANK(M69,$I69:$N69,0)</f>
        <v>6</v>
      </c>
      <c r="CS69" s="9">
        <f>RANK(N69,$I69:$N69,0)</f>
        <v>4</v>
      </c>
      <c r="CT69" s="9"/>
      <c r="CU69" s="9" t="str">
        <f>IF($H69&gt;I69,"SUP","RES")</f>
        <v>RES</v>
      </c>
      <c r="CV69" s="9" t="str">
        <f>IF($H69&gt;J69,"SUP","RES")</f>
        <v>RES</v>
      </c>
      <c r="CW69" s="9" t="str">
        <f>IF($H69&gt;K69,"SUP","RES")</f>
        <v>RES</v>
      </c>
      <c r="CX69" s="9" t="str">
        <f>IF($H69&gt;L69,"SUP","RES")</f>
        <v>SUP</v>
      </c>
      <c r="CY69" s="9" t="str">
        <f>IF($H69&gt;M69,"SUP","RES")</f>
        <v>SUP</v>
      </c>
      <c r="CZ69" s="9" t="str">
        <f>IF($H69&gt;N69,"SUP","RES")</f>
        <v>RES</v>
      </c>
      <c r="DA69" s="9"/>
      <c r="DB69" s="12">
        <f>(I69-$H69)/$H69</f>
        <v>2.5516212608944864E-4</v>
      </c>
      <c r="DC69" s="12">
        <f>(J69-$H69)/$H69</f>
        <v>2.813326005600898E-4</v>
      </c>
      <c r="DD69" s="12">
        <f>(K69-$H69)/$H69</f>
        <v>2.1067231948915413E-3</v>
      </c>
      <c r="DE69" s="12">
        <f>(L69-$H69)/$H69</f>
        <v>-1.5375153751536548E-3</v>
      </c>
      <c r="DF69" s="12">
        <f>(M69-$H69)/$H69</f>
        <v>-1.6749103661249393E-3</v>
      </c>
      <c r="DG69" s="12">
        <f>(N69-$H69)/$H69</f>
        <v>1.6356546544192565E-4</v>
      </c>
      <c r="DH69" s="12"/>
      <c r="DI69" s="12">
        <f>((H69-MIN(I69:N69))/(MAX(I69:N69)-MIN(I69:N69)))</f>
        <v>0.44290657439446179</v>
      </c>
      <c r="DJ69" s="13">
        <f t="shared" ref="DJ69:DJ103" si="67">COUNTIF(CU69:CZ69,"RES")</f>
        <v>4</v>
      </c>
      <c r="DK69" s="14">
        <f t="shared" ref="DK69:DK103" si="68">COUNTIF(CU69:CZ69,"SUP")</f>
        <v>2</v>
      </c>
      <c r="DL69" s="12">
        <f t="shared" si="18"/>
        <v>2.1067231948915413E-3</v>
      </c>
      <c r="DM69" s="12">
        <f t="shared" si="19"/>
        <v>2.813326005600898E-4</v>
      </c>
      <c r="DN69" s="12">
        <f t="shared" si="20"/>
        <v>2.5516212608944864E-4</v>
      </c>
      <c r="DO69" s="12">
        <f t="shared" si="21"/>
        <v>1.6356546544192565E-4</v>
      </c>
      <c r="DP69" s="12">
        <f t="shared" si="22"/>
        <v>-1.5375153751536548E-3</v>
      </c>
      <c r="DQ69" s="12">
        <f t="shared" si="23"/>
        <v>-1.6749103661249393E-3</v>
      </c>
      <c r="DR69" s="9"/>
      <c r="DS69" s="9" t="str">
        <f>IF(AQ69&gt;AG69,"Overbought",IF(AQ69&gt;AI69,"Bullish Momentum",IF(AQ69&gt;AK69,"Overprice Setting Up","-----")))</f>
        <v>Overprice Setting Up</v>
      </c>
      <c r="DT69" s="9" t="str">
        <f>IF(AQ69&lt;AP69,"Oversold",IF(AQ69&lt;AN69,"Bearish Momentum",IF(AQ69&lt;AL69,"Underprice Setting Up","-----")))</f>
        <v>-----</v>
      </c>
      <c r="DU69" s="9"/>
      <c r="DV69" s="12" t="str">
        <f>IF(AND(AT69&gt;AU69,AT68&gt;AU68,AT67&gt;AU67,AT66&gt;AU66,AT65&gt;AU65,AT64&gt;AU64,AT63&gt;AU63,AT62&gt;AU62,AT61&gt;AU61,AT60&gt;AU60,AT59&gt;AU59,AT58&gt;AU58),"Bullish",IF(AND(AT69&lt;AU69,AT68&lt;AU68,AT67&lt;AU67,AT66&lt;AU66,AT65&lt;AU65,AT64&lt;AU64,AT63&lt;AU63,AT62&lt;AU62,AT61&lt;AU61,AT60&lt;AU60,AT59&lt;AU59,AT58&lt;AU58),"Bearish","-----"))</f>
        <v>Bearish</v>
      </c>
      <c r="DW69" s="12"/>
      <c r="DX69" s="23">
        <f>(AR69-AT69)/AT69</f>
        <v>-1.3085922164997446E-5</v>
      </c>
      <c r="DY69" s="23">
        <f t="shared" ref="DY69:DY100" si="69">STANDARDIZE(DX69,AVERAGE($DX$5:$DX$103),_xlfn.STDEV.P($DX$5:$DX$103))</f>
        <v>1.2609449157729951</v>
      </c>
      <c r="DZ69" s="23" t="str">
        <f t="shared" ref="DZ69:DZ103" si="70">IF(DY69&gt;PERCENTILE($DY$5:$DY$103,90%),"Reverse to Bearish",IF(DY69&gt;=PERCENTILE($DY$5:$DY$103,70%),"-----",IF(DY69&gt;=PERCENTILE($DY$5:$DY$103,30%),"-----",IF(DY69&gt;=PERCENTILE($DY$5:$DY$103,10%),"-----","Reverse to Bullish"))))</f>
        <v>Reverse to Bearish</v>
      </c>
      <c r="EA69" s="23" t="str">
        <f>IF(AQ69&gt;AR69,"Bullish","Bearish")</f>
        <v>Bullish</v>
      </c>
      <c r="EB69" s="22" t="str">
        <f>IF(AND(H69&gt;AQ69,H68&lt;AQ68),"TEMA crossover","-----")</f>
        <v>-----</v>
      </c>
      <c r="EC69" s="22" t="str">
        <f>IF(AND(H69&lt;AQ69,H68&gt;AQ68),"TEMA crossunder","-----")</f>
        <v>-----</v>
      </c>
      <c r="ED69" s="22"/>
      <c r="EE69" s="24" t="str">
        <f t="shared" si="45"/>
        <v>YES</v>
      </c>
      <c r="EF69" s="24" t="str">
        <f t="shared" si="46"/>
        <v>YES</v>
      </c>
      <c r="EG69" s="24" t="str">
        <f t="shared" si="47"/>
        <v>YES</v>
      </c>
      <c r="EH69" s="24" t="str">
        <f t="shared" si="48"/>
        <v>YES</v>
      </c>
      <c r="EI69" s="25" t="str">
        <f>IF(DV69="Bullish","YES","-----")</f>
        <v>-----</v>
      </c>
      <c r="EJ69" s="25" t="str">
        <f>IF(DZ69="Reverse to Bullish","YES","-----")</f>
        <v>-----</v>
      </c>
      <c r="EK69" s="25" t="str">
        <f>IF(AND(EA69="Bearish",EA68="Bearish",EA67="Bearish",EA66="Bearish"),"YES","-----")</f>
        <v>-----</v>
      </c>
      <c r="EL69" s="25" t="str">
        <f>IF(OR(EC69="TEMA crossover",EC68="TEMA crossover",EC67="TEMA crossover",EC66="TEMA crossover"),"YES","-----")</f>
        <v>-----</v>
      </c>
      <c r="EM69" s="24" t="str">
        <f>IF(AND(EE69="YES",EF69="YES",EG69="YES",EH69="YES"),"Open Sell / Close Buy","-----")</f>
        <v>Open Sell / Close Buy</v>
      </c>
      <c r="EN69" s="25" t="str">
        <f t="shared" si="32"/>
        <v>-----</v>
      </c>
      <c r="EO69" s="23"/>
      <c r="EP69" s="9" t="str">
        <f>IF(AND(H69&gt;AV69,H69&gt;E69),"Bullish Trigger","-----")</f>
        <v>-----</v>
      </c>
      <c r="EQ69" s="9" t="str">
        <f>IF(AND(H69&lt;AW69,H69&lt;E69),"Bearish Trigger","-----")</f>
        <v>-----</v>
      </c>
      <c r="ER69" s="9"/>
      <c r="ES69" s="9" t="str">
        <f>IF(G69&gt;AV69,"Bullish Spike","-----")</f>
        <v>-----</v>
      </c>
      <c r="ET69" s="9" t="str">
        <f>IF(F69&lt;AW69,"Bearish Spike","-----")</f>
        <v>-----</v>
      </c>
      <c r="EU69" s="9"/>
      <c r="EV69" s="20">
        <f t="shared" ref="EV69:EV103" si="71">AV69-AW69</f>
        <v>4.6000000000020691E-2</v>
      </c>
      <c r="EW69" s="9">
        <f t="shared" si="24"/>
        <v>-0.68629199564733878</v>
      </c>
      <c r="EX69" s="21" t="str">
        <f t="shared" si="25"/>
        <v>-----</v>
      </c>
      <c r="EY69" s="9"/>
    </row>
    <row r="70" spans="1:155" x14ac:dyDescent="0.55000000000000004">
      <c r="A70">
        <v>66</v>
      </c>
      <c r="B70" t="s">
        <v>69</v>
      </c>
      <c r="C70" t="s">
        <v>4</v>
      </c>
      <c r="D70" t="s">
        <v>103</v>
      </c>
      <c r="E70">
        <v>152.84399999999999</v>
      </c>
      <c r="F70">
        <v>152.85300000000001</v>
      </c>
      <c r="G70">
        <v>152.798</v>
      </c>
      <c r="H70">
        <v>152.81</v>
      </c>
      <c r="I70">
        <v>152.881</v>
      </c>
      <c r="J70">
        <v>152.887</v>
      </c>
      <c r="K70">
        <v>153.16399999999999</v>
      </c>
      <c r="L70">
        <v>152.61000000000001</v>
      </c>
      <c r="M70">
        <v>152.58799999999999</v>
      </c>
      <c r="N70">
        <v>152.87100000000001</v>
      </c>
      <c r="O70" s="16">
        <f t="shared" si="66"/>
        <v>5.5000000000006821E-2</v>
      </c>
      <c r="P70" s="16">
        <f t="shared" ref="P70:P103" si="72">ABS(F70-H69)</f>
        <v>9.0000000000145519E-3</v>
      </c>
      <c r="Q70" s="16">
        <f t="shared" ref="Q70:Q103" si="73">ABS(G70-H69)</f>
        <v>4.5999999999992269E-2</v>
      </c>
      <c r="R70" s="16">
        <f t="shared" ref="R70:R101" si="74">MAX(O70:Q70)</f>
        <v>5.5000000000006821E-2</v>
      </c>
      <c r="S70" s="16">
        <f t="shared" si="65"/>
        <v>6.0814061020859393E-2</v>
      </c>
      <c r="T70">
        <v>0</v>
      </c>
      <c r="U70">
        <v>0</v>
      </c>
      <c r="V70">
        <v>0</v>
      </c>
      <c r="W70">
        <v>0</v>
      </c>
      <c r="Y70" s="9" t="str">
        <f t="shared" ref="Y70:Y103" si="75">IF(AND(T70=U70,T70&gt;0,U70&gt;0),"Important High","------")</f>
        <v>------</v>
      </c>
      <c r="Z70" s="9" t="str">
        <f t="shared" ref="Z70:Z103" si="76">IF(AND(V70=W70,V70&gt;0,W70&gt;0),"Important Low","------")</f>
        <v>------</v>
      </c>
      <c r="AA70" s="9"/>
      <c r="AB70">
        <v>0</v>
      </c>
      <c r="AD70" t="str">
        <f t="shared" si="58"/>
        <v/>
      </c>
      <c r="AE70">
        <v>0.29037000000000002</v>
      </c>
      <c r="AF70">
        <v>3</v>
      </c>
      <c r="AG70">
        <v>153.12642</v>
      </c>
      <c r="AH70">
        <v>153.04203000000001</v>
      </c>
      <c r="AI70">
        <v>152.95764</v>
      </c>
      <c r="AJ70">
        <v>152.87325000000001</v>
      </c>
      <c r="AK70">
        <v>152.78886</v>
      </c>
      <c r="AL70">
        <v>152.73670000000001</v>
      </c>
      <c r="AM70">
        <v>152.65231</v>
      </c>
      <c r="AN70">
        <v>152.56791999999999</v>
      </c>
      <c r="AO70">
        <v>152.48353</v>
      </c>
      <c r="AP70">
        <v>152.39914999999999</v>
      </c>
      <c r="AQ70">
        <v>152.83699999999999</v>
      </c>
      <c r="AR70">
        <v>152.834</v>
      </c>
      <c r="AS70">
        <f t="shared" si="26"/>
        <v>66</v>
      </c>
      <c r="AT70">
        <v>152.83500000000001</v>
      </c>
      <c r="AU70">
        <v>152.94800000000001</v>
      </c>
      <c r="AV70">
        <v>152.86500000000001</v>
      </c>
      <c r="AW70">
        <v>152.81399999999999</v>
      </c>
      <c r="AY70" s="4">
        <f>I70*(1+$AY$2)</f>
        <v>152.90393215</v>
      </c>
      <c r="AZ70" s="4">
        <f>I70*(1-$AY$2)</f>
        <v>152.85806785</v>
      </c>
      <c r="BA70" s="4">
        <f>J70*(1+$AY$2)</f>
        <v>152.90993305000001</v>
      </c>
      <c r="BB70" s="4">
        <f>J70*(1-$AY$2)</f>
        <v>152.86406694999999</v>
      </c>
      <c r="BC70" s="4">
        <f>K70*(1+$AY$2)</f>
        <v>153.18697460000001</v>
      </c>
      <c r="BD70" s="4">
        <f>K70*(1-$AY$2)</f>
        <v>153.14102539999999</v>
      </c>
      <c r="BE70" s="4">
        <f>L70*(1+$AY$2)</f>
        <v>152.63289150000003</v>
      </c>
      <c r="BF70" s="4">
        <f>L70*(1-$AY$2)</f>
        <v>152.58710850000003</v>
      </c>
      <c r="BG70" s="4">
        <f>M70*(1+$AY$2)</f>
        <v>152.61088820000001</v>
      </c>
      <c r="BH70" s="4">
        <f>M70*(1-$AY$2)</f>
        <v>152.56511179999998</v>
      </c>
      <c r="BI70" s="4">
        <f>N70*(1+$AY$2)</f>
        <v>152.89393065000002</v>
      </c>
      <c r="BJ70" s="4">
        <f>N70*(1-$AY$2)</f>
        <v>152.84806935</v>
      </c>
      <c r="BK70" s="30">
        <f t="shared" si="27"/>
        <v>66</v>
      </c>
      <c r="BL70" s="15" t="str">
        <f t="shared" ref="BL70:BL103" si="77">IF(AND(MAX($E70,$H70)&gt;=MIN(AY70,AZ70),MAX(AY70,AZ70)&gt;=MIN($E70,$H70)),"TOUCH","-----")</f>
        <v>-----</v>
      </c>
      <c r="BM70" s="15" t="str">
        <f t="shared" ref="BM70:BM103" si="78">IF(AND(MAX($E70,$H70)&gt;=MIN(BA70,BB70),MAX(BA70,BB70)&gt;=MIN($E70,$H70)),"TOUCH","-----")</f>
        <v>-----</v>
      </c>
      <c r="BN70" s="15" t="str">
        <f t="shared" ref="BN70:BN103" si="79">IF(AND(MAX($E70,$H70)&gt;=MIN(BC70,BD70),MAX(BC70,BD70)&gt;=MIN($E70,$H70)),"TOUCH","-----")</f>
        <v>-----</v>
      </c>
      <c r="BO70" s="15" t="str">
        <f t="shared" ref="BO70:BO103" si="80">IF(AND(MAX($E70,$H70)&gt;=MIN(BE70,BF70),MAX(BE70,BF70)&gt;=MIN($E70,$H70)),"TOUCH","-----")</f>
        <v>-----</v>
      </c>
      <c r="BP70" s="15" t="str">
        <f t="shared" ref="BP70:BP103" si="81">IF(AND(MAX($E70,$H70)&gt;=MIN(BG70,BH70),MAX(BG70,BH70)&gt;=MIN($E70,$H70)),"TOUCH","-----")</f>
        <v>-----</v>
      </c>
      <c r="BQ70" s="15" t="str">
        <f t="shared" ref="BQ70:BQ103" si="82">IF(AND(MAX($E70,$H70)&gt;=MIN(BI70,BJ70),MAX(BI70,BJ70)&gt;=MIN($E70,$H70)),"TOUCH","-----")</f>
        <v>-----</v>
      </c>
      <c r="BR70" s="22"/>
      <c r="BS70" s="9">
        <f t="shared" ref="BS70:BS103" si="83">SLOPE($I$5:$I$103,$A$5:$A$103)</f>
        <v>-2.423265306122455E-3</v>
      </c>
      <c r="BT70" s="9">
        <f>SLOPE(J$5:J$103,$A$5:$A$103)</f>
        <v>-3.7194805194805478E-4</v>
      </c>
      <c r="BU70" s="9">
        <f>SLOPE(K$5:K$103,$A$5:$A$103)</f>
        <v>-1.6402721088435472E-3</v>
      </c>
      <c r="BV70" s="9">
        <f>SLOPE(L$5:L$103,$A$5:$A$103)</f>
        <v>7.6471243042669956E-4</v>
      </c>
      <c r="BW70" s="9">
        <f>SLOPE(M$5:M$103,$A$5:$A$103)</f>
        <v>-2.3081014223875058E-4</v>
      </c>
      <c r="BX70" s="9">
        <f>SLOPE(N$5:N$103,$A$5:$A$103)</f>
        <v>1.5802844774273381E-3</v>
      </c>
      <c r="BY70"/>
      <c r="BZ70" s="9">
        <f t="shared" si="59"/>
        <v>-1.9079214597220278</v>
      </c>
      <c r="CA70" s="9">
        <f t="shared" si="60"/>
        <v>-0.29295343676527091</v>
      </c>
      <c r="CB70" s="9">
        <f t="shared" si="61"/>
        <v>-1.2917022253843653</v>
      </c>
      <c r="CC70" s="9">
        <f t="shared" si="62"/>
        <v>0.60228527619529781</v>
      </c>
      <c r="CD70" s="9">
        <f t="shared" si="63"/>
        <v>-0.18179147971962978</v>
      </c>
      <c r="CE70" s="9">
        <f t="shared" si="64"/>
        <v>1.2444775446344229</v>
      </c>
      <c r="CF70"/>
      <c r="CG70" s="18" t="str" cm="1">
        <f t="array" ref="CG70">_xlfn.IFS(BZ70&gt;3,"Strong + Slope",BZ70&gt;1.5,"Moderate + Slope",BZ70&gt;0.5,"Sideway + Slope",BZ70&gt;=-0.5,"Sideway Flat",BZ70&gt;=-1.5,"Sideway - Slope",BZ70&gt;=-3,"Moderate - Slope",TRUE,"Strong - Slope")</f>
        <v>Moderate - Slope</v>
      </c>
      <c r="CH70" s="18" t="str" cm="1">
        <f t="array" ref="CH70">_xlfn.IFS(CA70&gt;3,"Strong + Slope",CA70&gt;1.5,"Moderate + Slope",CA70&gt;0.5,"Sideway + Slope",CA70&gt;=-0.5,"Sideway Flat",CA70&gt;=-1.5,"Sideway - Slope",CA70&gt;=-3,"Moderate - Slope",TRUE,"Strong - Slope")</f>
        <v>Sideway Flat</v>
      </c>
      <c r="CI70" s="18" t="str" cm="1">
        <f t="array" ref="CI70">_xlfn.IFS(CB70&gt;3,"Strong + Slope",CB70&gt;1.5,"Moderate + Slope",CB70&gt;0.5,"Sideway + Slope",CB70&gt;=-0.5,"Sideway Flat",CB70&gt;=-1.5,"Sideway - Slope",CB70&gt;=-3,"Moderate - Slope",TRUE,"Strong - Slope")</f>
        <v>Sideway - Slope</v>
      </c>
      <c r="CJ70" s="18" t="str" cm="1">
        <f t="array" ref="CJ70">_xlfn.IFS(CC70&gt;3,"Strong + Slope",CC70&gt;1.5,"Moderate + Slope",CC70&gt;0.5,"Sideway + Slope",CC70&gt;=-0.5,"Sideway Flat",CC70&gt;=-1.5,"Sideway - Slope",CC70&gt;=-3,"Moderate - Slope",TRUE,"Strong - Slope")</f>
        <v>Sideway + Slope</v>
      </c>
      <c r="CK70" s="18" t="str" cm="1">
        <f t="array" ref="CK70">_xlfn.IFS(CD70&gt;3,"Strong + Slope",CD70&gt;1.5,"Moderate + Slope",CD70&gt;0.5,"Sideway + Slope",CD70&gt;=-0.5,"Sideway Flat",CD70&gt;=-1.5,"Sideway - Slope",CD70&gt;=-3,"Moderate - Slope",TRUE,"Strong - Slope")</f>
        <v>Sideway Flat</v>
      </c>
      <c r="CL70" s="18" t="str" cm="1">
        <f t="array" ref="CL70">_xlfn.IFS(CE70&gt;3,"Strong + Slope",CE70&gt;1.5,"Moderate + Slope",CE70&gt;0.5,"Sideway + Slope",CE70&gt;=-0.5,"Sideway Flat",CE70&gt;=-1.5,"Sideway - Slope",CE70&gt;=-3,"Moderate - Slope",TRUE,"Strong - Slope")</f>
        <v>Sideway + Slope</v>
      </c>
      <c r="CM70" s="9"/>
      <c r="CN70" s="9">
        <f>RANK(I70,$I70:$N70,0)</f>
        <v>3</v>
      </c>
      <c r="CO70" s="9">
        <f>RANK(J70,$I70:$N70,0)</f>
        <v>2</v>
      </c>
      <c r="CP70" s="9">
        <f>RANK(K70,$I70:$N70,0)</f>
        <v>1</v>
      </c>
      <c r="CQ70" s="9">
        <f>RANK(L70,$I70:$N70,0)</f>
        <v>5</v>
      </c>
      <c r="CR70" s="9">
        <f>RANK(M70,$I70:$N70,0)</f>
        <v>6</v>
      </c>
      <c r="CS70" s="9">
        <f>RANK(N70,$I70:$N70,0)</f>
        <v>4</v>
      </c>
      <c r="CT70" s="9"/>
      <c r="CU70" s="9" t="str">
        <f>IF($H70&gt;I70,"SUP","RES")</f>
        <v>RES</v>
      </c>
      <c r="CV70" s="9" t="str">
        <f>IF($H70&gt;J70,"SUP","RES")</f>
        <v>RES</v>
      </c>
      <c r="CW70" s="9" t="str">
        <f>IF($H70&gt;K70,"SUP","RES")</f>
        <v>RES</v>
      </c>
      <c r="CX70" s="9" t="str">
        <f>IF($H70&gt;L70,"SUP","RES")</f>
        <v>SUP</v>
      </c>
      <c r="CY70" s="9" t="str">
        <f>IF($H70&gt;M70,"SUP","RES")</f>
        <v>SUP</v>
      </c>
      <c r="CZ70" s="9" t="str">
        <f>IF($H70&gt;N70,"SUP","RES")</f>
        <v>RES</v>
      </c>
      <c r="DA70" s="9"/>
      <c r="DB70" s="12">
        <f>(I70-$H70)/$H70</f>
        <v>4.6462927818858684E-4</v>
      </c>
      <c r="DC70" s="12">
        <f>(J70-$H70)/$H70</f>
        <v>5.0389372423269535E-4</v>
      </c>
      <c r="DD70" s="12">
        <f>(K70-$H70)/$H70</f>
        <v>2.3166023166022185E-3</v>
      </c>
      <c r="DE70" s="12">
        <f>(L70-$H70)/$H70</f>
        <v>-1.3088148681368276E-3</v>
      </c>
      <c r="DF70" s="12">
        <f>(M70-$H70)/$H70</f>
        <v>-1.4527845036320162E-3</v>
      </c>
      <c r="DG70" s="12">
        <f>(N70-$H70)/$H70</f>
        <v>3.9918853478180123E-4</v>
      </c>
      <c r="DH70" s="12"/>
      <c r="DI70" s="12">
        <f>((H70-MIN(I70:N70))/(MAX(I70:N70)-MIN(I70:N70)))</f>
        <v>0.38541666666668567</v>
      </c>
      <c r="DJ70" s="13">
        <f t="shared" si="67"/>
        <v>4</v>
      </c>
      <c r="DK70" s="14">
        <f t="shared" si="68"/>
        <v>2</v>
      </c>
      <c r="DL70" s="12">
        <f t="shared" ref="DL70:DL103" si="84">LARGE($DB70:$DG70,1)</f>
        <v>2.3166023166022185E-3</v>
      </c>
      <c r="DM70" s="12">
        <f t="shared" ref="DM70:DM103" si="85">LARGE($DB70:$DG70,2)</f>
        <v>5.0389372423269535E-4</v>
      </c>
      <c r="DN70" s="12">
        <f t="shared" ref="DN70:DN103" si="86">LARGE($DB70:$DG70,3)</f>
        <v>4.6462927818858684E-4</v>
      </c>
      <c r="DO70" s="12">
        <f t="shared" ref="DO70:DO103" si="87">LARGE($DB70:$DG70,4)</f>
        <v>3.9918853478180123E-4</v>
      </c>
      <c r="DP70" s="12">
        <f t="shared" ref="DP70:DP103" si="88">LARGE($DB70:$DG70,5)</f>
        <v>-1.3088148681368276E-3</v>
      </c>
      <c r="DQ70" s="12">
        <f t="shared" ref="DQ70:DQ103" si="89">LARGE($DB70:$DG70,6)</f>
        <v>-1.4527845036320162E-3</v>
      </c>
      <c r="DR70" s="9"/>
      <c r="DS70" s="9" t="str">
        <f>IF(AQ70&gt;AG70,"Overbought",IF(AQ70&gt;AI70,"Bullish Momentum",IF(AQ70&gt;AK70,"Overprice Setting Up","-----")))</f>
        <v>Overprice Setting Up</v>
      </c>
      <c r="DT70" s="9" t="str">
        <f>IF(AQ70&lt;AP70,"Oversold",IF(AQ70&lt;AN70,"Bearish Momentum",IF(AQ70&lt;AL70,"Underprice Setting Up","-----")))</f>
        <v>-----</v>
      </c>
      <c r="DU70" s="9"/>
      <c r="DV70" s="12" t="str">
        <f>IF(AND(AT70&gt;AU70,AT69&gt;AU69,AT68&gt;AU68,AT67&gt;AU67,AT66&gt;AU66,AT65&gt;AU65,AT64&gt;AU64,AT63&gt;AU63,AT62&gt;AU62,AT61&gt;AU61,AT60&gt;AU60,AT59&gt;AU59),"Bullish",IF(AND(AT70&lt;AU70,AT69&lt;AU69,AT68&lt;AU68,AT67&lt;AU67,AT66&lt;AU66,AT65&lt;AU65,AT64&lt;AU64,AT63&lt;AU63,AT62&lt;AU62,AT61&lt;AU61,AT60&lt;AU60,AT59&lt;AU59),"Bearish","-----"))</f>
        <v>Bearish</v>
      </c>
      <c r="DW70" s="12"/>
      <c r="DX70" s="23">
        <f>(AR70-AT70)/AT70</f>
        <v>-6.5430038931185578E-6</v>
      </c>
      <c r="DY70" s="23">
        <f t="shared" si="69"/>
        <v>1.2798150373852861</v>
      </c>
      <c r="DZ70" s="23" t="str">
        <f t="shared" si="70"/>
        <v>Reverse to Bearish</v>
      </c>
      <c r="EA70" s="23" t="str">
        <f>IF(AQ70&gt;AR70,"Bullish","Bearish")</f>
        <v>Bullish</v>
      </c>
      <c r="EB70" s="22" t="str">
        <f>IF(AND(H70&gt;AQ70,H69&lt;AQ69),"TEMA crossover","-----")</f>
        <v>-----</v>
      </c>
      <c r="EC70" s="22" t="str">
        <f>IF(AND(H70&lt;AQ70,H69&gt;AQ69),"TEMA crossunder","-----")</f>
        <v>-----</v>
      </c>
      <c r="ED70" s="22"/>
      <c r="EE70" s="24" t="str">
        <f t="shared" si="45"/>
        <v>YES</v>
      </c>
      <c r="EF70" s="24" t="str">
        <f t="shared" si="46"/>
        <v>YES</v>
      </c>
      <c r="EG70" s="24" t="str">
        <f t="shared" si="47"/>
        <v>YES</v>
      </c>
      <c r="EH70" s="24" t="str">
        <f t="shared" si="48"/>
        <v>YES</v>
      </c>
      <c r="EI70" s="25" t="str">
        <f>IF(DV70="Bullish","YES","-----")</f>
        <v>-----</v>
      </c>
      <c r="EJ70" s="25" t="str">
        <f>IF(DZ70="Reverse to Bullish","YES","-----")</f>
        <v>-----</v>
      </c>
      <c r="EK70" s="25" t="str">
        <f>IF(AND(EA70="Bearish",EA69="Bearish",EA68="Bearish",EA67="Bearish"),"YES","-----")</f>
        <v>-----</v>
      </c>
      <c r="EL70" s="25" t="str">
        <f>IF(OR(EC70="TEMA crossover",EC69="TEMA crossover",EC68="TEMA crossover",EC67="TEMA crossover"),"YES","-----")</f>
        <v>-----</v>
      </c>
      <c r="EM70" s="24" t="str">
        <f>IF(AND(EE70="YES",EF70="YES",EG70="YES",EH70="YES"),"Open Sell / Close Buy","-----")</f>
        <v>Open Sell / Close Buy</v>
      </c>
      <c r="EN70" s="25" t="str">
        <f t="shared" si="32"/>
        <v>-----</v>
      </c>
      <c r="EO70" s="23"/>
      <c r="EP70" s="9" t="str">
        <f>IF(AND(H70&gt;AV70,H70&gt;E70),"Bullish Trigger","-----")</f>
        <v>-----</v>
      </c>
      <c r="EQ70" s="9" t="str">
        <f>IF(AND(H70&lt;AW70,H70&lt;E70),"Bearish Trigger","-----")</f>
        <v>Bearish Trigger</v>
      </c>
      <c r="ER70" s="9"/>
      <c r="ES70" s="9" t="str">
        <f>IF(G70&gt;AV70,"Bullish Spike","-----")</f>
        <v>-----</v>
      </c>
      <c r="ET70" s="9" t="str">
        <f>IF(F70&lt;AW70,"Bearish Spike","-----")</f>
        <v>-----</v>
      </c>
      <c r="EU70" s="9"/>
      <c r="EV70" s="20">
        <f t="shared" si="71"/>
        <v>5.1000000000016144E-2</v>
      </c>
      <c r="EW70" s="9">
        <f t="shared" ref="EW70:EW103" si="90">STANDARDIZE(EV70,AVERAGE($EV$5:$EV$103),_xlfn.STDEV.P($EV$5:$EV$103))</f>
        <v>-0.57105639936330366</v>
      </c>
      <c r="EX70" s="21" t="str">
        <f t="shared" ref="EX70:EX104" si="91">IF(EW70&gt;=PERCENTILE($EW$5:$EW$103,90.815%),"Consolidation","-----")</f>
        <v>-----</v>
      </c>
      <c r="EY70" s="9"/>
    </row>
    <row r="71" spans="1:155" x14ac:dyDescent="0.55000000000000004">
      <c r="A71">
        <v>67</v>
      </c>
      <c r="B71" t="s">
        <v>70</v>
      </c>
      <c r="C71" t="s">
        <v>4</v>
      </c>
      <c r="D71" t="s">
        <v>103</v>
      </c>
      <c r="E71">
        <v>152.81</v>
      </c>
      <c r="F71">
        <v>152.815</v>
      </c>
      <c r="G71">
        <v>152.80000000000001</v>
      </c>
      <c r="H71">
        <v>152.809</v>
      </c>
      <c r="I71">
        <v>152.87799999999999</v>
      </c>
      <c r="J71">
        <v>152.887</v>
      </c>
      <c r="K71">
        <v>153.16300000000001</v>
      </c>
      <c r="L71">
        <v>152.61099999999999</v>
      </c>
      <c r="M71">
        <v>152.58799999999999</v>
      </c>
      <c r="N71">
        <v>152.87200000000001</v>
      </c>
      <c r="O71" s="16">
        <f t="shared" si="66"/>
        <v>1.4999999999986358E-2</v>
      </c>
      <c r="P71" s="16">
        <f t="shared" si="72"/>
        <v>4.9999999999954525E-3</v>
      </c>
      <c r="Q71" s="16">
        <f t="shared" si="73"/>
        <v>9.9999999999909051E-3</v>
      </c>
      <c r="R71" s="16">
        <f t="shared" si="74"/>
        <v>1.4999999999986358E-2</v>
      </c>
      <c r="S71" s="16">
        <f t="shared" si="65"/>
        <v>5.7541628090797034E-2</v>
      </c>
      <c r="T71">
        <v>0</v>
      </c>
      <c r="U71">
        <v>0</v>
      </c>
      <c r="V71">
        <v>0</v>
      </c>
      <c r="W71">
        <v>0</v>
      </c>
      <c r="Y71" s="9" t="str">
        <f t="shared" si="75"/>
        <v>------</v>
      </c>
      <c r="Z71" s="9" t="str">
        <f t="shared" si="76"/>
        <v>------</v>
      </c>
      <c r="AA71" s="9"/>
      <c r="AB71">
        <v>0</v>
      </c>
      <c r="AD71" t="str">
        <f t="shared" si="58"/>
        <v/>
      </c>
      <c r="AE71">
        <v>1.07802</v>
      </c>
      <c r="AF71">
        <v>3</v>
      </c>
      <c r="AG71">
        <v>153.12522999999999</v>
      </c>
      <c r="AH71">
        <v>153.04128</v>
      </c>
      <c r="AI71">
        <v>152.95733999999999</v>
      </c>
      <c r="AJ71">
        <v>152.87339</v>
      </c>
      <c r="AK71">
        <v>152.78944999999999</v>
      </c>
      <c r="AL71">
        <v>152.73938999999999</v>
      </c>
      <c r="AM71">
        <v>152.65545</v>
      </c>
      <c r="AN71">
        <v>152.57150999999999</v>
      </c>
      <c r="AO71">
        <v>152.48756</v>
      </c>
      <c r="AP71">
        <v>152.40361999999999</v>
      </c>
      <c r="AQ71">
        <v>152.82300000000001</v>
      </c>
      <c r="AR71">
        <v>152.83199999999999</v>
      </c>
      <c r="AS71">
        <f t="shared" ref="AS71:AS103" si="92">AS70+1</f>
        <v>67</v>
      </c>
      <c r="AT71">
        <v>152.833</v>
      </c>
      <c r="AU71">
        <v>152.94399999999999</v>
      </c>
      <c r="AV71">
        <v>152.84200000000001</v>
      </c>
      <c r="AW71">
        <v>152.80699999999999</v>
      </c>
      <c r="AY71" s="4">
        <f>I71*(1+$AY$2)</f>
        <v>152.9009317</v>
      </c>
      <c r="AZ71" s="4">
        <f>I71*(1-$AY$2)</f>
        <v>152.8550683</v>
      </c>
      <c r="BA71" s="4">
        <f>J71*(1+$AY$2)</f>
        <v>152.90993305000001</v>
      </c>
      <c r="BB71" s="4">
        <f>J71*(1-$AY$2)</f>
        <v>152.86406694999999</v>
      </c>
      <c r="BC71" s="4">
        <f>K71*(1+$AY$2)</f>
        <v>153.18597445000003</v>
      </c>
      <c r="BD71" s="4">
        <f>K71*(1-$AY$2)</f>
        <v>153.14002555000002</v>
      </c>
      <c r="BE71" s="4">
        <f>L71*(1+$AY$2)</f>
        <v>152.63389165000001</v>
      </c>
      <c r="BF71" s="4">
        <f>L71*(1-$AY$2)</f>
        <v>152.58810835</v>
      </c>
      <c r="BG71" s="4">
        <f>M71*(1+$AY$2)</f>
        <v>152.61088820000001</v>
      </c>
      <c r="BH71" s="4">
        <f>M71*(1-$AY$2)</f>
        <v>152.56511179999998</v>
      </c>
      <c r="BI71" s="4">
        <f>N71*(1+$AY$2)</f>
        <v>152.89493080000003</v>
      </c>
      <c r="BJ71" s="4">
        <f>N71*(1-$AY$2)</f>
        <v>152.84906920000003</v>
      </c>
      <c r="BK71" s="30">
        <f t="shared" ref="BK71:BK103" si="93">BK70+1</f>
        <v>67</v>
      </c>
      <c r="BL71" s="15" t="str">
        <f t="shared" si="77"/>
        <v>-----</v>
      </c>
      <c r="BM71" s="15" t="str">
        <f t="shared" si="78"/>
        <v>-----</v>
      </c>
      <c r="BN71" s="15" t="str">
        <f t="shared" si="79"/>
        <v>-----</v>
      </c>
      <c r="BO71" s="15" t="str">
        <f t="shared" si="80"/>
        <v>-----</v>
      </c>
      <c r="BP71" s="15" t="str">
        <f t="shared" si="81"/>
        <v>-----</v>
      </c>
      <c r="BQ71" s="15" t="str">
        <f t="shared" si="82"/>
        <v>-----</v>
      </c>
      <c r="BR71" s="22"/>
      <c r="BS71" s="9">
        <f t="shared" si="83"/>
        <v>-2.423265306122455E-3</v>
      </c>
      <c r="BT71" s="9">
        <f>SLOPE(J$5:J$103,$A$5:$A$103)</f>
        <v>-3.7194805194805478E-4</v>
      </c>
      <c r="BU71" s="9">
        <f>SLOPE(K$5:K$103,$A$5:$A$103)</f>
        <v>-1.6402721088435472E-3</v>
      </c>
      <c r="BV71" s="9">
        <f>SLOPE(L$5:L$103,$A$5:$A$103)</f>
        <v>7.6471243042669956E-4</v>
      </c>
      <c r="BW71" s="9">
        <f>SLOPE(M$5:M$103,$A$5:$A$103)</f>
        <v>-2.3081014223875058E-4</v>
      </c>
      <c r="BX71" s="9">
        <f>SLOPE(N$5:N$103,$A$5:$A$103)</f>
        <v>1.5802844774273381E-3</v>
      </c>
      <c r="BY71"/>
      <c r="BZ71" s="9">
        <f t="shared" si="59"/>
        <v>-1.9079214597220278</v>
      </c>
      <c r="CA71" s="9">
        <f t="shared" si="60"/>
        <v>-0.29295343676527091</v>
      </c>
      <c r="CB71" s="9">
        <f t="shared" si="61"/>
        <v>-1.2917022253843653</v>
      </c>
      <c r="CC71" s="9">
        <f t="shared" si="62"/>
        <v>0.60228527619529781</v>
      </c>
      <c r="CD71" s="9">
        <f t="shared" si="63"/>
        <v>-0.18179147971962978</v>
      </c>
      <c r="CE71" s="9">
        <f t="shared" si="64"/>
        <v>1.2444775446344229</v>
      </c>
      <c r="CF71"/>
      <c r="CG71" s="18" t="str" cm="1">
        <f t="array" ref="CG71">_xlfn.IFS(BZ71&gt;3,"Strong + Slope",BZ71&gt;1.5,"Moderate + Slope",BZ71&gt;0.5,"Sideway + Slope",BZ71&gt;=-0.5,"Sideway Flat",BZ71&gt;=-1.5,"Sideway - Slope",BZ71&gt;=-3,"Moderate - Slope",TRUE,"Strong - Slope")</f>
        <v>Moderate - Slope</v>
      </c>
      <c r="CH71" s="18" t="str" cm="1">
        <f t="array" ref="CH71">_xlfn.IFS(CA71&gt;3,"Strong + Slope",CA71&gt;1.5,"Moderate + Slope",CA71&gt;0.5,"Sideway + Slope",CA71&gt;=-0.5,"Sideway Flat",CA71&gt;=-1.5,"Sideway - Slope",CA71&gt;=-3,"Moderate - Slope",TRUE,"Strong - Slope")</f>
        <v>Sideway Flat</v>
      </c>
      <c r="CI71" s="18" t="str" cm="1">
        <f t="array" ref="CI71">_xlfn.IFS(CB71&gt;3,"Strong + Slope",CB71&gt;1.5,"Moderate + Slope",CB71&gt;0.5,"Sideway + Slope",CB71&gt;=-0.5,"Sideway Flat",CB71&gt;=-1.5,"Sideway - Slope",CB71&gt;=-3,"Moderate - Slope",TRUE,"Strong - Slope")</f>
        <v>Sideway - Slope</v>
      </c>
      <c r="CJ71" s="18" t="str" cm="1">
        <f t="array" ref="CJ71">_xlfn.IFS(CC71&gt;3,"Strong + Slope",CC71&gt;1.5,"Moderate + Slope",CC71&gt;0.5,"Sideway + Slope",CC71&gt;=-0.5,"Sideway Flat",CC71&gt;=-1.5,"Sideway - Slope",CC71&gt;=-3,"Moderate - Slope",TRUE,"Strong - Slope")</f>
        <v>Sideway + Slope</v>
      </c>
      <c r="CK71" s="18" t="str" cm="1">
        <f t="array" ref="CK71">_xlfn.IFS(CD71&gt;3,"Strong + Slope",CD71&gt;1.5,"Moderate + Slope",CD71&gt;0.5,"Sideway + Slope",CD71&gt;=-0.5,"Sideway Flat",CD71&gt;=-1.5,"Sideway - Slope",CD71&gt;=-3,"Moderate - Slope",TRUE,"Strong - Slope")</f>
        <v>Sideway Flat</v>
      </c>
      <c r="CL71" s="18" t="str" cm="1">
        <f t="array" ref="CL71">_xlfn.IFS(CE71&gt;3,"Strong + Slope",CE71&gt;1.5,"Moderate + Slope",CE71&gt;0.5,"Sideway + Slope",CE71&gt;=-0.5,"Sideway Flat",CE71&gt;=-1.5,"Sideway - Slope",CE71&gt;=-3,"Moderate - Slope",TRUE,"Strong - Slope")</f>
        <v>Sideway + Slope</v>
      </c>
      <c r="CM71" s="9"/>
      <c r="CN71" s="9">
        <f>RANK(I71,$I71:$N71,0)</f>
        <v>3</v>
      </c>
      <c r="CO71" s="9">
        <f>RANK(J71,$I71:$N71,0)</f>
        <v>2</v>
      </c>
      <c r="CP71" s="9">
        <f>RANK(K71,$I71:$N71,0)</f>
        <v>1</v>
      </c>
      <c r="CQ71" s="9">
        <f>RANK(L71,$I71:$N71,0)</f>
        <v>5</v>
      </c>
      <c r="CR71" s="9">
        <f>RANK(M71,$I71:$N71,0)</f>
        <v>6</v>
      </c>
      <c r="CS71" s="9">
        <f>RANK(N71,$I71:$N71,0)</f>
        <v>4</v>
      </c>
      <c r="CT71" s="9"/>
      <c r="CU71" s="9" t="str">
        <f>IF($H71&gt;I71,"SUP","RES")</f>
        <v>RES</v>
      </c>
      <c r="CV71" s="9" t="str">
        <f>IF($H71&gt;J71,"SUP","RES")</f>
        <v>RES</v>
      </c>
      <c r="CW71" s="9" t="str">
        <f>IF($H71&gt;K71,"SUP","RES")</f>
        <v>RES</v>
      </c>
      <c r="CX71" s="9" t="str">
        <f>IF($H71&gt;L71,"SUP","RES")</f>
        <v>SUP</v>
      </c>
      <c r="CY71" s="9" t="str">
        <f>IF($H71&gt;M71,"SUP","RES")</f>
        <v>SUP</v>
      </c>
      <c r="CZ71" s="9" t="str">
        <f>IF($H71&gt;N71,"SUP","RES")</f>
        <v>RES</v>
      </c>
      <c r="DA71" s="9"/>
      <c r="DB71" s="12">
        <f>(I71-$H71)/$H71</f>
        <v>4.5154408444521201E-4</v>
      </c>
      <c r="DC71" s="12">
        <f>(J71-$H71)/$H71</f>
        <v>5.1044113893817091E-4</v>
      </c>
      <c r="DD71" s="12">
        <f>(K71-$H71)/$H71</f>
        <v>2.3166174767193909E-3</v>
      </c>
      <c r="DE71" s="12">
        <f>(L71-$H71)/$H71</f>
        <v>-1.2957351988430491E-3</v>
      </c>
      <c r="DF71" s="12">
        <f>(M71-$H71)/$H71</f>
        <v>-1.4462498936581199E-3</v>
      </c>
      <c r="DG71" s="12">
        <f>(N71-$H71)/$H71</f>
        <v>4.1227938145015411E-4</v>
      </c>
      <c r="DH71" s="12"/>
      <c r="DI71" s="12">
        <f>((H71-MIN(I71:N71))/(MAX(I71:N71)-MIN(I71:N71)))</f>
        <v>0.38434782608695145</v>
      </c>
      <c r="DJ71" s="13">
        <f t="shared" si="67"/>
        <v>4</v>
      </c>
      <c r="DK71" s="14">
        <f t="shared" si="68"/>
        <v>2</v>
      </c>
      <c r="DL71" s="12">
        <f t="shared" si="84"/>
        <v>2.3166174767193909E-3</v>
      </c>
      <c r="DM71" s="12">
        <f t="shared" si="85"/>
        <v>5.1044113893817091E-4</v>
      </c>
      <c r="DN71" s="12">
        <f t="shared" si="86"/>
        <v>4.5154408444521201E-4</v>
      </c>
      <c r="DO71" s="12">
        <f t="shared" si="87"/>
        <v>4.1227938145015411E-4</v>
      </c>
      <c r="DP71" s="12">
        <f t="shared" si="88"/>
        <v>-1.2957351988430491E-3</v>
      </c>
      <c r="DQ71" s="12">
        <f t="shared" si="89"/>
        <v>-1.4462498936581199E-3</v>
      </c>
      <c r="DR71" s="9"/>
      <c r="DS71" s="9" t="str">
        <f>IF(AQ71&gt;AG71,"Overbought",IF(AQ71&gt;AI71,"Bullish Momentum",IF(AQ71&gt;AK71,"Overprice Setting Up","-----")))</f>
        <v>Overprice Setting Up</v>
      </c>
      <c r="DT71" s="9" t="str">
        <f>IF(AQ71&lt;AP71,"Oversold",IF(AQ71&lt;AN71,"Bearish Momentum",IF(AQ71&lt;AL71,"Underprice Setting Up","-----")))</f>
        <v>-----</v>
      </c>
      <c r="DU71" s="9"/>
      <c r="DV71" s="12" t="str">
        <f>IF(AND(AT71&gt;AU71,AT70&gt;AU70,AT69&gt;AU69,AT68&gt;AU68,AT67&gt;AU67,AT66&gt;AU66,AT65&gt;AU65,AT64&gt;AU64,AT63&gt;AU63,AT62&gt;AU62,AT61&gt;AU61,AT60&gt;AU60),"Bullish",IF(AND(AT71&lt;AU71,AT70&lt;AU70,AT69&lt;AU69,AT68&lt;AU68,AT67&lt;AU67,AT66&lt;AU66,AT65&lt;AU65,AT64&lt;AU64,AT63&lt;AU63,AT62&lt;AU62,AT61&lt;AU61,AT60&lt;AU60),"Bearish","-----"))</f>
        <v>Bearish</v>
      </c>
      <c r="DW71" s="12"/>
      <c r="DX71" s="23">
        <f>(AR71-AT71)/AT71</f>
        <v>-6.5430895160389107E-6</v>
      </c>
      <c r="DY71" s="23">
        <f t="shared" si="69"/>
        <v>1.2798147904442649</v>
      </c>
      <c r="DZ71" s="23" t="str">
        <f t="shared" si="70"/>
        <v>Reverse to Bearish</v>
      </c>
      <c r="EA71" s="23" t="str">
        <f>IF(AQ71&gt;AR71,"Bullish","Bearish")</f>
        <v>Bearish</v>
      </c>
      <c r="EB71" s="22" t="str">
        <f>IF(AND(H71&gt;AQ71,H70&lt;AQ70),"TEMA crossover","-----")</f>
        <v>-----</v>
      </c>
      <c r="EC71" s="22" t="str">
        <f>IF(AND(H71&lt;AQ71,H70&gt;AQ70),"TEMA crossunder","-----")</f>
        <v>-----</v>
      </c>
      <c r="ED71" s="22"/>
      <c r="EE71" s="24" t="str">
        <f t="shared" si="45"/>
        <v>YES</v>
      </c>
      <c r="EF71" s="24" t="str">
        <f t="shared" si="46"/>
        <v>YES</v>
      </c>
      <c r="EG71" s="24" t="str">
        <f t="shared" si="47"/>
        <v>-----</v>
      </c>
      <c r="EH71" s="24" t="str">
        <f t="shared" si="48"/>
        <v>YES</v>
      </c>
      <c r="EI71" s="25" t="str">
        <f>IF(DV71="Bullish","YES","-----")</f>
        <v>-----</v>
      </c>
      <c r="EJ71" s="25" t="str">
        <f>IF(DZ71="Reverse to Bullish","YES","-----")</f>
        <v>-----</v>
      </c>
      <c r="EK71" s="25" t="str">
        <f>IF(AND(EA71="Bearish",EA70="Bearish",EA69="Bearish",EA68="Bearish"),"YES","-----")</f>
        <v>-----</v>
      </c>
      <c r="EL71" s="25" t="str">
        <f>IF(OR(EC71="TEMA crossover",EC70="TEMA crossover",EC69="TEMA crossover",EC68="TEMA crossover"),"YES","-----")</f>
        <v>-----</v>
      </c>
      <c r="EM71" s="24" t="str">
        <f>IF(AND(EE71="YES",EF71="YES",EG71="YES",EH71="YES"),"Open Sell / Close Buy","-----")</f>
        <v>-----</v>
      </c>
      <c r="EN71" s="25" t="str">
        <f t="shared" si="32"/>
        <v>-----</v>
      </c>
      <c r="EO71" s="23"/>
      <c r="EP71" s="9" t="str">
        <f>IF(AND(H71&gt;AV71,H71&gt;E71),"Bullish Trigger","-----")</f>
        <v>-----</v>
      </c>
      <c r="EQ71" s="9" t="str">
        <f>IF(AND(H71&lt;AW71,H71&lt;E71),"Bearish Trigger","-----")</f>
        <v>-----</v>
      </c>
      <c r="ER71" s="9"/>
      <c r="ES71" s="9" t="str">
        <f>IF(G71&gt;AV71,"Bullish Spike","-----")</f>
        <v>-----</v>
      </c>
      <c r="ET71" s="9" t="str">
        <f>IF(F71&lt;AW71,"Bearish Spike","-----")</f>
        <v>-----</v>
      </c>
      <c r="EU71" s="9"/>
      <c r="EV71" s="20">
        <f t="shared" si="71"/>
        <v>3.5000000000025011E-2</v>
      </c>
      <c r="EW71" s="9">
        <f t="shared" si="90"/>
        <v>-0.93981030747234717</v>
      </c>
      <c r="EX71" s="21" t="str">
        <f t="shared" si="91"/>
        <v>-----</v>
      </c>
      <c r="EY71" s="9"/>
    </row>
    <row r="72" spans="1:155" x14ac:dyDescent="0.55000000000000004">
      <c r="A72">
        <v>68</v>
      </c>
      <c r="B72" t="s">
        <v>71</v>
      </c>
      <c r="C72" t="s">
        <v>4</v>
      </c>
      <c r="D72" t="s">
        <v>103</v>
      </c>
      <c r="E72">
        <v>152.809</v>
      </c>
      <c r="F72">
        <v>152.82300000000001</v>
      </c>
      <c r="G72">
        <v>152.809</v>
      </c>
      <c r="H72">
        <v>152.81299999999999</v>
      </c>
      <c r="I72">
        <v>152.876</v>
      </c>
      <c r="J72">
        <v>152.886</v>
      </c>
      <c r="K72">
        <v>153.161</v>
      </c>
      <c r="L72">
        <v>152.61099999999999</v>
      </c>
      <c r="M72">
        <v>152.58699999999999</v>
      </c>
      <c r="N72">
        <v>152.874</v>
      </c>
      <c r="O72" s="16">
        <f t="shared" si="66"/>
        <v>1.4000000000010004E-2</v>
      </c>
      <c r="P72" s="16">
        <f t="shared" si="72"/>
        <v>1.4000000000010004E-2</v>
      </c>
      <c r="Q72" s="16">
        <f t="shared" si="73"/>
        <v>0</v>
      </c>
      <c r="R72" s="16">
        <f t="shared" si="74"/>
        <v>1.4000000000010004E-2</v>
      </c>
      <c r="S72" s="16">
        <f t="shared" si="65"/>
        <v>5.443151179859796E-2</v>
      </c>
      <c r="T72">
        <v>0</v>
      </c>
      <c r="U72">
        <v>0</v>
      </c>
      <c r="V72">
        <v>0</v>
      </c>
      <c r="W72">
        <v>0</v>
      </c>
      <c r="Y72" s="9" t="str">
        <f t="shared" si="75"/>
        <v>------</v>
      </c>
      <c r="Z72" s="9" t="str">
        <f t="shared" si="76"/>
        <v>------</v>
      </c>
      <c r="AA72" s="9"/>
      <c r="AB72">
        <v>0</v>
      </c>
      <c r="AD72" t="str">
        <f t="shared" si="58"/>
        <v/>
      </c>
      <c r="AE72">
        <v>1.00145</v>
      </c>
      <c r="AF72">
        <v>0</v>
      </c>
      <c r="AG72">
        <v>153.12163000000001</v>
      </c>
      <c r="AH72">
        <v>153.0386</v>
      </c>
      <c r="AI72">
        <v>152.95555999999999</v>
      </c>
      <c r="AJ72">
        <v>152.87253000000001</v>
      </c>
      <c r="AK72">
        <v>152.7895</v>
      </c>
      <c r="AL72">
        <v>152.74203</v>
      </c>
      <c r="AM72">
        <v>152.65899999999999</v>
      </c>
      <c r="AN72">
        <v>152.57597000000001</v>
      </c>
      <c r="AO72">
        <v>152.49294</v>
      </c>
      <c r="AP72">
        <v>152.40991</v>
      </c>
      <c r="AQ72">
        <v>152.81800000000001</v>
      </c>
      <c r="AR72">
        <v>152.82900000000001</v>
      </c>
      <c r="AS72">
        <f t="shared" si="92"/>
        <v>68</v>
      </c>
      <c r="AT72">
        <v>152.83099999999999</v>
      </c>
      <c r="AU72">
        <v>152.94</v>
      </c>
      <c r="AV72">
        <v>152.83099999999999</v>
      </c>
      <c r="AW72">
        <v>152.80799999999999</v>
      </c>
      <c r="AY72" s="4">
        <f>I72*(1+$AY$2)</f>
        <v>152.89893140000001</v>
      </c>
      <c r="AZ72" s="4">
        <f>I72*(1-$AY$2)</f>
        <v>152.8530686</v>
      </c>
      <c r="BA72" s="4">
        <f>J72*(1+$AY$2)</f>
        <v>152.9089329</v>
      </c>
      <c r="BB72" s="4">
        <f>J72*(1-$AY$2)</f>
        <v>152.86306709999999</v>
      </c>
      <c r="BC72" s="4">
        <f>K72*(1+$AY$2)</f>
        <v>153.18397415000001</v>
      </c>
      <c r="BD72" s="4">
        <f>K72*(1-$AY$2)</f>
        <v>153.13802584999999</v>
      </c>
      <c r="BE72" s="4">
        <f>L72*(1+$AY$2)</f>
        <v>152.63389165000001</v>
      </c>
      <c r="BF72" s="4">
        <f>L72*(1-$AY$2)</f>
        <v>152.58810835</v>
      </c>
      <c r="BG72" s="4">
        <f>M72*(1+$AY$2)</f>
        <v>152.60988805</v>
      </c>
      <c r="BH72" s="4">
        <f>M72*(1-$AY$2)</f>
        <v>152.56411194999998</v>
      </c>
      <c r="BI72" s="4">
        <f>N72*(1+$AY$2)</f>
        <v>152.89693110000002</v>
      </c>
      <c r="BJ72" s="4">
        <f>N72*(1-$AY$2)</f>
        <v>152.8510689</v>
      </c>
      <c r="BK72" s="30">
        <f t="shared" si="93"/>
        <v>68</v>
      </c>
      <c r="BL72" s="15" t="str">
        <f t="shared" si="77"/>
        <v>-----</v>
      </c>
      <c r="BM72" s="15" t="str">
        <f t="shared" si="78"/>
        <v>-----</v>
      </c>
      <c r="BN72" s="15" t="str">
        <f t="shared" si="79"/>
        <v>-----</v>
      </c>
      <c r="BO72" s="15" t="str">
        <f t="shared" si="80"/>
        <v>-----</v>
      </c>
      <c r="BP72" s="15" t="str">
        <f t="shared" si="81"/>
        <v>-----</v>
      </c>
      <c r="BQ72" s="15" t="str">
        <f t="shared" si="82"/>
        <v>-----</v>
      </c>
      <c r="BR72" s="22"/>
      <c r="BS72" s="9">
        <f t="shared" si="83"/>
        <v>-2.423265306122455E-3</v>
      </c>
      <c r="BT72" s="9">
        <f>SLOPE(J$5:J$103,$A$5:$A$103)</f>
        <v>-3.7194805194805478E-4</v>
      </c>
      <c r="BU72" s="9">
        <f>SLOPE(K$5:K$103,$A$5:$A$103)</f>
        <v>-1.6402721088435472E-3</v>
      </c>
      <c r="BV72" s="9">
        <f>SLOPE(L$5:L$103,$A$5:$A$103)</f>
        <v>7.6471243042669956E-4</v>
      </c>
      <c r="BW72" s="9">
        <f>SLOPE(M$5:M$103,$A$5:$A$103)</f>
        <v>-2.3081014223875058E-4</v>
      </c>
      <c r="BX72" s="9">
        <f>SLOPE(N$5:N$103,$A$5:$A$103)</f>
        <v>1.5802844774273381E-3</v>
      </c>
      <c r="BY72"/>
      <c r="BZ72" s="9">
        <f t="shared" si="59"/>
        <v>-1.9079214597220278</v>
      </c>
      <c r="CA72" s="9">
        <f t="shared" si="60"/>
        <v>-0.29295343676527091</v>
      </c>
      <c r="CB72" s="9">
        <f t="shared" si="61"/>
        <v>-1.2917022253843653</v>
      </c>
      <c r="CC72" s="9">
        <f t="shared" si="62"/>
        <v>0.60228527619529781</v>
      </c>
      <c r="CD72" s="9">
        <f t="shared" si="63"/>
        <v>-0.18179147971962978</v>
      </c>
      <c r="CE72" s="9">
        <f t="shared" si="64"/>
        <v>1.2444775446344229</v>
      </c>
      <c r="CF72"/>
      <c r="CG72" s="18" t="str" cm="1">
        <f t="array" ref="CG72">_xlfn.IFS(BZ72&gt;3,"Strong + Slope",BZ72&gt;1.5,"Moderate + Slope",BZ72&gt;0.5,"Sideway + Slope",BZ72&gt;=-0.5,"Sideway Flat",BZ72&gt;=-1.5,"Sideway - Slope",BZ72&gt;=-3,"Moderate - Slope",TRUE,"Strong - Slope")</f>
        <v>Moderate - Slope</v>
      </c>
      <c r="CH72" s="18" t="str" cm="1">
        <f t="array" ref="CH72">_xlfn.IFS(CA72&gt;3,"Strong + Slope",CA72&gt;1.5,"Moderate + Slope",CA72&gt;0.5,"Sideway + Slope",CA72&gt;=-0.5,"Sideway Flat",CA72&gt;=-1.5,"Sideway - Slope",CA72&gt;=-3,"Moderate - Slope",TRUE,"Strong - Slope")</f>
        <v>Sideway Flat</v>
      </c>
      <c r="CI72" s="18" t="str" cm="1">
        <f t="array" ref="CI72">_xlfn.IFS(CB72&gt;3,"Strong + Slope",CB72&gt;1.5,"Moderate + Slope",CB72&gt;0.5,"Sideway + Slope",CB72&gt;=-0.5,"Sideway Flat",CB72&gt;=-1.5,"Sideway - Slope",CB72&gt;=-3,"Moderate - Slope",TRUE,"Strong - Slope")</f>
        <v>Sideway - Slope</v>
      </c>
      <c r="CJ72" s="18" t="str" cm="1">
        <f t="array" ref="CJ72">_xlfn.IFS(CC72&gt;3,"Strong + Slope",CC72&gt;1.5,"Moderate + Slope",CC72&gt;0.5,"Sideway + Slope",CC72&gt;=-0.5,"Sideway Flat",CC72&gt;=-1.5,"Sideway - Slope",CC72&gt;=-3,"Moderate - Slope",TRUE,"Strong - Slope")</f>
        <v>Sideway + Slope</v>
      </c>
      <c r="CK72" s="18" t="str" cm="1">
        <f t="array" ref="CK72">_xlfn.IFS(CD72&gt;3,"Strong + Slope",CD72&gt;1.5,"Moderate + Slope",CD72&gt;0.5,"Sideway + Slope",CD72&gt;=-0.5,"Sideway Flat",CD72&gt;=-1.5,"Sideway - Slope",CD72&gt;=-3,"Moderate - Slope",TRUE,"Strong - Slope")</f>
        <v>Sideway Flat</v>
      </c>
      <c r="CL72" s="18" t="str" cm="1">
        <f t="array" ref="CL72">_xlfn.IFS(CE72&gt;3,"Strong + Slope",CE72&gt;1.5,"Moderate + Slope",CE72&gt;0.5,"Sideway + Slope",CE72&gt;=-0.5,"Sideway Flat",CE72&gt;=-1.5,"Sideway - Slope",CE72&gt;=-3,"Moderate - Slope",TRUE,"Strong - Slope")</f>
        <v>Sideway + Slope</v>
      </c>
      <c r="CM72" s="9"/>
      <c r="CN72" s="9">
        <f>RANK(I72,$I72:$N72,0)</f>
        <v>3</v>
      </c>
      <c r="CO72" s="9">
        <f>RANK(J72,$I72:$N72,0)</f>
        <v>2</v>
      </c>
      <c r="CP72" s="9">
        <f>RANK(K72,$I72:$N72,0)</f>
        <v>1</v>
      </c>
      <c r="CQ72" s="9">
        <f>RANK(L72,$I72:$N72,0)</f>
        <v>5</v>
      </c>
      <c r="CR72" s="9">
        <f>RANK(M72,$I72:$N72,0)</f>
        <v>6</v>
      </c>
      <c r="CS72" s="9">
        <f>RANK(N72,$I72:$N72,0)</f>
        <v>4</v>
      </c>
      <c r="CT72" s="9"/>
      <c r="CU72" s="9" t="str">
        <f>IF($H72&gt;I72,"SUP","RES")</f>
        <v>RES</v>
      </c>
      <c r="CV72" s="9" t="str">
        <f>IF($H72&gt;J72,"SUP","RES")</f>
        <v>RES</v>
      </c>
      <c r="CW72" s="9" t="str">
        <f>IF($H72&gt;K72,"SUP","RES")</f>
        <v>RES</v>
      </c>
      <c r="CX72" s="9" t="str">
        <f>IF($H72&gt;L72,"SUP","RES")</f>
        <v>SUP</v>
      </c>
      <c r="CY72" s="9" t="str">
        <f>IF($H72&gt;M72,"SUP","RES")</f>
        <v>SUP</v>
      </c>
      <c r="CZ72" s="9" t="str">
        <f>IF($H72&gt;N72,"SUP","RES")</f>
        <v>RES</v>
      </c>
      <c r="DA72" s="9"/>
      <c r="DB72" s="12">
        <f>(I72-$H72)/$H72</f>
        <v>4.1226858971433452E-4</v>
      </c>
      <c r="DC72" s="12">
        <f>(J72-$H72)/$H72</f>
        <v>4.7770804839907276E-4</v>
      </c>
      <c r="DD72" s="12">
        <f>(K72-$H72)/$H72</f>
        <v>2.2772931622310486E-3</v>
      </c>
      <c r="DE72" s="12">
        <f>(L72-$H72)/$H72</f>
        <v>-1.321877065432903E-3</v>
      </c>
      <c r="DF72" s="12">
        <f>(M72-$H72)/$H72</f>
        <v>-1.4789317662764236E-3</v>
      </c>
      <c r="DG72" s="12">
        <f>(N72-$H72)/$H72</f>
        <v>3.9918069797731251E-4</v>
      </c>
      <c r="DH72" s="12"/>
      <c r="DI72" s="12">
        <f>((H72-MIN(I72:N72))/(MAX(I72:N72)-MIN(I72:N72)))</f>
        <v>0.39372822299650567</v>
      </c>
      <c r="DJ72" s="13">
        <f t="shared" si="67"/>
        <v>4</v>
      </c>
      <c r="DK72" s="14">
        <f t="shared" si="68"/>
        <v>2</v>
      </c>
      <c r="DL72" s="12">
        <f t="shared" si="84"/>
        <v>2.2772931622310486E-3</v>
      </c>
      <c r="DM72" s="12">
        <f t="shared" si="85"/>
        <v>4.7770804839907276E-4</v>
      </c>
      <c r="DN72" s="12">
        <f t="shared" si="86"/>
        <v>4.1226858971433452E-4</v>
      </c>
      <c r="DO72" s="12">
        <f t="shared" si="87"/>
        <v>3.9918069797731251E-4</v>
      </c>
      <c r="DP72" s="12">
        <f t="shared" si="88"/>
        <v>-1.321877065432903E-3</v>
      </c>
      <c r="DQ72" s="12">
        <f t="shared" si="89"/>
        <v>-1.4789317662764236E-3</v>
      </c>
      <c r="DR72" s="9"/>
      <c r="DS72" s="9" t="str">
        <f>IF(AQ72&gt;AG72,"Overbought",IF(AQ72&gt;AI72,"Bullish Momentum",IF(AQ72&gt;AK72,"Overprice Setting Up","-----")))</f>
        <v>Overprice Setting Up</v>
      </c>
      <c r="DT72" s="9" t="str">
        <f>IF(AQ72&lt;AP72,"Oversold",IF(AQ72&lt;AN72,"Bearish Momentum",IF(AQ72&lt;AL72,"Underprice Setting Up","-----")))</f>
        <v>-----</v>
      </c>
      <c r="DU72" s="9"/>
      <c r="DV72" s="12" t="str">
        <f>IF(AND(AT72&gt;AU72,AT71&gt;AU71,AT70&gt;AU70,AT69&gt;AU69,AT68&gt;AU68,AT67&gt;AU67,AT66&gt;AU66,AT65&gt;AU65,AT64&gt;AU64,AT63&gt;AU63,AT62&gt;AU62,AT61&gt;AU61),"Bullish",IF(AND(AT72&lt;AU72,AT71&lt;AU71,AT70&lt;AU70,AT69&lt;AU69,AT68&lt;AU68,AT67&lt;AU67,AT66&lt;AU66,AT65&lt;AU65,AT64&lt;AU64,AT63&lt;AU63,AT62&lt;AU62,AT61&lt;AU61),"Bearish","-----"))</f>
        <v>Bearish</v>
      </c>
      <c r="DW72" s="12"/>
      <c r="DX72" s="23">
        <f>(AR72-AT72)/AT72</f>
        <v>-1.3086350282214526E-5</v>
      </c>
      <c r="DY72" s="23">
        <f t="shared" si="69"/>
        <v>1.2609436810603463</v>
      </c>
      <c r="DZ72" s="23" t="str">
        <f t="shared" si="70"/>
        <v>Reverse to Bearish</v>
      </c>
      <c r="EA72" s="23" t="str">
        <f>IF(AQ72&gt;AR72,"Bullish","Bearish")</f>
        <v>Bearish</v>
      </c>
      <c r="EB72" s="22" t="str">
        <f>IF(AND(H72&gt;AQ72,H71&lt;AQ71),"TEMA crossover","-----")</f>
        <v>-----</v>
      </c>
      <c r="EC72" s="22" t="str">
        <f>IF(AND(H72&lt;AQ72,H71&gt;AQ71),"TEMA crossunder","-----")</f>
        <v>-----</v>
      </c>
      <c r="ED72" s="22"/>
      <c r="EE72" s="24" t="str">
        <f t="shared" si="45"/>
        <v>YES</v>
      </c>
      <c r="EF72" s="24" t="str">
        <f t="shared" si="46"/>
        <v>YES</v>
      </c>
      <c r="EG72" s="24" t="str">
        <f t="shared" si="47"/>
        <v>-----</v>
      </c>
      <c r="EH72" s="24" t="str">
        <f t="shared" si="48"/>
        <v>-----</v>
      </c>
      <c r="EI72" s="25" t="str">
        <f>IF(DV72="Bullish","YES","-----")</f>
        <v>-----</v>
      </c>
      <c r="EJ72" s="25" t="str">
        <f>IF(DZ72="Reverse to Bullish","YES","-----")</f>
        <v>-----</v>
      </c>
      <c r="EK72" s="25" t="str">
        <f>IF(AND(EA72="Bearish",EA71="Bearish",EA70="Bearish",EA69="Bearish"),"YES","-----")</f>
        <v>-----</v>
      </c>
      <c r="EL72" s="25" t="str">
        <f>IF(OR(EC72="TEMA crossover",EC71="TEMA crossover",EC70="TEMA crossover",EC69="TEMA crossover"),"YES","-----")</f>
        <v>-----</v>
      </c>
      <c r="EM72" s="24" t="str">
        <f>IF(AND(EE72="YES",EF72="YES",EG72="YES",EH72="YES"),"Open Sell / Close Buy","-----")</f>
        <v>-----</v>
      </c>
      <c r="EN72" s="25" t="str">
        <f t="shared" si="32"/>
        <v>-----</v>
      </c>
      <c r="EO72" s="23"/>
      <c r="EP72" s="9" t="str">
        <f>IF(AND(H72&gt;AV72,H72&gt;E72),"Bullish Trigger","-----")</f>
        <v>-----</v>
      </c>
      <c r="EQ72" s="9" t="str">
        <f>IF(AND(H72&lt;AW72,H72&lt;E72),"Bearish Trigger","-----")</f>
        <v>-----</v>
      </c>
      <c r="ER72" s="9"/>
      <c r="ES72" s="9" t="str">
        <f>IF(G72&gt;AV72,"Bullish Spike","-----")</f>
        <v>-----</v>
      </c>
      <c r="ET72" s="9" t="str">
        <f>IF(F72&lt;AW72,"Bearish Spike","-----")</f>
        <v>-----</v>
      </c>
      <c r="EU72" s="9"/>
      <c r="EV72" s="20">
        <f t="shared" si="71"/>
        <v>2.2999999999996135E-2</v>
      </c>
      <c r="EW72" s="9">
        <f t="shared" si="90"/>
        <v>-1.2163757385549487</v>
      </c>
      <c r="EX72" s="21" t="str">
        <f t="shared" si="91"/>
        <v>-----</v>
      </c>
      <c r="EY72" s="9"/>
    </row>
    <row r="73" spans="1:155" x14ac:dyDescent="0.55000000000000004">
      <c r="A73">
        <v>69</v>
      </c>
      <c r="B73" t="s">
        <v>72</v>
      </c>
      <c r="C73" t="s">
        <v>4</v>
      </c>
      <c r="D73" t="s">
        <v>103</v>
      </c>
      <c r="E73">
        <v>152.81299999999999</v>
      </c>
      <c r="F73">
        <v>152.815</v>
      </c>
      <c r="G73">
        <v>152.76599999999999</v>
      </c>
      <c r="H73">
        <v>152.779</v>
      </c>
      <c r="I73">
        <v>152.87299999999999</v>
      </c>
      <c r="J73">
        <v>152.886</v>
      </c>
      <c r="K73">
        <v>153.15899999999999</v>
      </c>
      <c r="L73">
        <v>152.61199999999999</v>
      </c>
      <c r="M73">
        <v>152.58699999999999</v>
      </c>
      <c r="N73">
        <v>152.876</v>
      </c>
      <c r="O73" s="16">
        <f t="shared" si="66"/>
        <v>4.9000000000006594E-2</v>
      </c>
      <c r="P73" s="16">
        <f t="shared" si="72"/>
        <v>2.0000000000095497E-3</v>
      </c>
      <c r="Q73" s="16">
        <f t="shared" si="73"/>
        <v>4.6999999999997044E-2</v>
      </c>
      <c r="R73" s="16">
        <f t="shared" si="74"/>
        <v>4.9000000000006594E-2</v>
      </c>
      <c r="S73" s="16">
        <f t="shared" si="65"/>
        <v>5.4043546670127153E-2</v>
      </c>
      <c r="T73">
        <v>0</v>
      </c>
      <c r="U73">
        <v>0</v>
      </c>
      <c r="V73">
        <v>0</v>
      </c>
      <c r="W73">
        <v>0</v>
      </c>
      <c r="Y73" s="9" t="str">
        <f t="shared" si="75"/>
        <v>------</v>
      </c>
      <c r="Z73" s="9" t="str">
        <f t="shared" si="76"/>
        <v>------</v>
      </c>
      <c r="AA73" s="9"/>
      <c r="AB73">
        <v>0</v>
      </c>
      <c r="AD73" t="str">
        <f t="shared" si="58"/>
        <v/>
      </c>
      <c r="AE73">
        <v>0.28240999999999999</v>
      </c>
      <c r="AF73">
        <v>3</v>
      </c>
      <c r="AG73">
        <v>153.12024</v>
      </c>
      <c r="AH73">
        <v>153.03743</v>
      </c>
      <c r="AI73">
        <v>152.95463000000001</v>
      </c>
      <c r="AJ73">
        <v>152.87182000000001</v>
      </c>
      <c r="AK73">
        <v>152.78900999999999</v>
      </c>
      <c r="AL73">
        <v>152.74350000000001</v>
      </c>
      <c r="AM73">
        <v>152.66068999999999</v>
      </c>
      <c r="AN73">
        <v>152.57787999999999</v>
      </c>
      <c r="AO73">
        <v>152.49507</v>
      </c>
      <c r="AP73">
        <v>152.41227000000001</v>
      </c>
      <c r="AQ73">
        <v>152.80099999999999</v>
      </c>
      <c r="AR73">
        <v>152.82300000000001</v>
      </c>
      <c r="AS73">
        <f t="shared" si="92"/>
        <v>69</v>
      </c>
      <c r="AT73">
        <v>152.828</v>
      </c>
      <c r="AU73">
        <v>152.93600000000001</v>
      </c>
      <c r="AV73">
        <v>152.82</v>
      </c>
      <c r="AW73">
        <v>152.78700000000001</v>
      </c>
      <c r="AY73" s="4">
        <f>I73*(1+$AY$2)</f>
        <v>152.89593095000001</v>
      </c>
      <c r="AZ73" s="4">
        <f>I73*(1-$AY$2)</f>
        <v>152.85006905</v>
      </c>
      <c r="BA73" s="4">
        <f>J73*(1+$AY$2)</f>
        <v>152.9089329</v>
      </c>
      <c r="BB73" s="4">
        <f>J73*(1-$AY$2)</f>
        <v>152.86306709999999</v>
      </c>
      <c r="BC73" s="4">
        <f>K73*(1+$AY$2)</f>
        <v>153.18197385000002</v>
      </c>
      <c r="BD73" s="4">
        <f>K73*(1-$AY$2)</f>
        <v>153.13602614999999</v>
      </c>
      <c r="BE73" s="4">
        <f>L73*(1+$AY$2)</f>
        <v>152.63489180000002</v>
      </c>
      <c r="BF73" s="4">
        <f>L73*(1-$AY$2)</f>
        <v>152.5891082</v>
      </c>
      <c r="BG73" s="4">
        <f>M73*(1+$AY$2)</f>
        <v>152.60988805</v>
      </c>
      <c r="BH73" s="4">
        <f>M73*(1-$AY$2)</f>
        <v>152.56411194999998</v>
      </c>
      <c r="BI73" s="4">
        <f>N73*(1+$AY$2)</f>
        <v>152.89893140000001</v>
      </c>
      <c r="BJ73" s="4">
        <f>N73*(1-$AY$2)</f>
        <v>152.8530686</v>
      </c>
      <c r="BK73" s="30">
        <f t="shared" si="93"/>
        <v>69</v>
      </c>
      <c r="BL73" s="15" t="str">
        <f t="shared" si="77"/>
        <v>-----</v>
      </c>
      <c r="BM73" s="15" t="str">
        <f t="shared" si="78"/>
        <v>-----</v>
      </c>
      <c r="BN73" s="15" t="str">
        <f t="shared" si="79"/>
        <v>-----</v>
      </c>
      <c r="BO73" s="15" t="str">
        <f t="shared" si="80"/>
        <v>-----</v>
      </c>
      <c r="BP73" s="15" t="str">
        <f t="shared" si="81"/>
        <v>-----</v>
      </c>
      <c r="BQ73" s="15" t="str">
        <f t="shared" si="82"/>
        <v>-----</v>
      </c>
      <c r="BR73" s="22"/>
      <c r="BS73" s="9">
        <f t="shared" si="83"/>
        <v>-2.423265306122455E-3</v>
      </c>
      <c r="BT73" s="9">
        <f>SLOPE(J$5:J$103,$A$5:$A$103)</f>
        <v>-3.7194805194805478E-4</v>
      </c>
      <c r="BU73" s="9">
        <f>SLOPE(K$5:K$103,$A$5:$A$103)</f>
        <v>-1.6402721088435472E-3</v>
      </c>
      <c r="BV73" s="9">
        <f>SLOPE(L$5:L$103,$A$5:$A$103)</f>
        <v>7.6471243042669956E-4</v>
      </c>
      <c r="BW73" s="9">
        <f>SLOPE(M$5:M$103,$A$5:$A$103)</f>
        <v>-2.3081014223875058E-4</v>
      </c>
      <c r="BX73" s="9">
        <f>SLOPE(N$5:N$103,$A$5:$A$103)</f>
        <v>1.5802844774273381E-3</v>
      </c>
      <c r="BY73"/>
      <c r="BZ73" s="9">
        <f t="shared" si="59"/>
        <v>-1.9079214597220278</v>
      </c>
      <c r="CA73" s="9">
        <f t="shared" si="60"/>
        <v>-0.29295343676527091</v>
      </c>
      <c r="CB73" s="9">
        <f t="shared" si="61"/>
        <v>-1.2917022253843653</v>
      </c>
      <c r="CC73" s="9">
        <f t="shared" si="62"/>
        <v>0.60228527619529781</v>
      </c>
      <c r="CD73" s="9">
        <f t="shared" si="63"/>
        <v>-0.18179147971962978</v>
      </c>
      <c r="CE73" s="9">
        <f t="shared" si="64"/>
        <v>1.2444775446344229</v>
      </c>
      <c r="CF73"/>
      <c r="CG73" s="18" t="str" cm="1">
        <f t="array" ref="CG73">_xlfn.IFS(BZ73&gt;3,"Strong + Slope",BZ73&gt;1.5,"Moderate + Slope",BZ73&gt;0.5,"Sideway + Slope",BZ73&gt;=-0.5,"Sideway Flat",BZ73&gt;=-1.5,"Sideway - Slope",BZ73&gt;=-3,"Moderate - Slope",TRUE,"Strong - Slope")</f>
        <v>Moderate - Slope</v>
      </c>
      <c r="CH73" s="18" t="str" cm="1">
        <f t="array" ref="CH73">_xlfn.IFS(CA73&gt;3,"Strong + Slope",CA73&gt;1.5,"Moderate + Slope",CA73&gt;0.5,"Sideway + Slope",CA73&gt;=-0.5,"Sideway Flat",CA73&gt;=-1.5,"Sideway - Slope",CA73&gt;=-3,"Moderate - Slope",TRUE,"Strong - Slope")</f>
        <v>Sideway Flat</v>
      </c>
      <c r="CI73" s="18" t="str" cm="1">
        <f t="array" ref="CI73">_xlfn.IFS(CB73&gt;3,"Strong + Slope",CB73&gt;1.5,"Moderate + Slope",CB73&gt;0.5,"Sideway + Slope",CB73&gt;=-0.5,"Sideway Flat",CB73&gt;=-1.5,"Sideway - Slope",CB73&gt;=-3,"Moderate - Slope",TRUE,"Strong - Slope")</f>
        <v>Sideway - Slope</v>
      </c>
      <c r="CJ73" s="18" t="str" cm="1">
        <f t="array" ref="CJ73">_xlfn.IFS(CC73&gt;3,"Strong + Slope",CC73&gt;1.5,"Moderate + Slope",CC73&gt;0.5,"Sideway + Slope",CC73&gt;=-0.5,"Sideway Flat",CC73&gt;=-1.5,"Sideway - Slope",CC73&gt;=-3,"Moderate - Slope",TRUE,"Strong - Slope")</f>
        <v>Sideway + Slope</v>
      </c>
      <c r="CK73" s="18" t="str" cm="1">
        <f t="array" ref="CK73">_xlfn.IFS(CD73&gt;3,"Strong + Slope",CD73&gt;1.5,"Moderate + Slope",CD73&gt;0.5,"Sideway + Slope",CD73&gt;=-0.5,"Sideway Flat",CD73&gt;=-1.5,"Sideway - Slope",CD73&gt;=-3,"Moderate - Slope",TRUE,"Strong - Slope")</f>
        <v>Sideway Flat</v>
      </c>
      <c r="CL73" s="18" t="str" cm="1">
        <f t="array" ref="CL73">_xlfn.IFS(CE73&gt;3,"Strong + Slope",CE73&gt;1.5,"Moderate + Slope",CE73&gt;0.5,"Sideway + Slope",CE73&gt;=-0.5,"Sideway Flat",CE73&gt;=-1.5,"Sideway - Slope",CE73&gt;=-3,"Moderate - Slope",TRUE,"Strong - Slope")</f>
        <v>Sideway + Slope</v>
      </c>
      <c r="CM73" s="9"/>
      <c r="CN73" s="9">
        <f>RANK(I73,$I73:$N73,0)</f>
        <v>4</v>
      </c>
      <c r="CO73" s="9">
        <f>RANK(J73,$I73:$N73,0)</f>
        <v>2</v>
      </c>
      <c r="CP73" s="9">
        <f>RANK(K73,$I73:$N73,0)</f>
        <v>1</v>
      </c>
      <c r="CQ73" s="9">
        <f>RANK(L73,$I73:$N73,0)</f>
        <v>5</v>
      </c>
      <c r="CR73" s="9">
        <f>RANK(M73,$I73:$N73,0)</f>
        <v>6</v>
      </c>
      <c r="CS73" s="9">
        <f>RANK(N73,$I73:$N73,0)</f>
        <v>3</v>
      </c>
      <c r="CT73" s="9"/>
      <c r="CU73" s="9" t="str">
        <f>IF($H73&gt;I73,"SUP","RES")</f>
        <v>RES</v>
      </c>
      <c r="CV73" s="9" t="str">
        <f>IF($H73&gt;J73,"SUP","RES")</f>
        <v>RES</v>
      </c>
      <c r="CW73" s="9" t="str">
        <f>IF($H73&gt;K73,"SUP","RES")</f>
        <v>RES</v>
      </c>
      <c r="CX73" s="9" t="str">
        <f>IF($H73&gt;L73,"SUP","RES")</f>
        <v>SUP</v>
      </c>
      <c r="CY73" s="9" t="str">
        <f>IF($H73&gt;M73,"SUP","RES")</f>
        <v>SUP</v>
      </c>
      <c r="CZ73" s="9" t="str">
        <f>IF($H73&gt;N73,"SUP","RES")</f>
        <v>RES</v>
      </c>
      <c r="DA73" s="9"/>
      <c r="DB73" s="12">
        <f>(I73-$H73)/$H73</f>
        <v>6.1526780513024759E-4</v>
      </c>
      <c r="DC73" s="12">
        <f>(J73-$H73)/$H73</f>
        <v>7.0035803349936397E-4</v>
      </c>
      <c r="DD73" s="12">
        <f>(K73-$H73)/$H73</f>
        <v>2.4872528292500637E-3</v>
      </c>
      <c r="DE73" s="12">
        <f>(L73-$H73)/$H73</f>
        <v>-1.0930821644336041E-3</v>
      </c>
      <c r="DF73" s="12">
        <f>(M73-$H73)/$H73</f>
        <v>-1.2567172189895685E-3</v>
      </c>
      <c r="DG73" s="12">
        <f>(N73-$H73)/$H73</f>
        <v>6.349040116770526E-4</v>
      </c>
      <c r="DH73" s="12"/>
      <c r="DI73" s="12">
        <f>((H73-MIN(I73:N73))/(MAX(I73:N73)-MIN(I73:N73)))</f>
        <v>0.33566433566434678</v>
      </c>
      <c r="DJ73" s="13">
        <f t="shared" si="67"/>
        <v>4</v>
      </c>
      <c r="DK73" s="14">
        <f t="shared" si="68"/>
        <v>2</v>
      </c>
      <c r="DL73" s="12">
        <f t="shared" si="84"/>
        <v>2.4872528292500637E-3</v>
      </c>
      <c r="DM73" s="12">
        <f t="shared" si="85"/>
        <v>7.0035803349936397E-4</v>
      </c>
      <c r="DN73" s="12">
        <f t="shared" si="86"/>
        <v>6.349040116770526E-4</v>
      </c>
      <c r="DO73" s="12">
        <f t="shared" si="87"/>
        <v>6.1526780513024759E-4</v>
      </c>
      <c r="DP73" s="12">
        <f t="shared" si="88"/>
        <v>-1.0930821644336041E-3</v>
      </c>
      <c r="DQ73" s="12">
        <f t="shared" si="89"/>
        <v>-1.2567172189895685E-3</v>
      </c>
      <c r="DR73" s="9"/>
      <c r="DS73" s="9" t="str">
        <f>IF(AQ73&gt;AG73,"Overbought",IF(AQ73&gt;AI73,"Bullish Momentum",IF(AQ73&gt;AK73,"Overprice Setting Up","-----")))</f>
        <v>Overprice Setting Up</v>
      </c>
      <c r="DT73" s="9" t="str">
        <f>IF(AQ73&lt;AP73,"Oversold",IF(AQ73&lt;AN73,"Bearish Momentum",IF(AQ73&lt;AL73,"Underprice Setting Up","-----")))</f>
        <v>-----</v>
      </c>
      <c r="DU73" s="9"/>
      <c r="DV73" s="12" t="str">
        <f>IF(AND(AT73&gt;AU73,AT72&gt;AU72,AT71&gt;AU71,AT70&gt;AU70,AT69&gt;AU69,AT68&gt;AU68,AT67&gt;AU67,AT66&gt;AU66,AT65&gt;AU65,AT64&gt;AU64,AT63&gt;AU63,AT62&gt;AU62),"Bullish",IF(AND(AT73&lt;AU73,AT72&lt;AU72,AT71&lt;AU71,AT70&lt;AU70,AT69&lt;AU69,AT68&lt;AU68,AT67&lt;AU67,AT66&lt;AU66,AT65&lt;AU65,AT64&lt;AU64,AT63&lt;AU63,AT62&lt;AU62),"Bearish","-----"))</f>
        <v>Bearish</v>
      </c>
      <c r="DW73" s="12"/>
      <c r="DX73" s="23">
        <f>(AR73-AT73)/AT73</f>
        <v>-3.2716517915535454E-5</v>
      </c>
      <c r="DY73" s="23">
        <f t="shared" si="69"/>
        <v>1.2043292415827069</v>
      </c>
      <c r="DZ73" s="23" t="str">
        <f t="shared" si="70"/>
        <v>Reverse to Bearish</v>
      </c>
      <c r="EA73" s="23" t="str">
        <f>IF(AQ73&gt;AR73,"Bullish","Bearish")</f>
        <v>Bearish</v>
      </c>
      <c r="EB73" s="22" t="str">
        <f>IF(AND(H73&gt;AQ73,H72&lt;AQ72),"TEMA crossover","-----")</f>
        <v>-----</v>
      </c>
      <c r="EC73" s="22" t="str">
        <f>IF(AND(H73&lt;AQ73,H72&gt;AQ72),"TEMA crossunder","-----")</f>
        <v>-----</v>
      </c>
      <c r="ED73" s="22"/>
      <c r="EE73" s="24" t="str">
        <f t="shared" si="45"/>
        <v>YES</v>
      </c>
      <c r="EF73" s="24" t="str">
        <f t="shared" si="46"/>
        <v>YES</v>
      </c>
      <c r="EG73" s="24" t="str">
        <f t="shared" si="47"/>
        <v>-----</v>
      </c>
      <c r="EH73" s="24" t="str">
        <f t="shared" si="48"/>
        <v>-----</v>
      </c>
      <c r="EI73" s="25" t="str">
        <f>IF(DV73="Bullish","YES","-----")</f>
        <v>-----</v>
      </c>
      <c r="EJ73" s="25" t="str">
        <f>IF(DZ73="Reverse to Bullish","YES","-----")</f>
        <v>-----</v>
      </c>
      <c r="EK73" s="25" t="str">
        <f>IF(AND(EA73="Bearish",EA72="Bearish",EA71="Bearish",EA70="Bearish"),"YES","-----")</f>
        <v>-----</v>
      </c>
      <c r="EL73" s="25" t="str">
        <f>IF(OR(EC73="TEMA crossover",EC72="TEMA crossover",EC71="TEMA crossover",EC70="TEMA crossover"),"YES","-----")</f>
        <v>-----</v>
      </c>
      <c r="EM73" s="24" t="str">
        <f>IF(AND(EE73="YES",EF73="YES",EG73="YES",EH73="YES"),"Open Sell / Close Buy","-----")</f>
        <v>-----</v>
      </c>
      <c r="EN73" s="25" t="str">
        <f t="shared" ref="EN73:EN103" si="94">IF(AND(EI73="YES",EJ73="YES",EK73="YES",EL73="YES"),"Open Buy / Close Sell","-----")</f>
        <v>-----</v>
      </c>
      <c r="EO73" s="23"/>
      <c r="EP73" s="9" t="str">
        <f>IF(AND(H73&gt;AV73,H73&gt;E73),"Bullish Trigger","-----")</f>
        <v>-----</v>
      </c>
      <c r="EQ73" s="9" t="str">
        <f>IF(AND(H73&lt;AW73,H73&lt;E73),"Bearish Trigger","-----")</f>
        <v>Bearish Trigger</v>
      </c>
      <c r="ER73" s="9"/>
      <c r="ES73" s="9" t="str">
        <f>IF(G73&gt;AV73,"Bullish Spike","-----")</f>
        <v>-----</v>
      </c>
      <c r="ET73" s="9" t="str">
        <f>IF(F73&lt;AW73,"Bearish Spike","-----")</f>
        <v>-----</v>
      </c>
      <c r="EU73" s="9"/>
      <c r="EV73" s="20">
        <f t="shared" si="71"/>
        <v>3.299999999998704E-2</v>
      </c>
      <c r="EW73" s="9">
        <f t="shared" si="90"/>
        <v>-0.98590454598687838</v>
      </c>
      <c r="EX73" s="21" t="str">
        <f t="shared" si="91"/>
        <v>-----</v>
      </c>
      <c r="EY73" s="9"/>
    </row>
    <row r="74" spans="1:155" x14ac:dyDescent="0.55000000000000004">
      <c r="A74">
        <v>70</v>
      </c>
      <c r="B74" t="s">
        <v>73</v>
      </c>
      <c r="C74" t="s">
        <v>4</v>
      </c>
      <c r="D74" t="s">
        <v>103</v>
      </c>
      <c r="E74">
        <v>152.779</v>
      </c>
      <c r="F74">
        <v>152.79</v>
      </c>
      <c r="G74">
        <v>152.76599999999999</v>
      </c>
      <c r="H74">
        <v>152.76900000000001</v>
      </c>
      <c r="I74">
        <v>152.87100000000001</v>
      </c>
      <c r="J74">
        <v>152.88499999999999</v>
      </c>
      <c r="K74">
        <v>153.15799999999999</v>
      </c>
      <c r="L74">
        <v>152.613</v>
      </c>
      <c r="M74">
        <v>152.58699999999999</v>
      </c>
      <c r="N74">
        <v>152.87700000000001</v>
      </c>
      <c r="O74" s="16">
        <f t="shared" si="66"/>
        <v>2.4000000000000909E-2</v>
      </c>
      <c r="P74" s="16">
        <f t="shared" si="72"/>
        <v>1.099999999999568E-2</v>
      </c>
      <c r="Q74" s="16">
        <f t="shared" si="73"/>
        <v>1.300000000000523E-2</v>
      </c>
      <c r="R74" s="16">
        <f t="shared" si="74"/>
        <v>2.4000000000000909E-2</v>
      </c>
      <c r="S74" s="16">
        <f t="shared" si="65"/>
        <v>5.1897579050832421E-2</v>
      </c>
      <c r="T74">
        <v>0</v>
      </c>
      <c r="U74">
        <v>0</v>
      </c>
      <c r="V74">
        <v>0</v>
      </c>
      <c r="W74">
        <v>0</v>
      </c>
      <c r="Y74" s="9" t="str">
        <f t="shared" si="75"/>
        <v>------</v>
      </c>
      <c r="Z74" s="9" t="str">
        <f t="shared" si="76"/>
        <v>------</v>
      </c>
      <c r="AA74" s="9"/>
      <c r="AB74">
        <v>0</v>
      </c>
      <c r="AD74" t="str">
        <f t="shared" si="58"/>
        <v/>
      </c>
      <c r="AE74">
        <v>0.85394000000000003</v>
      </c>
      <c r="AF74">
        <v>3</v>
      </c>
      <c r="AG74">
        <v>153.11745999999999</v>
      </c>
      <c r="AH74">
        <v>153.03497999999999</v>
      </c>
      <c r="AI74">
        <v>152.95249999999999</v>
      </c>
      <c r="AJ74">
        <v>152.87001000000001</v>
      </c>
      <c r="AK74">
        <v>152.78753</v>
      </c>
      <c r="AL74">
        <v>152.74414999999999</v>
      </c>
      <c r="AM74">
        <v>152.66166999999999</v>
      </c>
      <c r="AN74">
        <v>152.57919000000001</v>
      </c>
      <c r="AO74">
        <v>152.49671000000001</v>
      </c>
      <c r="AP74">
        <v>152.41423</v>
      </c>
      <c r="AQ74">
        <v>152.785</v>
      </c>
      <c r="AR74">
        <v>152.815</v>
      </c>
      <c r="AS74">
        <f t="shared" si="92"/>
        <v>70</v>
      </c>
      <c r="AT74">
        <v>152.82400000000001</v>
      </c>
      <c r="AU74">
        <v>152.93199999999999</v>
      </c>
      <c r="AV74">
        <v>152.80199999999999</v>
      </c>
      <c r="AW74">
        <v>152.773</v>
      </c>
      <c r="AY74" s="4">
        <f>I74*(1+$AY$2)</f>
        <v>152.89393065000002</v>
      </c>
      <c r="AZ74" s="4">
        <f>I74*(1-$AY$2)</f>
        <v>152.84806935</v>
      </c>
      <c r="BA74" s="4">
        <f>J74*(1+$AY$2)</f>
        <v>152.90793275000001</v>
      </c>
      <c r="BB74" s="4">
        <f>J74*(1-$AY$2)</f>
        <v>152.86206725</v>
      </c>
      <c r="BC74" s="4">
        <f>K74*(1+$AY$2)</f>
        <v>153.18097370000001</v>
      </c>
      <c r="BD74" s="4">
        <f>K74*(1-$AY$2)</f>
        <v>153.13502629999999</v>
      </c>
      <c r="BE74" s="4">
        <f>L74*(1+$AY$2)</f>
        <v>152.63589195</v>
      </c>
      <c r="BF74" s="4">
        <f>L74*(1-$AY$2)</f>
        <v>152.59010805</v>
      </c>
      <c r="BG74" s="4">
        <f>M74*(1+$AY$2)</f>
        <v>152.60988805</v>
      </c>
      <c r="BH74" s="4">
        <f>M74*(1-$AY$2)</f>
        <v>152.56411194999998</v>
      </c>
      <c r="BI74" s="4">
        <f>N74*(1+$AY$2)</f>
        <v>152.89993155000002</v>
      </c>
      <c r="BJ74" s="4">
        <f>N74*(1-$AY$2)</f>
        <v>152.85406845</v>
      </c>
      <c r="BK74" s="30">
        <f t="shared" si="93"/>
        <v>70</v>
      </c>
      <c r="BL74" s="15" t="str">
        <f t="shared" si="77"/>
        <v>-----</v>
      </c>
      <c r="BM74" s="15" t="str">
        <f t="shared" si="78"/>
        <v>-----</v>
      </c>
      <c r="BN74" s="15" t="str">
        <f t="shared" si="79"/>
        <v>-----</v>
      </c>
      <c r="BO74" s="15" t="str">
        <f t="shared" si="80"/>
        <v>-----</v>
      </c>
      <c r="BP74" s="15" t="str">
        <f t="shared" si="81"/>
        <v>-----</v>
      </c>
      <c r="BQ74" s="15" t="str">
        <f t="shared" si="82"/>
        <v>-----</v>
      </c>
      <c r="BR74" s="22"/>
      <c r="BS74" s="9">
        <f t="shared" si="83"/>
        <v>-2.423265306122455E-3</v>
      </c>
      <c r="BT74" s="9">
        <f>SLOPE(J$5:J$103,$A$5:$A$103)</f>
        <v>-3.7194805194805478E-4</v>
      </c>
      <c r="BU74" s="9">
        <f>SLOPE(K$5:K$103,$A$5:$A$103)</f>
        <v>-1.6402721088435472E-3</v>
      </c>
      <c r="BV74" s="9">
        <f>SLOPE(L$5:L$103,$A$5:$A$103)</f>
        <v>7.6471243042669956E-4</v>
      </c>
      <c r="BW74" s="9">
        <f>SLOPE(M$5:M$103,$A$5:$A$103)</f>
        <v>-2.3081014223875058E-4</v>
      </c>
      <c r="BX74" s="9">
        <f>SLOPE(N$5:N$103,$A$5:$A$103)</f>
        <v>1.5802844774273381E-3</v>
      </c>
      <c r="BY74"/>
      <c r="BZ74" s="9">
        <f t="shared" si="59"/>
        <v>-1.9079214597220278</v>
      </c>
      <c r="CA74" s="9">
        <f t="shared" si="60"/>
        <v>-0.29295343676527091</v>
      </c>
      <c r="CB74" s="9">
        <f t="shared" si="61"/>
        <v>-1.2917022253843653</v>
      </c>
      <c r="CC74" s="9">
        <f t="shared" si="62"/>
        <v>0.60228527619529781</v>
      </c>
      <c r="CD74" s="9">
        <f t="shared" si="63"/>
        <v>-0.18179147971962978</v>
      </c>
      <c r="CE74" s="9">
        <f t="shared" si="64"/>
        <v>1.2444775446344229</v>
      </c>
      <c r="CF74"/>
      <c r="CG74" s="18" t="str" cm="1">
        <f t="array" ref="CG74">_xlfn.IFS(BZ74&gt;3,"Strong + Slope",BZ74&gt;1.5,"Moderate + Slope",BZ74&gt;0.5,"Sideway + Slope",BZ74&gt;=-0.5,"Sideway Flat",BZ74&gt;=-1.5,"Sideway - Slope",BZ74&gt;=-3,"Moderate - Slope",TRUE,"Strong - Slope")</f>
        <v>Moderate - Slope</v>
      </c>
      <c r="CH74" s="18" t="str" cm="1">
        <f t="array" ref="CH74">_xlfn.IFS(CA74&gt;3,"Strong + Slope",CA74&gt;1.5,"Moderate + Slope",CA74&gt;0.5,"Sideway + Slope",CA74&gt;=-0.5,"Sideway Flat",CA74&gt;=-1.5,"Sideway - Slope",CA74&gt;=-3,"Moderate - Slope",TRUE,"Strong - Slope")</f>
        <v>Sideway Flat</v>
      </c>
      <c r="CI74" s="18" t="str" cm="1">
        <f t="array" ref="CI74">_xlfn.IFS(CB74&gt;3,"Strong + Slope",CB74&gt;1.5,"Moderate + Slope",CB74&gt;0.5,"Sideway + Slope",CB74&gt;=-0.5,"Sideway Flat",CB74&gt;=-1.5,"Sideway - Slope",CB74&gt;=-3,"Moderate - Slope",TRUE,"Strong - Slope")</f>
        <v>Sideway - Slope</v>
      </c>
      <c r="CJ74" s="18" t="str" cm="1">
        <f t="array" ref="CJ74">_xlfn.IFS(CC74&gt;3,"Strong + Slope",CC74&gt;1.5,"Moderate + Slope",CC74&gt;0.5,"Sideway + Slope",CC74&gt;=-0.5,"Sideway Flat",CC74&gt;=-1.5,"Sideway - Slope",CC74&gt;=-3,"Moderate - Slope",TRUE,"Strong - Slope")</f>
        <v>Sideway + Slope</v>
      </c>
      <c r="CK74" s="18" t="str" cm="1">
        <f t="array" ref="CK74">_xlfn.IFS(CD74&gt;3,"Strong + Slope",CD74&gt;1.5,"Moderate + Slope",CD74&gt;0.5,"Sideway + Slope",CD74&gt;=-0.5,"Sideway Flat",CD74&gt;=-1.5,"Sideway - Slope",CD74&gt;=-3,"Moderate - Slope",TRUE,"Strong - Slope")</f>
        <v>Sideway Flat</v>
      </c>
      <c r="CL74" s="18" t="str" cm="1">
        <f t="array" ref="CL74">_xlfn.IFS(CE74&gt;3,"Strong + Slope",CE74&gt;1.5,"Moderate + Slope",CE74&gt;0.5,"Sideway + Slope",CE74&gt;=-0.5,"Sideway Flat",CE74&gt;=-1.5,"Sideway - Slope",CE74&gt;=-3,"Moderate - Slope",TRUE,"Strong - Slope")</f>
        <v>Sideway + Slope</v>
      </c>
      <c r="CM74" s="9"/>
      <c r="CN74" s="9">
        <f>RANK(I74,$I74:$N74,0)</f>
        <v>4</v>
      </c>
      <c r="CO74" s="9">
        <f>RANK(J74,$I74:$N74,0)</f>
        <v>2</v>
      </c>
      <c r="CP74" s="9">
        <f>RANK(K74,$I74:$N74,0)</f>
        <v>1</v>
      </c>
      <c r="CQ74" s="9">
        <f>RANK(L74,$I74:$N74,0)</f>
        <v>5</v>
      </c>
      <c r="CR74" s="9">
        <f>RANK(M74,$I74:$N74,0)</f>
        <v>6</v>
      </c>
      <c r="CS74" s="9">
        <f>RANK(N74,$I74:$N74,0)</f>
        <v>3</v>
      </c>
      <c r="CT74" s="9"/>
      <c r="CU74" s="9" t="str">
        <f>IF($H74&gt;I74,"SUP","RES")</f>
        <v>RES</v>
      </c>
      <c r="CV74" s="9" t="str">
        <f>IF($H74&gt;J74,"SUP","RES")</f>
        <v>RES</v>
      </c>
      <c r="CW74" s="9" t="str">
        <f>IF($H74&gt;K74,"SUP","RES")</f>
        <v>RES</v>
      </c>
      <c r="CX74" s="9" t="str">
        <f>IF($H74&gt;L74,"SUP","RES")</f>
        <v>SUP</v>
      </c>
      <c r="CY74" s="9" t="str">
        <f>IF($H74&gt;M74,"SUP","RES")</f>
        <v>SUP</v>
      </c>
      <c r="CZ74" s="9" t="str">
        <f>IF($H74&gt;N74,"SUP","RES")</f>
        <v>RES</v>
      </c>
      <c r="DA74" s="9"/>
      <c r="DB74" s="12">
        <f>(I74-$H74)/$H74</f>
        <v>6.6767472458420139E-4</v>
      </c>
      <c r="DC74" s="12">
        <f>(J74-$H74)/$H74</f>
        <v>7.5931635344857553E-4</v>
      </c>
      <c r="DD74" s="12">
        <f>(K74-$H74)/$H74</f>
        <v>2.5463281163061982E-3</v>
      </c>
      <c r="DE74" s="12">
        <f>(L74-$H74)/$H74</f>
        <v>-1.0211495787758374E-3</v>
      </c>
      <c r="DF74" s="12">
        <f>(M74-$H74)/$H74</f>
        <v>-1.191341175238539E-3</v>
      </c>
      <c r="DG74" s="12">
        <f>(N74-$H74)/$H74</f>
        <v>7.0694970838327208E-4</v>
      </c>
      <c r="DH74" s="12"/>
      <c r="DI74" s="12">
        <f>((H74-MIN(I74:N74))/(MAX(I74:N74)-MIN(I74:N74)))</f>
        <v>0.31873905429074784</v>
      </c>
      <c r="DJ74" s="13">
        <f t="shared" si="67"/>
        <v>4</v>
      </c>
      <c r="DK74" s="14">
        <f t="shared" si="68"/>
        <v>2</v>
      </c>
      <c r="DL74" s="12">
        <f t="shared" si="84"/>
        <v>2.5463281163061982E-3</v>
      </c>
      <c r="DM74" s="12">
        <f t="shared" si="85"/>
        <v>7.5931635344857553E-4</v>
      </c>
      <c r="DN74" s="12">
        <f t="shared" si="86"/>
        <v>7.0694970838327208E-4</v>
      </c>
      <c r="DO74" s="12">
        <f t="shared" si="87"/>
        <v>6.6767472458420139E-4</v>
      </c>
      <c r="DP74" s="12">
        <f t="shared" si="88"/>
        <v>-1.0211495787758374E-3</v>
      </c>
      <c r="DQ74" s="12">
        <f t="shared" si="89"/>
        <v>-1.191341175238539E-3</v>
      </c>
      <c r="DR74" s="9"/>
      <c r="DS74" s="9" t="str">
        <f>IF(AQ74&gt;AG74,"Overbought",IF(AQ74&gt;AI74,"Bullish Momentum",IF(AQ74&gt;AK74,"Overprice Setting Up","-----")))</f>
        <v>-----</v>
      </c>
      <c r="DT74" s="9" t="str">
        <f>IF(AQ74&lt;AP74,"Oversold",IF(AQ74&lt;AN74,"Bearish Momentum",IF(AQ74&lt;AL74,"Underprice Setting Up","-----")))</f>
        <v>-----</v>
      </c>
      <c r="DU74" s="9"/>
      <c r="DV74" s="12" t="str">
        <f>IF(AND(AT74&gt;AU74,AT73&gt;AU73,AT72&gt;AU72,AT71&gt;AU71,AT70&gt;AU70,AT69&gt;AU69,AT68&gt;AU68,AT67&gt;AU67,AT66&gt;AU66,AT65&gt;AU65,AT64&gt;AU64,AT63&gt;AU63),"Bullish",IF(AND(AT74&lt;AU74,AT73&lt;AU73,AT72&lt;AU72,AT71&lt;AU71,AT70&lt;AU70,AT69&lt;AU69,AT68&lt;AU68,AT67&lt;AU67,AT66&lt;AU66,AT65&lt;AU65,AT64&lt;AU64,AT63&lt;AU63),"Bearish","-----"))</f>
        <v>Bearish</v>
      </c>
      <c r="DW74" s="12"/>
      <c r="DX74" s="23">
        <f>(AR74-AT74)/AT74</f>
        <v>-5.889127362203941E-5</v>
      </c>
      <c r="DY74" s="23">
        <f t="shared" si="69"/>
        <v>1.1288398646976883</v>
      </c>
      <c r="DZ74" s="23" t="str">
        <f t="shared" si="70"/>
        <v>-----</v>
      </c>
      <c r="EA74" s="23" t="str">
        <f>IF(AQ74&gt;AR74,"Bullish","Bearish")</f>
        <v>Bearish</v>
      </c>
      <c r="EB74" s="22" t="str">
        <f>IF(AND(H74&gt;AQ74,H73&lt;AQ73),"TEMA crossover","-----")</f>
        <v>-----</v>
      </c>
      <c r="EC74" s="22" t="str">
        <f>IF(AND(H74&lt;AQ74,H73&gt;AQ73),"TEMA crossunder","-----")</f>
        <v>-----</v>
      </c>
      <c r="ED74" s="22"/>
      <c r="EE74" s="24" t="str">
        <f t="shared" si="45"/>
        <v>YES</v>
      </c>
      <c r="EF74" s="24" t="str">
        <f t="shared" si="46"/>
        <v>-----</v>
      </c>
      <c r="EG74" s="24" t="str">
        <f t="shared" si="47"/>
        <v>-----</v>
      </c>
      <c r="EH74" s="24" t="str">
        <f t="shared" si="48"/>
        <v>-----</v>
      </c>
      <c r="EI74" s="25" t="str">
        <f>IF(DV74="Bullish","YES","-----")</f>
        <v>-----</v>
      </c>
      <c r="EJ74" s="25" t="str">
        <f>IF(DZ74="Reverse to Bullish","YES","-----")</f>
        <v>-----</v>
      </c>
      <c r="EK74" s="25" t="str">
        <f>IF(AND(EA74="Bearish",EA73="Bearish",EA72="Bearish",EA71="Bearish"),"YES","-----")</f>
        <v>YES</v>
      </c>
      <c r="EL74" s="25" t="str">
        <f>IF(OR(EC74="TEMA crossover",EC73="TEMA crossover",EC72="TEMA crossover",EC71="TEMA crossover"),"YES","-----")</f>
        <v>-----</v>
      </c>
      <c r="EM74" s="24" t="str">
        <f>IF(AND(EE74="YES",EF74="YES",EG74="YES",EH74="YES"),"Open Sell / Close Buy","-----")</f>
        <v>-----</v>
      </c>
      <c r="EN74" s="25" t="str">
        <f t="shared" si="94"/>
        <v>-----</v>
      </c>
      <c r="EO74" s="23"/>
      <c r="EP74" s="9" t="str">
        <f>IF(AND(H74&gt;AV74,H74&gt;E74),"Bullish Trigger","-----")</f>
        <v>-----</v>
      </c>
      <c r="EQ74" s="9" t="str">
        <f>IF(AND(H74&lt;AW74,H74&lt;E74),"Bearish Trigger","-----")</f>
        <v>Bearish Trigger</v>
      </c>
      <c r="ER74" s="9"/>
      <c r="ES74" s="9" t="str">
        <f>IF(G74&gt;AV74,"Bullish Spike","-----")</f>
        <v>-----</v>
      </c>
      <c r="ET74" s="9" t="str">
        <f>IF(F74&lt;AW74,"Bearish Spike","-----")</f>
        <v>-----</v>
      </c>
      <c r="EU74" s="9"/>
      <c r="EV74" s="20">
        <f t="shared" si="71"/>
        <v>2.8999999999996362E-2</v>
      </c>
      <c r="EW74" s="9">
        <f t="shared" si="90"/>
        <v>-1.0780930230139756</v>
      </c>
      <c r="EX74" s="21" t="str">
        <f t="shared" si="91"/>
        <v>-----</v>
      </c>
      <c r="EY74" s="9"/>
    </row>
    <row r="75" spans="1:155" x14ac:dyDescent="0.55000000000000004">
      <c r="A75">
        <v>71</v>
      </c>
      <c r="B75" t="s">
        <v>74</v>
      </c>
      <c r="C75" t="s">
        <v>4</v>
      </c>
      <c r="D75" t="s">
        <v>103</v>
      </c>
      <c r="E75">
        <v>152.768</v>
      </c>
      <c r="F75">
        <v>152.792</v>
      </c>
      <c r="G75">
        <v>152.74199999999999</v>
      </c>
      <c r="H75">
        <v>152.74299999999999</v>
      </c>
      <c r="I75">
        <v>152.869</v>
      </c>
      <c r="J75">
        <v>152.88499999999999</v>
      </c>
      <c r="K75">
        <v>153.15600000000001</v>
      </c>
      <c r="L75">
        <v>152.614</v>
      </c>
      <c r="M75">
        <v>152.58699999999999</v>
      </c>
      <c r="N75">
        <v>152.87899999999999</v>
      </c>
      <c r="O75" s="16">
        <f t="shared" si="66"/>
        <v>5.0000000000011369E-2</v>
      </c>
      <c r="P75" s="16">
        <f t="shared" si="72"/>
        <v>2.2999999999996135E-2</v>
      </c>
      <c r="Q75" s="16">
        <f t="shared" si="73"/>
        <v>2.7000000000015234E-2</v>
      </c>
      <c r="R75" s="16">
        <f t="shared" si="74"/>
        <v>5.0000000000011369E-2</v>
      </c>
      <c r="S75" s="16">
        <f t="shared" si="65"/>
        <v>5.1762037690059493E-2</v>
      </c>
      <c r="T75">
        <v>0</v>
      </c>
      <c r="U75">
        <v>0</v>
      </c>
      <c r="V75">
        <v>0</v>
      </c>
      <c r="W75">
        <v>0</v>
      </c>
      <c r="Y75" s="9" t="str">
        <f t="shared" si="75"/>
        <v>------</v>
      </c>
      <c r="Z75" s="9" t="str">
        <f t="shared" si="76"/>
        <v>------</v>
      </c>
      <c r="AA75" s="9"/>
      <c r="AB75">
        <v>0</v>
      </c>
      <c r="AD75" t="str">
        <f t="shared" si="58"/>
        <v/>
      </c>
      <c r="AE75">
        <v>0.49231000000000003</v>
      </c>
      <c r="AF75">
        <v>3</v>
      </c>
      <c r="AG75">
        <v>153.11425</v>
      </c>
      <c r="AH75">
        <v>153.03206</v>
      </c>
      <c r="AI75">
        <v>152.94987</v>
      </c>
      <c r="AJ75">
        <v>152.86767</v>
      </c>
      <c r="AK75">
        <v>152.78548000000001</v>
      </c>
      <c r="AL75">
        <v>152.74363</v>
      </c>
      <c r="AM75">
        <v>152.66144</v>
      </c>
      <c r="AN75">
        <v>152.57925</v>
      </c>
      <c r="AO75">
        <v>152.49706</v>
      </c>
      <c r="AP75">
        <v>152.41486</v>
      </c>
      <c r="AQ75">
        <v>152.767</v>
      </c>
      <c r="AR75">
        <v>152.804</v>
      </c>
      <c r="AS75">
        <f t="shared" si="92"/>
        <v>71</v>
      </c>
      <c r="AT75">
        <v>152.81899999999999</v>
      </c>
      <c r="AU75">
        <v>152.92699999999999</v>
      </c>
      <c r="AV75">
        <v>152.792</v>
      </c>
      <c r="AW75">
        <v>152.75399999999999</v>
      </c>
      <c r="AY75" s="4">
        <f>I75*(1+$AY$2)</f>
        <v>152.89193035000002</v>
      </c>
      <c r="AZ75" s="4">
        <f>I75*(1-$AY$2)</f>
        <v>152.84606965</v>
      </c>
      <c r="BA75" s="4">
        <f>J75*(1+$AY$2)</f>
        <v>152.90793275000001</v>
      </c>
      <c r="BB75" s="4">
        <f>J75*(1-$AY$2)</f>
        <v>152.86206725</v>
      </c>
      <c r="BC75" s="4">
        <f>K75*(1+$AY$2)</f>
        <v>153.17897340000002</v>
      </c>
      <c r="BD75" s="4">
        <f>K75*(1-$AY$2)</f>
        <v>153.13302660000002</v>
      </c>
      <c r="BE75" s="4">
        <f>L75*(1+$AY$2)</f>
        <v>152.63689210000001</v>
      </c>
      <c r="BF75" s="4">
        <f>L75*(1-$AY$2)</f>
        <v>152.5911079</v>
      </c>
      <c r="BG75" s="4">
        <f>M75*(1+$AY$2)</f>
        <v>152.60988805</v>
      </c>
      <c r="BH75" s="4">
        <f>M75*(1-$AY$2)</f>
        <v>152.56411194999998</v>
      </c>
      <c r="BI75" s="4">
        <f>N75*(1+$AY$2)</f>
        <v>152.90193185000001</v>
      </c>
      <c r="BJ75" s="4">
        <f>N75*(1-$AY$2)</f>
        <v>152.85606815</v>
      </c>
      <c r="BK75" s="30">
        <f t="shared" si="93"/>
        <v>71</v>
      </c>
      <c r="BL75" s="15" t="str">
        <f t="shared" si="77"/>
        <v>-----</v>
      </c>
      <c r="BM75" s="15" t="str">
        <f t="shared" si="78"/>
        <v>-----</v>
      </c>
      <c r="BN75" s="15" t="str">
        <f t="shared" si="79"/>
        <v>-----</v>
      </c>
      <c r="BO75" s="15" t="str">
        <f t="shared" si="80"/>
        <v>-----</v>
      </c>
      <c r="BP75" s="15" t="str">
        <f t="shared" si="81"/>
        <v>-----</v>
      </c>
      <c r="BQ75" s="15" t="str">
        <f t="shared" si="82"/>
        <v>-----</v>
      </c>
      <c r="BR75" s="22"/>
      <c r="BS75" s="9">
        <f t="shared" si="83"/>
        <v>-2.423265306122455E-3</v>
      </c>
      <c r="BT75" s="9">
        <f>SLOPE(J$5:J$103,$A$5:$A$103)</f>
        <v>-3.7194805194805478E-4</v>
      </c>
      <c r="BU75" s="9">
        <f>SLOPE(K$5:K$103,$A$5:$A$103)</f>
        <v>-1.6402721088435472E-3</v>
      </c>
      <c r="BV75" s="9">
        <f>SLOPE(L$5:L$103,$A$5:$A$103)</f>
        <v>7.6471243042669956E-4</v>
      </c>
      <c r="BW75" s="9">
        <f>SLOPE(M$5:M$103,$A$5:$A$103)</f>
        <v>-2.3081014223875058E-4</v>
      </c>
      <c r="BX75" s="9">
        <f>SLOPE(N$5:N$103,$A$5:$A$103)</f>
        <v>1.5802844774273381E-3</v>
      </c>
      <c r="BY75"/>
      <c r="BZ75" s="9">
        <f t="shared" si="59"/>
        <v>-1.9079214597220278</v>
      </c>
      <c r="CA75" s="9">
        <f t="shared" si="60"/>
        <v>-0.29295343676527091</v>
      </c>
      <c r="CB75" s="9">
        <f t="shared" si="61"/>
        <v>-1.2917022253843653</v>
      </c>
      <c r="CC75" s="9">
        <f t="shared" si="62"/>
        <v>0.60228527619529781</v>
      </c>
      <c r="CD75" s="9">
        <f t="shared" si="63"/>
        <v>-0.18179147971962978</v>
      </c>
      <c r="CE75" s="9">
        <f t="shared" si="64"/>
        <v>1.2444775446344229</v>
      </c>
      <c r="CF75"/>
      <c r="CG75" s="18" t="str" cm="1">
        <f t="array" ref="CG75">_xlfn.IFS(BZ75&gt;3,"Strong + Slope",BZ75&gt;1.5,"Moderate + Slope",BZ75&gt;0.5,"Sideway + Slope",BZ75&gt;=-0.5,"Sideway Flat",BZ75&gt;=-1.5,"Sideway - Slope",BZ75&gt;=-3,"Moderate - Slope",TRUE,"Strong - Slope")</f>
        <v>Moderate - Slope</v>
      </c>
      <c r="CH75" s="18" t="str" cm="1">
        <f t="array" ref="CH75">_xlfn.IFS(CA75&gt;3,"Strong + Slope",CA75&gt;1.5,"Moderate + Slope",CA75&gt;0.5,"Sideway + Slope",CA75&gt;=-0.5,"Sideway Flat",CA75&gt;=-1.5,"Sideway - Slope",CA75&gt;=-3,"Moderate - Slope",TRUE,"Strong - Slope")</f>
        <v>Sideway Flat</v>
      </c>
      <c r="CI75" s="18" t="str" cm="1">
        <f t="array" ref="CI75">_xlfn.IFS(CB75&gt;3,"Strong + Slope",CB75&gt;1.5,"Moderate + Slope",CB75&gt;0.5,"Sideway + Slope",CB75&gt;=-0.5,"Sideway Flat",CB75&gt;=-1.5,"Sideway - Slope",CB75&gt;=-3,"Moderate - Slope",TRUE,"Strong - Slope")</f>
        <v>Sideway - Slope</v>
      </c>
      <c r="CJ75" s="18" t="str" cm="1">
        <f t="array" ref="CJ75">_xlfn.IFS(CC75&gt;3,"Strong + Slope",CC75&gt;1.5,"Moderate + Slope",CC75&gt;0.5,"Sideway + Slope",CC75&gt;=-0.5,"Sideway Flat",CC75&gt;=-1.5,"Sideway - Slope",CC75&gt;=-3,"Moderate - Slope",TRUE,"Strong - Slope")</f>
        <v>Sideway + Slope</v>
      </c>
      <c r="CK75" s="18" t="str" cm="1">
        <f t="array" ref="CK75">_xlfn.IFS(CD75&gt;3,"Strong + Slope",CD75&gt;1.5,"Moderate + Slope",CD75&gt;0.5,"Sideway + Slope",CD75&gt;=-0.5,"Sideway Flat",CD75&gt;=-1.5,"Sideway - Slope",CD75&gt;=-3,"Moderate - Slope",TRUE,"Strong - Slope")</f>
        <v>Sideway Flat</v>
      </c>
      <c r="CL75" s="18" t="str" cm="1">
        <f t="array" ref="CL75">_xlfn.IFS(CE75&gt;3,"Strong + Slope",CE75&gt;1.5,"Moderate + Slope",CE75&gt;0.5,"Sideway + Slope",CE75&gt;=-0.5,"Sideway Flat",CE75&gt;=-1.5,"Sideway - Slope",CE75&gt;=-3,"Moderate - Slope",TRUE,"Strong - Slope")</f>
        <v>Sideway + Slope</v>
      </c>
      <c r="CM75" s="9"/>
      <c r="CN75" s="9">
        <f>RANK(I75,$I75:$N75,0)</f>
        <v>4</v>
      </c>
      <c r="CO75" s="9">
        <f>RANK(J75,$I75:$N75,0)</f>
        <v>2</v>
      </c>
      <c r="CP75" s="9">
        <f>RANK(K75,$I75:$N75,0)</f>
        <v>1</v>
      </c>
      <c r="CQ75" s="9">
        <f>RANK(L75,$I75:$N75,0)</f>
        <v>5</v>
      </c>
      <c r="CR75" s="9">
        <f>RANK(M75,$I75:$N75,0)</f>
        <v>6</v>
      </c>
      <c r="CS75" s="9">
        <f>RANK(N75,$I75:$N75,0)</f>
        <v>3</v>
      </c>
      <c r="CT75" s="9"/>
      <c r="CU75" s="9" t="str">
        <f>IF($H75&gt;I75,"SUP","RES")</f>
        <v>RES</v>
      </c>
      <c r="CV75" s="9" t="str">
        <f>IF($H75&gt;J75,"SUP","RES")</f>
        <v>RES</v>
      </c>
      <c r="CW75" s="9" t="str">
        <f>IF($H75&gt;K75,"SUP","RES")</f>
        <v>RES</v>
      </c>
      <c r="CX75" s="9" t="str">
        <f>IF($H75&gt;L75,"SUP","RES")</f>
        <v>SUP</v>
      </c>
      <c r="CY75" s="9" t="str">
        <f>IF($H75&gt;M75,"SUP","RES")</f>
        <v>SUP</v>
      </c>
      <c r="CZ75" s="9" t="str">
        <f>IF($H75&gt;N75,"SUP","RES")</f>
        <v>RES</v>
      </c>
      <c r="DA75" s="9"/>
      <c r="DB75" s="12">
        <f>(I75-$H75)/$H75</f>
        <v>8.2491505339036674E-4</v>
      </c>
      <c r="DC75" s="12">
        <f>(J75-$H75)/$H75</f>
        <v>9.2966617128114487E-4</v>
      </c>
      <c r="DD75" s="12">
        <f>(K75-$H75)/$H75</f>
        <v>2.7038882305572818E-3</v>
      </c>
      <c r="DE75" s="12">
        <f>(L75-$H75)/$H75</f>
        <v>-8.4455588799480614E-4</v>
      </c>
      <c r="DF75" s="12">
        <f>(M75-$H75)/$H75</f>
        <v>-1.0213233994356922E-3</v>
      </c>
      <c r="DG75" s="12">
        <f>(N75-$H75)/$H75</f>
        <v>8.903845020720798E-4</v>
      </c>
      <c r="DH75" s="12"/>
      <c r="DI75" s="12">
        <f>((H75-MIN(I75:N75))/(MAX(I75:N75)-MIN(I75:N75)))</f>
        <v>0.27416520210896539</v>
      </c>
      <c r="DJ75" s="13">
        <f t="shared" si="67"/>
        <v>4</v>
      </c>
      <c r="DK75" s="14">
        <f t="shared" si="68"/>
        <v>2</v>
      </c>
      <c r="DL75" s="12">
        <f t="shared" si="84"/>
        <v>2.7038882305572818E-3</v>
      </c>
      <c r="DM75" s="12">
        <f t="shared" si="85"/>
        <v>9.2966617128114487E-4</v>
      </c>
      <c r="DN75" s="12">
        <f t="shared" si="86"/>
        <v>8.903845020720798E-4</v>
      </c>
      <c r="DO75" s="12">
        <f t="shared" si="87"/>
        <v>8.2491505339036674E-4</v>
      </c>
      <c r="DP75" s="12">
        <f t="shared" si="88"/>
        <v>-8.4455588799480614E-4</v>
      </c>
      <c r="DQ75" s="12">
        <f t="shared" si="89"/>
        <v>-1.0213233994356922E-3</v>
      </c>
      <c r="DR75" s="9"/>
      <c r="DS75" s="9" t="str">
        <f>IF(AQ75&gt;AG75,"Overbought",IF(AQ75&gt;AI75,"Bullish Momentum",IF(AQ75&gt;AK75,"Overprice Setting Up","-----")))</f>
        <v>-----</v>
      </c>
      <c r="DT75" s="9" t="str">
        <f>IF(AQ75&lt;AP75,"Oversold",IF(AQ75&lt;AN75,"Bearish Momentum",IF(AQ75&lt;AL75,"Underprice Setting Up","-----")))</f>
        <v>-----</v>
      </c>
      <c r="DU75" s="9"/>
      <c r="DV75" s="12" t="str">
        <f>IF(AND(AT75&gt;AU75,AT74&gt;AU74,AT73&gt;AU73,AT72&gt;AU72,AT71&gt;AU71,AT70&gt;AU70,AT69&gt;AU69,AT68&gt;AU68,AT67&gt;AU67,AT66&gt;AU66,AT65&gt;AU65,AT64&gt;AU64),"Bullish",IF(AND(AT75&lt;AU75,AT74&lt;AU74,AT73&lt;AU73,AT72&lt;AU72,AT71&lt;AU71,AT70&lt;AU70,AT69&lt;AU69,AT68&lt;AU68,AT67&lt;AU67,AT66&lt;AU66,AT65&lt;AU65,AT64&lt;AU64),"Bearish","-----"))</f>
        <v>Bearish</v>
      </c>
      <c r="DW75" s="12"/>
      <c r="DX75" s="23">
        <f>(AR75-AT75)/AT75</f>
        <v>-9.8155334087949523E-5</v>
      </c>
      <c r="DY75" s="23">
        <f t="shared" si="69"/>
        <v>1.015600242071115</v>
      </c>
      <c r="DZ75" s="23" t="str">
        <f t="shared" si="70"/>
        <v>-----</v>
      </c>
      <c r="EA75" s="23" t="str">
        <f>IF(AQ75&gt;AR75,"Bullish","Bearish")</f>
        <v>Bearish</v>
      </c>
      <c r="EB75" s="22" t="str">
        <f>IF(AND(H75&gt;AQ75,H74&lt;AQ74),"TEMA crossover","-----")</f>
        <v>-----</v>
      </c>
      <c r="EC75" s="22" t="str">
        <f>IF(AND(H75&lt;AQ75,H74&gt;AQ74),"TEMA crossunder","-----")</f>
        <v>-----</v>
      </c>
      <c r="ED75" s="22"/>
      <c r="EE75" s="24" t="str">
        <f t="shared" si="45"/>
        <v>YES</v>
      </c>
      <c r="EF75" s="24" t="str">
        <f t="shared" si="46"/>
        <v>-----</v>
      </c>
      <c r="EG75" s="24" t="str">
        <f t="shared" si="47"/>
        <v>-----</v>
      </c>
      <c r="EH75" s="24" t="str">
        <f t="shared" si="48"/>
        <v>-----</v>
      </c>
      <c r="EI75" s="25" t="str">
        <f>IF(DV75="Bullish","YES","-----")</f>
        <v>-----</v>
      </c>
      <c r="EJ75" s="25" t="str">
        <f>IF(DZ75="Reverse to Bullish","YES","-----")</f>
        <v>-----</v>
      </c>
      <c r="EK75" s="25" t="str">
        <f>IF(AND(EA75="Bearish",EA74="Bearish",EA73="Bearish",EA72="Bearish"),"YES","-----")</f>
        <v>YES</v>
      </c>
      <c r="EL75" s="25" t="str">
        <f>IF(OR(EC75="TEMA crossover",EC74="TEMA crossover",EC73="TEMA crossover",EC72="TEMA crossover"),"YES","-----")</f>
        <v>-----</v>
      </c>
      <c r="EM75" s="24" t="str">
        <f>IF(AND(EE75="YES",EF75="YES",EG75="YES",EH75="YES"),"Open Sell / Close Buy","-----")</f>
        <v>-----</v>
      </c>
      <c r="EN75" s="25" t="str">
        <f t="shared" si="94"/>
        <v>-----</v>
      </c>
      <c r="EO75" s="23"/>
      <c r="EP75" s="9" t="str">
        <f>IF(AND(H75&gt;AV75,H75&gt;E75),"Bullish Trigger","-----")</f>
        <v>-----</v>
      </c>
      <c r="EQ75" s="9" t="str">
        <f>IF(AND(H75&lt;AW75,H75&lt;E75),"Bearish Trigger","-----")</f>
        <v>Bearish Trigger</v>
      </c>
      <c r="ER75" s="9"/>
      <c r="ES75" s="9" t="str">
        <f>IF(G75&gt;AV75,"Bullish Spike","-----")</f>
        <v>-----</v>
      </c>
      <c r="ET75" s="9" t="str">
        <f>IF(F75&lt;AW75,"Bearish Spike","-----")</f>
        <v>-----</v>
      </c>
      <c r="EU75" s="9"/>
      <c r="EV75" s="20">
        <f t="shared" si="71"/>
        <v>3.8000000000010914E-2</v>
      </c>
      <c r="EW75" s="9">
        <f t="shared" si="90"/>
        <v>-0.87066894970218811</v>
      </c>
      <c r="EX75" s="21" t="str">
        <f t="shared" si="91"/>
        <v>-----</v>
      </c>
      <c r="EY75" s="9"/>
    </row>
    <row r="76" spans="1:155" x14ac:dyDescent="0.55000000000000004">
      <c r="A76">
        <v>72</v>
      </c>
      <c r="B76" t="s">
        <v>75</v>
      </c>
      <c r="C76" t="s">
        <v>4</v>
      </c>
      <c r="D76" t="s">
        <v>103</v>
      </c>
      <c r="E76">
        <v>152.74299999999999</v>
      </c>
      <c r="F76">
        <v>152.76499999999999</v>
      </c>
      <c r="G76">
        <v>152.72999999999999</v>
      </c>
      <c r="H76">
        <v>152.75399999999999</v>
      </c>
      <c r="I76">
        <v>152.86600000000001</v>
      </c>
      <c r="J76">
        <v>152.88499999999999</v>
      </c>
      <c r="K76">
        <v>153.154</v>
      </c>
      <c r="L76">
        <v>152.614</v>
      </c>
      <c r="M76">
        <v>152.58699999999999</v>
      </c>
      <c r="N76">
        <v>152.88</v>
      </c>
      <c r="O76" s="16">
        <f t="shared" si="66"/>
        <v>3.4999999999996589E-2</v>
      </c>
      <c r="P76" s="16">
        <f t="shared" si="72"/>
        <v>2.199999999999136E-2</v>
      </c>
      <c r="Q76" s="16">
        <f t="shared" si="73"/>
        <v>1.300000000000523E-2</v>
      </c>
      <c r="R76" s="16">
        <f t="shared" si="74"/>
        <v>3.4999999999996589E-2</v>
      </c>
      <c r="S76" s="16">
        <f t="shared" si="65"/>
        <v>5.0564749283626427E-2</v>
      </c>
      <c r="T76">
        <v>0</v>
      </c>
      <c r="U76">
        <v>0</v>
      </c>
      <c r="V76">
        <v>0</v>
      </c>
      <c r="W76">
        <v>0</v>
      </c>
      <c r="Y76" s="9" t="str">
        <f t="shared" si="75"/>
        <v>------</v>
      </c>
      <c r="Z76" s="9" t="str">
        <f t="shared" si="76"/>
        <v>------</v>
      </c>
      <c r="AA76" s="9"/>
      <c r="AB76">
        <v>0</v>
      </c>
      <c r="AD76" t="str">
        <f t="shared" si="58"/>
        <v/>
      </c>
      <c r="AE76">
        <v>0.82450000000000001</v>
      </c>
      <c r="AF76">
        <v>0</v>
      </c>
      <c r="AG76">
        <v>153.10749999999999</v>
      </c>
      <c r="AH76">
        <v>153.02623</v>
      </c>
      <c r="AI76">
        <v>152.94496000000001</v>
      </c>
      <c r="AJ76">
        <v>152.86367999999999</v>
      </c>
      <c r="AK76">
        <v>152.78241</v>
      </c>
      <c r="AL76">
        <v>152.74202</v>
      </c>
      <c r="AM76">
        <v>152.66074</v>
      </c>
      <c r="AN76">
        <v>152.57946999999999</v>
      </c>
      <c r="AO76">
        <v>152.4982</v>
      </c>
      <c r="AP76">
        <v>152.41693000000001</v>
      </c>
      <c r="AQ76">
        <v>152.75200000000001</v>
      </c>
      <c r="AR76">
        <v>152.79300000000001</v>
      </c>
      <c r="AS76">
        <f t="shared" si="92"/>
        <v>72</v>
      </c>
      <c r="AT76">
        <v>152.81399999999999</v>
      </c>
      <c r="AU76">
        <v>152.923</v>
      </c>
      <c r="AV76">
        <v>152.773</v>
      </c>
      <c r="AW76">
        <v>152.73599999999999</v>
      </c>
      <c r="AY76" s="4">
        <f>I76*(1+$AY$2)</f>
        <v>152.88892990000002</v>
      </c>
      <c r="AZ76" s="4">
        <f>I76*(1-$AY$2)</f>
        <v>152.84307010000001</v>
      </c>
      <c r="BA76" s="4">
        <f>J76*(1+$AY$2)</f>
        <v>152.90793275000001</v>
      </c>
      <c r="BB76" s="4">
        <f>J76*(1-$AY$2)</f>
        <v>152.86206725</v>
      </c>
      <c r="BC76" s="4">
        <f>K76*(1+$AY$2)</f>
        <v>153.1769731</v>
      </c>
      <c r="BD76" s="4">
        <f>K76*(1-$AY$2)</f>
        <v>153.13102689999999</v>
      </c>
      <c r="BE76" s="4">
        <f>L76*(1+$AY$2)</f>
        <v>152.63689210000001</v>
      </c>
      <c r="BF76" s="4">
        <f>L76*(1-$AY$2)</f>
        <v>152.5911079</v>
      </c>
      <c r="BG76" s="4">
        <f>M76*(1+$AY$2)</f>
        <v>152.60988805</v>
      </c>
      <c r="BH76" s="4">
        <f>M76*(1-$AY$2)</f>
        <v>152.56411194999998</v>
      </c>
      <c r="BI76" s="4">
        <f>N76*(1+$AY$2)</f>
        <v>152.90293200000002</v>
      </c>
      <c r="BJ76" s="4">
        <f>N76*(1-$AY$2)</f>
        <v>152.857068</v>
      </c>
      <c r="BK76" s="30">
        <f t="shared" si="93"/>
        <v>72</v>
      </c>
      <c r="BL76" s="15" t="str">
        <f t="shared" si="77"/>
        <v>-----</v>
      </c>
      <c r="BM76" s="15" t="str">
        <f t="shared" si="78"/>
        <v>-----</v>
      </c>
      <c r="BN76" s="15" t="str">
        <f t="shared" si="79"/>
        <v>-----</v>
      </c>
      <c r="BO76" s="15" t="str">
        <f t="shared" si="80"/>
        <v>-----</v>
      </c>
      <c r="BP76" s="15" t="str">
        <f t="shared" si="81"/>
        <v>-----</v>
      </c>
      <c r="BQ76" s="15" t="str">
        <f t="shared" si="82"/>
        <v>-----</v>
      </c>
      <c r="BR76" s="22"/>
      <c r="BS76" s="9">
        <f t="shared" si="83"/>
        <v>-2.423265306122455E-3</v>
      </c>
      <c r="BT76" s="9">
        <f>SLOPE(J$5:J$103,$A$5:$A$103)</f>
        <v>-3.7194805194805478E-4</v>
      </c>
      <c r="BU76" s="9">
        <f>SLOPE(K$5:K$103,$A$5:$A$103)</f>
        <v>-1.6402721088435472E-3</v>
      </c>
      <c r="BV76" s="9">
        <f>SLOPE(L$5:L$103,$A$5:$A$103)</f>
        <v>7.6471243042669956E-4</v>
      </c>
      <c r="BW76" s="9">
        <f>SLOPE(M$5:M$103,$A$5:$A$103)</f>
        <v>-2.3081014223875058E-4</v>
      </c>
      <c r="BX76" s="9">
        <f>SLOPE(N$5:N$103,$A$5:$A$103)</f>
        <v>1.5802844774273381E-3</v>
      </c>
      <c r="BY76"/>
      <c r="BZ76" s="9">
        <f t="shared" si="59"/>
        <v>-1.9079214597220278</v>
      </c>
      <c r="CA76" s="9">
        <f t="shared" si="60"/>
        <v>-0.29295343676527091</v>
      </c>
      <c r="CB76" s="9">
        <f t="shared" si="61"/>
        <v>-1.2917022253843653</v>
      </c>
      <c r="CC76" s="9">
        <f t="shared" si="62"/>
        <v>0.60228527619529781</v>
      </c>
      <c r="CD76" s="9">
        <f t="shared" si="63"/>
        <v>-0.18179147971962978</v>
      </c>
      <c r="CE76" s="9">
        <f t="shared" si="64"/>
        <v>1.2444775446344229</v>
      </c>
      <c r="CF76"/>
      <c r="CG76" s="18" t="str" cm="1">
        <f t="array" ref="CG76">_xlfn.IFS(BZ76&gt;3,"Strong + Slope",BZ76&gt;1.5,"Moderate + Slope",BZ76&gt;0.5,"Sideway + Slope",BZ76&gt;=-0.5,"Sideway Flat",BZ76&gt;=-1.5,"Sideway - Slope",BZ76&gt;=-3,"Moderate - Slope",TRUE,"Strong - Slope")</f>
        <v>Moderate - Slope</v>
      </c>
      <c r="CH76" s="18" t="str" cm="1">
        <f t="array" ref="CH76">_xlfn.IFS(CA76&gt;3,"Strong + Slope",CA76&gt;1.5,"Moderate + Slope",CA76&gt;0.5,"Sideway + Slope",CA76&gt;=-0.5,"Sideway Flat",CA76&gt;=-1.5,"Sideway - Slope",CA76&gt;=-3,"Moderate - Slope",TRUE,"Strong - Slope")</f>
        <v>Sideway Flat</v>
      </c>
      <c r="CI76" s="18" t="str" cm="1">
        <f t="array" ref="CI76">_xlfn.IFS(CB76&gt;3,"Strong + Slope",CB76&gt;1.5,"Moderate + Slope",CB76&gt;0.5,"Sideway + Slope",CB76&gt;=-0.5,"Sideway Flat",CB76&gt;=-1.5,"Sideway - Slope",CB76&gt;=-3,"Moderate - Slope",TRUE,"Strong - Slope")</f>
        <v>Sideway - Slope</v>
      </c>
      <c r="CJ76" s="18" t="str" cm="1">
        <f t="array" ref="CJ76">_xlfn.IFS(CC76&gt;3,"Strong + Slope",CC76&gt;1.5,"Moderate + Slope",CC76&gt;0.5,"Sideway + Slope",CC76&gt;=-0.5,"Sideway Flat",CC76&gt;=-1.5,"Sideway - Slope",CC76&gt;=-3,"Moderate - Slope",TRUE,"Strong - Slope")</f>
        <v>Sideway + Slope</v>
      </c>
      <c r="CK76" s="18" t="str" cm="1">
        <f t="array" ref="CK76">_xlfn.IFS(CD76&gt;3,"Strong + Slope",CD76&gt;1.5,"Moderate + Slope",CD76&gt;0.5,"Sideway + Slope",CD76&gt;=-0.5,"Sideway Flat",CD76&gt;=-1.5,"Sideway - Slope",CD76&gt;=-3,"Moderate - Slope",TRUE,"Strong - Slope")</f>
        <v>Sideway Flat</v>
      </c>
      <c r="CL76" s="18" t="str" cm="1">
        <f t="array" ref="CL76">_xlfn.IFS(CE76&gt;3,"Strong + Slope",CE76&gt;1.5,"Moderate + Slope",CE76&gt;0.5,"Sideway + Slope",CE76&gt;=-0.5,"Sideway Flat",CE76&gt;=-1.5,"Sideway - Slope",CE76&gt;=-3,"Moderate - Slope",TRUE,"Strong - Slope")</f>
        <v>Sideway + Slope</v>
      </c>
      <c r="CM76" s="9"/>
      <c r="CN76" s="9">
        <f>RANK(I76,$I76:$N76,0)</f>
        <v>4</v>
      </c>
      <c r="CO76" s="9">
        <f>RANK(J76,$I76:$N76,0)</f>
        <v>2</v>
      </c>
      <c r="CP76" s="9">
        <f>RANK(K76,$I76:$N76,0)</f>
        <v>1</v>
      </c>
      <c r="CQ76" s="9">
        <f>RANK(L76,$I76:$N76,0)</f>
        <v>5</v>
      </c>
      <c r="CR76" s="9">
        <f>RANK(M76,$I76:$N76,0)</f>
        <v>6</v>
      </c>
      <c r="CS76" s="9">
        <f>RANK(N76,$I76:$N76,0)</f>
        <v>3</v>
      </c>
      <c r="CT76" s="9"/>
      <c r="CU76" s="9" t="str">
        <f>IF($H76&gt;I76,"SUP","RES")</f>
        <v>RES</v>
      </c>
      <c r="CV76" s="9" t="str">
        <f>IF($H76&gt;J76,"SUP","RES")</f>
        <v>RES</v>
      </c>
      <c r="CW76" s="9" t="str">
        <f>IF($H76&gt;K76,"SUP","RES")</f>
        <v>RES</v>
      </c>
      <c r="CX76" s="9" t="str">
        <f>IF($H76&gt;L76,"SUP","RES")</f>
        <v>SUP</v>
      </c>
      <c r="CY76" s="9" t="str">
        <f>IF($H76&gt;M76,"SUP","RES")</f>
        <v>SUP</v>
      </c>
      <c r="CZ76" s="9" t="str">
        <f>IF($H76&gt;N76,"SUP","RES")</f>
        <v>RES</v>
      </c>
      <c r="DA76" s="9"/>
      <c r="DB76" s="12">
        <f>(I76-$H76)/$H76</f>
        <v>7.332050224545557E-4</v>
      </c>
      <c r="DC76" s="12">
        <f>(J76-$H76)/$H76</f>
        <v>8.5758801733506313E-4</v>
      </c>
      <c r="DD76" s="12">
        <f>(K76-$H76)/$H76</f>
        <v>2.6185893659086226E-3</v>
      </c>
      <c r="DE76" s="12">
        <f>(L76-$H76)/$H76</f>
        <v>-9.1650627806791546E-4</v>
      </c>
      <c r="DF76" s="12">
        <f>(M76-$H76)/$H76</f>
        <v>-1.0932610602668448E-3</v>
      </c>
      <c r="DG76" s="12">
        <f>(N76-$H76)/$H76</f>
        <v>8.2485565026123558E-4</v>
      </c>
      <c r="DH76" s="12"/>
      <c r="DI76" s="12">
        <f>((H76-MIN(I76:N76))/(MAX(I76:N76)-MIN(I76:N76)))</f>
        <v>0.29453262786596024</v>
      </c>
      <c r="DJ76" s="13">
        <f t="shared" si="67"/>
        <v>4</v>
      </c>
      <c r="DK76" s="14">
        <f t="shared" si="68"/>
        <v>2</v>
      </c>
      <c r="DL76" s="12">
        <f t="shared" si="84"/>
        <v>2.6185893659086226E-3</v>
      </c>
      <c r="DM76" s="12">
        <f t="shared" si="85"/>
        <v>8.5758801733506313E-4</v>
      </c>
      <c r="DN76" s="12">
        <f t="shared" si="86"/>
        <v>8.2485565026123558E-4</v>
      </c>
      <c r="DO76" s="12">
        <f t="shared" si="87"/>
        <v>7.332050224545557E-4</v>
      </c>
      <c r="DP76" s="12">
        <f t="shared" si="88"/>
        <v>-9.1650627806791546E-4</v>
      </c>
      <c r="DQ76" s="12">
        <f t="shared" si="89"/>
        <v>-1.0932610602668448E-3</v>
      </c>
      <c r="DR76" s="9"/>
      <c r="DS76" s="9" t="str">
        <f>IF(AQ76&gt;AG76,"Overbought",IF(AQ76&gt;AI76,"Bullish Momentum",IF(AQ76&gt;AK76,"Overprice Setting Up","-----")))</f>
        <v>-----</v>
      </c>
      <c r="DT76" s="9" t="str">
        <f>IF(AQ76&lt;AP76,"Oversold",IF(AQ76&lt;AN76,"Bearish Momentum",IF(AQ76&lt;AL76,"Underprice Setting Up","-----")))</f>
        <v>-----</v>
      </c>
      <c r="DU76" s="9"/>
      <c r="DV76" s="12" t="str">
        <f>IF(AND(AT76&gt;AU76,AT75&gt;AU75,AT74&gt;AU74,AT73&gt;AU73,AT72&gt;AU72,AT71&gt;AU71,AT70&gt;AU70,AT69&gt;AU69,AT68&gt;AU68,AT67&gt;AU67,AT66&gt;AU66,AT65&gt;AU65),"Bullish",IF(AND(AT76&lt;AU76,AT75&lt;AU75,AT74&lt;AU74,AT73&lt;AU73,AT72&lt;AU72,AT71&lt;AU71,AT70&lt;AU70,AT69&lt;AU69,AT68&lt;AU68,AT67&lt;AU67,AT66&lt;AU66,AT65&lt;AU65),"Bearish","-----"))</f>
        <v>Bearish</v>
      </c>
      <c r="DW76" s="12"/>
      <c r="DX76" s="23">
        <f>(AR76-AT76)/AT76</f>
        <v>-1.3742196395609424E-4</v>
      </c>
      <c r="DY76" s="23">
        <f t="shared" si="69"/>
        <v>0.90235320915289163</v>
      </c>
      <c r="DZ76" s="23" t="str">
        <f t="shared" si="70"/>
        <v>-----</v>
      </c>
      <c r="EA76" s="23" t="str">
        <f>IF(AQ76&gt;AR76,"Bullish","Bearish")</f>
        <v>Bearish</v>
      </c>
      <c r="EB76" s="22" t="str">
        <f>IF(AND(H76&gt;AQ76,H75&lt;AQ75),"TEMA crossover","-----")</f>
        <v>TEMA crossover</v>
      </c>
      <c r="EC76" s="22" t="str">
        <f>IF(AND(H76&lt;AQ76,H75&gt;AQ75),"TEMA crossunder","-----")</f>
        <v>-----</v>
      </c>
      <c r="ED76" s="22"/>
      <c r="EE76" s="24" t="str">
        <f t="shared" si="45"/>
        <v>YES</v>
      </c>
      <c r="EF76" s="24" t="str">
        <f t="shared" si="46"/>
        <v>-----</v>
      </c>
      <c r="EG76" s="24" t="str">
        <f t="shared" si="47"/>
        <v>-----</v>
      </c>
      <c r="EH76" s="24" t="str">
        <f t="shared" si="48"/>
        <v>-----</v>
      </c>
      <c r="EI76" s="25" t="str">
        <f>IF(DV76="Bullish","YES","-----")</f>
        <v>-----</v>
      </c>
      <c r="EJ76" s="25" t="str">
        <f>IF(DZ76="Reverse to Bullish","YES","-----")</f>
        <v>-----</v>
      </c>
      <c r="EK76" s="25" t="str">
        <f>IF(AND(EA76="Bearish",EA75="Bearish",EA74="Bearish",EA73="Bearish"),"YES","-----")</f>
        <v>YES</v>
      </c>
      <c r="EL76" s="25" t="str">
        <f>IF(OR(EC76="TEMA crossover",EC75="TEMA crossover",EC74="TEMA crossover",EC73="TEMA crossover"),"YES","-----")</f>
        <v>-----</v>
      </c>
      <c r="EM76" s="24" t="str">
        <f>IF(AND(EE76="YES",EF76="YES",EG76="YES",EH76="YES"),"Open Sell / Close Buy","-----")</f>
        <v>-----</v>
      </c>
      <c r="EN76" s="25" t="str">
        <f t="shared" si="94"/>
        <v>-----</v>
      </c>
      <c r="EO76" s="23"/>
      <c r="EP76" s="9" t="str">
        <f>IF(AND(H76&gt;AV76,H76&gt;E76),"Bullish Trigger","-----")</f>
        <v>-----</v>
      </c>
      <c r="EQ76" s="9" t="str">
        <f>IF(AND(H76&lt;AW76,H76&lt;E76),"Bearish Trigger","-----")</f>
        <v>-----</v>
      </c>
      <c r="ER76" s="9"/>
      <c r="ES76" s="9" t="str">
        <f>IF(G76&gt;AV76,"Bullish Spike","-----")</f>
        <v>-----</v>
      </c>
      <c r="ET76" s="9" t="str">
        <f>IF(F76&lt;AW76,"Bearish Spike","-----")</f>
        <v>-----</v>
      </c>
      <c r="EU76" s="9"/>
      <c r="EV76" s="20">
        <f t="shared" si="71"/>
        <v>3.7000000000006139E-2</v>
      </c>
      <c r="EW76" s="9">
        <f t="shared" si="90"/>
        <v>-0.89371606895912614</v>
      </c>
      <c r="EX76" s="21" t="str">
        <f t="shared" si="91"/>
        <v>-----</v>
      </c>
      <c r="EY76" s="9"/>
    </row>
    <row r="77" spans="1:155" x14ac:dyDescent="0.55000000000000004">
      <c r="A77">
        <v>73</v>
      </c>
      <c r="B77" t="s">
        <v>76</v>
      </c>
      <c r="C77" t="s">
        <v>4</v>
      </c>
      <c r="D77" t="s">
        <v>103</v>
      </c>
      <c r="E77">
        <v>152.75399999999999</v>
      </c>
      <c r="F77">
        <v>152.762</v>
      </c>
      <c r="G77">
        <v>152.733</v>
      </c>
      <c r="H77">
        <v>152.73599999999999</v>
      </c>
      <c r="I77">
        <v>152.864</v>
      </c>
      <c r="J77">
        <v>152.88399999999999</v>
      </c>
      <c r="K77">
        <v>153.15299999999999</v>
      </c>
      <c r="L77">
        <v>152.61500000000001</v>
      </c>
      <c r="M77">
        <v>152.58600000000001</v>
      </c>
      <c r="N77">
        <v>152.88200000000001</v>
      </c>
      <c r="O77" s="16">
        <f t="shared" si="66"/>
        <v>2.8999999999996362E-2</v>
      </c>
      <c r="P77" s="16">
        <f t="shared" si="72"/>
        <v>8.0000000000097771E-3</v>
      </c>
      <c r="Q77" s="16">
        <f t="shared" si="73"/>
        <v>2.0999999999986585E-2</v>
      </c>
      <c r="R77" s="16">
        <f t="shared" si="74"/>
        <v>2.8999999999996362E-2</v>
      </c>
      <c r="S77" s="16">
        <f t="shared" si="65"/>
        <v>4.9024410049081424E-2</v>
      </c>
      <c r="T77">
        <v>0</v>
      </c>
      <c r="U77">
        <v>0</v>
      </c>
      <c r="V77">
        <v>0</v>
      </c>
      <c r="W77">
        <v>0</v>
      </c>
      <c r="Y77" s="9" t="str">
        <f t="shared" si="75"/>
        <v>------</v>
      </c>
      <c r="Z77" s="9" t="str">
        <f t="shared" si="76"/>
        <v>------</v>
      </c>
      <c r="AA77" s="9"/>
      <c r="AB77">
        <v>0</v>
      </c>
      <c r="AD77" t="str">
        <f t="shared" si="58"/>
        <v/>
      </c>
      <c r="AE77">
        <v>0.65471999999999997</v>
      </c>
      <c r="AF77">
        <v>3</v>
      </c>
      <c r="AG77">
        <v>153.10274000000001</v>
      </c>
      <c r="AH77">
        <v>153.02171999999999</v>
      </c>
      <c r="AI77">
        <v>152.94068999999999</v>
      </c>
      <c r="AJ77">
        <v>152.85966999999999</v>
      </c>
      <c r="AK77">
        <v>152.77865</v>
      </c>
      <c r="AL77">
        <v>152.73976999999999</v>
      </c>
      <c r="AM77">
        <v>152.65875</v>
      </c>
      <c r="AN77">
        <v>152.57772</v>
      </c>
      <c r="AO77">
        <v>152.4967</v>
      </c>
      <c r="AP77">
        <v>152.41567000000001</v>
      </c>
      <c r="AQ77">
        <v>152.74100000000001</v>
      </c>
      <c r="AR77">
        <v>152.78100000000001</v>
      </c>
      <c r="AS77">
        <f t="shared" si="92"/>
        <v>73</v>
      </c>
      <c r="AT77">
        <v>152.809</v>
      </c>
      <c r="AU77">
        <v>152.91800000000001</v>
      </c>
      <c r="AV77">
        <v>152.761</v>
      </c>
      <c r="AW77">
        <v>152.72800000000001</v>
      </c>
      <c r="AY77" s="4">
        <f>I77*(1+$AY$2)</f>
        <v>152.88692960000003</v>
      </c>
      <c r="AZ77" s="4">
        <f>I77*(1-$AY$2)</f>
        <v>152.84107040000001</v>
      </c>
      <c r="BA77" s="4">
        <f>J77*(1+$AY$2)</f>
        <v>152.9069326</v>
      </c>
      <c r="BB77" s="4">
        <f>J77*(1-$AY$2)</f>
        <v>152.8610674</v>
      </c>
      <c r="BC77" s="4">
        <f>K77*(1+$AY$2)</f>
        <v>153.17597295000002</v>
      </c>
      <c r="BD77" s="4">
        <f>K77*(1-$AY$2)</f>
        <v>153.13002705</v>
      </c>
      <c r="BE77" s="4">
        <f>L77*(1+$AY$2)</f>
        <v>152.63789225000002</v>
      </c>
      <c r="BF77" s="4">
        <f>L77*(1-$AY$2)</f>
        <v>152.59210775000003</v>
      </c>
      <c r="BG77" s="4">
        <f>M77*(1+$AY$2)</f>
        <v>152.60888790000001</v>
      </c>
      <c r="BH77" s="4">
        <f>M77*(1-$AY$2)</f>
        <v>152.56311210000001</v>
      </c>
      <c r="BI77" s="4">
        <f>N77*(1+$AY$2)</f>
        <v>152.90493230000001</v>
      </c>
      <c r="BJ77" s="4">
        <f>N77*(1-$AY$2)</f>
        <v>152.8590677</v>
      </c>
      <c r="BK77" s="30">
        <f t="shared" si="93"/>
        <v>73</v>
      </c>
      <c r="BL77" s="15" t="str">
        <f t="shared" si="77"/>
        <v>-----</v>
      </c>
      <c r="BM77" s="15" t="str">
        <f t="shared" si="78"/>
        <v>-----</v>
      </c>
      <c r="BN77" s="15" t="str">
        <f t="shared" si="79"/>
        <v>-----</v>
      </c>
      <c r="BO77" s="15" t="str">
        <f t="shared" si="80"/>
        <v>-----</v>
      </c>
      <c r="BP77" s="15" t="str">
        <f t="shared" si="81"/>
        <v>-----</v>
      </c>
      <c r="BQ77" s="15" t="str">
        <f t="shared" si="82"/>
        <v>-----</v>
      </c>
      <c r="BR77" s="22"/>
      <c r="BS77" s="9">
        <f t="shared" si="83"/>
        <v>-2.423265306122455E-3</v>
      </c>
      <c r="BT77" s="9">
        <f>SLOPE(J$5:J$103,$A$5:$A$103)</f>
        <v>-3.7194805194805478E-4</v>
      </c>
      <c r="BU77" s="9">
        <f>SLOPE(K$5:K$103,$A$5:$A$103)</f>
        <v>-1.6402721088435472E-3</v>
      </c>
      <c r="BV77" s="9">
        <f>SLOPE(L$5:L$103,$A$5:$A$103)</f>
        <v>7.6471243042669956E-4</v>
      </c>
      <c r="BW77" s="9">
        <f>SLOPE(M$5:M$103,$A$5:$A$103)</f>
        <v>-2.3081014223875058E-4</v>
      </c>
      <c r="BX77" s="9">
        <f>SLOPE(N$5:N$103,$A$5:$A$103)</f>
        <v>1.5802844774273381E-3</v>
      </c>
      <c r="BY77"/>
      <c r="BZ77" s="9">
        <f t="shared" si="59"/>
        <v>-1.9079214597220278</v>
      </c>
      <c r="CA77" s="9">
        <f t="shared" si="60"/>
        <v>-0.29295343676527091</v>
      </c>
      <c r="CB77" s="9">
        <f t="shared" si="61"/>
        <v>-1.2917022253843653</v>
      </c>
      <c r="CC77" s="9">
        <f t="shared" si="62"/>
        <v>0.60228527619529781</v>
      </c>
      <c r="CD77" s="9">
        <f t="shared" si="63"/>
        <v>-0.18179147971962978</v>
      </c>
      <c r="CE77" s="9">
        <f t="shared" si="64"/>
        <v>1.2444775446344229</v>
      </c>
      <c r="CF77"/>
      <c r="CG77" s="18" t="str" cm="1">
        <f t="array" ref="CG77">_xlfn.IFS(BZ77&gt;3,"Strong + Slope",BZ77&gt;1.5,"Moderate + Slope",BZ77&gt;0.5,"Sideway + Slope",BZ77&gt;=-0.5,"Sideway Flat",BZ77&gt;=-1.5,"Sideway - Slope",BZ77&gt;=-3,"Moderate - Slope",TRUE,"Strong - Slope")</f>
        <v>Moderate - Slope</v>
      </c>
      <c r="CH77" s="18" t="str" cm="1">
        <f t="array" ref="CH77">_xlfn.IFS(CA77&gt;3,"Strong + Slope",CA77&gt;1.5,"Moderate + Slope",CA77&gt;0.5,"Sideway + Slope",CA77&gt;=-0.5,"Sideway Flat",CA77&gt;=-1.5,"Sideway - Slope",CA77&gt;=-3,"Moderate - Slope",TRUE,"Strong - Slope")</f>
        <v>Sideway Flat</v>
      </c>
      <c r="CI77" s="18" t="str" cm="1">
        <f t="array" ref="CI77">_xlfn.IFS(CB77&gt;3,"Strong + Slope",CB77&gt;1.5,"Moderate + Slope",CB77&gt;0.5,"Sideway + Slope",CB77&gt;=-0.5,"Sideway Flat",CB77&gt;=-1.5,"Sideway - Slope",CB77&gt;=-3,"Moderate - Slope",TRUE,"Strong - Slope")</f>
        <v>Sideway - Slope</v>
      </c>
      <c r="CJ77" s="18" t="str" cm="1">
        <f t="array" ref="CJ77">_xlfn.IFS(CC77&gt;3,"Strong + Slope",CC77&gt;1.5,"Moderate + Slope",CC77&gt;0.5,"Sideway + Slope",CC77&gt;=-0.5,"Sideway Flat",CC77&gt;=-1.5,"Sideway - Slope",CC77&gt;=-3,"Moderate - Slope",TRUE,"Strong - Slope")</f>
        <v>Sideway + Slope</v>
      </c>
      <c r="CK77" s="18" t="str" cm="1">
        <f t="array" ref="CK77">_xlfn.IFS(CD77&gt;3,"Strong + Slope",CD77&gt;1.5,"Moderate + Slope",CD77&gt;0.5,"Sideway + Slope",CD77&gt;=-0.5,"Sideway Flat",CD77&gt;=-1.5,"Sideway - Slope",CD77&gt;=-3,"Moderate - Slope",TRUE,"Strong - Slope")</f>
        <v>Sideway Flat</v>
      </c>
      <c r="CL77" s="18" t="str" cm="1">
        <f t="array" ref="CL77">_xlfn.IFS(CE77&gt;3,"Strong + Slope",CE77&gt;1.5,"Moderate + Slope",CE77&gt;0.5,"Sideway + Slope",CE77&gt;=-0.5,"Sideway Flat",CE77&gt;=-1.5,"Sideway - Slope",CE77&gt;=-3,"Moderate - Slope",TRUE,"Strong - Slope")</f>
        <v>Sideway + Slope</v>
      </c>
      <c r="CM77" s="9"/>
      <c r="CN77" s="9">
        <f>RANK(I77,$I77:$N77,0)</f>
        <v>4</v>
      </c>
      <c r="CO77" s="9">
        <f>RANK(J77,$I77:$N77,0)</f>
        <v>2</v>
      </c>
      <c r="CP77" s="9">
        <f>RANK(K77,$I77:$N77,0)</f>
        <v>1</v>
      </c>
      <c r="CQ77" s="9">
        <f>RANK(L77,$I77:$N77,0)</f>
        <v>5</v>
      </c>
      <c r="CR77" s="9">
        <f>RANK(M77,$I77:$N77,0)</f>
        <v>6</v>
      </c>
      <c r="CS77" s="9">
        <f>RANK(N77,$I77:$N77,0)</f>
        <v>3</v>
      </c>
      <c r="CT77" s="9"/>
      <c r="CU77" s="9" t="str">
        <f>IF($H77&gt;I77,"SUP","RES")</f>
        <v>RES</v>
      </c>
      <c r="CV77" s="9" t="str">
        <f>IF($H77&gt;J77,"SUP","RES")</f>
        <v>RES</v>
      </c>
      <c r="CW77" s="9" t="str">
        <f>IF($H77&gt;K77,"SUP","RES")</f>
        <v>RES</v>
      </c>
      <c r="CX77" s="9" t="str">
        <f>IF($H77&gt;L77,"SUP","RES")</f>
        <v>SUP</v>
      </c>
      <c r="CY77" s="9" t="str">
        <f>IF($H77&gt;M77,"SUP","RES")</f>
        <v>SUP</v>
      </c>
      <c r="CZ77" s="9" t="str">
        <f>IF($H77&gt;N77,"SUP","RES")</f>
        <v>RES</v>
      </c>
      <c r="DA77" s="9"/>
      <c r="DB77" s="12">
        <f>(I77-$H77)/$H77</f>
        <v>8.3804734967535049E-4</v>
      </c>
      <c r="DC77" s="12">
        <f>(J77-$H77)/$H77</f>
        <v>9.6899224806199023E-4</v>
      </c>
      <c r="DD77" s="12">
        <f>(K77-$H77)/$H77</f>
        <v>2.7302011313639326E-3</v>
      </c>
      <c r="DE77" s="12">
        <f>(L77-$H77)/$H77</f>
        <v>-7.9221663523976605E-4</v>
      </c>
      <c r="DF77" s="12">
        <f>(M77-$H77)/$H77</f>
        <v>-9.8208673790054261E-4</v>
      </c>
      <c r="DG77" s="12">
        <f>(N77-$H77)/$H77</f>
        <v>9.5589775822343796E-4</v>
      </c>
      <c r="DH77" s="12"/>
      <c r="DI77" s="12">
        <f>((H77-MIN(I77:N77))/(MAX(I77:N77)-MIN(I77:N77)))</f>
        <v>0.26455026455023434</v>
      </c>
      <c r="DJ77" s="13">
        <f t="shared" si="67"/>
        <v>4</v>
      </c>
      <c r="DK77" s="14">
        <f t="shared" si="68"/>
        <v>2</v>
      </c>
      <c r="DL77" s="12">
        <f t="shared" si="84"/>
        <v>2.7302011313639326E-3</v>
      </c>
      <c r="DM77" s="12">
        <f t="shared" si="85"/>
        <v>9.6899224806199023E-4</v>
      </c>
      <c r="DN77" s="12">
        <f t="shared" si="86"/>
        <v>9.5589775822343796E-4</v>
      </c>
      <c r="DO77" s="12">
        <f t="shared" si="87"/>
        <v>8.3804734967535049E-4</v>
      </c>
      <c r="DP77" s="12">
        <f t="shared" si="88"/>
        <v>-7.9221663523976605E-4</v>
      </c>
      <c r="DQ77" s="12">
        <f t="shared" si="89"/>
        <v>-9.8208673790054261E-4</v>
      </c>
      <c r="DR77" s="9"/>
      <c r="DS77" s="9" t="str">
        <f>IF(AQ77&gt;AG77,"Overbought",IF(AQ77&gt;AI77,"Bullish Momentum",IF(AQ77&gt;AK77,"Overprice Setting Up","-----")))</f>
        <v>-----</v>
      </c>
      <c r="DT77" s="9" t="str">
        <f>IF(AQ77&lt;AP77,"Oversold",IF(AQ77&lt;AN77,"Bearish Momentum",IF(AQ77&lt;AL77,"Underprice Setting Up","-----")))</f>
        <v>-----</v>
      </c>
      <c r="DU77" s="9"/>
      <c r="DV77" s="12" t="str">
        <f>IF(AND(AT77&gt;AU77,AT76&gt;AU76,AT75&gt;AU75,AT74&gt;AU74,AT73&gt;AU73,AT72&gt;AU72,AT71&gt;AU71,AT70&gt;AU70,AT69&gt;AU69,AT68&gt;AU68,AT67&gt;AU67,AT66&gt;AU66),"Bullish",IF(AND(AT77&lt;AU77,AT76&lt;AU76,AT75&lt;AU75,AT74&lt;AU74,AT73&lt;AU73,AT72&lt;AU72,AT71&lt;AU71,AT70&lt;AU70,AT69&lt;AU69,AT68&lt;AU68,AT67&lt;AU67,AT66&lt;AU66),"Bearish","-----"))</f>
        <v>Bearish</v>
      </c>
      <c r="DW77" s="12"/>
      <c r="DX77" s="23">
        <f>(AR77-AT77)/AT77</f>
        <v>-1.8323528064440961E-4</v>
      </c>
      <c r="DY77" s="23">
        <f t="shared" si="69"/>
        <v>0.7702251859302105</v>
      </c>
      <c r="DZ77" s="23" t="str">
        <f t="shared" si="70"/>
        <v>-----</v>
      </c>
      <c r="EA77" s="23" t="str">
        <f>IF(AQ77&gt;AR77,"Bullish","Bearish")</f>
        <v>Bearish</v>
      </c>
      <c r="EB77" s="22" t="str">
        <f>IF(AND(H77&gt;AQ77,H76&lt;AQ76),"TEMA crossover","-----")</f>
        <v>-----</v>
      </c>
      <c r="EC77" s="22" t="str">
        <f>IF(AND(H77&lt;AQ77,H76&gt;AQ76),"TEMA crossunder","-----")</f>
        <v>TEMA crossunder</v>
      </c>
      <c r="ED77" s="22"/>
      <c r="EE77" s="24" t="str">
        <f t="shared" si="45"/>
        <v>YES</v>
      </c>
      <c r="EF77" s="24" t="str">
        <f t="shared" si="46"/>
        <v>-----</v>
      </c>
      <c r="EG77" s="24" t="str">
        <f t="shared" si="47"/>
        <v>-----</v>
      </c>
      <c r="EH77" s="24" t="str">
        <f t="shared" si="48"/>
        <v>YES</v>
      </c>
      <c r="EI77" s="25" t="str">
        <f>IF(DV77="Bullish","YES","-----")</f>
        <v>-----</v>
      </c>
      <c r="EJ77" s="25" t="str">
        <f>IF(DZ77="Reverse to Bullish","YES","-----")</f>
        <v>-----</v>
      </c>
      <c r="EK77" s="25" t="str">
        <f>IF(AND(EA77="Bearish",EA76="Bearish",EA75="Bearish",EA74="Bearish"),"YES","-----")</f>
        <v>YES</v>
      </c>
      <c r="EL77" s="25" t="str">
        <f>IF(OR(EC77="TEMA crossover",EC76="TEMA crossover",EC75="TEMA crossover",EC74="TEMA crossover"),"YES","-----")</f>
        <v>-----</v>
      </c>
      <c r="EM77" s="24" t="str">
        <f>IF(AND(EE77="YES",EF77="YES",EG77="YES",EH77="YES"),"Open Sell / Close Buy","-----")</f>
        <v>-----</v>
      </c>
      <c r="EN77" s="25" t="str">
        <f t="shared" si="94"/>
        <v>-----</v>
      </c>
      <c r="EO77" s="23"/>
      <c r="EP77" s="9" t="str">
        <f>IF(AND(H77&gt;AV77,H77&gt;E77),"Bullish Trigger","-----")</f>
        <v>-----</v>
      </c>
      <c r="EQ77" s="9" t="str">
        <f>IF(AND(H77&lt;AW77,H77&lt;E77),"Bearish Trigger","-----")</f>
        <v>-----</v>
      </c>
      <c r="ER77" s="9"/>
      <c r="ES77" s="9" t="str">
        <f>IF(G77&gt;AV77,"Bullish Spike","-----")</f>
        <v>-----</v>
      </c>
      <c r="ET77" s="9" t="str">
        <f>IF(F77&lt;AW77,"Bearish Spike","-----")</f>
        <v>-----</v>
      </c>
      <c r="EU77" s="9"/>
      <c r="EV77" s="20">
        <f t="shared" si="71"/>
        <v>3.299999999998704E-2</v>
      </c>
      <c r="EW77" s="9">
        <f t="shared" si="90"/>
        <v>-0.98590454598687838</v>
      </c>
      <c r="EX77" s="21" t="str">
        <f t="shared" si="91"/>
        <v>-----</v>
      </c>
      <c r="EY77" s="9"/>
    </row>
    <row r="78" spans="1:155" x14ac:dyDescent="0.55000000000000004">
      <c r="A78">
        <v>74</v>
      </c>
      <c r="B78" t="s">
        <v>77</v>
      </c>
      <c r="C78" t="s">
        <v>4</v>
      </c>
      <c r="D78" t="s">
        <v>103</v>
      </c>
      <c r="E78">
        <v>152.73599999999999</v>
      </c>
      <c r="F78">
        <v>152.76300000000001</v>
      </c>
      <c r="G78">
        <v>152.732</v>
      </c>
      <c r="H78">
        <v>152.76300000000001</v>
      </c>
      <c r="I78">
        <v>152.86099999999999</v>
      </c>
      <c r="J78">
        <v>152.88399999999999</v>
      </c>
      <c r="K78">
        <v>153.15100000000001</v>
      </c>
      <c r="L78">
        <v>152.61600000000001</v>
      </c>
      <c r="M78">
        <v>152.58600000000001</v>
      </c>
      <c r="N78">
        <v>152.88300000000001</v>
      </c>
      <c r="O78" s="16">
        <f t="shared" si="66"/>
        <v>3.1000000000005912E-2</v>
      </c>
      <c r="P78" s="16">
        <f t="shared" si="72"/>
        <v>2.7000000000015234E-2</v>
      </c>
      <c r="Q78" s="16">
        <f t="shared" si="73"/>
        <v>3.9999999999906777E-3</v>
      </c>
      <c r="R78" s="16">
        <f t="shared" si="74"/>
        <v>3.1000000000005912E-2</v>
      </c>
      <c r="S78" s="16">
        <f t="shared" si="65"/>
        <v>4.7736952188433171E-2</v>
      </c>
      <c r="T78">
        <v>0</v>
      </c>
      <c r="U78">
        <v>0</v>
      </c>
      <c r="V78">
        <v>0</v>
      </c>
      <c r="W78">
        <v>0</v>
      </c>
      <c r="Y78" s="9" t="str">
        <f t="shared" si="75"/>
        <v>------</v>
      </c>
      <c r="Z78" s="9" t="str">
        <f t="shared" si="76"/>
        <v>------</v>
      </c>
      <c r="AA78" s="9"/>
      <c r="AB78">
        <v>0</v>
      </c>
      <c r="AD78" t="str">
        <f t="shared" si="58"/>
        <v/>
      </c>
      <c r="AE78">
        <v>0.43984000000000001</v>
      </c>
      <c r="AF78">
        <v>0</v>
      </c>
      <c r="AG78">
        <v>153.09701000000001</v>
      </c>
      <c r="AH78">
        <v>153.01639</v>
      </c>
      <c r="AI78">
        <v>152.93576999999999</v>
      </c>
      <c r="AJ78">
        <v>152.85514000000001</v>
      </c>
      <c r="AK78">
        <v>152.77452</v>
      </c>
      <c r="AL78">
        <v>152.73713000000001</v>
      </c>
      <c r="AM78">
        <v>152.65651</v>
      </c>
      <c r="AN78">
        <v>152.57588000000001</v>
      </c>
      <c r="AO78">
        <v>152.49526</v>
      </c>
      <c r="AP78">
        <v>152.41463999999999</v>
      </c>
      <c r="AQ78">
        <v>152.739</v>
      </c>
      <c r="AR78">
        <v>152.77199999999999</v>
      </c>
      <c r="AS78">
        <f t="shared" si="92"/>
        <v>74</v>
      </c>
      <c r="AT78">
        <v>152.80500000000001</v>
      </c>
      <c r="AU78">
        <v>152.91300000000001</v>
      </c>
      <c r="AV78">
        <v>152.755</v>
      </c>
      <c r="AW78">
        <v>152.72300000000001</v>
      </c>
      <c r="AY78" s="4">
        <f>I78*(1+$AY$2)</f>
        <v>152.88392915</v>
      </c>
      <c r="AZ78" s="4">
        <f>I78*(1-$AY$2)</f>
        <v>152.83807084999998</v>
      </c>
      <c r="BA78" s="4">
        <f>J78*(1+$AY$2)</f>
        <v>152.9069326</v>
      </c>
      <c r="BB78" s="4">
        <f>J78*(1-$AY$2)</f>
        <v>152.8610674</v>
      </c>
      <c r="BC78" s="4">
        <f>K78*(1+$AY$2)</f>
        <v>153.17397265000002</v>
      </c>
      <c r="BD78" s="4">
        <f>K78*(1-$AY$2)</f>
        <v>153.12802735000002</v>
      </c>
      <c r="BE78" s="4">
        <f>L78*(1+$AY$2)</f>
        <v>152.63889240000003</v>
      </c>
      <c r="BF78" s="4">
        <f>L78*(1-$AY$2)</f>
        <v>152.59310760000002</v>
      </c>
      <c r="BG78" s="4">
        <f>M78*(1+$AY$2)</f>
        <v>152.60888790000001</v>
      </c>
      <c r="BH78" s="4">
        <f>M78*(1-$AY$2)</f>
        <v>152.56311210000001</v>
      </c>
      <c r="BI78" s="4">
        <f>N78*(1+$AY$2)</f>
        <v>152.90593245000002</v>
      </c>
      <c r="BJ78" s="4">
        <f>N78*(1-$AY$2)</f>
        <v>152.86006755000002</v>
      </c>
      <c r="BK78" s="30">
        <f t="shared" si="93"/>
        <v>74</v>
      </c>
      <c r="BL78" s="15" t="str">
        <f t="shared" si="77"/>
        <v>-----</v>
      </c>
      <c r="BM78" s="15" t="str">
        <f t="shared" si="78"/>
        <v>-----</v>
      </c>
      <c r="BN78" s="15" t="str">
        <f t="shared" si="79"/>
        <v>-----</v>
      </c>
      <c r="BO78" s="15" t="str">
        <f t="shared" si="80"/>
        <v>-----</v>
      </c>
      <c r="BP78" s="15" t="str">
        <f t="shared" si="81"/>
        <v>-----</v>
      </c>
      <c r="BQ78" s="15" t="str">
        <f t="shared" si="82"/>
        <v>-----</v>
      </c>
      <c r="BR78" s="22"/>
      <c r="BS78" s="9">
        <f t="shared" si="83"/>
        <v>-2.423265306122455E-3</v>
      </c>
      <c r="BT78" s="9">
        <f>SLOPE(J$5:J$103,$A$5:$A$103)</f>
        <v>-3.7194805194805478E-4</v>
      </c>
      <c r="BU78" s="9">
        <f>SLOPE(K$5:K$103,$A$5:$A$103)</f>
        <v>-1.6402721088435472E-3</v>
      </c>
      <c r="BV78" s="9">
        <f>SLOPE(L$5:L$103,$A$5:$A$103)</f>
        <v>7.6471243042669956E-4</v>
      </c>
      <c r="BW78" s="9">
        <f>SLOPE(M$5:M$103,$A$5:$A$103)</f>
        <v>-2.3081014223875058E-4</v>
      </c>
      <c r="BX78" s="9">
        <f>SLOPE(N$5:N$103,$A$5:$A$103)</f>
        <v>1.5802844774273381E-3</v>
      </c>
      <c r="BY78"/>
      <c r="BZ78" s="9">
        <f t="shared" si="59"/>
        <v>-1.9079214597220278</v>
      </c>
      <c r="CA78" s="9">
        <f t="shared" si="60"/>
        <v>-0.29295343676527091</v>
      </c>
      <c r="CB78" s="9">
        <f t="shared" si="61"/>
        <v>-1.2917022253843653</v>
      </c>
      <c r="CC78" s="9">
        <f t="shared" si="62"/>
        <v>0.60228527619529781</v>
      </c>
      <c r="CD78" s="9">
        <f t="shared" si="63"/>
        <v>-0.18179147971962978</v>
      </c>
      <c r="CE78" s="9">
        <f t="shared" si="64"/>
        <v>1.2444775446344229</v>
      </c>
      <c r="CF78"/>
      <c r="CG78" s="18" t="str" cm="1">
        <f t="array" ref="CG78">_xlfn.IFS(BZ78&gt;3,"Strong + Slope",BZ78&gt;1.5,"Moderate + Slope",BZ78&gt;0.5,"Sideway + Slope",BZ78&gt;=-0.5,"Sideway Flat",BZ78&gt;=-1.5,"Sideway - Slope",BZ78&gt;=-3,"Moderate - Slope",TRUE,"Strong - Slope")</f>
        <v>Moderate - Slope</v>
      </c>
      <c r="CH78" s="18" t="str" cm="1">
        <f t="array" ref="CH78">_xlfn.IFS(CA78&gt;3,"Strong + Slope",CA78&gt;1.5,"Moderate + Slope",CA78&gt;0.5,"Sideway + Slope",CA78&gt;=-0.5,"Sideway Flat",CA78&gt;=-1.5,"Sideway - Slope",CA78&gt;=-3,"Moderate - Slope",TRUE,"Strong - Slope")</f>
        <v>Sideway Flat</v>
      </c>
      <c r="CI78" s="18" t="str" cm="1">
        <f t="array" ref="CI78">_xlfn.IFS(CB78&gt;3,"Strong + Slope",CB78&gt;1.5,"Moderate + Slope",CB78&gt;0.5,"Sideway + Slope",CB78&gt;=-0.5,"Sideway Flat",CB78&gt;=-1.5,"Sideway - Slope",CB78&gt;=-3,"Moderate - Slope",TRUE,"Strong - Slope")</f>
        <v>Sideway - Slope</v>
      </c>
      <c r="CJ78" s="18" t="str" cm="1">
        <f t="array" ref="CJ78">_xlfn.IFS(CC78&gt;3,"Strong + Slope",CC78&gt;1.5,"Moderate + Slope",CC78&gt;0.5,"Sideway + Slope",CC78&gt;=-0.5,"Sideway Flat",CC78&gt;=-1.5,"Sideway - Slope",CC78&gt;=-3,"Moderate - Slope",TRUE,"Strong - Slope")</f>
        <v>Sideway + Slope</v>
      </c>
      <c r="CK78" s="18" t="str" cm="1">
        <f t="array" ref="CK78">_xlfn.IFS(CD78&gt;3,"Strong + Slope",CD78&gt;1.5,"Moderate + Slope",CD78&gt;0.5,"Sideway + Slope",CD78&gt;=-0.5,"Sideway Flat",CD78&gt;=-1.5,"Sideway - Slope",CD78&gt;=-3,"Moderate - Slope",TRUE,"Strong - Slope")</f>
        <v>Sideway Flat</v>
      </c>
      <c r="CL78" s="18" t="str" cm="1">
        <f t="array" ref="CL78">_xlfn.IFS(CE78&gt;3,"Strong + Slope",CE78&gt;1.5,"Moderate + Slope",CE78&gt;0.5,"Sideway + Slope",CE78&gt;=-0.5,"Sideway Flat",CE78&gt;=-1.5,"Sideway - Slope",CE78&gt;=-3,"Moderate - Slope",TRUE,"Strong - Slope")</f>
        <v>Sideway + Slope</v>
      </c>
      <c r="CM78" s="9"/>
      <c r="CN78" s="9">
        <f>RANK(I78,$I78:$N78,0)</f>
        <v>4</v>
      </c>
      <c r="CO78" s="9">
        <f>RANK(J78,$I78:$N78,0)</f>
        <v>2</v>
      </c>
      <c r="CP78" s="9">
        <f>RANK(K78,$I78:$N78,0)</f>
        <v>1</v>
      </c>
      <c r="CQ78" s="9">
        <f>RANK(L78,$I78:$N78,0)</f>
        <v>5</v>
      </c>
      <c r="CR78" s="9">
        <f>RANK(M78,$I78:$N78,0)</f>
        <v>6</v>
      </c>
      <c r="CS78" s="9">
        <f>RANK(N78,$I78:$N78,0)</f>
        <v>3</v>
      </c>
      <c r="CT78" s="9"/>
      <c r="CU78" s="9" t="str">
        <f>IF($H78&gt;I78,"SUP","RES")</f>
        <v>RES</v>
      </c>
      <c r="CV78" s="9" t="str">
        <f>IF($H78&gt;J78,"SUP","RES")</f>
        <v>RES</v>
      </c>
      <c r="CW78" s="9" t="str">
        <f>IF($H78&gt;K78,"SUP","RES")</f>
        <v>RES</v>
      </c>
      <c r="CX78" s="9" t="str">
        <f>IF($H78&gt;L78,"SUP","RES")</f>
        <v>SUP</v>
      </c>
      <c r="CY78" s="9" t="str">
        <f>IF($H78&gt;M78,"SUP","RES")</f>
        <v>SUP</v>
      </c>
      <c r="CZ78" s="9" t="str">
        <f>IF($H78&gt;N78,"SUP","RES")</f>
        <v>RES</v>
      </c>
      <c r="DA78" s="9"/>
      <c r="DB78" s="12">
        <f>(I78-$H78)/$H78</f>
        <v>6.4151659760534137E-4</v>
      </c>
      <c r="DC78" s="12">
        <f>(J78-$H78)/$H78</f>
        <v>7.9207661541067463E-4</v>
      </c>
      <c r="DD78" s="12">
        <f>(K78-$H78)/$H78</f>
        <v>2.5398820394991273E-3</v>
      </c>
      <c r="DE78" s="12">
        <f>(L78-$H78)/$H78</f>
        <v>-9.6227489640810502E-4</v>
      </c>
      <c r="DF78" s="12">
        <f>(M78-$H78)/$H78</f>
        <v>-1.1586575283281456E-3</v>
      </c>
      <c r="DG78" s="12">
        <f>(N78-$H78)/$H78</f>
        <v>7.8553052768016171E-4</v>
      </c>
      <c r="DH78" s="12"/>
      <c r="DI78" s="12">
        <f>((H78-MIN(I78:N78))/(MAX(I78:N78)-MIN(I78:N78)))</f>
        <v>0.3132743362831738</v>
      </c>
      <c r="DJ78" s="13">
        <f t="shared" si="67"/>
        <v>4</v>
      </c>
      <c r="DK78" s="14">
        <f t="shared" si="68"/>
        <v>2</v>
      </c>
      <c r="DL78" s="12">
        <f t="shared" si="84"/>
        <v>2.5398820394991273E-3</v>
      </c>
      <c r="DM78" s="12">
        <f t="shared" si="85"/>
        <v>7.9207661541067463E-4</v>
      </c>
      <c r="DN78" s="12">
        <f t="shared" si="86"/>
        <v>7.8553052768016171E-4</v>
      </c>
      <c r="DO78" s="12">
        <f t="shared" si="87"/>
        <v>6.4151659760534137E-4</v>
      </c>
      <c r="DP78" s="12">
        <f t="shared" si="88"/>
        <v>-9.6227489640810502E-4</v>
      </c>
      <c r="DQ78" s="12">
        <f t="shared" si="89"/>
        <v>-1.1586575283281456E-3</v>
      </c>
      <c r="DR78" s="9"/>
      <c r="DS78" s="9" t="str">
        <f>IF(AQ78&gt;AG78,"Overbought",IF(AQ78&gt;AI78,"Bullish Momentum",IF(AQ78&gt;AK78,"Overprice Setting Up","-----")))</f>
        <v>-----</v>
      </c>
      <c r="DT78" s="9" t="str">
        <f>IF(AQ78&lt;AP78,"Oversold",IF(AQ78&lt;AN78,"Bearish Momentum",IF(AQ78&lt;AL78,"Underprice Setting Up","-----")))</f>
        <v>-----</v>
      </c>
      <c r="DU78" s="9"/>
      <c r="DV78" s="12" t="str">
        <f>IF(AND(AT78&gt;AU78,AT77&gt;AU77,AT76&gt;AU76,AT75&gt;AU75,AT74&gt;AU74,AT73&gt;AU73,AT72&gt;AU72,AT71&gt;AU71,AT70&gt;AU70,AT69&gt;AU69,AT68&gt;AU68,AT67&gt;AU67),"Bullish",IF(AND(AT78&lt;AU78,AT77&lt;AU77,AT76&lt;AU76,AT75&lt;AU75,AT74&lt;AU74,AT73&lt;AU73,AT72&lt;AU72,AT71&lt;AU71,AT70&lt;AU70,AT69&lt;AU69,AT68&lt;AU68,AT67&lt;AU67),"Bearish","-----"))</f>
        <v>Bearish</v>
      </c>
      <c r="DW78" s="12"/>
      <c r="DX78" s="23">
        <f>(AR78-AT78)/AT78</f>
        <v>-2.1596151958388444E-4</v>
      </c>
      <c r="DY78" s="23">
        <f t="shared" si="69"/>
        <v>0.67584098563307771</v>
      </c>
      <c r="DZ78" s="23" t="str">
        <f t="shared" si="70"/>
        <v>-----</v>
      </c>
      <c r="EA78" s="23" t="str">
        <f>IF(AQ78&gt;AR78,"Bullish","Bearish")</f>
        <v>Bearish</v>
      </c>
      <c r="EB78" s="22" t="str">
        <f>IF(AND(H78&gt;AQ78,H77&lt;AQ77),"TEMA crossover","-----")</f>
        <v>TEMA crossover</v>
      </c>
      <c r="EC78" s="22" t="str">
        <f>IF(AND(H78&lt;AQ78,H77&gt;AQ77),"TEMA crossunder","-----")</f>
        <v>-----</v>
      </c>
      <c r="ED78" s="22"/>
      <c r="EE78" s="24" t="str">
        <f t="shared" si="45"/>
        <v>YES</v>
      </c>
      <c r="EF78" s="24" t="str">
        <f t="shared" si="46"/>
        <v>-----</v>
      </c>
      <c r="EG78" s="24" t="str">
        <f t="shared" si="47"/>
        <v>-----</v>
      </c>
      <c r="EH78" s="24" t="str">
        <f t="shared" si="48"/>
        <v>YES</v>
      </c>
      <c r="EI78" s="25" t="str">
        <f>IF(DV78="Bullish","YES","-----")</f>
        <v>-----</v>
      </c>
      <c r="EJ78" s="25" t="str">
        <f>IF(DZ78="Reverse to Bullish","YES","-----")</f>
        <v>-----</v>
      </c>
      <c r="EK78" s="25" t="str">
        <f>IF(AND(EA78="Bearish",EA77="Bearish",EA76="Bearish",EA75="Bearish"),"YES","-----")</f>
        <v>YES</v>
      </c>
      <c r="EL78" s="25" t="str">
        <f>IF(OR(EC78="TEMA crossover",EC77="TEMA crossover",EC76="TEMA crossover",EC75="TEMA crossover"),"YES","-----")</f>
        <v>-----</v>
      </c>
      <c r="EM78" s="24" t="str">
        <f>IF(AND(EE78="YES",EF78="YES",EG78="YES",EH78="YES"),"Open Sell / Close Buy","-----")</f>
        <v>-----</v>
      </c>
      <c r="EN78" s="25" t="str">
        <f t="shared" si="94"/>
        <v>-----</v>
      </c>
      <c r="EO78" s="23"/>
      <c r="EP78" s="9" t="str">
        <f>IF(AND(H78&gt;AV78,H78&gt;E78),"Bullish Trigger","-----")</f>
        <v>Bullish Trigger</v>
      </c>
      <c r="EQ78" s="9" t="str">
        <f>IF(AND(H78&lt;AW78,H78&lt;E78),"Bearish Trigger","-----")</f>
        <v>-----</v>
      </c>
      <c r="ER78" s="9"/>
      <c r="ES78" s="9" t="str">
        <f>IF(G78&gt;AV78,"Bullish Spike","-----")</f>
        <v>-----</v>
      </c>
      <c r="ET78" s="9" t="str">
        <f>IF(F78&lt;AW78,"Bearish Spike","-----")</f>
        <v>-----</v>
      </c>
      <c r="EU78" s="9"/>
      <c r="EV78" s="20">
        <f t="shared" si="71"/>
        <v>3.1999999999982265E-2</v>
      </c>
      <c r="EW78" s="9">
        <f t="shared" si="90"/>
        <v>-1.0089516652438164</v>
      </c>
      <c r="EX78" s="21" t="str">
        <f t="shared" si="91"/>
        <v>-----</v>
      </c>
      <c r="EY78" s="9"/>
    </row>
    <row r="79" spans="1:155" x14ac:dyDescent="0.55000000000000004">
      <c r="A79">
        <v>75</v>
      </c>
      <c r="B79" t="s">
        <v>78</v>
      </c>
      <c r="C79" t="s">
        <v>4</v>
      </c>
      <c r="D79" t="s">
        <v>103</v>
      </c>
      <c r="E79">
        <v>152.76300000000001</v>
      </c>
      <c r="F79">
        <v>152.78700000000001</v>
      </c>
      <c r="G79">
        <v>152.75700000000001</v>
      </c>
      <c r="H79">
        <v>152.77000000000001</v>
      </c>
      <c r="I79">
        <v>152.85900000000001</v>
      </c>
      <c r="J79">
        <v>152.88399999999999</v>
      </c>
      <c r="K79">
        <v>153.15</v>
      </c>
      <c r="L79">
        <v>152.61699999999999</v>
      </c>
      <c r="M79">
        <v>152.58600000000001</v>
      </c>
      <c r="N79">
        <v>152.88499999999999</v>
      </c>
      <c r="O79" s="16">
        <f t="shared" si="66"/>
        <v>3.0000000000001137E-2</v>
      </c>
      <c r="P79" s="16">
        <f t="shared" si="72"/>
        <v>2.4000000000000909E-2</v>
      </c>
      <c r="Q79" s="16">
        <f t="shared" si="73"/>
        <v>6.0000000000002274E-3</v>
      </c>
      <c r="R79" s="16">
        <f t="shared" si="74"/>
        <v>3.0000000000001137E-2</v>
      </c>
      <c r="S79" s="16">
        <f t="shared" si="65"/>
        <v>4.6470027032116598E-2</v>
      </c>
      <c r="T79">
        <v>0</v>
      </c>
      <c r="U79">
        <v>0</v>
      </c>
      <c r="V79">
        <v>0</v>
      </c>
      <c r="W79">
        <v>0</v>
      </c>
      <c r="Y79" s="9" t="str">
        <f t="shared" si="75"/>
        <v>------</v>
      </c>
      <c r="Z79" s="9" t="str">
        <f t="shared" si="76"/>
        <v>------</v>
      </c>
      <c r="AA79" s="9"/>
      <c r="AB79">
        <v>0</v>
      </c>
      <c r="AD79" t="str">
        <f t="shared" si="58"/>
        <v/>
      </c>
      <c r="AE79">
        <v>0.91464000000000001</v>
      </c>
      <c r="AF79">
        <v>0</v>
      </c>
      <c r="AG79">
        <v>153.09223</v>
      </c>
      <c r="AH79">
        <v>153.01188999999999</v>
      </c>
      <c r="AI79">
        <v>152.93154999999999</v>
      </c>
      <c r="AJ79">
        <v>152.85121000000001</v>
      </c>
      <c r="AK79">
        <v>152.77087</v>
      </c>
      <c r="AL79">
        <v>152.73491999999999</v>
      </c>
      <c r="AM79">
        <v>152.65459000000001</v>
      </c>
      <c r="AN79">
        <v>152.57425000000001</v>
      </c>
      <c r="AO79">
        <v>152.49391</v>
      </c>
      <c r="AP79">
        <v>152.41356999999999</v>
      </c>
      <c r="AQ79">
        <v>152.749</v>
      </c>
      <c r="AR79">
        <v>152.76599999999999</v>
      </c>
      <c r="AS79">
        <f t="shared" si="92"/>
        <v>75</v>
      </c>
      <c r="AT79">
        <v>152.80199999999999</v>
      </c>
      <c r="AU79">
        <v>152.90899999999999</v>
      </c>
      <c r="AV79">
        <v>152.76400000000001</v>
      </c>
      <c r="AW79">
        <v>152.733</v>
      </c>
      <c r="AY79" s="4">
        <f>I79*(1+$AY$2)</f>
        <v>152.88192885000004</v>
      </c>
      <c r="AZ79" s="4">
        <f>I79*(1-$AY$2)</f>
        <v>152.83607115000001</v>
      </c>
      <c r="BA79" s="4">
        <f>J79*(1+$AY$2)</f>
        <v>152.9069326</v>
      </c>
      <c r="BB79" s="4">
        <f>J79*(1-$AY$2)</f>
        <v>152.8610674</v>
      </c>
      <c r="BC79" s="4">
        <f>K79*(1+$AY$2)</f>
        <v>153.17297250000001</v>
      </c>
      <c r="BD79" s="4">
        <f>K79*(1-$AY$2)</f>
        <v>153.1270275</v>
      </c>
      <c r="BE79" s="4">
        <f>L79*(1+$AY$2)</f>
        <v>152.63989255000001</v>
      </c>
      <c r="BF79" s="4">
        <f>L79*(1-$AY$2)</f>
        <v>152.59410745</v>
      </c>
      <c r="BG79" s="4">
        <f>M79*(1+$AY$2)</f>
        <v>152.60888790000001</v>
      </c>
      <c r="BH79" s="4">
        <f>M79*(1-$AY$2)</f>
        <v>152.56311210000001</v>
      </c>
      <c r="BI79" s="4">
        <f>N79*(1+$AY$2)</f>
        <v>152.90793275000001</v>
      </c>
      <c r="BJ79" s="4">
        <f>N79*(1-$AY$2)</f>
        <v>152.86206725</v>
      </c>
      <c r="BK79" s="30">
        <f t="shared" si="93"/>
        <v>75</v>
      </c>
      <c r="BL79" s="15" t="str">
        <f t="shared" si="77"/>
        <v>-----</v>
      </c>
      <c r="BM79" s="15" t="str">
        <f t="shared" si="78"/>
        <v>-----</v>
      </c>
      <c r="BN79" s="15" t="str">
        <f t="shared" si="79"/>
        <v>-----</v>
      </c>
      <c r="BO79" s="15" t="str">
        <f t="shared" si="80"/>
        <v>-----</v>
      </c>
      <c r="BP79" s="15" t="str">
        <f t="shared" si="81"/>
        <v>-----</v>
      </c>
      <c r="BQ79" s="15" t="str">
        <f t="shared" si="82"/>
        <v>-----</v>
      </c>
      <c r="BR79" s="22"/>
      <c r="BS79" s="9">
        <f t="shared" si="83"/>
        <v>-2.423265306122455E-3</v>
      </c>
      <c r="BT79" s="9">
        <f>SLOPE(J$5:J$103,$A$5:$A$103)</f>
        <v>-3.7194805194805478E-4</v>
      </c>
      <c r="BU79" s="9">
        <f>SLOPE(K$5:K$103,$A$5:$A$103)</f>
        <v>-1.6402721088435472E-3</v>
      </c>
      <c r="BV79" s="9">
        <f>SLOPE(L$5:L$103,$A$5:$A$103)</f>
        <v>7.6471243042669956E-4</v>
      </c>
      <c r="BW79" s="9">
        <f>SLOPE(M$5:M$103,$A$5:$A$103)</f>
        <v>-2.3081014223875058E-4</v>
      </c>
      <c r="BX79" s="9">
        <f>SLOPE(N$5:N$103,$A$5:$A$103)</f>
        <v>1.5802844774273381E-3</v>
      </c>
      <c r="BY79"/>
      <c r="BZ79" s="9">
        <f t="shared" si="59"/>
        <v>-1.9079214597220278</v>
      </c>
      <c r="CA79" s="9">
        <f t="shared" si="60"/>
        <v>-0.29295343676527091</v>
      </c>
      <c r="CB79" s="9">
        <f t="shared" si="61"/>
        <v>-1.2917022253843653</v>
      </c>
      <c r="CC79" s="9">
        <f t="shared" si="62"/>
        <v>0.60228527619529781</v>
      </c>
      <c r="CD79" s="9">
        <f t="shared" si="63"/>
        <v>-0.18179147971962978</v>
      </c>
      <c r="CE79" s="9">
        <f t="shared" si="64"/>
        <v>1.2444775446344229</v>
      </c>
      <c r="CF79"/>
      <c r="CG79" s="18" t="str" cm="1">
        <f t="array" ref="CG79">_xlfn.IFS(BZ79&gt;3,"Strong + Slope",BZ79&gt;1.5,"Moderate + Slope",BZ79&gt;0.5,"Sideway + Slope",BZ79&gt;=-0.5,"Sideway Flat",BZ79&gt;=-1.5,"Sideway - Slope",BZ79&gt;=-3,"Moderate - Slope",TRUE,"Strong - Slope")</f>
        <v>Moderate - Slope</v>
      </c>
      <c r="CH79" s="18" t="str" cm="1">
        <f t="array" ref="CH79">_xlfn.IFS(CA79&gt;3,"Strong + Slope",CA79&gt;1.5,"Moderate + Slope",CA79&gt;0.5,"Sideway + Slope",CA79&gt;=-0.5,"Sideway Flat",CA79&gt;=-1.5,"Sideway - Slope",CA79&gt;=-3,"Moderate - Slope",TRUE,"Strong - Slope")</f>
        <v>Sideway Flat</v>
      </c>
      <c r="CI79" s="18" t="str" cm="1">
        <f t="array" ref="CI79">_xlfn.IFS(CB79&gt;3,"Strong + Slope",CB79&gt;1.5,"Moderate + Slope",CB79&gt;0.5,"Sideway + Slope",CB79&gt;=-0.5,"Sideway Flat",CB79&gt;=-1.5,"Sideway - Slope",CB79&gt;=-3,"Moderate - Slope",TRUE,"Strong - Slope")</f>
        <v>Sideway - Slope</v>
      </c>
      <c r="CJ79" s="18" t="str" cm="1">
        <f t="array" ref="CJ79">_xlfn.IFS(CC79&gt;3,"Strong + Slope",CC79&gt;1.5,"Moderate + Slope",CC79&gt;0.5,"Sideway + Slope",CC79&gt;=-0.5,"Sideway Flat",CC79&gt;=-1.5,"Sideway - Slope",CC79&gt;=-3,"Moderate - Slope",TRUE,"Strong - Slope")</f>
        <v>Sideway + Slope</v>
      </c>
      <c r="CK79" s="18" t="str" cm="1">
        <f t="array" ref="CK79">_xlfn.IFS(CD79&gt;3,"Strong + Slope",CD79&gt;1.5,"Moderate + Slope",CD79&gt;0.5,"Sideway + Slope",CD79&gt;=-0.5,"Sideway Flat",CD79&gt;=-1.5,"Sideway - Slope",CD79&gt;=-3,"Moderate - Slope",TRUE,"Strong - Slope")</f>
        <v>Sideway Flat</v>
      </c>
      <c r="CL79" s="18" t="str" cm="1">
        <f t="array" ref="CL79">_xlfn.IFS(CE79&gt;3,"Strong + Slope",CE79&gt;1.5,"Moderate + Slope",CE79&gt;0.5,"Sideway + Slope",CE79&gt;=-0.5,"Sideway Flat",CE79&gt;=-1.5,"Sideway - Slope",CE79&gt;=-3,"Moderate - Slope",TRUE,"Strong - Slope")</f>
        <v>Sideway + Slope</v>
      </c>
      <c r="CM79" s="9"/>
      <c r="CN79" s="9">
        <f>RANK(I79,$I79:$N79,0)</f>
        <v>4</v>
      </c>
      <c r="CO79" s="9">
        <f>RANK(J79,$I79:$N79,0)</f>
        <v>3</v>
      </c>
      <c r="CP79" s="9">
        <f>RANK(K79,$I79:$N79,0)</f>
        <v>1</v>
      </c>
      <c r="CQ79" s="9">
        <f>RANK(L79,$I79:$N79,0)</f>
        <v>5</v>
      </c>
      <c r="CR79" s="9">
        <f>RANK(M79,$I79:$N79,0)</f>
        <v>6</v>
      </c>
      <c r="CS79" s="9">
        <f>RANK(N79,$I79:$N79,0)</f>
        <v>2</v>
      </c>
      <c r="CT79" s="9"/>
      <c r="CU79" s="9" t="str">
        <f>IF($H79&gt;I79,"SUP","RES")</f>
        <v>RES</v>
      </c>
      <c r="CV79" s="9" t="str">
        <f>IF($H79&gt;J79,"SUP","RES")</f>
        <v>RES</v>
      </c>
      <c r="CW79" s="9" t="str">
        <f>IF($H79&gt;K79,"SUP","RES")</f>
        <v>RES</v>
      </c>
      <c r="CX79" s="9" t="str">
        <f>IF($H79&gt;L79,"SUP","RES")</f>
        <v>SUP</v>
      </c>
      <c r="CY79" s="9" t="str">
        <f>IF($H79&gt;M79,"SUP","RES")</f>
        <v>SUP</v>
      </c>
      <c r="CZ79" s="9" t="str">
        <f>IF($H79&gt;N79,"SUP","RES")</f>
        <v>RES</v>
      </c>
      <c r="DA79" s="9"/>
      <c r="DB79" s="12">
        <f>(I79-$H79)/$H79</f>
        <v>5.8257511291483037E-4</v>
      </c>
      <c r="DC79" s="12">
        <f>(J79-$H79)/$H79</f>
        <v>7.4621980755368127E-4</v>
      </c>
      <c r="DD79" s="12">
        <f>(K79-$H79)/$H79</f>
        <v>2.4873993585127672E-3</v>
      </c>
      <c r="DE79" s="12">
        <f>(L79-$H79)/$H79</f>
        <v>-1.0015055311908096E-3</v>
      </c>
      <c r="DF79" s="12">
        <f>(M79-$H79)/$H79</f>
        <v>-1.2044249525430221E-3</v>
      </c>
      <c r="DG79" s="12">
        <f>(N79-$H79)/$H79</f>
        <v>7.5276559533927253E-4</v>
      </c>
      <c r="DH79" s="12"/>
      <c r="DI79" s="12">
        <f>((H79-MIN(I79:N79))/(MAX(I79:N79)-MIN(I79:N79)))</f>
        <v>0.32624113475177269</v>
      </c>
      <c r="DJ79" s="13">
        <f t="shared" si="67"/>
        <v>4</v>
      </c>
      <c r="DK79" s="14">
        <f t="shared" si="68"/>
        <v>2</v>
      </c>
      <c r="DL79" s="12">
        <f t="shared" si="84"/>
        <v>2.4873993585127672E-3</v>
      </c>
      <c r="DM79" s="12">
        <f t="shared" si="85"/>
        <v>7.5276559533927253E-4</v>
      </c>
      <c r="DN79" s="12">
        <f t="shared" si="86"/>
        <v>7.4621980755368127E-4</v>
      </c>
      <c r="DO79" s="12">
        <f t="shared" si="87"/>
        <v>5.8257511291483037E-4</v>
      </c>
      <c r="DP79" s="12">
        <f t="shared" si="88"/>
        <v>-1.0015055311908096E-3</v>
      </c>
      <c r="DQ79" s="12">
        <f t="shared" si="89"/>
        <v>-1.2044249525430221E-3</v>
      </c>
      <c r="DR79" s="9"/>
      <c r="DS79" s="9" t="str">
        <f>IF(AQ79&gt;AG79,"Overbought",IF(AQ79&gt;AI79,"Bullish Momentum",IF(AQ79&gt;AK79,"Overprice Setting Up","-----")))</f>
        <v>-----</v>
      </c>
      <c r="DT79" s="9" t="str">
        <f>IF(AQ79&lt;AP79,"Oversold",IF(AQ79&lt;AN79,"Bearish Momentum",IF(AQ79&lt;AL79,"Underprice Setting Up","-----")))</f>
        <v>-----</v>
      </c>
      <c r="DU79" s="9"/>
      <c r="DV79" s="12" t="str">
        <f>IF(AND(AT79&gt;AU79,AT78&gt;AU78,AT77&gt;AU77,AT76&gt;AU76,AT75&gt;AU75,AT74&gt;AU74,AT73&gt;AU73,AT72&gt;AU72,AT71&gt;AU71,AT70&gt;AU70,AT69&gt;AU69,AT68&gt;AU68),"Bullish",IF(AND(AT79&lt;AU79,AT78&lt;AU78,AT77&lt;AU77,AT76&lt;AU76,AT75&lt;AU75,AT74&lt;AU74,AT73&lt;AU73,AT72&lt;AU72,AT71&lt;AU71,AT70&lt;AU70,AT69&lt;AU69,AT68&lt;AU68),"Bearish","-----"))</f>
        <v>Bearish</v>
      </c>
      <c r="DW79" s="12"/>
      <c r="DX79" s="23">
        <f>(AR79-AT79)/AT79</f>
        <v>-2.3559901048416491E-4</v>
      </c>
      <c r="DY79" s="23">
        <f t="shared" si="69"/>
        <v>0.6192054254670265</v>
      </c>
      <c r="DZ79" s="23" t="str">
        <f t="shared" si="70"/>
        <v>-----</v>
      </c>
      <c r="EA79" s="23" t="str">
        <f>IF(AQ79&gt;AR79,"Bullish","Bearish")</f>
        <v>Bearish</v>
      </c>
      <c r="EB79" s="22" t="str">
        <f>IF(AND(H79&gt;AQ79,H78&lt;AQ78),"TEMA crossover","-----")</f>
        <v>-----</v>
      </c>
      <c r="EC79" s="22" t="str">
        <f>IF(AND(H79&lt;AQ79,H78&gt;AQ78),"TEMA crossunder","-----")</f>
        <v>-----</v>
      </c>
      <c r="ED79" s="22"/>
      <c r="EE79" s="24" t="str">
        <f t="shared" si="45"/>
        <v>YES</v>
      </c>
      <c r="EF79" s="24" t="str">
        <f t="shared" si="46"/>
        <v>-----</v>
      </c>
      <c r="EG79" s="24" t="str">
        <f t="shared" si="47"/>
        <v>-----</v>
      </c>
      <c r="EH79" s="24" t="str">
        <f t="shared" si="48"/>
        <v>YES</v>
      </c>
      <c r="EI79" s="25" t="str">
        <f>IF(DV79="Bullish","YES","-----")</f>
        <v>-----</v>
      </c>
      <c r="EJ79" s="25" t="str">
        <f>IF(DZ79="Reverse to Bullish","YES","-----")</f>
        <v>-----</v>
      </c>
      <c r="EK79" s="25" t="str">
        <f>IF(AND(EA79="Bearish",EA78="Bearish",EA77="Bearish",EA76="Bearish"),"YES","-----")</f>
        <v>YES</v>
      </c>
      <c r="EL79" s="25" t="str">
        <f>IF(OR(EC79="TEMA crossover",EC78="TEMA crossover",EC77="TEMA crossover",EC76="TEMA crossover"),"YES","-----")</f>
        <v>-----</v>
      </c>
      <c r="EM79" s="24" t="str">
        <f>IF(AND(EE79="YES",EF79="YES",EG79="YES",EH79="YES"),"Open Sell / Close Buy","-----")</f>
        <v>-----</v>
      </c>
      <c r="EN79" s="25" t="str">
        <f t="shared" si="94"/>
        <v>-----</v>
      </c>
      <c r="EO79" s="23"/>
      <c r="EP79" s="9" t="str">
        <f>IF(AND(H79&gt;AV79,H79&gt;E79),"Bullish Trigger","-----")</f>
        <v>Bullish Trigger</v>
      </c>
      <c r="EQ79" s="9" t="str">
        <f>IF(AND(H79&lt;AW79,H79&lt;E79),"Bearish Trigger","-----")</f>
        <v>-----</v>
      </c>
      <c r="ER79" s="9"/>
      <c r="ES79" s="9" t="str">
        <f>IF(G79&gt;AV79,"Bullish Spike","-----")</f>
        <v>-----</v>
      </c>
      <c r="ET79" s="9" t="str">
        <f>IF(F79&lt;AW79,"Bearish Spike","-----")</f>
        <v>-----</v>
      </c>
      <c r="EU79" s="9"/>
      <c r="EV79" s="20">
        <f t="shared" si="71"/>
        <v>3.1000000000005912E-2</v>
      </c>
      <c r="EW79" s="9">
        <f t="shared" si="90"/>
        <v>-1.0319987845000993</v>
      </c>
      <c r="EX79" s="21" t="str">
        <f t="shared" si="91"/>
        <v>-----</v>
      </c>
      <c r="EY79" s="9"/>
    </row>
    <row r="80" spans="1:155" x14ac:dyDescent="0.55000000000000004">
      <c r="A80">
        <v>76</v>
      </c>
      <c r="B80" t="s">
        <v>79</v>
      </c>
      <c r="C80" t="s">
        <v>4</v>
      </c>
      <c r="D80" t="s">
        <v>103</v>
      </c>
      <c r="E80">
        <v>152.77000000000001</v>
      </c>
      <c r="F80">
        <v>152.78100000000001</v>
      </c>
      <c r="G80">
        <v>152.74700000000001</v>
      </c>
      <c r="H80">
        <v>152.77699999999999</v>
      </c>
      <c r="I80">
        <v>152.85599999999999</v>
      </c>
      <c r="J80">
        <v>152.88300000000001</v>
      </c>
      <c r="K80">
        <v>153.148</v>
      </c>
      <c r="L80">
        <v>152.61699999999999</v>
      </c>
      <c r="M80">
        <v>152.58600000000001</v>
      </c>
      <c r="N80">
        <v>152.887</v>
      </c>
      <c r="O80" s="16">
        <f t="shared" si="66"/>
        <v>3.3999999999991815E-2</v>
      </c>
      <c r="P80" s="16">
        <f t="shared" si="72"/>
        <v>1.099999999999568E-2</v>
      </c>
      <c r="Q80" s="16">
        <f t="shared" si="73"/>
        <v>2.2999999999996135E-2</v>
      </c>
      <c r="R80" s="16">
        <f t="shared" si="74"/>
        <v>3.3999999999991815E-2</v>
      </c>
      <c r="S80" s="16">
        <f t="shared" si="65"/>
        <v>4.5579310815536254E-2</v>
      </c>
      <c r="T80">
        <v>0</v>
      </c>
      <c r="U80">
        <v>0</v>
      </c>
      <c r="V80">
        <v>0</v>
      </c>
      <c r="W80">
        <v>0</v>
      </c>
      <c r="Y80" s="9" t="str">
        <f t="shared" si="75"/>
        <v>------</v>
      </c>
      <c r="Z80" s="9" t="str">
        <f t="shared" si="76"/>
        <v>------</v>
      </c>
      <c r="AA80" s="9"/>
      <c r="AB80">
        <v>0</v>
      </c>
      <c r="AD80" t="str">
        <f t="shared" si="58"/>
        <v/>
      </c>
      <c r="AE80">
        <v>0.91039000000000003</v>
      </c>
      <c r="AF80">
        <v>0</v>
      </c>
      <c r="AG80">
        <v>153.08771999999999</v>
      </c>
      <c r="AH80">
        <v>153.00765999999999</v>
      </c>
      <c r="AI80">
        <v>152.92760999999999</v>
      </c>
      <c r="AJ80">
        <v>152.84755000000001</v>
      </c>
      <c r="AK80">
        <v>152.76750000000001</v>
      </c>
      <c r="AL80">
        <v>152.73283000000001</v>
      </c>
      <c r="AM80">
        <v>152.65278000000001</v>
      </c>
      <c r="AN80">
        <v>152.57272</v>
      </c>
      <c r="AO80">
        <v>152.49267</v>
      </c>
      <c r="AP80">
        <v>152.41261</v>
      </c>
      <c r="AQ80">
        <v>152.75399999999999</v>
      </c>
      <c r="AR80">
        <v>152.76300000000001</v>
      </c>
      <c r="AS80">
        <f t="shared" si="92"/>
        <v>76</v>
      </c>
      <c r="AT80">
        <v>152.80000000000001</v>
      </c>
      <c r="AU80">
        <v>152.905</v>
      </c>
      <c r="AV80">
        <v>152.768</v>
      </c>
      <c r="AW80">
        <v>152.73599999999999</v>
      </c>
      <c r="AY80" s="4">
        <f>I80*(1+$AY$2)</f>
        <v>152.87892840000001</v>
      </c>
      <c r="AZ80" s="4">
        <f>I80*(1-$AY$2)</f>
        <v>152.83307160000001</v>
      </c>
      <c r="BA80" s="4">
        <f>J80*(1+$AY$2)</f>
        <v>152.90593245000002</v>
      </c>
      <c r="BB80" s="4">
        <f>J80*(1-$AY$2)</f>
        <v>152.86006755000002</v>
      </c>
      <c r="BC80" s="4">
        <f>K80*(1+$AY$2)</f>
        <v>153.17097220000002</v>
      </c>
      <c r="BD80" s="4">
        <f>K80*(1-$AY$2)</f>
        <v>153.1250278</v>
      </c>
      <c r="BE80" s="4">
        <f>L80*(1+$AY$2)</f>
        <v>152.63989255000001</v>
      </c>
      <c r="BF80" s="4">
        <f>L80*(1-$AY$2)</f>
        <v>152.59410745</v>
      </c>
      <c r="BG80" s="4">
        <f>M80*(1+$AY$2)</f>
        <v>152.60888790000001</v>
      </c>
      <c r="BH80" s="4">
        <f>M80*(1-$AY$2)</f>
        <v>152.56311210000001</v>
      </c>
      <c r="BI80" s="4">
        <f>N80*(1+$AY$2)</f>
        <v>152.90993305000001</v>
      </c>
      <c r="BJ80" s="4">
        <f>N80*(1-$AY$2)</f>
        <v>152.86406694999999</v>
      </c>
      <c r="BK80" s="30">
        <f t="shared" si="93"/>
        <v>76</v>
      </c>
      <c r="BL80" s="15" t="str">
        <f t="shared" si="77"/>
        <v>-----</v>
      </c>
      <c r="BM80" s="15" t="str">
        <f t="shared" si="78"/>
        <v>-----</v>
      </c>
      <c r="BN80" s="15" t="str">
        <f t="shared" si="79"/>
        <v>-----</v>
      </c>
      <c r="BO80" s="15" t="str">
        <f t="shared" si="80"/>
        <v>-----</v>
      </c>
      <c r="BP80" s="15" t="str">
        <f t="shared" si="81"/>
        <v>-----</v>
      </c>
      <c r="BQ80" s="15" t="str">
        <f t="shared" si="82"/>
        <v>-----</v>
      </c>
      <c r="BR80" s="22"/>
      <c r="BS80" s="9">
        <f t="shared" si="83"/>
        <v>-2.423265306122455E-3</v>
      </c>
      <c r="BT80" s="9">
        <f>SLOPE(J$5:J$103,$A$5:$A$103)</f>
        <v>-3.7194805194805478E-4</v>
      </c>
      <c r="BU80" s="9">
        <f>SLOPE(K$5:K$103,$A$5:$A$103)</f>
        <v>-1.6402721088435472E-3</v>
      </c>
      <c r="BV80" s="9">
        <f>SLOPE(L$5:L$103,$A$5:$A$103)</f>
        <v>7.6471243042669956E-4</v>
      </c>
      <c r="BW80" s="9">
        <f>SLOPE(M$5:M$103,$A$5:$A$103)</f>
        <v>-2.3081014223875058E-4</v>
      </c>
      <c r="BX80" s="9">
        <f>SLOPE(N$5:N$103,$A$5:$A$103)</f>
        <v>1.5802844774273381E-3</v>
      </c>
      <c r="BY80"/>
      <c r="BZ80" s="9">
        <f t="shared" si="59"/>
        <v>-1.9079214597220278</v>
      </c>
      <c r="CA80" s="9">
        <f t="shared" si="60"/>
        <v>-0.29295343676527091</v>
      </c>
      <c r="CB80" s="9">
        <f t="shared" si="61"/>
        <v>-1.2917022253843653</v>
      </c>
      <c r="CC80" s="9">
        <f t="shared" si="62"/>
        <v>0.60228527619529781</v>
      </c>
      <c r="CD80" s="9">
        <f t="shared" si="63"/>
        <v>-0.18179147971962978</v>
      </c>
      <c r="CE80" s="9">
        <f t="shared" si="64"/>
        <v>1.2444775446344229</v>
      </c>
      <c r="CF80"/>
      <c r="CG80" s="18" t="str" cm="1">
        <f t="array" ref="CG80">_xlfn.IFS(BZ80&gt;3,"Strong + Slope",BZ80&gt;1.5,"Moderate + Slope",BZ80&gt;0.5,"Sideway + Slope",BZ80&gt;=-0.5,"Sideway Flat",BZ80&gt;=-1.5,"Sideway - Slope",BZ80&gt;=-3,"Moderate - Slope",TRUE,"Strong - Slope")</f>
        <v>Moderate - Slope</v>
      </c>
      <c r="CH80" s="18" t="str" cm="1">
        <f t="array" ref="CH80">_xlfn.IFS(CA80&gt;3,"Strong + Slope",CA80&gt;1.5,"Moderate + Slope",CA80&gt;0.5,"Sideway + Slope",CA80&gt;=-0.5,"Sideway Flat",CA80&gt;=-1.5,"Sideway - Slope",CA80&gt;=-3,"Moderate - Slope",TRUE,"Strong - Slope")</f>
        <v>Sideway Flat</v>
      </c>
      <c r="CI80" s="18" t="str" cm="1">
        <f t="array" ref="CI80">_xlfn.IFS(CB80&gt;3,"Strong + Slope",CB80&gt;1.5,"Moderate + Slope",CB80&gt;0.5,"Sideway + Slope",CB80&gt;=-0.5,"Sideway Flat",CB80&gt;=-1.5,"Sideway - Slope",CB80&gt;=-3,"Moderate - Slope",TRUE,"Strong - Slope")</f>
        <v>Sideway - Slope</v>
      </c>
      <c r="CJ80" s="18" t="str" cm="1">
        <f t="array" ref="CJ80">_xlfn.IFS(CC80&gt;3,"Strong + Slope",CC80&gt;1.5,"Moderate + Slope",CC80&gt;0.5,"Sideway + Slope",CC80&gt;=-0.5,"Sideway Flat",CC80&gt;=-1.5,"Sideway - Slope",CC80&gt;=-3,"Moderate - Slope",TRUE,"Strong - Slope")</f>
        <v>Sideway + Slope</v>
      </c>
      <c r="CK80" s="18" t="str" cm="1">
        <f t="array" ref="CK80">_xlfn.IFS(CD80&gt;3,"Strong + Slope",CD80&gt;1.5,"Moderate + Slope",CD80&gt;0.5,"Sideway + Slope",CD80&gt;=-0.5,"Sideway Flat",CD80&gt;=-1.5,"Sideway - Slope",CD80&gt;=-3,"Moderate - Slope",TRUE,"Strong - Slope")</f>
        <v>Sideway Flat</v>
      </c>
      <c r="CL80" s="18" t="str" cm="1">
        <f t="array" ref="CL80">_xlfn.IFS(CE80&gt;3,"Strong + Slope",CE80&gt;1.5,"Moderate + Slope",CE80&gt;0.5,"Sideway + Slope",CE80&gt;=-0.5,"Sideway Flat",CE80&gt;=-1.5,"Sideway - Slope",CE80&gt;=-3,"Moderate - Slope",TRUE,"Strong - Slope")</f>
        <v>Sideway + Slope</v>
      </c>
      <c r="CM80" s="9"/>
      <c r="CN80" s="9">
        <f>RANK(I80,$I80:$N80,0)</f>
        <v>4</v>
      </c>
      <c r="CO80" s="9">
        <f>RANK(J80,$I80:$N80,0)</f>
        <v>3</v>
      </c>
      <c r="CP80" s="9">
        <f>RANK(K80,$I80:$N80,0)</f>
        <v>1</v>
      </c>
      <c r="CQ80" s="9">
        <f>RANK(L80,$I80:$N80,0)</f>
        <v>5</v>
      </c>
      <c r="CR80" s="9">
        <f>RANK(M80,$I80:$N80,0)</f>
        <v>6</v>
      </c>
      <c r="CS80" s="9">
        <f>RANK(N80,$I80:$N80,0)</f>
        <v>2</v>
      </c>
      <c r="CT80" s="9"/>
      <c r="CU80" s="9" t="str">
        <f>IF($H80&gt;I80,"SUP","RES")</f>
        <v>RES</v>
      </c>
      <c r="CV80" s="9" t="str">
        <f>IF($H80&gt;J80,"SUP","RES")</f>
        <v>RES</v>
      </c>
      <c r="CW80" s="9" t="str">
        <f>IF($H80&gt;K80,"SUP","RES")</f>
        <v>RES</v>
      </c>
      <c r="CX80" s="9" t="str">
        <f>IF($H80&gt;L80,"SUP","RES")</f>
        <v>SUP</v>
      </c>
      <c r="CY80" s="9" t="str">
        <f>IF($H80&gt;M80,"SUP","RES")</f>
        <v>SUP</v>
      </c>
      <c r="CZ80" s="9" t="str">
        <f>IF($H80&gt;N80,"SUP","RES")</f>
        <v>RES</v>
      </c>
      <c r="DA80" s="9"/>
      <c r="DB80" s="12">
        <f>(I80-$H80)/$H80</f>
        <v>5.1709354156717136E-4</v>
      </c>
      <c r="DC80" s="12">
        <f>(J80-$H80)/$H80</f>
        <v>6.9382171400160346E-4</v>
      </c>
      <c r="DD80" s="12">
        <f>(K80-$H80)/$H80</f>
        <v>2.4283759990051472E-3</v>
      </c>
      <c r="DE80" s="12">
        <f>(L80-$H80)/$H80</f>
        <v>-1.0472780588700957E-3</v>
      </c>
      <c r="DF80" s="12">
        <f>(M80-$H80)/$H80</f>
        <v>-1.2501881827760336E-3</v>
      </c>
      <c r="DG80" s="12">
        <f>(N80-$H80)/$H80</f>
        <v>7.2000366547329538E-4</v>
      </c>
      <c r="DH80" s="12"/>
      <c r="DI80" s="12">
        <f>((H80-MIN(I80:N80))/(MAX(I80:N80)-MIN(I80:N80)))</f>
        <v>0.33985765124551554</v>
      </c>
      <c r="DJ80" s="13">
        <f t="shared" si="67"/>
        <v>4</v>
      </c>
      <c r="DK80" s="14">
        <f t="shared" si="68"/>
        <v>2</v>
      </c>
      <c r="DL80" s="12">
        <f t="shared" si="84"/>
        <v>2.4283759990051472E-3</v>
      </c>
      <c r="DM80" s="12">
        <f t="shared" si="85"/>
        <v>7.2000366547329538E-4</v>
      </c>
      <c r="DN80" s="12">
        <f t="shared" si="86"/>
        <v>6.9382171400160346E-4</v>
      </c>
      <c r="DO80" s="12">
        <f t="shared" si="87"/>
        <v>5.1709354156717136E-4</v>
      </c>
      <c r="DP80" s="12">
        <f t="shared" si="88"/>
        <v>-1.0472780588700957E-3</v>
      </c>
      <c r="DQ80" s="12">
        <f t="shared" si="89"/>
        <v>-1.2501881827760336E-3</v>
      </c>
      <c r="DR80" s="9"/>
      <c r="DS80" s="9" t="str">
        <f>IF(AQ80&gt;AG80,"Overbought",IF(AQ80&gt;AI80,"Bullish Momentum",IF(AQ80&gt;AK80,"Overprice Setting Up","-----")))</f>
        <v>-----</v>
      </c>
      <c r="DT80" s="9" t="str">
        <f>IF(AQ80&lt;AP80,"Oversold",IF(AQ80&lt;AN80,"Bearish Momentum",IF(AQ80&lt;AL80,"Underprice Setting Up","-----")))</f>
        <v>-----</v>
      </c>
      <c r="DU80" s="9"/>
      <c r="DV80" s="12" t="str">
        <f>IF(AND(AT80&gt;AU80,AT79&gt;AU79,AT78&gt;AU78,AT77&gt;AU77,AT76&gt;AU76,AT75&gt;AU75,AT74&gt;AU74,AT73&gt;AU73,AT72&gt;AU72,AT71&gt;AU71,AT70&gt;AU70,AT69&gt;AU69),"Bullish",IF(AND(AT80&lt;AU80,AT79&lt;AU79,AT78&lt;AU78,AT77&lt;AU77,AT76&lt;AU76,AT75&lt;AU75,AT74&lt;AU74,AT73&lt;AU73,AT72&lt;AU72,AT71&lt;AU71,AT70&lt;AU70,AT69&lt;AU69),"Bearish","-----"))</f>
        <v>Bearish</v>
      </c>
      <c r="DW80" s="12"/>
      <c r="DX80" s="23">
        <f>(AR80-AT80)/AT80</f>
        <v>-2.421465968586789E-4</v>
      </c>
      <c r="DY80" s="23">
        <f t="shared" si="69"/>
        <v>0.60032184080036688</v>
      </c>
      <c r="DZ80" s="23" t="str">
        <f t="shared" si="70"/>
        <v>-----</v>
      </c>
      <c r="EA80" s="23" t="str">
        <f>IF(AQ80&gt;AR80,"Bullish","Bearish")</f>
        <v>Bearish</v>
      </c>
      <c r="EB80" s="22" t="str">
        <f>IF(AND(H80&gt;AQ80,H79&lt;AQ79),"TEMA crossover","-----")</f>
        <v>-----</v>
      </c>
      <c r="EC80" s="22" t="str">
        <f>IF(AND(H80&lt;AQ80,H79&gt;AQ79),"TEMA crossunder","-----")</f>
        <v>-----</v>
      </c>
      <c r="ED80" s="22"/>
      <c r="EE80" s="24" t="str">
        <f t="shared" si="45"/>
        <v>YES</v>
      </c>
      <c r="EF80" s="24" t="str">
        <f t="shared" si="46"/>
        <v>-----</v>
      </c>
      <c r="EG80" s="24" t="str">
        <f t="shared" si="47"/>
        <v>-----</v>
      </c>
      <c r="EH80" s="24" t="str">
        <f t="shared" si="48"/>
        <v>YES</v>
      </c>
      <c r="EI80" s="25" t="str">
        <f>IF(DV80="Bullish","YES","-----")</f>
        <v>-----</v>
      </c>
      <c r="EJ80" s="25" t="str">
        <f>IF(DZ80="Reverse to Bullish","YES","-----")</f>
        <v>-----</v>
      </c>
      <c r="EK80" s="25" t="str">
        <f>IF(AND(EA80="Bearish",EA79="Bearish",EA78="Bearish",EA77="Bearish"),"YES","-----")</f>
        <v>YES</v>
      </c>
      <c r="EL80" s="25" t="str">
        <f>IF(OR(EC80="TEMA crossover",EC79="TEMA crossover",EC78="TEMA crossover",EC77="TEMA crossover"),"YES","-----")</f>
        <v>-----</v>
      </c>
      <c r="EM80" s="24" t="str">
        <f>IF(AND(EE80="YES",EF80="YES",EG80="YES",EH80="YES"),"Open Sell / Close Buy","-----")</f>
        <v>-----</v>
      </c>
      <c r="EN80" s="25" t="str">
        <f t="shared" si="94"/>
        <v>-----</v>
      </c>
      <c r="EO80" s="23"/>
      <c r="EP80" s="9" t="str">
        <f>IF(AND(H80&gt;AV80,H80&gt;E80),"Bullish Trigger","-----")</f>
        <v>Bullish Trigger</v>
      </c>
      <c r="EQ80" s="9" t="str">
        <f>IF(AND(H80&lt;AW80,H80&lt;E80),"Bearish Trigger","-----")</f>
        <v>-----</v>
      </c>
      <c r="ER80" s="9"/>
      <c r="ES80" s="9" t="str">
        <f>IF(G80&gt;AV80,"Bullish Spike","-----")</f>
        <v>-----</v>
      </c>
      <c r="ET80" s="9" t="str">
        <f>IF(F80&lt;AW80,"Bearish Spike","-----")</f>
        <v>-----</v>
      </c>
      <c r="EU80" s="9"/>
      <c r="EV80" s="20">
        <f t="shared" si="71"/>
        <v>3.2000000000010687E-2</v>
      </c>
      <c r="EW80" s="9">
        <f t="shared" si="90"/>
        <v>-1.0089516652431614</v>
      </c>
      <c r="EX80" s="21" t="str">
        <f t="shared" si="91"/>
        <v>-----</v>
      </c>
      <c r="EY80" s="9"/>
    </row>
    <row r="81" spans="1:155" x14ac:dyDescent="0.55000000000000004">
      <c r="A81">
        <v>77</v>
      </c>
      <c r="B81" t="s">
        <v>80</v>
      </c>
      <c r="C81" t="s">
        <v>4</v>
      </c>
      <c r="D81" t="s">
        <v>103</v>
      </c>
      <c r="E81">
        <v>152.77699999999999</v>
      </c>
      <c r="F81">
        <v>152.83600000000001</v>
      </c>
      <c r="G81">
        <v>152.77699999999999</v>
      </c>
      <c r="H81">
        <v>152.80099999999999</v>
      </c>
      <c r="I81">
        <v>152.85400000000001</v>
      </c>
      <c r="J81">
        <v>152.88300000000001</v>
      </c>
      <c r="K81">
        <v>153.14599999999999</v>
      </c>
      <c r="L81">
        <v>152.61799999999999</v>
      </c>
      <c r="M81">
        <v>152.58500000000001</v>
      </c>
      <c r="N81">
        <v>152.88800000000001</v>
      </c>
      <c r="O81" s="16">
        <f t="shared" si="66"/>
        <v>5.9000000000025921E-2</v>
      </c>
      <c r="P81" s="16">
        <f t="shared" si="72"/>
        <v>5.9000000000025921E-2</v>
      </c>
      <c r="Q81" s="16">
        <f t="shared" si="73"/>
        <v>0</v>
      </c>
      <c r="R81" s="16">
        <f t="shared" si="74"/>
        <v>5.9000000000025921E-2</v>
      </c>
      <c r="S81" s="16">
        <f t="shared" si="65"/>
        <v>4.6537931471571224E-2</v>
      </c>
      <c r="T81">
        <v>0</v>
      </c>
      <c r="U81">
        <v>0</v>
      </c>
      <c r="V81">
        <v>0</v>
      </c>
      <c r="W81">
        <v>0</v>
      </c>
      <c r="Y81" s="9" t="str">
        <f t="shared" si="75"/>
        <v>------</v>
      </c>
      <c r="Z81" s="9" t="str">
        <f t="shared" si="76"/>
        <v>------</v>
      </c>
      <c r="AA81" s="9"/>
      <c r="AB81">
        <v>0</v>
      </c>
      <c r="AD81" t="str">
        <f t="shared" si="58"/>
        <v/>
      </c>
      <c r="AE81">
        <v>0.49973000000000001</v>
      </c>
      <c r="AF81">
        <v>0</v>
      </c>
      <c r="AG81">
        <v>153.08519999999999</v>
      </c>
      <c r="AH81">
        <v>153.00534999999999</v>
      </c>
      <c r="AI81">
        <v>152.92551</v>
      </c>
      <c r="AJ81">
        <v>152.84566000000001</v>
      </c>
      <c r="AK81">
        <v>152.76581999999999</v>
      </c>
      <c r="AL81">
        <v>152.73165</v>
      </c>
      <c r="AM81">
        <v>152.65181000000001</v>
      </c>
      <c r="AN81">
        <v>152.57195999999999</v>
      </c>
      <c r="AO81">
        <v>152.49212</v>
      </c>
      <c r="AP81">
        <v>152.41227000000001</v>
      </c>
      <c r="AQ81">
        <v>152.77600000000001</v>
      </c>
      <c r="AR81">
        <v>152.76499999999999</v>
      </c>
      <c r="AS81">
        <f t="shared" si="92"/>
        <v>77</v>
      </c>
      <c r="AT81">
        <v>152.80000000000001</v>
      </c>
      <c r="AU81">
        <v>152.90199999999999</v>
      </c>
      <c r="AV81">
        <v>152.798</v>
      </c>
      <c r="AW81">
        <v>152.75299999999999</v>
      </c>
      <c r="AY81" s="4">
        <f>I81*(1+$AY$2)</f>
        <v>152.87692810000001</v>
      </c>
      <c r="AZ81" s="4">
        <f>I81*(1-$AY$2)</f>
        <v>152.83107190000001</v>
      </c>
      <c r="BA81" s="4">
        <f>J81*(1+$AY$2)</f>
        <v>152.90593245000002</v>
      </c>
      <c r="BB81" s="4">
        <f>J81*(1-$AY$2)</f>
        <v>152.86006755000002</v>
      </c>
      <c r="BC81" s="4">
        <f>K81*(1+$AY$2)</f>
        <v>153.1689719</v>
      </c>
      <c r="BD81" s="4">
        <f>K81*(1-$AY$2)</f>
        <v>153.1230281</v>
      </c>
      <c r="BE81" s="4">
        <f>L81*(1+$AY$2)</f>
        <v>152.64089270000002</v>
      </c>
      <c r="BF81" s="4">
        <f>L81*(1-$AY$2)</f>
        <v>152.5951073</v>
      </c>
      <c r="BG81" s="4">
        <f>M81*(1+$AY$2)</f>
        <v>152.60788775000003</v>
      </c>
      <c r="BH81" s="4">
        <f>M81*(1-$AY$2)</f>
        <v>152.56211225000001</v>
      </c>
      <c r="BI81" s="4">
        <f>N81*(1+$AY$2)</f>
        <v>152.91093320000002</v>
      </c>
      <c r="BJ81" s="4">
        <f>N81*(1-$AY$2)</f>
        <v>152.86506679999999</v>
      </c>
      <c r="BK81" s="30">
        <f t="shared" si="93"/>
        <v>77</v>
      </c>
      <c r="BL81" s="15" t="str">
        <f t="shared" si="77"/>
        <v>-----</v>
      </c>
      <c r="BM81" s="15" t="str">
        <f t="shared" si="78"/>
        <v>-----</v>
      </c>
      <c r="BN81" s="15" t="str">
        <f t="shared" si="79"/>
        <v>-----</v>
      </c>
      <c r="BO81" s="15" t="str">
        <f t="shared" si="80"/>
        <v>-----</v>
      </c>
      <c r="BP81" s="15" t="str">
        <f t="shared" si="81"/>
        <v>-----</v>
      </c>
      <c r="BQ81" s="15" t="str">
        <f t="shared" si="82"/>
        <v>-----</v>
      </c>
      <c r="BR81" s="22"/>
      <c r="BS81" s="9">
        <f t="shared" si="83"/>
        <v>-2.423265306122455E-3</v>
      </c>
      <c r="BT81" s="9">
        <f>SLOPE(J$5:J$103,$A$5:$A$103)</f>
        <v>-3.7194805194805478E-4</v>
      </c>
      <c r="BU81" s="9">
        <f>SLOPE(K$5:K$103,$A$5:$A$103)</f>
        <v>-1.6402721088435472E-3</v>
      </c>
      <c r="BV81" s="9">
        <f>SLOPE(L$5:L$103,$A$5:$A$103)</f>
        <v>7.6471243042669956E-4</v>
      </c>
      <c r="BW81" s="9">
        <f>SLOPE(M$5:M$103,$A$5:$A$103)</f>
        <v>-2.3081014223875058E-4</v>
      </c>
      <c r="BX81" s="9">
        <f>SLOPE(N$5:N$103,$A$5:$A$103)</f>
        <v>1.5802844774273381E-3</v>
      </c>
      <c r="BY81"/>
      <c r="BZ81" s="9">
        <f t="shared" si="59"/>
        <v>-1.9079214597220278</v>
      </c>
      <c r="CA81" s="9">
        <f t="shared" si="60"/>
        <v>-0.29295343676527091</v>
      </c>
      <c r="CB81" s="9">
        <f t="shared" si="61"/>
        <v>-1.2917022253843653</v>
      </c>
      <c r="CC81" s="9">
        <f t="shared" si="62"/>
        <v>0.60228527619529781</v>
      </c>
      <c r="CD81" s="9">
        <f t="shared" si="63"/>
        <v>-0.18179147971962978</v>
      </c>
      <c r="CE81" s="9">
        <f t="shared" si="64"/>
        <v>1.2444775446344229</v>
      </c>
      <c r="CF81"/>
      <c r="CG81" s="18" t="str" cm="1">
        <f t="array" ref="CG81">_xlfn.IFS(BZ81&gt;3,"Strong + Slope",BZ81&gt;1.5,"Moderate + Slope",BZ81&gt;0.5,"Sideway + Slope",BZ81&gt;=-0.5,"Sideway Flat",BZ81&gt;=-1.5,"Sideway - Slope",BZ81&gt;=-3,"Moderate - Slope",TRUE,"Strong - Slope")</f>
        <v>Moderate - Slope</v>
      </c>
      <c r="CH81" s="18" t="str" cm="1">
        <f t="array" ref="CH81">_xlfn.IFS(CA81&gt;3,"Strong + Slope",CA81&gt;1.5,"Moderate + Slope",CA81&gt;0.5,"Sideway + Slope",CA81&gt;=-0.5,"Sideway Flat",CA81&gt;=-1.5,"Sideway - Slope",CA81&gt;=-3,"Moderate - Slope",TRUE,"Strong - Slope")</f>
        <v>Sideway Flat</v>
      </c>
      <c r="CI81" s="18" t="str" cm="1">
        <f t="array" ref="CI81">_xlfn.IFS(CB81&gt;3,"Strong + Slope",CB81&gt;1.5,"Moderate + Slope",CB81&gt;0.5,"Sideway + Slope",CB81&gt;=-0.5,"Sideway Flat",CB81&gt;=-1.5,"Sideway - Slope",CB81&gt;=-3,"Moderate - Slope",TRUE,"Strong - Slope")</f>
        <v>Sideway - Slope</v>
      </c>
      <c r="CJ81" s="18" t="str" cm="1">
        <f t="array" ref="CJ81">_xlfn.IFS(CC81&gt;3,"Strong + Slope",CC81&gt;1.5,"Moderate + Slope",CC81&gt;0.5,"Sideway + Slope",CC81&gt;=-0.5,"Sideway Flat",CC81&gt;=-1.5,"Sideway - Slope",CC81&gt;=-3,"Moderate - Slope",TRUE,"Strong - Slope")</f>
        <v>Sideway + Slope</v>
      </c>
      <c r="CK81" s="18" t="str" cm="1">
        <f t="array" ref="CK81">_xlfn.IFS(CD81&gt;3,"Strong + Slope",CD81&gt;1.5,"Moderate + Slope",CD81&gt;0.5,"Sideway + Slope",CD81&gt;=-0.5,"Sideway Flat",CD81&gt;=-1.5,"Sideway - Slope",CD81&gt;=-3,"Moderate - Slope",TRUE,"Strong - Slope")</f>
        <v>Sideway Flat</v>
      </c>
      <c r="CL81" s="18" t="str" cm="1">
        <f t="array" ref="CL81">_xlfn.IFS(CE81&gt;3,"Strong + Slope",CE81&gt;1.5,"Moderate + Slope",CE81&gt;0.5,"Sideway + Slope",CE81&gt;=-0.5,"Sideway Flat",CE81&gt;=-1.5,"Sideway - Slope",CE81&gt;=-3,"Moderate - Slope",TRUE,"Strong - Slope")</f>
        <v>Sideway + Slope</v>
      </c>
      <c r="CM81" s="9"/>
      <c r="CN81" s="9">
        <f>RANK(I81,$I81:$N81,0)</f>
        <v>4</v>
      </c>
      <c r="CO81" s="9">
        <f>RANK(J81,$I81:$N81,0)</f>
        <v>3</v>
      </c>
      <c r="CP81" s="9">
        <f>RANK(K81,$I81:$N81,0)</f>
        <v>1</v>
      </c>
      <c r="CQ81" s="9">
        <f>RANK(L81,$I81:$N81,0)</f>
        <v>5</v>
      </c>
      <c r="CR81" s="9">
        <f>RANK(M81,$I81:$N81,0)</f>
        <v>6</v>
      </c>
      <c r="CS81" s="9">
        <f>RANK(N81,$I81:$N81,0)</f>
        <v>2</v>
      </c>
      <c r="CT81" s="9"/>
      <c r="CU81" s="9" t="str">
        <f>IF($H81&gt;I81,"SUP","RES")</f>
        <v>RES</v>
      </c>
      <c r="CV81" s="9" t="str">
        <f>IF($H81&gt;J81,"SUP","RES")</f>
        <v>RES</v>
      </c>
      <c r="CW81" s="9" t="str">
        <f>IF($H81&gt;K81,"SUP","RES")</f>
        <v>RES</v>
      </c>
      <c r="CX81" s="9" t="str">
        <f>IF($H81&gt;L81,"SUP","RES")</f>
        <v>SUP</v>
      </c>
      <c r="CY81" s="9" t="str">
        <f>IF($H81&gt;M81,"SUP","RES")</f>
        <v>SUP</v>
      </c>
      <c r="CZ81" s="9" t="str">
        <f>IF($H81&gt;N81,"SUP","RES")</f>
        <v>RES</v>
      </c>
      <c r="DA81" s="9"/>
      <c r="DB81" s="12">
        <f>(I81-$H81)/$H81</f>
        <v>3.4685636874121046E-4</v>
      </c>
      <c r="DC81" s="12">
        <f>(J81-$H81)/$H81</f>
        <v>5.3664570258062485E-4</v>
      </c>
      <c r="DD81" s="12">
        <f>(K81-$H81)/$H81</f>
        <v>2.2578386267105509E-3</v>
      </c>
      <c r="DE81" s="12">
        <f>(L81-$H81)/$H81</f>
        <v>-1.1976361411246833E-3</v>
      </c>
      <c r="DF81" s="12">
        <f>(M81-$H81)/$H81</f>
        <v>-1.4136033141143041E-3</v>
      </c>
      <c r="DG81" s="12">
        <f>(N81-$H81)/$H81</f>
        <v>5.6936800151842926E-4</v>
      </c>
      <c r="DH81" s="12"/>
      <c r="DI81" s="12">
        <f>((H81-MIN(I81:N81))/(MAX(I81:N81)-MIN(I81:N81)))</f>
        <v>0.38502673796789305</v>
      </c>
      <c r="DJ81" s="13">
        <f t="shared" si="67"/>
        <v>4</v>
      </c>
      <c r="DK81" s="14">
        <f t="shared" si="68"/>
        <v>2</v>
      </c>
      <c r="DL81" s="12">
        <f t="shared" si="84"/>
        <v>2.2578386267105509E-3</v>
      </c>
      <c r="DM81" s="12">
        <f t="shared" si="85"/>
        <v>5.6936800151842926E-4</v>
      </c>
      <c r="DN81" s="12">
        <f t="shared" si="86"/>
        <v>5.3664570258062485E-4</v>
      </c>
      <c r="DO81" s="12">
        <f t="shared" si="87"/>
        <v>3.4685636874121046E-4</v>
      </c>
      <c r="DP81" s="12">
        <f t="shared" si="88"/>
        <v>-1.1976361411246833E-3</v>
      </c>
      <c r="DQ81" s="12">
        <f t="shared" si="89"/>
        <v>-1.4136033141143041E-3</v>
      </c>
      <c r="DR81" s="9"/>
      <c r="DS81" s="9" t="str">
        <f>IF(AQ81&gt;AG81,"Overbought",IF(AQ81&gt;AI81,"Bullish Momentum",IF(AQ81&gt;AK81,"Overprice Setting Up","-----")))</f>
        <v>Overprice Setting Up</v>
      </c>
      <c r="DT81" s="9" t="str">
        <f>IF(AQ81&lt;AP81,"Oversold",IF(AQ81&lt;AN81,"Bearish Momentum",IF(AQ81&lt;AL81,"Underprice Setting Up","-----")))</f>
        <v>-----</v>
      </c>
      <c r="DU81" s="9"/>
      <c r="DV81" s="12" t="str">
        <f>IF(AND(AT81&gt;AU81,AT80&gt;AU80,AT79&gt;AU79,AT78&gt;AU78,AT77&gt;AU77,AT76&gt;AU76,AT75&gt;AU75,AT74&gt;AU74,AT73&gt;AU73,AT72&gt;AU72,AT71&gt;AU71,AT70&gt;AU70),"Bullish",IF(AND(AT81&lt;AU81,AT80&lt;AU80,AT79&lt;AU79,AT78&lt;AU78,AT77&lt;AU77,AT76&lt;AU76,AT75&lt;AU75,AT74&lt;AU74,AT73&lt;AU73,AT72&lt;AU72,AT71&lt;AU71,AT70&lt;AU70),"Bearish","-----"))</f>
        <v>Bearish</v>
      </c>
      <c r="DW81" s="12"/>
      <c r="DX81" s="23">
        <f>(AR81-AT81)/AT81</f>
        <v>-2.2905759162320031E-4</v>
      </c>
      <c r="DY81" s="23">
        <f t="shared" si="69"/>
        <v>0.63807122269910621</v>
      </c>
      <c r="DZ81" s="23" t="str">
        <f t="shared" si="70"/>
        <v>-----</v>
      </c>
      <c r="EA81" s="23" t="str">
        <f>IF(AQ81&gt;AR81,"Bullish","Bearish")</f>
        <v>Bullish</v>
      </c>
      <c r="EB81" s="22" t="str">
        <f>IF(AND(H81&gt;AQ81,H80&lt;AQ80),"TEMA crossover","-----")</f>
        <v>-----</v>
      </c>
      <c r="EC81" s="22" t="str">
        <f>IF(AND(H81&lt;AQ81,H80&gt;AQ80),"TEMA crossunder","-----")</f>
        <v>-----</v>
      </c>
      <c r="ED81" s="22"/>
      <c r="EE81" s="24" t="str">
        <f t="shared" si="45"/>
        <v>YES</v>
      </c>
      <c r="EF81" s="24" t="str">
        <f t="shared" si="46"/>
        <v>-----</v>
      </c>
      <c r="EG81" s="24" t="str">
        <f t="shared" si="47"/>
        <v>-----</v>
      </c>
      <c r="EH81" s="24" t="str">
        <f t="shared" si="48"/>
        <v>-----</v>
      </c>
      <c r="EI81" s="25" t="str">
        <f>IF(DV81="Bullish","YES","-----")</f>
        <v>-----</v>
      </c>
      <c r="EJ81" s="25" t="str">
        <f>IF(DZ81="Reverse to Bullish","YES","-----")</f>
        <v>-----</v>
      </c>
      <c r="EK81" s="25" t="str">
        <f>IF(AND(EA81="Bearish",EA80="Bearish",EA79="Bearish",EA78="Bearish"),"YES","-----")</f>
        <v>-----</v>
      </c>
      <c r="EL81" s="25" t="str">
        <f>IF(OR(EC81="TEMA crossover",EC80="TEMA crossover",EC79="TEMA crossover",EC78="TEMA crossover"),"YES","-----")</f>
        <v>-----</v>
      </c>
      <c r="EM81" s="24" t="str">
        <f>IF(AND(EE81="YES",EF81="YES",EG81="YES",EH81="YES"),"Open Sell / Close Buy","-----")</f>
        <v>-----</v>
      </c>
      <c r="EN81" s="25" t="str">
        <f t="shared" si="94"/>
        <v>-----</v>
      </c>
      <c r="EO81" s="23"/>
      <c r="EP81" s="9" t="str">
        <f>IF(AND(H81&gt;AV81,H81&gt;E81),"Bullish Trigger","-----")</f>
        <v>Bullish Trigger</v>
      </c>
      <c r="EQ81" s="9" t="str">
        <f>IF(AND(H81&lt;AW81,H81&lt;E81),"Bearish Trigger","-----")</f>
        <v>-----</v>
      </c>
      <c r="ER81" s="9"/>
      <c r="ES81" s="9" t="str">
        <f>IF(G81&gt;AV81,"Bullish Spike","-----")</f>
        <v>-----</v>
      </c>
      <c r="ET81" s="9" t="str">
        <f>IF(F81&lt;AW81,"Bearish Spike","-----")</f>
        <v>-----</v>
      </c>
      <c r="EU81" s="9"/>
      <c r="EV81" s="20">
        <f t="shared" si="71"/>
        <v>4.5000000000015916E-2</v>
      </c>
      <c r="EW81" s="9">
        <f t="shared" si="90"/>
        <v>-0.70933911490427681</v>
      </c>
      <c r="EX81" s="21" t="str">
        <f t="shared" si="91"/>
        <v>-----</v>
      </c>
      <c r="EY81" s="9"/>
    </row>
    <row r="82" spans="1:155" x14ac:dyDescent="0.55000000000000004">
      <c r="A82">
        <v>78</v>
      </c>
      <c r="B82" t="s">
        <v>81</v>
      </c>
      <c r="C82" t="s">
        <v>4</v>
      </c>
      <c r="D82" t="s">
        <v>103</v>
      </c>
      <c r="E82">
        <v>152.80099999999999</v>
      </c>
      <c r="F82">
        <v>152.815</v>
      </c>
      <c r="G82">
        <v>152.80099999999999</v>
      </c>
      <c r="H82">
        <v>152.81200000000001</v>
      </c>
      <c r="I82">
        <v>152.852</v>
      </c>
      <c r="J82">
        <v>152.88200000000001</v>
      </c>
      <c r="K82">
        <v>153.14500000000001</v>
      </c>
      <c r="L82">
        <v>152.619</v>
      </c>
      <c r="M82">
        <v>152.58500000000001</v>
      </c>
      <c r="N82">
        <v>152.88999999999999</v>
      </c>
      <c r="O82" s="16">
        <f t="shared" si="66"/>
        <v>1.4000000000010004E-2</v>
      </c>
      <c r="P82" s="16">
        <f t="shared" si="72"/>
        <v>1.4000000000010004E-2</v>
      </c>
      <c r="Q82" s="16">
        <f t="shared" si="73"/>
        <v>0</v>
      </c>
      <c r="R82" s="16">
        <f t="shared" si="74"/>
        <v>1.4000000000010004E-2</v>
      </c>
      <c r="S82" s="16">
        <f t="shared" si="65"/>
        <v>4.4213793509316854E-2</v>
      </c>
      <c r="T82">
        <v>0</v>
      </c>
      <c r="U82">
        <v>0</v>
      </c>
      <c r="V82">
        <v>0</v>
      </c>
      <c r="W82">
        <v>0</v>
      </c>
      <c r="Y82" s="9" t="str">
        <f t="shared" si="75"/>
        <v>------</v>
      </c>
      <c r="Z82" s="9" t="str">
        <f t="shared" si="76"/>
        <v>------</v>
      </c>
      <c r="AA82" s="9"/>
      <c r="AB82">
        <v>0</v>
      </c>
      <c r="AD82" t="str">
        <f t="shared" si="58"/>
        <v/>
      </c>
      <c r="AE82">
        <v>0.80798999999999999</v>
      </c>
      <c r="AF82">
        <v>0</v>
      </c>
      <c r="AG82">
        <v>153.08250000000001</v>
      </c>
      <c r="AH82">
        <v>153.00308000000001</v>
      </c>
      <c r="AI82">
        <v>152.92366999999999</v>
      </c>
      <c r="AJ82">
        <v>152.84425999999999</v>
      </c>
      <c r="AK82">
        <v>152.76483999999999</v>
      </c>
      <c r="AL82">
        <v>152.73176000000001</v>
      </c>
      <c r="AM82">
        <v>152.65235000000001</v>
      </c>
      <c r="AN82">
        <v>152.57293999999999</v>
      </c>
      <c r="AO82">
        <v>152.49351999999999</v>
      </c>
      <c r="AP82">
        <v>152.41410999999999</v>
      </c>
      <c r="AQ82">
        <v>152.79300000000001</v>
      </c>
      <c r="AR82">
        <v>152.77000000000001</v>
      </c>
      <c r="AS82">
        <f t="shared" si="92"/>
        <v>78</v>
      </c>
      <c r="AT82">
        <v>152.80099999999999</v>
      </c>
      <c r="AU82">
        <v>152.899</v>
      </c>
      <c r="AV82">
        <v>152.80699999999999</v>
      </c>
      <c r="AW82">
        <v>152.77600000000001</v>
      </c>
      <c r="AY82" s="4">
        <f>I82*(1+$AY$2)</f>
        <v>152.87492780000002</v>
      </c>
      <c r="AZ82" s="4">
        <f>I82*(1-$AY$2)</f>
        <v>152.82907220000001</v>
      </c>
      <c r="BA82" s="4">
        <f>J82*(1+$AY$2)</f>
        <v>152.90493230000001</v>
      </c>
      <c r="BB82" s="4">
        <f>J82*(1-$AY$2)</f>
        <v>152.8590677</v>
      </c>
      <c r="BC82" s="4">
        <f>K82*(1+$AY$2)</f>
        <v>153.16797175000002</v>
      </c>
      <c r="BD82" s="4">
        <f>K82*(1-$AY$2)</f>
        <v>153.12202825</v>
      </c>
      <c r="BE82" s="4">
        <f>L82*(1+$AY$2)</f>
        <v>152.64189285</v>
      </c>
      <c r="BF82" s="4">
        <f>L82*(1-$AY$2)</f>
        <v>152.59610714999999</v>
      </c>
      <c r="BG82" s="4">
        <f>M82*(1+$AY$2)</f>
        <v>152.60788775000003</v>
      </c>
      <c r="BH82" s="4">
        <f>M82*(1-$AY$2)</f>
        <v>152.56211225000001</v>
      </c>
      <c r="BI82" s="4">
        <f>N82*(1+$AY$2)</f>
        <v>152.91293350000001</v>
      </c>
      <c r="BJ82" s="4">
        <f>N82*(1-$AY$2)</f>
        <v>152.86706649999999</v>
      </c>
      <c r="BK82" s="30">
        <f t="shared" si="93"/>
        <v>78</v>
      </c>
      <c r="BL82" s="15" t="str">
        <f t="shared" si="77"/>
        <v>-----</v>
      </c>
      <c r="BM82" s="15" t="str">
        <f t="shared" si="78"/>
        <v>-----</v>
      </c>
      <c r="BN82" s="15" t="str">
        <f t="shared" si="79"/>
        <v>-----</v>
      </c>
      <c r="BO82" s="15" t="str">
        <f t="shared" si="80"/>
        <v>-----</v>
      </c>
      <c r="BP82" s="15" t="str">
        <f t="shared" si="81"/>
        <v>-----</v>
      </c>
      <c r="BQ82" s="15" t="str">
        <f t="shared" si="82"/>
        <v>-----</v>
      </c>
      <c r="BR82" s="22"/>
      <c r="BS82" s="9">
        <f t="shared" si="83"/>
        <v>-2.423265306122455E-3</v>
      </c>
      <c r="BT82" s="9">
        <f>SLOPE(J$5:J$103,$A$5:$A$103)</f>
        <v>-3.7194805194805478E-4</v>
      </c>
      <c r="BU82" s="9">
        <f>SLOPE(K$5:K$103,$A$5:$A$103)</f>
        <v>-1.6402721088435472E-3</v>
      </c>
      <c r="BV82" s="9">
        <f>SLOPE(L$5:L$103,$A$5:$A$103)</f>
        <v>7.6471243042669956E-4</v>
      </c>
      <c r="BW82" s="9">
        <f>SLOPE(M$5:M$103,$A$5:$A$103)</f>
        <v>-2.3081014223875058E-4</v>
      </c>
      <c r="BX82" s="9">
        <f>SLOPE(N$5:N$103,$A$5:$A$103)</f>
        <v>1.5802844774273381E-3</v>
      </c>
      <c r="BY82"/>
      <c r="BZ82" s="9">
        <f t="shared" ref="BZ82:BZ103" si="95">DEGREES(ATAN(BS82/$S$3))</f>
        <v>-1.9079214597220278</v>
      </c>
      <c r="CA82" s="9">
        <f t="shared" ref="CA82:CA103" si="96">DEGREES(ATAN(BT82/$S$3))</f>
        <v>-0.29295343676527091</v>
      </c>
      <c r="CB82" s="9">
        <f t="shared" ref="CB82:CB103" si="97">DEGREES(ATAN(BU82/$S$3))</f>
        <v>-1.2917022253843653</v>
      </c>
      <c r="CC82" s="9">
        <f t="shared" ref="CC82:CC103" si="98">DEGREES(ATAN(BV82/$S$3))</f>
        <v>0.60228527619529781</v>
      </c>
      <c r="CD82" s="9">
        <f t="shared" ref="CD82:CD103" si="99">DEGREES(ATAN(BW82/$S$3))</f>
        <v>-0.18179147971962978</v>
      </c>
      <c r="CE82" s="9">
        <f t="shared" ref="CE82:CE103" si="100">DEGREES(ATAN(BX82/$S$3))</f>
        <v>1.2444775446344229</v>
      </c>
      <c r="CF82"/>
      <c r="CG82" s="18" t="str" cm="1">
        <f t="array" ref="CG82">_xlfn.IFS(BZ82&gt;3,"Strong + Slope",BZ82&gt;1.5,"Moderate + Slope",BZ82&gt;0.5,"Sideway + Slope",BZ82&gt;=-0.5,"Sideway Flat",BZ82&gt;=-1.5,"Sideway - Slope",BZ82&gt;=-3,"Moderate - Slope",TRUE,"Strong - Slope")</f>
        <v>Moderate - Slope</v>
      </c>
      <c r="CH82" s="18" t="str" cm="1">
        <f t="array" ref="CH82">_xlfn.IFS(CA82&gt;3,"Strong + Slope",CA82&gt;1.5,"Moderate + Slope",CA82&gt;0.5,"Sideway + Slope",CA82&gt;=-0.5,"Sideway Flat",CA82&gt;=-1.5,"Sideway - Slope",CA82&gt;=-3,"Moderate - Slope",TRUE,"Strong - Slope")</f>
        <v>Sideway Flat</v>
      </c>
      <c r="CI82" s="18" t="str" cm="1">
        <f t="array" ref="CI82">_xlfn.IFS(CB82&gt;3,"Strong + Slope",CB82&gt;1.5,"Moderate + Slope",CB82&gt;0.5,"Sideway + Slope",CB82&gt;=-0.5,"Sideway Flat",CB82&gt;=-1.5,"Sideway - Slope",CB82&gt;=-3,"Moderate - Slope",TRUE,"Strong - Slope")</f>
        <v>Sideway - Slope</v>
      </c>
      <c r="CJ82" s="18" t="str" cm="1">
        <f t="array" ref="CJ82">_xlfn.IFS(CC82&gt;3,"Strong + Slope",CC82&gt;1.5,"Moderate + Slope",CC82&gt;0.5,"Sideway + Slope",CC82&gt;=-0.5,"Sideway Flat",CC82&gt;=-1.5,"Sideway - Slope",CC82&gt;=-3,"Moderate - Slope",TRUE,"Strong - Slope")</f>
        <v>Sideway + Slope</v>
      </c>
      <c r="CK82" s="18" t="str" cm="1">
        <f t="array" ref="CK82">_xlfn.IFS(CD82&gt;3,"Strong + Slope",CD82&gt;1.5,"Moderate + Slope",CD82&gt;0.5,"Sideway + Slope",CD82&gt;=-0.5,"Sideway Flat",CD82&gt;=-1.5,"Sideway - Slope",CD82&gt;=-3,"Moderate - Slope",TRUE,"Strong - Slope")</f>
        <v>Sideway Flat</v>
      </c>
      <c r="CL82" s="18" t="str" cm="1">
        <f t="array" ref="CL82">_xlfn.IFS(CE82&gt;3,"Strong + Slope",CE82&gt;1.5,"Moderate + Slope",CE82&gt;0.5,"Sideway + Slope",CE82&gt;=-0.5,"Sideway Flat",CE82&gt;=-1.5,"Sideway - Slope",CE82&gt;=-3,"Moderate - Slope",TRUE,"Strong - Slope")</f>
        <v>Sideway + Slope</v>
      </c>
      <c r="CM82" s="9"/>
      <c r="CN82" s="9">
        <f>RANK(I82,$I82:$N82,0)</f>
        <v>4</v>
      </c>
      <c r="CO82" s="9">
        <f>RANK(J82,$I82:$N82,0)</f>
        <v>3</v>
      </c>
      <c r="CP82" s="9">
        <f>RANK(K82,$I82:$N82,0)</f>
        <v>1</v>
      </c>
      <c r="CQ82" s="9">
        <f>RANK(L82,$I82:$N82,0)</f>
        <v>5</v>
      </c>
      <c r="CR82" s="9">
        <f>RANK(M82,$I82:$N82,0)</f>
        <v>6</v>
      </c>
      <c r="CS82" s="9">
        <f>RANK(N82,$I82:$N82,0)</f>
        <v>2</v>
      </c>
      <c r="CT82" s="9"/>
      <c r="CU82" s="9" t="str">
        <f>IF($H82&gt;I82,"SUP","RES")</f>
        <v>RES</v>
      </c>
      <c r="CV82" s="9" t="str">
        <f>IF($H82&gt;J82,"SUP","RES")</f>
        <v>RES</v>
      </c>
      <c r="CW82" s="9" t="str">
        <f>IF($H82&gt;K82,"SUP","RES")</f>
        <v>RES</v>
      </c>
      <c r="CX82" s="9" t="str">
        <f>IF($H82&gt;L82,"SUP","RES")</f>
        <v>SUP</v>
      </c>
      <c r="CY82" s="9" t="str">
        <f>IF($H82&gt;M82,"SUP","RES")</f>
        <v>SUP</v>
      </c>
      <c r="CZ82" s="9" t="str">
        <f>IF($H82&gt;N82,"SUP","RES")</f>
        <v>RES</v>
      </c>
      <c r="DA82" s="9"/>
      <c r="DB82" s="12">
        <f>(I82-$H82)/$H82</f>
        <v>2.6175954767944951E-4</v>
      </c>
      <c r="DC82" s="12">
        <f>(J82-$H82)/$H82</f>
        <v>4.5807920843908312E-4</v>
      </c>
      <c r="DD82" s="12">
        <f>(K82-$H82)/$H82</f>
        <v>2.1791482344318404E-3</v>
      </c>
      <c r="DE82" s="12">
        <f>(L82-$H82)/$H82</f>
        <v>-1.262989817553674E-3</v>
      </c>
      <c r="DF82" s="12">
        <f>(M82-$H82)/$H82</f>
        <v>-1.4854854330811969E-3</v>
      </c>
      <c r="DG82" s="12">
        <f>(N82-$H82)/$H82</f>
        <v>5.1043111797486143E-4</v>
      </c>
      <c r="DH82" s="12"/>
      <c r="DI82" s="12">
        <f>((H82-MIN(I82:N82))/(MAX(I82:N82)-MIN(I82:N82)))</f>
        <v>0.40535714285714813</v>
      </c>
      <c r="DJ82" s="13">
        <f t="shared" si="67"/>
        <v>4</v>
      </c>
      <c r="DK82" s="14">
        <f t="shared" si="68"/>
        <v>2</v>
      </c>
      <c r="DL82" s="12">
        <f t="shared" si="84"/>
        <v>2.1791482344318404E-3</v>
      </c>
      <c r="DM82" s="12">
        <f t="shared" si="85"/>
        <v>5.1043111797486143E-4</v>
      </c>
      <c r="DN82" s="12">
        <f t="shared" si="86"/>
        <v>4.5807920843908312E-4</v>
      </c>
      <c r="DO82" s="12">
        <f t="shared" si="87"/>
        <v>2.6175954767944951E-4</v>
      </c>
      <c r="DP82" s="12">
        <f t="shared" si="88"/>
        <v>-1.262989817553674E-3</v>
      </c>
      <c r="DQ82" s="12">
        <f t="shared" si="89"/>
        <v>-1.4854854330811969E-3</v>
      </c>
      <c r="DR82" s="9"/>
      <c r="DS82" s="9" t="str">
        <f>IF(AQ82&gt;AG82,"Overbought",IF(AQ82&gt;AI82,"Bullish Momentum",IF(AQ82&gt;AK82,"Overprice Setting Up","-----")))</f>
        <v>Overprice Setting Up</v>
      </c>
      <c r="DT82" s="9" t="str">
        <f>IF(AQ82&lt;AP82,"Oversold",IF(AQ82&lt;AN82,"Bearish Momentum",IF(AQ82&lt;AL82,"Underprice Setting Up","-----")))</f>
        <v>-----</v>
      </c>
      <c r="DU82" s="9"/>
      <c r="DV82" s="12" t="str">
        <f>IF(AND(AT82&gt;AU82,AT81&gt;AU81,AT80&gt;AU80,AT79&gt;AU79,AT78&gt;AU78,AT77&gt;AU77,AT76&gt;AU76,AT75&gt;AU75,AT74&gt;AU74,AT73&gt;AU73,AT72&gt;AU72,AT71&gt;AU71),"Bullish",IF(AND(AT82&lt;AU82,AT81&lt;AU81,AT80&lt;AU80,AT79&lt;AU79,AT78&lt;AU78,AT77&lt;AU77,AT76&lt;AU76,AT75&lt;AU75,AT74&lt;AU74,AT73&lt;AU73,AT72&lt;AU72,AT71&lt;AU71),"Bearish","-----"))</f>
        <v>Bearish</v>
      </c>
      <c r="DW82" s="12"/>
      <c r="DX82" s="23">
        <f>(AR82-AT82)/AT82</f>
        <v>-2.0287825341442459E-4</v>
      </c>
      <c r="DY82" s="23">
        <f t="shared" si="69"/>
        <v>0.71357381576252776</v>
      </c>
      <c r="DZ82" s="23" t="str">
        <f t="shared" si="70"/>
        <v>-----</v>
      </c>
      <c r="EA82" s="23" t="str">
        <f>IF(AQ82&gt;AR82,"Bullish","Bearish")</f>
        <v>Bullish</v>
      </c>
      <c r="EB82" s="22" t="str">
        <f>IF(AND(H82&gt;AQ82,H81&lt;AQ81),"TEMA crossover","-----")</f>
        <v>-----</v>
      </c>
      <c r="EC82" s="22" t="str">
        <f>IF(AND(H82&lt;AQ82,H81&gt;AQ81),"TEMA crossunder","-----")</f>
        <v>-----</v>
      </c>
      <c r="ED82" s="22"/>
      <c r="EE82" s="24" t="str">
        <f t="shared" si="45"/>
        <v>YES</v>
      </c>
      <c r="EF82" s="24" t="str">
        <f t="shared" si="46"/>
        <v>-----</v>
      </c>
      <c r="EG82" s="24" t="str">
        <f t="shared" si="47"/>
        <v>-----</v>
      </c>
      <c r="EH82" s="24" t="str">
        <f t="shared" si="48"/>
        <v>-----</v>
      </c>
      <c r="EI82" s="25" t="str">
        <f>IF(DV82="Bullish","YES","-----")</f>
        <v>-----</v>
      </c>
      <c r="EJ82" s="25" t="str">
        <f>IF(DZ82="Reverse to Bullish","YES","-----")</f>
        <v>-----</v>
      </c>
      <c r="EK82" s="25" t="str">
        <f>IF(AND(EA82="Bearish",EA81="Bearish",EA80="Bearish",EA79="Bearish"),"YES","-----")</f>
        <v>-----</v>
      </c>
      <c r="EL82" s="25" t="str">
        <f>IF(OR(EC82="TEMA crossover",EC81="TEMA crossover",EC80="TEMA crossover",EC79="TEMA crossover"),"YES","-----")</f>
        <v>-----</v>
      </c>
      <c r="EM82" s="24" t="str">
        <f>IF(AND(EE82="YES",EF82="YES",EG82="YES",EH82="YES"),"Open Sell / Close Buy","-----")</f>
        <v>-----</v>
      </c>
      <c r="EN82" s="25" t="str">
        <f t="shared" si="94"/>
        <v>-----</v>
      </c>
      <c r="EO82" s="23"/>
      <c r="EP82" s="9" t="str">
        <f>IF(AND(H82&gt;AV82,H82&gt;E82),"Bullish Trigger","-----")</f>
        <v>Bullish Trigger</v>
      </c>
      <c r="EQ82" s="9" t="str">
        <f>IF(AND(H82&lt;AW82,H82&lt;E82),"Bearish Trigger","-----")</f>
        <v>-----</v>
      </c>
      <c r="ER82" s="9"/>
      <c r="ES82" s="9" t="str">
        <f>IF(G82&gt;AV82,"Bullish Spike","-----")</f>
        <v>-----</v>
      </c>
      <c r="ET82" s="9" t="str">
        <f>IF(F82&lt;AW82,"Bearish Spike","-----")</f>
        <v>-----</v>
      </c>
      <c r="EU82" s="9"/>
      <c r="EV82" s="20">
        <f t="shared" si="71"/>
        <v>3.099999999997749E-2</v>
      </c>
      <c r="EW82" s="9">
        <f t="shared" si="90"/>
        <v>-1.0319987845007546</v>
      </c>
      <c r="EX82" s="21" t="str">
        <f t="shared" si="91"/>
        <v>-----</v>
      </c>
      <c r="EY82" s="9"/>
    </row>
    <row r="83" spans="1:155" x14ac:dyDescent="0.55000000000000004">
      <c r="A83">
        <v>79</v>
      </c>
      <c r="B83" t="s">
        <v>82</v>
      </c>
      <c r="C83" t="s">
        <v>4</v>
      </c>
      <c r="D83" t="s">
        <v>103</v>
      </c>
      <c r="E83">
        <v>152.81200000000001</v>
      </c>
      <c r="F83">
        <v>152.81899999999999</v>
      </c>
      <c r="G83">
        <v>152.786</v>
      </c>
      <c r="H83">
        <v>152.786</v>
      </c>
      <c r="I83">
        <v>152.84899999999999</v>
      </c>
      <c r="J83">
        <v>152.88200000000001</v>
      </c>
      <c r="K83">
        <v>153.143</v>
      </c>
      <c r="L83">
        <v>152.62</v>
      </c>
      <c r="M83">
        <v>152.58500000000001</v>
      </c>
      <c r="N83">
        <v>152.89099999999999</v>
      </c>
      <c r="O83" s="16">
        <f t="shared" si="66"/>
        <v>3.299999999998704E-2</v>
      </c>
      <c r="P83" s="16">
        <f t="shared" si="72"/>
        <v>6.9999999999765805E-3</v>
      </c>
      <c r="Q83" s="16">
        <f t="shared" si="73"/>
        <v>2.6000000000010459E-2</v>
      </c>
      <c r="R83" s="16">
        <f t="shared" si="74"/>
        <v>3.299999999998704E-2</v>
      </c>
      <c r="S83" s="16">
        <f t="shared" ref="S83:S103" si="101">(S82*13+R83)/14</f>
        <v>4.3412808258650439E-2</v>
      </c>
      <c r="T83">
        <v>0</v>
      </c>
      <c r="U83">
        <v>0</v>
      </c>
      <c r="V83">
        <v>0</v>
      </c>
      <c r="W83">
        <v>0</v>
      </c>
      <c r="Y83" s="9" t="str">
        <f t="shared" si="75"/>
        <v>------</v>
      </c>
      <c r="Z83" s="9" t="str">
        <f t="shared" si="76"/>
        <v>------</v>
      </c>
      <c r="AA83" s="9"/>
      <c r="AB83">
        <v>0</v>
      </c>
      <c r="AD83" t="str">
        <f t="shared" si="58"/>
        <v/>
      </c>
      <c r="AE83">
        <v>0.44795000000000001</v>
      </c>
      <c r="AF83">
        <v>3</v>
      </c>
      <c r="AG83">
        <v>153.08105</v>
      </c>
      <c r="AH83">
        <v>153.00192000000001</v>
      </c>
      <c r="AI83">
        <v>152.92277999999999</v>
      </c>
      <c r="AJ83">
        <v>152.84363999999999</v>
      </c>
      <c r="AK83">
        <v>152.76451</v>
      </c>
      <c r="AL83">
        <v>152.73240999999999</v>
      </c>
      <c r="AM83">
        <v>152.65328</v>
      </c>
      <c r="AN83">
        <v>152.57414</v>
      </c>
      <c r="AO83">
        <v>152.495</v>
      </c>
      <c r="AP83">
        <v>152.41587000000001</v>
      </c>
      <c r="AQ83">
        <v>152.797</v>
      </c>
      <c r="AR83">
        <v>152.77500000000001</v>
      </c>
      <c r="AS83">
        <f t="shared" si="92"/>
        <v>79</v>
      </c>
      <c r="AT83">
        <v>152.80099999999999</v>
      </c>
      <c r="AU83">
        <v>152.89599999999999</v>
      </c>
      <c r="AV83">
        <v>152.815</v>
      </c>
      <c r="AW83">
        <v>152.78299999999999</v>
      </c>
      <c r="AY83" s="4">
        <f>I83*(1+$AY$2)</f>
        <v>152.87192734999999</v>
      </c>
      <c r="AZ83" s="4">
        <f>I83*(1-$AY$2)</f>
        <v>152.82607264999999</v>
      </c>
      <c r="BA83" s="4">
        <f>J83*(1+$AY$2)</f>
        <v>152.90493230000001</v>
      </c>
      <c r="BB83" s="4">
        <f>J83*(1-$AY$2)</f>
        <v>152.8590677</v>
      </c>
      <c r="BC83" s="4">
        <f>K83*(1+$AY$2)</f>
        <v>153.16597145000003</v>
      </c>
      <c r="BD83" s="4">
        <f>K83*(1-$AY$2)</f>
        <v>153.12002855</v>
      </c>
      <c r="BE83" s="4">
        <f>L83*(1+$AY$2)</f>
        <v>152.64289300000002</v>
      </c>
      <c r="BF83" s="4">
        <f>L83*(1-$AY$2)</f>
        <v>152.59710699999999</v>
      </c>
      <c r="BG83" s="4">
        <f>M83*(1+$AY$2)</f>
        <v>152.60788775000003</v>
      </c>
      <c r="BH83" s="4">
        <f>M83*(1-$AY$2)</f>
        <v>152.56211225000001</v>
      </c>
      <c r="BI83" s="4">
        <f>N83*(1+$AY$2)</f>
        <v>152.91393365000002</v>
      </c>
      <c r="BJ83" s="4">
        <f>N83*(1-$AY$2)</f>
        <v>152.86806634999999</v>
      </c>
      <c r="BK83" s="30">
        <f t="shared" si="93"/>
        <v>79</v>
      </c>
      <c r="BL83" s="15" t="str">
        <f t="shared" si="77"/>
        <v>-----</v>
      </c>
      <c r="BM83" s="15" t="str">
        <f t="shared" si="78"/>
        <v>-----</v>
      </c>
      <c r="BN83" s="15" t="str">
        <f t="shared" si="79"/>
        <v>-----</v>
      </c>
      <c r="BO83" s="15" t="str">
        <f t="shared" si="80"/>
        <v>-----</v>
      </c>
      <c r="BP83" s="15" t="str">
        <f t="shared" si="81"/>
        <v>-----</v>
      </c>
      <c r="BQ83" s="15" t="str">
        <f t="shared" si="82"/>
        <v>-----</v>
      </c>
      <c r="BR83" s="22"/>
      <c r="BS83" s="9">
        <f t="shared" si="83"/>
        <v>-2.423265306122455E-3</v>
      </c>
      <c r="BT83" s="9">
        <f>SLOPE(J$5:J$103,$A$5:$A$103)</f>
        <v>-3.7194805194805478E-4</v>
      </c>
      <c r="BU83" s="9">
        <f>SLOPE(K$5:K$103,$A$5:$A$103)</f>
        <v>-1.6402721088435472E-3</v>
      </c>
      <c r="BV83" s="9">
        <f>SLOPE(L$5:L$103,$A$5:$A$103)</f>
        <v>7.6471243042669956E-4</v>
      </c>
      <c r="BW83" s="9">
        <f>SLOPE(M$5:M$103,$A$5:$A$103)</f>
        <v>-2.3081014223875058E-4</v>
      </c>
      <c r="BX83" s="9">
        <f>SLOPE(N$5:N$103,$A$5:$A$103)</f>
        <v>1.5802844774273381E-3</v>
      </c>
      <c r="BY83"/>
      <c r="BZ83" s="9">
        <f t="shared" si="95"/>
        <v>-1.9079214597220278</v>
      </c>
      <c r="CA83" s="9">
        <f t="shared" si="96"/>
        <v>-0.29295343676527091</v>
      </c>
      <c r="CB83" s="9">
        <f t="shared" si="97"/>
        <v>-1.2917022253843653</v>
      </c>
      <c r="CC83" s="9">
        <f t="shared" si="98"/>
        <v>0.60228527619529781</v>
      </c>
      <c r="CD83" s="9">
        <f t="shared" si="99"/>
        <v>-0.18179147971962978</v>
      </c>
      <c r="CE83" s="9">
        <f t="shared" si="100"/>
        <v>1.2444775446344229</v>
      </c>
      <c r="CF83"/>
      <c r="CG83" s="18" t="str" cm="1">
        <f t="array" ref="CG83">_xlfn.IFS(BZ83&gt;3,"Strong + Slope",BZ83&gt;1.5,"Moderate + Slope",BZ83&gt;0.5,"Sideway + Slope",BZ83&gt;=-0.5,"Sideway Flat",BZ83&gt;=-1.5,"Sideway - Slope",BZ83&gt;=-3,"Moderate - Slope",TRUE,"Strong - Slope")</f>
        <v>Moderate - Slope</v>
      </c>
      <c r="CH83" s="18" t="str" cm="1">
        <f t="array" ref="CH83">_xlfn.IFS(CA83&gt;3,"Strong + Slope",CA83&gt;1.5,"Moderate + Slope",CA83&gt;0.5,"Sideway + Slope",CA83&gt;=-0.5,"Sideway Flat",CA83&gt;=-1.5,"Sideway - Slope",CA83&gt;=-3,"Moderate - Slope",TRUE,"Strong - Slope")</f>
        <v>Sideway Flat</v>
      </c>
      <c r="CI83" s="18" t="str" cm="1">
        <f t="array" ref="CI83">_xlfn.IFS(CB83&gt;3,"Strong + Slope",CB83&gt;1.5,"Moderate + Slope",CB83&gt;0.5,"Sideway + Slope",CB83&gt;=-0.5,"Sideway Flat",CB83&gt;=-1.5,"Sideway - Slope",CB83&gt;=-3,"Moderate - Slope",TRUE,"Strong - Slope")</f>
        <v>Sideway - Slope</v>
      </c>
      <c r="CJ83" s="18" t="str" cm="1">
        <f t="array" ref="CJ83">_xlfn.IFS(CC83&gt;3,"Strong + Slope",CC83&gt;1.5,"Moderate + Slope",CC83&gt;0.5,"Sideway + Slope",CC83&gt;=-0.5,"Sideway Flat",CC83&gt;=-1.5,"Sideway - Slope",CC83&gt;=-3,"Moderate - Slope",TRUE,"Strong - Slope")</f>
        <v>Sideway + Slope</v>
      </c>
      <c r="CK83" s="18" t="str" cm="1">
        <f t="array" ref="CK83">_xlfn.IFS(CD83&gt;3,"Strong + Slope",CD83&gt;1.5,"Moderate + Slope",CD83&gt;0.5,"Sideway + Slope",CD83&gt;=-0.5,"Sideway Flat",CD83&gt;=-1.5,"Sideway - Slope",CD83&gt;=-3,"Moderate - Slope",TRUE,"Strong - Slope")</f>
        <v>Sideway Flat</v>
      </c>
      <c r="CL83" s="18" t="str" cm="1">
        <f t="array" ref="CL83">_xlfn.IFS(CE83&gt;3,"Strong + Slope",CE83&gt;1.5,"Moderate + Slope",CE83&gt;0.5,"Sideway + Slope",CE83&gt;=-0.5,"Sideway Flat",CE83&gt;=-1.5,"Sideway - Slope",CE83&gt;=-3,"Moderate - Slope",TRUE,"Strong - Slope")</f>
        <v>Sideway + Slope</v>
      </c>
      <c r="CM83" s="9"/>
      <c r="CN83" s="9">
        <f>RANK(I83,$I83:$N83,0)</f>
        <v>4</v>
      </c>
      <c r="CO83" s="9">
        <f>RANK(J83,$I83:$N83,0)</f>
        <v>3</v>
      </c>
      <c r="CP83" s="9">
        <f>RANK(K83,$I83:$N83,0)</f>
        <v>1</v>
      </c>
      <c r="CQ83" s="9">
        <f>RANK(L83,$I83:$N83,0)</f>
        <v>5</v>
      </c>
      <c r="CR83" s="9">
        <f>RANK(M83,$I83:$N83,0)</f>
        <v>6</v>
      </c>
      <c r="CS83" s="9">
        <f>RANK(N83,$I83:$N83,0)</f>
        <v>2</v>
      </c>
      <c r="CT83" s="9"/>
      <c r="CU83" s="9" t="str">
        <f>IF($H83&gt;I83,"SUP","RES")</f>
        <v>RES</v>
      </c>
      <c r="CV83" s="9" t="str">
        <f>IF($H83&gt;J83,"SUP","RES")</f>
        <v>RES</v>
      </c>
      <c r="CW83" s="9" t="str">
        <f>IF($H83&gt;K83,"SUP","RES")</f>
        <v>RES</v>
      </c>
      <c r="CX83" s="9" t="str">
        <f>IF($H83&gt;L83,"SUP","RES")</f>
        <v>SUP</v>
      </c>
      <c r="CY83" s="9" t="str">
        <f>IF($H83&gt;M83,"SUP","RES")</f>
        <v>SUP</v>
      </c>
      <c r="CZ83" s="9" t="str">
        <f>IF($H83&gt;N83,"SUP","RES")</f>
        <v>RES</v>
      </c>
      <c r="DA83" s="9"/>
      <c r="DB83" s="12">
        <f>(I83-$H83)/$H83</f>
        <v>4.1234144489670632E-4</v>
      </c>
      <c r="DC83" s="12">
        <f>(J83-$H83)/$H83</f>
        <v>6.2832982079512279E-4</v>
      </c>
      <c r="DD83" s="12">
        <f>(K83-$H83)/$H83</f>
        <v>2.33660152108177E-3</v>
      </c>
      <c r="DE83" s="12">
        <f>(L83-$H83)/$H83</f>
        <v>-1.0864869817915047E-3</v>
      </c>
      <c r="DF83" s="12">
        <f>(M83-$H83)/$H83</f>
        <v>-1.3155655622896954E-3</v>
      </c>
      <c r="DG83" s="12">
        <f>(N83-$H83)/$H83</f>
        <v>6.8723574149457257E-4</v>
      </c>
      <c r="DH83" s="12"/>
      <c r="DI83" s="12">
        <f>((H83-MIN(I83:N83))/(MAX(I83:N83)-MIN(I83:N83)))</f>
        <v>0.36021505376343377</v>
      </c>
      <c r="DJ83" s="13">
        <f t="shared" si="67"/>
        <v>4</v>
      </c>
      <c r="DK83" s="14">
        <f t="shared" si="68"/>
        <v>2</v>
      </c>
      <c r="DL83" s="12">
        <f t="shared" si="84"/>
        <v>2.33660152108177E-3</v>
      </c>
      <c r="DM83" s="12">
        <f t="shared" si="85"/>
        <v>6.8723574149457257E-4</v>
      </c>
      <c r="DN83" s="12">
        <f t="shared" si="86"/>
        <v>6.2832982079512279E-4</v>
      </c>
      <c r="DO83" s="12">
        <f t="shared" si="87"/>
        <v>4.1234144489670632E-4</v>
      </c>
      <c r="DP83" s="12">
        <f t="shared" si="88"/>
        <v>-1.0864869817915047E-3</v>
      </c>
      <c r="DQ83" s="12">
        <f t="shared" si="89"/>
        <v>-1.3155655622896954E-3</v>
      </c>
      <c r="DR83" s="9"/>
      <c r="DS83" s="9" t="str">
        <f>IF(AQ83&gt;AG83,"Overbought",IF(AQ83&gt;AI83,"Bullish Momentum",IF(AQ83&gt;AK83,"Overprice Setting Up","-----")))</f>
        <v>Overprice Setting Up</v>
      </c>
      <c r="DT83" s="9" t="str">
        <f>IF(AQ83&lt;AP83,"Oversold",IF(AQ83&lt;AN83,"Bearish Momentum",IF(AQ83&lt;AL83,"Underprice Setting Up","-----")))</f>
        <v>-----</v>
      </c>
      <c r="DU83" s="9"/>
      <c r="DV83" s="12" t="str">
        <f>IF(AND(AT83&gt;AU83,AT82&gt;AU82,AT81&gt;AU81,AT80&gt;AU80,AT79&gt;AU79,AT78&gt;AU78,AT77&gt;AU77,AT76&gt;AU76,AT75&gt;AU75,AT74&gt;AU74,AT73&gt;AU73,AT72&gt;AU72),"Bullish",IF(AND(AT83&lt;AU83,AT82&lt;AU82,AT81&lt;AU81,AT80&lt;AU80,AT79&lt;AU79,AT78&lt;AU78,AT77&lt;AU77,AT76&lt;AU76,AT75&lt;AU75,AT74&lt;AU74,AT73&lt;AU73,AT72&lt;AU72),"Bearish","-----"))</f>
        <v>Bearish</v>
      </c>
      <c r="DW83" s="12"/>
      <c r="DX83" s="23">
        <f>(AR83-AT83)/AT83</f>
        <v>-1.7015595447662018E-4</v>
      </c>
      <c r="DY83" s="23">
        <f t="shared" si="69"/>
        <v>0.80794665288690137</v>
      </c>
      <c r="DZ83" s="23" t="str">
        <f t="shared" si="70"/>
        <v>-----</v>
      </c>
      <c r="EA83" s="23" t="str">
        <f>IF(AQ83&gt;AR83,"Bullish","Bearish")</f>
        <v>Bullish</v>
      </c>
      <c r="EB83" s="22" t="str">
        <f>IF(AND(H83&gt;AQ83,H82&lt;AQ82),"TEMA crossover","-----")</f>
        <v>-----</v>
      </c>
      <c r="EC83" s="22" t="str">
        <f>IF(AND(H83&lt;AQ83,H82&gt;AQ82),"TEMA crossunder","-----")</f>
        <v>TEMA crossunder</v>
      </c>
      <c r="ED83" s="22"/>
      <c r="EE83" s="24" t="str">
        <f t="shared" si="45"/>
        <v>YES</v>
      </c>
      <c r="EF83" s="24" t="str">
        <f t="shared" si="46"/>
        <v>-----</v>
      </c>
      <c r="EG83" s="24" t="str">
        <f t="shared" si="47"/>
        <v>-----</v>
      </c>
      <c r="EH83" s="24" t="str">
        <f t="shared" si="48"/>
        <v>YES</v>
      </c>
      <c r="EI83" s="25" t="str">
        <f>IF(DV83="Bullish","YES","-----")</f>
        <v>-----</v>
      </c>
      <c r="EJ83" s="25" t="str">
        <f>IF(DZ83="Reverse to Bullish","YES","-----")</f>
        <v>-----</v>
      </c>
      <c r="EK83" s="25" t="str">
        <f>IF(AND(EA83="Bearish",EA82="Bearish",EA81="Bearish",EA80="Bearish"),"YES","-----")</f>
        <v>-----</v>
      </c>
      <c r="EL83" s="25" t="str">
        <f>IF(OR(EC83="TEMA crossover",EC82="TEMA crossover",EC81="TEMA crossover",EC80="TEMA crossover"),"YES","-----")</f>
        <v>-----</v>
      </c>
      <c r="EM83" s="24" t="str">
        <f>IF(AND(EE83="YES",EF83="YES",EG83="YES",EH83="YES"),"Open Sell / Close Buy","-----")</f>
        <v>-----</v>
      </c>
      <c r="EN83" s="25" t="str">
        <f t="shared" si="94"/>
        <v>-----</v>
      </c>
      <c r="EO83" s="23"/>
      <c r="EP83" s="9" t="str">
        <f>IF(AND(H83&gt;AV83,H83&gt;E83),"Bullish Trigger","-----")</f>
        <v>-----</v>
      </c>
      <c r="EQ83" s="9" t="str">
        <f>IF(AND(H83&lt;AW83,H83&lt;E83),"Bearish Trigger","-----")</f>
        <v>-----</v>
      </c>
      <c r="ER83" s="9"/>
      <c r="ES83" s="9" t="str">
        <f>IF(G83&gt;AV83,"Bullish Spike","-----")</f>
        <v>-----</v>
      </c>
      <c r="ET83" s="9" t="str">
        <f>IF(F83&lt;AW83,"Bearish Spike","-----")</f>
        <v>-----</v>
      </c>
      <c r="EU83" s="9"/>
      <c r="EV83" s="20">
        <f t="shared" si="71"/>
        <v>3.2000000000010687E-2</v>
      </c>
      <c r="EW83" s="9">
        <f t="shared" si="90"/>
        <v>-1.0089516652431614</v>
      </c>
      <c r="EX83" s="21" t="str">
        <f t="shared" si="91"/>
        <v>-----</v>
      </c>
      <c r="EY83" s="9"/>
    </row>
    <row r="84" spans="1:155" x14ac:dyDescent="0.55000000000000004">
      <c r="A84">
        <v>80</v>
      </c>
      <c r="B84" t="s">
        <v>83</v>
      </c>
      <c r="C84" t="s">
        <v>4</v>
      </c>
      <c r="D84" t="s">
        <v>103</v>
      </c>
      <c r="E84">
        <v>152.786</v>
      </c>
      <c r="F84">
        <v>152.816</v>
      </c>
      <c r="G84">
        <v>152.786</v>
      </c>
      <c r="H84">
        <v>152.81399999999999</v>
      </c>
      <c r="I84">
        <v>152.84700000000001</v>
      </c>
      <c r="J84">
        <v>152.88200000000001</v>
      </c>
      <c r="K84">
        <v>153.14099999999999</v>
      </c>
      <c r="L84">
        <v>152.62100000000001</v>
      </c>
      <c r="M84">
        <v>152.58500000000001</v>
      </c>
      <c r="N84">
        <v>152.893</v>
      </c>
      <c r="O84" s="16">
        <f t="shared" si="66"/>
        <v>3.0000000000001137E-2</v>
      </c>
      <c r="P84" s="16">
        <f t="shared" si="72"/>
        <v>3.0000000000001137E-2</v>
      </c>
      <c r="Q84" s="16">
        <f t="shared" si="73"/>
        <v>0</v>
      </c>
      <c r="R84" s="16">
        <f t="shared" si="74"/>
        <v>3.0000000000001137E-2</v>
      </c>
      <c r="S84" s="16">
        <f t="shared" si="101"/>
        <v>4.2454750525889776E-2</v>
      </c>
      <c r="T84">
        <v>0</v>
      </c>
      <c r="U84">
        <v>0</v>
      </c>
      <c r="V84">
        <v>0</v>
      </c>
      <c r="W84">
        <v>0</v>
      </c>
      <c r="Y84" s="9" t="str">
        <f t="shared" si="75"/>
        <v>------</v>
      </c>
      <c r="Z84" s="9" t="str">
        <f t="shared" si="76"/>
        <v>------</v>
      </c>
      <c r="AA84" s="9"/>
      <c r="AB84">
        <v>0</v>
      </c>
      <c r="AD84" t="str">
        <f t="shared" si="58"/>
        <v/>
      </c>
      <c r="AE84">
        <v>0.39807999999999999</v>
      </c>
      <c r="AF84">
        <v>0</v>
      </c>
      <c r="AG84">
        <v>153.08064999999999</v>
      </c>
      <c r="AH84">
        <v>153.00163000000001</v>
      </c>
      <c r="AI84">
        <v>152.92260999999999</v>
      </c>
      <c r="AJ84">
        <v>152.84359000000001</v>
      </c>
      <c r="AK84">
        <v>152.76458</v>
      </c>
      <c r="AL84">
        <v>152.73344</v>
      </c>
      <c r="AM84">
        <v>152.65441999999999</v>
      </c>
      <c r="AN84">
        <v>152.5754</v>
      </c>
      <c r="AO84">
        <v>152.49637999999999</v>
      </c>
      <c r="AP84">
        <v>152.41736</v>
      </c>
      <c r="AQ84">
        <v>152.804</v>
      </c>
      <c r="AR84">
        <v>152.78</v>
      </c>
      <c r="AS84">
        <f t="shared" si="92"/>
        <v>80</v>
      </c>
      <c r="AT84">
        <v>152.80099999999999</v>
      </c>
      <c r="AU84">
        <v>152.89400000000001</v>
      </c>
      <c r="AV84">
        <v>152.81800000000001</v>
      </c>
      <c r="AW84">
        <v>152.78800000000001</v>
      </c>
      <c r="AY84" s="4">
        <f>I84*(1+$AY$2)</f>
        <v>152.86992705000003</v>
      </c>
      <c r="AZ84" s="4">
        <f>I84*(1-$AY$2)</f>
        <v>152.82407295000002</v>
      </c>
      <c r="BA84" s="4">
        <f>J84*(1+$AY$2)</f>
        <v>152.90493230000001</v>
      </c>
      <c r="BB84" s="4">
        <f>J84*(1-$AY$2)</f>
        <v>152.8590677</v>
      </c>
      <c r="BC84" s="4">
        <f>K84*(1+$AY$2)</f>
        <v>153.16397115000001</v>
      </c>
      <c r="BD84" s="4">
        <f>K84*(1-$AY$2)</f>
        <v>153.11802885</v>
      </c>
      <c r="BE84" s="4">
        <f>L84*(1+$AY$2)</f>
        <v>152.64389315000003</v>
      </c>
      <c r="BF84" s="4">
        <f>L84*(1-$AY$2)</f>
        <v>152.59810685000002</v>
      </c>
      <c r="BG84" s="4">
        <f>M84*(1+$AY$2)</f>
        <v>152.60788775000003</v>
      </c>
      <c r="BH84" s="4">
        <f>M84*(1-$AY$2)</f>
        <v>152.56211225000001</v>
      </c>
      <c r="BI84" s="4">
        <f>N84*(1+$AY$2)</f>
        <v>152.91593395000001</v>
      </c>
      <c r="BJ84" s="4">
        <f>N84*(1-$AY$2)</f>
        <v>152.87006604999999</v>
      </c>
      <c r="BK84" s="30">
        <f t="shared" si="93"/>
        <v>80</v>
      </c>
      <c r="BL84" s="15" t="str">
        <f t="shared" si="77"/>
        <v>-----</v>
      </c>
      <c r="BM84" s="15" t="str">
        <f t="shared" si="78"/>
        <v>-----</v>
      </c>
      <c r="BN84" s="15" t="str">
        <f t="shared" si="79"/>
        <v>-----</v>
      </c>
      <c r="BO84" s="15" t="str">
        <f t="shared" si="80"/>
        <v>-----</v>
      </c>
      <c r="BP84" s="15" t="str">
        <f t="shared" si="81"/>
        <v>-----</v>
      </c>
      <c r="BQ84" s="15" t="str">
        <f t="shared" si="82"/>
        <v>-----</v>
      </c>
      <c r="BR84" s="22"/>
      <c r="BS84" s="9">
        <f t="shared" si="83"/>
        <v>-2.423265306122455E-3</v>
      </c>
      <c r="BT84" s="9">
        <f>SLOPE(J$5:J$103,$A$5:$A$103)</f>
        <v>-3.7194805194805478E-4</v>
      </c>
      <c r="BU84" s="9">
        <f>SLOPE(K$5:K$103,$A$5:$A$103)</f>
        <v>-1.6402721088435472E-3</v>
      </c>
      <c r="BV84" s="9">
        <f>SLOPE(L$5:L$103,$A$5:$A$103)</f>
        <v>7.6471243042669956E-4</v>
      </c>
      <c r="BW84" s="9">
        <f>SLOPE(M$5:M$103,$A$5:$A$103)</f>
        <v>-2.3081014223875058E-4</v>
      </c>
      <c r="BX84" s="9">
        <f>SLOPE(N$5:N$103,$A$5:$A$103)</f>
        <v>1.5802844774273381E-3</v>
      </c>
      <c r="BY84"/>
      <c r="BZ84" s="9">
        <f t="shared" si="95"/>
        <v>-1.9079214597220278</v>
      </c>
      <c r="CA84" s="9">
        <f t="shared" si="96"/>
        <v>-0.29295343676527091</v>
      </c>
      <c r="CB84" s="9">
        <f t="shared" si="97"/>
        <v>-1.2917022253843653</v>
      </c>
      <c r="CC84" s="9">
        <f t="shared" si="98"/>
        <v>0.60228527619529781</v>
      </c>
      <c r="CD84" s="9">
        <f t="shared" si="99"/>
        <v>-0.18179147971962978</v>
      </c>
      <c r="CE84" s="9">
        <f t="shared" si="100"/>
        <v>1.2444775446344229</v>
      </c>
      <c r="CF84"/>
      <c r="CG84" s="18" t="str" cm="1">
        <f t="array" ref="CG84">_xlfn.IFS(BZ84&gt;3,"Strong + Slope",BZ84&gt;1.5,"Moderate + Slope",BZ84&gt;0.5,"Sideway + Slope",BZ84&gt;=-0.5,"Sideway Flat",BZ84&gt;=-1.5,"Sideway - Slope",BZ84&gt;=-3,"Moderate - Slope",TRUE,"Strong - Slope")</f>
        <v>Moderate - Slope</v>
      </c>
      <c r="CH84" s="18" t="str" cm="1">
        <f t="array" ref="CH84">_xlfn.IFS(CA84&gt;3,"Strong + Slope",CA84&gt;1.5,"Moderate + Slope",CA84&gt;0.5,"Sideway + Slope",CA84&gt;=-0.5,"Sideway Flat",CA84&gt;=-1.5,"Sideway - Slope",CA84&gt;=-3,"Moderate - Slope",TRUE,"Strong - Slope")</f>
        <v>Sideway Flat</v>
      </c>
      <c r="CI84" s="18" t="str" cm="1">
        <f t="array" ref="CI84">_xlfn.IFS(CB84&gt;3,"Strong + Slope",CB84&gt;1.5,"Moderate + Slope",CB84&gt;0.5,"Sideway + Slope",CB84&gt;=-0.5,"Sideway Flat",CB84&gt;=-1.5,"Sideway - Slope",CB84&gt;=-3,"Moderate - Slope",TRUE,"Strong - Slope")</f>
        <v>Sideway - Slope</v>
      </c>
      <c r="CJ84" s="18" t="str" cm="1">
        <f t="array" ref="CJ84">_xlfn.IFS(CC84&gt;3,"Strong + Slope",CC84&gt;1.5,"Moderate + Slope",CC84&gt;0.5,"Sideway + Slope",CC84&gt;=-0.5,"Sideway Flat",CC84&gt;=-1.5,"Sideway - Slope",CC84&gt;=-3,"Moderate - Slope",TRUE,"Strong - Slope")</f>
        <v>Sideway + Slope</v>
      </c>
      <c r="CK84" s="18" t="str" cm="1">
        <f t="array" ref="CK84">_xlfn.IFS(CD84&gt;3,"Strong + Slope",CD84&gt;1.5,"Moderate + Slope",CD84&gt;0.5,"Sideway + Slope",CD84&gt;=-0.5,"Sideway Flat",CD84&gt;=-1.5,"Sideway - Slope",CD84&gt;=-3,"Moderate - Slope",TRUE,"Strong - Slope")</f>
        <v>Sideway Flat</v>
      </c>
      <c r="CL84" s="18" t="str" cm="1">
        <f t="array" ref="CL84">_xlfn.IFS(CE84&gt;3,"Strong + Slope",CE84&gt;1.5,"Moderate + Slope",CE84&gt;0.5,"Sideway + Slope",CE84&gt;=-0.5,"Sideway Flat",CE84&gt;=-1.5,"Sideway - Slope",CE84&gt;=-3,"Moderate - Slope",TRUE,"Strong - Slope")</f>
        <v>Sideway + Slope</v>
      </c>
      <c r="CM84" s="9"/>
      <c r="CN84" s="9">
        <f>RANK(I84,$I84:$N84,0)</f>
        <v>4</v>
      </c>
      <c r="CO84" s="9">
        <f>RANK(J84,$I84:$N84,0)</f>
        <v>3</v>
      </c>
      <c r="CP84" s="9">
        <f>RANK(K84,$I84:$N84,0)</f>
        <v>1</v>
      </c>
      <c r="CQ84" s="9">
        <f>RANK(L84,$I84:$N84,0)</f>
        <v>5</v>
      </c>
      <c r="CR84" s="9">
        <f>RANK(M84,$I84:$N84,0)</f>
        <v>6</v>
      </c>
      <c r="CS84" s="9">
        <f>RANK(N84,$I84:$N84,0)</f>
        <v>2</v>
      </c>
      <c r="CT84" s="9"/>
      <c r="CU84" s="9" t="str">
        <f>IF($H84&gt;I84,"SUP","RES")</f>
        <v>RES</v>
      </c>
      <c r="CV84" s="9" t="str">
        <f>IF($H84&gt;J84,"SUP","RES")</f>
        <v>RES</v>
      </c>
      <c r="CW84" s="9" t="str">
        <f>IF($H84&gt;K84,"SUP","RES")</f>
        <v>RES</v>
      </c>
      <c r="CX84" s="9" t="str">
        <f>IF($H84&gt;L84,"SUP","RES")</f>
        <v>SUP</v>
      </c>
      <c r="CY84" s="9" t="str">
        <f>IF($H84&gt;M84,"SUP","RES")</f>
        <v>SUP</v>
      </c>
      <c r="CZ84" s="9" t="str">
        <f>IF($H84&gt;N84,"SUP","RES")</f>
        <v>RES</v>
      </c>
      <c r="DA84" s="9"/>
      <c r="DB84" s="12">
        <f>(I84-$H84)/$H84</f>
        <v>2.1594880050267295E-4</v>
      </c>
      <c r="DC84" s="12">
        <f>(J84-$H84)/$H84</f>
        <v>4.4498540709628735E-4</v>
      </c>
      <c r="DD84" s="12">
        <f>(K84-$H84)/$H84</f>
        <v>2.1398562958891082E-3</v>
      </c>
      <c r="DE84" s="12">
        <f>(L84-$H84)/$H84</f>
        <v>-1.262973287787661E-3</v>
      </c>
      <c r="DF84" s="12">
        <f>(M84-$H84)/$H84</f>
        <v>-1.4985537974268391E-3</v>
      </c>
      <c r="DG84" s="12">
        <f>(N84-$H84)/$H84</f>
        <v>5.1696834059711629E-4</v>
      </c>
      <c r="DH84" s="12"/>
      <c r="DI84" s="12">
        <f>((H84-MIN(I84:N84))/(MAX(I84:N84)-MIN(I84:N84)))</f>
        <v>0.41187050359710775</v>
      </c>
      <c r="DJ84" s="13">
        <f t="shared" si="67"/>
        <v>4</v>
      </c>
      <c r="DK84" s="14">
        <f t="shared" si="68"/>
        <v>2</v>
      </c>
      <c r="DL84" s="12">
        <f t="shared" si="84"/>
        <v>2.1398562958891082E-3</v>
      </c>
      <c r="DM84" s="12">
        <f t="shared" si="85"/>
        <v>5.1696834059711629E-4</v>
      </c>
      <c r="DN84" s="12">
        <f t="shared" si="86"/>
        <v>4.4498540709628735E-4</v>
      </c>
      <c r="DO84" s="12">
        <f t="shared" si="87"/>
        <v>2.1594880050267295E-4</v>
      </c>
      <c r="DP84" s="12">
        <f t="shared" si="88"/>
        <v>-1.262973287787661E-3</v>
      </c>
      <c r="DQ84" s="12">
        <f t="shared" si="89"/>
        <v>-1.4985537974268391E-3</v>
      </c>
      <c r="DR84" s="9"/>
      <c r="DS84" s="9" t="str">
        <f>IF(AQ84&gt;AG84,"Overbought",IF(AQ84&gt;AI84,"Bullish Momentum",IF(AQ84&gt;AK84,"Overprice Setting Up","-----")))</f>
        <v>Overprice Setting Up</v>
      </c>
      <c r="DT84" s="9" t="str">
        <f>IF(AQ84&lt;AP84,"Oversold",IF(AQ84&lt;AN84,"Bearish Momentum",IF(AQ84&lt;AL84,"Underprice Setting Up","-----")))</f>
        <v>-----</v>
      </c>
      <c r="DU84" s="9"/>
      <c r="DV84" s="12" t="str">
        <f>IF(AND(AT84&gt;AU84,AT83&gt;AU83,AT82&gt;AU82,AT81&gt;AU81,AT80&gt;AU80,AT79&gt;AU79,AT78&gt;AU78,AT77&gt;AU77,AT76&gt;AU76,AT75&gt;AU75,AT74&gt;AU74,AT73&gt;AU73),"Bullish",IF(AND(AT84&lt;AU84,AT83&lt;AU83,AT82&lt;AU82,AT81&lt;AU81,AT80&lt;AU80,AT79&lt;AU79,AT78&lt;AU78,AT77&lt;AU77,AT76&lt;AU76,AT75&lt;AU75,AT74&lt;AU74,AT73&lt;AU73),"Bearish","-----"))</f>
        <v>Bearish</v>
      </c>
      <c r="DW84" s="12"/>
      <c r="DX84" s="23">
        <f>(AR84-AT84)/AT84</f>
        <v>-1.3743365553881576E-4</v>
      </c>
      <c r="DY84" s="23">
        <f t="shared" si="69"/>
        <v>0.90231949001127498</v>
      </c>
      <c r="DZ84" s="23" t="str">
        <f t="shared" si="70"/>
        <v>-----</v>
      </c>
      <c r="EA84" s="23" t="str">
        <f>IF(AQ84&gt;AR84,"Bullish","Bearish")</f>
        <v>Bullish</v>
      </c>
      <c r="EB84" s="22" t="str">
        <f>IF(AND(H84&gt;AQ84,H83&lt;AQ83),"TEMA crossover","-----")</f>
        <v>TEMA crossover</v>
      </c>
      <c r="EC84" s="22" t="str">
        <f>IF(AND(H84&lt;AQ84,H83&gt;AQ83),"TEMA crossunder","-----")</f>
        <v>-----</v>
      </c>
      <c r="ED84" s="22"/>
      <c r="EE84" s="24" t="str">
        <f t="shared" si="45"/>
        <v>YES</v>
      </c>
      <c r="EF84" s="24" t="str">
        <f t="shared" si="46"/>
        <v>-----</v>
      </c>
      <c r="EG84" s="24" t="str">
        <f t="shared" si="47"/>
        <v>YES</v>
      </c>
      <c r="EH84" s="24" t="str">
        <f t="shared" si="48"/>
        <v>YES</v>
      </c>
      <c r="EI84" s="25" t="str">
        <f>IF(DV84="Bullish","YES","-----")</f>
        <v>-----</v>
      </c>
      <c r="EJ84" s="25" t="str">
        <f>IF(DZ84="Reverse to Bullish","YES","-----")</f>
        <v>-----</v>
      </c>
      <c r="EK84" s="25" t="str">
        <f>IF(AND(EA84="Bearish",EA83="Bearish",EA82="Bearish",EA81="Bearish"),"YES","-----")</f>
        <v>-----</v>
      </c>
      <c r="EL84" s="25" t="str">
        <f>IF(OR(EC84="TEMA crossover",EC83="TEMA crossover",EC82="TEMA crossover",EC81="TEMA crossover"),"YES","-----")</f>
        <v>-----</v>
      </c>
      <c r="EM84" s="24" t="str">
        <f>IF(AND(EE84="YES",EF84="YES",EG84="YES",EH84="YES"),"Open Sell / Close Buy","-----")</f>
        <v>-----</v>
      </c>
      <c r="EN84" s="25" t="str">
        <f t="shared" si="94"/>
        <v>-----</v>
      </c>
      <c r="EO84" s="23"/>
      <c r="EP84" s="9" t="str">
        <f>IF(AND(H84&gt;AV84,H84&gt;E84),"Bullish Trigger","-----")</f>
        <v>-----</v>
      </c>
      <c r="EQ84" s="9" t="str">
        <f>IF(AND(H84&lt;AW84,H84&lt;E84),"Bearish Trigger","-----")</f>
        <v>-----</v>
      </c>
      <c r="ER84" s="9"/>
      <c r="ES84" s="9" t="str">
        <f>IF(G84&gt;AV84,"Bullish Spike","-----")</f>
        <v>-----</v>
      </c>
      <c r="ET84" s="9" t="str">
        <f>IF(F84&lt;AW84,"Bearish Spike","-----")</f>
        <v>-----</v>
      </c>
      <c r="EU84" s="9"/>
      <c r="EV84" s="20">
        <f t="shared" si="71"/>
        <v>3.0000000000001137E-2</v>
      </c>
      <c r="EW84" s="9">
        <f t="shared" si="90"/>
        <v>-1.0550459037570374</v>
      </c>
      <c r="EX84" s="21" t="str">
        <f t="shared" si="91"/>
        <v>-----</v>
      </c>
      <c r="EY84" s="9"/>
    </row>
    <row r="85" spans="1:155" x14ac:dyDescent="0.55000000000000004">
      <c r="A85">
        <v>81</v>
      </c>
      <c r="B85" t="s">
        <v>84</v>
      </c>
      <c r="C85" t="s">
        <v>4</v>
      </c>
      <c r="D85" t="s">
        <v>103</v>
      </c>
      <c r="E85">
        <v>152.81299999999999</v>
      </c>
      <c r="F85">
        <v>152.81800000000001</v>
      </c>
      <c r="G85">
        <v>152.78700000000001</v>
      </c>
      <c r="H85">
        <v>152.78700000000001</v>
      </c>
      <c r="I85">
        <v>152.84399999999999</v>
      </c>
      <c r="J85">
        <v>152.881</v>
      </c>
      <c r="K85">
        <v>153.13999999999999</v>
      </c>
      <c r="L85">
        <v>152.62100000000001</v>
      </c>
      <c r="M85">
        <v>152.584</v>
      </c>
      <c r="N85">
        <v>152.89400000000001</v>
      </c>
      <c r="O85" s="16">
        <f t="shared" si="66"/>
        <v>3.1000000000005912E-2</v>
      </c>
      <c r="P85" s="16">
        <f t="shared" si="72"/>
        <v>4.0000000000190994E-3</v>
      </c>
      <c r="Q85" s="16">
        <f t="shared" si="73"/>
        <v>2.6999999999986812E-2</v>
      </c>
      <c r="R85" s="16">
        <f t="shared" si="74"/>
        <v>3.1000000000005912E-2</v>
      </c>
      <c r="S85" s="16">
        <f t="shared" si="101"/>
        <v>4.1636554059755214E-2</v>
      </c>
      <c r="T85">
        <v>0</v>
      </c>
      <c r="U85">
        <v>0</v>
      </c>
      <c r="V85">
        <v>0</v>
      </c>
      <c r="W85">
        <v>0</v>
      </c>
      <c r="Y85" s="9" t="str">
        <f t="shared" si="75"/>
        <v>------</v>
      </c>
      <c r="Z85" s="9" t="str">
        <f t="shared" si="76"/>
        <v>------</v>
      </c>
      <c r="AA85" s="9"/>
      <c r="AB85">
        <v>0</v>
      </c>
      <c r="AD85" t="str">
        <f t="shared" si="58"/>
        <v/>
      </c>
      <c r="AE85">
        <v>0.44428000000000001</v>
      </c>
      <c r="AF85">
        <v>3</v>
      </c>
      <c r="AG85">
        <v>153.07875000000001</v>
      </c>
      <c r="AH85">
        <v>153.00031000000001</v>
      </c>
      <c r="AI85">
        <v>152.92187000000001</v>
      </c>
      <c r="AJ85">
        <v>152.84343999999999</v>
      </c>
      <c r="AK85">
        <v>152.76499999999999</v>
      </c>
      <c r="AL85">
        <v>152.73475999999999</v>
      </c>
      <c r="AM85">
        <v>152.65631999999999</v>
      </c>
      <c r="AN85">
        <v>152.57787999999999</v>
      </c>
      <c r="AO85">
        <v>152.49943999999999</v>
      </c>
      <c r="AP85">
        <v>152.42099999999999</v>
      </c>
      <c r="AQ85">
        <v>152.804</v>
      </c>
      <c r="AR85">
        <v>152.78399999999999</v>
      </c>
      <c r="AS85">
        <f t="shared" si="92"/>
        <v>81</v>
      </c>
      <c r="AT85">
        <v>152.80099999999999</v>
      </c>
      <c r="AU85">
        <v>152.89099999999999</v>
      </c>
      <c r="AV85">
        <v>152.821</v>
      </c>
      <c r="AW85">
        <v>152.79</v>
      </c>
      <c r="AY85" s="4">
        <f>I85*(1+$AY$2)</f>
        <v>152.8669266</v>
      </c>
      <c r="AZ85" s="4">
        <f>I85*(1-$AY$2)</f>
        <v>152.82107339999999</v>
      </c>
      <c r="BA85" s="4">
        <f>J85*(1+$AY$2)</f>
        <v>152.90393215</v>
      </c>
      <c r="BB85" s="4">
        <f>J85*(1-$AY$2)</f>
        <v>152.85806785</v>
      </c>
      <c r="BC85" s="4">
        <f>K85*(1+$AY$2)</f>
        <v>153.162971</v>
      </c>
      <c r="BD85" s="4">
        <f>K85*(1-$AY$2)</f>
        <v>153.117029</v>
      </c>
      <c r="BE85" s="4">
        <f>L85*(1+$AY$2)</f>
        <v>152.64389315000003</v>
      </c>
      <c r="BF85" s="4">
        <f>L85*(1-$AY$2)</f>
        <v>152.59810685000002</v>
      </c>
      <c r="BG85" s="4">
        <f>M85*(1+$AY$2)</f>
        <v>152.60688760000002</v>
      </c>
      <c r="BH85" s="4">
        <f>M85*(1-$AY$2)</f>
        <v>152.56111240000001</v>
      </c>
      <c r="BI85" s="4">
        <f>N85*(1+$AY$2)</f>
        <v>152.91693410000002</v>
      </c>
      <c r="BJ85" s="4">
        <f>N85*(1-$AY$2)</f>
        <v>152.87106590000002</v>
      </c>
      <c r="BK85" s="30">
        <f t="shared" si="93"/>
        <v>81</v>
      </c>
      <c r="BL85" s="15" t="str">
        <f t="shared" si="77"/>
        <v>-----</v>
      </c>
      <c r="BM85" s="15" t="str">
        <f t="shared" si="78"/>
        <v>-----</v>
      </c>
      <c r="BN85" s="15" t="str">
        <f t="shared" si="79"/>
        <v>-----</v>
      </c>
      <c r="BO85" s="15" t="str">
        <f t="shared" si="80"/>
        <v>-----</v>
      </c>
      <c r="BP85" s="15" t="str">
        <f t="shared" si="81"/>
        <v>-----</v>
      </c>
      <c r="BQ85" s="15" t="str">
        <f t="shared" si="82"/>
        <v>-----</v>
      </c>
      <c r="BR85" s="22"/>
      <c r="BS85" s="9">
        <f t="shared" si="83"/>
        <v>-2.423265306122455E-3</v>
      </c>
      <c r="BT85" s="9">
        <f>SLOPE(J$5:J$103,$A$5:$A$103)</f>
        <v>-3.7194805194805478E-4</v>
      </c>
      <c r="BU85" s="9">
        <f>SLOPE(K$5:K$103,$A$5:$A$103)</f>
        <v>-1.6402721088435472E-3</v>
      </c>
      <c r="BV85" s="9">
        <f>SLOPE(L$5:L$103,$A$5:$A$103)</f>
        <v>7.6471243042669956E-4</v>
      </c>
      <c r="BW85" s="9">
        <f>SLOPE(M$5:M$103,$A$5:$A$103)</f>
        <v>-2.3081014223875058E-4</v>
      </c>
      <c r="BX85" s="9">
        <f>SLOPE(N$5:N$103,$A$5:$A$103)</f>
        <v>1.5802844774273381E-3</v>
      </c>
      <c r="BY85"/>
      <c r="BZ85" s="9">
        <f t="shared" si="95"/>
        <v>-1.9079214597220278</v>
      </c>
      <c r="CA85" s="9">
        <f t="shared" si="96"/>
        <v>-0.29295343676527091</v>
      </c>
      <c r="CB85" s="9">
        <f t="shared" si="97"/>
        <v>-1.2917022253843653</v>
      </c>
      <c r="CC85" s="9">
        <f t="shared" si="98"/>
        <v>0.60228527619529781</v>
      </c>
      <c r="CD85" s="9">
        <f t="shared" si="99"/>
        <v>-0.18179147971962978</v>
      </c>
      <c r="CE85" s="9">
        <f t="shared" si="100"/>
        <v>1.2444775446344229</v>
      </c>
      <c r="CF85"/>
      <c r="CG85" s="18" t="str" cm="1">
        <f t="array" ref="CG85">_xlfn.IFS(BZ85&gt;3,"Strong + Slope",BZ85&gt;1.5,"Moderate + Slope",BZ85&gt;0.5,"Sideway + Slope",BZ85&gt;=-0.5,"Sideway Flat",BZ85&gt;=-1.5,"Sideway - Slope",BZ85&gt;=-3,"Moderate - Slope",TRUE,"Strong - Slope")</f>
        <v>Moderate - Slope</v>
      </c>
      <c r="CH85" s="18" t="str" cm="1">
        <f t="array" ref="CH85">_xlfn.IFS(CA85&gt;3,"Strong + Slope",CA85&gt;1.5,"Moderate + Slope",CA85&gt;0.5,"Sideway + Slope",CA85&gt;=-0.5,"Sideway Flat",CA85&gt;=-1.5,"Sideway - Slope",CA85&gt;=-3,"Moderate - Slope",TRUE,"Strong - Slope")</f>
        <v>Sideway Flat</v>
      </c>
      <c r="CI85" s="18" t="str" cm="1">
        <f t="array" ref="CI85">_xlfn.IFS(CB85&gt;3,"Strong + Slope",CB85&gt;1.5,"Moderate + Slope",CB85&gt;0.5,"Sideway + Slope",CB85&gt;=-0.5,"Sideway Flat",CB85&gt;=-1.5,"Sideway - Slope",CB85&gt;=-3,"Moderate - Slope",TRUE,"Strong - Slope")</f>
        <v>Sideway - Slope</v>
      </c>
      <c r="CJ85" s="18" t="str" cm="1">
        <f t="array" ref="CJ85">_xlfn.IFS(CC85&gt;3,"Strong + Slope",CC85&gt;1.5,"Moderate + Slope",CC85&gt;0.5,"Sideway + Slope",CC85&gt;=-0.5,"Sideway Flat",CC85&gt;=-1.5,"Sideway - Slope",CC85&gt;=-3,"Moderate - Slope",TRUE,"Strong - Slope")</f>
        <v>Sideway + Slope</v>
      </c>
      <c r="CK85" s="18" t="str" cm="1">
        <f t="array" ref="CK85">_xlfn.IFS(CD85&gt;3,"Strong + Slope",CD85&gt;1.5,"Moderate + Slope",CD85&gt;0.5,"Sideway + Slope",CD85&gt;=-0.5,"Sideway Flat",CD85&gt;=-1.5,"Sideway - Slope",CD85&gt;=-3,"Moderate - Slope",TRUE,"Strong - Slope")</f>
        <v>Sideway Flat</v>
      </c>
      <c r="CL85" s="18" t="str" cm="1">
        <f t="array" ref="CL85">_xlfn.IFS(CE85&gt;3,"Strong + Slope",CE85&gt;1.5,"Moderate + Slope",CE85&gt;0.5,"Sideway + Slope",CE85&gt;=-0.5,"Sideway Flat",CE85&gt;=-1.5,"Sideway - Slope",CE85&gt;=-3,"Moderate - Slope",TRUE,"Strong - Slope")</f>
        <v>Sideway + Slope</v>
      </c>
      <c r="CM85" s="9"/>
      <c r="CN85" s="9">
        <f>RANK(I85,$I85:$N85,0)</f>
        <v>4</v>
      </c>
      <c r="CO85" s="9">
        <f>RANK(J85,$I85:$N85,0)</f>
        <v>3</v>
      </c>
      <c r="CP85" s="9">
        <f>RANK(K85,$I85:$N85,0)</f>
        <v>1</v>
      </c>
      <c r="CQ85" s="9">
        <f>RANK(L85,$I85:$N85,0)</f>
        <v>5</v>
      </c>
      <c r="CR85" s="9">
        <f>RANK(M85,$I85:$N85,0)</f>
        <v>6</v>
      </c>
      <c r="CS85" s="9">
        <f>RANK(N85,$I85:$N85,0)</f>
        <v>2</v>
      </c>
      <c r="CT85" s="9"/>
      <c r="CU85" s="9" t="str">
        <f>IF($H85&gt;I85,"SUP","RES")</f>
        <v>RES</v>
      </c>
      <c r="CV85" s="9" t="str">
        <f>IF($H85&gt;J85,"SUP","RES")</f>
        <v>RES</v>
      </c>
      <c r="CW85" s="9" t="str">
        <f>IF($H85&gt;K85,"SUP","RES")</f>
        <v>RES</v>
      </c>
      <c r="CX85" s="9" t="str">
        <f>IF($H85&gt;L85,"SUP","RES")</f>
        <v>SUP</v>
      </c>
      <c r="CY85" s="9" t="str">
        <f>IF($H85&gt;M85,"SUP","RES")</f>
        <v>SUP</v>
      </c>
      <c r="CZ85" s="9" t="str">
        <f>IF($H85&gt;N85,"SUP","RES")</f>
        <v>RES</v>
      </c>
      <c r="DA85" s="9"/>
      <c r="DB85" s="12">
        <f>(I85-$H85)/$H85</f>
        <v>3.7306838932623813E-4</v>
      </c>
      <c r="DC85" s="12">
        <f>(J85-$H85)/$H85</f>
        <v>6.152355894152911E-4</v>
      </c>
      <c r="DD85" s="12">
        <f>(K85-$H85)/$H85</f>
        <v>2.3104059900382898E-3</v>
      </c>
      <c r="DE85" s="12">
        <f>(L85-$H85)/$H85</f>
        <v>-1.0864798706696041E-3</v>
      </c>
      <c r="DF85" s="12">
        <f>(M85-$H85)/$H85</f>
        <v>-1.328647070758657E-3</v>
      </c>
      <c r="DG85" s="12">
        <f>(N85-$H85)/$H85</f>
        <v>7.0032136241957304E-4</v>
      </c>
      <c r="DH85" s="12"/>
      <c r="DI85" s="12">
        <f>((H85-MIN(I85:N85))/(MAX(I85:N85)-MIN(I85:N85)))</f>
        <v>0.36510791366908113</v>
      </c>
      <c r="DJ85" s="13">
        <f t="shared" si="67"/>
        <v>4</v>
      </c>
      <c r="DK85" s="14">
        <f t="shared" si="68"/>
        <v>2</v>
      </c>
      <c r="DL85" s="12">
        <f t="shared" si="84"/>
        <v>2.3104059900382898E-3</v>
      </c>
      <c r="DM85" s="12">
        <f t="shared" si="85"/>
        <v>7.0032136241957304E-4</v>
      </c>
      <c r="DN85" s="12">
        <f t="shared" si="86"/>
        <v>6.152355894152911E-4</v>
      </c>
      <c r="DO85" s="12">
        <f t="shared" si="87"/>
        <v>3.7306838932623813E-4</v>
      </c>
      <c r="DP85" s="12">
        <f t="shared" si="88"/>
        <v>-1.0864798706696041E-3</v>
      </c>
      <c r="DQ85" s="12">
        <f t="shared" si="89"/>
        <v>-1.328647070758657E-3</v>
      </c>
      <c r="DR85" s="9"/>
      <c r="DS85" s="9" t="str">
        <f>IF(AQ85&gt;AG85,"Overbought",IF(AQ85&gt;AI85,"Bullish Momentum",IF(AQ85&gt;AK85,"Overprice Setting Up","-----")))</f>
        <v>Overprice Setting Up</v>
      </c>
      <c r="DT85" s="9" t="str">
        <f>IF(AQ85&lt;AP85,"Oversold",IF(AQ85&lt;AN85,"Bearish Momentum",IF(AQ85&lt;AL85,"Underprice Setting Up","-----")))</f>
        <v>-----</v>
      </c>
      <c r="DU85" s="9"/>
      <c r="DV85" s="12" t="str">
        <f>IF(AND(AT85&gt;AU85,AT84&gt;AU84,AT83&gt;AU83,AT82&gt;AU82,AT81&gt;AU81,AT80&gt;AU80,AT79&gt;AU79,AT78&gt;AU78,AT77&gt;AU77,AT76&gt;AU76,AT75&gt;AU75,AT74&gt;AU74),"Bullish",IF(AND(AT85&lt;AU85,AT84&lt;AU84,AT83&lt;AU83,AT82&lt;AU82,AT81&lt;AU81,AT80&lt;AU80,AT79&lt;AU79,AT78&lt;AU78,AT77&lt;AU77,AT76&lt;AU76,AT75&lt;AU75,AT74&lt;AU74),"Bearish","-----"))</f>
        <v>Bearish</v>
      </c>
      <c r="DW85" s="12"/>
      <c r="DX85" s="23">
        <f>(AR85-AT85)/AT85</f>
        <v>-1.1125581638860943E-4</v>
      </c>
      <c r="DY85" s="23">
        <f t="shared" si="69"/>
        <v>0.97781775971066653</v>
      </c>
      <c r="DZ85" s="23" t="str">
        <f t="shared" si="70"/>
        <v>-----</v>
      </c>
      <c r="EA85" s="23" t="str">
        <f>IF(AQ85&gt;AR85,"Bullish","Bearish")</f>
        <v>Bullish</v>
      </c>
      <c r="EB85" s="22" t="str">
        <f>IF(AND(H85&gt;AQ85,H84&lt;AQ84),"TEMA crossover","-----")</f>
        <v>-----</v>
      </c>
      <c r="EC85" s="22" t="str">
        <f>IF(AND(H85&lt;AQ85,H84&gt;AQ84),"TEMA crossunder","-----")</f>
        <v>TEMA crossunder</v>
      </c>
      <c r="ED85" s="22"/>
      <c r="EE85" s="24" t="str">
        <f t="shared" si="45"/>
        <v>YES</v>
      </c>
      <c r="EF85" s="24" t="str">
        <f t="shared" si="46"/>
        <v>-----</v>
      </c>
      <c r="EG85" s="24" t="str">
        <f t="shared" si="47"/>
        <v>YES</v>
      </c>
      <c r="EH85" s="24" t="str">
        <f t="shared" si="48"/>
        <v>YES</v>
      </c>
      <c r="EI85" s="25" t="str">
        <f>IF(DV85="Bullish","YES","-----")</f>
        <v>-----</v>
      </c>
      <c r="EJ85" s="25" t="str">
        <f>IF(DZ85="Reverse to Bullish","YES","-----")</f>
        <v>-----</v>
      </c>
      <c r="EK85" s="25" t="str">
        <f>IF(AND(EA85="Bearish",EA84="Bearish",EA83="Bearish",EA82="Bearish"),"YES","-----")</f>
        <v>-----</v>
      </c>
      <c r="EL85" s="25" t="str">
        <f>IF(OR(EC85="TEMA crossover",EC84="TEMA crossover",EC83="TEMA crossover",EC82="TEMA crossover"),"YES","-----")</f>
        <v>-----</v>
      </c>
      <c r="EM85" s="24" t="str">
        <f>IF(AND(EE85="YES",EF85="YES",EG85="YES",EH85="YES"),"Open Sell / Close Buy","-----")</f>
        <v>-----</v>
      </c>
      <c r="EN85" s="25" t="str">
        <f t="shared" si="94"/>
        <v>-----</v>
      </c>
      <c r="EO85" s="23"/>
      <c r="EP85" s="9" t="str">
        <f>IF(AND(H85&gt;AV85,H85&gt;E85),"Bullish Trigger","-----")</f>
        <v>-----</v>
      </c>
      <c r="EQ85" s="9" t="str">
        <f>IF(AND(H85&lt;AW85,H85&lt;E85),"Bearish Trigger","-----")</f>
        <v>Bearish Trigger</v>
      </c>
      <c r="ER85" s="9"/>
      <c r="ES85" s="9" t="str">
        <f>IF(G85&gt;AV85,"Bullish Spike","-----")</f>
        <v>-----</v>
      </c>
      <c r="ET85" s="9" t="str">
        <f>IF(F85&lt;AW85,"Bearish Spike","-----")</f>
        <v>-----</v>
      </c>
      <c r="EU85" s="9"/>
      <c r="EV85" s="20">
        <f t="shared" si="71"/>
        <v>3.1000000000005912E-2</v>
      </c>
      <c r="EW85" s="9">
        <f t="shared" si="90"/>
        <v>-1.0319987845000993</v>
      </c>
      <c r="EX85" s="21" t="str">
        <f t="shared" si="91"/>
        <v>-----</v>
      </c>
      <c r="EY85" s="9"/>
    </row>
    <row r="86" spans="1:155" x14ac:dyDescent="0.55000000000000004">
      <c r="A86">
        <v>82</v>
      </c>
      <c r="B86" t="s">
        <v>85</v>
      </c>
      <c r="C86" t="s">
        <v>4</v>
      </c>
      <c r="D86" t="s">
        <v>103</v>
      </c>
      <c r="E86">
        <v>152.78700000000001</v>
      </c>
      <c r="F86">
        <v>152.79</v>
      </c>
      <c r="G86">
        <v>152.71899999999999</v>
      </c>
      <c r="H86">
        <v>152.72999999999999</v>
      </c>
      <c r="I86">
        <v>152.84200000000001</v>
      </c>
      <c r="J86">
        <v>152.881</v>
      </c>
      <c r="K86">
        <v>153.13800000000001</v>
      </c>
      <c r="L86">
        <v>152.62200000000001</v>
      </c>
      <c r="M86">
        <v>152.584</v>
      </c>
      <c r="N86">
        <v>152.89599999999999</v>
      </c>
      <c r="O86" s="16">
        <f t="shared" si="66"/>
        <v>7.0999999999997954E-2</v>
      </c>
      <c r="P86" s="16">
        <f t="shared" si="72"/>
        <v>2.9999999999859028E-3</v>
      </c>
      <c r="Q86" s="16">
        <f t="shared" si="73"/>
        <v>6.8000000000012051E-2</v>
      </c>
      <c r="R86" s="16">
        <f t="shared" si="74"/>
        <v>7.0999999999997954E-2</v>
      </c>
      <c r="S86" s="16">
        <f t="shared" si="101"/>
        <v>4.3733943055486835E-2</v>
      </c>
      <c r="T86">
        <v>0</v>
      </c>
      <c r="U86">
        <v>0</v>
      </c>
      <c r="V86">
        <v>0</v>
      </c>
      <c r="W86">
        <v>0</v>
      </c>
      <c r="Y86" s="9" t="str">
        <f t="shared" si="75"/>
        <v>------</v>
      </c>
      <c r="Z86" s="9" t="str">
        <f t="shared" si="76"/>
        <v>------</v>
      </c>
      <c r="AA86" s="9"/>
      <c r="AB86">
        <v>0</v>
      </c>
      <c r="AD86" t="str">
        <f t="shared" si="58"/>
        <v/>
      </c>
      <c r="AE86">
        <v>0.30474000000000001</v>
      </c>
      <c r="AF86">
        <v>3</v>
      </c>
      <c r="AG86">
        <v>153.07911999999999</v>
      </c>
      <c r="AH86">
        <v>153.00058000000001</v>
      </c>
      <c r="AI86">
        <v>152.92204000000001</v>
      </c>
      <c r="AJ86">
        <v>152.84351000000001</v>
      </c>
      <c r="AK86">
        <v>152.76497000000001</v>
      </c>
      <c r="AL86">
        <v>152.73453000000001</v>
      </c>
      <c r="AM86">
        <v>152.65599</v>
      </c>
      <c r="AN86">
        <v>152.57746</v>
      </c>
      <c r="AO86">
        <v>152.49892</v>
      </c>
      <c r="AP86">
        <v>152.42037999999999</v>
      </c>
      <c r="AQ86">
        <v>152.779</v>
      </c>
      <c r="AR86">
        <v>152.78200000000001</v>
      </c>
      <c r="AS86">
        <f t="shared" si="92"/>
        <v>82</v>
      </c>
      <c r="AT86">
        <v>152.797</v>
      </c>
      <c r="AU86">
        <v>152.88800000000001</v>
      </c>
      <c r="AV86">
        <v>152.809</v>
      </c>
      <c r="AW86">
        <v>152.75899999999999</v>
      </c>
      <c r="AY86" s="4">
        <f>I86*(1+$AY$2)</f>
        <v>152.86492630000004</v>
      </c>
      <c r="AZ86" s="4">
        <f>I86*(1-$AY$2)</f>
        <v>152.81907370000002</v>
      </c>
      <c r="BA86" s="4">
        <f>J86*(1+$AY$2)</f>
        <v>152.90393215</v>
      </c>
      <c r="BB86" s="4">
        <f>J86*(1-$AY$2)</f>
        <v>152.85806785</v>
      </c>
      <c r="BC86" s="4">
        <f>K86*(1+$AY$2)</f>
        <v>153.16097070000001</v>
      </c>
      <c r="BD86" s="4">
        <f>K86*(1-$AY$2)</f>
        <v>153.1150293</v>
      </c>
      <c r="BE86" s="4">
        <f>L86*(1+$AY$2)</f>
        <v>152.64489330000004</v>
      </c>
      <c r="BF86" s="4">
        <f>L86*(1-$AY$2)</f>
        <v>152.59910670000002</v>
      </c>
      <c r="BG86" s="4">
        <f>M86*(1+$AY$2)</f>
        <v>152.60688760000002</v>
      </c>
      <c r="BH86" s="4">
        <f>M86*(1-$AY$2)</f>
        <v>152.56111240000001</v>
      </c>
      <c r="BI86" s="4">
        <f>N86*(1+$AY$2)</f>
        <v>152.91893440000001</v>
      </c>
      <c r="BJ86" s="4">
        <f>N86*(1-$AY$2)</f>
        <v>152.87306559999999</v>
      </c>
      <c r="BK86" s="30">
        <f t="shared" si="93"/>
        <v>82</v>
      </c>
      <c r="BL86" s="15" t="str">
        <f t="shared" si="77"/>
        <v>-----</v>
      </c>
      <c r="BM86" s="15" t="str">
        <f t="shared" si="78"/>
        <v>-----</v>
      </c>
      <c r="BN86" s="15" t="str">
        <f t="shared" si="79"/>
        <v>-----</v>
      </c>
      <c r="BO86" s="15" t="str">
        <f t="shared" si="80"/>
        <v>-----</v>
      </c>
      <c r="BP86" s="15" t="str">
        <f t="shared" si="81"/>
        <v>-----</v>
      </c>
      <c r="BQ86" s="15" t="str">
        <f t="shared" si="82"/>
        <v>-----</v>
      </c>
      <c r="BR86" s="22"/>
      <c r="BS86" s="9">
        <f t="shared" si="83"/>
        <v>-2.423265306122455E-3</v>
      </c>
      <c r="BT86" s="9">
        <f>SLOPE(J$5:J$103,$A$5:$A$103)</f>
        <v>-3.7194805194805478E-4</v>
      </c>
      <c r="BU86" s="9">
        <f>SLOPE(K$5:K$103,$A$5:$A$103)</f>
        <v>-1.6402721088435472E-3</v>
      </c>
      <c r="BV86" s="9">
        <f>SLOPE(L$5:L$103,$A$5:$A$103)</f>
        <v>7.6471243042669956E-4</v>
      </c>
      <c r="BW86" s="9">
        <f>SLOPE(M$5:M$103,$A$5:$A$103)</f>
        <v>-2.3081014223875058E-4</v>
      </c>
      <c r="BX86" s="9">
        <f>SLOPE(N$5:N$103,$A$5:$A$103)</f>
        <v>1.5802844774273381E-3</v>
      </c>
      <c r="BY86"/>
      <c r="BZ86" s="9">
        <f t="shared" si="95"/>
        <v>-1.9079214597220278</v>
      </c>
      <c r="CA86" s="9">
        <f t="shared" si="96"/>
        <v>-0.29295343676527091</v>
      </c>
      <c r="CB86" s="9">
        <f t="shared" si="97"/>
        <v>-1.2917022253843653</v>
      </c>
      <c r="CC86" s="9">
        <f t="shared" si="98"/>
        <v>0.60228527619529781</v>
      </c>
      <c r="CD86" s="9">
        <f t="shared" si="99"/>
        <v>-0.18179147971962978</v>
      </c>
      <c r="CE86" s="9">
        <f t="shared" si="100"/>
        <v>1.2444775446344229</v>
      </c>
      <c r="CF86"/>
      <c r="CG86" s="18" t="str" cm="1">
        <f t="array" ref="CG86">_xlfn.IFS(BZ86&gt;3,"Strong + Slope",BZ86&gt;1.5,"Moderate + Slope",BZ86&gt;0.5,"Sideway + Slope",BZ86&gt;=-0.5,"Sideway Flat",BZ86&gt;=-1.5,"Sideway - Slope",BZ86&gt;=-3,"Moderate - Slope",TRUE,"Strong - Slope")</f>
        <v>Moderate - Slope</v>
      </c>
      <c r="CH86" s="18" t="str" cm="1">
        <f t="array" ref="CH86">_xlfn.IFS(CA86&gt;3,"Strong + Slope",CA86&gt;1.5,"Moderate + Slope",CA86&gt;0.5,"Sideway + Slope",CA86&gt;=-0.5,"Sideway Flat",CA86&gt;=-1.5,"Sideway - Slope",CA86&gt;=-3,"Moderate - Slope",TRUE,"Strong - Slope")</f>
        <v>Sideway Flat</v>
      </c>
      <c r="CI86" s="18" t="str" cm="1">
        <f t="array" ref="CI86">_xlfn.IFS(CB86&gt;3,"Strong + Slope",CB86&gt;1.5,"Moderate + Slope",CB86&gt;0.5,"Sideway + Slope",CB86&gt;=-0.5,"Sideway Flat",CB86&gt;=-1.5,"Sideway - Slope",CB86&gt;=-3,"Moderate - Slope",TRUE,"Strong - Slope")</f>
        <v>Sideway - Slope</v>
      </c>
      <c r="CJ86" s="18" t="str" cm="1">
        <f t="array" ref="CJ86">_xlfn.IFS(CC86&gt;3,"Strong + Slope",CC86&gt;1.5,"Moderate + Slope",CC86&gt;0.5,"Sideway + Slope",CC86&gt;=-0.5,"Sideway Flat",CC86&gt;=-1.5,"Sideway - Slope",CC86&gt;=-3,"Moderate - Slope",TRUE,"Strong - Slope")</f>
        <v>Sideway + Slope</v>
      </c>
      <c r="CK86" s="18" t="str" cm="1">
        <f t="array" ref="CK86">_xlfn.IFS(CD86&gt;3,"Strong + Slope",CD86&gt;1.5,"Moderate + Slope",CD86&gt;0.5,"Sideway + Slope",CD86&gt;=-0.5,"Sideway Flat",CD86&gt;=-1.5,"Sideway - Slope",CD86&gt;=-3,"Moderate - Slope",TRUE,"Strong - Slope")</f>
        <v>Sideway Flat</v>
      </c>
      <c r="CL86" s="18" t="str" cm="1">
        <f t="array" ref="CL86">_xlfn.IFS(CE86&gt;3,"Strong + Slope",CE86&gt;1.5,"Moderate + Slope",CE86&gt;0.5,"Sideway + Slope",CE86&gt;=-0.5,"Sideway Flat",CE86&gt;=-1.5,"Sideway - Slope",CE86&gt;=-3,"Moderate - Slope",TRUE,"Strong - Slope")</f>
        <v>Sideway + Slope</v>
      </c>
      <c r="CM86" s="9"/>
      <c r="CN86" s="9">
        <f>RANK(I86,$I86:$N86,0)</f>
        <v>4</v>
      </c>
      <c r="CO86" s="9">
        <f>RANK(J86,$I86:$N86,0)</f>
        <v>3</v>
      </c>
      <c r="CP86" s="9">
        <f>RANK(K86,$I86:$N86,0)</f>
        <v>1</v>
      </c>
      <c r="CQ86" s="9">
        <f>RANK(L86,$I86:$N86,0)</f>
        <v>5</v>
      </c>
      <c r="CR86" s="9">
        <f>RANK(M86,$I86:$N86,0)</f>
        <v>6</v>
      </c>
      <c r="CS86" s="9">
        <f>RANK(N86,$I86:$N86,0)</f>
        <v>2</v>
      </c>
      <c r="CT86" s="9"/>
      <c r="CU86" s="9" t="str">
        <f>IF($H86&gt;I86,"SUP","RES")</f>
        <v>RES</v>
      </c>
      <c r="CV86" s="9" t="str">
        <f>IF($H86&gt;J86,"SUP","RES")</f>
        <v>RES</v>
      </c>
      <c r="CW86" s="9" t="str">
        <f>IF($H86&gt;K86,"SUP","RES")</f>
        <v>RES</v>
      </c>
      <c r="CX86" s="9" t="str">
        <f>IF($H86&gt;L86,"SUP","RES")</f>
        <v>SUP</v>
      </c>
      <c r="CY86" s="9" t="str">
        <f>IF($H86&gt;M86,"SUP","RES")</f>
        <v>SUP</v>
      </c>
      <c r="CZ86" s="9" t="str">
        <f>IF($H86&gt;N86,"SUP","RES")</f>
        <v>RES</v>
      </c>
      <c r="DA86" s="9"/>
      <c r="DB86" s="12">
        <f>(I86-$H86)/$H86</f>
        <v>7.3332023832922938E-4</v>
      </c>
      <c r="DC86" s="12">
        <f>(J86-$H86)/$H86</f>
        <v>9.8867282131873558E-4</v>
      </c>
      <c r="DD86" s="12">
        <f>(K86-$H86)/$H86</f>
        <v>2.6713808681988836E-3</v>
      </c>
      <c r="DE86" s="12">
        <f>(L86-$H86)/$H86</f>
        <v>-7.0713022981716545E-4</v>
      </c>
      <c r="DF86" s="12">
        <f>(M86-$H86)/$H86</f>
        <v>-9.559353106788882E-4</v>
      </c>
      <c r="DG86" s="12">
        <f>(N86-$H86)/$H86</f>
        <v>1.0868853532377191E-3</v>
      </c>
      <c r="DH86" s="12"/>
      <c r="DI86" s="12">
        <f>((H86-MIN(I86:N86))/(MAX(I86:N86)-MIN(I86:N86)))</f>
        <v>0.26353790613715894</v>
      </c>
      <c r="DJ86" s="13">
        <f t="shared" si="67"/>
        <v>4</v>
      </c>
      <c r="DK86" s="14">
        <f t="shared" si="68"/>
        <v>2</v>
      </c>
      <c r="DL86" s="12">
        <f t="shared" si="84"/>
        <v>2.6713808681988836E-3</v>
      </c>
      <c r="DM86" s="12">
        <f t="shared" si="85"/>
        <v>1.0868853532377191E-3</v>
      </c>
      <c r="DN86" s="12">
        <f t="shared" si="86"/>
        <v>9.8867282131873558E-4</v>
      </c>
      <c r="DO86" s="12">
        <f t="shared" si="87"/>
        <v>7.3332023832922938E-4</v>
      </c>
      <c r="DP86" s="12">
        <f t="shared" si="88"/>
        <v>-7.0713022981716545E-4</v>
      </c>
      <c r="DQ86" s="12">
        <f t="shared" si="89"/>
        <v>-9.559353106788882E-4</v>
      </c>
      <c r="DR86" s="9"/>
      <c r="DS86" s="9" t="str">
        <f>IF(AQ86&gt;AG86,"Overbought",IF(AQ86&gt;AI86,"Bullish Momentum",IF(AQ86&gt;AK86,"Overprice Setting Up","-----")))</f>
        <v>Overprice Setting Up</v>
      </c>
      <c r="DT86" s="9" t="str">
        <f>IF(AQ86&lt;AP86,"Oversold",IF(AQ86&lt;AN86,"Bearish Momentum",IF(AQ86&lt;AL86,"Underprice Setting Up","-----")))</f>
        <v>-----</v>
      </c>
      <c r="DU86" s="9"/>
      <c r="DV86" s="12" t="str">
        <f>IF(AND(AT86&gt;AU86,AT85&gt;AU85,AT84&gt;AU84,AT83&gt;AU83,AT82&gt;AU82,AT81&gt;AU81,AT80&gt;AU80,AT79&gt;AU79,AT78&gt;AU78,AT77&gt;AU77,AT76&gt;AU76,AT75&gt;AU75),"Bullish",IF(AND(AT86&lt;AU86,AT85&lt;AU85,AT84&lt;AU84,AT83&lt;AU83,AT82&lt;AU82,AT81&lt;AU81,AT80&lt;AU80,AT79&lt;AU79,AT78&lt;AU78,AT77&lt;AU77,AT76&lt;AU76,AT75&lt;AU75),"Bearish","-----"))</f>
        <v>Bearish</v>
      </c>
      <c r="DW86" s="12"/>
      <c r="DX86" s="23">
        <f>(AR86-AT86)/AT86</f>
        <v>-9.8169466677921406E-5</v>
      </c>
      <c r="DY86" s="23">
        <f t="shared" si="69"/>
        <v>1.015559482935759</v>
      </c>
      <c r="DZ86" s="23" t="str">
        <f t="shared" si="70"/>
        <v>-----</v>
      </c>
      <c r="EA86" s="23" t="str">
        <f>IF(AQ86&gt;AR86,"Bullish","Bearish")</f>
        <v>Bearish</v>
      </c>
      <c r="EB86" s="22" t="str">
        <f>IF(AND(H86&gt;AQ86,H85&lt;AQ85),"TEMA crossover","-----")</f>
        <v>-----</v>
      </c>
      <c r="EC86" s="22" t="str">
        <f>IF(AND(H86&lt;AQ86,H85&gt;AQ85),"TEMA crossunder","-----")</f>
        <v>-----</v>
      </c>
      <c r="ED86" s="22"/>
      <c r="EE86" s="24" t="str">
        <f t="shared" si="45"/>
        <v>YES</v>
      </c>
      <c r="EF86" s="24" t="str">
        <f t="shared" si="46"/>
        <v>-----</v>
      </c>
      <c r="EG86" s="24" t="str">
        <f t="shared" si="47"/>
        <v>-----</v>
      </c>
      <c r="EH86" s="24" t="str">
        <f t="shared" si="48"/>
        <v>YES</v>
      </c>
      <c r="EI86" s="25" t="str">
        <f>IF(DV86="Bullish","YES","-----")</f>
        <v>-----</v>
      </c>
      <c r="EJ86" s="25" t="str">
        <f>IF(DZ86="Reverse to Bullish","YES","-----")</f>
        <v>-----</v>
      </c>
      <c r="EK86" s="25" t="str">
        <f>IF(AND(EA86="Bearish",EA85="Bearish",EA84="Bearish",EA83="Bearish"),"YES","-----")</f>
        <v>-----</v>
      </c>
      <c r="EL86" s="25" t="str">
        <f>IF(OR(EC86="TEMA crossover",EC85="TEMA crossover",EC84="TEMA crossover",EC83="TEMA crossover"),"YES","-----")</f>
        <v>-----</v>
      </c>
      <c r="EM86" s="24" t="str">
        <f>IF(AND(EE86="YES",EF86="YES",EG86="YES",EH86="YES"),"Open Sell / Close Buy","-----")</f>
        <v>-----</v>
      </c>
      <c r="EN86" s="25" t="str">
        <f t="shared" si="94"/>
        <v>-----</v>
      </c>
      <c r="EO86" s="23"/>
      <c r="EP86" s="9" t="str">
        <f>IF(AND(H86&gt;AV86,H86&gt;E86),"Bullish Trigger","-----")</f>
        <v>-----</v>
      </c>
      <c r="EQ86" s="9" t="str">
        <f>IF(AND(H86&lt;AW86,H86&lt;E86),"Bearish Trigger","-----")</f>
        <v>Bearish Trigger</v>
      </c>
      <c r="ER86" s="9"/>
      <c r="ES86" s="9" t="str">
        <f>IF(G86&gt;AV86,"Bullish Spike","-----")</f>
        <v>-----</v>
      </c>
      <c r="ET86" s="9" t="str">
        <f>IF(F86&lt;AW86,"Bearish Spike","-----")</f>
        <v>-----</v>
      </c>
      <c r="EU86" s="9"/>
      <c r="EV86" s="20">
        <f t="shared" si="71"/>
        <v>5.0000000000011369E-2</v>
      </c>
      <c r="EW86" s="9">
        <f t="shared" si="90"/>
        <v>-0.59410351862024169</v>
      </c>
      <c r="EX86" s="21" t="str">
        <f t="shared" si="91"/>
        <v>-----</v>
      </c>
      <c r="EY86" s="9"/>
    </row>
    <row r="87" spans="1:155" x14ac:dyDescent="0.55000000000000004">
      <c r="A87">
        <v>83</v>
      </c>
      <c r="B87" t="s">
        <v>86</v>
      </c>
      <c r="C87" t="s">
        <v>4</v>
      </c>
      <c r="D87" t="s">
        <v>103</v>
      </c>
      <c r="E87">
        <v>152.72999999999999</v>
      </c>
      <c r="F87">
        <v>152.73699999999999</v>
      </c>
      <c r="G87">
        <v>152.702</v>
      </c>
      <c r="H87">
        <v>152.72800000000001</v>
      </c>
      <c r="I87">
        <v>152.84</v>
      </c>
      <c r="J87">
        <v>152.881</v>
      </c>
      <c r="K87">
        <v>153.136</v>
      </c>
      <c r="L87">
        <v>152.62299999999999</v>
      </c>
      <c r="M87">
        <v>152.584</v>
      </c>
      <c r="N87">
        <v>152.898</v>
      </c>
      <c r="O87" s="16">
        <f t="shared" si="66"/>
        <v>3.4999999999996589E-2</v>
      </c>
      <c r="P87" s="16">
        <f t="shared" si="72"/>
        <v>7.0000000000050022E-3</v>
      </c>
      <c r="Q87" s="16">
        <f t="shared" si="73"/>
        <v>2.7999999999991587E-2</v>
      </c>
      <c r="R87" s="16">
        <f t="shared" si="74"/>
        <v>3.4999999999996589E-2</v>
      </c>
      <c r="S87" s="16">
        <f t="shared" si="101"/>
        <v>4.3110089980094676E-2</v>
      </c>
      <c r="T87">
        <v>0</v>
      </c>
      <c r="U87">
        <v>0</v>
      </c>
      <c r="V87">
        <v>0</v>
      </c>
      <c r="W87">
        <v>0</v>
      </c>
      <c r="Y87" s="9" t="str">
        <f t="shared" si="75"/>
        <v>------</v>
      </c>
      <c r="Z87" s="9" t="str">
        <f t="shared" si="76"/>
        <v>------</v>
      </c>
      <c r="AA87" s="9"/>
      <c r="AB87">
        <v>0</v>
      </c>
      <c r="AD87" t="str">
        <f t="shared" si="58"/>
        <v/>
      </c>
      <c r="AE87">
        <v>1.0188900000000001</v>
      </c>
      <c r="AF87">
        <v>3</v>
      </c>
      <c r="AG87">
        <v>153.07606000000001</v>
      </c>
      <c r="AH87">
        <v>152.99787000000001</v>
      </c>
      <c r="AI87">
        <v>152.91968</v>
      </c>
      <c r="AJ87">
        <v>152.84148999999999</v>
      </c>
      <c r="AK87">
        <v>152.76329999999999</v>
      </c>
      <c r="AL87">
        <v>152.73282</v>
      </c>
      <c r="AM87">
        <v>152.65463</v>
      </c>
      <c r="AN87">
        <v>152.57643999999999</v>
      </c>
      <c r="AO87">
        <v>152.49825000000001</v>
      </c>
      <c r="AP87">
        <v>152.42005</v>
      </c>
      <c r="AQ87">
        <v>152.751</v>
      </c>
      <c r="AR87">
        <v>152.773</v>
      </c>
      <c r="AS87">
        <f t="shared" si="92"/>
        <v>83</v>
      </c>
      <c r="AT87">
        <v>152.791</v>
      </c>
      <c r="AU87">
        <v>152.88399999999999</v>
      </c>
      <c r="AV87">
        <v>152.77500000000001</v>
      </c>
      <c r="AW87">
        <v>152.72999999999999</v>
      </c>
      <c r="AY87" s="4">
        <f>I87*(1+$AY$2)</f>
        <v>152.86292600000002</v>
      </c>
      <c r="AZ87" s="4">
        <f>I87*(1-$AY$2)</f>
        <v>152.81707400000002</v>
      </c>
      <c r="BA87" s="4">
        <f>J87*(1+$AY$2)</f>
        <v>152.90393215</v>
      </c>
      <c r="BB87" s="4">
        <f>J87*(1-$AY$2)</f>
        <v>152.85806785</v>
      </c>
      <c r="BC87" s="4">
        <f>K87*(1+$AY$2)</f>
        <v>153.15897040000002</v>
      </c>
      <c r="BD87" s="4">
        <f>K87*(1-$AY$2)</f>
        <v>153.1130296</v>
      </c>
      <c r="BE87" s="4">
        <f>L87*(1+$AY$2)</f>
        <v>152.64589345000002</v>
      </c>
      <c r="BF87" s="4">
        <f>L87*(1-$AY$2)</f>
        <v>152.60010654999999</v>
      </c>
      <c r="BG87" s="4">
        <f>M87*(1+$AY$2)</f>
        <v>152.60688760000002</v>
      </c>
      <c r="BH87" s="4">
        <f>M87*(1-$AY$2)</f>
        <v>152.56111240000001</v>
      </c>
      <c r="BI87" s="4">
        <f>N87*(1+$AY$2)</f>
        <v>152.9209347</v>
      </c>
      <c r="BJ87" s="4">
        <f>N87*(1-$AY$2)</f>
        <v>152.87506529999999</v>
      </c>
      <c r="BK87" s="30">
        <f t="shared" si="93"/>
        <v>83</v>
      </c>
      <c r="BL87" s="15" t="str">
        <f t="shared" si="77"/>
        <v>-----</v>
      </c>
      <c r="BM87" s="15" t="str">
        <f t="shared" si="78"/>
        <v>-----</v>
      </c>
      <c r="BN87" s="15" t="str">
        <f t="shared" si="79"/>
        <v>-----</v>
      </c>
      <c r="BO87" s="15" t="str">
        <f t="shared" si="80"/>
        <v>-----</v>
      </c>
      <c r="BP87" s="15" t="str">
        <f t="shared" si="81"/>
        <v>-----</v>
      </c>
      <c r="BQ87" s="15" t="str">
        <f t="shared" si="82"/>
        <v>-----</v>
      </c>
      <c r="BR87" s="22"/>
      <c r="BS87" s="9">
        <f t="shared" si="83"/>
        <v>-2.423265306122455E-3</v>
      </c>
      <c r="BT87" s="9">
        <f>SLOPE(J$5:J$103,$A$5:$A$103)</f>
        <v>-3.7194805194805478E-4</v>
      </c>
      <c r="BU87" s="9">
        <f>SLOPE(K$5:K$103,$A$5:$A$103)</f>
        <v>-1.6402721088435472E-3</v>
      </c>
      <c r="BV87" s="9">
        <f>SLOPE(L$5:L$103,$A$5:$A$103)</f>
        <v>7.6471243042669956E-4</v>
      </c>
      <c r="BW87" s="9">
        <f>SLOPE(M$5:M$103,$A$5:$A$103)</f>
        <v>-2.3081014223875058E-4</v>
      </c>
      <c r="BX87" s="9">
        <f>SLOPE(N$5:N$103,$A$5:$A$103)</f>
        <v>1.5802844774273381E-3</v>
      </c>
      <c r="BY87"/>
      <c r="BZ87" s="9">
        <f t="shared" si="95"/>
        <v>-1.9079214597220278</v>
      </c>
      <c r="CA87" s="9">
        <f t="shared" si="96"/>
        <v>-0.29295343676527091</v>
      </c>
      <c r="CB87" s="9">
        <f t="shared" si="97"/>
        <v>-1.2917022253843653</v>
      </c>
      <c r="CC87" s="9">
        <f t="shared" si="98"/>
        <v>0.60228527619529781</v>
      </c>
      <c r="CD87" s="9">
        <f t="shared" si="99"/>
        <v>-0.18179147971962978</v>
      </c>
      <c r="CE87" s="9">
        <f t="shared" si="100"/>
        <v>1.2444775446344229</v>
      </c>
      <c r="CF87"/>
      <c r="CG87" s="18" t="str" cm="1">
        <f t="array" ref="CG87">_xlfn.IFS(BZ87&gt;3,"Strong + Slope",BZ87&gt;1.5,"Moderate + Slope",BZ87&gt;0.5,"Sideway + Slope",BZ87&gt;=-0.5,"Sideway Flat",BZ87&gt;=-1.5,"Sideway - Slope",BZ87&gt;=-3,"Moderate - Slope",TRUE,"Strong - Slope")</f>
        <v>Moderate - Slope</v>
      </c>
      <c r="CH87" s="18" t="str" cm="1">
        <f t="array" ref="CH87">_xlfn.IFS(CA87&gt;3,"Strong + Slope",CA87&gt;1.5,"Moderate + Slope",CA87&gt;0.5,"Sideway + Slope",CA87&gt;=-0.5,"Sideway Flat",CA87&gt;=-1.5,"Sideway - Slope",CA87&gt;=-3,"Moderate - Slope",TRUE,"Strong - Slope")</f>
        <v>Sideway Flat</v>
      </c>
      <c r="CI87" s="18" t="str" cm="1">
        <f t="array" ref="CI87">_xlfn.IFS(CB87&gt;3,"Strong + Slope",CB87&gt;1.5,"Moderate + Slope",CB87&gt;0.5,"Sideway + Slope",CB87&gt;=-0.5,"Sideway Flat",CB87&gt;=-1.5,"Sideway - Slope",CB87&gt;=-3,"Moderate - Slope",TRUE,"Strong - Slope")</f>
        <v>Sideway - Slope</v>
      </c>
      <c r="CJ87" s="18" t="str" cm="1">
        <f t="array" ref="CJ87">_xlfn.IFS(CC87&gt;3,"Strong + Slope",CC87&gt;1.5,"Moderate + Slope",CC87&gt;0.5,"Sideway + Slope",CC87&gt;=-0.5,"Sideway Flat",CC87&gt;=-1.5,"Sideway - Slope",CC87&gt;=-3,"Moderate - Slope",TRUE,"Strong - Slope")</f>
        <v>Sideway + Slope</v>
      </c>
      <c r="CK87" s="18" t="str" cm="1">
        <f t="array" ref="CK87">_xlfn.IFS(CD87&gt;3,"Strong + Slope",CD87&gt;1.5,"Moderate + Slope",CD87&gt;0.5,"Sideway + Slope",CD87&gt;=-0.5,"Sideway Flat",CD87&gt;=-1.5,"Sideway - Slope",CD87&gt;=-3,"Moderate - Slope",TRUE,"Strong - Slope")</f>
        <v>Sideway Flat</v>
      </c>
      <c r="CL87" s="18" t="str" cm="1">
        <f t="array" ref="CL87">_xlfn.IFS(CE87&gt;3,"Strong + Slope",CE87&gt;1.5,"Moderate + Slope",CE87&gt;0.5,"Sideway + Slope",CE87&gt;=-0.5,"Sideway Flat",CE87&gt;=-1.5,"Sideway - Slope",CE87&gt;=-3,"Moderate - Slope",TRUE,"Strong - Slope")</f>
        <v>Sideway + Slope</v>
      </c>
      <c r="CM87" s="9"/>
      <c r="CN87" s="9">
        <f>RANK(I87,$I87:$N87,0)</f>
        <v>4</v>
      </c>
      <c r="CO87" s="9">
        <f>RANK(J87,$I87:$N87,0)</f>
        <v>3</v>
      </c>
      <c r="CP87" s="9">
        <f>RANK(K87,$I87:$N87,0)</f>
        <v>1</v>
      </c>
      <c r="CQ87" s="9">
        <f>RANK(L87,$I87:$N87,0)</f>
        <v>5</v>
      </c>
      <c r="CR87" s="9">
        <f>RANK(M87,$I87:$N87,0)</f>
        <v>6</v>
      </c>
      <c r="CS87" s="9">
        <f>RANK(N87,$I87:$N87,0)</f>
        <v>2</v>
      </c>
      <c r="CT87" s="9"/>
      <c r="CU87" s="9" t="str">
        <f>IF($H87&gt;I87,"SUP","RES")</f>
        <v>RES</v>
      </c>
      <c r="CV87" s="9" t="str">
        <f>IF($H87&gt;J87,"SUP","RES")</f>
        <v>RES</v>
      </c>
      <c r="CW87" s="9" t="str">
        <f>IF($H87&gt;K87,"SUP","RES")</f>
        <v>RES</v>
      </c>
      <c r="CX87" s="9" t="str">
        <f>IF($H87&gt;L87,"SUP","RES")</f>
        <v>SUP</v>
      </c>
      <c r="CY87" s="9" t="str">
        <f>IF($H87&gt;M87,"SUP","RES")</f>
        <v>SUP</v>
      </c>
      <c r="CZ87" s="9" t="str">
        <f>IF($H87&gt;N87,"SUP","RES")</f>
        <v>RES</v>
      </c>
      <c r="DA87" s="9"/>
      <c r="DB87" s="12">
        <f>(I87-$H87)/$H87</f>
        <v>7.3332984128643582E-4</v>
      </c>
      <c r="DC87" s="12">
        <f>(J87-$H87)/$H87</f>
        <v>1.001780943900212E-3</v>
      </c>
      <c r="DD87" s="12">
        <f>(K87-$H87)/$H87</f>
        <v>2.6714158504006274E-3</v>
      </c>
      <c r="DE87" s="12">
        <f>(L87-$H87)/$H87</f>
        <v>-6.8749672620618471E-4</v>
      </c>
      <c r="DF87" s="12">
        <f>(M87-$H87)/$H87</f>
        <v>-9.4285265308264004E-4</v>
      </c>
      <c r="DG87" s="12">
        <f>(N87-$H87)/$H87</f>
        <v>1.1130899376668815E-3</v>
      </c>
      <c r="DH87" s="12"/>
      <c r="DI87" s="12">
        <f>((H87-MIN(I87:N87))/(MAX(I87:N87)-MIN(I87:N87)))</f>
        <v>0.26086956521740473</v>
      </c>
      <c r="DJ87" s="13">
        <f t="shared" si="67"/>
        <v>4</v>
      </c>
      <c r="DK87" s="14">
        <f t="shared" si="68"/>
        <v>2</v>
      </c>
      <c r="DL87" s="12">
        <f t="shared" si="84"/>
        <v>2.6714158504006274E-3</v>
      </c>
      <c r="DM87" s="12">
        <f t="shared" si="85"/>
        <v>1.1130899376668815E-3</v>
      </c>
      <c r="DN87" s="12">
        <f t="shared" si="86"/>
        <v>1.001780943900212E-3</v>
      </c>
      <c r="DO87" s="12">
        <f t="shared" si="87"/>
        <v>7.3332984128643582E-4</v>
      </c>
      <c r="DP87" s="12">
        <f t="shared" si="88"/>
        <v>-6.8749672620618471E-4</v>
      </c>
      <c r="DQ87" s="12">
        <f t="shared" si="89"/>
        <v>-9.4285265308264004E-4</v>
      </c>
      <c r="DR87" s="9"/>
      <c r="DS87" s="9" t="str">
        <f>IF(AQ87&gt;AG87,"Overbought",IF(AQ87&gt;AI87,"Bullish Momentum",IF(AQ87&gt;AK87,"Overprice Setting Up","-----")))</f>
        <v>-----</v>
      </c>
      <c r="DT87" s="9" t="str">
        <f>IF(AQ87&lt;AP87,"Oversold",IF(AQ87&lt;AN87,"Bearish Momentum",IF(AQ87&lt;AL87,"Underprice Setting Up","-----")))</f>
        <v>-----</v>
      </c>
      <c r="DU87" s="9"/>
      <c r="DV87" s="12" t="str">
        <f>IF(AND(AT87&gt;AU87,AT86&gt;AU86,AT85&gt;AU85,AT84&gt;AU84,AT83&gt;AU83,AT82&gt;AU82,AT81&gt;AU81,AT80&gt;AU80,AT79&gt;AU79,AT78&gt;AU78,AT77&gt;AU77,AT76&gt;AU76),"Bullish",IF(AND(AT87&lt;AU87,AT86&lt;AU86,AT85&lt;AU85,AT84&lt;AU84,AT83&lt;AU83,AT82&lt;AU82,AT81&lt;AU81,AT80&lt;AU80,AT79&lt;AU79,AT78&lt;AU78,AT77&lt;AU77,AT76&lt;AU76),"Bearish","-----"))</f>
        <v>Bearish</v>
      </c>
      <c r="DW87" s="12"/>
      <c r="DX87" s="23">
        <f>(AR87-AT87)/AT87</f>
        <v>-1.1780798607248256E-4</v>
      </c>
      <c r="DY87" s="23">
        <f t="shared" si="69"/>
        <v>0.95892095653792142</v>
      </c>
      <c r="DZ87" s="23" t="str">
        <f t="shared" si="70"/>
        <v>-----</v>
      </c>
      <c r="EA87" s="23" t="str">
        <f>IF(AQ87&gt;AR87,"Bullish","Bearish")</f>
        <v>Bearish</v>
      </c>
      <c r="EB87" s="22" t="str">
        <f>IF(AND(H87&gt;AQ87,H86&lt;AQ86),"TEMA crossover","-----")</f>
        <v>-----</v>
      </c>
      <c r="EC87" s="22" t="str">
        <f>IF(AND(H87&lt;AQ87,H86&gt;AQ86),"TEMA crossunder","-----")</f>
        <v>-----</v>
      </c>
      <c r="ED87" s="22"/>
      <c r="EE87" s="24" t="str">
        <f t="shared" si="45"/>
        <v>YES</v>
      </c>
      <c r="EF87" s="24" t="str">
        <f t="shared" si="46"/>
        <v>-----</v>
      </c>
      <c r="EG87" s="24" t="str">
        <f t="shared" si="47"/>
        <v>-----</v>
      </c>
      <c r="EH87" s="24" t="str">
        <f t="shared" si="48"/>
        <v>YES</v>
      </c>
      <c r="EI87" s="25" t="str">
        <f>IF(DV87="Bullish","YES","-----")</f>
        <v>-----</v>
      </c>
      <c r="EJ87" s="25" t="str">
        <f>IF(DZ87="Reverse to Bullish","YES","-----")</f>
        <v>-----</v>
      </c>
      <c r="EK87" s="25" t="str">
        <f>IF(AND(EA87="Bearish",EA86="Bearish",EA85="Bearish",EA84="Bearish"),"YES","-----")</f>
        <v>-----</v>
      </c>
      <c r="EL87" s="25" t="str">
        <f>IF(OR(EC87="TEMA crossover",EC86="TEMA crossover",EC85="TEMA crossover",EC84="TEMA crossover"),"YES","-----")</f>
        <v>-----</v>
      </c>
      <c r="EM87" s="24" t="str">
        <f>IF(AND(EE87="YES",EF87="YES",EG87="YES",EH87="YES"),"Open Sell / Close Buy","-----")</f>
        <v>-----</v>
      </c>
      <c r="EN87" s="25" t="str">
        <f t="shared" si="94"/>
        <v>-----</v>
      </c>
      <c r="EO87" s="23"/>
      <c r="EP87" s="9" t="str">
        <f>IF(AND(H87&gt;AV87,H87&gt;E87),"Bullish Trigger","-----")</f>
        <v>-----</v>
      </c>
      <c r="EQ87" s="9" t="str">
        <f>IF(AND(H87&lt;AW87,H87&lt;E87),"Bearish Trigger","-----")</f>
        <v>Bearish Trigger</v>
      </c>
      <c r="ER87" s="9"/>
      <c r="ES87" s="9" t="str">
        <f>IF(G87&gt;AV87,"Bullish Spike","-----")</f>
        <v>-----</v>
      </c>
      <c r="ET87" s="9" t="str">
        <f>IF(F87&lt;AW87,"Bearish Spike","-----")</f>
        <v>-----</v>
      </c>
      <c r="EU87" s="9"/>
      <c r="EV87" s="20">
        <f t="shared" si="71"/>
        <v>4.5000000000015916E-2</v>
      </c>
      <c r="EW87" s="9">
        <f t="shared" si="90"/>
        <v>-0.70933911490427681</v>
      </c>
      <c r="EX87" s="21" t="str">
        <f t="shared" si="91"/>
        <v>-----</v>
      </c>
      <c r="EY87" s="9"/>
    </row>
    <row r="88" spans="1:155" x14ac:dyDescent="0.55000000000000004">
      <c r="A88">
        <v>84</v>
      </c>
      <c r="B88" t="s">
        <v>87</v>
      </c>
      <c r="C88" t="s">
        <v>4</v>
      </c>
      <c r="D88" t="s">
        <v>103</v>
      </c>
      <c r="E88">
        <v>152.72800000000001</v>
      </c>
      <c r="F88">
        <v>152.75299999999999</v>
      </c>
      <c r="G88">
        <v>152.71700000000001</v>
      </c>
      <c r="H88">
        <v>152.72900000000001</v>
      </c>
      <c r="I88">
        <v>152.83699999999999</v>
      </c>
      <c r="J88">
        <v>152.88</v>
      </c>
      <c r="K88">
        <v>153.13499999999999</v>
      </c>
      <c r="L88">
        <v>152.624</v>
      </c>
      <c r="M88">
        <v>152.584</v>
      </c>
      <c r="N88">
        <v>152.899</v>
      </c>
      <c r="O88" s="16">
        <f t="shared" si="66"/>
        <v>3.5999999999972943E-2</v>
      </c>
      <c r="P88" s="16">
        <f t="shared" si="72"/>
        <v>2.4999999999977263E-2</v>
      </c>
      <c r="Q88" s="16">
        <f t="shared" si="73"/>
        <v>1.099999999999568E-2</v>
      </c>
      <c r="R88" s="16">
        <f t="shared" si="74"/>
        <v>3.5999999999972943E-2</v>
      </c>
      <c r="S88" s="16">
        <f t="shared" si="101"/>
        <v>4.2602226410085979E-2</v>
      </c>
      <c r="T88">
        <v>0</v>
      </c>
      <c r="U88">
        <v>0</v>
      </c>
      <c r="V88">
        <v>0</v>
      </c>
      <c r="W88">
        <v>0</v>
      </c>
      <c r="Y88" s="9" t="str">
        <f t="shared" si="75"/>
        <v>------</v>
      </c>
      <c r="Z88" s="9" t="str">
        <f t="shared" si="76"/>
        <v>------</v>
      </c>
      <c r="AA88" s="9"/>
      <c r="AB88">
        <v>0</v>
      </c>
      <c r="AD88" t="str">
        <f t="shared" si="58"/>
        <v/>
      </c>
      <c r="AE88">
        <v>1.03921</v>
      </c>
      <c r="AF88">
        <v>0</v>
      </c>
      <c r="AG88">
        <v>153.07112000000001</v>
      </c>
      <c r="AH88">
        <v>152.99357000000001</v>
      </c>
      <c r="AI88">
        <v>152.91603000000001</v>
      </c>
      <c r="AJ88">
        <v>152.83849000000001</v>
      </c>
      <c r="AK88">
        <v>152.76094000000001</v>
      </c>
      <c r="AL88">
        <v>152.73051000000001</v>
      </c>
      <c r="AM88">
        <v>152.65297000000001</v>
      </c>
      <c r="AN88">
        <v>152.57542000000001</v>
      </c>
      <c r="AO88">
        <v>152.49788000000001</v>
      </c>
      <c r="AP88">
        <v>152.42034000000001</v>
      </c>
      <c r="AQ88">
        <v>152.738</v>
      </c>
      <c r="AR88">
        <v>152.76400000000001</v>
      </c>
      <c r="AS88">
        <f t="shared" si="92"/>
        <v>84</v>
      </c>
      <c r="AT88">
        <v>152.78700000000001</v>
      </c>
      <c r="AU88">
        <v>152.87899999999999</v>
      </c>
      <c r="AV88">
        <v>152.761</v>
      </c>
      <c r="AW88">
        <v>152.71899999999999</v>
      </c>
      <c r="AY88" s="4">
        <f>I88*(1+$AY$2)</f>
        <v>152.85992555000001</v>
      </c>
      <c r="AZ88" s="4">
        <f>I88*(1-$AY$2)</f>
        <v>152.81407444999999</v>
      </c>
      <c r="BA88" s="4">
        <f>J88*(1+$AY$2)</f>
        <v>152.90293200000002</v>
      </c>
      <c r="BB88" s="4">
        <f>J88*(1-$AY$2)</f>
        <v>152.857068</v>
      </c>
      <c r="BC88" s="4">
        <f>K88*(1+$AY$2)</f>
        <v>153.15797025000001</v>
      </c>
      <c r="BD88" s="4">
        <f>K88*(1-$AY$2)</f>
        <v>153.11202975</v>
      </c>
      <c r="BE88" s="4">
        <f>L88*(1+$AY$2)</f>
        <v>152.6468936</v>
      </c>
      <c r="BF88" s="4">
        <f>L88*(1-$AY$2)</f>
        <v>152.60110639999999</v>
      </c>
      <c r="BG88" s="4">
        <f>M88*(1+$AY$2)</f>
        <v>152.60688760000002</v>
      </c>
      <c r="BH88" s="4">
        <f>M88*(1-$AY$2)</f>
        <v>152.56111240000001</v>
      </c>
      <c r="BI88" s="4">
        <f>N88*(1+$AY$2)</f>
        <v>152.92193485000001</v>
      </c>
      <c r="BJ88" s="4">
        <f>N88*(1-$AY$2)</f>
        <v>152.87606515000002</v>
      </c>
      <c r="BK88" s="30">
        <f t="shared" si="93"/>
        <v>84</v>
      </c>
      <c r="BL88" s="15" t="str">
        <f t="shared" si="77"/>
        <v>-----</v>
      </c>
      <c r="BM88" s="15" t="str">
        <f t="shared" si="78"/>
        <v>-----</v>
      </c>
      <c r="BN88" s="15" t="str">
        <f t="shared" si="79"/>
        <v>-----</v>
      </c>
      <c r="BO88" s="15" t="str">
        <f t="shared" si="80"/>
        <v>-----</v>
      </c>
      <c r="BP88" s="15" t="str">
        <f t="shared" si="81"/>
        <v>-----</v>
      </c>
      <c r="BQ88" s="15" t="str">
        <f t="shared" si="82"/>
        <v>-----</v>
      </c>
      <c r="BR88" s="22"/>
      <c r="BS88" s="9">
        <f t="shared" si="83"/>
        <v>-2.423265306122455E-3</v>
      </c>
      <c r="BT88" s="9">
        <f>SLOPE(J$5:J$103,$A$5:$A$103)</f>
        <v>-3.7194805194805478E-4</v>
      </c>
      <c r="BU88" s="9">
        <f>SLOPE(K$5:K$103,$A$5:$A$103)</f>
        <v>-1.6402721088435472E-3</v>
      </c>
      <c r="BV88" s="9">
        <f>SLOPE(L$5:L$103,$A$5:$A$103)</f>
        <v>7.6471243042669956E-4</v>
      </c>
      <c r="BW88" s="9">
        <f>SLOPE(M$5:M$103,$A$5:$A$103)</f>
        <v>-2.3081014223875058E-4</v>
      </c>
      <c r="BX88" s="9">
        <f>SLOPE(N$5:N$103,$A$5:$A$103)</f>
        <v>1.5802844774273381E-3</v>
      </c>
      <c r="BY88"/>
      <c r="BZ88" s="9">
        <f t="shared" si="95"/>
        <v>-1.9079214597220278</v>
      </c>
      <c r="CA88" s="9">
        <f t="shared" si="96"/>
        <v>-0.29295343676527091</v>
      </c>
      <c r="CB88" s="9">
        <f t="shared" si="97"/>
        <v>-1.2917022253843653</v>
      </c>
      <c r="CC88" s="9">
        <f t="shared" si="98"/>
        <v>0.60228527619529781</v>
      </c>
      <c r="CD88" s="9">
        <f t="shared" si="99"/>
        <v>-0.18179147971962978</v>
      </c>
      <c r="CE88" s="9">
        <f t="shared" si="100"/>
        <v>1.2444775446344229</v>
      </c>
      <c r="CF88"/>
      <c r="CG88" s="18" t="str" cm="1">
        <f t="array" ref="CG88">_xlfn.IFS(BZ88&gt;3,"Strong + Slope",BZ88&gt;1.5,"Moderate + Slope",BZ88&gt;0.5,"Sideway + Slope",BZ88&gt;=-0.5,"Sideway Flat",BZ88&gt;=-1.5,"Sideway - Slope",BZ88&gt;=-3,"Moderate - Slope",TRUE,"Strong - Slope")</f>
        <v>Moderate - Slope</v>
      </c>
      <c r="CH88" s="18" t="str" cm="1">
        <f t="array" ref="CH88">_xlfn.IFS(CA88&gt;3,"Strong + Slope",CA88&gt;1.5,"Moderate + Slope",CA88&gt;0.5,"Sideway + Slope",CA88&gt;=-0.5,"Sideway Flat",CA88&gt;=-1.5,"Sideway - Slope",CA88&gt;=-3,"Moderate - Slope",TRUE,"Strong - Slope")</f>
        <v>Sideway Flat</v>
      </c>
      <c r="CI88" s="18" t="str" cm="1">
        <f t="array" ref="CI88">_xlfn.IFS(CB88&gt;3,"Strong + Slope",CB88&gt;1.5,"Moderate + Slope",CB88&gt;0.5,"Sideway + Slope",CB88&gt;=-0.5,"Sideway Flat",CB88&gt;=-1.5,"Sideway - Slope",CB88&gt;=-3,"Moderate - Slope",TRUE,"Strong - Slope")</f>
        <v>Sideway - Slope</v>
      </c>
      <c r="CJ88" s="18" t="str" cm="1">
        <f t="array" ref="CJ88">_xlfn.IFS(CC88&gt;3,"Strong + Slope",CC88&gt;1.5,"Moderate + Slope",CC88&gt;0.5,"Sideway + Slope",CC88&gt;=-0.5,"Sideway Flat",CC88&gt;=-1.5,"Sideway - Slope",CC88&gt;=-3,"Moderate - Slope",TRUE,"Strong - Slope")</f>
        <v>Sideway + Slope</v>
      </c>
      <c r="CK88" s="18" t="str" cm="1">
        <f t="array" ref="CK88">_xlfn.IFS(CD88&gt;3,"Strong + Slope",CD88&gt;1.5,"Moderate + Slope",CD88&gt;0.5,"Sideway + Slope",CD88&gt;=-0.5,"Sideway Flat",CD88&gt;=-1.5,"Sideway - Slope",CD88&gt;=-3,"Moderate - Slope",TRUE,"Strong - Slope")</f>
        <v>Sideway Flat</v>
      </c>
      <c r="CL88" s="18" t="str" cm="1">
        <f t="array" ref="CL88">_xlfn.IFS(CE88&gt;3,"Strong + Slope",CE88&gt;1.5,"Moderate + Slope",CE88&gt;0.5,"Sideway + Slope",CE88&gt;=-0.5,"Sideway Flat",CE88&gt;=-1.5,"Sideway - Slope",CE88&gt;=-3,"Moderate - Slope",TRUE,"Strong - Slope")</f>
        <v>Sideway + Slope</v>
      </c>
      <c r="CM88" s="9"/>
      <c r="CN88" s="9">
        <f>RANK(I88,$I88:$N88,0)</f>
        <v>4</v>
      </c>
      <c r="CO88" s="9">
        <f>RANK(J88,$I88:$N88,0)</f>
        <v>3</v>
      </c>
      <c r="CP88" s="9">
        <f>RANK(K88,$I88:$N88,0)</f>
        <v>1</v>
      </c>
      <c r="CQ88" s="9">
        <f>RANK(L88,$I88:$N88,0)</f>
        <v>5</v>
      </c>
      <c r="CR88" s="9">
        <f>RANK(M88,$I88:$N88,0)</f>
        <v>6</v>
      </c>
      <c r="CS88" s="9">
        <f>RANK(N88,$I88:$N88,0)</f>
        <v>2</v>
      </c>
      <c r="CT88" s="9"/>
      <c r="CU88" s="9" t="str">
        <f>IF($H88&gt;I88,"SUP","RES")</f>
        <v>RES</v>
      </c>
      <c r="CV88" s="9" t="str">
        <f>IF($H88&gt;J88,"SUP","RES")</f>
        <v>RES</v>
      </c>
      <c r="CW88" s="9" t="str">
        <f>IF($H88&gt;K88,"SUP","RES")</f>
        <v>RES</v>
      </c>
      <c r="CX88" s="9" t="str">
        <f>IF($H88&gt;L88,"SUP","RES")</f>
        <v>SUP</v>
      </c>
      <c r="CY88" s="9" t="str">
        <f>IF($H88&gt;M88,"SUP","RES")</f>
        <v>SUP</v>
      </c>
      <c r="CZ88" s="9" t="str">
        <f>IF($H88&gt;N88,"SUP","RES")</f>
        <v>RES</v>
      </c>
      <c r="DA88" s="9"/>
      <c r="DB88" s="12">
        <f>(I88-$H88)/$H88</f>
        <v>7.0713485978416454E-4</v>
      </c>
      <c r="DC88" s="12">
        <f>(J88-$H88)/$H88</f>
        <v>9.8867929469833508E-4</v>
      </c>
      <c r="DD88" s="12">
        <f>(K88-$H88)/$H88</f>
        <v>2.6583032691890698E-3</v>
      </c>
      <c r="DE88" s="12">
        <f>(L88-$H88)/$H88</f>
        <v>-6.8749222479043393E-4</v>
      </c>
      <c r="DF88" s="12">
        <f>(M88-$H88)/$H88</f>
        <v>-9.4939402471050176E-4</v>
      </c>
      <c r="DG88" s="12">
        <f>(N88-$H88)/$H88</f>
        <v>1.1130826496604277E-3</v>
      </c>
      <c r="DH88" s="12"/>
      <c r="DI88" s="12">
        <f>((H88-MIN(I88:N88))/(MAX(I88:N88)-MIN(I88:N88)))</f>
        <v>0.26315789473686652</v>
      </c>
      <c r="DJ88" s="13">
        <f t="shared" si="67"/>
        <v>4</v>
      </c>
      <c r="DK88" s="14">
        <f t="shared" si="68"/>
        <v>2</v>
      </c>
      <c r="DL88" s="12">
        <f t="shared" si="84"/>
        <v>2.6583032691890698E-3</v>
      </c>
      <c r="DM88" s="12">
        <f t="shared" si="85"/>
        <v>1.1130826496604277E-3</v>
      </c>
      <c r="DN88" s="12">
        <f t="shared" si="86"/>
        <v>9.8867929469833508E-4</v>
      </c>
      <c r="DO88" s="12">
        <f t="shared" si="87"/>
        <v>7.0713485978416454E-4</v>
      </c>
      <c r="DP88" s="12">
        <f t="shared" si="88"/>
        <v>-6.8749222479043393E-4</v>
      </c>
      <c r="DQ88" s="12">
        <f t="shared" si="89"/>
        <v>-9.4939402471050176E-4</v>
      </c>
      <c r="DR88" s="9"/>
      <c r="DS88" s="9" t="str">
        <f>IF(AQ88&gt;AG88,"Overbought",IF(AQ88&gt;AI88,"Bullish Momentum",IF(AQ88&gt;AK88,"Overprice Setting Up","-----")))</f>
        <v>-----</v>
      </c>
      <c r="DT88" s="9" t="str">
        <f>IF(AQ88&lt;AP88,"Oversold",IF(AQ88&lt;AN88,"Bearish Momentum",IF(AQ88&lt;AL88,"Underprice Setting Up","-----")))</f>
        <v>-----</v>
      </c>
      <c r="DU88" s="9"/>
      <c r="DV88" s="12" t="str">
        <f>IF(AND(AT88&gt;AU88,AT87&gt;AU87,AT86&gt;AU86,AT85&gt;AU85,AT84&gt;AU84,AT83&gt;AU83,AT82&gt;AU82,AT81&gt;AU81,AT80&gt;AU80,AT79&gt;AU79,AT78&gt;AU78,AT77&gt;AU77),"Bullish",IF(AND(AT88&lt;AU88,AT87&lt;AU87,AT86&lt;AU86,AT85&lt;AU85,AT84&lt;AU84,AT83&lt;AU83,AT82&lt;AU82,AT81&lt;AU81,AT80&lt;AU80,AT79&lt;AU79,AT78&lt;AU78,AT77&lt;AU77),"Bearish","-----"))</f>
        <v>Bearish</v>
      </c>
      <c r="DW88" s="12"/>
      <c r="DX88" s="23">
        <f>(AR88-AT88)/AT88</f>
        <v>-1.5053636762287455E-4</v>
      </c>
      <c r="DY88" s="23">
        <f t="shared" si="69"/>
        <v>0.86453057683782264</v>
      </c>
      <c r="DZ88" s="23" t="str">
        <f t="shared" si="70"/>
        <v>-----</v>
      </c>
      <c r="EA88" s="23" t="str">
        <f>IF(AQ88&gt;AR88,"Bullish","Bearish")</f>
        <v>Bearish</v>
      </c>
      <c r="EB88" s="22" t="str">
        <f>IF(AND(H88&gt;AQ88,H87&lt;AQ87),"TEMA crossover","-----")</f>
        <v>-----</v>
      </c>
      <c r="EC88" s="22" t="str">
        <f>IF(AND(H88&lt;AQ88,H87&gt;AQ87),"TEMA crossunder","-----")</f>
        <v>-----</v>
      </c>
      <c r="ED88" s="22"/>
      <c r="EE88" s="24" t="str">
        <f t="shared" si="45"/>
        <v>YES</v>
      </c>
      <c r="EF88" s="24" t="str">
        <f t="shared" si="46"/>
        <v>-----</v>
      </c>
      <c r="EG88" s="24" t="str">
        <f t="shared" si="47"/>
        <v>-----</v>
      </c>
      <c r="EH88" s="24" t="str">
        <f t="shared" si="48"/>
        <v>YES</v>
      </c>
      <c r="EI88" s="25" t="str">
        <f>IF(DV88="Bullish","YES","-----")</f>
        <v>-----</v>
      </c>
      <c r="EJ88" s="25" t="str">
        <f>IF(DZ88="Reverse to Bullish","YES","-----")</f>
        <v>-----</v>
      </c>
      <c r="EK88" s="25" t="str">
        <f>IF(AND(EA88="Bearish",EA87="Bearish",EA86="Bearish",EA85="Bearish"),"YES","-----")</f>
        <v>-----</v>
      </c>
      <c r="EL88" s="25" t="str">
        <f>IF(OR(EC88="TEMA crossover",EC87="TEMA crossover",EC86="TEMA crossover",EC85="TEMA crossover"),"YES","-----")</f>
        <v>-----</v>
      </c>
      <c r="EM88" s="24" t="str">
        <f>IF(AND(EE88="YES",EF88="YES",EG88="YES",EH88="YES"),"Open Sell / Close Buy","-----")</f>
        <v>-----</v>
      </c>
      <c r="EN88" s="25" t="str">
        <f t="shared" si="94"/>
        <v>-----</v>
      </c>
      <c r="EO88" s="23"/>
      <c r="EP88" s="9" t="str">
        <f>IF(AND(H88&gt;AV88,H88&gt;E88),"Bullish Trigger","-----")</f>
        <v>-----</v>
      </c>
      <c r="EQ88" s="9" t="str">
        <f>IF(AND(H88&lt;AW88,H88&lt;E88),"Bearish Trigger","-----")</f>
        <v>-----</v>
      </c>
      <c r="ER88" s="9"/>
      <c r="ES88" s="9" t="str">
        <f>IF(G88&gt;AV88,"Bullish Spike","-----")</f>
        <v>-----</v>
      </c>
      <c r="ET88" s="9" t="str">
        <f>IF(F88&lt;AW88,"Bearish Spike","-----")</f>
        <v>-----</v>
      </c>
      <c r="EU88" s="9"/>
      <c r="EV88" s="20">
        <f t="shared" si="71"/>
        <v>4.2000000000001592E-2</v>
      </c>
      <c r="EW88" s="9">
        <f t="shared" si="90"/>
        <v>-0.77848047267509102</v>
      </c>
      <c r="EX88" s="21" t="str">
        <f t="shared" si="91"/>
        <v>-----</v>
      </c>
      <c r="EY88" s="9"/>
    </row>
    <row r="89" spans="1:155" x14ac:dyDescent="0.55000000000000004">
      <c r="A89">
        <v>85</v>
      </c>
      <c r="B89" t="s">
        <v>88</v>
      </c>
      <c r="C89" t="s">
        <v>4</v>
      </c>
      <c r="D89" t="s">
        <v>103</v>
      </c>
      <c r="E89">
        <v>152.72900000000001</v>
      </c>
      <c r="F89">
        <v>152.749</v>
      </c>
      <c r="G89">
        <v>152.726</v>
      </c>
      <c r="H89">
        <v>152.74600000000001</v>
      </c>
      <c r="I89">
        <v>152.83500000000001</v>
      </c>
      <c r="J89">
        <v>152.88</v>
      </c>
      <c r="K89">
        <v>153.13300000000001</v>
      </c>
      <c r="L89">
        <v>152.624</v>
      </c>
      <c r="M89">
        <v>152.584</v>
      </c>
      <c r="N89">
        <v>152.90100000000001</v>
      </c>
      <c r="O89" s="16">
        <f t="shared" si="66"/>
        <v>2.2999999999996135E-2</v>
      </c>
      <c r="P89" s="16">
        <f t="shared" si="72"/>
        <v>1.999999999998181E-2</v>
      </c>
      <c r="Q89" s="16">
        <f t="shared" si="73"/>
        <v>3.0000000000143245E-3</v>
      </c>
      <c r="R89" s="16">
        <f t="shared" si="74"/>
        <v>2.2999999999996135E-2</v>
      </c>
      <c r="S89" s="16">
        <f t="shared" si="101"/>
        <v>4.120206738079385E-2</v>
      </c>
      <c r="T89">
        <v>0</v>
      </c>
      <c r="U89">
        <v>0</v>
      </c>
      <c r="V89">
        <v>0</v>
      </c>
      <c r="W89">
        <v>0</v>
      </c>
      <c r="Y89" s="9" t="str">
        <f t="shared" si="75"/>
        <v>------</v>
      </c>
      <c r="Z89" s="9" t="str">
        <f t="shared" si="76"/>
        <v>------</v>
      </c>
      <c r="AA89" s="9"/>
      <c r="AB89">
        <v>0</v>
      </c>
      <c r="AD89" t="str">
        <f t="shared" si="58"/>
        <v/>
      </c>
      <c r="AE89">
        <v>0.65542</v>
      </c>
      <c r="AF89">
        <v>0</v>
      </c>
      <c r="AG89">
        <v>153.06584000000001</v>
      </c>
      <c r="AH89">
        <v>152.9889</v>
      </c>
      <c r="AI89">
        <v>152.91195999999999</v>
      </c>
      <c r="AJ89">
        <v>152.83501999999999</v>
      </c>
      <c r="AK89">
        <v>152.75808000000001</v>
      </c>
      <c r="AL89">
        <v>152.72807</v>
      </c>
      <c r="AM89">
        <v>152.65112999999999</v>
      </c>
      <c r="AN89">
        <v>152.57418999999999</v>
      </c>
      <c r="AO89">
        <v>152.49726000000001</v>
      </c>
      <c r="AP89">
        <v>152.42032</v>
      </c>
      <c r="AQ89">
        <v>152.73500000000001</v>
      </c>
      <c r="AR89">
        <v>152.75700000000001</v>
      </c>
      <c r="AS89">
        <f t="shared" si="92"/>
        <v>85</v>
      </c>
      <c r="AT89">
        <v>152.78299999999999</v>
      </c>
      <c r="AU89">
        <v>152.875</v>
      </c>
      <c r="AV89">
        <v>152.751</v>
      </c>
      <c r="AW89">
        <v>152.71799999999999</v>
      </c>
      <c r="AY89" s="4">
        <f>I89*(1+$AY$2)</f>
        <v>152.85792525000002</v>
      </c>
      <c r="AZ89" s="4">
        <f>I89*(1-$AY$2)</f>
        <v>152.81207475000002</v>
      </c>
      <c r="BA89" s="4">
        <f>J89*(1+$AY$2)</f>
        <v>152.90293200000002</v>
      </c>
      <c r="BB89" s="4">
        <f>J89*(1-$AY$2)</f>
        <v>152.857068</v>
      </c>
      <c r="BC89" s="4">
        <f>K89*(1+$AY$2)</f>
        <v>153.15596995000001</v>
      </c>
      <c r="BD89" s="4">
        <f>K89*(1-$AY$2)</f>
        <v>153.11003005000001</v>
      </c>
      <c r="BE89" s="4">
        <f>L89*(1+$AY$2)</f>
        <v>152.6468936</v>
      </c>
      <c r="BF89" s="4">
        <f>L89*(1-$AY$2)</f>
        <v>152.60110639999999</v>
      </c>
      <c r="BG89" s="4">
        <f>M89*(1+$AY$2)</f>
        <v>152.60688760000002</v>
      </c>
      <c r="BH89" s="4">
        <f>M89*(1-$AY$2)</f>
        <v>152.56111240000001</v>
      </c>
      <c r="BI89" s="4">
        <f>N89*(1+$AY$2)</f>
        <v>152.92393515000003</v>
      </c>
      <c r="BJ89" s="4">
        <f>N89*(1-$AY$2)</f>
        <v>152.87806485000002</v>
      </c>
      <c r="BK89" s="30">
        <f t="shared" si="93"/>
        <v>85</v>
      </c>
      <c r="BL89" s="15" t="str">
        <f t="shared" si="77"/>
        <v>-----</v>
      </c>
      <c r="BM89" s="15" t="str">
        <f t="shared" si="78"/>
        <v>-----</v>
      </c>
      <c r="BN89" s="15" t="str">
        <f t="shared" si="79"/>
        <v>-----</v>
      </c>
      <c r="BO89" s="15" t="str">
        <f t="shared" si="80"/>
        <v>-----</v>
      </c>
      <c r="BP89" s="15" t="str">
        <f t="shared" si="81"/>
        <v>-----</v>
      </c>
      <c r="BQ89" s="15" t="str">
        <f t="shared" si="82"/>
        <v>-----</v>
      </c>
      <c r="BR89" s="22"/>
      <c r="BS89" s="9">
        <f t="shared" si="83"/>
        <v>-2.423265306122455E-3</v>
      </c>
      <c r="BT89" s="9">
        <f>SLOPE(J$5:J$103,$A$5:$A$103)</f>
        <v>-3.7194805194805478E-4</v>
      </c>
      <c r="BU89" s="9">
        <f>SLOPE(K$5:K$103,$A$5:$A$103)</f>
        <v>-1.6402721088435472E-3</v>
      </c>
      <c r="BV89" s="9">
        <f>SLOPE(L$5:L$103,$A$5:$A$103)</f>
        <v>7.6471243042669956E-4</v>
      </c>
      <c r="BW89" s="9">
        <f>SLOPE(M$5:M$103,$A$5:$A$103)</f>
        <v>-2.3081014223875058E-4</v>
      </c>
      <c r="BX89" s="9">
        <f>SLOPE(N$5:N$103,$A$5:$A$103)</f>
        <v>1.5802844774273381E-3</v>
      </c>
      <c r="BY89"/>
      <c r="BZ89" s="9">
        <f t="shared" si="95"/>
        <v>-1.9079214597220278</v>
      </c>
      <c r="CA89" s="9">
        <f t="shared" si="96"/>
        <v>-0.29295343676527091</v>
      </c>
      <c r="CB89" s="9">
        <f t="shared" si="97"/>
        <v>-1.2917022253843653</v>
      </c>
      <c r="CC89" s="9">
        <f t="shared" si="98"/>
        <v>0.60228527619529781</v>
      </c>
      <c r="CD89" s="9">
        <f t="shared" si="99"/>
        <v>-0.18179147971962978</v>
      </c>
      <c r="CE89" s="9">
        <f t="shared" si="100"/>
        <v>1.2444775446344229</v>
      </c>
      <c r="CF89"/>
      <c r="CG89" s="18" t="str" cm="1">
        <f t="array" ref="CG89">_xlfn.IFS(BZ89&gt;3,"Strong + Slope",BZ89&gt;1.5,"Moderate + Slope",BZ89&gt;0.5,"Sideway + Slope",BZ89&gt;=-0.5,"Sideway Flat",BZ89&gt;=-1.5,"Sideway - Slope",BZ89&gt;=-3,"Moderate - Slope",TRUE,"Strong - Slope")</f>
        <v>Moderate - Slope</v>
      </c>
      <c r="CH89" s="18" t="str" cm="1">
        <f t="array" ref="CH89">_xlfn.IFS(CA89&gt;3,"Strong + Slope",CA89&gt;1.5,"Moderate + Slope",CA89&gt;0.5,"Sideway + Slope",CA89&gt;=-0.5,"Sideway Flat",CA89&gt;=-1.5,"Sideway - Slope",CA89&gt;=-3,"Moderate - Slope",TRUE,"Strong - Slope")</f>
        <v>Sideway Flat</v>
      </c>
      <c r="CI89" s="18" t="str" cm="1">
        <f t="array" ref="CI89">_xlfn.IFS(CB89&gt;3,"Strong + Slope",CB89&gt;1.5,"Moderate + Slope",CB89&gt;0.5,"Sideway + Slope",CB89&gt;=-0.5,"Sideway Flat",CB89&gt;=-1.5,"Sideway - Slope",CB89&gt;=-3,"Moderate - Slope",TRUE,"Strong - Slope")</f>
        <v>Sideway - Slope</v>
      </c>
      <c r="CJ89" s="18" t="str" cm="1">
        <f t="array" ref="CJ89">_xlfn.IFS(CC89&gt;3,"Strong + Slope",CC89&gt;1.5,"Moderate + Slope",CC89&gt;0.5,"Sideway + Slope",CC89&gt;=-0.5,"Sideway Flat",CC89&gt;=-1.5,"Sideway - Slope",CC89&gt;=-3,"Moderate - Slope",TRUE,"Strong - Slope")</f>
        <v>Sideway + Slope</v>
      </c>
      <c r="CK89" s="18" t="str" cm="1">
        <f t="array" ref="CK89">_xlfn.IFS(CD89&gt;3,"Strong + Slope",CD89&gt;1.5,"Moderate + Slope",CD89&gt;0.5,"Sideway + Slope",CD89&gt;=-0.5,"Sideway Flat",CD89&gt;=-1.5,"Sideway - Slope",CD89&gt;=-3,"Moderate - Slope",TRUE,"Strong - Slope")</f>
        <v>Sideway Flat</v>
      </c>
      <c r="CL89" s="18" t="str" cm="1">
        <f t="array" ref="CL89">_xlfn.IFS(CE89&gt;3,"Strong + Slope",CE89&gt;1.5,"Moderate + Slope",CE89&gt;0.5,"Sideway + Slope",CE89&gt;=-0.5,"Sideway Flat",CE89&gt;=-1.5,"Sideway - Slope",CE89&gt;=-3,"Moderate - Slope",TRUE,"Strong - Slope")</f>
        <v>Sideway + Slope</v>
      </c>
      <c r="CM89" s="9"/>
      <c r="CN89" s="9">
        <f>RANK(I89,$I89:$N89,0)</f>
        <v>4</v>
      </c>
      <c r="CO89" s="9">
        <f>RANK(J89,$I89:$N89,0)</f>
        <v>3</v>
      </c>
      <c r="CP89" s="9">
        <f>RANK(K89,$I89:$N89,0)</f>
        <v>1</v>
      </c>
      <c r="CQ89" s="9">
        <f>RANK(L89,$I89:$N89,0)</f>
        <v>5</v>
      </c>
      <c r="CR89" s="9">
        <f>RANK(M89,$I89:$N89,0)</f>
        <v>6</v>
      </c>
      <c r="CS89" s="9">
        <f>RANK(N89,$I89:$N89,0)</f>
        <v>2</v>
      </c>
      <c r="CT89" s="9"/>
      <c r="CU89" s="9" t="str">
        <f>IF($H89&gt;I89,"SUP","RES")</f>
        <v>RES</v>
      </c>
      <c r="CV89" s="9" t="str">
        <f>IF($H89&gt;J89,"SUP","RES")</f>
        <v>RES</v>
      </c>
      <c r="CW89" s="9" t="str">
        <f>IF($H89&gt;K89,"SUP","RES")</f>
        <v>RES</v>
      </c>
      <c r="CX89" s="9" t="str">
        <f>IF($H89&gt;L89,"SUP","RES")</f>
        <v>SUP</v>
      </c>
      <c r="CY89" s="9" t="str">
        <f>IF($H89&gt;M89,"SUP","RES")</f>
        <v>SUP</v>
      </c>
      <c r="CZ89" s="9" t="str">
        <f>IF($H89&gt;N89,"SUP","RES")</f>
        <v>RES</v>
      </c>
      <c r="DA89" s="9"/>
      <c r="DB89" s="12">
        <f>(I89-$H89)/$H89</f>
        <v>5.8266664920848094E-4</v>
      </c>
      <c r="DC89" s="12">
        <f>(J89-$H89)/$H89</f>
        <v>8.7727338195426479E-4</v>
      </c>
      <c r="DD89" s="12">
        <f>(K89-$H89)/$H89</f>
        <v>2.5336179016144478E-3</v>
      </c>
      <c r="DE89" s="12">
        <f>(L89-$H89)/$H89</f>
        <v>-7.9871158655555035E-4</v>
      </c>
      <c r="DF89" s="12">
        <f>(M89-$H89)/$H89</f>
        <v>-1.0605842378851565E-3</v>
      </c>
      <c r="DG89" s="12">
        <f>(N89-$H89)/$H89</f>
        <v>1.0147565239024337E-3</v>
      </c>
      <c r="DH89" s="12"/>
      <c r="DI89" s="12">
        <f>((H89-MIN(I89:N89))/(MAX(I89:N89)-MIN(I89:N89)))</f>
        <v>0.29508196721312241</v>
      </c>
      <c r="DJ89" s="13">
        <f t="shared" si="67"/>
        <v>4</v>
      </c>
      <c r="DK89" s="14">
        <f t="shared" si="68"/>
        <v>2</v>
      </c>
      <c r="DL89" s="12">
        <f t="shared" si="84"/>
        <v>2.5336179016144478E-3</v>
      </c>
      <c r="DM89" s="12">
        <f t="shared" si="85"/>
        <v>1.0147565239024337E-3</v>
      </c>
      <c r="DN89" s="12">
        <f t="shared" si="86"/>
        <v>8.7727338195426479E-4</v>
      </c>
      <c r="DO89" s="12">
        <f t="shared" si="87"/>
        <v>5.8266664920848094E-4</v>
      </c>
      <c r="DP89" s="12">
        <f t="shared" si="88"/>
        <v>-7.9871158655555035E-4</v>
      </c>
      <c r="DQ89" s="12">
        <f t="shared" si="89"/>
        <v>-1.0605842378851565E-3</v>
      </c>
      <c r="DR89" s="9"/>
      <c r="DS89" s="9" t="str">
        <f>IF(AQ89&gt;AG89,"Overbought",IF(AQ89&gt;AI89,"Bullish Momentum",IF(AQ89&gt;AK89,"Overprice Setting Up","-----")))</f>
        <v>-----</v>
      </c>
      <c r="DT89" s="9" t="str">
        <f>IF(AQ89&lt;AP89,"Oversold",IF(AQ89&lt;AN89,"Bearish Momentum",IF(AQ89&lt;AL89,"Underprice Setting Up","-----")))</f>
        <v>-----</v>
      </c>
      <c r="DU89" s="9"/>
      <c r="DV89" s="12" t="str">
        <f>IF(AND(AT89&gt;AU89,AT88&gt;AU88,AT87&gt;AU87,AT86&gt;AU86,AT85&gt;AU85,AT84&gt;AU84,AT83&gt;AU83,AT82&gt;AU82,AT81&gt;AU81,AT80&gt;AU80,AT79&gt;AU79,AT78&gt;AU78),"Bullish",IF(AND(AT89&lt;AU89,AT88&lt;AU88,AT87&lt;AU87,AT86&lt;AU86,AT85&lt;AU85,AT84&lt;AU84,AT83&lt;AU83,AT82&lt;AU82,AT81&lt;AU81,AT80&lt;AU80,AT79&lt;AU79,AT78&lt;AU78),"Bearish","-----"))</f>
        <v>Bearish</v>
      </c>
      <c r="DW89" s="12"/>
      <c r="DX89" s="23">
        <f>(AR89-AT89)/AT89</f>
        <v>-1.7017600125656676E-4</v>
      </c>
      <c r="DY89" s="23">
        <f t="shared" si="69"/>
        <v>0.80788883691552482</v>
      </c>
      <c r="DZ89" s="23" t="str">
        <f t="shared" si="70"/>
        <v>-----</v>
      </c>
      <c r="EA89" s="23" t="str">
        <f>IF(AQ89&gt;AR89,"Bullish","Bearish")</f>
        <v>Bearish</v>
      </c>
      <c r="EB89" s="22" t="str">
        <f>IF(AND(H89&gt;AQ89,H88&lt;AQ88),"TEMA crossover","-----")</f>
        <v>TEMA crossover</v>
      </c>
      <c r="EC89" s="22" t="str">
        <f>IF(AND(H89&lt;AQ89,H88&gt;AQ88),"TEMA crossunder","-----")</f>
        <v>-----</v>
      </c>
      <c r="ED89" s="22"/>
      <c r="EE89" s="24" t="str">
        <f t="shared" si="45"/>
        <v>YES</v>
      </c>
      <c r="EF89" s="24" t="str">
        <f t="shared" si="46"/>
        <v>-----</v>
      </c>
      <c r="EG89" s="24" t="str">
        <f t="shared" si="47"/>
        <v>-----</v>
      </c>
      <c r="EH89" s="24" t="str">
        <f t="shared" si="48"/>
        <v>-----</v>
      </c>
      <c r="EI89" s="25" t="str">
        <f>IF(DV89="Bullish","YES","-----")</f>
        <v>-----</v>
      </c>
      <c r="EJ89" s="25" t="str">
        <f>IF(DZ89="Reverse to Bullish","YES","-----")</f>
        <v>-----</v>
      </c>
      <c r="EK89" s="25" t="str">
        <f>IF(AND(EA89="Bearish",EA88="Bearish",EA87="Bearish",EA86="Bearish"),"YES","-----")</f>
        <v>YES</v>
      </c>
      <c r="EL89" s="25" t="str">
        <f>IF(OR(EC89="TEMA crossover",EC88="TEMA crossover",EC87="TEMA crossover",EC86="TEMA crossover"),"YES","-----")</f>
        <v>-----</v>
      </c>
      <c r="EM89" s="24" t="str">
        <f>IF(AND(EE89="YES",EF89="YES",EG89="YES",EH89="YES"),"Open Sell / Close Buy","-----")</f>
        <v>-----</v>
      </c>
      <c r="EN89" s="25" t="str">
        <f t="shared" si="94"/>
        <v>-----</v>
      </c>
      <c r="EO89" s="23"/>
      <c r="EP89" s="9" t="str">
        <f>IF(AND(H89&gt;AV89,H89&gt;E89),"Bullish Trigger","-----")</f>
        <v>-----</v>
      </c>
      <c r="EQ89" s="9" t="str">
        <f>IF(AND(H89&lt;AW89,H89&lt;E89),"Bearish Trigger","-----")</f>
        <v>-----</v>
      </c>
      <c r="ER89" s="9"/>
      <c r="ES89" s="9" t="str">
        <f>IF(G89&gt;AV89,"Bullish Spike","-----")</f>
        <v>-----</v>
      </c>
      <c r="ET89" s="9" t="str">
        <f>IF(F89&lt;AW89,"Bearish Spike","-----")</f>
        <v>-----</v>
      </c>
      <c r="EU89" s="9"/>
      <c r="EV89" s="20">
        <f t="shared" si="71"/>
        <v>3.3000000000015461E-2</v>
      </c>
      <c r="EW89" s="9">
        <f t="shared" si="90"/>
        <v>-0.98590454598622335</v>
      </c>
      <c r="EX89" s="21" t="str">
        <f t="shared" si="91"/>
        <v>-----</v>
      </c>
      <c r="EY89" s="9"/>
    </row>
    <row r="90" spans="1:155" x14ac:dyDescent="0.55000000000000004">
      <c r="A90">
        <v>86</v>
      </c>
      <c r="B90" t="s">
        <v>89</v>
      </c>
      <c r="C90" t="s">
        <v>4</v>
      </c>
      <c r="D90" t="s">
        <v>103</v>
      </c>
      <c r="E90">
        <v>152.74600000000001</v>
      </c>
      <c r="F90">
        <v>152.79</v>
      </c>
      <c r="G90">
        <v>152.74100000000001</v>
      </c>
      <c r="H90">
        <v>152.74199999999999</v>
      </c>
      <c r="I90">
        <v>152.83199999999999</v>
      </c>
      <c r="J90">
        <v>152.87899999999999</v>
      </c>
      <c r="K90">
        <v>153.13200000000001</v>
      </c>
      <c r="L90">
        <v>152.625</v>
      </c>
      <c r="M90">
        <v>152.583</v>
      </c>
      <c r="N90">
        <v>152.90199999999999</v>
      </c>
      <c r="O90" s="16">
        <f t="shared" si="66"/>
        <v>4.8999999999978172E-2</v>
      </c>
      <c r="P90" s="16">
        <f t="shared" si="72"/>
        <v>4.399999999998272E-2</v>
      </c>
      <c r="Q90" s="16">
        <f t="shared" si="73"/>
        <v>4.9999999999954525E-3</v>
      </c>
      <c r="R90" s="16">
        <f t="shared" si="74"/>
        <v>4.8999999999978172E-2</v>
      </c>
      <c r="S90" s="16">
        <f t="shared" si="101"/>
        <v>4.1759062567878438E-2</v>
      </c>
      <c r="T90">
        <v>0</v>
      </c>
      <c r="U90">
        <v>0</v>
      </c>
      <c r="V90">
        <v>0</v>
      </c>
      <c r="W90">
        <v>0</v>
      </c>
      <c r="Y90" s="9" t="str">
        <f t="shared" si="75"/>
        <v>------</v>
      </c>
      <c r="Z90" s="9" t="str">
        <f t="shared" si="76"/>
        <v>------</v>
      </c>
      <c r="AA90" s="9"/>
      <c r="AB90">
        <v>1</v>
      </c>
      <c r="AD90" t="str">
        <f t="shared" si="58"/>
        <v/>
      </c>
      <c r="AE90">
        <v>0.96518999999999999</v>
      </c>
      <c r="AF90">
        <v>3</v>
      </c>
      <c r="AG90">
        <v>153.06236999999999</v>
      </c>
      <c r="AH90">
        <v>152.98578000000001</v>
      </c>
      <c r="AI90">
        <v>152.90917999999999</v>
      </c>
      <c r="AJ90">
        <v>152.83259000000001</v>
      </c>
      <c r="AK90">
        <v>152.756</v>
      </c>
      <c r="AL90">
        <v>152.726</v>
      </c>
      <c r="AM90">
        <v>152.64940000000001</v>
      </c>
      <c r="AN90">
        <v>152.57281</v>
      </c>
      <c r="AO90">
        <v>152.49621999999999</v>
      </c>
      <c r="AP90">
        <v>152.41963000000001</v>
      </c>
      <c r="AQ90">
        <v>152.74199999999999</v>
      </c>
      <c r="AR90">
        <v>152.75299999999999</v>
      </c>
      <c r="AS90">
        <f t="shared" si="92"/>
        <v>86</v>
      </c>
      <c r="AT90">
        <v>152.78100000000001</v>
      </c>
      <c r="AU90">
        <v>152.87200000000001</v>
      </c>
      <c r="AV90">
        <v>152.76499999999999</v>
      </c>
      <c r="AW90">
        <v>152.72499999999999</v>
      </c>
      <c r="AY90" s="4">
        <f>I90*(1+$AY$2)</f>
        <v>152.85492480000002</v>
      </c>
      <c r="AZ90" s="4">
        <f>I90*(1-$AY$2)</f>
        <v>152.8090752</v>
      </c>
      <c r="BA90" s="4">
        <f>J90*(1+$AY$2)</f>
        <v>152.90193185000001</v>
      </c>
      <c r="BB90" s="4">
        <f>J90*(1-$AY$2)</f>
        <v>152.85606815</v>
      </c>
      <c r="BC90" s="4">
        <f>K90*(1+$AY$2)</f>
        <v>153.15496980000003</v>
      </c>
      <c r="BD90" s="4">
        <f>K90*(1-$AY$2)</f>
        <v>153.10903020000001</v>
      </c>
      <c r="BE90" s="4">
        <f>L90*(1+$AY$2)</f>
        <v>152.64789375000001</v>
      </c>
      <c r="BF90" s="4">
        <f>L90*(1-$AY$2)</f>
        <v>152.60210624999999</v>
      </c>
      <c r="BG90" s="4">
        <f>M90*(1+$AY$2)</f>
        <v>152.60588745000001</v>
      </c>
      <c r="BH90" s="4">
        <f>M90*(1-$AY$2)</f>
        <v>152.56011255000001</v>
      </c>
      <c r="BI90" s="4">
        <f>N90*(1+$AY$2)</f>
        <v>152.92493529999999</v>
      </c>
      <c r="BJ90" s="4">
        <f>N90*(1-$AY$2)</f>
        <v>152.87906469999999</v>
      </c>
      <c r="BK90" s="30">
        <f t="shared" si="93"/>
        <v>86</v>
      </c>
      <c r="BL90" s="15" t="str">
        <f t="shared" si="77"/>
        <v>-----</v>
      </c>
      <c r="BM90" s="15" t="str">
        <f t="shared" si="78"/>
        <v>-----</v>
      </c>
      <c r="BN90" s="15" t="str">
        <f t="shared" si="79"/>
        <v>-----</v>
      </c>
      <c r="BO90" s="15" t="str">
        <f t="shared" si="80"/>
        <v>-----</v>
      </c>
      <c r="BP90" s="15" t="str">
        <f t="shared" si="81"/>
        <v>-----</v>
      </c>
      <c r="BQ90" s="15" t="str">
        <f t="shared" si="82"/>
        <v>-----</v>
      </c>
      <c r="BR90" s="22"/>
      <c r="BS90" s="9">
        <f t="shared" si="83"/>
        <v>-2.423265306122455E-3</v>
      </c>
      <c r="BT90" s="9">
        <f>SLOPE(J$5:J$103,$A$5:$A$103)</f>
        <v>-3.7194805194805478E-4</v>
      </c>
      <c r="BU90" s="9">
        <f>SLOPE(K$5:K$103,$A$5:$A$103)</f>
        <v>-1.6402721088435472E-3</v>
      </c>
      <c r="BV90" s="9">
        <f>SLOPE(L$5:L$103,$A$5:$A$103)</f>
        <v>7.6471243042669956E-4</v>
      </c>
      <c r="BW90" s="9">
        <f>SLOPE(M$5:M$103,$A$5:$A$103)</f>
        <v>-2.3081014223875058E-4</v>
      </c>
      <c r="BX90" s="9">
        <f>SLOPE(N$5:N$103,$A$5:$A$103)</f>
        <v>1.5802844774273381E-3</v>
      </c>
      <c r="BY90"/>
      <c r="BZ90" s="9">
        <f t="shared" si="95"/>
        <v>-1.9079214597220278</v>
      </c>
      <c r="CA90" s="9">
        <f t="shared" si="96"/>
        <v>-0.29295343676527091</v>
      </c>
      <c r="CB90" s="9">
        <f t="shared" si="97"/>
        <v>-1.2917022253843653</v>
      </c>
      <c r="CC90" s="9">
        <f t="shared" si="98"/>
        <v>0.60228527619529781</v>
      </c>
      <c r="CD90" s="9">
        <f t="shared" si="99"/>
        <v>-0.18179147971962978</v>
      </c>
      <c r="CE90" s="9">
        <f t="shared" si="100"/>
        <v>1.2444775446344229</v>
      </c>
      <c r="CF90"/>
      <c r="CG90" s="18" t="str" cm="1">
        <f t="array" ref="CG90">_xlfn.IFS(BZ90&gt;3,"Strong + Slope",BZ90&gt;1.5,"Moderate + Slope",BZ90&gt;0.5,"Sideway + Slope",BZ90&gt;=-0.5,"Sideway Flat",BZ90&gt;=-1.5,"Sideway - Slope",BZ90&gt;=-3,"Moderate - Slope",TRUE,"Strong - Slope")</f>
        <v>Moderate - Slope</v>
      </c>
      <c r="CH90" s="18" t="str" cm="1">
        <f t="array" ref="CH90">_xlfn.IFS(CA90&gt;3,"Strong + Slope",CA90&gt;1.5,"Moderate + Slope",CA90&gt;0.5,"Sideway + Slope",CA90&gt;=-0.5,"Sideway Flat",CA90&gt;=-1.5,"Sideway - Slope",CA90&gt;=-3,"Moderate - Slope",TRUE,"Strong - Slope")</f>
        <v>Sideway Flat</v>
      </c>
      <c r="CI90" s="18" t="str" cm="1">
        <f t="array" ref="CI90">_xlfn.IFS(CB90&gt;3,"Strong + Slope",CB90&gt;1.5,"Moderate + Slope",CB90&gt;0.5,"Sideway + Slope",CB90&gt;=-0.5,"Sideway Flat",CB90&gt;=-1.5,"Sideway - Slope",CB90&gt;=-3,"Moderate - Slope",TRUE,"Strong - Slope")</f>
        <v>Sideway - Slope</v>
      </c>
      <c r="CJ90" s="18" t="str" cm="1">
        <f t="array" ref="CJ90">_xlfn.IFS(CC90&gt;3,"Strong + Slope",CC90&gt;1.5,"Moderate + Slope",CC90&gt;0.5,"Sideway + Slope",CC90&gt;=-0.5,"Sideway Flat",CC90&gt;=-1.5,"Sideway - Slope",CC90&gt;=-3,"Moderate - Slope",TRUE,"Strong - Slope")</f>
        <v>Sideway + Slope</v>
      </c>
      <c r="CK90" s="18" t="str" cm="1">
        <f t="array" ref="CK90">_xlfn.IFS(CD90&gt;3,"Strong + Slope",CD90&gt;1.5,"Moderate + Slope",CD90&gt;0.5,"Sideway + Slope",CD90&gt;=-0.5,"Sideway Flat",CD90&gt;=-1.5,"Sideway - Slope",CD90&gt;=-3,"Moderate - Slope",TRUE,"Strong - Slope")</f>
        <v>Sideway Flat</v>
      </c>
      <c r="CL90" s="18" t="str" cm="1">
        <f t="array" ref="CL90">_xlfn.IFS(CE90&gt;3,"Strong + Slope",CE90&gt;1.5,"Moderate + Slope",CE90&gt;0.5,"Sideway + Slope",CE90&gt;=-0.5,"Sideway Flat",CE90&gt;=-1.5,"Sideway - Slope",CE90&gt;=-3,"Moderate - Slope",TRUE,"Strong - Slope")</f>
        <v>Sideway + Slope</v>
      </c>
      <c r="CM90" s="9"/>
      <c r="CN90" s="9">
        <f>RANK(I90,$I90:$N90,0)</f>
        <v>4</v>
      </c>
      <c r="CO90" s="9">
        <f>RANK(J90,$I90:$N90,0)</f>
        <v>3</v>
      </c>
      <c r="CP90" s="9">
        <f>RANK(K90,$I90:$N90,0)</f>
        <v>1</v>
      </c>
      <c r="CQ90" s="9">
        <f>RANK(L90,$I90:$N90,0)</f>
        <v>5</v>
      </c>
      <c r="CR90" s="9">
        <f>RANK(M90,$I90:$N90,0)</f>
        <v>6</v>
      </c>
      <c r="CS90" s="9">
        <f>RANK(N90,$I90:$N90,0)</f>
        <v>2</v>
      </c>
      <c r="CT90" s="9"/>
      <c r="CU90" s="9" t="str">
        <f>IF($H90&gt;I90,"SUP","RES")</f>
        <v>RES</v>
      </c>
      <c r="CV90" s="9" t="str">
        <f>IF($H90&gt;J90,"SUP","RES")</f>
        <v>RES</v>
      </c>
      <c r="CW90" s="9" t="str">
        <f>IF($H90&gt;K90,"SUP","RES")</f>
        <v>RES</v>
      </c>
      <c r="CX90" s="9" t="str">
        <f>IF($H90&gt;L90,"SUP","RES")</f>
        <v>SUP</v>
      </c>
      <c r="CY90" s="9" t="str">
        <f>IF($H90&gt;M90,"SUP","RES")</f>
        <v>SUP</v>
      </c>
      <c r="CZ90" s="9" t="str">
        <f>IF($H90&gt;N90,"SUP","RES")</f>
        <v>RES</v>
      </c>
      <c r="DA90" s="9"/>
      <c r="DB90" s="12">
        <f>(I90-$H90)/$H90</f>
        <v>5.8922889578507168E-4</v>
      </c>
      <c r="DC90" s="12">
        <f>(J90-$H90)/$H90</f>
        <v>8.9693731913946702E-4</v>
      </c>
      <c r="DD90" s="12">
        <f>(K90-$H90)/$H90</f>
        <v>2.5533252150686438E-3</v>
      </c>
      <c r="DE90" s="12">
        <f>(L90-$H90)/$H90</f>
        <v>-7.6599756452050015E-4</v>
      </c>
      <c r="DF90" s="12">
        <f>(M90-$H90)/$H90</f>
        <v>-1.0409710492202003E-3</v>
      </c>
      <c r="DG90" s="12">
        <f>(N90-$H90)/$H90</f>
        <v>1.0475180369511766E-3</v>
      </c>
      <c r="DH90" s="12"/>
      <c r="DI90" s="12">
        <f>((H90-MIN(I90:N90))/(MAX(I90:N90)-MIN(I90:N90)))</f>
        <v>0.28961748633877943</v>
      </c>
      <c r="DJ90" s="13">
        <f t="shared" si="67"/>
        <v>4</v>
      </c>
      <c r="DK90" s="14">
        <f t="shared" si="68"/>
        <v>2</v>
      </c>
      <c r="DL90" s="12">
        <f t="shared" si="84"/>
        <v>2.5533252150686438E-3</v>
      </c>
      <c r="DM90" s="12">
        <f t="shared" si="85"/>
        <v>1.0475180369511766E-3</v>
      </c>
      <c r="DN90" s="12">
        <f t="shared" si="86"/>
        <v>8.9693731913946702E-4</v>
      </c>
      <c r="DO90" s="12">
        <f t="shared" si="87"/>
        <v>5.8922889578507168E-4</v>
      </c>
      <c r="DP90" s="12">
        <f t="shared" si="88"/>
        <v>-7.6599756452050015E-4</v>
      </c>
      <c r="DQ90" s="12">
        <f t="shared" si="89"/>
        <v>-1.0409710492202003E-3</v>
      </c>
      <c r="DR90" s="9"/>
      <c r="DS90" s="9" t="str">
        <f>IF(AQ90&gt;AG90,"Overbought",IF(AQ90&gt;AI90,"Bullish Momentum",IF(AQ90&gt;AK90,"Overprice Setting Up","-----")))</f>
        <v>-----</v>
      </c>
      <c r="DT90" s="9" t="str">
        <f>IF(AQ90&lt;AP90,"Oversold",IF(AQ90&lt;AN90,"Bearish Momentum",IF(AQ90&lt;AL90,"Underprice Setting Up","-----")))</f>
        <v>-----</v>
      </c>
      <c r="DU90" s="9"/>
      <c r="DV90" s="12" t="str">
        <f>IF(AND(AT90&gt;AU90,AT89&gt;AU89,AT88&gt;AU88,AT87&gt;AU87,AT86&gt;AU86,AT85&gt;AU85,AT84&gt;AU84,AT83&gt;AU83,AT82&gt;AU82,AT81&gt;AU81,AT80&gt;AU80,AT79&gt;AU79),"Bullish",IF(AND(AT90&lt;AU90,AT89&lt;AU89,AT88&lt;AU88,AT87&lt;AU87,AT86&lt;AU86,AT85&lt;AU85,AT84&lt;AU84,AT83&lt;AU83,AT82&lt;AU82,AT81&lt;AU81,AT80&lt;AU80,AT79&lt;AU79),"Bearish","-----"))</f>
        <v>Bearish</v>
      </c>
      <c r="DW90" s="12"/>
      <c r="DX90" s="23">
        <f>(AR90-AT90)/AT90</f>
        <v>-1.8326886196595133E-4</v>
      </c>
      <c r="DY90" s="23">
        <f t="shared" si="69"/>
        <v>0.77012833562655991</v>
      </c>
      <c r="DZ90" s="23" t="str">
        <f t="shared" si="70"/>
        <v>-----</v>
      </c>
      <c r="EA90" s="23" t="str">
        <f>IF(AQ90&gt;AR90,"Bullish","Bearish")</f>
        <v>Bearish</v>
      </c>
      <c r="EB90" s="22" t="str">
        <f>IF(AND(H90&gt;AQ90,H89&lt;AQ89),"TEMA crossover","-----")</f>
        <v>-----</v>
      </c>
      <c r="EC90" s="22" t="str">
        <f>IF(AND(H90&lt;AQ90,H89&gt;AQ89),"TEMA crossunder","-----")</f>
        <v>-----</v>
      </c>
      <c r="ED90" s="22"/>
      <c r="EE90" s="24" t="str">
        <f t="shared" si="45"/>
        <v>YES</v>
      </c>
      <c r="EF90" s="24" t="str">
        <f t="shared" si="46"/>
        <v>-----</v>
      </c>
      <c r="EG90" s="24" t="str">
        <f t="shared" si="47"/>
        <v>-----</v>
      </c>
      <c r="EH90" s="24" t="str">
        <f t="shared" si="48"/>
        <v>-----</v>
      </c>
      <c r="EI90" s="25" t="str">
        <f>IF(DV90="Bullish","YES","-----")</f>
        <v>-----</v>
      </c>
      <c r="EJ90" s="25" t="str">
        <f>IF(DZ90="Reverse to Bullish","YES","-----")</f>
        <v>-----</v>
      </c>
      <c r="EK90" s="25" t="str">
        <f>IF(AND(EA90="Bearish",EA89="Bearish",EA88="Bearish",EA87="Bearish"),"YES","-----")</f>
        <v>YES</v>
      </c>
      <c r="EL90" s="25" t="str">
        <f>IF(OR(EC90="TEMA crossover",EC89="TEMA crossover",EC88="TEMA crossover",EC87="TEMA crossover"),"YES","-----")</f>
        <v>-----</v>
      </c>
      <c r="EM90" s="24" t="str">
        <f>IF(AND(EE90="YES",EF90="YES",EG90="YES",EH90="YES"),"Open Sell / Close Buy","-----")</f>
        <v>-----</v>
      </c>
      <c r="EN90" s="25" t="str">
        <f t="shared" si="94"/>
        <v>-----</v>
      </c>
      <c r="EO90" s="23"/>
      <c r="EP90" s="9" t="str">
        <f>IF(AND(H90&gt;AV90,H90&gt;E90),"Bullish Trigger","-----")</f>
        <v>-----</v>
      </c>
      <c r="EQ90" s="9" t="str">
        <f>IF(AND(H90&lt;AW90,H90&lt;E90),"Bearish Trigger","-----")</f>
        <v>-----</v>
      </c>
      <c r="ER90" s="9"/>
      <c r="ES90" s="9" t="str">
        <f>IF(G90&gt;AV90,"Bullish Spike","-----")</f>
        <v>-----</v>
      </c>
      <c r="ET90" s="9" t="str">
        <f>IF(F90&lt;AW90,"Bearish Spike","-----")</f>
        <v>-----</v>
      </c>
      <c r="EU90" s="9"/>
      <c r="EV90" s="20">
        <f t="shared" si="71"/>
        <v>3.9999999999992042E-2</v>
      </c>
      <c r="EW90" s="9">
        <f t="shared" si="90"/>
        <v>-0.82457471118896708</v>
      </c>
      <c r="EX90" s="21" t="str">
        <f t="shared" si="91"/>
        <v>-----</v>
      </c>
      <c r="EY90" s="9"/>
    </row>
    <row r="91" spans="1:155" x14ac:dyDescent="0.55000000000000004">
      <c r="A91">
        <v>87</v>
      </c>
      <c r="B91" t="s">
        <v>90</v>
      </c>
      <c r="C91" t="s">
        <v>4</v>
      </c>
      <c r="D91" t="s">
        <v>103</v>
      </c>
      <c r="E91">
        <v>152.74199999999999</v>
      </c>
      <c r="F91">
        <v>152.75299999999999</v>
      </c>
      <c r="G91">
        <v>152.70599999999999</v>
      </c>
      <c r="H91">
        <v>152.70599999999999</v>
      </c>
      <c r="I91">
        <v>152.83000000000001</v>
      </c>
      <c r="J91">
        <v>152.87899999999999</v>
      </c>
      <c r="K91">
        <v>153.13</v>
      </c>
      <c r="L91">
        <v>152.626</v>
      </c>
      <c r="M91">
        <v>152.583</v>
      </c>
      <c r="N91">
        <v>152.904</v>
      </c>
      <c r="O91" s="16">
        <f t="shared" si="66"/>
        <v>4.6999999999997044E-2</v>
      </c>
      <c r="P91" s="16">
        <f t="shared" si="72"/>
        <v>1.099999999999568E-2</v>
      </c>
      <c r="Q91" s="16">
        <f t="shared" si="73"/>
        <v>3.6000000000001364E-2</v>
      </c>
      <c r="R91" s="16">
        <f t="shared" si="74"/>
        <v>4.6999999999997044E-2</v>
      </c>
      <c r="S91" s="16">
        <f t="shared" si="101"/>
        <v>4.2133415241601198E-2</v>
      </c>
      <c r="T91">
        <v>0</v>
      </c>
      <c r="U91">
        <v>0</v>
      </c>
      <c r="V91">
        <v>0</v>
      </c>
      <c r="W91">
        <v>0</v>
      </c>
      <c r="Y91" s="9" t="str">
        <f t="shared" si="75"/>
        <v>------</v>
      </c>
      <c r="Z91" s="9" t="str">
        <f t="shared" si="76"/>
        <v>------</v>
      </c>
      <c r="AA91" s="9"/>
      <c r="AB91">
        <v>0</v>
      </c>
      <c r="AD91" t="str">
        <f t="shared" si="58"/>
        <v/>
      </c>
      <c r="AE91">
        <v>0.19186</v>
      </c>
      <c r="AF91">
        <v>3</v>
      </c>
      <c r="AG91">
        <v>153.05986999999999</v>
      </c>
      <c r="AH91">
        <v>152.98329000000001</v>
      </c>
      <c r="AI91">
        <v>152.90672000000001</v>
      </c>
      <c r="AJ91">
        <v>152.83015</v>
      </c>
      <c r="AK91">
        <v>152.75357</v>
      </c>
      <c r="AL91">
        <v>152.72334000000001</v>
      </c>
      <c r="AM91">
        <v>152.64677</v>
      </c>
      <c r="AN91">
        <v>152.57019</v>
      </c>
      <c r="AO91">
        <v>152.49361999999999</v>
      </c>
      <c r="AP91">
        <v>152.41704999999999</v>
      </c>
      <c r="AQ91">
        <v>152.72900000000001</v>
      </c>
      <c r="AR91">
        <v>152.74600000000001</v>
      </c>
      <c r="AS91">
        <f t="shared" si="92"/>
        <v>87</v>
      </c>
      <c r="AT91">
        <v>152.77699999999999</v>
      </c>
      <c r="AU91">
        <v>152.86799999999999</v>
      </c>
      <c r="AV91">
        <v>152.75700000000001</v>
      </c>
      <c r="AW91">
        <v>152.71299999999999</v>
      </c>
      <c r="AY91" s="4">
        <f>I91*(1+$AY$2)</f>
        <v>152.85292450000003</v>
      </c>
      <c r="AZ91" s="4">
        <f>I91*(1-$AY$2)</f>
        <v>152.80707550000002</v>
      </c>
      <c r="BA91" s="4">
        <f>J91*(1+$AY$2)</f>
        <v>152.90193185000001</v>
      </c>
      <c r="BB91" s="4">
        <f>J91*(1-$AY$2)</f>
        <v>152.85606815</v>
      </c>
      <c r="BC91" s="4">
        <f>K91*(1+$AY$2)</f>
        <v>153.15296950000001</v>
      </c>
      <c r="BD91" s="4">
        <f>K91*(1-$AY$2)</f>
        <v>153.10703050000001</v>
      </c>
      <c r="BE91" s="4">
        <f>L91*(1+$AY$2)</f>
        <v>152.64889390000002</v>
      </c>
      <c r="BF91" s="4">
        <f>L91*(1-$AY$2)</f>
        <v>152.60310610000002</v>
      </c>
      <c r="BG91" s="4">
        <f>M91*(1+$AY$2)</f>
        <v>152.60588745000001</v>
      </c>
      <c r="BH91" s="4">
        <f>M91*(1-$AY$2)</f>
        <v>152.56011255000001</v>
      </c>
      <c r="BI91" s="4">
        <f>N91*(1+$AY$2)</f>
        <v>152.92693560000001</v>
      </c>
      <c r="BJ91" s="4">
        <f>N91*(1-$AY$2)</f>
        <v>152.88106439999999</v>
      </c>
      <c r="BK91" s="30">
        <f t="shared" si="93"/>
        <v>87</v>
      </c>
      <c r="BL91" s="15" t="str">
        <f t="shared" si="77"/>
        <v>-----</v>
      </c>
      <c r="BM91" s="15" t="str">
        <f t="shared" si="78"/>
        <v>-----</v>
      </c>
      <c r="BN91" s="15" t="str">
        <f t="shared" si="79"/>
        <v>-----</v>
      </c>
      <c r="BO91" s="15" t="str">
        <f t="shared" si="80"/>
        <v>-----</v>
      </c>
      <c r="BP91" s="15" t="str">
        <f t="shared" si="81"/>
        <v>-----</v>
      </c>
      <c r="BQ91" s="15" t="str">
        <f t="shared" si="82"/>
        <v>-----</v>
      </c>
      <c r="BR91" s="22"/>
      <c r="BS91" s="9">
        <f t="shared" si="83"/>
        <v>-2.423265306122455E-3</v>
      </c>
      <c r="BT91" s="9">
        <f>SLOPE(J$5:J$103,$A$5:$A$103)</f>
        <v>-3.7194805194805478E-4</v>
      </c>
      <c r="BU91" s="9">
        <f>SLOPE(K$5:K$103,$A$5:$A$103)</f>
        <v>-1.6402721088435472E-3</v>
      </c>
      <c r="BV91" s="9">
        <f>SLOPE(L$5:L$103,$A$5:$A$103)</f>
        <v>7.6471243042669956E-4</v>
      </c>
      <c r="BW91" s="9">
        <f>SLOPE(M$5:M$103,$A$5:$A$103)</f>
        <v>-2.3081014223875058E-4</v>
      </c>
      <c r="BX91" s="9">
        <f>SLOPE(N$5:N$103,$A$5:$A$103)</f>
        <v>1.5802844774273381E-3</v>
      </c>
      <c r="BY91"/>
      <c r="BZ91" s="9">
        <f t="shared" si="95"/>
        <v>-1.9079214597220278</v>
      </c>
      <c r="CA91" s="9">
        <f t="shared" si="96"/>
        <v>-0.29295343676527091</v>
      </c>
      <c r="CB91" s="9">
        <f t="shared" si="97"/>
        <v>-1.2917022253843653</v>
      </c>
      <c r="CC91" s="9">
        <f t="shared" si="98"/>
        <v>0.60228527619529781</v>
      </c>
      <c r="CD91" s="9">
        <f t="shared" si="99"/>
        <v>-0.18179147971962978</v>
      </c>
      <c r="CE91" s="9">
        <f t="shared" si="100"/>
        <v>1.2444775446344229</v>
      </c>
      <c r="CF91"/>
      <c r="CG91" s="18" t="str" cm="1">
        <f t="array" ref="CG91">_xlfn.IFS(BZ91&gt;3,"Strong + Slope",BZ91&gt;1.5,"Moderate + Slope",BZ91&gt;0.5,"Sideway + Slope",BZ91&gt;=-0.5,"Sideway Flat",BZ91&gt;=-1.5,"Sideway - Slope",BZ91&gt;=-3,"Moderate - Slope",TRUE,"Strong - Slope")</f>
        <v>Moderate - Slope</v>
      </c>
      <c r="CH91" s="18" t="str" cm="1">
        <f t="array" ref="CH91">_xlfn.IFS(CA91&gt;3,"Strong + Slope",CA91&gt;1.5,"Moderate + Slope",CA91&gt;0.5,"Sideway + Slope",CA91&gt;=-0.5,"Sideway Flat",CA91&gt;=-1.5,"Sideway - Slope",CA91&gt;=-3,"Moderate - Slope",TRUE,"Strong - Slope")</f>
        <v>Sideway Flat</v>
      </c>
      <c r="CI91" s="18" t="str" cm="1">
        <f t="array" ref="CI91">_xlfn.IFS(CB91&gt;3,"Strong + Slope",CB91&gt;1.5,"Moderate + Slope",CB91&gt;0.5,"Sideway + Slope",CB91&gt;=-0.5,"Sideway Flat",CB91&gt;=-1.5,"Sideway - Slope",CB91&gt;=-3,"Moderate - Slope",TRUE,"Strong - Slope")</f>
        <v>Sideway - Slope</v>
      </c>
      <c r="CJ91" s="18" t="str" cm="1">
        <f t="array" ref="CJ91">_xlfn.IFS(CC91&gt;3,"Strong + Slope",CC91&gt;1.5,"Moderate + Slope",CC91&gt;0.5,"Sideway + Slope",CC91&gt;=-0.5,"Sideway Flat",CC91&gt;=-1.5,"Sideway - Slope",CC91&gt;=-3,"Moderate - Slope",TRUE,"Strong - Slope")</f>
        <v>Sideway + Slope</v>
      </c>
      <c r="CK91" s="18" t="str" cm="1">
        <f t="array" ref="CK91">_xlfn.IFS(CD91&gt;3,"Strong + Slope",CD91&gt;1.5,"Moderate + Slope",CD91&gt;0.5,"Sideway + Slope",CD91&gt;=-0.5,"Sideway Flat",CD91&gt;=-1.5,"Sideway - Slope",CD91&gt;=-3,"Moderate - Slope",TRUE,"Strong - Slope")</f>
        <v>Sideway Flat</v>
      </c>
      <c r="CL91" s="18" t="str" cm="1">
        <f t="array" ref="CL91">_xlfn.IFS(CE91&gt;3,"Strong + Slope",CE91&gt;1.5,"Moderate + Slope",CE91&gt;0.5,"Sideway + Slope",CE91&gt;=-0.5,"Sideway Flat",CE91&gt;=-1.5,"Sideway - Slope",CE91&gt;=-3,"Moderate - Slope",TRUE,"Strong - Slope")</f>
        <v>Sideway + Slope</v>
      </c>
      <c r="CM91" s="9"/>
      <c r="CN91" s="9">
        <f>RANK(I91,$I91:$N91,0)</f>
        <v>4</v>
      </c>
      <c r="CO91" s="9">
        <f>RANK(J91,$I91:$N91,0)</f>
        <v>3</v>
      </c>
      <c r="CP91" s="9">
        <f>RANK(K91,$I91:$N91,0)</f>
        <v>1</v>
      </c>
      <c r="CQ91" s="9">
        <f>RANK(L91,$I91:$N91,0)</f>
        <v>5</v>
      </c>
      <c r="CR91" s="9">
        <f>RANK(M91,$I91:$N91,0)</f>
        <v>6</v>
      </c>
      <c r="CS91" s="9">
        <f>RANK(N91,$I91:$N91,0)</f>
        <v>2</v>
      </c>
      <c r="CT91" s="9"/>
      <c r="CU91" s="9" t="str">
        <f>IF($H91&gt;I91,"SUP","RES")</f>
        <v>RES</v>
      </c>
      <c r="CV91" s="9" t="str">
        <f>IF($H91&gt;J91,"SUP","RES")</f>
        <v>RES</v>
      </c>
      <c r="CW91" s="9" t="str">
        <f>IF($H91&gt;K91,"SUP","RES")</f>
        <v>RES</v>
      </c>
      <c r="CX91" s="9" t="str">
        <f>IF($H91&gt;L91,"SUP","RES")</f>
        <v>SUP</v>
      </c>
      <c r="CY91" s="9" t="str">
        <f>IF($H91&gt;M91,"SUP","RES")</f>
        <v>SUP</v>
      </c>
      <c r="CZ91" s="9" t="str">
        <f>IF($H91&gt;N91,"SUP","RES")</f>
        <v>RES</v>
      </c>
      <c r="DA91" s="9"/>
      <c r="DB91" s="12">
        <f>(I91-$H91)/$H91</f>
        <v>8.1201786439317157E-4</v>
      </c>
      <c r="DC91" s="12">
        <f>(J91-$H91)/$H91</f>
        <v>1.1328958914515594E-3</v>
      </c>
      <c r="DD91" s="12">
        <f>(K91-$H91)/$H91</f>
        <v>2.7765772137310035E-3</v>
      </c>
      <c r="DE91" s="12">
        <f>(L91-$H91)/$H91</f>
        <v>-5.2388249315668078E-4</v>
      </c>
      <c r="DF91" s="12">
        <f>(M91-$H91)/$H91</f>
        <v>-8.0546933322849434E-4</v>
      </c>
      <c r="DG91" s="12">
        <f>(N91-$H91)/$H91</f>
        <v>1.2966091705630919E-3</v>
      </c>
      <c r="DH91" s="12"/>
      <c r="DI91" s="12">
        <f>((H91-MIN(I91:N91))/(MAX(I91:N91)-MIN(I91:N91)))</f>
        <v>0.22486288848261629</v>
      </c>
      <c r="DJ91" s="13">
        <f t="shared" si="67"/>
        <v>4</v>
      </c>
      <c r="DK91" s="14">
        <f t="shared" si="68"/>
        <v>2</v>
      </c>
      <c r="DL91" s="12">
        <f t="shared" si="84"/>
        <v>2.7765772137310035E-3</v>
      </c>
      <c r="DM91" s="12">
        <f t="shared" si="85"/>
        <v>1.2966091705630919E-3</v>
      </c>
      <c r="DN91" s="12">
        <f t="shared" si="86"/>
        <v>1.1328958914515594E-3</v>
      </c>
      <c r="DO91" s="12">
        <f t="shared" si="87"/>
        <v>8.1201786439317157E-4</v>
      </c>
      <c r="DP91" s="12">
        <f t="shared" si="88"/>
        <v>-5.2388249315668078E-4</v>
      </c>
      <c r="DQ91" s="12">
        <f t="shared" si="89"/>
        <v>-8.0546933322849434E-4</v>
      </c>
      <c r="DR91" s="9"/>
      <c r="DS91" s="9" t="str">
        <f>IF(AQ91&gt;AG91,"Overbought",IF(AQ91&gt;AI91,"Bullish Momentum",IF(AQ91&gt;AK91,"Overprice Setting Up","-----")))</f>
        <v>-----</v>
      </c>
      <c r="DT91" s="9" t="str">
        <f>IF(AQ91&lt;AP91,"Oversold",IF(AQ91&lt;AN91,"Bearish Momentum",IF(AQ91&lt;AL91,"Underprice Setting Up","-----")))</f>
        <v>-----</v>
      </c>
      <c r="DU91" s="9"/>
      <c r="DV91" s="12" t="str">
        <f>IF(AND(AT91&gt;AU91,AT90&gt;AU90,AT89&gt;AU89,AT88&gt;AU88,AT87&gt;AU87,AT86&gt;AU86,AT85&gt;AU85,AT84&gt;AU84,AT83&gt;AU83,AT82&gt;AU82,AT81&gt;AU81,AT80&gt;AU80),"Bullish",IF(AND(AT91&lt;AU91,AT90&lt;AU90,AT89&lt;AU89,AT88&lt;AU88,AT87&lt;AU87,AT86&lt;AU86,AT85&lt;AU85,AT84&lt;AU84,AT83&lt;AU83,AT82&lt;AU82,AT81&lt;AU81,AT80&lt;AU80),"Bearish","-----"))</f>
        <v>Bearish</v>
      </c>
      <c r="DW91" s="12"/>
      <c r="DX91" s="23">
        <f>(AR91-AT91)/AT91</f>
        <v>-2.0291012390593802E-4</v>
      </c>
      <c r="DY91" s="23">
        <f t="shared" si="69"/>
        <v>0.71348189958297137</v>
      </c>
      <c r="DZ91" s="23" t="str">
        <f t="shared" si="70"/>
        <v>-----</v>
      </c>
      <c r="EA91" s="23" t="str">
        <f>IF(AQ91&gt;AR91,"Bullish","Bearish")</f>
        <v>Bearish</v>
      </c>
      <c r="EB91" s="22" t="str">
        <f>IF(AND(H91&gt;AQ91,H90&lt;AQ90),"TEMA crossover","-----")</f>
        <v>-----</v>
      </c>
      <c r="EC91" s="22" t="str">
        <f>IF(AND(H91&lt;AQ91,H90&gt;AQ90),"TEMA crossunder","-----")</f>
        <v>-----</v>
      </c>
      <c r="ED91" s="22"/>
      <c r="EE91" s="24" t="str">
        <f t="shared" si="45"/>
        <v>YES</v>
      </c>
      <c r="EF91" s="24" t="str">
        <f t="shared" si="46"/>
        <v>-----</v>
      </c>
      <c r="EG91" s="24" t="str">
        <f t="shared" si="47"/>
        <v>-----</v>
      </c>
      <c r="EH91" s="24" t="str">
        <f t="shared" si="48"/>
        <v>-----</v>
      </c>
      <c r="EI91" s="25" t="str">
        <f>IF(DV91="Bullish","YES","-----")</f>
        <v>-----</v>
      </c>
      <c r="EJ91" s="25" t="str">
        <f>IF(DZ91="Reverse to Bullish","YES","-----")</f>
        <v>-----</v>
      </c>
      <c r="EK91" s="25" t="str">
        <f>IF(AND(EA91="Bearish",EA90="Bearish",EA89="Bearish",EA88="Bearish"),"YES","-----")</f>
        <v>YES</v>
      </c>
      <c r="EL91" s="25" t="str">
        <f>IF(OR(EC91="TEMA crossover",EC90="TEMA crossover",EC89="TEMA crossover",EC88="TEMA crossover"),"YES","-----")</f>
        <v>-----</v>
      </c>
      <c r="EM91" s="24" t="str">
        <f>IF(AND(EE91="YES",EF91="YES",EG91="YES",EH91="YES"),"Open Sell / Close Buy","-----")</f>
        <v>-----</v>
      </c>
      <c r="EN91" s="25" t="str">
        <f t="shared" si="94"/>
        <v>-----</v>
      </c>
      <c r="EO91" s="23"/>
      <c r="EP91" s="9" t="str">
        <f>IF(AND(H91&gt;AV91,H91&gt;E91),"Bullish Trigger","-----")</f>
        <v>-----</v>
      </c>
      <c r="EQ91" s="9" t="str">
        <f>IF(AND(H91&lt;AW91,H91&lt;E91),"Bearish Trigger","-----")</f>
        <v>Bearish Trigger</v>
      </c>
      <c r="ER91" s="9"/>
      <c r="ES91" s="9" t="str">
        <f>IF(G91&gt;AV91,"Bullish Spike","-----")</f>
        <v>-----</v>
      </c>
      <c r="ET91" s="9" t="str">
        <f>IF(F91&lt;AW91,"Bearish Spike","-----")</f>
        <v>-----</v>
      </c>
      <c r="EU91" s="9"/>
      <c r="EV91" s="20">
        <f t="shared" si="71"/>
        <v>4.4000000000011141E-2</v>
      </c>
      <c r="EW91" s="9">
        <f t="shared" si="90"/>
        <v>-0.73238623416121484</v>
      </c>
      <c r="EX91" s="21" t="str">
        <f t="shared" si="91"/>
        <v>-----</v>
      </c>
      <c r="EY91" s="9"/>
    </row>
    <row r="92" spans="1:155" x14ac:dyDescent="0.55000000000000004">
      <c r="A92">
        <v>88</v>
      </c>
      <c r="B92" t="s">
        <v>91</v>
      </c>
      <c r="C92" t="s">
        <v>4</v>
      </c>
      <c r="D92" t="s">
        <v>103</v>
      </c>
      <c r="E92">
        <v>152.71199999999999</v>
      </c>
      <c r="F92">
        <v>152.773</v>
      </c>
      <c r="G92">
        <v>152.66499999999999</v>
      </c>
      <c r="H92">
        <v>152.75700000000001</v>
      </c>
      <c r="I92">
        <v>152.827</v>
      </c>
      <c r="J92">
        <v>152.87899999999999</v>
      </c>
      <c r="K92">
        <v>153.12799999999999</v>
      </c>
      <c r="L92">
        <v>152.62700000000001</v>
      </c>
      <c r="M92">
        <v>152.583</v>
      </c>
      <c r="N92">
        <v>152.90600000000001</v>
      </c>
      <c r="O92" s="16">
        <f t="shared" si="66"/>
        <v>0.10800000000000409</v>
      </c>
      <c r="P92" s="16">
        <f t="shared" si="72"/>
        <v>6.7000000000007276E-2</v>
      </c>
      <c r="Q92" s="16">
        <f t="shared" si="73"/>
        <v>4.0999999999996817E-2</v>
      </c>
      <c r="R92" s="16">
        <f t="shared" si="74"/>
        <v>0.10800000000000409</v>
      </c>
      <c r="S92" s="16">
        <f t="shared" si="101"/>
        <v>4.6838171295772835E-2</v>
      </c>
      <c r="T92">
        <v>0</v>
      </c>
      <c r="U92">
        <v>0</v>
      </c>
      <c r="V92">
        <v>0</v>
      </c>
      <c r="W92">
        <v>0</v>
      </c>
      <c r="Y92" s="9" t="str">
        <f t="shared" si="75"/>
        <v>------</v>
      </c>
      <c r="Z92" s="9" t="str">
        <f t="shared" si="76"/>
        <v>------</v>
      </c>
      <c r="AA92" s="9"/>
      <c r="AB92">
        <v>0</v>
      </c>
      <c r="AD92" t="str">
        <f t="shared" si="58"/>
        <v/>
      </c>
      <c r="AE92">
        <v>2.613E-2</v>
      </c>
      <c r="AF92">
        <v>0</v>
      </c>
      <c r="AG92">
        <v>153.05916999999999</v>
      </c>
      <c r="AH92">
        <v>152.98224999999999</v>
      </c>
      <c r="AI92">
        <v>152.90532999999999</v>
      </c>
      <c r="AJ92">
        <v>152.82840999999999</v>
      </c>
      <c r="AK92">
        <v>152.75148999999999</v>
      </c>
      <c r="AL92">
        <v>152.71931000000001</v>
      </c>
      <c r="AM92">
        <v>152.64239000000001</v>
      </c>
      <c r="AN92">
        <v>152.56547</v>
      </c>
      <c r="AO92">
        <v>152.48855</v>
      </c>
      <c r="AP92">
        <v>152.41163</v>
      </c>
      <c r="AQ92">
        <v>152.727</v>
      </c>
      <c r="AR92">
        <v>152.74100000000001</v>
      </c>
      <c r="AS92">
        <f t="shared" si="92"/>
        <v>88</v>
      </c>
      <c r="AT92">
        <v>152.774</v>
      </c>
      <c r="AU92">
        <v>152.864</v>
      </c>
      <c r="AV92">
        <v>152.762</v>
      </c>
      <c r="AW92">
        <v>152.68600000000001</v>
      </c>
      <c r="AY92" s="4">
        <f>I92*(1+$AY$2)</f>
        <v>152.84992405</v>
      </c>
      <c r="AZ92" s="4">
        <f>I92*(1-$AY$2)</f>
        <v>152.80407595</v>
      </c>
      <c r="BA92" s="4">
        <f>J92*(1+$AY$2)</f>
        <v>152.90193185000001</v>
      </c>
      <c r="BB92" s="4">
        <f>J92*(1-$AY$2)</f>
        <v>152.85606815</v>
      </c>
      <c r="BC92" s="4">
        <f>K92*(1+$AY$2)</f>
        <v>153.15096919999999</v>
      </c>
      <c r="BD92" s="4">
        <f>K92*(1-$AY$2)</f>
        <v>153.10503079999998</v>
      </c>
      <c r="BE92" s="4">
        <f>L92*(1+$AY$2)</f>
        <v>152.64989405000003</v>
      </c>
      <c r="BF92" s="4">
        <f>L92*(1-$AY$2)</f>
        <v>152.60410595000002</v>
      </c>
      <c r="BG92" s="4">
        <f>M92*(1+$AY$2)</f>
        <v>152.60588745000001</v>
      </c>
      <c r="BH92" s="4">
        <f>M92*(1-$AY$2)</f>
        <v>152.56011255000001</v>
      </c>
      <c r="BI92" s="4">
        <f>N92*(1+$AY$2)</f>
        <v>152.92893590000003</v>
      </c>
      <c r="BJ92" s="4">
        <f>N92*(1-$AY$2)</f>
        <v>152.88306410000001</v>
      </c>
      <c r="BK92" s="30">
        <f t="shared" si="93"/>
        <v>88</v>
      </c>
      <c r="BL92" s="15" t="str">
        <f t="shared" si="77"/>
        <v>-----</v>
      </c>
      <c r="BM92" s="15" t="str">
        <f t="shared" si="78"/>
        <v>-----</v>
      </c>
      <c r="BN92" s="15" t="str">
        <f t="shared" si="79"/>
        <v>-----</v>
      </c>
      <c r="BO92" s="15" t="str">
        <f t="shared" si="80"/>
        <v>-----</v>
      </c>
      <c r="BP92" s="15" t="str">
        <f t="shared" si="81"/>
        <v>-----</v>
      </c>
      <c r="BQ92" s="15" t="str">
        <f t="shared" si="82"/>
        <v>-----</v>
      </c>
      <c r="BR92" s="22"/>
      <c r="BS92" s="9">
        <f t="shared" si="83"/>
        <v>-2.423265306122455E-3</v>
      </c>
      <c r="BT92" s="9">
        <f>SLOPE(J$5:J$103,$A$5:$A$103)</f>
        <v>-3.7194805194805478E-4</v>
      </c>
      <c r="BU92" s="9">
        <f>SLOPE(K$5:K$103,$A$5:$A$103)</f>
        <v>-1.6402721088435472E-3</v>
      </c>
      <c r="BV92" s="9">
        <f>SLOPE(L$5:L$103,$A$5:$A$103)</f>
        <v>7.6471243042669956E-4</v>
      </c>
      <c r="BW92" s="9">
        <f>SLOPE(M$5:M$103,$A$5:$A$103)</f>
        <v>-2.3081014223875058E-4</v>
      </c>
      <c r="BX92" s="9">
        <f>SLOPE(N$5:N$103,$A$5:$A$103)</f>
        <v>1.5802844774273381E-3</v>
      </c>
      <c r="BY92"/>
      <c r="BZ92" s="9">
        <f t="shared" si="95"/>
        <v>-1.9079214597220278</v>
      </c>
      <c r="CA92" s="9">
        <f t="shared" si="96"/>
        <v>-0.29295343676527091</v>
      </c>
      <c r="CB92" s="9">
        <f t="shared" si="97"/>
        <v>-1.2917022253843653</v>
      </c>
      <c r="CC92" s="9">
        <f t="shared" si="98"/>
        <v>0.60228527619529781</v>
      </c>
      <c r="CD92" s="9">
        <f t="shared" si="99"/>
        <v>-0.18179147971962978</v>
      </c>
      <c r="CE92" s="9">
        <f t="shared" si="100"/>
        <v>1.2444775446344229</v>
      </c>
      <c r="CF92"/>
      <c r="CG92" s="18" t="str" cm="1">
        <f t="array" ref="CG92">_xlfn.IFS(BZ92&gt;3,"Strong + Slope",BZ92&gt;1.5,"Moderate + Slope",BZ92&gt;0.5,"Sideway + Slope",BZ92&gt;=-0.5,"Sideway Flat",BZ92&gt;=-1.5,"Sideway - Slope",BZ92&gt;=-3,"Moderate - Slope",TRUE,"Strong - Slope")</f>
        <v>Moderate - Slope</v>
      </c>
      <c r="CH92" s="18" t="str" cm="1">
        <f t="array" ref="CH92">_xlfn.IFS(CA92&gt;3,"Strong + Slope",CA92&gt;1.5,"Moderate + Slope",CA92&gt;0.5,"Sideway + Slope",CA92&gt;=-0.5,"Sideway Flat",CA92&gt;=-1.5,"Sideway - Slope",CA92&gt;=-3,"Moderate - Slope",TRUE,"Strong - Slope")</f>
        <v>Sideway Flat</v>
      </c>
      <c r="CI92" s="18" t="str" cm="1">
        <f t="array" ref="CI92">_xlfn.IFS(CB92&gt;3,"Strong + Slope",CB92&gt;1.5,"Moderate + Slope",CB92&gt;0.5,"Sideway + Slope",CB92&gt;=-0.5,"Sideway Flat",CB92&gt;=-1.5,"Sideway - Slope",CB92&gt;=-3,"Moderate - Slope",TRUE,"Strong - Slope")</f>
        <v>Sideway - Slope</v>
      </c>
      <c r="CJ92" s="18" t="str" cm="1">
        <f t="array" ref="CJ92">_xlfn.IFS(CC92&gt;3,"Strong + Slope",CC92&gt;1.5,"Moderate + Slope",CC92&gt;0.5,"Sideway + Slope",CC92&gt;=-0.5,"Sideway Flat",CC92&gt;=-1.5,"Sideway - Slope",CC92&gt;=-3,"Moderate - Slope",TRUE,"Strong - Slope")</f>
        <v>Sideway + Slope</v>
      </c>
      <c r="CK92" s="18" t="str" cm="1">
        <f t="array" ref="CK92">_xlfn.IFS(CD92&gt;3,"Strong + Slope",CD92&gt;1.5,"Moderate + Slope",CD92&gt;0.5,"Sideway + Slope",CD92&gt;=-0.5,"Sideway Flat",CD92&gt;=-1.5,"Sideway - Slope",CD92&gt;=-3,"Moderate - Slope",TRUE,"Strong - Slope")</f>
        <v>Sideway Flat</v>
      </c>
      <c r="CL92" s="18" t="str" cm="1">
        <f t="array" ref="CL92">_xlfn.IFS(CE92&gt;3,"Strong + Slope",CE92&gt;1.5,"Moderate + Slope",CE92&gt;0.5,"Sideway + Slope",CE92&gt;=-0.5,"Sideway Flat",CE92&gt;=-1.5,"Sideway - Slope",CE92&gt;=-3,"Moderate - Slope",TRUE,"Strong - Slope")</f>
        <v>Sideway + Slope</v>
      </c>
      <c r="CM92" s="9"/>
      <c r="CN92" s="9">
        <f>RANK(I92,$I92:$N92,0)</f>
        <v>4</v>
      </c>
      <c r="CO92" s="9">
        <f>RANK(J92,$I92:$N92,0)</f>
        <v>3</v>
      </c>
      <c r="CP92" s="9">
        <f>RANK(K92,$I92:$N92,0)</f>
        <v>1</v>
      </c>
      <c r="CQ92" s="9">
        <f>RANK(L92,$I92:$N92,0)</f>
        <v>5</v>
      </c>
      <c r="CR92" s="9">
        <f>RANK(M92,$I92:$N92,0)</f>
        <v>6</v>
      </c>
      <c r="CS92" s="9">
        <f>RANK(N92,$I92:$N92,0)</f>
        <v>2</v>
      </c>
      <c r="CT92" s="9"/>
      <c r="CU92" s="9" t="str">
        <f>IF($H92&gt;I92,"SUP","RES")</f>
        <v>RES</v>
      </c>
      <c r="CV92" s="9" t="str">
        <f>IF($H92&gt;J92,"SUP","RES")</f>
        <v>RES</v>
      </c>
      <c r="CW92" s="9" t="str">
        <f>IF($H92&gt;K92,"SUP","RES")</f>
        <v>RES</v>
      </c>
      <c r="CX92" s="9" t="str">
        <f>IF($H92&gt;L92,"SUP","RES")</f>
        <v>SUP</v>
      </c>
      <c r="CY92" s="9" t="str">
        <f>IF($H92&gt;M92,"SUP","RES")</f>
        <v>SUP</v>
      </c>
      <c r="CZ92" s="9" t="str">
        <f>IF($H92&gt;N92,"SUP","RES")</f>
        <v>RES</v>
      </c>
      <c r="DA92" s="9"/>
      <c r="DB92" s="12">
        <f>(I92-$H92)/$H92</f>
        <v>4.5824413938472984E-4</v>
      </c>
      <c r="DC92" s="12">
        <f>(J92-$H92)/$H92</f>
        <v>7.9865407149908463E-4</v>
      </c>
      <c r="DD92" s="12">
        <f>(K92-$H92)/$H92</f>
        <v>2.4286939387391797E-3</v>
      </c>
      <c r="DE92" s="12">
        <f>(L92-$H92)/$H92</f>
        <v>-8.5102483028597997E-4</v>
      </c>
      <c r="DF92" s="12">
        <f>(M92-$H92)/$H92</f>
        <v>-1.1390640036136254E-3</v>
      </c>
      <c r="DG92" s="12">
        <f>(N92-$H92)/$H92</f>
        <v>9.7540538240474019E-4</v>
      </c>
      <c r="DH92" s="12"/>
      <c r="DI92" s="12">
        <f>((H92-MIN(I92:N92))/(MAX(I92:N92)-MIN(I92:N92)))</f>
        <v>0.31926605504589101</v>
      </c>
      <c r="DJ92" s="13">
        <f t="shared" si="67"/>
        <v>4</v>
      </c>
      <c r="DK92" s="14">
        <f t="shared" si="68"/>
        <v>2</v>
      </c>
      <c r="DL92" s="12">
        <f t="shared" si="84"/>
        <v>2.4286939387391797E-3</v>
      </c>
      <c r="DM92" s="12">
        <f t="shared" si="85"/>
        <v>9.7540538240474019E-4</v>
      </c>
      <c r="DN92" s="12">
        <f t="shared" si="86"/>
        <v>7.9865407149908463E-4</v>
      </c>
      <c r="DO92" s="12">
        <f t="shared" si="87"/>
        <v>4.5824413938472984E-4</v>
      </c>
      <c r="DP92" s="12">
        <f t="shared" si="88"/>
        <v>-8.5102483028597997E-4</v>
      </c>
      <c r="DQ92" s="12">
        <f t="shared" si="89"/>
        <v>-1.1390640036136254E-3</v>
      </c>
      <c r="DR92" s="9"/>
      <c r="DS92" s="9" t="str">
        <f>IF(AQ92&gt;AG92,"Overbought",IF(AQ92&gt;AI92,"Bullish Momentum",IF(AQ92&gt;AK92,"Overprice Setting Up","-----")))</f>
        <v>-----</v>
      </c>
      <c r="DT92" s="9" t="str">
        <f>IF(AQ92&lt;AP92,"Oversold",IF(AQ92&lt;AN92,"Bearish Momentum",IF(AQ92&lt;AL92,"Underprice Setting Up","-----")))</f>
        <v>-----</v>
      </c>
      <c r="DU92" s="9"/>
      <c r="DV92" s="12" t="str">
        <f>IF(AND(AT92&gt;AU92,AT91&gt;AU91,AT90&gt;AU90,AT89&gt;AU89,AT88&gt;AU88,AT87&gt;AU87,AT86&gt;AU86,AT85&gt;AU85,AT84&gt;AU84,AT83&gt;AU83,AT82&gt;AU82,AT81&gt;AU81),"Bullish",IF(AND(AT92&lt;AU92,AT91&lt;AU91,AT90&lt;AU90,AT89&lt;AU89,AT88&lt;AU88,AT87&lt;AU87,AT86&lt;AU86,AT85&lt;AU85,AT84&lt;AU84,AT83&lt;AU83,AT82&lt;AU82,AT81&lt;AU81),"Bearish","-----"))</f>
        <v>Bearish</v>
      </c>
      <c r="DW92" s="12"/>
      <c r="DX92" s="23">
        <f>(AR92-AT92)/AT92</f>
        <v>-2.1600534122289813E-4</v>
      </c>
      <c r="DY92" s="23">
        <f t="shared" si="69"/>
        <v>0.6757146017133836</v>
      </c>
      <c r="DZ92" s="23" t="str">
        <f t="shared" si="70"/>
        <v>-----</v>
      </c>
      <c r="EA92" s="23" t="str">
        <f>IF(AQ92&gt;AR92,"Bullish","Bearish")</f>
        <v>Bearish</v>
      </c>
      <c r="EB92" s="22" t="str">
        <f>IF(AND(H92&gt;AQ92,H91&lt;AQ91),"TEMA crossover","-----")</f>
        <v>TEMA crossover</v>
      </c>
      <c r="EC92" s="22" t="str">
        <f>IF(AND(H92&lt;AQ92,H91&gt;AQ91),"TEMA crossunder","-----")</f>
        <v>-----</v>
      </c>
      <c r="ED92" s="22"/>
      <c r="EE92" s="24" t="str">
        <f t="shared" si="45"/>
        <v>YES</v>
      </c>
      <c r="EF92" s="24" t="str">
        <f t="shared" si="46"/>
        <v>-----</v>
      </c>
      <c r="EG92" s="24" t="str">
        <f t="shared" si="47"/>
        <v>-----</v>
      </c>
      <c r="EH92" s="24" t="str">
        <f t="shared" si="48"/>
        <v>-----</v>
      </c>
      <c r="EI92" s="25" t="str">
        <f>IF(DV92="Bullish","YES","-----")</f>
        <v>-----</v>
      </c>
      <c r="EJ92" s="25" t="str">
        <f>IF(DZ92="Reverse to Bullish","YES","-----")</f>
        <v>-----</v>
      </c>
      <c r="EK92" s="25" t="str">
        <f>IF(AND(EA92="Bearish",EA91="Bearish",EA90="Bearish",EA89="Bearish"),"YES","-----")</f>
        <v>YES</v>
      </c>
      <c r="EL92" s="25" t="str">
        <f>IF(OR(EC92="TEMA crossover",EC91="TEMA crossover",EC90="TEMA crossover",EC89="TEMA crossover"),"YES","-----")</f>
        <v>-----</v>
      </c>
      <c r="EM92" s="24" t="str">
        <f>IF(AND(EE92="YES",EF92="YES",EG92="YES",EH92="YES"),"Open Sell / Close Buy","-----")</f>
        <v>-----</v>
      </c>
      <c r="EN92" s="25" t="str">
        <f t="shared" si="94"/>
        <v>-----</v>
      </c>
      <c r="EO92" s="23"/>
      <c r="EP92" s="9" t="str">
        <f>IF(AND(H92&gt;AV92,H92&gt;E92),"Bullish Trigger","-----")</f>
        <v>-----</v>
      </c>
      <c r="EQ92" s="9" t="str">
        <f>IF(AND(H92&lt;AW92,H92&lt;E92),"Bearish Trigger","-----")</f>
        <v>-----</v>
      </c>
      <c r="ER92" s="9"/>
      <c r="ES92" s="9" t="str">
        <f>IF(G92&gt;AV92,"Bullish Spike","-----")</f>
        <v>-----</v>
      </c>
      <c r="ET92" s="9" t="str">
        <f>IF(F92&lt;AW92,"Bearish Spike","-----")</f>
        <v>-----</v>
      </c>
      <c r="EU92" s="9"/>
      <c r="EV92" s="20">
        <f t="shared" si="71"/>
        <v>7.5999999999993406E-2</v>
      </c>
      <c r="EW92" s="9">
        <f t="shared" si="90"/>
        <v>5.1215820568723163E-3</v>
      </c>
      <c r="EX92" s="21" t="str">
        <f t="shared" si="91"/>
        <v>-----</v>
      </c>
      <c r="EY92" s="9"/>
    </row>
    <row r="93" spans="1:155" x14ac:dyDescent="0.55000000000000004">
      <c r="A93">
        <v>89</v>
      </c>
      <c r="B93" t="s">
        <v>92</v>
      </c>
      <c r="C93" t="s">
        <v>4</v>
      </c>
      <c r="D93" t="s">
        <v>103</v>
      </c>
      <c r="E93">
        <v>152.75800000000001</v>
      </c>
      <c r="F93">
        <v>152.762</v>
      </c>
      <c r="G93">
        <v>152.63999999999999</v>
      </c>
      <c r="H93">
        <v>152.649</v>
      </c>
      <c r="I93">
        <v>152.82499999999999</v>
      </c>
      <c r="J93">
        <v>152.87799999999999</v>
      </c>
      <c r="K93">
        <v>153.12700000000001</v>
      </c>
      <c r="L93">
        <v>152.62700000000001</v>
      </c>
      <c r="M93">
        <v>152.583</v>
      </c>
      <c r="N93">
        <v>152.90700000000001</v>
      </c>
      <c r="O93" s="16">
        <f t="shared" si="66"/>
        <v>0.1220000000000141</v>
      </c>
      <c r="P93" s="16">
        <f t="shared" si="72"/>
        <v>4.9999999999954525E-3</v>
      </c>
      <c r="Q93" s="16">
        <f t="shared" si="73"/>
        <v>0.11700000000001864</v>
      </c>
      <c r="R93" s="16">
        <f t="shared" si="74"/>
        <v>0.1220000000000141</v>
      </c>
      <c r="S93" s="16">
        <f t="shared" si="101"/>
        <v>5.220687334607578E-2</v>
      </c>
      <c r="T93">
        <v>0</v>
      </c>
      <c r="U93">
        <v>0</v>
      </c>
      <c r="V93">
        <v>0</v>
      </c>
      <c r="W93">
        <v>0</v>
      </c>
      <c r="Y93" s="9" t="str">
        <f t="shared" si="75"/>
        <v>------</v>
      </c>
      <c r="Z93" s="9" t="str">
        <f t="shared" si="76"/>
        <v>------</v>
      </c>
      <c r="AA93" s="9"/>
      <c r="AB93">
        <v>0</v>
      </c>
      <c r="AD93" t="str">
        <f t="shared" si="58"/>
        <v/>
      </c>
      <c r="AE93">
        <v>1.5643499999999999</v>
      </c>
      <c r="AF93">
        <v>4</v>
      </c>
      <c r="AG93">
        <v>153.05904000000001</v>
      </c>
      <c r="AH93">
        <v>152.98164</v>
      </c>
      <c r="AI93">
        <v>152.90423999999999</v>
      </c>
      <c r="AJ93">
        <v>152.82684</v>
      </c>
      <c r="AK93">
        <v>152.74942999999999</v>
      </c>
      <c r="AL93">
        <v>152.71377000000001</v>
      </c>
      <c r="AM93">
        <v>152.63637</v>
      </c>
      <c r="AN93">
        <v>152.55896999999999</v>
      </c>
      <c r="AO93">
        <v>152.48157</v>
      </c>
      <c r="AP93">
        <v>152.40416999999999</v>
      </c>
      <c r="AQ93">
        <v>152.703</v>
      </c>
      <c r="AR93">
        <v>152.73099999999999</v>
      </c>
      <c r="AS93">
        <f t="shared" si="92"/>
        <v>89</v>
      </c>
      <c r="AT93">
        <v>152.767</v>
      </c>
      <c r="AU93">
        <v>152.86000000000001</v>
      </c>
      <c r="AV93">
        <v>152.761</v>
      </c>
      <c r="AW93">
        <v>152.65799999999999</v>
      </c>
      <c r="AY93" s="4">
        <f>I93*(1+$AY$2)</f>
        <v>152.84792375000001</v>
      </c>
      <c r="AZ93" s="4">
        <f>I93*(1-$AY$2)</f>
        <v>152.80207625</v>
      </c>
      <c r="BA93" s="4">
        <f>J93*(1+$AY$2)</f>
        <v>152.9009317</v>
      </c>
      <c r="BB93" s="4">
        <f>J93*(1-$AY$2)</f>
        <v>152.8550683</v>
      </c>
      <c r="BC93" s="4">
        <f>K93*(1+$AY$2)</f>
        <v>153.14996905000001</v>
      </c>
      <c r="BD93" s="4">
        <f>K93*(1-$AY$2)</f>
        <v>153.10403095000001</v>
      </c>
      <c r="BE93" s="4">
        <f>L93*(1+$AY$2)</f>
        <v>152.64989405000003</v>
      </c>
      <c r="BF93" s="4">
        <f>L93*(1-$AY$2)</f>
        <v>152.60410595000002</v>
      </c>
      <c r="BG93" s="4">
        <f>M93*(1+$AY$2)</f>
        <v>152.60588745000001</v>
      </c>
      <c r="BH93" s="4">
        <f>M93*(1-$AY$2)</f>
        <v>152.56011255000001</v>
      </c>
      <c r="BI93" s="4">
        <f>N93*(1+$AY$2)</f>
        <v>152.92993605000004</v>
      </c>
      <c r="BJ93" s="4">
        <f>N93*(1-$AY$2)</f>
        <v>152.88406395000001</v>
      </c>
      <c r="BK93" s="30">
        <f t="shared" si="93"/>
        <v>89</v>
      </c>
      <c r="BL93" s="15" t="str">
        <f t="shared" si="77"/>
        <v>-----</v>
      </c>
      <c r="BM93" s="15" t="str">
        <f t="shared" si="78"/>
        <v>-----</v>
      </c>
      <c r="BN93" s="15" t="str">
        <f t="shared" si="79"/>
        <v>-----</v>
      </c>
      <c r="BO93" s="15" t="str">
        <f t="shared" si="80"/>
        <v>TOUCH</v>
      </c>
      <c r="BP93" s="15" t="str">
        <f t="shared" si="81"/>
        <v>-----</v>
      </c>
      <c r="BQ93" s="15" t="str">
        <f t="shared" si="82"/>
        <v>-----</v>
      </c>
      <c r="BR93" s="22"/>
      <c r="BS93" s="9">
        <f t="shared" si="83"/>
        <v>-2.423265306122455E-3</v>
      </c>
      <c r="BT93" s="9">
        <f>SLOPE(J$5:J$103,$A$5:$A$103)</f>
        <v>-3.7194805194805478E-4</v>
      </c>
      <c r="BU93" s="9">
        <f>SLOPE(K$5:K$103,$A$5:$A$103)</f>
        <v>-1.6402721088435472E-3</v>
      </c>
      <c r="BV93" s="9">
        <f>SLOPE(L$5:L$103,$A$5:$A$103)</f>
        <v>7.6471243042669956E-4</v>
      </c>
      <c r="BW93" s="9">
        <f>SLOPE(M$5:M$103,$A$5:$A$103)</f>
        <v>-2.3081014223875058E-4</v>
      </c>
      <c r="BX93" s="9">
        <f>SLOPE(N$5:N$103,$A$5:$A$103)</f>
        <v>1.5802844774273381E-3</v>
      </c>
      <c r="BY93"/>
      <c r="BZ93" s="9">
        <f t="shared" si="95"/>
        <v>-1.9079214597220278</v>
      </c>
      <c r="CA93" s="9">
        <f t="shared" si="96"/>
        <v>-0.29295343676527091</v>
      </c>
      <c r="CB93" s="9">
        <f t="shared" si="97"/>
        <v>-1.2917022253843653</v>
      </c>
      <c r="CC93" s="9">
        <f t="shared" si="98"/>
        <v>0.60228527619529781</v>
      </c>
      <c r="CD93" s="9">
        <f t="shared" si="99"/>
        <v>-0.18179147971962978</v>
      </c>
      <c r="CE93" s="9">
        <f t="shared" si="100"/>
        <v>1.2444775446344229</v>
      </c>
      <c r="CF93"/>
      <c r="CG93" s="18" t="str" cm="1">
        <f t="array" ref="CG93">_xlfn.IFS(BZ93&gt;3,"Strong + Slope",BZ93&gt;1.5,"Moderate + Slope",BZ93&gt;0.5,"Sideway + Slope",BZ93&gt;=-0.5,"Sideway Flat",BZ93&gt;=-1.5,"Sideway - Slope",BZ93&gt;=-3,"Moderate - Slope",TRUE,"Strong - Slope")</f>
        <v>Moderate - Slope</v>
      </c>
      <c r="CH93" s="18" t="str" cm="1">
        <f t="array" ref="CH93">_xlfn.IFS(CA93&gt;3,"Strong + Slope",CA93&gt;1.5,"Moderate + Slope",CA93&gt;0.5,"Sideway + Slope",CA93&gt;=-0.5,"Sideway Flat",CA93&gt;=-1.5,"Sideway - Slope",CA93&gt;=-3,"Moderate - Slope",TRUE,"Strong - Slope")</f>
        <v>Sideway Flat</v>
      </c>
      <c r="CI93" s="18" t="str" cm="1">
        <f t="array" ref="CI93">_xlfn.IFS(CB93&gt;3,"Strong + Slope",CB93&gt;1.5,"Moderate + Slope",CB93&gt;0.5,"Sideway + Slope",CB93&gt;=-0.5,"Sideway Flat",CB93&gt;=-1.5,"Sideway - Slope",CB93&gt;=-3,"Moderate - Slope",TRUE,"Strong - Slope")</f>
        <v>Sideway - Slope</v>
      </c>
      <c r="CJ93" s="18" t="str" cm="1">
        <f t="array" ref="CJ93">_xlfn.IFS(CC93&gt;3,"Strong + Slope",CC93&gt;1.5,"Moderate + Slope",CC93&gt;0.5,"Sideway + Slope",CC93&gt;=-0.5,"Sideway Flat",CC93&gt;=-1.5,"Sideway - Slope",CC93&gt;=-3,"Moderate - Slope",TRUE,"Strong - Slope")</f>
        <v>Sideway + Slope</v>
      </c>
      <c r="CK93" s="18" t="str" cm="1">
        <f t="array" ref="CK93">_xlfn.IFS(CD93&gt;3,"Strong + Slope",CD93&gt;1.5,"Moderate + Slope",CD93&gt;0.5,"Sideway + Slope",CD93&gt;=-0.5,"Sideway Flat",CD93&gt;=-1.5,"Sideway - Slope",CD93&gt;=-3,"Moderate - Slope",TRUE,"Strong - Slope")</f>
        <v>Sideway Flat</v>
      </c>
      <c r="CL93" s="18" t="str" cm="1">
        <f t="array" ref="CL93">_xlfn.IFS(CE93&gt;3,"Strong + Slope",CE93&gt;1.5,"Moderate + Slope",CE93&gt;0.5,"Sideway + Slope",CE93&gt;=-0.5,"Sideway Flat",CE93&gt;=-1.5,"Sideway - Slope",CE93&gt;=-3,"Moderate - Slope",TRUE,"Strong - Slope")</f>
        <v>Sideway + Slope</v>
      </c>
      <c r="CM93" s="9"/>
      <c r="CN93" s="9">
        <f>RANK(I93,$I93:$N93,0)</f>
        <v>4</v>
      </c>
      <c r="CO93" s="9">
        <f>RANK(J93,$I93:$N93,0)</f>
        <v>3</v>
      </c>
      <c r="CP93" s="9">
        <f>RANK(K93,$I93:$N93,0)</f>
        <v>1</v>
      </c>
      <c r="CQ93" s="9">
        <f>RANK(L93,$I93:$N93,0)</f>
        <v>5</v>
      </c>
      <c r="CR93" s="9">
        <f>RANK(M93,$I93:$N93,0)</f>
        <v>6</v>
      </c>
      <c r="CS93" s="9">
        <f>RANK(N93,$I93:$N93,0)</f>
        <v>2</v>
      </c>
      <c r="CT93" s="9"/>
      <c r="CU93" s="9" t="str">
        <f>IF($H93&gt;I93,"SUP","RES")</f>
        <v>RES</v>
      </c>
      <c r="CV93" s="9" t="str">
        <f>IF($H93&gt;J93,"SUP","RES")</f>
        <v>RES</v>
      </c>
      <c r="CW93" s="9" t="str">
        <f>IF($H93&gt;K93,"SUP","RES")</f>
        <v>RES</v>
      </c>
      <c r="CX93" s="9" t="str">
        <f>IF($H93&gt;L93,"SUP","RES")</f>
        <v>SUP</v>
      </c>
      <c r="CY93" s="9" t="str">
        <f>IF($H93&gt;M93,"SUP","RES")</f>
        <v>SUP</v>
      </c>
      <c r="CZ93" s="9" t="str">
        <f>IF($H93&gt;N93,"SUP","RES")</f>
        <v>RES</v>
      </c>
      <c r="DA93" s="9"/>
      <c r="DB93" s="12">
        <f>(I93-$H93)/$H93</f>
        <v>1.1529718504542299E-3</v>
      </c>
      <c r="DC93" s="12">
        <f>(J93-$H93)/$H93</f>
        <v>1.5001736008751121E-3</v>
      </c>
      <c r="DD93" s="12">
        <f>(K93-$H93)/$H93</f>
        <v>3.1313667302111945E-3</v>
      </c>
      <c r="DE93" s="12">
        <f>(L93-$H93)/$H93</f>
        <v>-1.4412148130673217E-4</v>
      </c>
      <c r="DF93" s="12">
        <f>(M93-$H93)/$H93</f>
        <v>-4.3236444392038274E-4</v>
      </c>
      <c r="DG93" s="12">
        <f>(N93-$H93)/$H93</f>
        <v>1.6901519171433142E-3</v>
      </c>
      <c r="DH93" s="12"/>
      <c r="DI93" s="12">
        <f>((H93-MIN(I93:N93))/(MAX(I93:N93)-MIN(I93:N93)))</f>
        <v>0.12132352941176681</v>
      </c>
      <c r="DJ93" s="13">
        <f t="shared" si="67"/>
        <v>4</v>
      </c>
      <c r="DK93" s="14">
        <f t="shared" si="68"/>
        <v>2</v>
      </c>
      <c r="DL93" s="12">
        <f t="shared" si="84"/>
        <v>3.1313667302111945E-3</v>
      </c>
      <c r="DM93" s="12">
        <f t="shared" si="85"/>
        <v>1.6901519171433142E-3</v>
      </c>
      <c r="DN93" s="12">
        <f t="shared" si="86"/>
        <v>1.5001736008751121E-3</v>
      </c>
      <c r="DO93" s="12">
        <f t="shared" si="87"/>
        <v>1.1529718504542299E-3</v>
      </c>
      <c r="DP93" s="12">
        <f t="shared" si="88"/>
        <v>-1.4412148130673217E-4</v>
      </c>
      <c r="DQ93" s="12">
        <f t="shared" si="89"/>
        <v>-4.3236444392038274E-4</v>
      </c>
      <c r="DR93" s="9"/>
      <c r="DS93" s="9" t="str">
        <f>IF(AQ93&gt;AG93,"Overbought",IF(AQ93&gt;AI93,"Bullish Momentum",IF(AQ93&gt;AK93,"Overprice Setting Up","-----")))</f>
        <v>-----</v>
      </c>
      <c r="DT93" s="9" t="str">
        <f>IF(AQ93&lt;AP93,"Oversold",IF(AQ93&lt;AN93,"Bearish Momentum",IF(AQ93&lt;AL93,"Underprice Setting Up","-----")))</f>
        <v>Underprice Setting Up</v>
      </c>
      <c r="DU93" s="9"/>
      <c r="DV93" s="12" t="str">
        <f>IF(AND(AT93&gt;AU93,AT92&gt;AU92,AT91&gt;AU91,AT90&gt;AU90,AT89&gt;AU89,AT88&gt;AU88,AT87&gt;AU87,AT86&gt;AU86,AT85&gt;AU85,AT84&gt;AU84,AT83&gt;AU83,AT82&gt;AU82),"Bullish",IF(AND(AT93&lt;AU93,AT92&lt;AU92,AT91&lt;AU91,AT90&lt;AU90,AT89&lt;AU89,AT88&lt;AU88,AT87&lt;AU87,AT86&lt;AU86,AT85&lt;AU85,AT84&lt;AU84,AT83&lt;AU83,AT82&lt;AU82),"Bearish","-----"))</f>
        <v>Bearish</v>
      </c>
      <c r="DW93" s="12"/>
      <c r="DX93" s="23">
        <f>(AR93-AT93)/AT93</f>
        <v>-2.3565298788351781E-4</v>
      </c>
      <c r="DY93" s="23">
        <f t="shared" si="69"/>
        <v>0.61904975179852262</v>
      </c>
      <c r="DZ93" s="23" t="str">
        <f t="shared" si="70"/>
        <v>-----</v>
      </c>
      <c r="EA93" s="23" t="str">
        <f>IF(AQ93&gt;AR93,"Bullish","Bearish")</f>
        <v>Bearish</v>
      </c>
      <c r="EB93" s="22" t="str">
        <f>IF(AND(H93&gt;AQ93,H92&lt;AQ92),"TEMA crossover","-----")</f>
        <v>-----</v>
      </c>
      <c r="EC93" s="22" t="str">
        <f>IF(AND(H93&lt;AQ93,H92&gt;AQ92),"TEMA crossunder","-----")</f>
        <v>TEMA crossunder</v>
      </c>
      <c r="ED93" s="22"/>
      <c r="EE93" s="24" t="str">
        <f t="shared" si="45"/>
        <v>YES</v>
      </c>
      <c r="EF93" s="24" t="str">
        <f t="shared" si="46"/>
        <v>-----</v>
      </c>
      <c r="EG93" s="24" t="str">
        <f t="shared" si="47"/>
        <v>-----</v>
      </c>
      <c r="EH93" s="24" t="str">
        <f t="shared" si="48"/>
        <v>YES</v>
      </c>
      <c r="EI93" s="25" t="str">
        <f>IF(DV93="Bullish","YES","-----")</f>
        <v>-----</v>
      </c>
      <c r="EJ93" s="25" t="str">
        <f>IF(DZ93="Reverse to Bullish","YES","-----")</f>
        <v>-----</v>
      </c>
      <c r="EK93" s="25" t="str">
        <f>IF(AND(EA93="Bearish",EA92="Bearish",EA91="Bearish",EA90="Bearish"),"YES","-----")</f>
        <v>YES</v>
      </c>
      <c r="EL93" s="25" t="str">
        <f>IF(OR(EC93="TEMA crossover",EC92="TEMA crossover",EC91="TEMA crossover",EC90="TEMA crossover"),"YES","-----")</f>
        <v>-----</v>
      </c>
      <c r="EM93" s="24" t="str">
        <f>IF(AND(EE93="YES",EF93="YES",EG93="YES",EH93="YES"),"Open Sell / Close Buy","-----")</f>
        <v>-----</v>
      </c>
      <c r="EN93" s="25" t="str">
        <f t="shared" si="94"/>
        <v>-----</v>
      </c>
      <c r="EO93" s="23"/>
      <c r="EP93" s="9" t="str">
        <f>IF(AND(H93&gt;AV93,H93&gt;E93),"Bullish Trigger","-----")</f>
        <v>-----</v>
      </c>
      <c r="EQ93" s="9" t="str">
        <f>IF(AND(H93&lt;AW93,H93&lt;E93),"Bearish Trigger","-----")</f>
        <v>Bearish Trigger</v>
      </c>
      <c r="ER93" s="9"/>
      <c r="ES93" s="9" t="str">
        <f>IF(G93&gt;AV93,"Bullish Spike","-----")</f>
        <v>-----</v>
      </c>
      <c r="ET93" s="9" t="str">
        <f>IF(F93&lt;AW93,"Bearish Spike","-----")</f>
        <v>-----</v>
      </c>
      <c r="EU93" s="9"/>
      <c r="EV93" s="20">
        <f t="shared" si="71"/>
        <v>0.10300000000000864</v>
      </c>
      <c r="EW93" s="9">
        <f t="shared" si="90"/>
        <v>0.62739380199157935</v>
      </c>
      <c r="EX93" s="21" t="str">
        <f t="shared" si="91"/>
        <v>-----</v>
      </c>
      <c r="EY93" s="9"/>
    </row>
    <row r="94" spans="1:155" x14ac:dyDescent="0.55000000000000004">
      <c r="A94">
        <v>90</v>
      </c>
      <c r="B94" t="s">
        <v>93</v>
      </c>
      <c r="C94" t="s">
        <v>4</v>
      </c>
      <c r="D94" t="s">
        <v>103</v>
      </c>
      <c r="E94">
        <v>152.649</v>
      </c>
      <c r="F94">
        <v>152.66</v>
      </c>
      <c r="G94">
        <v>152.626</v>
      </c>
      <c r="H94">
        <v>152.648</v>
      </c>
      <c r="I94">
        <v>152.82300000000001</v>
      </c>
      <c r="J94">
        <v>152.87799999999999</v>
      </c>
      <c r="K94">
        <v>153.125</v>
      </c>
      <c r="L94">
        <v>152.62799999999999</v>
      </c>
      <c r="M94">
        <v>152.58199999999999</v>
      </c>
      <c r="N94">
        <v>152.90899999999999</v>
      </c>
      <c r="O94" s="16">
        <f t="shared" si="66"/>
        <v>3.3999999999991815E-2</v>
      </c>
      <c r="P94" s="16">
        <f t="shared" si="72"/>
        <v>1.099999999999568E-2</v>
      </c>
      <c r="Q94" s="16">
        <f t="shared" si="73"/>
        <v>2.2999999999996135E-2</v>
      </c>
      <c r="R94" s="16">
        <f t="shared" si="74"/>
        <v>3.3999999999991815E-2</v>
      </c>
      <c r="S94" s="16">
        <f t="shared" si="101"/>
        <v>5.0906382392784069E-2</v>
      </c>
      <c r="T94">
        <v>0</v>
      </c>
      <c r="U94">
        <v>0</v>
      </c>
      <c r="V94">
        <v>0</v>
      </c>
      <c r="W94">
        <v>152.626</v>
      </c>
      <c r="Y94" s="9" t="str">
        <f t="shared" si="75"/>
        <v>------</v>
      </c>
      <c r="Z94" s="9" t="str">
        <f t="shared" si="76"/>
        <v>------</v>
      </c>
      <c r="AA94" s="9"/>
      <c r="AB94">
        <v>0</v>
      </c>
      <c r="AD94" t="str">
        <f t="shared" si="58"/>
        <v/>
      </c>
      <c r="AE94">
        <v>1.0392300000000001</v>
      </c>
      <c r="AF94">
        <v>3</v>
      </c>
      <c r="AG94">
        <v>153.05215999999999</v>
      </c>
      <c r="AH94">
        <v>152.97533999999999</v>
      </c>
      <c r="AI94">
        <v>152.89850999999999</v>
      </c>
      <c r="AJ94">
        <v>152.82167999999999</v>
      </c>
      <c r="AK94">
        <v>152.74485000000001</v>
      </c>
      <c r="AL94">
        <v>152.70696000000001</v>
      </c>
      <c r="AM94">
        <v>152.63014000000001</v>
      </c>
      <c r="AN94">
        <v>152.55331000000001</v>
      </c>
      <c r="AO94">
        <v>152.47648000000001</v>
      </c>
      <c r="AP94">
        <v>152.39965000000001</v>
      </c>
      <c r="AQ94">
        <v>152.66900000000001</v>
      </c>
      <c r="AR94">
        <v>152.71600000000001</v>
      </c>
      <c r="AS94">
        <f t="shared" si="92"/>
        <v>90</v>
      </c>
      <c r="AT94">
        <v>152.75800000000001</v>
      </c>
      <c r="AU94">
        <v>152.85400000000001</v>
      </c>
      <c r="AV94">
        <v>152.71</v>
      </c>
      <c r="AW94">
        <v>152.63399999999999</v>
      </c>
      <c r="AY94" s="4">
        <f>I94*(1+$AY$2)</f>
        <v>152.84592345000002</v>
      </c>
      <c r="AZ94" s="4">
        <f>I94*(1-$AY$2)</f>
        <v>152.80007655</v>
      </c>
      <c r="BA94" s="4">
        <f>J94*(1+$AY$2)</f>
        <v>152.9009317</v>
      </c>
      <c r="BB94" s="4">
        <f>J94*(1-$AY$2)</f>
        <v>152.8550683</v>
      </c>
      <c r="BC94" s="4">
        <f>K94*(1+$AY$2)</f>
        <v>153.14796875000002</v>
      </c>
      <c r="BD94" s="4">
        <f>K94*(1-$AY$2)</f>
        <v>153.10203125000001</v>
      </c>
      <c r="BE94" s="4">
        <f>L94*(1+$AY$2)</f>
        <v>152.65089420000001</v>
      </c>
      <c r="BF94" s="4">
        <f>L94*(1-$AY$2)</f>
        <v>152.60510579999999</v>
      </c>
      <c r="BG94" s="4">
        <f>M94*(1+$AY$2)</f>
        <v>152.6048873</v>
      </c>
      <c r="BH94" s="4">
        <f>M94*(1-$AY$2)</f>
        <v>152.55911269999999</v>
      </c>
      <c r="BI94" s="4">
        <f>N94*(1+$AY$2)</f>
        <v>152.93193635</v>
      </c>
      <c r="BJ94" s="4">
        <f>N94*(1-$AY$2)</f>
        <v>152.88606364999998</v>
      </c>
      <c r="BK94" s="30">
        <f t="shared" si="93"/>
        <v>90</v>
      </c>
      <c r="BL94" s="15" t="str">
        <f t="shared" si="77"/>
        <v>-----</v>
      </c>
      <c r="BM94" s="15" t="str">
        <f t="shared" si="78"/>
        <v>-----</v>
      </c>
      <c r="BN94" s="15" t="str">
        <f t="shared" si="79"/>
        <v>-----</v>
      </c>
      <c r="BO94" s="15" t="str">
        <f t="shared" si="80"/>
        <v>TOUCH</v>
      </c>
      <c r="BP94" s="15" t="str">
        <f t="shared" si="81"/>
        <v>-----</v>
      </c>
      <c r="BQ94" s="15" t="str">
        <f t="shared" si="82"/>
        <v>-----</v>
      </c>
      <c r="BR94" s="22"/>
      <c r="BS94" s="9">
        <f t="shared" si="83"/>
        <v>-2.423265306122455E-3</v>
      </c>
      <c r="BT94" s="9">
        <f>SLOPE(J$5:J$103,$A$5:$A$103)</f>
        <v>-3.7194805194805478E-4</v>
      </c>
      <c r="BU94" s="9">
        <f>SLOPE(K$5:K$103,$A$5:$A$103)</f>
        <v>-1.6402721088435472E-3</v>
      </c>
      <c r="BV94" s="9">
        <f>SLOPE(L$5:L$103,$A$5:$A$103)</f>
        <v>7.6471243042669956E-4</v>
      </c>
      <c r="BW94" s="9">
        <f>SLOPE(M$5:M$103,$A$5:$A$103)</f>
        <v>-2.3081014223875058E-4</v>
      </c>
      <c r="BX94" s="9">
        <f>SLOPE(N$5:N$103,$A$5:$A$103)</f>
        <v>1.5802844774273381E-3</v>
      </c>
      <c r="BY94"/>
      <c r="BZ94" s="9">
        <f t="shared" si="95"/>
        <v>-1.9079214597220278</v>
      </c>
      <c r="CA94" s="9">
        <f t="shared" si="96"/>
        <v>-0.29295343676527091</v>
      </c>
      <c r="CB94" s="9">
        <f t="shared" si="97"/>
        <v>-1.2917022253843653</v>
      </c>
      <c r="CC94" s="9">
        <f t="shared" si="98"/>
        <v>0.60228527619529781</v>
      </c>
      <c r="CD94" s="9">
        <f t="shared" si="99"/>
        <v>-0.18179147971962978</v>
      </c>
      <c r="CE94" s="9">
        <f t="shared" si="100"/>
        <v>1.2444775446344229</v>
      </c>
      <c r="CF94"/>
      <c r="CG94" s="18" t="str" cm="1">
        <f t="array" ref="CG94">_xlfn.IFS(BZ94&gt;3,"Strong + Slope",BZ94&gt;1.5,"Moderate + Slope",BZ94&gt;0.5,"Sideway + Slope",BZ94&gt;=-0.5,"Sideway Flat",BZ94&gt;=-1.5,"Sideway - Slope",BZ94&gt;=-3,"Moderate - Slope",TRUE,"Strong - Slope")</f>
        <v>Moderate - Slope</v>
      </c>
      <c r="CH94" s="18" t="str" cm="1">
        <f t="array" ref="CH94">_xlfn.IFS(CA94&gt;3,"Strong + Slope",CA94&gt;1.5,"Moderate + Slope",CA94&gt;0.5,"Sideway + Slope",CA94&gt;=-0.5,"Sideway Flat",CA94&gt;=-1.5,"Sideway - Slope",CA94&gt;=-3,"Moderate - Slope",TRUE,"Strong - Slope")</f>
        <v>Sideway Flat</v>
      </c>
      <c r="CI94" s="18" t="str" cm="1">
        <f t="array" ref="CI94">_xlfn.IFS(CB94&gt;3,"Strong + Slope",CB94&gt;1.5,"Moderate + Slope",CB94&gt;0.5,"Sideway + Slope",CB94&gt;=-0.5,"Sideway Flat",CB94&gt;=-1.5,"Sideway - Slope",CB94&gt;=-3,"Moderate - Slope",TRUE,"Strong - Slope")</f>
        <v>Sideway - Slope</v>
      </c>
      <c r="CJ94" s="18" t="str" cm="1">
        <f t="array" ref="CJ94">_xlfn.IFS(CC94&gt;3,"Strong + Slope",CC94&gt;1.5,"Moderate + Slope",CC94&gt;0.5,"Sideway + Slope",CC94&gt;=-0.5,"Sideway Flat",CC94&gt;=-1.5,"Sideway - Slope",CC94&gt;=-3,"Moderate - Slope",TRUE,"Strong - Slope")</f>
        <v>Sideway + Slope</v>
      </c>
      <c r="CK94" s="18" t="str" cm="1">
        <f t="array" ref="CK94">_xlfn.IFS(CD94&gt;3,"Strong + Slope",CD94&gt;1.5,"Moderate + Slope",CD94&gt;0.5,"Sideway + Slope",CD94&gt;=-0.5,"Sideway Flat",CD94&gt;=-1.5,"Sideway - Slope",CD94&gt;=-3,"Moderate - Slope",TRUE,"Strong - Slope")</f>
        <v>Sideway Flat</v>
      </c>
      <c r="CL94" s="18" t="str" cm="1">
        <f t="array" ref="CL94">_xlfn.IFS(CE94&gt;3,"Strong + Slope",CE94&gt;1.5,"Moderate + Slope",CE94&gt;0.5,"Sideway + Slope",CE94&gt;=-0.5,"Sideway Flat",CE94&gt;=-1.5,"Sideway - Slope",CE94&gt;=-3,"Moderate - Slope",TRUE,"Strong - Slope")</f>
        <v>Sideway + Slope</v>
      </c>
      <c r="CM94" s="9"/>
      <c r="CN94" s="9">
        <f>RANK(I94,$I94:$N94,0)</f>
        <v>4</v>
      </c>
      <c r="CO94" s="9">
        <f>RANK(J94,$I94:$N94,0)</f>
        <v>3</v>
      </c>
      <c r="CP94" s="9">
        <f>RANK(K94,$I94:$N94,0)</f>
        <v>1</v>
      </c>
      <c r="CQ94" s="9">
        <f>RANK(L94,$I94:$N94,0)</f>
        <v>5</v>
      </c>
      <c r="CR94" s="9">
        <f>RANK(M94,$I94:$N94,0)</f>
        <v>6</v>
      </c>
      <c r="CS94" s="9">
        <f>RANK(N94,$I94:$N94,0)</f>
        <v>2</v>
      </c>
      <c r="CT94" s="9"/>
      <c r="CU94" s="9" t="str">
        <f>IF($H94&gt;I94,"SUP","RES")</f>
        <v>RES</v>
      </c>
      <c r="CV94" s="9" t="str">
        <f>IF($H94&gt;J94,"SUP","RES")</f>
        <v>RES</v>
      </c>
      <c r="CW94" s="9" t="str">
        <f>IF($H94&gt;K94,"SUP","RES")</f>
        <v>RES</v>
      </c>
      <c r="CX94" s="9" t="str">
        <f>IF($H94&gt;L94,"SUP","RES")</f>
        <v>SUP</v>
      </c>
      <c r="CY94" s="9" t="str">
        <f>IF($H94&gt;M94,"SUP","RES")</f>
        <v>SUP</v>
      </c>
      <c r="CZ94" s="9" t="str">
        <f>IF($H94&gt;N94,"SUP","RES")</f>
        <v>RES</v>
      </c>
      <c r="DA94" s="9"/>
      <c r="DB94" s="12">
        <f>(I94-$H94)/$H94</f>
        <v>1.1464283842566648E-3</v>
      </c>
      <c r="DC94" s="12">
        <f>(J94-$H94)/$H94</f>
        <v>1.5067344478800232E-3</v>
      </c>
      <c r="DD94" s="12">
        <f>(K94-$H94)/$H94</f>
        <v>3.1248362245165601E-3</v>
      </c>
      <c r="DE94" s="12">
        <f>(L94-$H94)/$H94</f>
        <v>-1.3102038677224878E-4</v>
      </c>
      <c r="DF94" s="12">
        <f>(M94-$H94)/$H94</f>
        <v>-4.3236727634821619E-4</v>
      </c>
      <c r="DG94" s="12">
        <f>(N94-$H94)/$H94</f>
        <v>1.7098160473769436E-3</v>
      </c>
      <c r="DH94" s="12"/>
      <c r="DI94" s="12">
        <f>((H94-MIN(I94:N94))/(MAX(I94:N94)-MIN(I94:N94)))</f>
        <v>0.12154696132597004</v>
      </c>
      <c r="DJ94" s="13">
        <f t="shared" si="67"/>
        <v>4</v>
      </c>
      <c r="DK94" s="14">
        <f t="shared" si="68"/>
        <v>2</v>
      </c>
      <c r="DL94" s="12">
        <f t="shared" si="84"/>
        <v>3.1248362245165601E-3</v>
      </c>
      <c r="DM94" s="12">
        <f t="shared" si="85"/>
        <v>1.7098160473769436E-3</v>
      </c>
      <c r="DN94" s="12">
        <f t="shared" si="86"/>
        <v>1.5067344478800232E-3</v>
      </c>
      <c r="DO94" s="12">
        <f t="shared" si="87"/>
        <v>1.1464283842566648E-3</v>
      </c>
      <c r="DP94" s="12">
        <f t="shared" si="88"/>
        <v>-1.3102038677224878E-4</v>
      </c>
      <c r="DQ94" s="12">
        <f t="shared" si="89"/>
        <v>-4.3236727634821619E-4</v>
      </c>
      <c r="DR94" s="9"/>
      <c r="DS94" s="9" t="str">
        <f>IF(AQ94&gt;AG94,"Overbought",IF(AQ94&gt;AI94,"Bullish Momentum",IF(AQ94&gt;AK94,"Overprice Setting Up","-----")))</f>
        <v>-----</v>
      </c>
      <c r="DT94" s="9" t="str">
        <f>IF(AQ94&lt;AP94,"Oversold",IF(AQ94&lt;AN94,"Bearish Momentum",IF(AQ94&lt;AL94,"Underprice Setting Up","-----")))</f>
        <v>Underprice Setting Up</v>
      </c>
      <c r="DU94" s="9"/>
      <c r="DV94" s="12" t="str">
        <f>IF(AND(AT94&gt;AU94,AT93&gt;AU93,AT92&gt;AU92,AT91&gt;AU91,AT90&gt;AU90,AT89&gt;AU89,AT88&gt;AU88,AT87&gt;AU87,AT86&gt;AU86,AT85&gt;AU85,AT84&gt;AU84,AT83&gt;AU83),"Bullish",IF(AND(AT94&lt;AU94,AT93&lt;AU93,AT92&lt;AU92,AT91&lt;AU91,AT90&lt;AU90,AT89&lt;AU89,AT88&lt;AU88,AT87&lt;AU87,AT86&lt;AU86,AT85&lt;AU85,AT84&lt;AU84,AT83&lt;AU83),"Bearish","-----"))</f>
        <v>Bearish</v>
      </c>
      <c r="DW94" s="12"/>
      <c r="DX94" s="23">
        <f>(AR94-AT94)/AT94</f>
        <v>-2.7494468374816107E-4</v>
      </c>
      <c r="DY94" s="23">
        <f t="shared" si="69"/>
        <v>0.50573042722348704</v>
      </c>
      <c r="DZ94" s="23" t="str">
        <f t="shared" si="70"/>
        <v>-----</v>
      </c>
      <c r="EA94" s="23" t="str">
        <f>IF(AQ94&gt;AR94,"Bullish","Bearish")</f>
        <v>Bearish</v>
      </c>
      <c r="EB94" s="22" t="str">
        <f>IF(AND(H94&gt;AQ94,H93&lt;AQ93),"TEMA crossover","-----")</f>
        <v>-----</v>
      </c>
      <c r="EC94" s="22" t="str">
        <f>IF(AND(H94&lt;AQ94,H93&gt;AQ93),"TEMA crossunder","-----")</f>
        <v>-----</v>
      </c>
      <c r="ED94" s="22"/>
      <c r="EE94" s="24" t="str">
        <f t="shared" si="45"/>
        <v>YES</v>
      </c>
      <c r="EF94" s="24" t="str">
        <f t="shared" si="46"/>
        <v>-----</v>
      </c>
      <c r="EG94" s="24" t="str">
        <f t="shared" si="47"/>
        <v>-----</v>
      </c>
      <c r="EH94" s="24" t="str">
        <f t="shared" si="48"/>
        <v>YES</v>
      </c>
      <c r="EI94" s="25" t="str">
        <f>IF(DV94="Bullish","YES","-----")</f>
        <v>-----</v>
      </c>
      <c r="EJ94" s="25" t="str">
        <f>IF(DZ94="Reverse to Bullish","YES","-----")</f>
        <v>-----</v>
      </c>
      <c r="EK94" s="25" t="str">
        <f>IF(AND(EA94="Bearish",EA93="Bearish",EA92="Bearish",EA91="Bearish"),"YES","-----")</f>
        <v>YES</v>
      </c>
      <c r="EL94" s="25" t="str">
        <f>IF(OR(EC94="TEMA crossover",EC93="TEMA crossover",EC92="TEMA crossover",EC91="TEMA crossover"),"YES","-----")</f>
        <v>-----</v>
      </c>
      <c r="EM94" s="24" t="str">
        <f>IF(AND(EE94="YES",EF94="YES",EG94="YES",EH94="YES"),"Open Sell / Close Buy","-----")</f>
        <v>-----</v>
      </c>
      <c r="EN94" s="25" t="str">
        <f t="shared" si="94"/>
        <v>-----</v>
      </c>
      <c r="EO94" s="23"/>
      <c r="EP94" s="9" t="str">
        <f>IF(AND(H94&gt;AV94,H94&gt;E94),"Bullish Trigger","-----")</f>
        <v>-----</v>
      </c>
      <c r="EQ94" s="9" t="str">
        <f>IF(AND(H94&lt;AW94,H94&lt;E94),"Bearish Trigger","-----")</f>
        <v>-----</v>
      </c>
      <c r="ER94" s="9"/>
      <c r="ES94" s="9" t="str">
        <f>IF(G94&gt;AV94,"Bullish Spike","-----")</f>
        <v>-----</v>
      </c>
      <c r="ET94" s="9" t="str">
        <f>IF(F94&lt;AW94,"Bearish Spike","-----")</f>
        <v>-----</v>
      </c>
      <c r="EU94" s="9"/>
      <c r="EV94" s="20">
        <f t="shared" si="71"/>
        <v>7.6000000000021828E-2</v>
      </c>
      <c r="EW94" s="9">
        <f t="shared" si="90"/>
        <v>5.1215820575273548E-3</v>
      </c>
      <c r="EX94" s="21" t="str">
        <f t="shared" si="91"/>
        <v>-----</v>
      </c>
      <c r="EY94" s="9"/>
    </row>
    <row r="95" spans="1:155" x14ac:dyDescent="0.55000000000000004">
      <c r="A95">
        <v>91</v>
      </c>
      <c r="B95" t="s">
        <v>94</v>
      </c>
      <c r="C95" t="s">
        <v>4</v>
      </c>
      <c r="D95" t="s">
        <v>103</v>
      </c>
      <c r="E95">
        <v>152.648</v>
      </c>
      <c r="F95">
        <v>152.69200000000001</v>
      </c>
      <c r="G95">
        <v>152.648</v>
      </c>
      <c r="H95">
        <v>152.67599999999999</v>
      </c>
      <c r="I95">
        <v>152.82</v>
      </c>
      <c r="J95">
        <v>152.87799999999999</v>
      </c>
      <c r="K95">
        <v>153.12299999999999</v>
      </c>
      <c r="L95">
        <v>152.62899999999999</v>
      </c>
      <c r="M95">
        <v>152.58199999999999</v>
      </c>
      <c r="N95">
        <v>152.91</v>
      </c>
      <c r="O95" s="16">
        <f t="shared" si="66"/>
        <v>4.4000000000011141E-2</v>
      </c>
      <c r="P95" s="16">
        <f t="shared" si="72"/>
        <v>4.4000000000011141E-2</v>
      </c>
      <c r="Q95" s="16">
        <f t="shared" si="73"/>
        <v>0</v>
      </c>
      <c r="R95" s="16">
        <f t="shared" si="74"/>
        <v>4.4000000000011141E-2</v>
      </c>
      <c r="S95" s="16">
        <f t="shared" si="101"/>
        <v>5.0413069364728856E-2</v>
      </c>
      <c r="T95">
        <v>0</v>
      </c>
      <c r="U95">
        <v>0</v>
      </c>
      <c r="V95">
        <v>0</v>
      </c>
      <c r="W95">
        <v>0</v>
      </c>
      <c r="Y95" s="9" t="str">
        <f t="shared" si="75"/>
        <v>------</v>
      </c>
      <c r="Z95" s="9" t="str">
        <f t="shared" si="76"/>
        <v>------</v>
      </c>
      <c r="AA95" s="9"/>
      <c r="AB95">
        <v>0</v>
      </c>
      <c r="AD95" t="str">
        <f t="shared" si="58"/>
        <v/>
      </c>
      <c r="AE95">
        <v>0.38621</v>
      </c>
      <c r="AF95">
        <v>0</v>
      </c>
      <c r="AG95">
        <v>153.04503</v>
      </c>
      <c r="AH95">
        <v>152.96862999999999</v>
      </c>
      <c r="AI95">
        <v>152.89223999999999</v>
      </c>
      <c r="AJ95">
        <v>152.81584000000001</v>
      </c>
      <c r="AK95">
        <v>152.73945000000001</v>
      </c>
      <c r="AL95">
        <v>152.69998000000001</v>
      </c>
      <c r="AM95">
        <v>152.62359000000001</v>
      </c>
      <c r="AN95">
        <v>152.54719</v>
      </c>
      <c r="AO95">
        <v>152.4708</v>
      </c>
      <c r="AP95">
        <v>152.39439999999999</v>
      </c>
      <c r="AQ95">
        <v>152.66200000000001</v>
      </c>
      <c r="AR95">
        <v>152.702</v>
      </c>
      <c r="AS95">
        <f t="shared" si="92"/>
        <v>91</v>
      </c>
      <c r="AT95">
        <v>152.75200000000001</v>
      </c>
      <c r="AU95">
        <v>152.84899999999999</v>
      </c>
      <c r="AV95">
        <v>152.69399999999999</v>
      </c>
      <c r="AW95">
        <v>152.631</v>
      </c>
      <c r="AY95" s="4">
        <f>I95*(1+$AY$2)</f>
        <v>152.84292300000001</v>
      </c>
      <c r="AZ95" s="4">
        <f>I95*(1-$AY$2)</f>
        <v>152.797077</v>
      </c>
      <c r="BA95" s="4">
        <f>J95*(1+$AY$2)</f>
        <v>152.9009317</v>
      </c>
      <c r="BB95" s="4">
        <f>J95*(1-$AY$2)</f>
        <v>152.8550683</v>
      </c>
      <c r="BC95" s="4">
        <f>K95*(1+$AY$2)</f>
        <v>153.14596845</v>
      </c>
      <c r="BD95" s="4">
        <f>K95*(1-$AY$2)</f>
        <v>153.10003154999998</v>
      </c>
      <c r="BE95" s="4">
        <f>L95*(1+$AY$2)</f>
        <v>152.65189434999999</v>
      </c>
      <c r="BF95" s="4">
        <f>L95*(1-$AY$2)</f>
        <v>152.60610564999999</v>
      </c>
      <c r="BG95" s="4">
        <f>M95*(1+$AY$2)</f>
        <v>152.6048873</v>
      </c>
      <c r="BH95" s="4">
        <f>M95*(1-$AY$2)</f>
        <v>152.55911269999999</v>
      </c>
      <c r="BI95" s="4">
        <f>N95*(1+$AY$2)</f>
        <v>152.93293650000001</v>
      </c>
      <c r="BJ95" s="4">
        <f>N95*(1-$AY$2)</f>
        <v>152.88706350000001</v>
      </c>
      <c r="BK95" s="30">
        <f t="shared" si="93"/>
        <v>91</v>
      </c>
      <c r="BL95" s="15" t="str">
        <f t="shared" si="77"/>
        <v>-----</v>
      </c>
      <c r="BM95" s="15" t="str">
        <f t="shared" si="78"/>
        <v>-----</v>
      </c>
      <c r="BN95" s="15" t="str">
        <f t="shared" si="79"/>
        <v>-----</v>
      </c>
      <c r="BO95" s="15" t="str">
        <f t="shared" si="80"/>
        <v>TOUCH</v>
      </c>
      <c r="BP95" s="15" t="str">
        <f t="shared" si="81"/>
        <v>-----</v>
      </c>
      <c r="BQ95" s="15" t="str">
        <f t="shared" si="82"/>
        <v>-----</v>
      </c>
      <c r="BR95" s="22"/>
      <c r="BS95" s="9">
        <f t="shared" si="83"/>
        <v>-2.423265306122455E-3</v>
      </c>
      <c r="BT95" s="9">
        <f>SLOPE(J$5:J$103,$A$5:$A$103)</f>
        <v>-3.7194805194805478E-4</v>
      </c>
      <c r="BU95" s="9">
        <f>SLOPE(K$5:K$103,$A$5:$A$103)</f>
        <v>-1.6402721088435472E-3</v>
      </c>
      <c r="BV95" s="9">
        <f>SLOPE(L$5:L$103,$A$5:$A$103)</f>
        <v>7.6471243042669956E-4</v>
      </c>
      <c r="BW95" s="9">
        <f>SLOPE(M$5:M$103,$A$5:$A$103)</f>
        <v>-2.3081014223875058E-4</v>
      </c>
      <c r="BX95" s="9">
        <f>SLOPE(N$5:N$103,$A$5:$A$103)</f>
        <v>1.5802844774273381E-3</v>
      </c>
      <c r="BY95"/>
      <c r="BZ95" s="9">
        <f t="shared" si="95"/>
        <v>-1.9079214597220278</v>
      </c>
      <c r="CA95" s="9">
        <f t="shared" si="96"/>
        <v>-0.29295343676527091</v>
      </c>
      <c r="CB95" s="9">
        <f t="shared" si="97"/>
        <v>-1.2917022253843653</v>
      </c>
      <c r="CC95" s="9">
        <f t="shared" si="98"/>
        <v>0.60228527619529781</v>
      </c>
      <c r="CD95" s="9">
        <f t="shared" si="99"/>
        <v>-0.18179147971962978</v>
      </c>
      <c r="CE95" s="9">
        <f t="shared" si="100"/>
        <v>1.2444775446344229</v>
      </c>
      <c r="CF95"/>
      <c r="CG95" s="18" t="str" cm="1">
        <f t="array" ref="CG95">_xlfn.IFS(BZ95&gt;3,"Strong + Slope",BZ95&gt;1.5,"Moderate + Slope",BZ95&gt;0.5,"Sideway + Slope",BZ95&gt;=-0.5,"Sideway Flat",BZ95&gt;=-1.5,"Sideway - Slope",BZ95&gt;=-3,"Moderate - Slope",TRUE,"Strong - Slope")</f>
        <v>Moderate - Slope</v>
      </c>
      <c r="CH95" s="18" t="str" cm="1">
        <f t="array" ref="CH95">_xlfn.IFS(CA95&gt;3,"Strong + Slope",CA95&gt;1.5,"Moderate + Slope",CA95&gt;0.5,"Sideway + Slope",CA95&gt;=-0.5,"Sideway Flat",CA95&gt;=-1.5,"Sideway - Slope",CA95&gt;=-3,"Moderate - Slope",TRUE,"Strong - Slope")</f>
        <v>Sideway Flat</v>
      </c>
      <c r="CI95" s="18" t="str" cm="1">
        <f t="array" ref="CI95">_xlfn.IFS(CB95&gt;3,"Strong + Slope",CB95&gt;1.5,"Moderate + Slope",CB95&gt;0.5,"Sideway + Slope",CB95&gt;=-0.5,"Sideway Flat",CB95&gt;=-1.5,"Sideway - Slope",CB95&gt;=-3,"Moderate - Slope",TRUE,"Strong - Slope")</f>
        <v>Sideway - Slope</v>
      </c>
      <c r="CJ95" s="18" t="str" cm="1">
        <f t="array" ref="CJ95">_xlfn.IFS(CC95&gt;3,"Strong + Slope",CC95&gt;1.5,"Moderate + Slope",CC95&gt;0.5,"Sideway + Slope",CC95&gt;=-0.5,"Sideway Flat",CC95&gt;=-1.5,"Sideway - Slope",CC95&gt;=-3,"Moderate - Slope",TRUE,"Strong - Slope")</f>
        <v>Sideway + Slope</v>
      </c>
      <c r="CK95" s="18" t="str" cm="1">
        <f t="array" ref="CK95">_xlfn.IFS(CD95&gt;3,"Strong + Slope",CD95&gt;1.5,"Moderate + Slope",CD95&gt;0.5,"Sideway + Slope",CD95&gt;=-0.5,"Sideway Flat",CD95&gt;=-1.5,"Sideway - Slope",CD95&gt;=-3,"Moderate - Slope",TRUE,"Strong - Slope")</f>
        <v>Sideway Flat</v>
      </c>
      <c r="CL95" s="18" t="str" cm="1">
        <f t="array" ref="CL95">_xlfn.IFS(CE95&gt;3,"Strong + Slope",CE95&gt;1.5,"Moderate + Slope",CE95&gt;0.5,"Sideway + Slope",CE95&gt;=-0.5,"Sideway Flat",CE95&gt;=-1.5,"Sideway - Slope",CE95&gt;=-3,"Moderate - Slope",TRUE,"Strong - Slope")</f>
        <v>Sideway + Slope</v>
      </c>
      <c r="CM95" s="9"/>
      <c r="CN95" s="9">
        <f>RANK(I95,$I95:$N95,0)</f>
        <v>4</v>
      </c>
      <c r="CO95" s="9">
        <f>RANK(J95,$I95:$N95,0)</f>
        <v>3</v>
      </c>
      <c r="CP95" s="9">
        <f>RANK(K95,$I95:$N95,0)</f>
        <v>1</v>
      </c>
      <c r="CQ95" s="9">
        <f>RANK(L95,$I95:$N95,0)</f>
        <v>5</v>
      </c>
      <c r="CR95" s="9">
        <f>RANK(M95,$I95:$N95,0)</f>
        <v>6</v>
      </c>
      <c r="CS95" s="9">
        <f>RANK(N95,$I95:$N95,0)</f>
        <v>2</v>
      </c>
      <c r="CT95" s="9"/>
      <c r="CU95" s="9" t="str">
        <f>IF($H95&gt;I95,"SUP","RES")</f>
        <v>RES</v>
      </c>
      <c r="CV95" s="9" t="str">
        <f>IF($H95&gt;J95,"SUP","RES")</f>
        <v>RES</v>
      </c>
      <c r="CW95" s="9" t="str">
        <f>IF($H95&gt;K95,"SUP","RES")</f>
        <v>RES</v>
      </c>
      <c r="CX95" s="9" t="str">
        <f>IF($H95&gt;L95,"SUP","RES")</f>
        <v>SUP</v>
      </c>
      <c r="CY95" s="9" t="str">
        <f>IF($H95&gt;M95,"SUP","RES")</f>
        <v>SUP</v>
      </c>
      <c r="CZ95" s="9" t="str">
        <f>IF($H95&gt;N95,"SUP","RES")</f>
        <v>RES</v>
      </c>
      <c r="DA95" s="9"/>
      <c r="DB95" s="12">
        <f>(I95-$H95)/$H95</f>
        <v>9.4317377976895823E-4</v>
      </c>
      <c r="DC95" s="12">
        <f>(J95-$H95)/$H95</f>
        <v>1.3230632188425044E-3</v>
      </c>
      <c r="DD95" s="12">
        <f>(K95-$H95)/$H95</f>
        <v>2.9277686080327148E-3</v>
      </c>
      <c r="DE95" s="12">
        <f>(L95-$H95)/$H95</f>
        <v>-3.0784144200789285E-4</v>
      </c>
      <c r="DF95" s="12">
        <f>(M95-$H95)/$H95</f>
        <v>-6.156828840157857E-4</v>
      </c>
      <c r="DG95" s="12">
        <f>(N95-$H95)/$H95</f>
        <v>1.5326573921245572E-3</v>
      </c>
      <c r="DH95" s="12"/>
      <c r="DI95" s="12">
        <f>((H95-MIN(I95:N95))/(MAX(I95:N95)-MIN(I95:N95)))</f>
        <v>0.17375231053603446</v>
      </c>
      <c r="DJ95" s="13">
        <f t="shared" si="67"/>
        <v>4</v>
      </c>
      <c r="DK95" s="14">
        <f t="shared" si="68"/>
        <v>2</v>
      </c>
      <c r="DL95" s="12">
        <f t="shared" si="84"/>
        <v>2.9277686080327148E-3</v>
      </c>
      <c r="DM95" s="12">
        <f t="shared" si="85"/>
        <v>1.5326573921245572E-3</v>
      </c>
      <c r="DN95" s="12">
        <f t="shared" si="86"/>
        <v>1.3230632188425044E-3</v>
      </c>
      <c r="DO95" s="12">
        <f t="shared" si="87"/>
        <v>9.4317377976895823E-4</v>
      </c>
      <c r="DP95" s="12">
        <f t="shared" si="88"/>
        <v>-3.0784144200789285E-4</v>
      </c>
      <c r="DQ95" s="12">
        <f t="shared" si="89"/>
        <v>-6.156828840157857E-4</v>
      </c>
      <c r="DR95" s="9"/>
      <c r="DS95" s="9" t="str">
        <f>IF(AQ95&gt;AG95,"Overbought",IF(AQ95&gt;AI95,"Bullish Momentum",IF(AQ95&gt;AK95,"Overprice Setting Up","-----")))</f>
        <v>-----</v>
      </c>
      <c r="DT95" s="9" t="str">
        <f>IF(AQ95&lt;AP95,"Oversold",IF(AQ95&lt;AN95,"Bearish Momentum",IF(AQ95&lt;AL95,"Underprice Setting Up","-----")))</f>
        <v>Underprice Setting Up</v>
      </c>
      <c r="DU95" s="9"/>
      <c r="DV95" s="12" t="str">
        <f>IF(AND(AT95&gt;AU95,AT94&gt;AU94,AT93&gt;AU93,AT92&gt;AU92,AT91&gt;AU91,AT90&gt;AU90,AT89&gt;AU89,AT88&gt;AU88,AT87&gt;AU87,AT86&gt;AU86,AT85&gt;AU85,AT84&gt;AU84),"Bullish",IF(AND(AT95&lt;AU95,AT94&lt;AU94,AT93&lt;AU93,AT92&lt;AU92,AT91&lt;AU91,AT90&lt;AU90,AT89&lt;AU89,AT88&lt;AU88,AT87&lt;AU87,AT86&lt;AU86,AT85&lt;AU85,AT84&lt;AU84),"Bearish","-----"))</f>
        <v>Bearish</v>
      </c>
      <c r="DW95" s="12"/>
      <c r="DX95" s="23">
        <f>(AR95-AT95)/AT95</f>
        <v>-3.2732795642617684E-4</v>
      </c>
      <c r="DY95" s="23">
        <f t="shared" si="69"/>
        <v>0.35465430418334559</v>
      </c>
      <c r="DZ95" s="23" t="str">
        <f t="shared" si="70"/>
        <v>-----</v>
      </c>
      <c r="EA95" s="23" t="str">
        <f>IF(AQ95&gt;AR95,"Bullish","Bearish")</f>
        <v>Bearish</v>
      </c>
      <c r="EB95" s="22" t="str">
        <f>IF(AND(H95&gt;AQ95,H94&lt;AQ94),"TEMA crossover","-----")</f>
        <v>TEMA crossover</v>
      </c>
      <c r="EC95" s="22" t="str">
        <f>IF(AND(H95&lt;AQ95,H94&gt;AQ94),"TEMA crossunder","-----")</f>
        <v>-----</v>
      </c>
      <c r="ED95" s="22"/>
      <c r="EE95" s="24" t="str">
        <f t="shared" si="45"/>
        <v>YES</v>
      </c>
      <c r="EF95" s="24" t="str">
        <f t="shared" si="46"/>
        <v>-----</v>
      </c>
      <c r="EG95" s="24" t="str">
        <f t="shared" si="47"/>
        <v>-----</v>
      </c>
      <c r="EH95" s="24" t="str">
        <f t="shared" si="48"/>
        <v>YES</v>
      </c>
      <c r="EI95" s="25" t="str">
        <f>IF(DV95="Bullish","YES","-----")</f>
        <v>-----</v>
      </c>
      <c r="EJ95" s="25" t="str">
        <f>IF(DZ95="Reverse to Bullish","YES","-----")</f>
        <v>-----</v>
      </c>
      <c r="EK95" s="25" t="str">
        <f>IF(AND(EA95="Bearish",EA94="Bearish",EA93="Bearish",EA92="Bearish"),"YES","-----")</f>
        <v>YES</v>
      </c>
      <c r="EL95" s="25" t="str">
        <f>IF(OR(EC95="TEMA crossover",EC94="TEMA crossover",EC93="TEMA crossover",EC92="TEMA crossover"),"YES","-----")</f>
        <v>-----</v>
      </c>
      <c r="EM95" s="24" t="str">
        <f>IF(AND(EE95="YES",EF95="YES",EG95="YES",EH95="YES"),"Open Sell / Close Buy","-----")</f>
        <v>-----</v>
      </c>
      <c r="EN95" s="25" t="str">
        <f t="shared" si="94"/>
        <v>-----</v>
      </c>
      <c r="EO95" s="23"/>
      <c r="EP95" s="9" t="str">
        <f>IF(AND(H95&gt;AV95,H95&gt;E95),"Bullish Trigger","-----")</f>
        <v>-----</v>
      </c>
      <c r="EQ95" s="9" t="str">
        <f>IF(AND(H95&lt;AW95,H95&lt;E95),"Bearish Trigger","-----")</f>
        <v>-----</v>
      </c>
      <c r="ER95" s="9"/>
      <c r="ES95" s="9" t="str">
        <f>IF(G95&gt;AV95,"Bullish Spike","-----")</f>
        <v>-----</v>
      </c>
      <c r="ET95" s="9" t="str">
        <f>IF(F95&lt;AW95,"Bearish Spike","-----")</f>
        <v>-----</v>
      </c>
      <c r="EU95" s="9"/>
      <c r="EV95" s="20">
        <f t="shared" si="71"/>
        <v>6.2999999999988177E-2</v>
      </c>
      <c r="EW95" s="9">
        <f t="shared" si="90"/>
        <v>-0.29449096828201221</v>
      </c>
      <c r="EX95" s="21" t="str">
        <f t="shared" si="91"/>
        <v>-----</v>
      </c>
      <c r="EY95" s="9"/>
    </row>
    <row r="96" spans="1:155" x14ac:dyDescent="0.55000000000000004">
      <c r="A96">
        <v>92</v>
      </c>
      <c r="B96" t="s">
        <v>95</v>
      </c>
      <c r="C96" t="s">
        <v>4</v>
      </c>
      <c r="D96" t="s">
        <v>103</v>
      </c>
      <c r="E96">
        <v>152.67599999999999</v>
      </c>
      <c r="F96">
        <v>152.67599999999999</v>
      </c>
      <c r="G96">
        <v>152.636</v>
      </c>
      <c r="H96">
        <v>152.642</v>
      </c>
      <c r="I96">
        <v>152.81800000000001</v>
      </c>
      <c r="J96">
        <v>152.87700000000001</v>
      </c>
      <c r="K96">
        <v>153.12200000000001</v>
      </c>
      <c r="L96">
        <v>152.63</v>
      </c>
      <c r="M96">
        <v>152.58199999999999</v>
      </c>
      <c r="N96">
        <v>152.91200000000001</v>
      </c>
      <c r="O96" s="16">
        <f t="shared" si="66"/>
        <v>3.9999999999992042E-2</v>
      </c>
      <c r="P96" s="16">
        <f t="shared" si="72"/>
        <v>0</v>
      </c>
      <c r="Q96" s="16">
        <f t="shared" si="73"/>
        <v>3.9999999999992042E-2</v>
      </c>
      <c r="R96" s="16">
        <f t="shared" si="74"/>
        <v>3.9999999999992042E-2</v>
      </c>
      <c r="S96" s="16">
        <f t="shared" si="101"/>
        <v>4.9669278695819087E-2</v>
      </c>
      <c r="T96">
        <v>0</v>
      </c>
      <c r="U96">
        <v>0</v>
      </c>
      <c r="V96">
        <v>0</v>
      </c>
      <c r="W96">
        <v>0</v>
      </c>
      <c r="Y96" s="9" t="str">
        <f t="shared" si="75"/>
        <v>------</v>
      </c>
      <c r="Z96" s="9" t="str">
        <f t="shared" si="76"/>
        <v>------</v>
      </c>
      <c r="AA96" s="9"/>
      <c r="AB96">
        <v>0</v>
      </c>
      <c r="AD96" t="str">
        <f t="shared" si="58"/>
        <v/>
      </c>
      <c r="AE96">
        <v>0.23882999999999999</v>
      </c>
      <c r="AF96">
        <v>3</v>
      </c>
      <c r="AG96">
        <v>153.03807</v>
      </c>
      <c r="AH96">
        <v>152.96185</v>
      </c>
      <c r="AI96">
        <v>152.88562999999999</v>
      </c>
      <c r="AJ96">
        <v>152.80941000000001</v>
      </c>
      <c r="AK96">
        <v>152.73318</v>
      </c>
      <c r="AL96">
        <v>152.69273999999999</v>
      </c>
      <c r="AM96">
        <v>152.61652000000001</v>
      </c>
      <c r="AN96">
        <v>152.54029</v>
      </c>
      <c r="AO96">
        <v>152.46406999999999</v>
      </c>
      <c r="AP96">
        <v>152.38784999999999</v>
      </c>
      <c r="AQ96">
        <v>152.649</v>
      </c>
      <c r="AR96">
        <v>152.68799999999999</v>
      </c>
      <c r="AS96">
        <f t="shared" si="92"/>
        <v>92</v>
      </c>
      <c r="AT96">
        <v>152.744</v>
      </c>
      <c r="AU96">
        <v>152.84399999999999</v>
      </c>
      <c r="AV96">
        <v>152.678</v>
      </c>
      <c r="AW96">
        <v>152.625</v>
      </c>
      <c r="AY96" s="4">
        <f>I96*(1+$AY$2)</f>
        <v>152.84092270000002</v>
      </c>
      <c r="AZ96" s="4">
        <f>I96*(1-$AY$2)</f>
        <v>152.7950773</v>
      </c>
      <c r="BA96" s="4">
        <f>J96*(1+$AY$2)</f>
        <v>152.89993155000002</v>
      </c>
      <c r="BB96" s="4">
        <f>J96*(1-$AY$2)</f>
        <v>152.85406845</v>
      </c>
      <c r="BC96" s="4">
        <f>K96*(1+$AY$2)</f>
        <v>153.14496830000002</v>
      </c>
      <c r="BD96" s="4">
        <f>K96*(1-$AY$2)</f>
        <v>153.09903170000001</v>
      </c>
      <c r="BE96" s="4">
        <f>L96*(1+$AY$2)</f>
        <v>152.6528945</v>
      </c>
      <c r="BF96" s="4">
        <f>L96*(1-$AY$2)</f>
        <v>152.60710549999999</v>
      </c>
      <c r="BG96" s="4">
        <f>M96*(1+$AY$2)</f>
        <v>152.6048873</v>
      </c>
      <c r="BH96" s="4">
        <f>M96*(1-$AY$2)</f>
        <v>152.55911269999999</v>
      </c>
      <c r="BI96" s="4">
        <f>N96*(1+$AY$2)</f>
        <v>152.93493680000003</v>
      </c>
      <c r="BJ96" s="4">
        <f>N96*(1-$AY$2)</f>
        <v>152.88906320000001</v>
      </c>
      <c r="BK96" s="30">
        <f t="shared" si="93"/>
        <v>92</v>
      </c>
      <c r="BL96" s="15" t="str">
        <f t="shared" si="77"/>
        <v>-----</v>
      </c>
      <c r="BM96" s="15" t="str">
        <f t="shared" si="78"/>
        <v>-----</v>
      </c>
      <c r="BN96" s="15" t="str">
        <f t="shared" si="79"/>
        <v>-----</v>
      </c>
      <c r="BO96" s="15" t="str">
        <f t="shared" si="80"/>
        <v>TOUCH</v>
      </c>
      <c r="BP96" s="15" t="str">
        <f t="shared" si="81"/>
        <v>-----</v>
      </c>
      <c r="BQ96" s="15" t="str">
        <f t="shared" si="82"/>
        <v>-----</v>
      </c>
      <c r="BR96" s="22"/>
      <c r="BS96" s="9">
        <f t="shared" si="83"/>
        <v>-2.423265306122455E-3</v>
      </c>
      <c r="BT96" s="9">
        <f>SLOPE(J$5:J$103,$A$5:$A$103)</f>
        <v>-3.7194805194805478E-4</v>
      </c>
      <c r="BU96" s="9">
        <f>SLOPE(K$5:K$103,$A$5:$A$103)</f>
        <v>-1.6402721088435472E-3</v>
      </c>
      <c r="BV96" s="9">
        <f>SLOPE(L$5:L$103,$A$5:$A$103)</f>
        <v>7.6471243042669956E-4</v>
      </c>
      <c r="BW96" s="9">
        <f>SLOPE(M$5:M$103,$A$5:$A$103)</f>
        <v>-2.3081014223875058E-4</v>
      </c>
      <c r="BX96" s="9">
        <f>SLOPE(N$5:N$103,$A$5:$A$103)</f>
        <v>1.5802844774273381E-3</v>
      </c>
      <c r="BY96"/>
      <c r="BZ96" s="9">
        <f t="shared" si="95"/>
        <v>-1.9079214597220278</v>
      </c>
      <c r="CA96" s="9">
        <f t="shared" si="96"/>
        <v>-0.29295343676527091</v>
      </c>
      <c r="CB96" s="9">
        <f t="shared" si="97"/>
        <v>-1.2917022253843653</v>
      </c>
      <c r="CC96" s="9">
        <f t="shared" si="98"/>
        <v>0.60228527619529781</v>
      </c>
      <c r="CD96" s="9">
        <f t="shared" si="99"/>
        <v>-0.18179147971962978</v>
      </c>
      <c r="CE96" s="9">
        <f t="shared" si="100"/>
        <v>1.2444775446344229</v>
      </c>
      <c r="CF96"/>
      <c r="CG96" s="18" t="str" cm="1">
        <f t="array" ref="CG96">_xlfn.IFS(BZ96&gt;3,"Strong + Slope",BZ96&gt;1.5,"Moderate + Slope",BZ96&gt;0.5,"Sideway + Slope",BZ96&gt;=-0.5,"Sideway Flat",BZ96&gt;=-1.5,"Sideway - Slope",BZ96&gt;=-3,"Moderate - Slope",TRUE,"Strong - Slope")</f>
        <v>Moderate - Slope</v>
      </c>
      <c r="CH96" s="18" t="str" cm="1">
        <f t="array" ref="CH96">_xlfn.IFS(CA96&gt;3,"Strong + Slope",CA96&gt;1.5,"Moderate + Slope",CA96&gt;0.5,"Sideway + Slope",CA96&gt;=-0.5,"Sideway Flat",CA96&gt;=-1.5,"Sideway - Slope",CA96&gt;=-3,"Moderate - Slope",TRUE,"Strong - Slope")</f>
        <v>Sideway Flat</v>
      </c>
      <c r="CI96" s="18" t="str" cm="1">
        <f t="array" ref="CI96">_xlfn.IFS(CB96&gt;3,"Strong + Slope",CB96&gt;1.5,"Moderate + Slope",CB96&gt;0.5,"Sideway + Slope",CB96&gt;=-0.5,"Sideway Flat",CB96&gt;=-1.5,"Sideway - Slope",CB96&gt;=-3,"Moderate - Slope",TRUE,"Strong - Slope")</f>
        <v>Sideway - Slope</v>
      </c>
      <c r="CJ96" s="18" t="str" cm="1">
        <f t="array" ref="CJ96">_xlfn.IFS(CC96&gt;3,"Strong + Slope",CC96&gt;1.5,"Moderate + Slope",CC96&gt;0.5,"Sideway + Slope",CC96&gt;=-0.5,"Sideway Flat",CC96&gt;=-1.5,"Sideway - Slope",CC96&gt;=-3,"Moderate - Slope",TRUE,"Strong - Slope")</f>
        <v>Sideway + Slope</v>
      </c>
      <c r="CK96" s="18" t="str" cm="1">
        <f t="array" ref="CK96">_xlfn.IFS(CD96&gt;3,"Strong + Slope",CD96&gt;1.5,"Moderate + Slope",CD96&gt;0.5,"Sideway + Slope",CD96&gt;=-0.5,"Sideway Flat",CD96&gt;=-1.5,"Sideway - Slope",CD96&gt;=-3,"Moderate - Slope",TRUE,"Strong - Slope")</f>
        <v>Sideway Flat</v>
      </c>
      <c r="CL96" s="18" t="str" cm="1">
        <f t="array" ref="CL96">_xlfn.IFS(CE96&gt;3,"Strong + Slope",CE96&gt;1.5,"Moderate + Slope",CE96&gt;0.5,"Sideway + Slope",CE96&gt;=-0.5,"Sideway Flat",CE96&gt;=-1.5,"Sideway - Slope",CE96&gt;=-3,"Moderate - Slope",TRUE,"Strong - Slope")</f>
        <v>Sideway + Slope</v>
      </c>
      <c r="CM96" s="9"/>
      <c r="CN96" s="9">
        <f>RANK(I96,$I96:$N96,0)</f>
        <v>4</v>
      </c>
      <c r="CO96" s="9">
        <f>RANK(J96,$I96:$N96,0)</f>
        <v>3</v>
      </c>
      <c r="CP96" s="9">
        <f>RANK(K96,$I96:$N96,0)</f>
        <v>1</v>
      </c>
      <c r="CQ96" s="9">
        <f>RANK(L96,$I96:$N96,0)</f>
        <v>5</v>
      </c>
      <c r="CR96" s="9">
        <f>RANK(M96,$I96:$N96,0)</f>
        <v>6</v>
      </c>
      <c r="CS96" s="9">
        <f>RANK(N96,$I96:$N96,0)</f>
        <v>2</v>
      </c>
      <c r="CT96" s="9"/>
      <c r="CU96" s="9" t="str">
        <f>IF($H96&gt;I96,"SUP","RES")</f>
        <v>RES</v>
      </c>
      <c r="CV96" s="9" t="str">
        <f>IF($H96&gt;J96,"SUP","RES")</f>
        <v>RES</v>
      </c>
      <c r="CW96" s="9" t="str">
        <f>IF($H96&gt;K96,"SUP","RES")</f>
        <v>RES</v>
      </c>
      <c r="CX96" s="9" t="str">
        <f>IF($H96&gt;L96,"SUP","RES")</f>
        <v>SUP</v>
      </c>
      <c r="CY96" s="9" t="str">
        <f>IF($H96&gt;M96,"SUP","RES")</f>
        <v>SUP</v>
      </c>
      <c r="CZ96" s="9" t="str">
        <f>IF($H96&gt;N96,"SUP","RES")</f>
        <v>RES</v>
      </c>
      <c r="DA96" s="9"/>
      <c r="DB96" s="12">
        <f>(I96-$H96)/$H96</f>
        <v>1.1530247245189146E-3</v>
      </c>
      <c r="DC96" s="12">
        <f>(J96-$H96)/$H96</f>
        <v>1.5395500583064534E-3</v>
      </c>
      <c r="DD96" s="12">
        <f>(K96-$H96)/$H96</f>
        <v>3.1446128850514156E-3</v>
      </c>
      <c r="DE96" s="12">
        <f>(L96-$H96)/$H96</f>
        <v>-7.8615322126285395E-5</v>
      </c>
      <c r="DF96" s="12">
        <f>(M96-$H96)/$H96</f>
        <v>-3.9307661063142695E-4</v>
      </c>
      <c r="DG96" s="12">
        <f>(N96-$H96)/$H96</f>
        <v>1.7688447478414213E-3</v>
      </c>
      <c r="DH96" s="12"/>
      <c r="DI96" s="12">
        <f>((H96-MIN(I96:N96))/(MAX(I96:N96)-MIN(I96:N96)))</f>
        <v>0.1111111111111111</v>
      </c>
      <c r="DJ96" s="13">
        <f t="shared" si="67"/>
        <v>4</v>
      </c>
      <c r="DK96" s="14">
        <f t="shared" si="68"/>
        <v>2</v>
      </c>
      <c r="DL96" s="12">
        <f t="shared" si="84"/>
        <v>3.1446128850514156E-3</v>
      </c>
      <c r="DM96" s="12">
        <f t="shared" si="85"/>
        <v>1.7688447478414213E-3</v>
      </c>
      <c r="DN96" s="12">
        <f t="shared" si="86"/>
        <v>1.5395500583064534E-3</v>
      </c>
      <c r="DO96" s="12">
        <f t="shared" si="87"/>
        <v>1.1530247245189146E-3</v>
      </c>
      <c r="DP96" s="12">
        <f t="shared" si="88"/>
        <v>-7.8615322126285395E-5</v>
      </c>
      <c r="DQ96" s="12">
        <f t="shared" si="89"/>
        <v>-3.9307661063142695E-4</v>
      </c>
      <c r="DR96" s="9"/>
      <c r="DS96" s="9" t="str">
        <f>IF(AQ96&gt;AG96,"Overbought",IF(AQ96&gt;AI96,"Bullish Momentum",IF(AQ96&gt;AK96,"Overprice Setting Up","-----")))</f>
        <v>-----</v>
      </c>
      <c r="DT96" s="9" t="str">
        <f>IF(AQ96&lt;AP96,"Oversold",IF(AQ96&lt;AN96,"Bearish Momentum",IF(AQ96&lt;AL96,"Underprice Setting Up","-----")))</f>
        <v>Underprice Setting Up</v>
      </c>
      <c r="DU96" s="9"/>
      <c r="DV96" s="12" t="str">
        <f>IF(AND(AT96&gt;AU96,AT95&gt;AU95,AT94&gt;AU94,AT93&gt;AU93,AT92&gt;AU92,AT91&gt;AU91,AT90&gt;AU90,AT89&gt;AU89,AT88&gt;AU88,AT87&gt;AU87,AT86&gt;AU86,AT85&gt;AU85),"Bullish",IF(AND(AT96&lt;AU96,AT95&lt;AU95,AT94&lt;AU94,AT93&lt;AU93,AT92&lt;AU92,AT91&lt;AU91,AT90&lt;AU90,AT89&lt;AU89,AT88&lt;AU88,AT87&lt;AU87,AT86&lt;AU86,AT85&lt;AU85),"Bearish","-----"))</f>
        <v>Bearish</v>
      </c>
      <c r="DW96" s="12"/>
      <c r="DX96" s="23">
        <f>(AR96-AT96)/AT96</f>
        <v>-3.666265123344393E-4</v>
      </c>
      <c r="DY96" s="23">
        <f t="shared" si="69"/>
        <v>0.24131519488045908</v>
      </c>
      <c r="DZ96" s="23" t="str">
        <f t="shared" si="70"/>
        <v>-----</v>
      </c>
      <c r="EA96" s="23" t="str">
        <f>IF(AQ96&gt;AR96,"Bullish","Bearish")</f>
        <v>Bearish</v>
      </c>
      <c r="EB96" s="22" t="str">
        <f>IF(AND(H96&gt;AQ96,H95&lt;AQ95),"TEMA crossover","-----")</f>
        <v>-----</v>
      </c>
      <c r="EC96" s="22" t="str">
        <f>IF(AND(H96&lt;AQ96,H95&gt;AQ95),"TEMA crossunder","-----")</f>
        <v>TEMA crossunder</v>
      </c>
      <c r="ED96" s="22"/>
      <c r="EE96" s="24" t="str">
        <f t="shared" si="45"/>
        <v>YES</v>
      </c>
      <c r="EF96" s="24" t="str">
        <f t="shared" si="46"/>
        <v>-----</v>
      </c>
      <c r="EG96" s="24" t="str">
        <f t="shared" si="47"/>
        <v>-----</v>
      </c>
      <c r="EH96" s="24" t="str">
        <f t="shared" si="48"/>
        <v>YES</v>
      </c>
      <c r="EI96" s="25" t="str">
        <f>IF(DV96="Bullish","YES","-----")</f>
        <v>-----</v>
      </c>
      <c r="EJ96" s="25" t="str">
        <f>IF(DZ96="Reverse to Bullish","YES","-----")</f>
        <v>-----</v>
      </c>
      <c r="EK96" s="25" t="str">
        <f>IF(AND(EA96="Bearish",EA95="Bearish",EA94="Bearish",EA93="Bearish"),"YES","-----")</f>
        <v>YES</v>
      </c>
      <c r="EL96" s="25" t="str">
        <f>IF(OR(EC96="TEMA crossover",EC95="TEMA crossover",EC94="TEMA crossover",EC93="TEMA crossover"),"YES","-----")</f>
        <v>-----</v>
      </c>
      <c r="EM96" s="24" t="str">
        <f>IF(AND(EE96="YES",EF96="YES",EG96="YES",EH96="YES"),"Open Sell / Close Buy","-----")</f>
        <v>-----</v>
      </c>
      <c r="EN96" s="25" t="str">
        <f t="shared" si="94"/>
        <v>-----</v>
      </c>
      <c r="EO96" s="23"/>
      <c r="EP96" s="9" t="str">
        <f>IF(AND(H96&gt;AV96,H96&gt;E96),"Bullish Trigger","-----")</f>
        <v>-----</v>
      </c>
      <c r="EQ96" s="9" t="str">
        <f>IF(AND(H96&lt;AW96,H96&lt;E96),"Bearish Trigger","-----")</f>
        <v>-----</v>
      </c>
      <c r="ER96" s="9"/>
      <c r="ES96" s="9" t="str">
        <f>IF(G96&gt;AV96,"Bullish Spike","-----")</f>
        <v>-----</v>
      </c>
      <c r="ET96" s="9" t="str">
        <f>IF(F96&lt;AW96,"Bearish Spike","-----")</f>
        <v>-----</v>
      </c>
      <c r="EU96" s="9"/>
      <c r="EV96" s="20">
        <f t="shared" si="71"/>
        <v>5.2999999999997272E-2</v>
      </c>
      <c r="EW96" s="9">
        <f t="shared" si="90"/>
        <v>-0.52496216085008252</v>
      </c>
      <c r="EX96" s="21" t="str">
        <f t="shared" si="91"/>
        <v>-----</v>
      </c>
      <c r="EY96" s="9"/>
    </row>
    <row r="97" spans="1:155" x14ac:dyDescent="0.55000000000000004">
      <c r="A97">
        <v>93</v>
      </c>
      <c r="B97" t="s">
        <v>96</v>
      </c>
      <c r="C97" t="s">
        <v>4</v>
      </c>
      <c r="D97" t="s">
        <v>103</v>
      </c>
      <c r="E97">
        <v>152.642</v>
      </c>
      <c r="F97">
        <v>152.66200000000001</v>
      </c>
      <c r="G97">
        <v>152.636</v>
      </c>
      <c r="H97">
        <v>152.64500000000001</v>
      </c>
      <c r="I97">
        <v>152.815</v>
      </c>
      <c r="J97">
        <v>152.87700000000001</v>
      </c>
      <c r="K97">
        <v>153.12</v>
      </c>
      <c r="L97">
        <v>152.63</v>
      </c>
      <c r="M97">
        <v>152.58199999999999</v>
      </c>
      <c r="N97">
        <v>152.91300000000001</v>
      </c>
      <c r="O97" s="16">
        <f t="shared" si="66"/>
        <v>2.6000000000010459E-2</v>
      </c>
      <c r="P97" s="16">
        <f t="shared" si="72"/>
        <v>2.0000000000010232E-2</v>
      </c>
      <c r="Q97" s="16">
        <f t="shared" si="73"/>
        <v>6.0000000000002274E-3</v>
      </c>
      <c r="R97" s="16">
        <f t="shared" si="74"/>
        <v>2.6000000000010459E-2</v>
      </c>
      <c r="S97" s="16">
        <f t="shared" si="101"/>
        <v>4.7978615931832759E-2</v>
      </c>
      <c r="T97">
        <v>0</v>
      </c>
      <c r="U97">
        <v>0</v>
      </c>
      <c r="V97">
        <v>0</v>
      </c>
      <c r="W97">
        <v>0</v>
      </c>
      <c r="Y97" s="9" t="str">
        <f t="shared" si="75"/>
        <v>------</v>
      </c>
      <c r="Z97" s="9" t="str">
        <f t="shared" si="76"/>
        <v>------</v>
      </c>
      <c r="AA97" s="9"/>
      <c r="AB97">
        <v>0</v>
      </c>
      <c r="AD97" t="str">
        <f t="shared" si="58"/>
        <v/>
      </c>
      <c r="AE97">
        <v>0.98263</v>
      </c>
      <c r="AF97">
        <v>0</v>
      </c>
      <c r="AG97">
        <v>153.03098</v>
      </c>
      <c r="AH97">
        <v>152.95477</v>
      </c>
      <c r="AI97">
        <v>152.87854999999999</v>
      </c>
      <c r="AJ97">
        <v>152.80233999999999</v>
      </c>
      <c r="AK97">
        <v>152.72612000000001</v>
      </c>
      <c r="AL97">
        <v>152.68548000000001</v>
      </c>
      <c r="AM97">
        <v>152.60926000000001</v>
      </c>
      <c r="AN97">
        <v>152.53304</v>
      </c>
      <c r="AO97">
        <v>152.45683</v>
      </c>
      <c r="AP97">
        <v>152.38060999999999</v>
      </c>
      <c r="AQ97">
        <v>152.63999999999999</v>
      </c>
      <c r="AR97">
        <v>152.67599999999999</v>
      </c>
      <c r="AS97">
        <f t="shared" si="92"/>
        <v>93</v>
      </c>
      <c r="AT97">
        <v>152.73699999999999</v>
      </c>
      <c r="AU97">
        <v>152.83799999999999</v>
      </c>
      <c r="AV97">
        <v>152.66200000000001</v>
      </c>
      <c r="AW97">
        <v>152.62299999999999</v>
      </c>
      <c r="AY97" s="4">
        <f>I97*(1+$AY$2)</f>
        <v>152.83792225000002</v>
      </c>
      <c r="AZ97" s="4">
        <f>I97*(1-$AY$2)</f>
        <v>152.79207775</v>
      </c>
      <c r="BA97" s="4">
        <f>J97*(1+$AY$2)</f>
        <v>152.89993155000002</v>
      </c>
      <c r="BB97" s="4">
        <f>J97*(1-$AY$2)</f>
        <v>152.85406845</v>
      </c>
      <c r="BC97" s="4">
        <f>K97*(1+$AY$2)</f>
        <v>153.14296800000002</v>
      </c>
      <c r="BD97" s="4">
        <f>K97*(1-$AY$2)</f>
        <v>153.09703200000001</v>
      </c>
      <c r="BE97" s="4">
        <f>L97*(1+$AY$2)</f>
        <v>152.6528945</v>
      </c>
      <c r="BF97" s="4">
        <f>L97*(1-$AY$2)</f>
        <v>152.60710549999999</v>
      </c>
      <c r="BG97" s="4">
        <f>M97*(1+$AY$2)</f>
        <v>152.6048873</v>
      </c>
      <c r="BH97" s="4">
        <f>M97*(1-$AY$2)</f>
        <v>152.55911269999999</v>
      </c>
      <c r="BI97" s="4">
        <f>N97*(1+$AY$2)</f>
        <v>152.93593695000001</v>
      </c>
      <c r="BJ97" s="4">
        <f>N97*(1-$AY$2)</f>
        <v>152.89006305000001</v>
      </c>
      <c r="BK97" s="30">
        <f t="shared" si="93"/>
        <v>93</v>
      </c>
      <c r="BL97" s="15" t="str">
        <f t="shared" si="77"/>
        <v>-----</v>
      </c>
      <c r="BM97" s="15" t="str">
        <f t="shared" si="78"/>
        <v>-----</v>
      </c>
      <c r="BN97" s="15" t="str">
        <f t="shared" si="79"/>
        <v>-----</v>
      </c>
      <c r="BO97" s="15" t="str">
        <f t="shared" si="80"/>
        <v>TOUCH</v>
      </c>
      <c r="BP97" s="15" t="str">
        <f t="shared" si="81"/>
        <v>-----</v>
      </c>
      <c r="BQ97" s="15" t="str">
        <f t="shared" si="82"/>
        <v>-----</v>
      </c>
      <c r="BR97" s="22"/>
      <c r="BS97" s="9">
        <f t="shared" si="83"/>
        <v>-2.423265306122455E-3</v>
      </c>
      <c r="BT97" s="9">
        <f>SLOPE(J$5:J$103,$A$5:$A$103)</f>
        <v>-3.7194805194805478E-4</v>
      </c>
      <c r="BU97" s="9">
        <f>SLOPE(K$5:K$103,$A$5:$A$103)</f>
        <v>-1.6402721088435472E-3</v>
      </c>
      <c r="BV97" s="9">
        <f>SLOPE(L$5:L$103,$A$5:$A$103)</f>
        <v>7.6471243042669956E-4</v>
      </c>
      <c r="BW97" s="9">
        <f>SLOPE(M$5:M$103,$A$5:$A$103)</f>
        <v>-2.3081014223875058E-4</v>
      </c>
      <c r="BX97" s="9">
        <f>SLOPE(N$5:N$103,$A$5:$A$103)</f>
        <v>1.5802844774273381E-3</v>
      </c>
      <c r="BY97"/>
      <c r="BZ97" s="9">
        <f t="shared" si="95"/>
        <v>-1.9079214597220278</v>
      </c>
      <c r="CA97" s="9">
        <f t="shared" si="96"/>
        <v>-0.29295343676527091</v>
      </c>
      <c r="CB97" s="9">
        <f t="shared" si="97"/>
        <v>-1.2917022253843653</v>
      </c>
      <c r="CC97" s="9">
        <f t="shared" si="98"/>
        <v>0.60228527619529781</v>
      </c>
      <c r="CD97" s="9">
        <f t="shared" si="99"/>
        <v>-0.18179147971962978</v>
      </c>
      <c r="CE97" s="9">
        <f t="shared" si="100"/>
        <v>1.2444775446344229</v>
      </c>
      <c r="CF97"/>
      <c r="CG97" s="18" t="str" cm="1">
        <f t="array" ref="CG97">_xlfn.IFS(BZ97&gt;3,"Strong + Slope",BZ97&gt;1.5,"Moderate + Slope",BZ97&gt;0.5,"Sideway + Slope",BZ97&gt;=-0.5,"Sideway Flat",BZ97&gt;=-1.5,"Sideway - Slope",BZ97&gt;=-3,"Moderate - Slope",TRUE,"Strong - Slope")</f>
        <v>Moderate - Slope</v>
      </c>
      <c r="CH97" s="18" t="str" cm="1">
        <f t="array" ref="CH97">_xlfn.IFS(CA97&gt;3,"Strong + Slope",CA97&gt;1.5,"Moderate + Slope",CA97&gt;0.5,"Sideway + Slope",CA97&gt;=-0.5,"Sideway Flat",CA97&gt;=-1.5,"Sideway - Slope",CA97&gt;=-3,"Moderate - Slope",TRUE,"Strong - Slope")</f>
        <v>Sideway Flat</v>
      </c>
      <c r="CI97" s="18" t="str" cm="1">
        <f t="array" ref="CI97">_xlfn.IFS(CB97&gt;3,"Strong + Slope",CB97&gt;1.5,"Moderate + Slope",CB97&gt;0.5,"Sideway + Slope",CB97&gt;=-0.5,"Sideway Flat",CB97&gt;=-1.5,"Sideway - Slope",CB97&gt;=-3,"Moderate - Slope",TRUE,"Strong - Slope")</f>
        <v>Sideway - Slope</v>
      </c>
      <c r="CJ97" s="18" t="str" cm="1">
        <f t="array" ref="CJ97">_xlfn.IFS(CC97&gt;3,"Strong + Slope",CC97&gt;1.5,"Moderate + Slope",CC97&gt;0.5,"Sideway + Slope",CC97&gt;=-0.5,"Sideway Flat",CC97&gt;=-1.5,"Sideway - Slope",CC97&gt;=-3,"Moderate - Slope",TRUE,"Strong - Slope")</f>
        <v>Sideway + Slope</v>
      </c>
      <c r="CK97" s="18" t="str" cm="1">
        <f t="array" ref="CK97">_xlfn.IFS(CD97&gt;3,"Strong + Slope",CD97&gt;1.5,"Moderate + Slope",CD97&gt;0.5,"Sideway + Slope",CD97&gt;=-0.5,"Sideway Flat",CD97&gt;=-1.5,"Sideway - Slope",CD97&gt;=-3,"Moderate - Slope",TRUE,"Strong - Slope")</f>
        <v>Sideway Flat</v>
      </c>
      <c r="CL97" s="18" t="str" cm="1">
        <f t="array" ref="CL97">_xlfn.IFS(CE97&gt;3,"Strong + Slope",CE97&gt;1.5,"Moderate + Slope",CE97&gt;0.5,"Sideway + Slope",CE97&gt;=-0.5,"Sideway Flat",CE97&gt;=-1.5,"Sideway - Slope",CE97&gt;=-3,"Moderate - Slope",TRUE,"Strong - Slope")</f>
        <v>Sideway + Slope</v>
      </c>
      <c r="CM97" s="9"/>
      <c r="CN97" s="9">
        <f>RANK(I97,$I97:$N97,0)</f>
        <v>4</v>
      </c>
      <c r="CO97" s="9">
        <f>RANK(J97,$I97:$N97,0)</f>
        <v>3</v>
      </c>
      <c r="CP97" s="9">
        <f>RANK(K97,$I97:$N97,0)</f>
        <v>1</v>
      </c>
      <c r="CQ97" s="9">
        <f>RANK(L97,$I97:$N97,0)</f>
        <v>5</v>
      </c>
      <c r="CR97" s="9">
        <f>RANK(M97,$I97:$N97,0)</f>
        <v>6</v>
      </c>
      <c r="CS97" s="9">
        <f>RANK(N97,$I97:$N97,0)</f>
        <v>2</v>
      </c>
      <c r="CT97" s="9"/>
      <c r="CU97" s="9" t="str">
        <f>IF($H97&gt;I97,"SUP","RES")</f>
        <v>RES</v>
      </c>
      <c r="CV97" s="9" t="str">
        <f>IF($H97&gt;J97,"SUP","RES")</f>
        <v>RES</v>
      </c>
      <c r="CW97" s="9" t="str">
        <f>IF($H97&gt;K97,"SUP","RES")</f>
        <v>RES</v>
      </c>
      <c r="CX97" s="9" t="str">
        <f>IF($H97&gt;L97,"SUP","RES")</f>
        <v>SUP</v>
      </c>
      <c r="CY97" s="9" t="str">
        <f>IF($H97&gt;M97,"SUP","RES")</f>
        <v>SUP</v>
      </c>
      <c r="CZ97" s="9" t="str">
        <f>IF($H97&gt;N97,"SUP","RES")</f>
        <v>RES</v>
      </c>
      <c r="DA97" s="9"/>
      <c r="DB97" s="12">
        <f>(I97-$H97)/$H97</f>
        <v>1.1136951750793506E-3</v>
      </c>
      <c r="DC97" s="12">
        <f>(J97-$H97)/$H97</f>
        <v>1.5198663565789859E-3</v>
      </c>
      <c r="DD97" s="12">
        <f>(K97-$H97)/$H97</f>
        <v>3.1117953421336713E-3</v>
      </c>
      <c r="DE97" s="12">
        <f>(L97-$H97)/$H97</f>
        <v>-9.8267221330634985E-5</v>
      </c>
      <c r="DF97" s="12">
        <f>(M97-$H97)/$H97</f>
        <v>-4.1272232958836904E-4</v>
      </c>
      <c r="DG97" s="12">
        <f>(N97-$H97)/$H97</f>
        <v>1.7557076877722864E-3</v>
      </c>
      <c r="DH97" s="12"/>
      <c r="DI97" s="12">
        <f>((H97-MIN(I97:N97))/(MAX(I97:N97)-MIN(I97:N97)))</f>
        <v>0.11710037174724038</v>
      </c>
      <c r="DJ97" s="13">
        <f t="shared" si="67"/>
        <v>4</v>
      </c>
      <c r="DK97" s="14">
        <f t="shared" si="68"/>
        <v>2</v>
      </c>
      <c r="DL97" s="12">
        <f t="shared" si="84"/>
        <v>3.1117953421336713E-3</v>
      </c>
      <c r="DM97" s="12">
        <f t="shared" si="85"/>
        <v>1.7557076877722864E-3</v>
      </c>
      <c r="DN97" s="12">
        <f t="shared" si="86"/>
        <v>1.5198663565789859E-3</v>
      </c>
      <c r="DO97" s="12">
        <f t="shared" si="87"/>
        <v>1.1136951750793506E-3</v>
      </c>
      <c r="DP97" s="12">
        <f t="shared" si="88"/>
        <v>-9.8267221330634985E-5</v>
      </c>
      <c r="DQ97" s="12">
        <f t="shared" si="89"/>
        <v>-4.1272232958836904E-4</v>
      </c>
      <c r="DR97" s="9"/>
      <c r="DS97" s="9" t="str">
        <f>IF(AQ97&gt;AG97,"Overbought",IF(AQ97&gt;AI97,"Bullish Momentum",IF(AQ97&gt;AK97,"Overprice Setting Up","-----")))</f>
        <v>-----</v>
      </c>
      <c r="DT97" s="9" t="str">
        <f>IF(AQ97&lt;AP97,"Oversold",IF(AQ97&lt;AN97,"Bearish Momentum",IF(AQ97&lt;AL97,"Underprice Setting Up","-----")))</f>
        <v>Underprice Setting Up</v>
      </c>
      <c r="DU97" s="9"/>
      <c r="DV97" s="12" t="str">
        <f>IF(AND(AT97&gt;AU97,AT96&gt;AU96,AT95&gt;AU95,AT94&gt;AU94,AT93&gt;AU93,AT92&gt;AU92,AT91&gt;AU91,AT90&gt;AU90,AT89&gt;AU89,AT88&gt;AU88,AT87&gt;AU87,AT86&gt;AU86),"Bullish",IF(AND(AT97&lt;AU97,AT96&lt;AU96,AT95&lt;AU95,AT94&lt;AU94,AT93&lt;AU93,AT92&lt;AU92,AT91&lt;AU91,AT90&lt;AU90,AT89&lt;AU89,AT88&lt;AU88,AT87&lt;AU87,AT86&lt;AU86),"Bearish","-----"))</f>
        <v>Bearish</v>
      </c>
      <c r="DW97" s="12"/>
      <c r="DX97" s="23">
        <f>(AR97-AT97)/AT97</f>
        <v>-3.9937932524540255E-4</v>
      </c>
      <c r="DY97" s="23">
        <f t="shared" si="69"/>
        <v>0.1468543538470567</v>
      </c>
      <c r="DZ97" s="23" t="str">
        <f t="shared" si="70"/>
        <v>-----</v>
      </c>
      <c r="EA97" s="23" t="str">
        <f>IF(AQ97&gt;AR97,"Bullish","Bearish")</f>
        <v>Bearish</v>
      </c>
      <c r="EB97" s="22" t="str">
        <f>IF(AND(H97&gt;AQ97,H96&lt;AQ96),"TEMA crossover","-----")</f>
        <v>TEMA crossover</v>
      </c>
      <c r="EC97" s="22" t="str">
        <f>IF(AND(H97&lt;AQ97,H96&gt;AQ96),"TEMA crossunder","-----")</f>
        <v>-----</v>
      </c>
      <c r="ED97" s="22"/>
      <c r="EE97" s="24" t="str">
        <f t="shared" si="45"/>
        <v>YES</v>
      </c>
      <c r="EF97" s="24" t="str">
        <f t="shared" si="46"/>
        <v>-----</v>
      </c>
      <c r="EG97" s="24" t="str">
        <f t="shared" si="47"/>
        <v>-----</v>
      </c>
      <c r="EH97" s="24" t="str">
        <f t="shared" si="48"/>
        <v>YES</v>
      </c>
      <c r="EI97" s="25" t="str">
        <f>IF(DV97="Bullish","YES","-----")</f>
        <v>-----</v>
      </c>
      <c r="EJ97" s="25" t="str">
        <f>IF(DZ97="Reverse to Bullish","YES","-----")</f>
        <v>-----</v>
      </c>
      <c r="EK97" s="25" t="str">
        <f>IF(AND(EA97="Bearish",EA96="Bearish",EA95="Bearish",EA94="Bearish"),"YES","-----")</f>
        <v>YES</v>
      </c>
      <c r="EL97" s="25" t="str">
        <f>IF(OR(EC97="TEMA crossover",EC96="TEMA crossover",EC95="TEMA crossover",EC94="TEMA crossover"),"YES","-----")</f>
        <v>-----</v>
      </c>
      <c r="EM97" s="24" t="str">
        <f>IF(AND(EE97="YES",EF97="YES",EG97="YES",EH97="YES"),"Open Sell / Close Buy","-----")</f>
        <v>-----</v>
      </c>
      <c r="EN97" s="25" t="str">
        <f t="shared" si="94"/>
        <v>-----</v>
      </c>
      <c r="EO97" s="23"/>
      <c r="EP97" s="9" t="str">
        <f>IF(AND(H97&gt;AV97,H97&gt;E97),"Bullish Trigger","-----")</f>
        <v>-----</v>
      </c>
      <c r="EQ97" s="9" t="str">
        <f>IF(AND(H97&lt;AW97,H97&lt;E97),"Bearish Trigger","-----")</f>
        <v>-----</v>
      </c>
      <c r="ER97" s="9"/>
      <c r="ES97" s="9" t="str">
        <f>IF(G97&gt;AV97,"Bullish Spike","-----")</f>
        <v>-----</v>
      </c>
      <c r="ET97" s="9" t="str">
        <f>IF(F97&lt;AW97,"Bearish Spike","-----")</f>
        <v>-----</v>
      </c>
      <c r="EU97" s="9"/>
      <c r="EV97" s="20">
        <f t="shared" si="71"/>
        <v>3.9000000000015689E-2</v>
      </c>
      <c r="EW97" s="9">
        <f t="shared" si="90"/>
        <v>-0.84762183044525008</v>
      </c>
      <c r="EX97" s="21" t="str">
        <f t="shared" si="91"/>
        <v>-----</v>
      </c>
      <c r="EY97" s="9"/>
    </row>
    <row r="98" spans="1:155" x14ac:dyDescent="0.55000000000000004">
      <c r="A98">
        <v>94</v>
      </c>
      <c r="B98" t="s">
        <v>97</v>
      </c>
      <c r="C98" t="s">
        <v>4</v>
      </c>
      <c r="D98" t="s">
        <v>103</v>
      </c>
      <c r="E98">
        <v>152.64500000000001</v>
      </c>
      <c r="F98">
        <v>152.655</v>
      </c>
      <c r="G98">
        <v>152.63200000000001</v>
      </c>
      <c r="H98">
        <v>152.65</v>
      </c>
      <c r="I98">
        <v>152.81299999999999</v>
      </c>
      <c r="J98">
        <v>152.876</v>
      </c>
      <c r="K98">
        <v>153.11799999999999</v>
      </c>
      <c r="L98">
        <v>152.631</v>
      </c>
      <c r="M98">
        <v>152.58099999999999</v>
      </c>
      <c r="N98">
        <v>152.91499999999999</v>
      </c>
      <c r="O98" s="16">
        <f t="shared" si="66"/>
        <v>2.2999999999996135E-2</v>
      </c>
      <c r="P98" s="16">
        <f t="shared" si="72"/>
        <v>9.9999999999909051E-3</v>
      </c>
      <c r="Q98" s="16">
        <f t="shared" si="73"/>
        <v>1.300000000000523E-2</v>
      </c>
      <c r="R98" s="16">
        <f t="shared" si="74"/>
        <v>2.2999999999996135E-2</v>
      </c>
      <c r="S98" s="16">
        <f t="shared" si="101"/>
        <v>4.6194429079558716E-2</v>
      </c>
      <c r="T98">
        <v>0</v>
      </c>
      <c r="U98">
        <v>0</v>
      </c>
      <c r="V98">
        <v>0</v>
      </c>
      <c r="W98">
        <v>0</v>
      </c>
      <c r="Y98" s="9" t="str">
        <f t="shared" si="75"/>
        <v>------</v>
      </c>
      <c r="Z98" s="9" t="str">
        <f t="shared" si="76"/>
        <v>------</v>
      </c>
      <c r="AA98" s="9"/>
      <c r="AB98">
        <v>0</v>
      </c>
      <c r="AD98" t="str">
        <f t="shared" si="58"/>
        <v/>
      </c>
      <c r="AE98">
        <v>0.93033999999999994</v>
      </c>
      <c r="AF98">
        <v>0</v>
      </c>
      <c r="AG98">
        <v>153.02072999999999</v>
      </c>
      <c r="AH98">
        <v>152.94515999999999</v>
      </c>
      <c r="AI98">
        <v>152.86959999999999</v>
      </c>
      <c r="AJ98">
        <v>152.79404</v>
      </c>
      <c r="AK98">
        <v>152.71848</v>
      </c>
      <c r="AL98">
        <v>152.67825999999999</v>
      </c>
      <c r="AM98">
        <v>152.6027</v>
      </c>
      <c r="AN98">
        <v>152.52714</v>
      </c>
      <c r="AO98">
        <v>152.45158000000001</v>
      </c>
      <c r="AP98">
        <v>152.37602000000001</v>
      </c>
      <c r="AQ98">
        <v>152.636</v>
      </c>
      <c r="AR98">
        <v>152.66499999999999</v>
      </c>
      <c r="AS98">
        <f t="shared" si="92"/>
        <v>94</v>
      </c>
      <c r="AT98">
        <v>152.72999999999999</v>
      </c>
      <c r="AU98">
        <v>152.833</v>
      </c>
      <c r="AV98">
        <v>152.65</v>
      </c>
      <c r="AW98">
        <v>152.62100000000001</v>
      </c>
      <c r="AY98" s="4">
        <f>I98*(1+$AY$2)</f>
        <v>152.83592195</v>
      </c>
      <c r="AZ98" s="4">
        <f>I98*(1-$AY$2)</f>
        <v>152.79007804999998</v>
      </c>
      <c r="BA98" s="4">
        <f>J98*(1+$AY$2)</f>
        <v>152.89893140000001</v>
      </c>
      <c r="BB98" s="4">
        <f>J98*(1-$AY$2)</f>
        <v>152.8530686</v>
      </c>
      <c r="BC98" s="4">
        <f>K98*(1+$AY$2)</f>
        <v>153.1409677</v>
      </c>
      <c r="BD98" s="4">
        <f>K98*(1-$AY$2)</f>
        <v>153.09503229999999</v>
      </c>
      <c r="BE98" s="4">
        <f>L98*(1+$AY$2)</f>
        <v>152.65389465000001</v>
      </c>
      <c r="BF98" s="4">
        <f>L98*(1-$AY$2)</f>
        <v>152.60810535000002</v>
      </c>
      <c r="BG98" s="4">
        <f>M98*(1+$AY$2)</f>
        <v>152.60388714999999</v>
      </c>
      <c r="BH98" s="4">
        <f>M98*(1-$AY$2)</f>
        <v>152.55811284999999</v>
      </c>
      <c r="BI98" s="4">
        <f>N98*(1+$AY$2)</f>
        <v>152.93793725</v>
      </c>
      <c r="BJ98" s="4">
        <f>N98*(1-$AY$2)</f>
        <v>152.89206275000001</v>
      </c>
      <c r="BK98" s="30">
        <f t="shared" si="93"/>
        <v>94</v>
      </c>
      <c r="BL98" s="15" t="str">
        <f t="shared" si="77"/>
        <v>-----</v>
      </c>
      <c r="BM98" s="15" t="str">
        <f t="shared" si="78"/>
        <v>-----</v>
      </c>
      <c r="BN98" s="15" t="str">
        <f t="shared" si="79"/>
        <v>-----</v>
      </c>
      <c r="BO98" s="15" t="str">
        <f t="shared" si="80"/>
        <v>TOUCH</v>
      </c>
      <c r="BP98" s="15" t="str">
        <f t="shared" si="81"/>
        <v>-----</v>
      </c>
      <c r="BQ98" s="15" t="str">
        <f t="shared" si="82"/>
        <v>-----</v>
      </c>
      <c r="BR98" s="22"/>
      <c r="BS98" s="9">
        <f t="shared" si="83"/>
        <v>-2.423265306122455E-3</v>
      </c>
      <c r="BT98" s="9">
        <f>SLOPE(J$5:J$103,$A$5:$A$103)</f>
        <v>-3.7194805194805478E-4</v>
      </c>
      <c r="BU98" s="9">
        <f>SLOPE(K$5:K$103,$A$5:$A$103)</f>
        <v>-1.6402721088435472E-3</v>
      </c>
      <c r="BV98" s="9">
        <f>SLOPE(L$5:L$103,$A$5:$A$103)</f>
        <v>7.6471243042669956E-4</v>
      </c>
      <c r="BW98" s="9">
        <f>SLOPE(M$5:M$103,$A$5:$A$103)</f>
        <v>-2.3081014223875058E-4</v>
      </c>
      <c r="BX98" s="9">
        <f>SLOPE(N$5:N$103,$A$5:$A$103)</f>
        <v>1.5802844774273381E-3</v>
      </c>
      <c r="BY98"/>
      <c r="BZ98" s="9">
        <f t="shared" si="95"/>
        <v>-1.9079214597220278</v>
      </c>
      <c r="CA98" s="9">
        <f t="shared" si="96"/>
        <v>-0.29295343676527091</v>
      </c>
      <c r="CB98" s="9">
        <f t="shared" si="97"/>
        <v>-1.2917022253843653</v>
      </c>
      <c r="CC98" s="9">
        <f t="shared" si="98"/>
        <v>0.60228527619529781</v>
      </c>
      <c r="CD98" s="9">
        <f t="shared" si="99"/>
        <v>-0.18179147971962978</v>
      </c>
      <c r="CE98" s="9">
        <f t="shared" si="100"/>
        <v>1.2444775446344229</v>
      </c>
      <c r="CF98"/>
      <c r="CG98" s="18" t="str" cm="1">
        <f t="array" ref="CG98">_xlfn.IFS(BZ98&gt;3,"Strong + Slope",BZ98&gt;1.5,"Moderate + Slope",BZ98&gt;0.5,"Sideway + Slope",BZ98&gt;=-0.5,"Sideway Flat",BZ98&gt;=-1.5,"Sideway - Slope",BZ98&gt;=-3,"Moderate - Slope",TRUE,"Strong - Slope")</f>
        <v>Moderate - Slope</v>
      </c>
      <c r="CH98" s="18" t="str" cm="1">
        <f t="array" ref="CH98">_xlfn.IFS(CA98&gt;3,"Strong + Slope",CA98&gt;1.5,"Moderate + Slope",CA98&gt;0.5,"Sideway + Slope",CA98&gt;=-0.5,"Sideway Flat",CA98&gt;=-1.5,"Sideway - Slope",CA98&gt;=-3,"Moderate - Slope",TRUE,"Strong - Slope")</f>
        <v>Sideway Flat</v>
      </c>
      <c r="CI98" s="18" t="str" cm="1">
        <f t="array" ref="CI98">_xlfn.IFS(CB98&gt;3,"Strong + Slope",CB98&gt;1.5,"Moderate + Slope",CB98&gt;0.5,"Sideway + Slope",CB98&gt;=-0.5,"Sideway Flat",CB98&gt;=-1.5,"Sideway - Slope",CB98&gt;=-3,"Moderate - Slope",TRUE,"Strong - Slope")</f>
        <v>Sideway - Slope</v>
      </c>
      <c r="CJ98" s="18" t="str" cm="1">
        <f t="array" ref="CJ98">_xlfn.IFS(CC98&gt;3,"Strong + Slope",CC98&gt;1.5,"Moderate + Slope",CC98&gt;0.5,"Sideway + Slope",CC98&gt;=-0.5,"Sideway Flat",CC98&gt;=-1.5,"Sideway - Slope",CC98&gt;=-3,"Moderate - Slope",TRUE,"Strong - Slope")</f>
        <v>Sideway + Slope</v>
      </c>
      <c r="CK98" s="18" t="str" cm="1">
        <f t="array" ref="CK98">_xlfn.IFS(CD98&gt;3,"Strong + Slope",CD98&gt;1.5,"Moderate + Slope",CD98&gt;0.5,"Sideway + Slope",CD98&gt;=-0.5,"Sideway Flat",CD98&gt;=-1.5,"Sideway - Slope",CD98&gt;=-3,"Moderate - Slope",TRUE,"Strong - Slope")</f>
        <v>Sideway Flat</v>
      </c>
      <c r="CL98" s="18" t="str" cm="1">
        <f t="array" ref="CL98">_xlfn.IFS(CE98&gt;3,"Strong + Slope",CE98&gt;1.5,"Moderate + Slope",CE98&gt;0.5,"Sideway + Slope",CE98&gt;=-0.5,"Sideway Flat",CE98&gt;=-1.5,"Sideway - Slope",CE98&gt;=-3,"Moderate - Slope",TRUE,"Strong - Slope")</f>
        <v>Sideway + Slope</v>
      </c>
      <c r="CM98" s="9"/>
      <c r="CN98" s="9">
        <f>RANK(I98,$I98:$N98,0)</f>
        <v>4</v>
      </c>
      <c r="CO98" s="9">
        <f>RANK(J98,$I98:$N98,0)</f>
        <v>3</v>
      </c>
      <c r="CP98" s="9">
        <f>RANK(K98,$I98:$N98,0)</f>
        <v>1</v>
      </c>
      <c r="CQ98" s="9">
        <f>RANK(L98,$I98:$N98,0)</f>
        <v>5</v>
      </c>
      <c r="CR98" s="9">
        <f>RANK(M98,$I98:$N98,0)</f>
        <v>6</v>
      </c>
      <c r="CS98" s="9">
        <f>RANK(N98,$I98:$N98,0)</f>
        <v>2</v>
      </c>
      <c r="CT98" s="9"/>
      <c r="CU98" s="9" t="str">
        <f>IF($H98&gt;I98,"SUP","RES")</f>
        <v>RES</v>
      </c>
      <c r="CV98" s="9" t="str">
        <f>IF($H98&gt;J98,"SUP","RES")</f>
        <v>RES</v>
      </c>
      <c r="CW98" s="9" t="str">
        <f>IF($H98&gt;K98,"SUP","RES")</f>
        <v>RES</v>
      </c>
      <c r="CX98" s="9" t="str">
        <f>IF($H98&gt;L98,"SUP","RES")</f>
        <v>SUP</v>
      </c>
      <c r="CY98" s="9" t="str">
        <f>IF($H98&gt;M98,"SUP","RES")</f>
        <v>SUP</v>
      </c>
      <c r="CZ98" s="9" t="str">
        <f>IF($H98&gt;N98,"SUP","RES")</f>
        <v>RES</v>
      </c>
      <c r="DA98" s="9"/>
      <c r="DB98" s="12">
        <f>(I98-$H98)/$H98</f>
        <v>1.067802161807943E-3</v>
      </c>
      <c r="DC98" s="12">
        <f>(J98-$H98)/$H98</f>
        <v>1.48051097281362E-3</v>
      </c>
      <c r="DD98" s="12">
        <f>(K98-$H98)/$H98</f>
        <v>3.0658368817555802E-3</v>
      </c>
      <c r="DE98" s="12">
        <f>(L98-$H98)/$H98</f>
        <v>-1.2446773665250873E-4</v>
      </c>
      <c r="DF98" s="12">
        <f>(M98-$H98)/$H98</f>
        <v>-4.5201441205382784E-4</v>
      </c>
      <c r="DG98" s="12">
        <f>(N98-$H98)/$H98</f>
        <v>1.7359973796265073E-3</v>
      </c>
      <c r="DH98" s="12"/>
      <c r="DI98" s="12">
        <f>((H98-MIN(I98:N98))/(MAX(I98:N98)-MIN(I98:N98)))</f>
        <v>0.12849162011176171</v>
      </c>
      <c r="DJ98" s="13">
        <f t="shared" si="67"/>
        <v>4</v>
      </c>
      <c r="DK98" s="14">
        <f t="shared" si="68"/>
        <v>2</v>
      </c>
      <c r="DL98" s="12">
        <f t="shared" si="84"/>
        <v>3.0658368817555802E-3</v>
      </c>
      <c r="DM98" s="12">
        <f t="shared" si="85"/>
        <v>1.7359973796265073E-3</v>
      </c>
      <c r="DN98" s="12">
        <f t="shared" si="86"/>
        <v>1.48051097281362E-3</v>
      </c>
      <c r="DO98" s="12">
        <f t="shared" si="87"/>
        <v>1.067802161807943E-3</v>
      </c>
      <c r="DP98" s="12">
        <f t="shared" si="88"/>
        <v>-1.2446773665250873E-4</v>
      </c>
      <c r="DQ98" s="12">
        <f t="shared" si="89"/>
        <v>-4.5201441205382784E-4</v>
      </c>
      <c r="DR98" s="9"/>
      <c r="DS98" s="9" t="str">
        <f>IF(AQ98&gt;AG98,"Overbought",IF(AQ98&gt;AI98,"Bullish Momentum",IF(AQ98&gt;AK98,"Overprice Setting Up","-----")))</f>
        <v>-----</v>
      </c>
      <c r="DT98" s="9" t="str">
        <f>IF(AQ98&lt;AP98,"Oversold",IF(AQ98&lt;AN98,"Bearish Momentum",IF(AQ98&lt;AL98,"Underprice Setting Up","-----")))</f>
        <v>Underprice Setting Up</v>
      </c>
      <c r="DU98" s="9"/>
      <c r="DV98" s="12" t="str">
        <f>IF(AND(AT98&gt;AU98,AT97&gt;AU97,AT96&gt;AU96,AT95&gt;AU95,AT94&gt;AU94,AT93&gt;AU93,AT92&gt;AU92,AT91&gt;AU91,AT90&gt;AU90,AT89&gt;AU89,AT88&gt;AU88,AT87&gt;AU87),"Bullish",IF(AND(AT98&lt;AU98,AT97&lt;AU97,AT96&lt;AU96,AT95&lt;AU95,AT94&lt;AU94,AT93&lt;AU93,AT92&lt;AU92,AT91&lt;AU91,AT90&lt;AU90,AT89&lt;AU89,AT88&lt;AU88,AT87&lt;AU87),"Bearish","-----"))</f>
        <v>Bearish</v>
      </c>
      <c r="DW98" s="12"/>
      <c r="DX98" s="23">
        <f>(AR98-AT98)/AT98</f>
        <v>-4.2558763831596758E-4</v>
      </c>
      <c r="DY98" s="23">
        <f t="shared" si="69"/>
        <v>7.1268195753025801E-2</v>
      </c>
      <c r="DZ98" s="23" t="str">
        <f t="shared" si="70"/>
        <v>-----</v>
      </c>
      <c r="EA98" s="23" t="str">
        <f>IF(AQ98&gt;AR98,"Bullish","Bearish")</f>
        <v>Bearish</v>
      </c>
      <c r="EB98" s="22" t="str">
        <f>IF(AND(H98&gt;AQ98,H97&lt;AQ97),"TEMA crossover","-----")</f>
        <v>-----</v>
      </c>
      <c r="EC98" s="22" t="str">
        <f>IF(AND(H98&lt;AQ98,H97&gt;AQ97),"TEMA crossunder","-----")</f>
        <v>-----</v>
      </c>
      <c r="ED98" s="22"/>
      <c r="EE98" s="24" t="str">
        <f t="shared" si="45"/>
        <v>YES</v>
      </c>
      <c r="EF98" s="24" t="str">
        <f t="shared" si="46"/>
        <v>-----</v>
      </c>
      <c r="EG98" s="24" t="str">
        <f t="shared" si="47"/>
        <v>-----</v>
      </c>
      <c r="EH98" s="24" t="str">
        <f t="shared" si="48"/>
        <v>YES</v>
      </c>
      <c r="EI98" s="25" t="str">
        <f>IF(DV98="Bullish","YES","-----")</f>
        <v>-----</v>
      </c>
      <c r="EJ98" s="25" t="str">
        <f>IF(DZ98="Reverse to Bullish","YES","-----")</f>
        <v>-----</v>
      </c>
      <c r="EK98" s="25" t="str">
        <f>IF(AND(EA98="Bearish",EA97="Bearish",EA96="Bearish",EA95="Bearish"),"YES","-----")</f>
        <v>YES</v>
      </c>
      <c r="EL98" s="25" t="str">
        <f>IF(OR(EC98="TEMA crossover",EC97="TEMA crossover",EC96="TEMA crossover",EC95="TEMA crossover"),"YES","-----")</f>
        <v>-----</v>
      </c>
      <c r="EM98" s="24" t="str">
        <f>IF(AND(EE98="YES",EF98="YES",EG98="YES",EH98="YES"),"Open Sell / Close Buy","-----")</f>
        <v>-----</v>
      </c>
      <c r="EN98" s="25" t="str">
        <f t="shared" si="94"/>
        <v>-----</v>
      </c>
      <c r="EO98" s="23"/>
      <c r="EP98" s="9" t="str">
        <f>IF(AND(H98&gt;AV98,H98&gt;E98),"Bullish Trigger","-----")</f>
        <v>-----</v>
      </c>
      <c r="EQ98" s="9" t="str">
        <f>IF(AND(H98&lt;AW98,H98&lt;E98),"Bearish Trigger","-----")</f>
        <v>-----</v>
      </c>
      <c r="ER98" s="9"/>
      <c r="ES98" s="9" t="str">
        <f>IF(G98&gt;AV98,"Bullish Spike","-----")</f>
        <v>-----</v>
      </c>
      <c r="ET98" s="9" t="str">
        <f>IF(F98&lt;AW98,"Bearish Spike","-----")</f>
        <v>-----</v>
      </c>
      <c r="EU98" s="9"/>
      <c r="EV98" s="20">
        <f t="shared" si="71"/>
        <v>2.8999999999996362E-2</v>
      </c>
      <c r="EW98" s="9">
        <f t="shared" si="90"/>
        <v>-1.0780930230139756</v>
      </c>
      <c r="EX98" s="21" t="str">
        <f t="shared" si="91"/>
        <v>-----</v>
      </c>
      <c r="EY98" s="9"/>
    </row>
    <row r="99" spans="1:155" x14ac:dyDescent="0.55000000000000004">
      <c r="A99">
        <v>95</v>
      </c>
      <c r="B99" t="s">
        <v>98</v>
      </c>
      <c r="C99" t="s">
        <v>4</v>
      </c>
      <c r="D99" t="s">
        <v>103</v>
      </c>
      <c r="E99">
        <v>152.65199999999999</v>
      </c>
      <c r="F99">
        <v>152.702</v>
      </c>
      <c r="G99">
        <v>152.65199999999999</v>
      </c>
      <c r="H99">
        <v>152.69999999999999</v>
      </c>
      <c r="I99">
        <v>152.81</v>
      </c>
      <c r="J99">
        <v>152.876</v>
      </c>
      <c r="K99">
        <v>153.11699999999999</v>
      </c>
      <c r="L99">
        <v>152.63200000000001</v>
      </c>
      <c r="M99">
        <v>152.58099999999999</v>
      </c>
      <c r="N99">
        <v>152.917</v>
      </c>
      <c r="O99" s="16">
        <f t="shared" si="66"/>
        <v>5.0000000000011369E-2</v>
      </c>
      <c r="P99" s="16">
        <f t="shared" si="72"/>
        <v>5.1999999999992497E-2</v>
      </c>
      <c r="Q99" s="16">
        <f t="shared" si="73"/>
        <v>1.999999999981128E-3</v>
      </c>
      <c r="R99" s="16">
        <f t="shared" si="74"/>
        <v>5.1999999999992497E-2</v>
      </c>
      <c r="S99" s="16">
        <f t="shared" si="101"/>
        <v>4.6609112716732556E-2</v>
      </c>
      <c r="T99">
        <v>0</v>
      </c>
      <c r="U99">
        <v>0</v>
      </c>
      <c r="V99">
        <v>0</v>
      </c>
      <c r="W99">
        <v>0</v>
      </c>
      <c r="Y99" s="9" t="str">
        <f t="shared" si="75"/>
        <v>------</v>
      </c>
      <c r="Z99" s="9" t="str">
        <f t="shared" si="76"/>
        <v>------</v>
      </c>
      <c r="AA99" s="9"/>
      <c r="AB99">
        <v>0</v>
      </c>
      <c r="AD99" t="str">
        <f t="shared" si="58"/>
        <v/>
      </c>
      <c r="AE99">
        <v>0.10882</v>
      </c>
      <c r="AF99">
        <v>0</v>
      </c>
      <c r="AG99">
        <v>153.0093</v>
      </c>
      <c r="AH99">
        <v>152.93493000000001</v>
      </c>
      <c r="AI99">
        <v>152.86055999999999</v>
      </c>
      <c r="AJ99">
        <v>152.78619</v>
      </c>
      <c r="AK99">
        <v>152.71181999999999</v>
      </c>
      <c r="AL99">
        <v>152.67176000000001</v>
      </c>
      <c r="AM99">
        <v>152.59738999999999</v>
      </c>
      <c r="AN99">
        <v>152.52302</v>
      </c>
      <c r="AO99">
        <v>152.44864999999999</v>
      </c>
      <c r="AP99">
        <v>152.37428</v>
      </c>
      <c r="AQ99">
        <v>152.65299999999999</v>
      </c>
      <c r="AR99">
        <v>152.66</v>
      </c>
      <c r="AS99">
        <f t="shared" si="92"/>
        <v>95</v>
      </c>
      <c r="AT99">
        <v>152.727</v>
      </c>
      <c r="AU99">
        <v>152.828</v>
      </c>
      <c r="AV99">
        <v>152.667</v>
      </c>
      <c r="AW99">
        <v>152.631</v>
      </c>
      <c r="AY99" s="4">
        <f>I99*(1+$AY$2)</f>
        <v>152.83292150000003</v>
      </c>
      <c r="AZ99" s="4">
        <f>I99*(1-$AY$2)</f>
        <v>152.78707850000001</v>
      </c>
      <c r="BA99" s="4">
        <f>J99*(1+$AY$2)</f>
        <v>152.89893140000001</v>
      </c>
      <c r="BB99" s="4">
        <f>J99*(1-$AY$2)</f>
        <v>152.8530686</v>
      </c>
      <c r="BC99" s="4">
        <f>K99*(1+$AY$2)</f>
        <v>153.13996754999999</v>
      </c>
      <c r="BD99" s="4">
        <f>K99*(1-$AY$2)</f>
        <v>153.09403244999999</v>
      </c>
      <c r="BE99" s="4">
        <f>L99*(1+$AY$2)</f>
        <v>152.65489480000002</v>
      </c>
      <c r="BF99" s="4">
        <f>L99*(1-$AY$2)</f>
        <v>152.60910520000002</v>
      </c>
      <c r="BG99" s="4">
        <f>M99*(1+$AY$2)</f>
        <v>152.60388714999999</v>
      </c>
      <c r="BH99" s="4">
        <f>M99*(1-$AY$2)</f>
        <v>152.55811284999999</v>
      </c>
      <c r="BI99" s="4">
        <f>N99*(1+$AY$2)</f>
        <v>152.93993755000002</v>
      </c>
      <c r="BJ99" s="4">
        <f>N99*(1-$AY$2)</f>
        <v>152.89406245000001</v>
      </c>
      <c r="BK99" s="30">
        <f t="shared" si="93"/>
        <v>95</v>
      </c>
      <c r="BL99" s="15" t="str">
        <f t="shared" si="77"/>
        <v>-----</v>
      </c>
      <c r="BM99" s="15" t="str">
        <f t="shared" si="78"/>
        <v>-----</v>
      </c>
      <c r="BN99" s="15" t="str">
        <f t="shared" si="79"/>
        <v>-----</v>
      </c>
      <c r="BO99" s="15" t="str">
        <f t="shared" si="80"/>
        <v>TOUCH</v>
      </c>
      <c r="BP99" s="15" t="str">
        <f t="shared" si="81"/>
        <v>-----</v>
      </c>
      <c r="BQ99" s="15" t="str">
        <f t="shared" si="82"/>
        <v>-----</v>
      </c>
      <c r="BR99" s="22"/>
      <c r="BS99" s="9">
        <f t="shared" si="83"/>
        <v>-2.423265306122455E-3</v>
      </c>
      <c r="BT99" s="9">
        <f>SLOPE(J$5:J$103,$A$5:$A$103)</f>
        <v>-3.7194805194805478E-4</v>
      </c>
      <c r="BU99" s="9">
        <f>SLOPE(K$5:K$103,$A$5:$A$103)</f>
        <v>-1.6402721088435472E-3</v>
      </c>
      <c r="BV99" s="9">
        <f>SLOPE(L$5:L$103,$A$5:$A$103)</f>
        <v>7.6471243042669956E-4</v>
      </c>
      <c r="BW99" s="9">
        <f>SLOPE(M$5:M$103,$A$5:$A$103)</f>
        <v>-2.3081014223875058E-4</v>
      </c>
      <c r="BX99" s="9">
        <f>SLOPE(N$5:N$103,$A$5:$A$103)</f>
        <v>1.5802844774273381E-3</v>
      </c>
      <c r="BY99"/>
      <c r="BZ99" s="9">
        <f t="shared" si="95"/>
        <v>-1.9079214597220278</v>
      </c>
      <c r="CA99" s="9">
        <f t="shared" si="96"/>
        <v>-0.29295343676527091</v>
      </c>
      <c r="CB99" s="9">
        <f t="shared" si="97"/>
        <v>-1.2917022253843653</v>
      </c>
      <c r="CC99" s="9">
        <f t="shared" si="98"/>
        <v>0.60228527619529781</v>
      </c>
      <c r="CD99" s="9">
        <f t="shared" si="99"/>
        <v>-0.18179147971962978</v>
      </c>
      <c r="CE99" s="9">
        <f t="shared" si="100"/>
        <v>1.2444775446344229</v>
      </c>
      <c r="CF99"/>
      <c r="CG99" s="18" t="str" cm="1">
        <f t="array" ref="CG99">_xlfn.IFS(BZ99&gt;3,"Strong + Slope",BZ99&gt;1.5,"Moderate + Slope",BZ99&gt;0.5,"Sideway + Slope",BZ99&gt;=-0.5,"Sideway Flat",BZ99&gt;=-1.5,"Sideway - Slope",BZ99&gt;=-3,"Moderate - Slope",TRUE,"Strong - Slope")</f>
        <v>Moderate - Slope</v>
      </c>
      <c r="CH99" s="18" t="str" cm="1">
        <f t="array" ref="CH99">_xlfn.IFS(CA99&gt;3,"Strong + Slope",CA99&gt;1.5,"Moderate + Slope",CA99&gt;0.5,"Sideway + Slope",CA99&gt;=-0.5,"Sideway Flat",CA99&gt;=-1.5,"Sideway - Slope",CA99&gt;=-3,"Moderate - Slope",TRUE,"Strong - Slope")</f>
        <v>Sideway Flat</v>
      </c>
      <c r="CI99" s="18" t="str" cm="1">
        <f t="array" ref="CI99">_xlfn.IFS(CB99&gt;3,"Strong + Slope",CB99&gt;1.5,"Moderate + Slope",CB99&gt;0.5,"Sideway + Slope",CB99&gt;=-0.5,"Sideway Flat",CB99&gt;=-1.5,"Sideway - Slope",CB99&gt;=-3,"Moderate - Slope",TRUE,"Strong - Slope")</f>
        <v>Sideway - Slope</v>
      </c>
      <c r="CJ99" s="18" t="str" cm="1">
        <f t="array" ref="CJ99">_xlfn.IFS(CC99&gt;3,"Strong + Slope",CC99&gt;1.5,"Moderate + Slope",CC99&gt;0.5,"Sideway + Slope",CC99&gt;=-0.5,"Sideway Flat",CC99&gt;=-1.5,"Sideway - Slope",CC99&gt;=-3,"Moderate - Slope",TRUE,"Strong - Slope")</f>
        <v>Sideway + Slope</v>
      </c>
      <c r="CK99" s="18" t="str" cm="1">
        <f t="array" ref="CK99">_xlfn.IFS(CD99&gt;3,"Strong + Slope",CD99&gt;1.5,"Moderate + Slope",CD99&gt;0.5,"Sideway + Slope",CD99&gt;=-0.5,"Sideway Flat",CD99&gt;=-1.5,"Sideway - Slope",CD99&gt;=-3,"Moderate - Slope",TRUE,"Strong - Slope")</f>
        <v>Sideway Flat</v>
      </c>
      <c r="CL99" s="18" t="str" cm="1">
        <f t="array" ref="CL99">_xlfn.IFS(CE99&gt;3,"Strong + Slope",CE99&gt;1.5,"Moderate + Slope",CE99&gt;0.5,"Sideway + Slope",CE99&gt;=-0.5,"Sideway Flat",CE99&gt;=-1.5,"Sideway - Slope",CE99&gt;=-3,"Moderate - Slope",TRUE,"Strong - Slope")</f>
        <v>Sideway + Slope</v>
      </c>
      <c r="CM99" s="9"/>
      <c r="CN99" s="9">
        <f>RANK(I99,$I99:$N99,0)</f>
        <v>4</v>
      </c>
      <c r="CO99" s="9">
        <f>RANK(J99,$I99:$N99,0)</f>
        <v>3</v>
      </c>
      <c r="CP99" s="9">
        <f>RANK(K99,$I99:$N99,0)</f>
        <v>1</v>
      </c>
      <c r="CQ99" s="9">
        <f>RANK(L99,$I99:$N99,0)</f>
        <v>5</v>
      </c>
      <c r="CR99" s="9">
        <f>RANK(M99,$I99:$N99,0)</f>
        <v>6</v>
      </c>
      <c r="CS99" s="9">
        <f>RANK(N99,$I99:$N99,0)</f>
        <v>2</v>
      </c>
      <c r="CT99" s="9"/>
      <c r="CU99" s="9" t="str">
        <f>IF($H99&gt;I99,"SUP","RES")</f>
        <v>RES</v>
      </c>
      <c r="CV99" s="9" t="str">
        <f>IF($H99&gt;J99,"SUP","RES")</f>
        <v>RES</v>
      </c>
      <c r="CW99" s="9" t="str">
        <f>IF($H99&gt;K99,"SUP","RES")</f>
        <v>RES</v>
      </c>
      <c r="CX99" s="9" t="str">
        <f>IF($H99&gt;L99,"SUP","RES")</f>
        <v>SUP</v>
      </c>
      <c r="CY99" s="9" t="str">
        <f>IF($H99&gt;M99,"SUP","RES")</f>
        <v>SUP</v>
      </c>
      <c r="CZ99" s="9" t="str">
        <f>IF($H99&gt;N99,"SUP","RES")</f>
        <v>RES</v>
      </c>
      <c r="DA99" s="9"/>
      <c r="DB99" s="12">
        <f>(I99-$H99)/$H99</f>
        <v>7.203667321546408E-4</v>
      </c>
      <c r="DC99" s="12">
        <f>(J99-$H99)/$H99</f>
        <v>1.1525867714473881E-3</v>
      </c>
      <c r="DD99" s="12">
        <f>(K99-$H99)/$H99</f>
        <v>2.7308447937131738E-3</v>
      </c>
      <c r="DE99" s="12">
        <f>(L99-$H99)/$H99</f>
        <v>-4.4531761624088827E-4</v>
      </c>
      <c r="DF99" s="12">
        <f>(M99-$H99)/$H99</f>
        <v>-7.793058284217406E-4</v>
      </c>
      <c r="DG99" s="12">
        <f>(N99-$H99)/$H99</f>
        <v>1.421087098886791E-3</v>
      </c>
      <c r="DH99" s="12"/>
      <c r="DI99" s="12">
        <f>((H99-MIN(I99:N99))/(MAX(I99:N99)-MIN(I99:N99)))</f>
        <v>0.22201492537313333</v>
      </c>
      <c r="DJ99" s="13">
        <f t="shared" si="67"/>
        <v>4</v>
      </c>
      <c r="DK99" s="14">
        <f t="shared" si="68"/>
        <v>2</v>
      </c>
      <c r="DL99" s="12">
        <f t="shared" si="84"/>
        <v>2.7308447937131738E-3</v>
      </c>
      <c r="DM99" s="12">
        <f t="shared" si="85"/>
        <v>1.421087098886791E-3</v>
      </c>
      <c r="DN99" s="12">
        <f t="shared" si="86"/>
        <v>1.1525867714473881E-3</v>
      </c>
      <c r="DO99" s="12">
        <f t="shared" si="87"/>
        <v>7.203667321546408E-4</v>
      </c>
      <c r="DP99" s="12">
        <f t="shared" si="88"/>
        <v>-4.4531761624088827E-4</v>
      </c>
      <c r="DQ99" s="12">
        <f t="shared" si="89"/>
        <v>-7.793058284217406E-4</v>
      </c>
      <c r="DR99" s="9"/>
      <c r="DS99" s="9" t="str">
        <f>IF(AQ99&gt;AG99,"Overbought",IF(AQ99&gt;AI99,"Bullish Momentum",IF(AQ99&gt;AK99,"Overprice Setting Up","-----")))</f>
        <v>-----</v>
      </c>
      <c r="DT99" s="9" t="str">
        <f>IF(AQ99&lt;AP99,"Oversold",IF(AQ99&lt;AN99,"Bearish Momentum",IF(AQ99&lt;AL99,"Underprice Setting Up","-----")))</f>
        <v>Underprice Setting Up</v>
      </c>
      <c r="DU99" s="9"/>
      <c r="DV99" s="12" t="str">
        <f>IF(AND(AT99&gt;AU99,AT98&gt;AU98,AT97&gt;AU97,AT96&gt;AU96,AT95&gt;AU95,AT94&gt;AU94,AT93&gt;AU93,AT92&gt;AU92,AT91&gt;AU91,AT90&gt;AU90,AT89&gt;AU89,AT88&gt;AU88),"Bullish",IF(AND(AT99&lt;AU99,AT98&lt;AU98,AT97&lt;AU97,AT96&lt;AU96,AT95&lt;AU95,AT94&lt;AU94,AT93&lt;AU93,AT92&lt;AU92,AT91&lt;AU91,AT90&lt;AU90,AT89&lt;AU89,AT88&lt;AU88),"Bearish","-----"))</f>
        <v>Bearish</v>
      </c>
      <c r="DW99" s="12"/>
      <c r="DX99" s="23">
        <f>(AR99-AT99)/AT99</f>
        <v>-4.3869125956777304E-4</v>
      </c>
      <c r="DY99" s="23">
        <f t="shared" si="69"/>
        <v>3.3476660491808863E-2</v>
      </c>
      <c r="DZ99" s="23" t="str">
        <f t="shared" si="70"/>
        <v>-----</v>
      </c>
      <c r="EA99" s="23" t="str">
        <f>IF(AQ99&gt;AR99,"Bullish","Bearish")</f>
        <v>Bearish</v>
      </c>
      <c r="EB99" s="22" t="str">
        <f>IF(AND(H99&gt;AQ99,H98&lt;AQ98),"TEMA crossover","-----")</f>
        <v>-----</v>
      </c>
      <c r="EC99" s="22" t="str">
        <f>IF(AND(H99&lt;AQ99,H98&gt;AQ98),"TEMA crossunder","-----")</f>
        <v>-----</v>
      </c>
      <c r="ED99" s="22"/>
      <c r="EE99" s="24" t="str">
        <f t="shared" si="45"/>
        <v>YES</v>
      </c>
      <c r="EF99" s="24" t="str">
        <f t="shared" si="46"/>
        <v>-----</v>
      </c>
      <c r="EG99" s="24" t="str">
        <f t="shared" si="47"/>
        <v>-----</v>
      </c>
      <c r="EH99" s="24" t="str">
        <f t="shared" si="48"/>
        <v>YES</v>
      </c>
      <c r="EI99" s="25" t="str">
        <f>IF(DV99="Bullish","YES","-----")</f>
        <v>-----</v>
      </c>
      <c r="EJ99" s="25" t="str">
        <f>IF(DZ99="Reverse to Bullish","YES","-----")</f>
        <v>-----</v>
      </c>
      <c r="EK99" s="25" t="str">
        <f>IF(AND(EA99="Bearish",EA98="Bearish",EA97="Bearish",EA96="Bearish"),"YES","-----")</f>
        <v>YES</v>
      </c>
      <c r="EL99" s="25" t="str">
        <f>IF(OR(EC99="TEMA crossover",EC98="TEMA crossover",EC97="TEMA crossover",EC96="TEMA crossover"),"YES","-----")</f>
        <v>-----</v>
      </c>
      <c r="EM99" s="24" t="str">
        <f>IF(AND(EE99="YES",EF99="YES",EG99="YES",EH99="YES"),"Open Sell / Close Buy","-----")</f>
        <v>-----</v>
      </c>
      <c r="EN99" s="25" t="str">
        <f t="shared" si="94"/>
        <v>-----</v>
      </c>
      <c r="EO99" s="23"/>
      <c r="EP99" s="9" t="str">
        <f>IF(AND(H99&gt;AV99,H99&gt;E99),"Bullish Trigger","-----")</f>
        <v>Bullish Trigger</v>
      </c>
      <c r="EQ99" s="9" t="str">
        <f>IF(AND(H99&lt;AW99,H99&lt;E99),"Bearish Trigger","-----")</f>
        <v>-----</v>
      </c>
      <c r="ER99" s="9"/>
      <c r="ES99" s="9" t="str">
        <f>IF(G99&gt;AV99,"Bullish Spike","-----")</f>
        <v>-----</v>
      </c>
      <c r="ET99" s="9" t="str">
        <f>IF(F99&lt;AW99,"Bearish Spike","-----")</f>
        <v>-----</v>
      </c>
      <c r="EU99" s="9"/>
      <c r="EV99" s="20">
        <f t="shared" si="71"/>
        <v>3.6000000000001364E-2</v>
      </c>
      <c r="EW99" s="9">
        <f t="shared" si="90"/>
        <v>-0.91676318821606417</v>
      </c>
      <c r="EX99" s="21" t="str">
        <f t="shared" si="91"/>
        <v>-----</v>
      </c>
      <c r="EY99" s="9"/>
    </row>
    <row r="100" spans="1:155" x14ac:dyDescent="0.55000000000000004">
      <c r="A100">
        <v>96</v>
      </c>
      <c r="B100" t="s">
        <v>99</v>
      </c>
      <c r="C100" t="s">
        <v>4</v>
      </c>
      <c r="D100" t="s">
        <v>103</v>
      </c>
      <c r="E100">
        <v>152.69999999999999</v>
      </c>
      <c r="F100">
        <v>152.726</v>
      </c>
      <c r="G100">
        <v>152.68799999999999</v>
      </c>
      <c r="H100">
        <v>152.72200000000001</v>
      </c>
      <c r="I100">
        <v>152.80799999999999</v>
      </c>
      <c r="J100">
        <v>152.876</v>
      </c>
      <c r="K100">
        <v>153.11500000000001</v>
      </c>
      <c r="L100">
        <v>152.63300000000001</v>
      </c>
      <c r="M100">
        <v>152.58099999999999</v>
      </c>
      <c r="N100">
        <v>152.91800000000001</v>
      </c>
      <c r="O100" s="16">
        <f t="shared" si="66"/>
        <v>3.8000000000010914E-2</v>
      </c>
      <c r="P100" s="16">
        <f t="shared" si="72"/>
        <v>2.6000000000010459E-2</v>
      </c>
      <c r="Q100" s="16">
        <f t="shared" si="73"/>
        <v>1.2000000000000455E-2</v>
      </c>
      <c r="R100" s="16">
        <f t="shared" si="74"/>
        <v>3.8000000000010914E-2</v>
      </c>
      <c r="S100" s="16">
        <f t="shared" si="101"/>
        <v>4.5994176094109586E-2</v>
      </c>
      <c r="T100">
        <v>0</v>
      </c>
      <c r="U100">
        <v>0</v>
      </c>
      <c r="V100">
        <v>0</v>
      </c>
      <c r="W100">
        <v>0</v>
      </c>
      <c r="Y100" s="9" t="str">
        <f t="shared" si="75"/>
        <v>------</v>
      </c>
      <c r="Z100" s="9" t="str">
        <f t="shared" si="76"/>
        <v>------</v>
      </c>
      <c r="AA100" s="9"/>
      <c r="AB100">
        <v>0</v>
      </c>
      <c r="AD100" t="str">
        <f t="shared" si="58"/>
        <v/>
      </c>
      <c r="AE100">
        <v>0.51820999999999995</v>
      </c>
      <c r="AF100">
        <v>0</v>
      </c>
      <c r="AG100">
        <v>153.00206</v>
      </c>
      <c r="AH100">
        <v>152.9282</v>
      </c>
      <c r="AI100">
        <v>152.85434000000001</v>
      </c>
      <c r="AJ100">
        <v>152.78047000000001</v>
      </c>
      <c r="AK100">
        <v>152.70661000000001</v>
      </c>
      <c r="AL100">
        <v>152.66683</v>
      </c>
      <c r="AM100">
        <v>152.59297000000001</v>
      </c>
      <c r="AN100">
        <v>152.51910000000001</v>
      </c>
      <c r="AO100">
        <v>152.44524000000001</v>
      </c>
      <c r="AP100">
        <v>152.37137999999999</v>
      </c>
      <c r="AQ100">
        <v>152.678</v>
      </c>
      <c r="AR100">
        <v>152.661</v>
      </c>
      <c r="AS100">
        <f t="shared" si="92"/>
        <v>96</v>
      </c>
      <c r="AT100">
        <v>152.726</v>
      </c>
      <c r="AU100">
        <v>152.82499999999999</v>
      </c>
      <c r="AV100">
        <v>152.691</v>
      </c>
      <c r="AW100">
        <v>152.65600000000001</v>
      </c>
      <c r="AY100" s="4">
        <f>I100*(1+$AY$2)</f>
        <v>152.83092120000001</v>
      </c>
      <c r="AZ100" s="4">
        <f>I100*(1-$AY$2)</f>
        <v>152.78507880000001</v>
      </c>
      <c r="BA100" s="4">
        <f>J100*(1+$AY$2)</f>
        <v>152.89893140000001</v>
      </c>
      <c r="BB100" s="4">
        <f>J100*(1-$AY$2)</f>
        <v>152.8530686</v>
      </c>
      <c r="BC100" s="4">
        <f>K100*(1+$AY$2)</f>
        <v>153.13796725000003</v>
      </c>
      <c r="BD100" s="4">
        <f>K100*(1-$AY$2)</f>
        <v>153.09203275000002</v>
      </c>
      <c r="BE100" s="4">
        <f>L100*(1+$AY$2)</f>
        <v>152.65589495000003</v>
      </c>
      <c r="BF100" s="4">
        <f>L100*(1-$AY$2)</f>
        <v>152.61010505000002</v>
      </c>
      <c r="BG100" s="4">
        <f>M100*(1+$AY$2)</f>
        <v>152.60388714999999</v>
      </c>
      <c r="BH100" s="4">
        <f>M100*(1-$AY$2)</f>
        <v>152.55811284999999</v>
      </c>
      <c r="BI100" s="4">
        <f>N100*(1+$AY$2)</f>
        <v>152.94093770000003</v>
      </c>
      <c r="BJ100" s="4">
        <f>N100*(1-$AY$2)</f>
        <v>152.89506230000001</v>
      </c>
      <c r="BK100" s="30">
        <f t="shared" si="93"/>
        <v>96</v>
      </c>
      <c r="BL100" s="15" t="str">
        <f t="shared" si="77"/>
        <v>-----</v>
      </c>
      <c r="BM100" s="15" t="str">
        <f t="shared" si="78"/>
        <v>-----</v>
      </c>
      <c r="BN100" s="15" t="str">
        <f t="shared" si="79"/>
        <v>-----</v>
      </c>
      <c r="BO100" s="15" t="str">
        <f t="shared" si="80"/>
        <v>-----</v>
      </c>
      <c r="BP100" s="15" t="str">
        <f t="shared" si="81"/>
        <v>-----</v>
      </c>
      <c r="BQ100" s="15" t="str">
        <f t="shared" si="82"/>
        <v>-----</v>
      </c>
      <c r="BR100" s="22"/>
      <c r="BS100" s="9">
        <f t="shared" si="83"/>
        <v>-2.423265306122455E-3</v>
      </c>
      <c r="BT100" s="9">
        <f>SLOPE(J$5:J$103,$A$5:$A$103)</f>
        <v>-3.7194805194805478E-4</v>
      </c>
      <c r="BU100" s="9">
        <f>SLOPE(K$5:K$103,$A$5:$A$103)</f>
        <v>-1.6402721088435472E-3</v>
      </c>
      <c r="BV100" s="9">
        <f>SLOPE(L$5:L$103,$A$5:$A$103)</f>
        <v>7.6471243042669956E-4</v>
      </c>
      <c r="BW100" s="9">
        <f>SLOPE(M$5:M$103,$A$5:$A$103)</f>
        <v>-2.3081014223875058E-4</v>
      </c>
      <c r="BX100" s="9">
        <f>SLOPE(N$5:N$103,$A$5:$A$103)</f>
        <v>1.5802844774273381E-3</v>
      </c>
      <c r="BY100"/>
      <c r="BZ100" s="9">
        <f t="shared" si="95"/>
        <v>-1.9079214597220278</v>
      </c>
      <c r="CA100" s="9">
        <f t="shared" si="96"/>
        <v>-0.29295343676527091</v>
      </c>
      <c r="CB100" s="9">
        <f t="shared" si="97"/>
        <v>-1.2917022253843653</v>
      </c>
      <c r="CC100" s="9">
        <f t="shared" si="98"/>
        <v>0.60228527619529781</v>
      </c>
      <c r="CD100" s="9">
        <f t="shared" si="99"/>
        <v>-0.18179147971962978</v>
      </c>
      <c r="CE100" s="9">
        <f t="shared" si="100"/>
        <v>1.2444775446344229</v>
      </c>
      <c r="CF100"/>
      <c r="CG100" s="18" t="str" cm="1">
        <f t="array" ref="CG100">_xlfn.IFS(BZ100&gt;3,"Strong + Slope",BZ100&gt;1.5,"Moderate + Slope",BZ100&gt;0.5,"Sideway + Slope",BZ100&gt;=-0.5,"Sideway Flat",BZ100&gt;=-1.5,"Sideway - Slope",BZ100&gt;=-3,"Moderate - Slope",TRUE,"Strong - Slope")</f>
        <v>Moderate - Slope</v>
      </c>
      <c r="CH100" s="18" t="str" cm="1">
        <f t="array" ref="CH100">_xlfn.IFS(CA100&gt;3,"Strong + Slope",CA100&gt;1.5,"Moderate + Slope",CA100&gt;0.5,"Sideway + Slope",CA100&gt;=-0.5,"Sideway Flat",CA100&gt;=-1.5,"Sideway - Slope",CA100&gt;=-3,"Moderate - Slope",TRUE,"Strong - Slope")</f>
        <v>Sideway Flat</v>
      </c>
      <c r="CI100" s="18" t="str" cm="1">
        <f t="array" ref="CI100">_xlfn.IFS(CB100&gt;3,"Strong + Slope",CB100&gt;1.5,"Moderate + Slope",CB100&gt;0.5,"Sideway + Slope",CB100&gt;=-0.5,"Sideway Flat",CB100&gt;=-1.5,"Sideway - Slope",CB100&gt;=-3,"Moderate - Slope",TRUE,"Strong - Slope")</f>
        <v>Sideway - Slope</v>
      </c>
      <c r="CJ100" s="18" t="str" cm="1">
        <f t="array" ref="CJ100">_xlfn.IFS(CC100&gt;3,"Strong + Slope",CC100&gt;1.5,"Moderate + Slope",CC100&gt;0.5,"Sideway + Slope",CC100&gt;=-0.5,"Sideway Flat",CC100&gt;=-1.5,"Sideway - Slope",CC100&gt;=-3,"Moderate - Slope",TRUE,"Strong - Slope")</f>
        <v>Sideway + Slope</v>
      </c>
      <c r="CK100" s="18" t="str" cm="1">
        <f t="array" ref="CK100">_xlfn.IFS(CD100&gt;3,"Strong + Slope",CD100&gt;1.5,"Moderate + Slope",CD100&gt;0.5,"Sideway + Slope",CD100&gt;=-0.5,"Sideway Flat",CD100&gt;=-1.5,"Sideway - Slope",CD100&gt;=-3,"Moderate - Slope",TRUE,"Strong - Slope")</f>
        <v>Sideway Flat</v>
      </c>
      <c r="CL100" s="18" t="str" cm="1">
        <f t="array" ref="CL100">_xlfn.IFS(CE100&gt;3,"Strong + Slope",CE100&gt;1.5,"Moderate + Slope",CE100&gt;0.5,"Sideway + Slope",CE100&gt;=-0.5,"Sideway Flat",CE100&gt;=-1.5,"Sideway - Slope",CE100&gt;=-3,"Moderate - Slope",TRUE,"Strong - Slope")</f>
        <v>Sideway + Slope</v>
      </c>
      <c r="CM100" s="9"/>
      <c r="CN100" s="9">
        <f>RANK(I100,$I100:$N100,0)</f>
        <v>4</v>
      </c>
      <c r="CO100" s="9">
        <f>RANK(J100,$I100:$N100,0)</f>
        <v>3</v>
      </c>
      <c r="CP100" s="9">
        <f>RANK(K100,$I100:$N100,0)</f>
        <v>1</v>
      </c>
      <c r="CQ100" s="9">
        <f>RANK(L100,$I100:$N100,0)</f>
        <v>5</v>
      </c>
      <c r="CR100" s="9">
        <f>RANK(M100,$I100:$N100,0)</f>
        <v>6</v>
      </c>
      <c r="CS100" s="9">
        <f>RANK(N100,$I100:$N100,0)</f>
        <v>2</v>
      </c>
      <c r="CT100" s="9"/>
      <c r="CU100" s="9" t="str">
        <f>IF($H100&gt;I100,"SUP","RES")</f>
        <v>RES</v>
      </c>
      <c r="CV100" s="9" t="str">
        <f>IF($H100&gt;J100,"SUP","RES")</f>
        <v>RES</v>
      </c>
      <c r="CW100" s="9" t="str">
        <f>IF($H100&gt;K100,"SUP","RES")</f>
        <v>RES</v>
      </c>
      <c r="CX100" s="9" t="str">
        <f>IF($H100&gt;L100,"SUP","RES")</f>
        <v>SUP</v>
      </c>
      <c r="CY100" s="9" t="str">
        <f>IF($H100&gt;M100,"SUP","RES")</f>
        <v>SUP</v>
      </c>
      <c r="CZ100" s="9" t="str">
        <f>IF($H100&gt;N100,"SUP","RES")</f>
        <v>RES</v>
      </c>
      <c r="DA100" s="9"/>
      <c r="DB100" s="12">
        <f>(I100-$H100)/$H100</f>
        <v>5.6311467895905183E-4</v>
      </c>
      <c r="DC100" s="12">
        <f>(J100-$H100)/$H100</f>
        <v>1.0083681460431133E-3</v>
      </c>
      <c r="DD100" s="12">
        <f>(K100-$H100)/$H100</f>
        <v>2.5733031259412569E-3</v>
      </c>
      <c r="DE100" s="12">
        <f>(L100-$H100)/$H100</f>
        <v>-5.8275821427167425E-4</v>
      </c>
      <c r="DF100" s="12">
        <f>(M100-$H100)/$H100</f>
        <v>-9.2324615968897435E-4</v>
      </c>
      <c r="DG100" s="12">
        <f>(N100-$H100)/$H100</f>
        <v>1.2833776404185249E-3</v>
      </c>
      <c r="DH100" s="12"/>
      <c r="DI100" s="12">
        <f>((H100-MIN(I100:N100))/(MAX(I100:N100)-MIN(I100:N100)))</f>
        <v>0.26404494382025134</v>
      </c>
      <c r="DJ100" s="13">
        <f t="shared" si="67"/>
        <v>4</v>
      </c>
      <c r="DK100" s="14">
        <f t="shared" si="68"/>
        <v>2</v>
      </c>
      <c r="DL100" s="12">
        <f t="shared" si="84"/>
        <v>2.5733031259412569E-3</v>
      </c>
      <c r="DM100" s="12">
        <f t="shared" si="85"/>
        <v>1.2833776404185249E-3</v>
      </c>
      <c r="DN100" s="12">
        <f t="shared" si="86"/>
        <v>1.0083681460431133E-3</v>
      </c>
      <c r="DO100" s="12">
        <f t="shared" si="87"/>
        <v>5.6311467895905183E-4</v>
      </c>
      <c r="DP100" s="12">
        <f t="shared" si="88"/>
        <v>-5.8275821427167425E-4</v>
      </c>
      <c r="DQ100" s="12">
        <f t="shared" si="89"/>
        <v>-9.2324615968897435E-4</v>
      </c>
      <c r="DR100" s="9"/>
      <c r="DS100" s="9" t="str">
        <f>IF(AQ100&gt;AG100,"Overbought",IF(AQ100&gt;AI100,"Bullish Momentum",IF(AQ100&gt;AK100,"Overprice Setting Up","-----")))</f>
        <v>-----</v>
      </c>
      <c r="DT100" s="9" t="str">
        <f>IF(AQ100&lt;AP100,"Oversold",IF(AQ100&lt;AN100,"Bearish Momentum",IF(AQ100&lt;AL100,"Underprice Setting Up","-----")))</f>
        <v>-----</v>
      </c>
      <c r="DU100" s="9"/>
      <c r="DV100" s="12" t="str">
        <f>IF(AND(AT100&gt;AU100,AT99&gt;AU99,AT98&gt;AU98,AT97&gt;AU97,AT96&gt;AU96,AT95&gt;AU95,AT94&gt;AU94,AT93&gt;AU93,AT92&gt;AU92,AT91&gt;AU91,AT90&gt;AU90,AT89&gt;AU89),"Bullish",IF(AND(AT100&lt;AU100,AT99&lt;AU99,AT98&lt;AU98,AT97&lt;AU97,AT96&lt;AU96,AT95&lt;AU95,AT94&lt;AU94,AT93&lt;AU93,AT92&lt;AU92,AT91&lt;AU91,AT90&lt;AU90,AT89&lt;AU89),"Bearish","-----"))</f>
        <v>Bearish</v>
      </c>
      <c r="DW100" s="12"/>
      <c r="DX100" s="23">
        <f>(AR100-AT100)/AT100</f>
        <v>-4.2559878475176283E-4</v>
      </c>
      <c r="DY100" s="23">
        <f t="shared" si="69"/>
        <v>7.123604884391585E-2</v>
      </c>
      <c r="DZ100" s="23" t="str">
        <f t="shared" si="70"/>
        <v>-----</v>
      </c>
      <c r="EA100" s="23" t="str">
        <f>IF(AQ100&gt;AR100,"Bullish","Bearish")</f>
        <v>Bullish</v>
      </c>
      <c r="EB100" s="22" t="str">
        <f>IF(AND(H100&gt;AQ100,H99&lt;AQ99),"TEMA crossover","-----")</f>
        <v>-----</v>
      </c>
      <c r="EC100" s="22" t="str">
        <f>IF(AND(H100&lt;AQ100,H99&gt;AQ99),"TEMA crossunder","-----")</f>
        <v>-----</v>
      </c>
      <c r="ED100" s="22"/>
      <c r="EE100" s="24" t="str">
        <f t="shared" ref="EE100:EE103" si="102">IF(DV100="Bearish","YES","-----")</f>
        <v>YES</v>
      </c>
      <c r="EF100" s="24" t="str">
        <f t="shared" ref="EF100:EF103" si="103">IF(DZ100="Reverse to Bearish","YES","-----")</f>
        <v>-----</v>
      </c>
      <c r="EG100" s="24" t="str">
        <f t="shared" ref="EG100:EG103" si="104">IF(AND(EA100="Bullish",EA99="Bullish",EA98="Bullish",EA97="Bullish"),"YES","-----")</f>
        <v>-----</v>
      </c>
      <c r="EH100" s="24" t="str">
        <f t="shared" ref="EH100:EH103" si="105">IF(OR(EC100="TEMA crossunder",EC99="TEMA crossunder",EC98="TEMA crossunder",EC97="TEMA crossunder"),"YES","-----")</f>
        <v>-----</v>
      </c>
      <c r="EI100" s="25" t="str">
        <f>IF(DV100="Bullish","YES","-----")</f>
        <v>-----</v>
      </c>
      <c r="EJ100" s="25" t="str">
        <f>IF(DZ100="Reverse to Bullish","YES","-----")</f>
        <v>-----</v>
      </c>
      <c r="EK100" s="25" t="str">
        <f>IF(AND(EA100="Bearish",EA99="Bearish",EA98="Bearish",EA97="Bearish"),"YES","-----")</f>
        <v>-----</v>
      </c>
      <c r="EL100" s="25" t="str">
        <f>IF(OR(EC100="TEMA crossover",EC99="TEMA crossover",EC98="TEMA crossover",EC97="TEMA crossover"),"YES","-----")</f>
        <v>-----</v>
      </c>
      <c r="EM100" s="24" t="str">
        <f>IF(AND(EE100="YES",EF100="YES",EG100="YES",EH100="YES"),"Open Sell / Close Buy","-----")</f>
        <v>-----</v>
      </c>
      <c r="EN100" s="25" t="str">
        <f t="shared" si="94"/>
        <v>-----</v>
      </c>
      <c r="EO100" s="23"/>
      <c r="EP100" s="9" t="str">
        <f>IF(AND(H100&gt;AV100,H100&gt;E100),"Bullish Trigger","-----")</f>
        <v>Bullish Trigger</v>
      </c>
      <c r="EQ100" s="9" t="str">
        <f>IF(AND(H100&lt;AW100,H100&lt;E100),"Bearish Trigger","-----")</f>
        <v>-----</v>
      </c>
      <c r="ER100" s="9"/>
      <c r="ES100" s="9" t="str">
        <f>IF(G100&gt;AV100,"Bullish Spike","-----")</f>
        <v>-----</v>
      </c>
      <c r="ET100" s="9" t="str">
        <f>IF(F100&lt;AW100,"Bearish Spike","-----")</f>
        <v>-----</v>
      </c>
      <c r="EU100" s="9"/>
      <c r="EV100" s="20">
        <f t="shared" si="71"/>
        <v>3.4999999999996589E-2</v>
      </c>
      <c r="EW100" s="9">
        <f t="shared" si="90"/>
        <v>-0.93981030747300232</v>
      </c>
      <c r="EX100" s="21" t="str">
        <f t="shared" si="91"/>
        <v>-----</v>
      </c>
      <c r="EY100" s="9"/>
    </row>
    <row r="101" spans="1:155" x14ac:dyDescent="0.55000000000000004">
      <c r="A101">
        <v>97</v>
      </c>
      <c r="B101" t="s">
        <v>100</v>
      </c>
      <c r="C101" t="s">
        <v>4</v>
      </c>
      <c r="D101" t="s">
        <v>103</v>
      </c>
      <c r="E101">
        <v>152.72200000000001</v>
      </c>
      <c r="F101">
        <v>152.72200000000001</v>
      </c>
      <c r="G101">
        <v>152.69200000000001</v>
      </c>
      <c r="H101">
        <v>152.69200000000001</v>
      </c>
      <c r="I101">
        <v>152.80600000000001</v>
      </c>
      <c r="J101">
        <v>152.875</v>
      </c>
      <c r="K101">
        <v>153.113</v>
      </c>
      <c r="L101">
        <v>152.63399999999999</v>
      </c>
      <c r="M101">
        <v>152.58099999999999</v>
      </c>
      <c r="N101">
        <v>152.91999999999999</v>
      </c>
      <c r="O101" s="16">
        <f t="shared" si="66"/>
        <v>3.0000000000001137E-2</v>
      </c>
      <c r="P101" s="16">
        <f t="shared" si="72"/>
        <v>0</v>
      </c>
      <c r="Q101" s="16">
        <f t="shared" si="73"/>
        <v>3.0000000000001137E-2</v>
      </c>
      <c r="R101" s="16">
        <f t="shared" si="74"/>
        <v>3.0000000000001137E-2</v>
      </c>
      <c r="S101" s="16">
        <f t="shared" si="101"/>
        <v>4.4851734944530416E-2</v>
      </c>
      <c r="T101">
        <v>0</v>
      </c>
      <c r="U101">
        <v>0</v>
      </c>
      <c r="V101">
        <v>0</v>
      </c>
      <c r="W101">
        <v>0</v>
      </c>
      <c r="Y101" s="9" t="str">
        <f t="shared" si="75"/>
        <v>------</v>
      </c>
      <c r="Z101" s="9" t="str">
        <f t="shared" si="76"/>
        <v>------</v>
      </c>
      <c r="AA101" s="9"/>
      <c r="AB101">
        <v>0</v>
      </c>
      <c r="AD101" t="str">
        <f t="shared" si="58"/>
        <v/>
      </c>
      <c r="AE101">
        <v>0.32292999999999999</v>
      </c>
      <c r="AF101">
        <v>3</v>
      </c>
      <c r="AG101">
        <v>152.99537000000001</v>
      </c>
      <c r="AH101">
        <v>152.92214000000001</v>
      </c>
      <c r="AI101">
        <v>152.84890999999999</v>
      </c>
      <c r="AJ101">
        <v>152.77566999999999</v>
      </c>
      <c r="AK101">
        <v>152.70244</v>
      </c>
      <c r="AL101">
        <v>152.66322</v>
      </c>
      <c r="AM101">
        <v>152.58998</v>
      </c>
      <c r="AN101">
        <v>152.51675</v>
      </c>
      <c r="AO101">
        <v>152.44351</v>
      </c>
      <c r="AP101">
        <v>152.37028000000001</v>
      </c>
      <c r="AQ101">
        <v>152.69</v>
      </c>
      <c r="AR101">
        <v>152.66499999999999</v>
      </c>
      <c r="AS101">
        <f t="shared" si="92"/>
        <v>97</v>
      </c>
      <c r="AT101">
        <v>152.72399999999999</v>
      </c>
      <c r="AU101">
        <v>152.821</v>
      </c>
      <c r="AV101">
        <v>152.70500000000001</v>
      </c>
      <c r="AW101">
        <v>152.67400000000001</v>
      </c>
      <c r="AY101" s="4">
        <f>I101*(1+$AY$2)</f>
        <v>152.82892090000001</v>
      </c>
      <c r="AZ101" s="4">
        <f>I101*(1-$AY$2)</f>
        <v>152.78307910000001</v>
      </c>
      <c r="BA101" s="4">
        <f>J101*(1+$AY$2)</f>
        <v>152.89793125000003</v>
      </c>
      <c r="BB101" s="4">
        <f>J101*(1-$AY$2)</f>
        <v>152.85206875</v>
      </c>
      <c r="BC101" s="4">
        <f>K101*(1+$AY$2)</f>
        <v>153.13596695000001</v>
      </c>
      <c r="BD101" s="4">
        <f>K101*(1-$AY$2)</f>
        <v>153.09003304999999</v>
      </c>
      <c r="BE101" s="4">
        <f>L101*(1+$AY$2)</f>
        <v>152.65689510000001</v>
      </c>
      <c r="BF101" s="4">
        <f>L101*(1-$AY$2)</f>
        <v>152.61110489999999</v>
      </c>
      <c r="BG101" s="4">
        <f>M101*(1+$AY$2)</f>
        <v>152.60388714999999</v>
      </c>
      <c r="BH101" s="4">
        <f>M101*(1-$AY$2)</f>
        <v>152.55811284999999</v>
      </c>
      <c r="BI101" s="4">
        <f>N101*(1+$AY$2)</f>
        <v>152.942938</v>
      </c>
      <c r="BJ101" s="4">
        <f>N101*(1-$AY$2)</f>
        <v>152.89706199999998</v>
      </c>
      <c r="BK101" s="30">
        <f t="shared" si="93"/>
        <v>97</v>
      </c>
      <c r="BL101" s="15" t="str">
        <f t="shared" si="77"/>
        <v>-----</v>
      </c>
      <c r="BM101" s="15" t="str">
        <f t="shared" si="78"/>
        <v>-----</v>
      </c>
      <c r="BN101" s="15" t="str">
        <f t="shared" si="79"/>
        <v>-----</v>
      </c>
      <c r="BO101" s="15" t="str">
        <f t="shared" si="80"/>
        <v>-----</v>
      </c>
      <c r="BP101" s="15" t="str">
        <f t="shared" si="81"/>
        <v>-----</v>
      </c>
      <c r="BQ101" s="15" t="str">
        <f t="shared" si="82"/>
        <v>-----</v>
      </c>
      <c r="BR101" s="22"/>
      <c r="BS101" s="9">
        <f t="shared" si="83"/>
        <v>-2.423265306122455E-3</v>
      </c>
      <c r="BT101" s="9">
        <f>SLOPE(J$5:J$103,$A$5:$A$103)</f>
        <v>-3.7194805194805478E-4</v>
      </c>
      <c r="BU101" s="9">
        <f>SLOPE(K$5:K$103,$A$5:$A$103)</f>
        <v>-1.6402721088435472E-3</v>
      </c>
      <c r="BV101" s="9">
        <f>SLOPE(L$5:L$103,$A$5:$A$103)</f>
        <v>7.6471243042669956E-4</v>
      </c>
      <c r="BW101" s="9">
        <f>SLOPE(M$5:M$103,$A$5:$A$103)</f>
        <v>-2.3081014223875058E-4</v>
      </c>
      <c r="BX101" s="9">
        <f>SLOPE(N$5:N$103,$A$5:$A$103)</f>
        <v>1.5802844774273381E-3</v>
      </c>
      <c r="BY101"/>
      <c r="BZ101" s="9">
        <f t="shared" si="95"/>
        <v>-1.9079214597220278</v>
      </c>
      <c r="CA101" s="9">
        <f t="shared" si="96"/>
        <v>-0.29295343676527091</v>
      </c>
      <c r="CB101" s="9">
        <f t="shared" si="97"/>
        <v>-1.2917022253843653</v>
      </c>
      <c r="CC101" s="9">
        <f t="shared" si="98"/>
        <v>0.60228527619529781</v>
      </c>
      <c r="CD101" s="9">
        <f t="shared" si="99"/>
        <v>-0.18179147971962978</v>
      </c>
      <c r="CE101" s="9">
        <f t="shared" si="100"/>
        <v>1.2444775446344229</v>
      </c>
      <c r="CF101"/>
      <c r="CG101" s="18" t="str" cm="1">
        <f t="array" ref="CG101">_xlfn.IFS(BZ101&gt;3,"Strong + Slope",BZ101&gt;1.5,"Moderate + Slope",BZ101&gt;0.5,"Sideway + Slope",BZ101&gt;=-0.5,"Sideway Flat",BZ101&gt;=-1.5,"Sideway - Slope",BZ101&gt;=-3,"Moderate - Slope",TRUE,"Strong - Slope")</f>
        <v>Moderate - Slope</v>
      </c>
      <c r="CH101" s="18" t="str" cm="1">
        <f t="array" ref="CH101">_xlfn.IFS(CA101&gt;3,"Strong + Slope",CA101&gt;1.5,"Moderate + Slope",CA101&gt;0.5,"Sideway + Slope",CA101&gt;=-0.5,"Sideway Flat",CA101&gt;=-1.5,"Sideway - Slope",CA101&gt;=-3,"Moderate - Slope",TRUE,"Strong - Slope")</f>
        <v>Sideway Flat</v>
      </c>
      <c r="CI101" s="18" t="str" cm="1">
        <f t="array" ref="CI101">_xlfn.IFS(CB101&gt;3,"Strong + Slope",CB101&gt;1.5,"Moderate + Slope",CB101&gt;0.5,"Sideway + Slope",CB101&gt;=-0.5,"Sideway Flat",CB101&gt;=-1.5,"Sideway - Slope",CB101&gt;=-3,"Moderate - Slope",TRUE,"Strong - Slope")</f>
        <v>Sideway - Slope</v>
      </c>
      <c r="CJ101" s="18" t="str" cm="1">
        <f t="array" ref="CJ101">_xlfn.IFS(CC101&gt;3,"Strong + Slope",CC101&gt;1.5,"Moderate + Slope",CC101&gt;0.5,"Sideway + Slope",CC101&gt;=-0.5,"Sideway Flat",CC101&gt;=-1.5,"Sideway - Slope",CC101&gt;=-3,"Moderate - Slope",TRUE,"Strong - Slope")</f>
        <v>Sideway + Slope</v>
      </c>
      <c r="CK101" s="18" t="str" cm="1">
        <f t="array" ref="CK101">_xlfn.IFS(CD101&gt;3,"Strong + Slope",CD101&gt;1.5,"Moderate + Slope",CD101&gt;0.5,"Sideway + Slope",CD101&gt;=-0.5,"Sideway Flat",CD101&gt;=-1.5,"Sideway - Slope",CD101&gt;=-3,"Moderate - Slope",TRUE,"Strong - Slope")</f>
        <v>Sideway Flat</v>
      </c>
      <c r="CL101" s="18" t="str" cm="1">
        <f t="array" ref="CL101">_xlfn.IFS(CE101&gt;3,"Strong + Slope",CE101&gt;1.5,"Moderate + Slope",CE101&gt;0.5,"Sideway + Slope",CE101&gt;=-0.5,"Sideway Flat",CE101&gt;=-1.5,"Sideway - Slope",CE101&gt;=-3,"Moderate - Slope",TRUE,"Strong - Slope")</f>
        <v>Sideway + Slope</v>
      </c>
      <c r="CM101" s="9"/>
      <c r="CN101" s="9">
        <f>RANK(I101,$I101:$N101,0)</f>
        <v>4</v>
      </c>
      <c r="CO101" s="9">
        <f>RANK(J101,$I101:$N101,0)</f>
        <v>3</v>
      </c>
      <c r="CP101" s="9">
        <f>RANK(K101,$I101:$N101,0)</f>
        <v>1</v>
      </c>
      <c r="CQ101" s="9">
        <f>RANK(L101,$I101:$N101,0)</f>
        <v>5</v>
      </c>
      <c r="CR101" s="9">
        <f>RANK(M101,$I101:$N101,0)</f>
        <v>6</v>
      </c>
      <c r="CS101" s="9">
        <f>RANK(N101,$I101:$N101,0)</f>
        <v>2</v>
      </c>
      <c r="CT101" s="9"/>
      <c r="CU101" s="9" t="str">
        <f>IF($H101&gt;I101,"SUP","RES")</f>
        <v>RES</v>
      </c>
      <c r="CV101" s="9" t="str">
        <f>IF($H101&gt;J101,"SUP","RES")</f>
        <v>RES</v>
      </c>
      <c r="CW101" s="9" t="str">
        <f>IF($H101&gt;K101,"SUP","RES")</f>
        <v>RES</v>
      </c>
      <c r="CX101" s="9" t="str">
        <f>IF($H101&gt;L101,"SUP","RES")</f>
        <v>SUP</v>
      </c>
      <c r="CY101" s="9" t="str">
        <f>IF($H101&gt;M101,"SUP","RES")</f>
        <v>SUP</v>
      </c>
      <c r="CZ101" s="9" t="str">
        <f>IF($H101&gt;N101,"SUP","RES")</f>
        <v>RES</v>
      </c>
      <c r="DA101" s="9"/>
      <c r="DB101" s="12">
        <f>(I101-$H101)/$H101</f>
        <v>7.4660100070733442E-4</v>
      </c>
      <c r="DC101" s="12">
        <f>(J101-$H101)/$H101</f>
        <v>1.1984910800827333E-3</v>
      </c>
      <c r="DD101" s="12">
        <f>(K101-$H101)/$H101</f>
        <v>2.7571843973488606E-3</v>
      </c>
      <c r="DE101" s="12">
        <f>(L101-$H101)/$H101</f>
        <v>-3.7984963193894337E-4</v>
      </c>
      <c r="DF101" s="12">
        <f>(M101-$H101)/$H101</f>
        <v>-7.2695360595197134E-4</v>
      </c>
      <c r="DG101" s="12">
        <f>(N101-$H101)/$H101</f>
        <v>1.4932020014144828E-3</v>
      </c>
      <c r="DH101" s="12"/>
      <c r="DI101" s="12">
        <f>((H101-MIN(I101:N101))/(MAX(I101:N101)-MIN(I101:N101)))</f>
        <v>0.20864661654138381</v>
      </c>
      <c r="DJ101" s="13">
        <f t="shared" si="67"/>
        <v>4</v>
      </c>
      <c r="DK101" s="14">
        <f t="shared" si="68"/>
        <v>2</v>
      </c>
      <c r="DL101" s="12">
        <f t="shared" si="84"/>
        <v>2.7571843973488606E-3</v>
      </c>
      <c r="DM101" s="12">
        <f t="shared" si="85"/>
        <v>1.4932020014144828E-3</v>
      </c>
      <c r="DN101" s="12">
        <f t="shared" si="86"/>
        <v>1.1984910800827333E-3</v>
      </c>
      <c r="DO101" s="12">
        <f t="shared" si="87"/>
        <v>7.4660100070733442E-4</v>
      </c>
      <c r="DP101" s="12">
        <f t="shared" si="88"/>
        <v>-3.7984963193894337E-4</v>
      </c>
      <c r="DQ101" s="12">
        <f t="shared" si="89"/>
        <v>-7.2695360595197134E-4</v>
      </c>
      <c r="DR101" s="9"/>
      <c r="DS101" s="9" t="str">
        <f>IF(AQ101&gt;AG101,"Overbought",IF(AQ101&gt;AI101,"Bullish Momentum",IF(AQ101&gt;AK101,"Overprice Setting Up","-----")))</f>
        <v>-----</v>
      </c>
      <c r="DT101" s="9" t="str">
        <f>IF(AQ101&lt;AP101,"Oversold",IF(AQ101&lt;AN101,"Bearish Momentum",IF(AQ101&lt;AL101,"Underprice Setting Up","-----")))</f>
        <v>-----</v>
      </c>
      <c r="DU101" s="9"/>
      <c r="DV101" s="12" t="str">
        <f>IF(AND(AT101&gt;AU101,AT100&gt;AU100,AT99&gt;AU99,AT98&gt;AU98,AT97&gt;AU97,AT96&gt;AU96,AT95&gt;AU95,AT94&gt;AU94,AT93&gt;AU93,AT92&gt;AU92,AT91&gt;AU91,AT90&gt;AU90),"Bullish",IF(AND(AT101&lt;AU101,AT100&lt;AU100,AT99&lt;AU99,AT98&lt;AU98,AT97&lt;AU97,AT96&lt;AU96,AT95&lt;AU95,AT94&lt;AU94,AT93&lt;AU93,AT92&lt;AU92,AT91&lt;AU91,AT90&lt;AU90),"Bearish","-----"))</f>
        <v>Bearish</v>
      </c>
      <c r="DW101" s="12"/>
      <c r="DX101" s="23">
        <f>(AR101-AT101)/AT101</f>
        <v>-3.863178020481228E-4</v>
      </c>
      <c r="DY101" s="23">
        <f t="shared" ref="DY101:DY103" si="106">STANDARDIZE(DX101,AVERAGE($DX$5:$DX$103),_xlfn.STDEV.P($DX$5:$DX$103))</f>
        <v>0.18452447609720862</v>
      </c>
      <c r="DZ101" s="23" t="str">
        <f t="shared" si="70"/>
        <v>-----</v>
      </c>
      <c r="EA101" s="23" t="str">
        <f>IF(AQ101&gt;AR101,"Bullish","Bearish")</f>
        <v>Bullish</v>
      </c>
      <c r="EB101" s="22" t="str">
        <f>IF(AND(H101&gt;AQ101,H100&lt;AQ100),"TEMA crossover","-----")</f>
        <v>-----</v>
      </c>
      <c r="EC101" s="22" t="str">
        <f>IF(AND(H101&lt;AQ101,H100&gt;AQ100),"TEMA crossunder","-----")</f>
        <v>-----</v>
      </c>
      <c r="ED101" s="22"/>
      <c r="EE101" s="24" t="str">
        <f t="shared" si="102"/>
        <v>YES</v>
      </c>
      <c r="EF101" s="24" t="str">
        <f t="shared" si="103"/>
        <v>-----</v>
      </c>
      <c r="EG101" s="24" t="str">
        <f t="shared" si="104"/>
        <v>-----</v>
      </c>
      <c r="EH101" s="24" t="str">
        <f t="shared" si="105"/>
        <v>-----</v>
      </c>
      <c r="EI101" s="25" t="str">
        <f>IF(DV101="Bullish","YES","-----")</f>
        <v>-----</v>
      </c>
      <c r="EJ101" s="25" t="str">
        <f>IF(DZ101="Reverse to Bullish","YES","-----")</f>
        <v>-----</v>
      </c>
      <c r="EK101" s="25" t="str">
        <f>IF(AND(EA101="Bearish",EA100="Bearish",EA99="Bearish",EA98="Bearish"),"YES","-----")</f>
        <v>-----</v>
      </c>
      <c r="EL101" s="25" t="str">
        <f>IF(OR(EC101="TEMA crossover",EC100="TEMA crossover",EC99="TEMA crossover",EC98="TEMA crossover"),"YES","-----")</f>
        <v>-----</v>
      </c>
      <c r="EM101" s="24" t="str">
        <f>IF(AND(EE101="YES",EF101="YES",EG101="YES",EH101="YES"),"Open Sell / Close Buy","-----")</f>
        <v>-----</v>
      </c>
      <c r="EN101" s="25" t="str">
        <f t="shared" si="94"/>
        <v>-----</v>
      </c>
      <c r="EO101" s="23"/>
      <c r="EP101" s="9" t="str">
        <f>IF(AND(H101&gt;AV101,H101&gt;E101),"Bullish Trigger","-----")</f>
        <v>-----</v>
      </c>
      <c r="EQ101" s="9" t="str">
        <f>IF(AND(H101&lt;AW101,H101&lt;E101),"Bearish Trigger","-----")</f>
        <v>-----</v>
      </c>
      <c r="ER101" s="9"/>
      <c r="ES101" s="9" t="str">
        <f>IF(G101&gt;AV101,"Bullish Spike","-----")</f>
        <v>-----</v>
      </c>
      <c r="ET101" s="9" t="str">
        <f>IF(F101&lt;AW101,"Bearish Spike","-----")</f>
        <v>-----</v>
      </c>
      <c r="EU101" s="9"/>
      <c r="EV101" s="20">
        <f t="shared" si="71"/>
        <v>3.1000000000005912E-2</v>
      </c>
      <c r="EW101" s="9">
        <f t="shared" si="90"/>
        <v>-1.0319987845000993</v>
      </c>
      <c r="EX101" s="21" t="str">
        <f t="shared" si="91"/>
        <v>-----</v>
      </c>
      <c r="EY101" s="9"/>
    </row>
    <row r="102" spans="1:155" x14ac:dyDescent="0.55000000000000004">
      <c r="A102">
        <v>98</v>
      </c>
      <c r="B102" t="s">
        <v>101</v>
      </c>
      <c r="C102" t="s">
        <v>4</v>
      </c>
      <c r="D102" t="s">
        <v>103</v>
      </c>
      <c r="E102">
        <v>152.69200000000001</v>
      </c>
      <c r="F102">
        <v>152.72999999999999</v>
      </c>
      <c r="G102">
        <v>152.69200000000001</v>
      </c>
      <c r="H102">
        <v>152.727</v>
      </c>
      <c r="I102">
        <v>152.803</v>
      </c>
      <c r="J102">
        <v>152.875</v>
      </c>
      <c r="K102">
        <v>153.11199999999999</v>
      </c>
      <c r="L102">
        <v>152.63399999999999</v>
      </c>
      <c r="M102">
        <v>152.58099999999999</v>
      </c>
      <c r="N102">
        <v>152.92099999999999</v>
      </c>
      <c r="O102" s="16">
        <f t="shared" si="66"/>
        <v>3.7999999999982492E-2</v>
      </c>
      <c r="P102" s="16">
        <f t="shared" si="72"/>
        <v>3.7999999999982492E-2</v>
      </c>
      <c r="Q102" s="16">
        <f t="shared" si="73"/>
        <v>0</v>
      </c>
      <c r="R102" s="16">
        <f>MAX(O102:Q102)</f>
        <v>3.7999999999982492E-2</v>
      </c>
      <c r="S102" s="16">
        <f t="shared" si="101"/>
        <v>4.436232530563413E-2</v>
      </c>
      <c r="T102">
        <v>0</v>
      </c>
      <c r="U102">
        <v>0</v>
      </c>
      <c r="V102">
        <v>0</v>
      </c>
      <c r="W102">
        <v>0</v>
      </c>
      <c r="Y102" s="9" t="str">
        <f t="shared" si="75"/>
        <v>------</v>
      </c>
      <c r="Z102" s="9" t="str">
        <f t="shared" si="76"/>
        <v>------</v>
      </c>
      <c r="AA102" s="9"/>
      <c r="AB102">
        <v>0</v>
      </c>
      <c r="AD102" t="str">
        <f t="shared" si="58"/>
        <v/>
      </c>
      <c r="AE102">
        <v>0.20213</v>
      </c>
      <c r="AF102">
        <v>0</v>
      </c>
      <c r="AG102">
        <v>152.99091000000001</v>
      </c>
      <c r="AH102">
        <v>152.91801000000001</v>
      </c>
      <c r="AI102">
        <v>152.8451</v>
      </c>
      <c r="AJ102">
        <v>152.7722</v>
      </c>
      <c r="AK102">
        <v>152.69929999999999</v>
      </c>
      <c r="AL102">
        <v>152.66060999999999</v>
      </c>
      <c r="AM102">
        <v>152.58770999999999</v>
      </c>
      <c r="AN102">
        <v>152.51481000000001</v>
      </c>
      <c r="AO102">
        <v>152.44191000000001</v>
      </c>
      <c r="AP102">
        <v>152.36901</v>
      </c>
      <c r="AQ102">
        <v>152.70500000000001</v>
      </c>
      <c r="AR102">
        <v>152.67099999999999</v>
      </c>
      <c r="AS102">
        <f t="shared" si="92"/>
        <v>98</v>
      </c>
      <c r="AT102">
        <v>152.72300000000001</v>
      </c>
      <c r="AU102">
        <v>152.81800000000001</v>
      </c>
      <c r="AV102">
        <v>152.71799999999999</v>
      </c>
      <c r="AW102">
        <v>152.68600000000001</v>
      </c>
      <c r="AY102" s="4">
        <f>I102*(1+$AY$2)</f>
        <v>152.82592045000001</v>
      </c>
      <c r="AZ102" s="4">
        <f>I102*(1-$AY$2)</f>
        <v>152.78007955000001</v>
      </c>
      <c r="BA102" s="4">
        <f>J102*(1+$AY$2)</f>
        <v>152.89793125000003</v>
      </c>
      <c r="BB102" s="4">
        <f>J102*(1-$AY$2)</f>
        <v>152.85206875</v>
      </c>
      <c r="BC102" s="4">
        <f>K102*(1+$AY$2)</f>
        <v>153.1349668</v>
      </c>
      <c r="BD102" s="4">
        <f>K102*(1-$AY$2)</f>
        <v>153.08903319999999</v>
      </c>
      <c r="BE102" s="4">
        <f>L102*(1+$AY$2)</f>
        <v>152.65689510000001</v>
      </c>
      <c r="BF102" s="4">
        <f>L102*(1-$AY$2)</f>
        <v>152.61110489999999</v>
      </c>
      <c r="BG102" s="4">
        <f>M102*(1+$AY$2)</f>
        <v>152.60388714999999</v>
      </c>
      <c r="BH102" s="4">
        <f>M102*(1-$AY$2)</f>
        <v>152.55811284999999</v>
      </c>
      <c r="BI102" s="4">
        <f>N102*(1+$AY$2)</f>
        <v>152.94393815000001</v>
      </c>
      <c r="BJ102" s="4">
        <f>N102*(1-$AY$2)</f>
        <v>152.89806185</v>
      </c>
      <c r="BK102" s="30">
        <f t="shared" si="93"/>
        <v>98</v>
      </c>
      <c r="BL102" s="15" t="str">
        <f t="shared" si="77"/>
        <v>-----</v>
      </c>
      <c r="BM102" s="15" t="str">
        <f t="shared" si="78"/>
        <v>-----</v>
      </c>
      <c r="BN102" s="15" t="str">
        <f t="shared" si="79"/>
        <v>-----</v>
      </c>
      <c r="BO102" s="15" t="str">
        <f t="shared" si="80"/>
        <v>-----</v>
      </c>
      <c r="BP102" s="15" t="str">
        <f t="shared" si="81"/>
        <v>-----</v>
      </c>
      <c r="BQ102" s="15" t="str">
        <f t="shared" si="82"/>
        <v>-----</v>
      </c>
      <c r="BR102" s="22"/>
      <c r="BS102" s="9">
        <f t="shared" si="83"/>
        <v>-2.423265306122455E-3</v>
      </c>
      <c r="BT102" s="9">
        <f>SLOPE(J$5:J$103,$A$5:$A$103)</f>
        <v>-3.7194805194805478E-4</v>
      </c>
      <c r="BU102" s="9">
        <f>SLOPE(K$5:K$103,$A$5:$A$103)</f>
        <v>-1.6402721088435472E-3</v>
      </c>
      <c r="BV102" s="9">
        <f>SLOPE(L$5:L$103,$A$5:$A$103)</f>
        <v>7.6471243042669956E-4</v>
      </c>
      <c r="BW102" s="9">
        <f>SLOPE(M$5:M$103,$A$5:$A$103)</f>
        <v>-2.3081014223875058E-4</v>
      </c>
      <c r="BX102" s="9">
        <f>SLOPE(N$5:N$103,$A$5:$A$103)</f>
        <v>1.5802844774273381E-3</v>
      </c>
      <c r="BY102"/>
      <c r="BZ102" s="9">
        <f t="shared" si="95"/>
        <v>-1.9079214597220278</v>
      </c>
      <c r="CA102" s="9">
        <f t="shared" si="96"/>
        <v>-0.29295343676527091</v>
      </c>
      <c r="CB102" s="9">
        <f t="shared" si="97"/>
        <v>-1.2917022253843653</v>
      </c>
      <c r="CC102" s="9">
        <f t="shared" si="98"/>
        <v>0.60228527619529781</v>
      </c>
      <c r="CD102" s="9">
        <f t="shared" si="99"/>
        <v>-0.18179147971962978</v>
      </c>
      <c r="CE102" s="9">
        <f t="shared" si="100"/>
        <v>1.2444775446344229</v>
      </c>
      <c r="CF102"/>
      <c r="CG102" s="18" t="str" cm="1">
        <f t="array" ref="CG102">_xlfn.IFS(BZ102&gt;3,"Strong + Slope",BZ102&gt;1.5,"Moderate + Slope",BZ102&gt;0.5,"Sideway + Slope",BZ102&gt;=-0.5,"Sideway Flat",BZ102&gt;=-1.5,"Sideway - Slope",BZ102&gt;=-3,"Moderate - Slope",TRUE,"Strong - Slope")</f>
        <v>Moderate - Slope</v>
      </c>
      <c r="CH102" s="18" t="str" cm="1">
        <f t="array" ref="CH102">_xlfn.IFS(CA102&gt;3,"Strong + Slope",CA102&gt;1.5,"Moderate + Slope",CA102&gt;0.5,"Sideway + Slope",CA102&gt;=-0.5,"Sideway Flat",CA102&gt;=-1.5,"Sideway - Slope",CA102&gt;=-3,"Moderate - Slope",TRUE,"Strong - Slope")</f>
        <v>Sideway Flat</v>
      </c>
      <c r="CI102" s="18" t="str" cm="1">
        <f t="array" ref="CI102">_xlfn.IFS(CB102&gt;3,"Strong + Slope",CB102&gt;1.5,"Moderate + Slope",CB102&gt;0.5,"Sideway + Slope",CB102&gt;=-0.5,"Sideway Flat",CB102&gt;=-1.5,"Sideway - Slope",CB102&gt;=-3,"Moderate - Slope",TRUE,"Strong - Slope")</f>
        <v>Sideway - Slope</v>
      </c>
      <c r="CJ102" s="18" t="str" cm="1">
        <f t="array" ref="CJ102">_xlfn.IFS(CC102&gt;3,"Strong + Slope",CC102&gt;1.5,"Moderate + Slope",CC102&gt;0.5,"Sideway + Slope",CC102&gt;=-0.5,"Sideway Flat",CC102&gt;=-1.5,"Sideway - Slope",CC102&gt;=-3,"Moderate - Slope",TRUE,"Strong - Slope")</f>
        <v>Sideway + Slope</v>
      </c>
      <c r="CK102" s="18" t="str" cm="1">
        <f t="array" ref="CK102">_xlfn.IFS(CD102&gt;3,"Strong + Slope",CD102&gt;1.5,"Moderate + Slope",CD102&gt;0.5,"Sideway + Slope",CD102&gt;=-0.5,"Sideway Flat",CD102&gt;=-1.5,"Sideway - Slope",CD102&gt;=-3,"Moderate - Slope",TRUE,"Strong - Slope")</f>
        <v>Sideway Flat</v>
      </c>
      <c r="CL102" s="18" t="str" cm="1">
        <f t="array" ref="CL102">_xlfn.IFS(CE102&gt;3,"Strong + Slope",CE102&gt;1.5,"Moderate + Slope",CE102&gt;0.5,"Sideway + Slope",CE102&gt;=-0.5,"Sideway Flat",CE102&gt;=-1.5,"Sideway - Slope",CE102&gt;=-3,"Moderate - Slope",TRUE,"Strong - Slope")</f>
        <v>Sideway + Slope</v>
      </c>
      <c r="CM102" s="9"/>
      <c r="CN102" s="9">
        <f>RANK(I102,$I102:$N102,0)</f>
        <v>4</v>
      </c>
      <c r="CO102" s="9">
        <f>RANK(J102,$I102:$N102,0)</f>
        <v>3</v>
      </c>
      <c r="CP102" s="9">
        <f>RANK(K102,$I102:$N102,0)</f>
        <v>1</v>
      </c>
      <c r="CQ102" s="9">
        <f>RANK(L102,$I102:$N102,0)</f>
        <v>5</v>
      </c>
      <c r="CR102" s="9">
        <f>RANK(M102,$I102:$N102,0)</f>
        <v>6</v>
      </c>
      <c r="CS102" s="9">
        <f>RANK(N102,$I102:$N102,0)</f>
        <v>2</v>
      </c>
      <c r="CT102" s="9"/>
      <c r="CU102" s="9" t="str">
        <f>IF($H102&gt;I102,"SUP","RES")</f>
        <v>RES</v>
      </c>
      <c r="CV102" s="9" t="str">
        <f>IF($H102&gt;J102,"SUP","RES")</f>
        <v>RES</v>
      </c>
      <c r="CW102" s="9" t="str">
        <f>IF($H102&gt;K102,"SUP","RES")</f>
        <v>RES</v>
      </c>
      <c r="CX102" s="9" t="str">
        <f>IF($H102&gt;L102,"SUP","RES")</f>
        <v>SUP</v>
      </c>
      <c r="CY102" s="9" t="str">
        <f>IF($H102&gt;M102,"SUP","RES")</f>
        <v>SUP</v>
      </c>
      <c r="CZ102" s="9" t="str">
        <f>IF($H102&gt;N102,"SUP","RES")</f>
        <v>RES</v>
      </c>
      <c r="DA102" s="9"/>
      <c r="DB102" s="12">
        <f>(I102-$H102)/$H102</f>
        <v>4.9761993622603337E-4</v>
      </c>
      <c r="DC102" s="12">
        <f>(J102-$H102)/$H102</f>
        <v>9.6904934949286069E-4</v>
      </c>
      <c r="DD102" s="12">
        <f>(K102-$H102)/$H102</f>
        <v>2.5208378348294072E-3</v>
      </c>
      <c r="DE102" s="12">
        <f>(L102-$H102)/$H102</f>
        <v>-6.089296588030783E-4</v>
      </c>
      <c r="DF102" s="12">
        <f>(M102-$H102)/$H102</f>
        <v>-9.5595408801335069E-4</v>
      </c>
      <c r="DG102" s="12">
        <f>(N102-$H102)/$H102</f>
        <v>1.2702403635243826E-3</v>
      </c>
      <c r="DH102" s="12"/>
      <c r="DI102" s="12">
        <f>((H102-MIN(I102:N102))/(MAX(I102:N102)-MIN(I102:N102)))</f>
        <v>0.27495291902074082</v>
      </c>
      <c r="DJ102" s="13">
        <f t="shared" si="67"/>
        <v>4</v>
      </c>
      <c r="DK102" s="14">
        <f t="shared" si="68"/>
        <v>2</v>
      </c>
      <c r="DL102" s="12">
        <f t="shared" si="84"/>
        <v>2.5208378348294072E-3</v>
      </c>
      <c r="DM102" s="12">
        <f t="shared" si="85"/>
        <v>1.2702403635243826E-3</v>
      </c>
      <c r="DN102" s="12">
        <f t="shared" si="86"/>
        <v>9.6904934949286069E-4</v>
      </c>
      <c r="DO102" s="12">
        <f t="shared" si="87"/>
        <v>4.9761993622603337E-4</v>
      </c>
      <c r="DP102" s="12">
        <f t="shared" si="88"/>
        <v>-6.089296588030783E-4</v>
      </c>
      <c r="DQ102" s="12">
        <f t="shared" si="89"/>
        <v>-9.5595408801335069E-4</v>
      </c>
      <c r="DR102" s="9"/>
      <c r="DS102" s="9" t="str">
        <f>IF(AQ102&gt;AG102,"Overbought",IF(AQ102&gt;AI102,"Bullish Momentum",IF(AQ102&gt;AK102,"Overprice Setting Up","-----")))</f>
        <v>Overprice Setting Up</v>
      </c>
      <c r="DT102" s="9" t="str">
        <f>IF(AQ102&lt;AP102,"Oversold",IF(AQ102&lt;AN102,"Bearish Momentum",IF(AQ102&lt;AL102,"Underprice Setting Up","-----")))</f>
        <v>-----</v>
      </c>
      <c r="DU102" s="9"/>
      <c r="DV102" s="12" t="str">
        <f>IF(AND(AT102&gt;AU102,AT101&gt;AU101,AT100&gt;AU100,AT99&gt;AU99,AT98&gt;AU98,AT97&gt;AU97,AT96&gt;AU96,AT95&gt;AU95,AT94&gt;AU94,AT93&gt;AU93,AT92&gt;AU92,AT91&gt;AU91),"Bullish",IF(AND(AT102&lt;AU102,AT101&lt;AU101,AT100&lt;AU100,AT99&lt;AU99,AT98&lt;AU98,AT97&lt;AU97,AT96&lt;AU96,AT95&lt;AU95,AT94&lt;AU94,AT93&lt;AU93,AT92&lt;AU92,AT91&lt;AU91),"Bearish","-----"))</f>
        <v>Bearish</v>
      </c>
      <c r="DW102" s="12"/>
      <c r="DX102" s="23">
        <f>(AR102-AT102)/AT102</f>
        <v>-3.4048571596957179E-4</v>
      </c>
      <c r="DY102" s="23">
        <f t="shared" si="106"/>
        <v>0.31670663123192305</v>
      </c>
      <c r="DZ102" s="23" t="str">
        <f t="shared" si="70"/>
        <v>-----</v>
      </c>
      <c r="EA102" s="23" t="str">
        <f>IF(AQ102&gt;AR102,"Bullish","Bearish")</f>
        <v>Bullish</v>
      </c>
      <c r="EB102" s="22" t="str">
        <f>IF(AND(H102&gt;AQ102,H101&lt;AQ101),"TEMA crossover","-----")</f>
        <v>-----</v>
      </c>
      <c r="EC102" s="22" t="str">
        <f>IF(AND(H102&lt;AQ102,H101&gt;AQ101),"TEMA crossunder","-----")</f>
        <v>-----</v>
      </c>
      <c r="ED102" s="22"/>
      <c r="EE102" s="24" t="str">
        <f t="shared" si="102"/>
        <v>YES</v>
      </c>
      <c r="EF102" s="24" t="str">
        <f t="shared" si="103"/>
        <v>-----</v>
      </c>
      <c r="EG102" s="24" t="str">
        <f t="shared" si="104"/>
        <v>-----</v>
      </c>
      <c r="EH102" s="24" t="str">
        <f t="shared" si="105"/>
        <v>-----</v>
      </c>
      <c r="EI102" s="25" t="str">
        <f>IF(DV102="Bullish","YES","-----")</f>
        <v>-----</v>
      </c>
      <c r="EJ102" s="25" t="str">
        <f>IF(DZ102="Reverse to Bullish","YES","-----")</f>
        <v>-----</v>
      </c>
      <c r="EK102" s="25" t="str">
        <f>IF(AND(EA102="Bearish",EA101="Bearish",EA100="Bearish",EA99="Bearish"),"YES","-----")</f>
        <v>-----</v>
      </c>
      <c r="EL102" s="25" t="str">
        <f>IF(OR(EC102="TEMA crossover",EC101="TEMA crossover",EC100="TEMA crossover",EC99="TEMA crossover"),"YES","-----")</f>
        <v>-----</v>
      </c>
      <c r="EM102" s="24" t="str">
        <f>IF(AND(EE102="YES",EF102="YES",EG102="YES",EH102="YES"),"Open Sell / Close Buy","-----")</f>
        <v>-----</v>
      </c>
      <c r="EN102" s="25" t="str">
        <f t="shared" si="94"/>
        <v>-----</v>
      </c>
      <c r="EO102" s="23"/>
      <c r="EP102" s="9" t="str">
        <f>IF(AND(H102&gt;AV102,H102&gt;E102),"Bullish Trigger","-----")</f>
        <v>Bullish Trigger</v>
      </c>
      <c r="EQ102" s="9" t="str">
        <f>IF(AND(H102&lt;AW102,H102&lt;E102),"Bearish Trigger","-----")</f>
        <v>-----</v>
      </c>
      <c r="ER102" s="9"/>
      <c r="ES102" s="9" t="str">
        <f>IF(G102&gt;AV102,"Bullish Spike","-----")</f>
        <v>-----</v>
      </c>
      <c r="ET102" s="9" t="str">
        <f>IF(F102&lt;AW102,"Bearish Spike","-----")</f>
        <v>-----</v>
      </c>
      <c r="EU102" s="9"/>
      <c r="EV102" s="20">
        <f t="shared" si="71"/>
        <v>3.1999999999982265E-2</v>
      </c>
      <c r="EW102" s="9">
        <f t="shared" si="90"/>
        <v>-1.0089516652438164</v>
      </c>
      <c r="EX102" s="21" t="str">
        <f t="shared" si="91"/>
        <v>-----</v>
      </c>
      <c r="EY102" s="9"/>
    </row>
    <row r="103" spans="1:155" x14ac:dyDescent="0.55000000000000004">
      <c r="A103">
        <v>99</v>
      </c>
      <c r="B103" t="s">
        <v>102</v>
      </c>
      <c r="C103" t="s">
        <v>4</v>
      </c>
      <c r="D103" t="s">
        <v>103</v>
      </c>
      <c r="E103">
        <v>152.721</v>
      </c>
      <c r="F103">
        <v>152.72499999999999</v>
      </c>
      <c r="G103">
        <v>152.703</v>
      </c>
      <c r="H103">
        <v>152.71199999999999</v>
      </c>
      <c r="I103">
        <v>152.80099999999999</v>
      </c>
      <c r="J103">
        <v>152.875</v>
      </c>
      <c r="K103">
        <v>153.11000000000001</v>
      </c>
      <c r="L103">
        <v>152.63499999999999</v>
      </c>
      <c r="M103">
        <v>152.58000000000001</v>
      </c>
      <c r="N103">
        <v>152.923</v>
      </c>
      <c r="O103" s="16">
        <f t="shared" si="66"/>
        <v>2.199999999999136E-2</v>
      </c>
      <c r="P103" s="16">
        <f t="shared" si="72"/>
        <v>2.0000000000095497E-3</v>
      </c>
      <c r="Q103" s="16">
        <f t="shared" si="73"/>
        <v>2.4000000000000909E-2</v>
      </c>
      <c r="R103" s="16">
        <f>MAX(O103:Q103)</f>
        <v>2.4000000000000909E-2</v>
      </c>
      <c r="S103" s="16">
        <f t="shared" si="101"/>
        <v>4.2907873498088896E-2</v>
      </c>
      <c r="T103">
        <v>0</v>
      </c>
      <c r="U103">
        <v>0</v>
      </c>
      <c r="V103">
        <v>0</v>
      </c>
      <c r="W103">
        <v>0</v>
      </c>
      <c r="Y103" s="9" t="str">
        <f t="shared" si="75"/>
        <v>------</v>
      </c>
      <c r="Z103" s="9" t="str">
        <f t="shared" si="76"/>
        <v>------</v>
      </c>
      <c r="AA103" s="9"/>
      <c r="AB103">
        <v>0</v>
      </c>
      <c r="AD103" t="str">
        <f t="shared" si="58"/>
        <v/>
      </c>
      <c r="AE103">
        <v>0.82818000000000003</v>
      </c>
      <c r="AF103">
        <v>3</v>
      </c>
      <c r="AG103">
        <v>152.98724999999999</v>
      </c>
      <c r="AH103">
        <v>152.91464999999999</v>
      </c>
      <c r="AI103">
        <v>152.84205</v>
      </c>
      <c r="AJ103">
        <v>152.76945000000001</v>
      </c>
      <c r="AK103">
        <v>152.69685000000001</v>
      </c>
      <c r="AL103">
        <v>152.65907000000001</v>
      </c>
      <c r="AM103">
        <v>152.58646999999999</v>
      </c>
      <c r="AN103">
        <v>152.51387</v>
      </c>
      <c r="AO103">
        <v>152.44127</v>
      </c>
      <c r="AP103">
        <v>152.36867000000001</v>
      </c>
      <c r="AQ103">
        <v>152.71299999999999</v>
      </c>
      <c r="AR103">
        <v>152.678</v>
      </c>
      <c r="AS103">
        <f t="shared" si="92"/>
        <v>99</v>
      </c>
      <c r="AT103">
        <v>152.72300000000001</v>
      </c>
      <c r="AU103">
        <v>152.815</v>
      </c>
      <c r="AV103">
        <v>152.72399999999999</v>
      </c>
      <c r="AW103">
        <v>152.69800000000001</v>
      </c>
      <c r="AY103" s="4">
        <f>I103*(1+$AY$2)</f>
        <v>152.82392014999999</v>
      </c>
      <c r="AZ103" s="4">
        <f>I103*(1-$AY$2)</f>
        <v>152.77807984999998</v>
      </c>
      <c r="BA103" s="4">
        <f>J103*(1+$AY$2)</f>
        <v>152.89793125000003</v>
      </c>
      <c r="BB103" s="4">
        <f>J103*(1-$AY$2)</f>
        <v>152.85206875</v>
      </c>
      <c r="BC103" s="4">
        <f>K103*(1+$AY$2)</f>
        <v>153.13296650000004</v>
      </c>
      <c r="BD103" s="4">
        <f>K103*(1-$AY$2)</f>
        <v>153.08703350000002</v>
      </c>
      <c r="BE103" s="4">
        <f>L103*(1+$AY$2)</f>
        <v>152.65789525</v>
      </c>
      <c r="BF103" s="4">
        <f>L103*(1-$AY$2)</f>
        <v>152.61210474999999</v>
      </c>
      <c r="BG103" s="4">
        <f>M103*(1+$AY$2)</f>
        <v>152.60288700000004</v>
      </c>
      <c r="BH103" s="4">
        <f>M103*(1-$AY$2)</f>
        <v>152.55711300000002</v>
      </c>
      <c r="BI103" s="4">
        <f>N103*(1+$AY$2)</f>
        <v>152.94593845000003</v>
      </c>
      <c r="BJ103" s="4">
        <f>N103*(1-$AY$2)</f>
        <v>152.90006155</v>
      </c>
      <c r="BK103" s="30">
        <f t="shared" si="93"/>
        <v>99</v>
      </c>
      <c r="BL103" s="15" t="str">
        <f t="shared" si="77"/>
        <v>-----</v>
      </c>
      <c r="BM103" s="15" t="str">
        <f t="shared" si="78"/>
        <v>-----</v>
      </c>
      <c r="BN103" s="15" t="str">
        <f t="shared" si="79"/>
        <v>-----</v>
      </c>
      <c r="BO103" s="15" t="str">
        <f t="shared" si="80"/>
        <v>-----</v>
      </c>
      <c r="BP103" s="15" t="str">
        <f t="shared" si="81"/>
        <v>-----</v>
      </c>
      <c r="BQ103" s="15" t="str">
        <f t="shared" si="82"/>
        <v>-----</v>
      </c>
      <c r="BR103" s="22"/>
      <c r="BS103" s="9">
        <f t="shared" si="83"/>
        <v>-2.423265306122455E-3</v>
      </c>
      <c r="BT103" s="9">
        <f>SLOPE(J$5:J$103,$A$5:$A$103)</f>
        <v>-3.7194805194805478E-4</v>
      </c>
      <c r="BU103" s="9">
        <f>SLOPE(K$5:K$103,$A$5:$A$103)</f>
        <v>-1.6402721088435472E-3</v>
      </c>
      <c r="BV103" s="9">
        <f>SLOPE(L$5:L$103,$A$5:$A$103)</f>
        <v>7.6471243042669956E-4</v>
      </c>
      <c r="BW103" s="9">
        <f>SLOPE(M$5:M$103,$A$5:$A$103)</f>
        <v>-2.3081014223875058E-4</v>
      </c>
      <c r="BX103" s="9">
        <f>SLOPE(N$5:N$103,$A$5:$A$103)</f>
        <v>1.5802844774273381E-3</v>
      </c>
      <c r="BY103"/>
      <c r="BZ103" s="9">
        <f t="shared" si="95"/>
        <v>-1.9079214597220278</v>
      </c>
      <c r="CA103" s="9">
        <f t="shared" si="96"/>
        <v>-0.29295343676527091</v>
      </c>
      <c r="CB103" s="9">
        <f t="shared" si="97"/>
        <v>-1.2917022253843653</v>
      </c>
      <c r="CC103" s="9">
        <f t="shared" si="98"/>
        <v>0.60228527619529781</v>
      </c>
      <c r="CD103" s="9">
        <f t="shared" si="99"/>
        <v>-0.18179147971962978</v>
      </c>
      <c r="CE103" s="9">
        <f t="shared" si="100"/>
        <v>1.2444775446344229</v>
      </c>
      <c r="CF103"/>
      <c r="CG103" s="18" t="str" cm="1">
        <f t="array" ref="CG103">_xlfn.IFS(BZ103&gt;3,"Strong + Slope",BZ103&gt;1.5,"Moderate + Slope",BZ103&gt;0.5,"Sideway + Slope",BZ103&gt;=-0.5,"Sideway Flat",BZ103&gt;=-1.5,"Sideway - Slope",BZ103&gt;=-3,"Moderate - Slope",TRUE,"Strong - Slope")</f>
        <v>Moderate - Slope</v>
      </c>
      <c r="CH103" s="18" t="str" cm="1">
        <f t="array" ref="CH103">_xlfn.IFS(CA103&gt;3,"Strong + Slope",CA103&gt;1.5,"Moderate + Slope",CA103&gt;0.5,"Sideway + Slope",CA103&gt;=-0.5,"Sideway Flat",CA103&gt;=-1.5,"Sideway - Slope",CA103&gt;=-3,"Moderate - Slope",TRUE,"Strong - Slope")</f>
        <v>Sideway Flat</v>
      </c>
      <c r="CI103" s="18" t="str" cm="1">
        <f t="array" ref="CI103">_xlfn.IFS(CB103&gt;3,"Strong + Slope",CB103&gt;1.5,"Moderate + Slope",CB103&gt;0.5,"Sideway + Slope",CB103&gt;=-0.5,"Sideway Flat",CB103&gt;=-1.5,"Sideway - Slope",CB103&gt;=-3,"Moderate - Slope",TRUE,"Strong - Slope")</f>
        <v>Sideway - Slope</v>
      </c>
      <c r="CJ103" s="18" t="str" cm="1">
        <f t="array" ref="CJ103">_xlfn.IFS(CC103&gt;3,"Strong + Slope",CC103&gt;1.5,"Moderate + Slope",CC103&gt;0.5,"Sideway + Slope",CC103&gt;=-0.5,"Sideway Flat",CC103&gt;=-1.5,"Sideway - Slope",CC103&gt;=-3,"Moderate - Slope",TRUE,"Strong - Slope")</f>
        <v>Sideway + Slope</v>
      </c>
      <c r="CK103" s="18" t="str" cm="1">
        <f t="array" ref="CK103">_xlfn.IFS(CD103&gt;3,"Strong + Slope",CD103&gt;1.5,"Moderate + Slope",CD103&gt;0.5,"Sideway + Slope",CD103&gt;=-0.5,"Sideway Flat",CD103&gt;=-1.5,"Sideway - Slope",CD103&gt;=-3,"Moderate - Slope",TRUE,"Strong - Slope")</f>
        <v>Sideway Flat</v>
      </c>
      <c r="CL103" s="18" t="str" cm="1">
        <f t="array" ref="CL103">_xlfn.IFS(CE103&gt;3,"Strong + Slope",CE103&gt;1.5,"Moderate + Slope",CE103&gt;0.5,"Sideway + Slope",CE103&gt;=-0.5,"Sideway Flat",CE103&gt;=-1.5,"Sideway - Slope",CE103&gt;=-3,"Moderate - Slope",TRUE,"Strong - Slope")</f>
        <v>Sideway + Slope</v>
      </c>
      <c r="CM103" s="9"/>
      <c r="CN103" s="9">
        <f>RANK(I103,$I103:$N103,0)</f>
        <v>4</v>
      </c>
      <c r="CO103" s="9">
        <f>RANK(J103,$I103:$N103,0)</f>
        <v>3</v>
      </c>
      <c r="CP103" s="9">
        <f>RANK(K103,$I103:$N103,0)</f>
        <v>1</v>
      </c>
      <c r="CQ103" s="9">
        <f>RANK(L103,$I103:$N103,0)</f>
        <v>5</v>
      </c>
      <c r="CR103" s="9">
        <f>RANK(M103,$I103:$N103,0)</f>
        <v>6</v>
      </c>
      <c r="CS103" s="9">
        <f>RANK(N103,$I103:$N103,0)</f>
        <v>2</v>
      </c>
      <c r="CT103" s="9"/>
      <c r="CU103" s="9" t="str">
        <f>IF($H103&gt;I103,"SUP","RES")</f>
        <v>RES</v>
      </c>
      <c r="CV103" s="9" t="str">
        <f>IF($H103&gt;J103,"SUP","RES")</f>
        <v>RES</v>
      </c>
      <c r="CW103" s="9" t="str">
        <f>IF($H103&gt;K103,"SUP","RES")</f>
        <v>RES</v>
      </c>
      <c r="CX103" s="9" t="str">
        <f>IF($H103&gt;L103,"SUP","RES")</f>
        <v>SUP</v>
      </c>
      <c r="CY103" s="9" t="str">
        <f>IF($H103&gt;M103,"SUP","RES")</f>
        <v>SUP</v>
      </c>
      <c r="CZ103" s="9" t="str">
        <f>IF($H103&gt;N103,"SUP","RES")</f>
        <v>RES</v>
      </c>
      <c r="DA103" s="9"/>
      <c r="DB103" s="12">
        <f>(I103-$H103)/$H103</f>
        <v>5.8279637487557395E-4</v>
      </c>
      <c r="DC103" s="12">
        <f>(J103-$H103)/$H103</f>
        <v>1.0673686416261389E-3</v>
      </c>
      <c r="DD103" s="12">
        <f>(K103-$H103)/$H103</f>
        <v>2.606213002252767E-3</v>
      </c>
      <c r="DE103" s="12">
        <f>(L103-$H103)/$H103</f>
        <v>-5.0421708837549231E-4</v>
      </c>
      <c r="DF103" s="12">
        <f>(M103-$H103)/$H103</f>
        <v>-8.6437215150071104E-4</v>
      </c>
      <c r="DG103" s="12">
        <f>(N103-$H103)/$H103</f>
        <v>1.3816857876264653E-3</v>
      </c>
      <c r="DH103" s="12"/>
      <c r="DI103" s="12">
        <f>((H103-MIN(I103:N103))/(MAX(I103:N103)-MIN(I103:N103)))</f>
        <v>0.24905660377354019</v>
      </c>
      <c r="DJ103" s="13">
        <f t="shared" si="67"/>
        <v>4</v>
      </c>
      <c r="DK103" s="14">
        <f t="shared" si="68"/>
        <v>2</v>
      </c>
      <c r="DL103" s="12">
        <f t="shared" si="84"/>
        <v>2.606213002252767E-3</v>
      </c>
      <c r="DM103" s="12">
        <f t="shared" si="85"/>
        <v>1.3816857876264653E-3</v>
      </c>
      <c r="DN103" s="12">
        <f t="shared" si="86"/>
        <v>1.0673686416261389E-3</v>
      </c>
      <c r="DO103" s="12">
        <f t="shared" si="87"/>
        <v>5.8279637487557395E-4</v>
      </c>
      <c r="DP103" s="12">
        <f t="shared" si="88"/>
        <v>-5.0421708837549231E-4</v>
      </c>
      <c r="DQ103" s="12">
        <f t="shared" si="89"/>
        <v>-8.6437215150071104E-4</v>
      </c>
      <c r="DR103" s="9"/>
      <c r="DS103" s="9" t="str">
        <f>IF(AQ103&gt;AG103,"Overbought",IF(AQ103&gt;AI103,"Bullish Momentum",IF(AQ103&gt;AK103,"Overprice Setting Up","-----")))</f>
        <v>Overprice Setting Up</v>
      </c>
      <c r="DT103" s="9" t="str">
        <f>IF(AQ103&lt;AP103,"Oversold",IF(AQ103&lt;AN103,"Bearish Momentum",IF(AQ103&lt;AL103,"Underprice Setting Up","-----")))</f>
        <v>-----</v>
      </c>
      <c r="DU103" s="9"/>
      <c r="DV103" s="12" t="str">
        <f>IF(AND(AT103&gt;AU103,AT102&gt;AU102,AT101&gt;AU101,AT100&gt;AU100,AT99&gt;AU99,AT98&gt;AU98,AT97&gt;AU97,AT96&gt;AU96,AT95&gt;AU95,AT94&gt;AU94,AT93&gt;AU93,AT92&gt;AU92),"Bullish",IF(AND(AT103&lt;AU103,AT102&lt;AU102,AT101&lt;AU101,AT100&lt;AU100,AT99&lt;AU99,AT98&lt;AU98,AT97&lt;AU97,AT96&lt;AU96,AT95&lt;AU95,AT94&lt;AU94,AT93&lt;AU93,AT92&lt;AU92),"Bearish","-----"))</f>
        <v>Bearish</v>
      </c>
      <c r="DW103" s="12"/>
      <c r="DX103" s="23">
        <f>(AR103-AT103)/AT103</f>
        <v>-2.94651100358269E-4</v>
      </c>
      <c r="DY103" s="23">
        <f t="shared" si="106"/>
        <v>0.44889608167259493</v>
      </c>
      <c r="DZ103" s="23" t="str">
        <f t="shared" si="70"/>
        <v>-----</v>
      </c>
      <c r="EA103" s="23" t="str">
        <f>IF(AQ103&gt;AR103,"Bullish","Bearish")</f>
        <v>Bullish</v>
      </c>
      <c r="EB103" s="22" t="str">
        <f>IF(AND(H103&gt;AQ103,H102&lt;AQ102),"TEMA crossover","-----")</f>
        <v>-----</v>
      </c>
      <c r="EC103" s="22" t="str">
        <f>IF(AND(H103&lt;AQ103,H102&gt;AQ102),"TEMA crossunder","-----")</f>
        <v>TEMA crossunder</v>
      </c>
      <c r="ED103" s="22"/>
      <c r="EE103" s="24" t="str">
        <f t="shared" si="102"/>
        <v>YES</v>
      </c>
      <c r="EF103" s="24" t="str">
        <f t="shared" si="103"/>
        <v>-----</v>
      </c>
      <c r="EG103" s="24" t="str">
        <f t="shared" si="104"/>
        <v>YES</v>
      </c>
      <c r="EH103" s="24" t="str">
        <f t="shared" si="105"/>
        <v>YES</v>
      </c>
      <c r="EI103" s="25" t="str">
        <f>IF(DV103="Bullish","YES","-----")</f>
        <v>-----</v>
      </c>
      <c r="EJ103" s="25" t="str">
        <f>IF(DZ103="Reverse to Bullish","YES","-----")</f>
        <v>-----</v>
      </c>
      <c r="EK103" s="25" t="str">
        <f>IF(AND(EA103="Bearish",EA102="Bearish",EA101="Bearish",EA100="Bearish"),"YES","-----")</f>
        <v>-----</v>
      </c>
      <c r="EL103" s="25" t="str">
        <f>IF(OR(EC103="TEMA crossover",EC102="TEMA crossover",EC101="TEMA crossover",EC100="TEMA crossover"),"YES","-----")</f>
        <v>-----</v>
      </c>
      <c r="EM103" s="24" t="str">
        <f>IF(AND(EE103="YES",EF103="YES",EG103="YES",EH103="YES"),"Open Sell / Close Buy","-----")</f>
        <v>-----</v>
      </c>
      <c r="EN103" s="25" t="str">
        <f t="shared" si="94"/>
        <v>-----</v>
      </c>
      <c r="EO103" s="23"/>
      <c r="EP103" s="9" t="str">
        <f>IF(AND(H103&gt;AV103,H103&gt;E103),"Bullish Trigger","-----")</f>
        <v>-----</v>
      </c>
      <c r="EQ103" s="9" t="str">
        <f>IF(AND(H103&lt;AW103,H103&lt;E103),"Bearish Trigger","-----")</f>
        <v>-----</v>
      </c>
      <c r="ER103" s="9"/>
      <c r="ES103" s="9" t="str">
        <f>IF(G103&gt;AV103,"Bullish Spike","-----")</f>
        <v>-----</v>
      </c>
      <c r="ET103" s="9" t="str">
        <f>IF(F103&lt;AW103,"Bearish Spike","-----")</f>
        <v>-----</v>
      </c>
      <c r="EU103" s="9"/>
      <c r="EV103" s="20">
        <f t="shared" si="71"/>
        <v>2.5999999999982037E-2</v>
      </c>
      <c r="EW103" s="9">
        <f t="shared" si="90"/>
        <v>-1.1472343807847896</v>
      </c>
      <c r="EX103" s="21" t="str">
        <f t="shared" si="91"/>
        <v>-----</v>
      </c>
      <c r="EY103" s="9"/>
    </row>
    <row r="104" spans="1:155" x14ac:dyDescent="0.55000000000000004">
      <c r="AD104" t="str">
        <f>IF(OR(Y104="Important High",Z104="Important High"),IF(AB104=1,"Important High with Rejection",""),IF(OR(Y104="Important Low",Z104="Important Low"),IF(AB104=1,"Important Low with Rejection",""),""))</f>
        <v/>
      </c>
      <c r="EX104" s="21"/>
    </row>
  </sheetData>
  <phoneticPr fontId="18" type="noConversion"/>
  <conditionalFormatting sqref="DL5:DQ103">
    <cfRule type="cellIs" dxfId="7" priority="38" operator="lessThan">
      <formula>0</formula>
    </cfRule>
    <cfRule type="cellIs" dxfId="6" priority="39" operator="greaterThan">
      <formula>0</formula>
    </cfRule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A5:EO103">
    <cfRule type="containsText" dxfId="5" priority="8" operator="containsText" text="bearish">
      <formula>NOT(ISERROR(SEARCH("bearish",EA5)))</formula>
    </cfRule>
  </conditionalFormatting>
  <conditionalFormatting sqref="EA5:EA103">
    <cfRule type="containsText" dxfId="4" priority="7" operator="containsText" text="Bullish">
      <formula>NOT(ISERROR(SEARCH("Bullish",EA5)))</formula>
    </cfRule>
  </conditionalFormatting>
  <conditionalFormatting sqref="DZ5:DZ103 DW16:DW103">
    <cfRule type="containsText" dxfId="3" priority="5" operator="containsText" text="Bullish">
      <formula>NOT(ISERROR(SEARCH("Bullish",DW5)))</formula>
    </cfRule>
    <cfRule type="containsText" dxfId="2" priority="6" operator="containsText" text="Bearish">
      <formula>NOT(ISERROR(SEARCH("Bearish",DW5)))</formula>
    </cfRule>
  </conditionalFormatting>
  <conditionalFormatting sqref="DV5:DV103">
    <cfRule type="containsText" dxfId="1" priority="1" operator="containsText" text="Bullish">
      <formula>NOT(ISERROR(SEARCH("Bullish",DV5)))</formula>
    </cfRule>
    <cfRule type="containsText" dxfId="0" priority="2" operator="containsText" text="Bearish">
      <formula>NOT(ISERROR(SEARCH("Bearish",DV5)))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USDJPY_M5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2026-02-22T00:33:00Z</dcterms:modified>
</cp:coreProperties>
</file>